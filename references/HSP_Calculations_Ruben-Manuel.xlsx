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omments1.xml" ContentType="application/vnd.openxmlformats-officedocument.spreadsheetml.comments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rkema.sharepoint.com/teams/ASSB-UFCRC-10568forSDI/Shared Documents/General/KOP/PT/"/>
    </mc:Choice>
  </mc:AlternateContent>
  <xr:revisionPtr revIDLastSave="1" documentId="11_46F034029CDC5538F274F9DC0A2BE1D535170460" xr6:coauthVersionLast="47" xr6:coauthVersionMax="47" xr10:uidLastSave="{64D32070-3726-48EC-9787-8EF9EF0AD19F}"/>
  <bookViews>
    <workbookView xWindow="-28920" yWindow="-120" windowWidth="29040" windowHeight="15840" activeTab="1" xr2:uid="{00000000-000D-0000-FFFF-FFFF00000000}"/>
  </bookViews>
  <sheets>
    <sheet name="HSP Calcs" sheetId="27" r:id="rId1"/>
    <sheet name="Chemicals" sheetId="28" r:id="rId2"/>
    <sheet name="HSP 1 Sphere" sheetId="10" r:id="rId3"/>
    <sheet name="HSP 2 Spheres" sheetId="33" r:id="rId4"/>
    <sheet name="HSP Solvent Blends and Chi" sheetId="11" r:id="rId5"/>
    <sheet name="Find a similar substance" sheetId="29" r:id="rId6"/>
  </sheets>
  <externalReferences>
    <externalReference r:id="rId7"/>
  </externalReferences>
  <definedNames>
    <definedName name="Absorbed" localSheetId="3">#REF!</definedName>
    <definedName name="Absorbed">#REF!</definedName>
    <definedName name="Approx_RI" localSheetId="3">#REF!</definedName>
    <definedName name="Approx_RI">#REF!</definedName>
    <definedName name="AR_" localSheetId="3">#REF!</definedName>
    <definedName name="AR_">#REF!</definedName>
    <definedName name="AreaF1">#REF!</definedName>
    <definedName name="AreaF2">#REF!</definedName>
    <definedName name="B">#REF!</definedName>
    <definedName name="Bond_R">#REF!</definedName>
    <definedName name="c_">#REF!</definedName>
    <definedName name="Calculated_thickness_µm">#REF!</definedName>
    <definedName name="CB">#REF!</definedName>
    <definedName name="Chemicals" localSheetId="3">[1]!Tabla1[#Data]</definedName>
    <definedName name="Chemicals">Tabla1[]</definedName>
    <definedName name="Chi">#REF!</definedName>
    <definedName name="CK">#REF!</definedName>
    <definedName name="CR">#REF!</definedName>
    <definedName name="d">#REF!</definedName>
    <definedName name="dD" localSheetId="3">'HSP 2 Spheres'!$C$3</definedName>
    <definedName name="dD" localSheetId="4">'HSP Solvent Blends and Chi'!$C$3</definedName>
    <definedName name="dD">'HSP 1 Sphere'!$C$3</definedName>
    <definedName name="Deflection">#REF!</definedName>
    <definedName name="Density">#REF!</definedName>
    <definedName name="dH" localSheetId="3">'HSP 2 Spheres'!$E$3</definedName>
    <definedName name="dH" localSheetId="4">'HSP Solvent Blends and Chi'!$E$3</definedName>
    <definedName name="dH">'HSP 1 Sphere'!$E$3</definedName>
    <definedName name="Distance" localSheetId="3">'[1]HSP Solvent Blends and Chi'!$R$20</definedName>
    <definedName name="Distance">'HSP Solvent Blends and Chi'!$R$20</definedName>
    <definedName name="divStep">#REF!</definedName>
    <definedName name="DLVODensity">#REF!</definedName>
    <definedName name="dMax">#REF!</definedName>
    <definedName name="dMin">#REF!</definedName>
    <definedName name="dP" localSheetId="3">'HSP 2 Spheres'!$D$3</definedName>
    <definedName name="dP" localSheetId="4">'HSP Solvent Blends and Chi'!$D$3</definedName>
    <definedName name="dP">'HSP 1 Sphere'!$D$3</definedName>
    <definedName name="e">#REF!</definedName>
    <definedName name="e0">#REF!</definedName>
    <definedName name="Ea">#REF!</definedName>
    <definedName name="Failure_Value">#REF!</definedName>
    <definedName name="FCa">#REF!</definedName>
    <definedName name="FDensity">#REF!</definedName>
    <definedName name="FGravity">#REF!</definedName>
    <definedName name="firstLabel">#REF!</definedName>
    <definedName name="firstZ">#REF!</definedName>
    <definedName name="FRadius">#REF!</definedName>
    <definedName name="FSurften">#REF!</definedName>
    <definedName name="fThick">#REF!</definedName>
    <definedName name="FudgeFactor">#REF!</definedName>
    <definedName name="FVelocity">#REF!</definedName>
    <definedName name="FViscosity">#REF!</definedName>
    <definedName name="g">#REF!</definedName>
    <definedName name="Gravity">#REF!</definedName>
    <definedName name="h">#REF!</definedName>
    <definedName name="h0">#REF!</definedName>
    <definedName name="Hamaker">#REF!</definedName>
    <definedName name="Hardness">#REF!</definedName>
    <definedName name="HHardness">#REF!</definedName>
    <definedName name="Higher_wavelength">#REF!</definedName>
    <definedName name="HModulus">#REF!</definedName>
    <definedName name="Hukki_R">#REF!</definedName>
    <definedName name="I">#REF!</definedName>
    <definedName name="iModulus">#REF!</definedName>
    <definedName name="iPoisson">#REF!</definedName>
    <definedName name="k_1">#REF!</definedName>
    <definedName name="K_K_R">#REF!</definedName>
    <definedName name="kB">#REF!</definedName>
    <definedName name="Km">#REF!</definedName>
    <definedName name="Kmunload">#REF!</definedName>
    <definedName name="Layer">#REF!</definedName>
    <definedName name="Length">#REF!</definedName>
    <definedName name="lnA">#REF!</definedName>
    <definedName name="Lower_wavelength">#REF!</definedName>
    <definedName name="mass">#REF!</definedName>
    <definedName name="Modulus">#REF!</definedName>
    <definedName name="MVol">#REF!</definedName>
    <definedName name="MVolChi" localSheetId="3">'[1]HSP Solvent Blends and Chi'!$T$20</definedName>
    <definedName name="MVolChi">'HSP Solvent Blends and Chi'!$T$20</definedName>
    <definedName name="NA">#REF!</definedName>
    <definedName name="NrPoints">#REF!</definedName>
    <definedName name="Number_of_peaks">#REF!</definedName>
    <definedName name="Offset">#REF!</definedName>
    <definedName name="Optical_thickness_μm">#REF!</definedName>
    <definedName name="oThick">#REF!</definedName>
    <definedName name="PMax">#REF!</definedName>
    <definedName name="PotAtt">#REF!</definedName>
    <definedName name="PotRep">#REF!</definedName>
    <definedName name="R_" localSheetId="3">'HSP 2 Spheres'!$F$3</definedName>
    <definedName name="R_" localSheetId="4">'HSP Solvent Blends and Chi'!$F$3</definedName>
    <definedName name="R_">'HSP 1 Sphere'!$F$3</definedName>
    <definedName name="radius">#REF!</definedName>
    <definedName name="rModulus">#REF!</definedName>
    <definedName name="RT" localSheetId="3">'[1]HSP Solvent Blends and Chi'!$U$20</definedName>
    <definedName name="RT">'HSP Solvent Blends and Chi'!$U$20</definedName>
    <definedName name="s">#REF!</definedName>
    <definedName name="Scale_h">#REF!</definedName>
    <definedName name="sForce">#REF!</definedName>
    <definedName name="solver_adj" localSheetId="2" hidden="1">'HSP 1 Sphere'!$C$3:$F$3</definedName>
    <definedName name="solver_adj" localSheetId="3" hidden="1">'HSP 2 Spheres'!$C$3:$F$4</definedName>
    <definedName name="solver_adj" localSheetId="4" hidden="1">'HSP Solvent Blends and Chi'!$Y$25:$Y$28</definedName>
    <definedName name="solver_cvg" localSheetId="2" hidden="1">0.0001</definedName>
    <definedName name="solver_cvg" localSheetId="3" hidden="1">0.0001</definedName>
    <definedName name="solver_cvg" localSheetId="4" hidden="1">0.0001</definedName>
    <definedName name="solver_drv" localSheetId="2" hidden="1">1</definedName>
    <definedName name="solver_drv" localSheetId="3" hidden="1">1</definedName>
    <definedName name="solver_drv" localSheetId="4" hidden="1">1</definedName>
    <definedName name="solver_eng" localSheetId="2" hidden="1">3</definedName>
    <definedName name="solver_eng" localSheetId="3" hidden="1">3</definedName>
    <definedName name="solver_eng" localSheetId="4" hidden="1">1</definedName>
    <definedName name="solver_est" localSheetId="2" hidden="1">1</definedName>
    <definedName name="solver_est" localSheetId="3" hidden="1">1</definedName>
    <definedName name="solver_est" localSheetId="4" hidden="1">1</definedName>
    <definedName name="solver_itr" localSheetId="2" hidden="1">2147483647</definedName>
    <definedName name="solver_itr" localSheetId="3" hidden="1">2147483647</definedName>
    <definedName name="solver_itr" localSheetId="4" hidden="1">2147483647</definedName>
    <definedName name="solver_lhs1" localSheetId="2" hidden="1">'HSP 1 Sphere'!$C$3:$E$3</definedName>
    <definedName name="solver_lhs1" localSheetId="3" hidden="1">'HSP 2 Spheres'!$C$3:$C$4</definedName>
    <definedName name="solver_lhs1" localSheetId="4" hidden="1">'HSP Solvent Blends and Chi'!$Y$25:$Y$28</definedName>
    <definedName name="solver_lhs10" localSheetId="3" hidden="1">'HSP 2 Spheres'!$D$3</definedName>
    <definedName name="solver_lhs11" localSheetId="3" hidden="1">'HSP 2 Spheres'!$D$3</definedName>
    <definedName name="solver_lhs12" localSheetId="3" hidden="1">'HSP 2 Spheres'!$D$3</definedName>
    <definedName name="solver_lhs2" localSheetId="2" hidden="1">'HSP 1 Sphere'!$F$3</definedName>
    <definedName name="solver_lhs2" localSheetId="3" hidden="1">'HSP 2 Spheres'!$C$3:$E$4</definedName>
    <definedName name="solver_lhs2" localSheetId="4" hidden="1">'HSP Solvent Blends and Chi'!$Y$25:$Y$28</definedName>
    <definedName name="solver_lhs3" localSheetId="2" hidden="1">'HSP 1 Sphere'!$F$3</definedName>
    <definedName name="solver_lhs3" localSheetId="3" hidden="1">'HSP 2 Spheres'!$D$3:$D$4</definedName>
    <definedName name="solver_lhs3" localSheetId="4" hidden="1">'HSP Solvent Blends and Chi'!$Y$29</definedName>
    <definedName name="solver_lhs4" localSheetId="2" hidden="1">'HSP 1 Sphere'!$F$3</definedName>
    <definedName name="solver_lhs4" localSheetId="3" hidden="1">'HSP 2 Spheres'!$E$3:$E$4</definedName>
    <definedName name="solver_lhs4" localSheetId="4" hidden="1">'HSP Solvent Blends and Chi'!$Y$29</definedName>
    <definedName name="solver_lhs5" localSheetId="2" hidden="1">'HSP 1 Sphere'!$C$3</definedName>
    <definedName name="solver_lhs5" localSheetId="3" hidden="1">'HSP 2 Spheres'!$F$4</definedName>
    <definedName name="solver_lhs6" localSheetId="2" hidden="1">'HSP 1 Sphere'!$E$3</definedName>
    <definedName name="solver_lhs6" localSheetId="3" hidden="1">'HSP 2 Spheres'!$F$4</definedName>
    <definedName name="solver_lhs7" localSheetId="2" hidden="1">'HSP 1 Sphere'!$D$3</definedName>
    <definedName name="solver_lhs7" localSheetId="3" hidden="1">'HSP 2 Spheres'!$F$3</definedName>
    <definedName name="solver_lhs8" localSheetId="3" hidden="1">'HSP 2 Spheres'!$F$3</definedName>
    <definedName name="solver_lhs9" localSheetId="3" hidden="1">'HSP 2 Spheres'!$D$3</definedName>
    <definedName name="solver_mip" localSheetId="2" hidden="1">2147483647</definedName>
    <definedName name="solver_mip" localSheetId="3" hidden="1">2147483647</definedName>
    <definedName name="solver_mip" localSheetId="4" hidden="1">2147483647</definedName>
    <definedName name="solver_mni" localSheetId="2" hidden="1">30</definedName>
    <definedName name="solver_mni" localSheetId="3" hidden="1">30</definedName>
    <definedName name="solver_mni" localSheetId="4" hidden="1">30</definedName>
    <definedName name="solver_mrt" localSheetId="2" hidden="1">0.075</definedName>
    <definedName name="solver_mrt" localSheetId="3" hidden="1">0.075</definedName>
    <definedName name="solver_mrt" localSheetId="4" hidden="1">0.075</definedName>
    <definedName name="solver_msl" localSheetId="2" hidden="1">2</definedName>
    <definedName name="solver_msl" localSheetId="3" hidden="1">2</definedName>
    <definedName name="solver_msl" localSheetId="4" hidden="1">2</definedName>
    <definedName name="solver_neg" localSheetId="2" hidden="1">1</definedName>
    <definedName name="solver_neg" localSheetId="3" hidden="1">2</definedName>
    <definedName name="solver_neg" localSheetId="4" hidden="1">1</definedName>
    <definedName name="solver_nod" localSheetId="2" hidden="1">2147483647</definedName>
    <definedName name="solver_nod" localSheetId="3" hidden="1">2147483647</definedName>
    <definedName name="solver_nod" localSheetId="4" hidden="1">2147483647</definedName>
    <definedName name="solver_num" localSheetId="2" hidden="1">7</definedName>
    <definedName name="solver_num" localSheetId="3" hidden="1">8</definedName>
    <definedName name="solver_num" localSheetId="4" hidden="1">3</definedName>
    <definedName name="solver_nwt" localSheetId="2" hidden="1">1</definedName>
    <definedName name="solver_nwt" localSheetId="3" hidden="1">1</definedName>
    <definedName name="solver_nwt" localSheetId="4" hidden="1">1</definedName>
    <definedName name="solver_opt" localSheetId="2" hidden="1">'HSP 1 Sphere'!$L$6</definedName>
    <definedName name="solver_opt" localSheetId="3" hidden="1">'HSP 2 Spheres'!$L$6</definedName>
    <definedName name="solver_opt" localSheetId="4" hidden="1">'HSP Solvent Blends and Chi'!$Y$31</definedName>
    <definedName name="solver_pre" localSheetId="2" hidden="1">0.000001</definedName>
    <definedName name="solver_pre" localSheetId="3" hidden="1">0.000001</definedName>
    <definedName name="solver_pre" localSheetId="4" hidden="1">0.000001</definedName>
    <definedName name="solver_rbv" localSheetId="2" hidden="1">1</definedName>
    <definedName name="solver_rbv" localSheetId="3" hidden="1">1</definedName>
    <definedName name="solver_rbv" localSheetId="4" hidden="1">1</definedName>
    <definedName name="solver_rel1" localSheetId="2" hidden="1">1</definedName>
    <definedName name="solver_rel1" localSheetId="3" hidden="1">3</definedName>
    <definedName name="solver_rel1" localSheetId="4" hidden="1">1</definedName>
    <definedName name="solver_rel10" localSheetId="3" hidden="1">3</definedName>
    <definedName name="solver_rel11" localSheetId="3" hidden="1">3</definedName>
    <definedName name="solver_rel12" localSheetId="3" hidden="1">3</definedName>
    <definedName name="solver_rel2" localSheetId="2" hidden="1">1</definedName>
    <definedName name="solver_rel2" localSheetId="3" hidden="1">1</definedName>
    <definedName name="solver_rel2" localSheetId="4" hidden="1">3</definedName>
    <definedName name="solver_rel3" localSheetId="2" hidden="1">3</definedName>
    <definedName name="solver_rel3" localSheetId="3" hidden="1">3</definedName>
    <definedName name="solver_rel3" localSheetId="4" hidden="1">2</definedName>
    <definedName name="solver_rel4" localSheetId="2" hidden="1">3</definedName>
    <definedName name="solver_rel4" localSheetId="3" hidden="1">3</definedName>
    <definedName name="solver_rel4" localSheetId="4" hidden="1">2</definedName>
    <definedName name="solver_rel5" localSheetId="2" hidden="1">3</definedName>
    <definedName name="solver_rel5" localSheetId="3" hidden="1">1</definedName>
    <definedName name="solver_rel6" localSheetId="2" hidden="1">3</definedName>
    <definedName name="solver_rel6" localSheetId="3" hidden="1">3</definedName>
    <definedName name="solver_rel7" localSheetId="2" hidden="1">3</definedName>
    <definedName name="solver_rel7" localSheetId="3" hidden="1">1</definedName>
    <definedName name="solver_rel8" localSheetId="3" hidden="1">3</definedName>
    <definedName name="solver_rel9" localSheetId="3" hidden="1">3</definedName>
    <definedName name="solver_rhs1" localSheetId="2" hidden="1">20</definedName>
    <definedName name="solver_rhs1" localSheetId="3" hidden="1">13</definedName>
    <definedName name="solver_rhs1" localSheetId="4" hidden="1">'HSP Solvent Blends and Chi'!$X$25:$X$28</definedName>
    <definedName name="solver_rhs10" localSheetId="3" hidden="1">0</definedName>
    <definedName name="solver_rhs11" localSheetId="3" hidden="1">0</definedName>
    <definedName name="solver_rhs12" localSheetId="3" hidden="1">0</definedName>
    <definedName name="solver_rhs2" localSheetId="2" hidden="1">12</definedName>
    <definedName name="solver_rhs2" localSheetId="3" hidden="1">20</definedName>
    <definedName name="solver_rhs2" localSheetId="4" hidden="1">'HSP Solvent Blends and Chi'!$W$25:$W$28</definedName>
    <definedName name="solver_rhs3" localSheetId="2" hidden="1">'HSP 1 Sphere'!$O$102</definedName>
    <definedName name="solver_rhs3" localSheetId="3" hidden="1">0</definedName>
    <definedName name="solver_rhs3" localSheetId="4" hidden="1">1</definedName>
    <definedName name="solver_rhs4" localSheetId="2" hidden="1">1</definedName>
    <definedName name="solver_rhs4" localSheetId="3" hidden="1">0</definedName>
    <definedName name="solver_rhs4" localSheetId="4" hidden="1">1</definedName>
    <definedName name="solver_rhs5" localSheetId="2" hidden="1">13</definedName>
    <definedName name="solver_rhs5" localSheetId="3" hidden="1">12</definedName>
    <definedName name="solver_rhs6" localSheetId="2" hidden="1">0</definedName>
    <definedName name="solver_rhs6" localSheetId="3" hidden="1">1</definedName>
    <definedName name="solver_rhs7" localSheetId="2" hidden="1">0</definedName>
    <definedName name="solver_rhs7" localSheetId="3" hidden="1">12</definedName>
    <definedName name="solver_rhs8" localSheetId="3" hidden="1">1</definedName>
    <definedName name="solver_rhs9" localSheetId="3" hidden="1">0</definedName>
    <definedName name="solver_rlx" localSheetId="2" hidden="1">2</definedName>
    <definedName name="solver_rlx" localSheetId="3" hidden="1">2</definedName>
    <definedName name="solver_rlx" localSheetId="4" hidden="1">2</definedName>
    <definedName name="solver_rsd" localSheetId="2" hidden="1">0</definedName>
    <definedName name="solver_rsd" localSheetId="3" hidden="1">0</definedName>
    <definedName name="solver_rsd" localSheetId="4" hidden="1">0</definedName>
    <definedName name="solver_scl" localSheetId="2" hidden="1">1</definedName>
    <definedName name="solver_scl" localSheetId="3" hidden="1">1</definedName>
    <definedName name="solver_scl" localSheetId="4" hidden="1">1</definedName>
    <definedName name="solver_sho" localSheetId="2" hidden="1">2</definedName>
    <definedName name="solver_sho" localSheetId="3" hidden="1">2</definedName>
    <definedName name="solver_sho" localSheetId="4" hidden="1">2</definedName>
    <definedName name="solver_ssz" localSheetId="2" hidden="1">100</definedName>
    <definedName name="solver_ssz" localSheetId="3" hidden="1">100</definedName>
    <definedName name="solver_ssz" localSheetId="4" hidden="1">100</definedName>
    <definedName name="solver_tim" localSheetId="2" hidden="1">2147483647</definedName>
    <definedName name="solver_tim" localSheetId="3" hidden="1">2147483647</definedName>
    <definedName name="solver_tim" localSheetId="4" hidden="1">2147483647</definedName>
    <definedName name="solver_tol" localSheetId="2" hidden="1">0.01</definedName>
    <definedName name="solver_tol" localSheetId="3" hidden="1">0.01</definedName>
    <definedName name="solver_tol" localSheetId="4" hidden="1">0.01</definedName>
    <definedName name="solver_typ" localSheetId="2" hidden="1">1</definedName>
    <definedName name="solver_typ" localSheetId="3" hidden="1">1</definedName>
    <definedName name="solver_typ" localSheetId="4" hidden="1">2</definedName>
    <definedName name="solver_val" localSheetId="2" hidden="1">0</definedName>
    <definedName name="solver_val" localSheetId="3" hidden="1">0</definedName>
    <definedName name="solver_val" localSheetId="4" hidden="1">0</definedName>
    <definedName name="solver_ver" localSheetId="2" hidden="1">3</definedName>
    <definedName name="solver_ver" localSheetId="3" hidden="1">3</definedName>
    <definedName name="solver_ver" localSheetId="4" hidden="1">3</definedName>
    <definedName name="sPoisson">#REF!</definedName>
    <definedName name="sRadius">#REF!</definedName>
    <definedName name="Surface_Potential">#REF!</definedName>
    <definedName name="SurfTen">#REF!</definedName>
    <definedName name="sViscosity">#REF!</definedName>
    <definedName name="T">#REF!</definedName>
    <definedName name="Temperature" localSheetId="3">'[1]HSP Solvent Blends and Chi'!$S$20</definedName>
    <definedName name="Temperature">'HSP Solvent Blends and Chi'!$S$20</definedName>
    <definedName name="Thickness">#REF!</definedName>
    <definedName name="uDMax">#REF!</definedName>
    <definedName name="VdWmin">#REF!</definedName>
    <definedName name="Velocity">#REF!</definedName>
    <definedName name="Viscosity">#REF!</definedName>
    <definedName name="Well">#REF!</definedName>
    <definedName name="x">#REF!</definedName>
    <definedName name="xystep">#REF!</definedName>
    <definedName name="y">#REF!</definedName>
    <definedName name="ε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7" i="11" l="1"/>
  <c r="C17" i="11"/>
  <c r="D17" i="11"/>
  <c r="E17" i="11"/>
  <c r="G17" i="11" s="1"/>
  <c r="F17" i="11"/>
  <c r="I17" i="11"/>
  <c r="J17" i="11"/>
  <c r="K17" i="11"/>
  <c r="L17" i="11"/>
  <c r="M17" i="11" s="1"/>
  <c r="O17" i="11"/>
  <c r="BK3" i="10" l="1" a="1"/>
  <c r="BK3" i="10" s="1"/>
  <c r="BF3" i="10" a="1"/>
  <c r="BF3" i="10" s="1"/>
  <c r="I17" i="10"/>
  <c r="I18" i="10"/>
  <c r="I19" i="10"/>
  <c r="I20" i="10"/>
  <c r="I21" i="10"/>
  <c r="I22" i="10"/>
  <c r="I23" i="10"/>
  <c r="I24" i="10"/>
  <c r="I25" i="10"/>
  <c r="I26" i="10"/>
  <c r="I27" i="10"/>
  <c r="I28" i="10"/>
  <c r="I29" i="10"/>
  <c r="I30" i="10"/>
  <c r="I31" i="10"/>
  <c r="I32" i="10"/>
  <c r="I33" i="10"/>
  <c r="I34" i="10"/>
  <c r="I35" i="10"/>
  <c r="I36" i="10"/>
  <c r="I37" i="10"/>
  <c r="I16" i="10"/>
  <c r="I19" i="33"/>
  <c r="I20" i="33"/>
  <c r="I21" i="33"/>
  <c r="I22" i="33"/>
  <c r="I23" i="33"/>
  <c r="I24" i="33"/>
  <c r="I25" i="33"/>
  <c r="I26" i="33"/>
  <c r="I27" i="33"/>
  <c r="I28" i="33"/>
  <c r="I29" i="33"/>
  <c r="I30" i="33"/>
  <c r="I31" i="33"/>
  <c r="I32" i="33"/>
  <c r="I33" i="33"/>
  <c r="I34" i="33"/>
  <c r="I35" i="33"/>
  <c r="I36" i="33"/>
  <c r="I37" i="33"/>
  <c r="I38" i="33"/>
  <c r="I39" i="33"/>
  <c r="I40" i="33"/>
  <c r="I41" i="33"/>
  <c r="I42" i="33"/>
  <c r="I43" i="33"/>
  <c r="I44" i="33"/>
  <c r="I45" i="33"/>
  <c r="I46" i="33"/>
  <c r="I47" i="33"/>
  <c r="I48" i="33"/>
  <c r="I49" i="33"/>
  <c r="I50" i="33"/>
  <c r="I51" i="33"/>
  <c r="I52" i="33"/>
  <c r="I53" i="33"/>
  <c r="I54" i="33"/>
  <c r="I55" i="33"/>
  <c r="I56" i="33"/>
  <c r="I57" i="33"/>
  <c r="I58" i="33"/>
  <c r="I59" i="33"/>
  <c r="I60" i="33"/>
  <c r="I61" i="33"/>
  <c r="I62" i="33"/>
  <c r="I63" i="33"/>
  <c r="I64" i="33"/>
  <c r="I65" i="33"/>
  <c r="I66" i="33"/>
  <c r="I67" i="33"/>
  <c r="B16" i="11"/>
  <c r="C16" i="11"/>
  <c r="D16" i="11"/>
  <c r="E16" i="11"/>
  <c r="F16" i="11"/>
  <c r="I16" i="11"/>
  <c r="J16" i="11"/>
  <c r="K16" i="11"/>
  <c r="L16" i="11"/>
  <c r="M16" i="11" s="1"/>
  <c r="O16" i="11"/>
  <c r="G16" i="11" l="1"/>
  <c r="F1269" i="28"/>
  <c r="F1268" i="28"/>
  <c r="F1267" i="28"/>
  <c r="F1266" i="28"/>
  <c r="F1265" i="28"/>
  <c r="F1264" i="28"/>
  <c r="F1263" i="28"/>
  <c r="F1262" i="28"/>
  <c r="F1261" i="28"/>
  <c r="F1260" i="28"/>
  <c r="F1259" i="28"/>
  <c r="B15" i="11"/>
  <c r="C15" i="11"/>
  <c r="D15" i="11"/>
  <c r="E15" i="11"/>
  <c r="F15" i="11"/>
  <c r="I15" i="11"/>
  <c r="J15" i="11"/>
  <c r="K15" i="11"/>
  <c r="L15" i="11"/>
  <c r="O15" i="11"/>
  <c r="G15" i="11" l="1"/>
  <c r="M15" i="11" s="1"/>
  <c r="E19" i="33" l="1"/>
  <c r="E20" i="33"/>
  <c r="E21" i="33"/>
  <c r="E22" i="33"/>
  <c r="E23" i="33"/>
  <c r="E24" i="33"/>
  <c r="E25" i="33"/>
  <c r="E26" i="33"/>
  <c r="E27" i="33"/>
  <c r="E28" i="33"/>
  <c r="E29" i="33"/>
  <c r="E30" i="33"/>
  <c r="E31" i="33"/>
  <c r="E32" i="33"/>
  <c r="E33" i="33"/>
  <c r="E34" i="33"/>
  <c r="E35" i="33"/>
  <c r="E36" i="33"/>
  <c r="E37" i="33"/>
  <c r="E38" i="33"/>
  <c r="E39" i="33"/>
  <c r="E40" i="33"/>
  <c r="E41" i="33"/>
  <c r="E42" i="33"/>
  <c r="E43" i="33"/>
  <c r="E44" i="33"/>
  <c r="E45" i="33"/>
  <c r="E46" i="33"/>
  <c r="E47" i="33"/>
  <c r="E48" i="33"/>
  <c r="E49" i="33"/>
  <c r="E50" i="33"/>
  <c r="E51" i="33"/>
  <c r="E52" i="33"/>
  <c r="E53" i="33"/>
  <c r="E54" i="33"/>
  <c r="E55" i="33"/>
  <c r="E56" i="33"/>
  <c r="E57" i="33"/>
  <c r="E58" i="33"/>
  <c r="E59" i="33"/>
  <c r="E60" i="33"/>
  <c r="E61" i="33"/>
  <c r="E62" i="33"/>
  <c r="E63" i="33"/>
  <c r="E64" i="33"/>
  <c r="E65" i="33"/>
  <c r="E66" i="33"/>
  <c r="E67" i="33"/>
  <c r="D19" i="33"/>
  <c r="D20" i="33"/>
  <c r="D21" i="33"/>
  <c r="D22" i="33"/>
  <c r="D23" i="33"/>
  <c r="D24" i="33"/>
  <c r="D25" i="33"/>
  <c r="D26" i="33"/>
  <c r="D27" i="33"/>
  <c r="D28" i="33"/>
  <c r="D29" i="33"/>
  <c r="D30" i="33"/>
  <c r="D31" i="33"/>
  <c r="D32" i="33"/>
  <c r="D33" i="33"/>
  <c r="D34" i="33"/>
  <c r="D35" i="33"/>
  <c r="D36" i="33"/>
  <c r="D37" i="33"/>
  <c r="D38" i="33"/>
  <c r="D39" i="33"/>
  <c r="D40" i="33"/>
  <c r="D41" i="33"/>
  <c r="D42" i="33"/>
  <c r="D43" i="33"/>
  <c r="D44" i="33"/>
  <c r="D45" i="33"/>
  <c r="D46" i="33"/>
  <c r="D47" i="33"/>
  <c r="D48" i="33"/>
  <c r="D49" i="33"/>
  <c r="D50" i="33"/>
  <c r="D51" i="33"/>
  <c r="D52" i="33"/>
  <c r="D53" i="33"/>
  <c r="D54" i="33"/>
  <c r="D55" i="33"/>
  <c r="D56" i="33"/>
  <c r="D57" i="33"/>
  <c r="D58" i="33"/>
  <c r="D59" i="33"/>
  <c r="D60" i="33"/>
  <c r="D61" i="33"/>
  <c r="D62" i="33"/>
  <c r="D63" i="33"/>
  <c r="D64" i="33"/>
  <c r="D65" i="33"/>
  <c r="D66" i="33"/>
  <c r="D67" i="33"/>
  <c r="C19" i="33"/>
  <c r="C20" i="33"/>
  <c r="C21" i="33"/>
  <c r="C22" i="33"/>
  <c r="C23" i="33"/>
  <c r="C24" i="33"/>
  <c r="C25" i="33"/>
  <c r="C26" i="33"/>
  <c r="C27" i="33"/>
  <c r="C28" i="33"/>
  <c r="C29" i="33"/>
  <c r="C30" i="33"/>
  <c r="C31" i="33"/>
  <c r="C32" i="33"/>
  <c r="C33" i="33"/>
  <c r="C34" i="33"/>
  <c r="C35" i="33"/>
  <c r="C36" i="33"/>
  <c r="C37" i="33"/>
  <c r="C38" i="33"/>
  <c r="C39" i="33"/>
  <c r="C40" i="33"/>
  <c r="C41" i="33"/>
  <c r="C42" i="33"/>
  <c r="C43" i="33"/>
  <c r="C44" i="33"/>
  <c r="C45" i="33"/>
  <c r="C46" i="33"/>
  <c r="C47" i="33"/>
  <c r="C48" i="33"/>
  <c r="C49" i="33"/>
  <c r="C50" i="33"/>
  <c r="C51" i="33"/>
  <c r="C52" i="33"/>
  <c r="C53" i="33"/>
  <c r="C54" i="33"/>
  <c r="C55" i="33"/>
  <c r="C56" i="33"/>
  <c r="C57" i="33"/>
  <c r="C58" i="33"/>
  <c r="C59" i="33"/>
  <c r="C60" i="33"/>
  <c r="C61" i="33"/>
  <c r="C62" i="33"/>
  <c r="C63" i="33"/>
  <c r="C64" i="33"/>
  <c r="C65" i="33"/>
  <c r="C66" i="33"/>
  <c r="C67" i="33"/>
  <c r="B19" i="33"/>
  <c r="B20" i="33"/>
  <c r="B21" i="33"/>
  <c r="B22" i="33"/>
  <c r="B23" i="33"/>
  <c r="B24" i="33"/>
  <c r="B25" i="33"/>
  <c r="B26" i="33"/>
  <c r="B27" i="33"/>
  <c r="B28" i="33"/>
  <c r="B29" i="33"/>
  <c r="B30" i="33"/>
  <c r="B31" i="33"/>
  <c r="B32" i="33"/>
  <c r="B33" i="33"/>
  <c r="B34" i="33"/>
  <c r="B35" i="33"/>
  <c r="B36" i="33"/>
  <c r="B37" i="33"/>
  <c r="B38" i="33"/>
  <c r="B39" i="33"/>
  <c r="B40" i="33"/>
  <c r="B41" i="33"/>
  <c r="B42" i="33"/>
  <c r="B43" i="33"/>
  <c r="B44" i="33"/>
  <c r="B45" i="33"/>
  <c r="B46" i="33"/>
  <c r="B47" i="33"/>
  <c r="B48" i="33"/>
  <c r="B49" i="33"/>
  <c r="B50" i="33"/>
  <c r="B51" i="33"/>
  <c r="B52" i="33"/>
  <c r="B53" i="33"/>
  <c r="B54" i="33"/>
  <c r="B55" i="33"/>
  <c r="B56" i="33"/>
  <c r="B57" i="33"/>
  <c r="B58" i="33"/>
  <c r="B59" i="33"/>
  <c r="B60" i="33"/>
  <c r="B61" i="33"/>
  <c r="B62" i="33"/>
  <c r="B63" i="33"/>
  <c r="B64" i="33"/>
  <c r="B65" i="33"/>
  <c r="B66" i="33"/>
  <c r="B67" i="33"/>
  <c r="R104" i="33"/>
  <c r="P104" i="33"/>
  <c r="O104" i="33"/>
  <c r="N104" i="33"/>
  <c r="M104" i="33"/>
  <c r="R103" i="33"/>
  <c r="P103" i="33"/>
  <c r="O103" i="33"/>
  <c r="N103" i="33"/>
  <c r="M103" i="33"/>
  <c r="R102" i="33"/>
  <c r="P102" i="33"/>
  <c r="O102" i="33"/>
  <c r="N102" i="33"/>
  <c r="M102" i="33"/>
  <c r="R101" i="33"/>
  <c r="P101" i="33"/>
  <c r="O101" i="33"/>
  <c r="N101" i="33"/>
  <c r="M101" i="33"/>
  <c r="R100" i="33"/>
  <c r="P100" i="33"/>
  <c r="O100" i="33"/>
  <c r="N100" i="33"/>
  <c r="M100" i="33"/>
  <c r="R99" i="33"/>
  <c r="P99" i="33"/>
  <c r="O99" i="33"/>
  <c r="N99" i="33"/>
  <c r="M99" i="33"/>
  <c r="R98" i="33"/>
  <c r="P98" i="33"/>
  <c r="O98" i="33"/>
  <c r="N98" i="33"/>
  <c r="M98" i="33"/>
  <c r="R97" i="33"/>
  <c r="P97" i="33"/>
  <c r="O97" i="33"/>
  <c r="N97" i="33"/>
  <c r="M97" i="33"/>
  <c r="R96" i="33"/>
  <c r="P96" i="33"/>
  <c r="O96" i="33"/>
  <c r="N96" i="33"/>
  <c r="M96" i="33"/>
  <c r="R95" i="33"/>
  <c r="P95" i="33"/>
  <c r="O95" i="33"/>
  <c r="N95" i="33"/>
  <c r="M95" i="33"/>
  <c r="R94" i="33"/>
  <c r="P94" i="33"/>
  <c r="O94" i="33"/>
  <c r="N94" i="33"/>
  <c r="M94" i="33"/>
  <c r="R93" i="33"/>
  <c r="P93" i="33"/>
  <c r="O93" i="33"/>
  <c r="N93" i="33"/>
  <c r="M93" i="33"/>
  <c r="R92" i="33"/>
  <c r="P92" i="33"/>
  <c r="O92" i="33"/>
  <c r="N92" i="33"/>
  <c r="M92" i="33"/>
  <c r="R91" i="33"/>
  <c r="P91" i="33"/>
  <c r="O91" i="33"/>
  <c r="N91" i="33"/>
  <c r="M91" i="33"/>
  <c r="R90" i="33"/>
  <c r="P90" i="33"/>
  <c r="O90" i="33"/>
  <c r="N90" i="33"/>
  <c r="M90" i="33"/>
  <c r="R89" i="33"/>
  <c r="P89" i="33"/>
  <c r="O89" i="33"/>
  <c r="N89" i="33"/>
  <c r="M89" i="33"/>
  <c r="R88" i="33"/>
  <c r="P88" i="33"/>
  <c r="O88" i="33"/>
  <c r="N88" i="33"/>
  <c r="M88" i="33"/>
  <c r="R87" i="33"/>
  <c r="P87" i="33"/>
  <c r="O87" i="33"/>
  <c r="N87" i="33"/>
  <c r="M87" i="33"/>
  <c r="R86" i="33"/>
  <c r="P86" i="33"/>
  <c r="O86" i="33"/>
  <c r="N86" i="33"/>
  <c r="M86" i="33"/>
  <c r="R85" i="33"/>
  <c r="P85" i="33"/>
  <c r="O85" i="33"/>
  <c r="N85" i="33"/>
  <c r="M85" i="33"/>
  <c r="R84" i="33"/>
  <c r="P84" i="33"/>
  <c r="O84" i="33"/>
  <c r="N84" i="33"/>
  <c r="M84" i="33"/>
  <c r="R83" i="33"/>
  <c r="P83" i="33"/>
  <c r="O83" i="33"/>
  <c r="N83" i="33"/>
  <c r="M83" i="33"/>
  <c r="R82" i="33"/>
  <c r="P82" i="33"/>
  <c r="O82" i="33"/>
  <c r="N82" i="33"/>
  <c r="M82" i="33"/>
  <c r="R81" i="33"/>
  <c r="P81" i="33"/>
  <c r="O81" i="33"/>
  <c r="N81" i="33"/>
  <c r="M81" i="33"/>
  <c r="R80" i="33"/>
  <c r="P80" i="33"/>
  <c r="O80" i="33"/>
  <c r="N80" i="33"/>
  <c r="M80" i="33"/>
  <c r="R79" i="33"/>
  <c r="P79" i="33"/>
  <c r="O79" i="33"/>
  <c r="N79" i="33"/>
  <c r="M79" i="33"/>
  <c r="R78" i="33"/>
  <c r="P78" i="33"/>
  <c r="O78" i="33"/>
  <c r="N78" i="33"/>
  <c r="M78" i="33"/>
  <c r="AU75" i="33"/>
  <c r="AX75" i="33" s="1"/>
  <c r="R77" i="33"/>
  <c r="P77" i="33"/>
  <c r="O77" i="33"/>
  <c r="N77" i="33"/>
  <c r="M77" i="33"/>
  <c r="AU74" i="33"/>
  <c r="BC74" i="33" s="1"/>
  <c r="R76" i="33"/>
  <c r="P76" i="33"/>
  <c r="O76" i="33"/>
  <c r="N76" i="33"/>
  <c r="M76" i="33"/>
  <c r="AU73" i="33"/>
  <c r="BA73" i="33" s="1"/>
  <c r="R75" i="33"/>
  <c r="P75" i="33"/>
  <c r="O75" i="33"/>
  <c r="N75" i="33"/>
  <c r="M75" i="33"/>
  <c r="J75" i="33"/>
  <c r="AU72" i="33"/>
  <c r="AX72" i="33" s="1"/>
  <c r="R74" i="33"/>
  <c r="P74" i="33"/>
  <c r="O74" i="33"/>
  <c r="N74" i="33"/>
  <c r="M74" i="33"/>
  <c r="J74" i="33"/>
  <c r="AU71" i="33"/>
  <c r="R73" i="33"/>
  <c r="P73" i="33"/>
  <c r="O73" i="33"/>
  <c r="N73" i="33"/>
  <c r="M73" i="33"/>
  <c r="J73" i="33"/>
  <c r="AU70" i="33"/>
  <c r="BB70" i="33" s="1"/>
  <c r="R72" i="33"/>
  <c r="P72" i="33"/>
  <c r="O72" i="33"/>
  <c r="N72" i="33"/>
  <c r="M72" i="33"/>
  <c r="J72" i="33"/>
  <c r="AU69" i="33"/>
  <c r="R71" i="33"/>
  <c r="P71" i="33"/>
  <c r="O71" i="33"/>
  <c r="N71" i="33"/>
  <c r="M71" i="33"/>
  <c r="AU68" i="33"/>
  <c r="BC68" i="33" s="1"/>
  <c r="R70" i="33"/>
  <c r="P70" i="33"/>
  <c r="O70" i="33"/>
  <c r="N70" i="33"/>
  <c r="M70" i="33"/>
  <c r="AU67" i="33"/>
  <c r="BC67" i="33" s="1"/>
  <c r="O69" i="33"/>
  <c r="M69" i="33"/>
  <c r="AU66" i="33"/>
  <c r="BB66" i="33" s="1"/>
  <c r="O68" i="33"/>
  <c r="M68" i="33"/>
  <c r="AU65" i="33"/>
  <c r="BA65" i="33" s="1"/>
  <c r="AU64" i="33"/>
  <c r="AZ64" i="33" s="1"/>
  <c r="AU63" i="33"/>
  <c r="BC63" i="33" s="1"/>
  <c r="AU62" i="33"/>
  <c r="BB62" i="33" s="1"/>
  <c r="AU61" i="33"/>
  <c r="BA61" i="33" s="1"/>
  <c r="AU60" i="33"/>
  <c r="AU59" i="33"/>
  <c r="AZ59" i="33" s="1"/>
  <c r="AU58" i="33"/>
  <c r="BB58" i="33" s="1"/>
  <c r="AU57" i="33"/>
  <c r="BA57" i="33" s="1"/>
  <c r="AU56" i="33"/>
  <c r="AZ56" i="33" s="1"/>
  <c r="AU55" i="33"/>
  <c r="AV55" i="33" s="1"/>
  <c r="AU54" i="33"/>
  <c r="BB54" i="33" s="1"/>
  <c r="AU53" i="33"/>
  <c r="BA53" i="33" s="1"/>
  <c r="AU52" i="33"/>
  <c r="AU51" i="33"/>
  <c r="BB51" i="33" s="1"/>
  <c r="AU50" i="33"/>
  <c r="AY50" i="33" s="1"/>
  <c r="AU49" i="33"/>
  <c r="BC49" i="33" s="1"/>
  <c r="AU48" i="33"/>
  <c r="AW48" i="33" s="1"/>
  <c r="AU47" i="33"/>
  <c r="BC47" i="33" s="1"/>
  <c r="AU46" i="33"/>
  <c r="AV46" i="33" s="1"/>
  <c r="AU45" i="33"/>
  <c r="AU44" i="33"/>
  <c r="AU43" i="33"/>
  <c r="BA43" i="33" s="1"/>
  <c r="AU42" i="33"/>
  <c r="AU41" i="33"/>
  <c r="BC41" i="33" s="1"/>
  <c r="AU40" i="33"/>
  <c r="AZ40" i="33" s="1"/>
  <c r="AU39" i="33"/>
  <c r="AZ39" i="33" s="1"/>
  <c r="AU38" i="33"/>
  <c r="AU37" i="33"/>
  <c r="AU36" i="33"/>
  <c r="AZ36" i="33" s="1"/>
  <c r="AU35" i="33"/>
  <c r="BB35" i="33" s="1"/>
  <c r="AU34" i="33"/>
  <c r="AV34" i="33" s="1"/>
  <c r="AU33" i="33"/>
  <c r="AU32" i="33"/>
  <c r="AY32" i="33" s="1"/>
  <c r="AU31" i="33"/>
  <c r="BC31" i="33" s="1"/>
  <c r="AU30" i="33"/>
  <c r="BC30" i="33" s="1"/>
  <c r="AU29" i="33"/>
  <c r="BA29" i="33" s="1"/>
  <c r="AU28" i="33"/>
  <c r="AV28" i="33" s="1"/>
  <c r="AU27" i="33"/>
  <c r="AZ27" i="33" s="1"/>
  <c r="AU26" i="33"/>
  <c r="BC26" i="33" s="1"/>
  <c r="AU25" i="33"/>
  <c r="BA25" i="33" s="1"/>
  <c r="AU24" i="33"/>
  <c r="BB24" i="33" s="1"/>
  <c r="AU23" i="33"/>
  <c r="AU22" i="33"/>
  <c r="BC22" i="33" s="1"/>
  <c r="AU21" i="33"/>
  <c r="AU20" i="33"/>
  <c r="AX20" i="33" s="1"/>
  <c r="AU19" i="33"/>
  <c r="AU18" i="33"/>
  <c r="AU17" i="33"/>
  <c r="AU16" i="33"/>
  <c r="BC16" i="33" s="1"/>
  <c r="AU15" i="33"/>
  <c r="BB15" i="33" s="1"/>
  <c r="AU14" i="33"/>
  <c r="AY14" i="33" s="1"/>
  <c r="AU13" i="33"/>
  <c r="BC13" i="33" s="1"/>
  <c r="AU12" i="33"/>
  <c r="AZ12" i="33" s="1"/>
  <c r="AU11" i="33"/>
  <c r="BB11" i="33" s="1"/>
  <c r="AU10" i="33"/>
  <c r="BC10" i="33" s="1"/>
  <c r="AU9" i="33"/>
  <c r="BC9" i="33" s="1"/>
  <c r="AU8" i="33"/>
  <c r="AZ8" i="33" s="1"/>
  <c r="E6" i="33"/>
  <c r="AU7" i="33"/>
  <c r="AV7" i="33" s="1"/>
  <c r="AU6" i="33"/>
  <c r="AY6" i="33" s="1"/>
  <c r="AU5" i="33"/>
  <c r="AV5" i="33" s="1"/>
  <c r="AU4" i="33"/>
  <c r="BA4" i="33" s="1"/>
  <c r="AU3" i="33"/>
  <c r="P2" i="33"/>
  <c r="P1" i="33"/>
  <c r="P69" i="33" l="1"/>
  <c r="N69" i="33"/>
  <c r="R69" i="33" s="1"/>
  <c r="N68" i="33"/>
  <c r="P68" i="33"/>
  <c r="BJ3" i="33" a="1"/>
  <c r="BJ3" i="33" s="1"/>
  <c r="BO3" i="33" a="1"/>
  <c r="BO3" i="33" s="1"/>
  <c r="M25" i="33"/>
  <c r="O21" i="33"/>
  <c r="O22" i="33"/>
  <c r="O55" i="33"/>
  <c r="P55" i="33" s="1"/>
  <c r="O51" i="33"/>
  <c r="P51" i="33" s="1"/>
  <c r="M35" i="33"/>
  <c r="N35" i="33" s="1"/>
  <c r="BA15" i="33"/>
  <c r="AW24" i="33"/>
  <c r="AZ74" i="33"/>
  <c r="BC14" i="33"/>
  <c r="AW49" i="33"/>
  <c r="M65" i="33"/>
  <c r="N65" i="33" s="1"/>
  <c r="AX32" i="33"/>
  <c r="AV49" i="33"/>
  <c r="BB32" i="33"/>
  <c r="AZ55" i="33"/>
  <c r="AX12" i="33"/>
  <c r="AW36" i="33"/>
  <c r="BB49" i="33"/>
  <c r="AZ63" i="33"/>
  <c r="AW6" i="33"/>
  <c r="AV4" i="33"/>
  <c r="BB6" i="33"/>
  <c r="AW47" i="33"/>
  <c r="AW68" i="33"/>
  <c r="O27" i="33"/>
  <c r="O23" i="33"/>
  <c r="D11" i="33"/>
  <c r="D12" i="33"/>
  <c r="M36" i="33"/>
  <c r="N36" i="33" s="1"/>
  <c r="M20" i="33"/>
  <c r="J20" i="33" s="1"/>
  <c r="AZ31" i="33"/>
  <c r="AW4" i="33"/>
  <c r="AV12" i="33"/>
  <c r="AV24" i="33"/>
  <c r="AX47" i="33"/>
  <c r="BA56" i="33"/>
  <c r="BB68" i="33"/>
  <c r="BB73" i="33"/>
  <c r="O61" i="33"/>
  <c r="P61" i="33" s="1"/>
  <c r="O57" i="33"/>
  <c r="P57" i="33" s="1"/>
  <c r="O53" i="33"/>
  <c r="P53" i="33" s="1"/>
  <c r="O49" i="33"/>
  <c r="P49" i="33" s="1"/>
  <c r="O45" i="33"/>
  <c r="P45" i="33" s="1"/>
  <c r="O41" i="33"/>
  <c r="P41" i="33" s="1"/>
  <c r="O37" i="33"/>
  <c r="K37" i="33" s="1"/>
  <c r="E11" i="33"/>
  <c r="E12" i="33"/>
  <c r="AX16" i="33"/>
  <c r="AZ28" i="33"/>
  <c r="AV31" i="33"/>
  <c r="AX36" i="33"/>
  <c r="AV47" i="33"/>
  <c r="BB53" i="33"/>
  <c r="BA55" i="33"/>
  <c r="AZ67" i="33"/>
  <c r="AV68" i="33"/>
  <c r="C12" i="33"/>
  <c r="C11" i="33"/>
  <c r="BC51" i="33"/>
  <c r="AX8" i="33"/>
  <c r="AZ9" i="33"/>
  <c r="AX11" i="33"/>
  <c r="AV16" i="33"/>
  <c r="BB16" i="33"/>
  <c r="AZ24" i="33"/>
  <c r="AY26" i="33"/>
  <c r="AZ35" i="33"/>
  <c r="BA36" i="33"/>
  <c r="AW39" i="33"/>
  <c r="AX40" i="33"/>
  <c r="BA47" i="33"/>
  <c r="BC48" i="33"/>
  <c r="AX49" i="33"/>
  <c r="AX50" i="33"/>
  <c r="AX51" i="33"/>
  <c r="AX57" i="33"/>
  <c r="AX61" i="33"/>
  <c r="AW64" i="33"/>
  <c r="AX68" i="33"/>
  <c r="AV8" i="33"/>
  <c r="AV9" i="33"/>
  <c r="AW11" i="33"/>
  <c r="BA16" i="33"/>
  <c r="BB29" i="33"/>
  <c r="AW40" i="33"/>
  <c r="AY48" i="33"/>
  <c r="AV51" i="33"/>
  <c r="AV61" i="33"/>
  <c r="BB65" i="33"/>
  <c r="AW16" i="33"/>
  <c r="BA40" i="33"/>
  <c r="BB47" i="33"/>
  <c r="BA49" i="33"/>
  <c r="BB50" i="33"/>
  <c r="AY51" i="33"/>
  <c r="AX53" i="33"/>
  <c r="AW56" i="33"/>
  <c r="AZ57" i="33"/>
  <c r="AZ61" i="33"/>
  <c r="AX63" i="33"/>
  <c r="BA64" i="33"/>
  <c r="BA68" i="33"/>
  <c r="AW74" i="33"/>
  <c r="BB33" i="33"/>
  <c r="AY33" i="33"/>
  <c r="BC38" i="33"/>
  <c r="AZ38" i="33"/>
  <c r="AX33" i="33"/>
  <c r="BC71" i="33"/>
  <c r="AZ71" i="33"/>
  <c r="BA20" i="33"/>
  <c r="BC43" i="33"/>
  <c r="BB43" i="33"/>
  <c r="AW43" i="33"/>
  <c r="BC3" i="33"/>
  <c r="AZ3" i="33"/>
  <c r="AV13" i="33"/>
  <c r="BC19" i="33"/>
  <c r="AZ19" i="33"/>
  <c r="AV20" i="33"/>
  <c r="BC23" i="33"/>
  <c r="AZ23" i="33"/>
  <c r="AV38" i="33"/>
  <c r="AY41" i="33"/>
  <c r="AZ44" i="33"/>
  <c r="BA44" i="33"/>
  <c r="AX44" i="33"/>
  <c r="AZ60" i="33"/>
  <c r="BA60" i="33"/>
  <c r="AV3" i="33"/>
  <c r="BC8" i="33"/>
  <c r="BB8" i="33"/>
  <c r="AW8" i="33"/>
  <c r="BA8" i="33"/>
  <c r="AZ13" i="33"/>
  <c r="AZ15" i="33"/>
  <c r="AW15" i="33"/>
  <c r="AV19" i="33"/>
  <c r="BA21" i="33"/>
  <c r="BB21" i="33"/>
  <c r="AV23" i="33"/>
  <c r="AX25" i="33"/>
  <c r="AY30" i="33"/>
  <c r="AV35" i="33"/>
  <c r="BC39" i="33"/>
  <c r="AX39" i="33"/>
  <c r="BA39" i="33"/>
  <c r="BC42" i="33"/>
  <c r="AV42" i="33"/>
  <c r="AX43" i="33"/>
  <c r="AW44" i="33"/>
  <c r="BC59" i="33"/>
  <c r="BB59" i="33"/>
  <c r="AW59" i="33"/>
  <c r="BA59" i="33"/>
  <c r="AV59" i="33"/>
  <c r="AW60" i="33"/>
  <c r="BA69" i="33"/>
  <c r="BB69" i="33"/>
  <c r="AV71" i="33"/>
  <c r="M32" i="33"/>
  <c r="J32" i="33" s="1"/>
  <c r="BA17" i="33"/>
  <c r="AX17" i="33"/>
  <c r="BC20" i="33"/>
  <c r="BB20" i="33"/>
  <c r="AW20" i="33"/>
  <c r="BC45" i="33"/>
  <c r="AY45" i="33"/>
  <c r="BB17" i="33"/>
  <c r="BC28" i="33"/>
  <c r="BB28" i="33"/>
  <c r="AW28" i="33"/>
  <c r="BA28" i="33"/>
  <c r="BC35" i="33"/>
  <c r="AX35" i="33"/>
  <c r="BA35" i="33"/>
  <c r="AV43" i="33"/>
  <c r="BC46" i="33"/>
  <c r="AZ46" i="33"/>
  <c r="BC72" i="33"/>
  <c r="BB72" i="33"/>
  <c r="AW72" i="33"/>
  <c r="BA72" i="33"/>
  <c r="AV72" i="33"/>
  <c r="BA75" i="33"/>
  <c r="BB75" i="33"/>
  <c r="BC4" i="33"/>
  <c r="AZ4" i="33"/>
  <c r="AY5" i="33"/>
  <c r="BA5" i="33"/>
  <c r="AZ11" i="33"/>
  <c r="BA11" i="33"/>
  <c r="BC12" i="33"/>
  <c r="BB12" i="33"/>
  <c r="AW12" i="33"/>
  <c r="BA12" i="33"/>
  <c r="AX15" i="33"/>
  <c r="BC18" i="33"/>
  <c r="AY18" i="33"/>
  <c r="AZ20" i="33"/>
  <c r="AX21" i="33"/>
  <c r="BC24" i="33"/>
  <c r="AX24" i="33"/>
  <c r="BA24" i="33"/>
  <c r="BB25" i="33"/>
  <c r="BC27" i="33"/>
  <c r="AV27" i="33"/>
  <c r="AX28" i="33"/>
  <c r="AX29" i="33"/>
  <c r="BC32" i="33"/>
  <c r="AW32" i="33"/>
  <c r="BC34" i="33"/>
  <c r="AZ34" i="33"/>
  <c r="AW35" i="33"/>
  <c r="AV39" i="33"/>
  <c r="BB39" i="33"/>
  <c r="AZ42" i="33"/>
  <c r="AZ43" i="33"/>
  <c r="BB44" i="33"/>
  <c r="BC55" i="33"/>
  <c r="AX55" i="33"/>
  <c r="BB55" i="33"/>
  <c r="AW55" i="33"/>
  <c r="AX59" i="33"/>
  <c r="AX69" i="33"/>
  <c r="AZ72" i="33"/>
  <c r="BC50" i="33"/>
  <c r="BB57" i="33"/>
  <c r="BB63" i="33"/>
  <c r="BA74" i="33"/>
  <c r="M64" i="33"/>
  <c r="N64" i="33" s="1"/>
  <c r="O60" i="33"/>
  <c r="P60" i="33" s="1"/>
  <c r="O56" i="33"/>
  <c r="P56" i="33" s="1"/>
  <c r="O48" i="33"/>
  <c r="P48" i="33" s="1"/>
  <c r="O44" i="33"/>
  <c r="P44" i="33" s="1"/>
  <c r="O40" i="33"/>
  <c r="P40" i="33" s="1"/>
  <c r="O36" i="33"/>
  <c r="K36" i="33" s="1"/>
  <c r="P3" i="33"/>
  <c r="AZ16" i="33"/>
  <c r="BB36" i="33"/>
  <c r="BB40" i="33"/>
  <c r="AZ47" i="33"/>
  <c r="AZ49" i="33"/>
  <c r="AW50" i="33"/>
  <c r="AV57" i="33"/>
  <c r="M60" i="33"/>
  <c r="J60" i="33" s="1"/>
  <c r="BB61" i="33"/>
  <c r="AV63" i="33"/>
  <c r="AX65" i="33"/>
  <c r="AV67" i="33"/>
  <c r="AZ68" i="33"/>
  <c r="AX73" i="33"/>
  <c r="AV74" i="33"/>
  <c r="O19" i="33"/>
  <c r="P19" i="33" s="1"/>
  <c r="O29" i="33"/>
  <c r="K29" i="33" s="1"/>
  <c r="O25" i="33"/>
  <c r="K25" i="33" s="1"/>
  <c r="M21" i="33"/>
  <c r="M61" i="33"/>
  <c r="N61" i="33" s="1"/>
  <c r="M49" i="33"/>
  <c r="J49" i="33" s="1"/>
  <c r="M41" i="33"/>
  <c r="N41" i="33" s="1"/>
  <c r="M44" i="33"/>
  <c r="N44" i="33" s="1"/>
  <c r="M56" i="33"/>
  <c r="J56" i="33" s="1"/>
  <c r="O33" i="33"/>
  <c r="P33" i="33" s="1"/>
  <c r="O65" i="33"/>
  <c r="K65" i="33" s="1"/>
  <c r="M57" i="33"/>
  <c r="N57" i="33" s="1"/>
  <c r="M45" i="33"/>
  <c r="N45" i="33" s="1"/>
  <c r="M37" i="33"/>
  <c r="N37" i="33" s="1"/>
  <c r="O64" i="33"/>
  <c r="K64" i="33" s="1"/>
  <c r="M40" i="33"/>
  <c r="N40" i="33" s="1"/>
  <c r="O63" i="33"/>
  <c r="P63" i="33" s="1"/>
  <c r="M51" i="33"/>
  <c r="J51" i="33" s="1"/>
  <c r="M47" i="33"/>
  <c r="J47" i="33" s="1"/>
  <c r="M43" i="33"/>
  <c r="J43" i="33" s="1"/>
  <c r="M23" i="33"/>
  <c r="J23" i="33" s="1"/>
  <c r="O31" i="33"/>
  <c r="P31" i="33" s="1"/>
  <c r="O59" i="33"/>
  <c r="K59" i="33" s="1"/>
  <c r="O26" i="33"/>
  <c r="K26" i="33" s="1"/>
  <c r="O58" i="33"/>
  <c r="P58" i="33" s="1"/>
  <c r="O67" i="33"/>
  <c r="O66" i="33"/>
  <c r="K66" i="33" s="1"/>
  <c r="O62" i="33"/>
  <c r="P62" i="33" s="1"/>
  <c r="M50" i="33"/>
  <c r="J50" i="33" s="1"/>
  <c r="M46" i="33"/>
  <c r="J46" i="33" s="1"/>
  <c r="O38" i="33"/>
  <c r="P38" i="33" s="1"/>
  <c r="O34" i="33"/>
  <c r="K34" i="33" s="1"/>
  <c r="O30" i="33"/>
  <c r="K30" i="33" s="1"/>
  <c r="O46" i="33"/>
  <c r="P46" i="33" s="1"/>
  <c r="O50" i="33"/>
  <c r="K50" i="33" s="1"/>
  <c r="M19" i="33"/>
  <c r="J19" i="33" s="1"/>
  <c r="AW3" i="33"/>
  <c r="BA3" i="33"/>
  <c r="AX4" i="33"/>
  <c r="BB4" i="33"/>
  <c r="AW5" i="33"/>
  <c r="BC5" i="33"/>
  <c r="AX6" i="33"/>
  <c r="BC6" i="33"/>
  <c r="AY10" i="33"/>
  <c r="AY22" i="33"/>
  <c r="M27" i="33"/>
  <c r="J27" i="33" s="1"/>
  <c r="BB26" i="33"/>
  <c r="AX26" i="33"/>
  <c r="BA26" i="33"/>
  <c r="AW26" i="33"/>
  <c r="AZ26" i="33"/>
  <c r="AV26" i="33"/>
  <c r="M29" i="33"/>
  <c r="J29" i="33" s="1"/>
  <c r="BB37" i="33"/>
  <c r="AX37" i="33"/>
  <c r="BA37" i="33"/>
  <c r="AW37" i="33"/>
  <c r="AZ37" i="33"/>
  <c r="AV37" i="33"/>
  <c r="BC37" i="33"/>
  <c r="AY37" i="33"/>
  <c r="O42" i="33"/>
  <c r="M42" i="33"/>
  <c r="BB7" i="33"/>
  <c r="AX7" i="33"/>
  <c r="BA7" i="33"/>
  <c r="AW7" i="33"/>
  <c r="BC7" i="33"/>
  <c r="AX3" i="33"/>
  <c r="BB3" i="33"/>
  <c r="AY4" i="33"/>
  <c r="AY7" i="33"/>
  <c r="BB14" i="33"/>
  <c r="AX14" i="33"/>
  <c r="BA14" i="33"/>
  <c r="AW14" i="33"/>
  <c r="AZ14" i="33"/>
  <c r="AV14" i="33"/>
  <c r="M24" i="33"/>
  <c r="J24" i="33" s="1"/>
  <c r="M31" i="33"/>
  <c r="BB30" i="33"/>
  <c r="AX30" i="33"/>
  <c r="BA30" i="33"/>
  <c r="AW30" i="33"/>
  <c r="AZ30" i="33"/>
  <c r="AV30" i="33"/>
  <c r="M33" i="33"/>
  <c r="BB10" i="33"/>
  <c r="AX10" i="33"/>
  <c r="BA10" i="33"/>
  <c r="AW10" i="33"/>
  <c r="AZ10" i="33"/>
  <c r="AV10" i="33"/>
  <c r="BB22" i="33"/>
  <c r="AX22" i="33"/>
  <c r="BA22" i="33"/>
  <c r="AW22" i="33"/>
  <c r="AZ22" i="33"/>
  <c r="AV22" i="33"/>
  <c r="AY3" i="33"/>
  <c r="BB5" i="33"/>
  <c r="AX5" i="33"/>
  <c r="AZ5" i="33"/>
  <c r="AZ6" i="33"/>
  <c r="AV6" i="33"/>
  <c r="BA6" i="33"/>
  <c r="AZ7" i="33"/>
  <c r="BB18" i="33"/>
  <c r="AX18" i="33"/>
  <c r="BA18" i="33"/>
  <c r="AW18" i="33"/>
  <c r="AZ18" i="33"/>
  <c r="AV18" i="33"/>
  <c r="M28" i="33"/>
  <c r="J28" i="33" s="1"/>
  <c r="AW9" i="33"/>
  <c r="BA9" i="33"/>
  <c r="AY11" i="33"/>
  <c r="BC11" i="33"/>
  <c r="AW13" i="33"/>
  <c r="BA13" i="33"/>
  <c r="AY15" i="33"/>
  <c r="BC15" i="33"/>
  <c r="AY17" i="33"/>
  <c r="BC17" i="33"/>
  <c r="O20" i="33"/>
  <c r="K20" i="33" s="1"/>
  <c r="AW19" i="33"/>
  <c r="BA19" i="33"/>
  <c r="M22" i="33"/>
  <c r="J22" i="33" s="1"/>
  <c r="AY21" i="33"/>
  <c r="BC21" i="33"/>
  <c r="O24" i="33"/>
  <c r="K24" i="33" s="1"/>
  <c r="AW23" i="33"/>
  <c r="BA23" i="33"/>
  <c r="M26" i="33"/>
  <c r="J26" i="33" s="1"/>
  <c r="AY25" i="33"/>
  <c r="BC25" i="33"/>
  <c r="O28" i="33"/>
  <c r="K28" i="33" s="1"/>
  <c r="AW27" i="33"/>
  <c r="BA27" i="33"/>
  <c r="M30" i="33"/>
  <c r="J30" i="33" s="1"/>
  <c r="AY29" i="33"/>
  <c r="BC29" i="33"/>
  <c r="O32" i="33"/>
  <c r="AW31" i="33"/>
  <c r="BA31" i="33"/>
  <c r="M34" i="33"/>
  <c r="O54" i="33"/>
  <c r="BB52" i="33"/>
  <c r="AX52" i="33"/>
  <c r="AY52" i="33"/>
  <c r="BC52" i="33"/>
  <c r="AW52" i="33"/>
  <c r="BA52" i="33"/>
  <c r="AV52" i="33"/>
  <c r="AY8" i="33"/>
  <c r="AX9" i="33"/>
  <c r="BB9" i="33"/>
  <c r="AV11" i="33"/>
  <c r="AY12" i="33"/>
  <c r="AX13" i="33"/>
  <c r="BB13" i="33"/>
  <c r="AV15" i="33"/>
  <c r="AY16" i="33"/>
  <c r="AV17" i="33"/>
  <c r="AZ17" i="33"/>
  <c r="AX19" i="33"/>
  <c r="BB19" i="33"/>
  <c r="AY20" i="33"/>
  <c r="AV21" i="33"/>
  <c r="AZ21" i="33"/>
  <c r="AX23" i="33"/>
  <c r="BB23" i="33"/>
  <c r="AY24" i="33"/>
  <c r="AV25" i="33"/>
  <c r="AZ25" i="33"/>
  <c r="AX27" i="33"/>
  <c r="BB27" i="33"/>
  <c r="AY28" i="33"/>
  <c r="AV29" i="33"/>
  <c r="AZ29" i="33"/>
  <c r="AX31" i="33"/>
  <c r="BB31" i="33"/>
  <c r="AZ32" i="33"/>
  <c r="AV32" i="33"/>
  <c r="BA32" i="33"/>
  <c r="O35" i="33"/>
  <c r="M38" i="33"/>
  <c r="M39" i="33"/>
  <c r="BB45" i="33"/>
  <c r="AX45" i="33"/>
  <c r="BA45" i="33"/>
  <c r="AW45" i="33"/>
  <c r="AZ45" i="33"/>
  <c r="AV45" i="33"/>
  <c r="M48" i="33"/>
  <c r="AZ52" i="33"/>
  <c r="AY9" i="33"/>
  <c r="AY13" i="33"/>
  <c r="AW17" i="33"/>
  <c r="AY19" i="33"/>
  <c r="AW21" i="33"/>
  <c r="AY23" i="33"/>
  <c r="AW25" i="33"/>
  <c r="AY27" i="33"/>
  <c r="AW29" i="33"/>
  <c r="AY31" i="33"/>
  <c r="BA33" i="33"/>
  <c r="AW33" i="33"/>
  <c r="AZ33" i="33"/>
  <c r="AV33" i="33"/>
  <c r="BC33" i="33"/>
  <c r="BB41" i="33"/>
  <c r="AX41" i="33"/>
  <c r="BA41" i="33"/>
  <c r="AW41" i="33"/>
  <c r="AZ41" i="33"/>
  <c r="AV41" i="33"/>
  <c r="O52" i="33"/>
  <c r="M52" i="33"/>
  <c r="M53" i="33"/>
  <c r="AW34" i="33"/>
  <c r="BA34" i="33"/>
  <c r="AY36" i="33"/>
  <c r="BC36" i="33"/>
  <c r="O39" i="33"/>
  <c r="AW38" i="33"/>
  <c r="BA38" i="33"/>
  <c r="AY40" i="33"/>
  <c r="BC40" i="33"/>
  <c r="O43" i="33"/>
  <c r="AW42" i="33"/>
  <c r="BA42" i="33"/>
  <c r="AY44" i="33"/>
  <c r="BC44" i="33"/>
  <c r="O47" i="33"/>
  <c r="AW46" i="33"/>
  <c r="BA46" i="33"/>
  <c r="BB48" i="33"/>
  <c r="AX48" i="33"/>
  <c r="AZ48" i="33"/>
  <c r="AX34" i="33"/>
  <c r="BB34" i="33"/>
  <c r="AY35" i="33"/>
  <c r="AV36" i="33"/>
  <c r="AX38" i="33"/>
  <c r="BB38" i="33"/>
  <c r="AY39" i="33"/>
  <c r="AV40" i="33"/>
  <c r="AX42" i="33"/>
  <c r="BB42" i="33"/>
  <c r="AY43" i="33"/>
  <c r="AV44" i="33"/>
  <c r="AX46" i="33"/>
  <c r="BB46" i="33"/>
  <c r="AY47" i="33"/>
  <c r="AV48" i="33"/>
  <c r="BA48" i="33"/>
  <c r="BA51" i="33"/>
  <c r="AW51" i="33"/>
  <c r="AZ51" i="33"/>
  <c r="M54" i="33"/>
  <c r="AY34" i="33"/>
  <c r="AY38" i="33"/>
  <c r="AY42" i="33"/>
  <c r="AY46" i="33"/>
  <c r="AZ50" i="33"/>
  <c r="AV50" i="33"/>
  <c r="BA50" i="33"/>
  <c r="M55" i="33"/>
  <c r="AY54" i="33"/>
  <c r="BC54" i="33"/>
  <c r="M59" i="33"/>
  <c r="AY58" i="33"/>
  <c r="BC58" i="33"/>
  <c r="M63" i="33"/>
  <c r="AY62" i="33"/>
  <c r="BC62" i="33"/>
  <c r="M67" i="33"/>
  <c r="J67" i="33" s="1"/>
  <c r="AY66" i="33"/>
  <c r="BC66" i="33"/>
  <c r="AY70" i="33"/>
  <c r="BC70" i="33"/>
  <c r="AY49" i="33"/>
  <c r="AY53" i="33"/>
  <c r="BC53" i="33"/>
  <c r="AV54" i="33"/>
  <c r="AZ54" i="33"/>
  <c r="M58" i="33"/>
  <c r="AX56" i="33"/>
  <c r="BB56" i="33"/>
  <c r="AY57" i="33"/>
  <c r="BC57" i="33"/>
  <c r="AV58" i="33"/>
  <c r="AZ58" i="33"/>
  <c r="M62" i="33"/>
  <c r="AX60" i="33"/>
  <c r="BB60" i="33"/>
  <c r="AY61" i="33"/>
  <c r="BC61" i="33"/>
  <c r="AV62" i="33"/>
  <c r="AZ62" i="33"/>
  <c r="AW63" i="33"/>
  <c r="BA63" i="33"/>
  <c r="M66" i="33"/>
  <c r="AX64" i="33"/>
  <c r="BB64" i="33"/>
  <c r="AY65" i="33"/>
  <c r="BC65" i="33"/>
  <c r="AV66" i="33"/>
  <c r="AZ66" i="33"/>
  <c r="AW67" i="33"/>
  <c r="BA67" i="33"/>
  <c r="AY69" i="33"/>
  <c r="BC69" i="33"/>
  <c r="AV70" i="33"/>
  <c r="AZ70" i="33"/>
  <c r="AW71" i="33"/>
  <c r="BA71" i="33"/>
  <c r="AY73" i="33"/>
  <c r="BC73" i="33"/>
  <c r="AY75" i="33"/>
  <c r="BC75" i="33"/>
  <c r="AV53" i="33"/>
  <c r="AZ53" i="33"/>
  <c r="AW54" i="33"/>
  <c r="BA54" i="33"/>
  <c r="AY56" i="33"/>
  <c r="BC56" i="33"/>
  <c r="AW58" i="33"/>
  <c r="BA58" i="33"/>
  <c r="AY60" i="33"/>
  <c r="BC60" i="33"/>
  <c r="AW62" i="33"/>
  <c r="BA62" i="33"/>
  <c r="AY64" i="33"/>
  <c r="BC64" i="33"/>
  <c r="AV65" i="33"/>
  <c r="AZ65" i="33"/>
  <c r="AW66" i="33"/>
  <c r="BA66" i="33"/>
  <c r="AX67" i="33"/>
  <c r="BB67" i="33"/>
  <c r="AY68" i="33"/>
  <c r="AV69" i="33"/>
  <c r="AZ69" i="33"/>
  <c r="AW70" i="33"/>
  <c r="BA70" i="33"/>
  <c r="AX71" i="33"/>
  <c r="BB71" i="33"/>
  <c r="AY72" i="33"/>
  <c r="AV73" i="33"/>
  <c r="AZ73" i="33"/>
  <c r="AX74" i="33"/>
  <c r="BB74" i="33"/>
  <c r="AV75" i="33"/>
  <c r="AZ75" i="33"/>
  <c r="AW53" i="33"/>
  <c r="AX54" i="33"/>
  <c r="AY55" i="33"/>
  <c r="AV56" i="33"/>
  <c r="AW57" i="33"/>
  <c r="AX58" i="33"/>
  <c r="AY59" i="33"/>
  <c r="AV60" i="33"/>
  <c r="AW61" i="33"/>
  <c r="AX62" i="33"/>
  <c r="AY63" i="33"/>
  <c r="AV64" i="33"/>
  <c r="AW65" i="33"/>
  <c r="AX66" i="33"/>
  <c r="AY67" i="33"/>
  <c r="AW69" i="33"/>
  <c r="AX70" i="33"/>
  <c r="AY71" i="33"/>
  <c r="AW73" i="33"/>
  <c r="AY74" i="33"/>
  <c r="AW75" i="33"/>
  <c r="P23" i="33" l="1"/>
  <c r="K23" i="33"/>
  <c r="P22" i="33"/>
  <c r="K22" i="33"/>
  <c r="N21" i="33"/>
  <c r="J21" i="33"/>
  <c r="P27" i="33"/>
  <c r="K27" i="33"/>
  <c r="P21" i="33"/>
  <c r="K21" i="33"/>
  <c r="N25" i="33"/>
  <c r="J25" i="33"/>
  <c r="G25" i="33" s="1"/>
  <c r="H25" i="33" s="1"/>
  <c r="P67" i="33"/>
  <c r="K67" i="33"/>
  <c r="G67" i="33" s="1"/>
  <c r="H67" i="33" s="1"/>
  <c r="R68" i="33"/>
  <c r="J35" i="33"/>
  <c r="K55" i="33"/>
  <c r="K51" i="33"/>
  <c r="G51" i="33" s="1"/>
  <c r="H51" i="33" s="1"/>
  <c r="N20" i="33"/>
  <c r="K61" i="33"/>
  <c r="J65" i="33"/>
  <c r="G65" i="33" s="1"/>
  <c r="H65" i="33" s="1"/>
  <c r="K45" i="33"/>
  <c r="G23" i="33"/>
  <c r="H23" i="33" s="1"/>
  <c r="K49" i="33"/>
  <c r="G49" i="33" s="1"/>
  <c r="H49" i="33" s="1"/>
  <c r="R45" i="33"/>
  <c r="K53" i="33"/>
  <c r="J36" i="33"/>
  <c r="G36" i="33" s="1"/>
  <c r="H36" i="33" s="1"/>
  <c r="P37" i="33"/>
  <c r="R37" i="33" s="1"/>
  <c r="C13" i="33"/>
  <c r="C14" i="33" s="1"/>
  <c r="K41" i="33"/>
  <c r="D13" i="33"/>
  <c r="D14" i="33" s="1"/>
  <c r="K57" i="33"/>
  <c r="E13" i="33"/>
  <c r="E14" i="33" s="1"/>
  <c r="P26" i="33"/>
  <c r="J41" i="33"/>
  <c r="K40" i="33"/>
  <c r="K60" i="33"/>
  <c r="G60" i="33" s="1"/>
  <c r="H60" i="33" s="1"/>
  <c r="P64" i="33"/>
  <c r="R64" i="33" s="1"/>
  <c r="P29" i="33"/>
  <c r="P59" i="33"/>
  <c r="N51" i="33"/>
  <c r="R51" i="33" s="1"/>
  <c r="P25" i="33"/>
  <c r="J64" i="33"/>
  <c r="G64" i="33" s="1"/>
  <c r="H64" i="33" s="1"/>
  <c r="P66" i="33"/>
  <c r="J57" i="33"/>
  <c r="G21" i="33"/>
  <c r="H21" i="33" s="1"/>
  <c r="J40" i="33"/>
  <c r="P36" i="33"/>
  <c r="R36" i="33" s="1"/>
  <c r="N47" i="33"/>
  <c r="K38" i="33"/>
  <c r="P65" i="33"/>
  <c r="R65" i="33" s="1"/>
  <c r="R61" i="33"/>
  <c r="N43" i="33"/>
  <c r="K48" i="33"/>
  <c r="K19" i="33"/>
  <c r="G19" i="33" s="1"/>
  <c r="N60" i="33"/>
  <c r="R60" i="33" s="1"/>
  <c r="J61" i="33"/>
  <c r="K58" i="33"/>
  <c r="K56" i="33"/>
  <c r="G56" i="33" s="1"/>
  <c r="H56" i="33" s="1"/>
  <c r="J45" i="33"/>
  <c r="N32" i="33"/>
  <c r="J44" i="33"/>
  <c r="R44" i="33"/>
  <c r="K44" i="33"/>
  <c r="K33" i="33"/>
  <c r="J37" i="33"/>
  <c r="G37" i="33" s="1"/>
  <c r="H37" i="33" s="1"/>
  <c r="N49" i="33"/>
  <c r="R49" i="33" s="1"/>
  <c r="K31" i="33"/>
  <c r="P50" i="33"/>
  <c r="K63" i="33"/>
  <c r="K46" i="33"/>
  <c r="G46" i="33" s="1"/>
  <c r="H46" i="33" s="1"/>
  <c r="N23" i="33"/>
  <c r="R23" i="33" s="1"/>
  <c r="R40" i="33"/>
  <c r="N56" i="33"/>
  <c r="R56" i="33" s="1"/>
  <c r="N46" i="33"/>
  <c r="R46" i="33" s="1"/>
  <c r="K62" i="33"/>
  <c r="P34" i="33"/>
  <c r="R41" i="33"/>
  <c r="N50" i="33"/>
  <c r="P30" i="33"/>
  <c r="G50" i="33"/>
  <c r="H50" i="33" s="1"/>
  <c r="N19" i="33"/>
  <c r="R19" i="33" s="1"/>
  <c r="P43" i="33"/>
  <c r="K43" i="33"/>
  <c r="G43" i="33" s="1"/>
  <c r="H43" i="33" s="1"/>
  <c r="J38" i="33"/>
  <c r="N38" i="33"/>
  <c r="R38" i="33" s="1"/>
  <c r="J55" i="33"/>
  <c r="N55" i="33"/>
  <c r="R55" i="33" s="1"/>
  <c r="P39" i="33"/>
  <c r="K39" i="33"/>
  <c r="N48" i="33"/>
  <c r="R48" i="33" s="1"/>
  <c r="J48" i="33"/>
  <c r="P35" i="33"/>
  <c r="R35" i="33" s="1"/>
  <c r="K35" i="33"/>
  <c r="G30" i="33"/>
  <c r="H30" i="33" s="1"/>
  <c r="N30" i="33"/>
  <c r="N22" i="33"/>
  <c r="R22" i="33" s="1"/>
  <c r="J31" i="33"/>
  <c r="N31" i="33"/>
  <c r="R31" i="33" s="1"/>
  <c r="J42" i="33"/>
  <c r="N42" i="33"/>
  <c r="N29" i="33"/>
  <c r="G29" i="33"/>
  <c r="H29" i="33" s="1"/>
  <c r="N67" i="33"/>
  <c r="R67" i="33" s="1"/>
  <c r="K52" i="33"/>
  <c r="P52" i="33"/>
  <c r="P54" i="33"/>
  <c r="K54" i="33"/>
  <c r="P28" i="33"/>
  <c r="P20" i="33"/>
  <c r="G20" i="33"/>
  <c r="H20" i="33" s="1"/>
  <c r="N27" i="33"/>
  <c r="R27" i="33" s="1"/>
  <c r="J66" i="33"/>
  <c r="G66" i="33" s="1"/>
  <c r="H66" i="33" s="1"/>
  <c r="N66" i="33"/>
  <c r="J58" i="33"/>
  <c r="N58" i="33"/>
  <c r="R58" i="33" s="1"/>
  <c r="J59" i="33"/>
  <c r="G59" i="33" s="1"/>
  <c r="H59" i="33" s="1"/>
  <c r="N59" i="33"/>
  <c r="R57" i="33"/>
  <c r="N53" i="33"/>
  <c r="R53" i="33" s="1"/>
  <c r="J53" i="33"/>
  <c r="P32" i="33"/>
  <c r="K32" i="33"/>
  <c r="G32" i="33" s="1"/>
  <c r="H32" i="33" s="1"/>
  <c r="P24" i="33"/>
  <c r="N28" i="33"/>
  <c r="N33" i="33"/>
  <c r="R33" i="33" s="1"/>
  <c r="J33" i="33"/>
  <c r="N24" i="33"/>
  <c r="P42" i="33"/>
  <c r="K42" i="33"/>
  <c r="J62" i="33"/>
  <c r="N62" i="33"/>
  <c r="R62" i="33" s="1"/>
  <c r="J63" i="33"/>
  <c r="N63" i="33"/>
  <c r="R63" i="33" s="1"/>
  <c r="J54" i="33"/>
  <c r="N54" i="33"/>
  <c r="P47" i="33"/>
  <c r="K47" i="33"/>
  <c r="G47" i="33" s="1"/>
  <c r="H47" i="33" s="1"/>
  <c r="J52" i="33"/>
  <c r="N52" i="33"/>
  <c r="J39" i="33"/>
  <c r="N39" i="33"/>
  <c r="J34" i="33"/>
  <c r="G34" i="33" s="1"/>
  <c r="H34" i="33" s="1"/>
  <c r="N34" i="33"/>
  <c r="G26" i="33"/>
  <c r="H26" i="33" s="1"/>
  <c r="N26" i="33"/>
  <c r="R21" i="33" l="1"/>
  <c r="R25" i="33"/>
  <c r="G35" i="33"/>
  <c r="H35" i="33" s="1"/>
  <c r="G22" i="33"/>
  <c r="H22" i="33" s="1"/>
  <c r="G55" i="33"/>
  <c r="H55" i="33" s="1"/>
  <c r="R20" i="33"/>
  <c r="G61" i="33"/>
  <c r="H61" i="33" s="1"/>
  <c r="G45" i="33"/>
  <c r="H45" i="33" s="1"/>
  <c r="G53" i="33"/>
  <c r="H53" i="33" s="1"/>
  <c r="R26" i="33"/>
  <c r="G27" i="33"/>
  <c r="H27" i="33" s="1"/>
  <c r="G57" i="33"/>
  <c r="H57" i="33" s="1"/>
  <c r="G41" i="33"/>
  <c r="H41" i="33" s="1"/>
  <c r="G40" i="33"/>
  <c r="H40" i="33" s="1"/>
  <c r="R59" i="33"/>
  <c r="R29" i="33"/>
  <c r="R47" i="33"/>
  <c r="R66" i="33"/>
  <c r="R50" i="33"/>
  <c r="G44" i="33"/>
  <c r="H44" i="33" s="1"/>
  <c r="G38" i="33"/>
  <c r="H38" i="33" s="1"/>
  <c r="G31" i="33"/>
  <c r="H31" i="33" s="1"/>
  <c r="R43" i="33"/>
  <c r="G33" i="33"/>
  <c r="H33" i="33" s="1"/>
  <c r="G63" i="33"/>
  <c r="H63" i="33" s="1"/>
  <c r="G58" i="33"/>
  <c r="H58" i="33" s="1"/>
  <c r="G48" i="33"/>
  <c r="H48" i="33" s="1"/>
  <c r="R32" i="33"/>
  <c r="G62" i="33"/>
  <c r="H62" i="33" s="1"/>
  <c r="R24" i="33"/>
  <c r="R34" i="33"/>
  <c r="G24" i="33"/>
  <c r="H24" i="33" s="1"/>
  <c r="R30" i="33"/>
  <c r="R39" i="33"/>
  <c r="G52" i="33"/>
  <c r="H52" i="33" s="1"/>
  <c r="G54" i="33"/>
  <c r="H54" i="33" s="1"/>
  <c r="G42" i="33"/>
  <c r="H42" i="33" s="1"/>
  <c r="G28" i="33"/>
  <c r="H28" i="33" s="1"/>
  <c r="G39" i="33"/>
  <c r="H39" i="33" s="1"/>
  <c r="N105" i="33"/>
  <c r="H19" i="33"/>
  <c r="P105" i="33"/>
  <c r="R52" i="33"/>
  <c r="R54" i="33"/>
  <c r="R28" i="33"/>
  <c r="R42" i="33"/>
  <c r="P5" i="33" l="1"/>
  <c r="P6" i="33"/>
  <c r="BE3" i="33" a="1"/>
  <c r="BE3" i="33" s="1"/>
  <c r="R105" i="33"/>
  <c r="L2" i="33" s="1"/>
  <c r="L3" i="33" s="1"/>
  <c r="L6" i="33" l="1"/>
  <c r="O21" i="10" l="1"/>
  <c r="O22" i="10"/>
  <c r="O24" i="10"/>
  <c r="O26" i="10"/>
  <c r="O28" i="10"/>
  <c r="O29" i="10"/>
  <c r="O30" i="10"/>
  <c r="O36" i="10"/>
  <c r="O37" i="10"/>
  <c r="O39" i="10"/>
  <c r="O40" i="10"/>
  <c r="O41" i="10"/>
  <c r="O42" i="10"/>
  <c r="O43" i="10"/>
  <c r="O44" i="10"/>
  <c r="O45" i="10"/>
  <c r="O46" i="10"/>
  <c r="O47" i="10"/>
  <c r="O48" i="10"/>
  <c r="O49" i="10"/>
  <c r="O50" i="10"/>
  <c r="O51" i="10"/>
  <c r="O52" i="10"/>
  <c r="O53" i="10"/>
  <c r="O54" i="10"/>
  <c r="O55" i="10"/>
  <c r="O56" i="10"/>
  <c r="O57" i="10"/>
  <c r="O58" i="10"/>
  <c r="O59" i="10"/>
  <c r="O60" i="10"/>
  <c r="O61" i="10"/>
  <c r="O62" i="10"/>
  <c r="O63" i="10"/>
  <c r="O64" i="10"/>
  <c r="O65" i="10"/>
  <c r="O66" i="10"/>
  <c r="O67" i="10"/>
  <c r="O68" i="10"/>
  <c r="O69" i="10"/>
  <c r="O70" i="10"/>
  <c r="O71" i="10"/>
  <c r="O72" i="10"/>
  <c r="O73" i="10"/>
  <c r="O74" i="10"/>
  <c r="O75" i="10"/>
  <c r="O76" i="10"/>
  <c r="O77" i="10"/>
  <c r="O78" i="10"/>
  <c r="O79" i="10"/>
  <c r="O80" i="10"/>
  <c r="O81" i="10"/>
  <c r="O82" i="10"/>
  <c r="O83" i="10"/>
  <c r="O84" i="10"/>
  <c r="O85" i="10"/>
  <c r="O86" i="10"/>
  <c r="O87" i="10"/>
  <c r="O88" i="10"/>
  <c r="O89" i="10"/>
  <c r="O90" i="10"/>
  <c r="O91" i="10"/>
  <c r="O92" i="10"/>
  <c r="O93" i="10"/>
  <c r="O94" i="10"/>
  <c r="O95" i="10"/>
  <c r="O96" i="10"/>
  <c r="O97" i="10"/>
  <c r="O98" i="10"/>
  <c r="O99" i="10"/>
  <c r="O100" i="10"/>
  <c r="O101" i="10"/>
  <c r="O17" i="10"/>
  <c r="O18" i="10"/>
  <c r="B37" i="10" l="1"/>
  <c r="C37" i="10"/>
  <c r="D37" i="10"/>
  <c r="E37" i="10"/>
  <c r="B36" i="10"/>
  <c r="C36" i="10"/>
  <c r="D36" i="10"/>
  <c r="E36" i="10"/>
  <c r="B35" i="10"/>
  <c r="C35" i="10"/>
  <c r="D35" i="10"/>
  <c r="E35" i="10"/>
  <c r="B34" i="10"/>
  <c r="C34" i="10"/>
  <c r="D34" i="10"/>
  <c r="E34" i="10"/>
  <c r="B33" i="10"/>
  <c r="C33" i="10"/>
  <c r="D33" i="10"/>
  <c r="E33" i="10"/>
  <c r="B32" i="10"/>
  <c r="C32" i="10"/>
  <c r="D32" i="10"/>
  <c r="E32" i="10"/>
  <c r="B31" i="10"/>
  <c r="C31" i="10"/>
  <c r="D31" i="10"/>
  <c r="E31" i="10"/>
  <c r="B30" i="10"/>
  <c r="C30" i="10"/>
  <c r="D30" i="10"/>
  <c r="E30" i="10"/>
  <c r="B29" i="10"/>
  <c r="C29" i="10"/>
  <c r="D29" i="10"/>
  <c r="E29" i="10"/>
  <c r="B28" i="10"/>
  <c r="C28" i="10"/>
  <c r="D28" i="10"/>
  <c r="E28" i="10"/>
  <c r="B27" i="10"/>
  <c r="C27" i="10"/>
  <c r="D27" i="10"/>
  <c r="E27" i="10"/>
  <c r="B26" i="10"/>
  <c r="C26" i="10"/>
  <c r="D26" i="10"/>
  <c r="E26" i="10"/>
  <c r="B25" i="10"/>
  <c r="C25" i="10"/>
  <c r="D25" i="10"/>
  <c r="E25" i="10"/>
  <c r="B24" i="10"/>
  <c r="C24" i="10"/>
  <c r="D24" i="10"/>
  <c r="E24" i="10"/>
  <c r="H2" i="10"/>
  <c r="F1258" i="28"/>
  <c r="F1257" i="28"/>
  <c r="B14" i="11"/>
  <c r="C14" i="11"/>
  <c r="D14" i="11"/>
  <c r="J14" i="11" s="1"/>
  <c r="E14" i="11"/>
  <c r="K14" i="11" s="1"/>
  <c r="F14" i="11"/>
  <c r="I14" i="11"/>
  <c r="O14" i="11"/>
  <c r="AA25" i="11"/>
  <c r="AA26" i="11"/>
  <c r="AA27" i="11"/>
  <c r="AA28" i="11"/>
  <c r="F1256" i="28"/>
  <c r="F135" i="28"/>
  <c r="F60" i="33" s="1"/>
  <c r="O10" i="11"/>
  <c r="O13" i="11"/>
  <c r="O11" i="11"/>
  <c r="O12" i="11"/>
  <c r="CK3" i="11"/>
  <c r="CK4" i="11"/>
  <c r="CK5" i="11"/>
  <c r="CK6" i="11"/>
  <c r="CK7" i="11"/>
  <c r="CK8" i="11"/>
  <c r="CK9" i="11"/>
  <c r="CK10" i="11"/>
  <c r="CK11" i="11"/>
  <c r="CK12" i="11"/>
  <c r="CK13" i="11"/>
  <c r="CK14" i="11"/>
  <c r="CK15" i="11"/>
  <c r="CK16" i="11"/>
  <c r="CK17" i="11"/>
  <c r="CK18" i="11"/>
  <c r="CK19" i="11"/>
  <c r="CK20" i="11"/>
  <c r="CK21" i="11"/>
  <c r="CK22" i="11"/>
  <c r="CK23" i="11"/>
  <c r="CK24" i="11"/>
  <c r="CK25" i="11"/>
  <c r="CK26" i="11"/>
  <c r="CK27" i="11"/>
  <c r="CK28" i="11"/>
  <c r="CK29" i="11"/>
  <c r="CK30" i="11"/>
  <c r="CK31" i="11"/>
  <c r="CK32" i="11"/>
  <c r="CK33" i="11"/>
  <c r="CK34" i="11"/>
  <c r="CK35" i="11"/>
  <c r="CK36" i="11"/>
  <c r="CK37" i="11"/>
  <c r="CK38" i="11"/>
  <c r="CK39" i="11"/>
  <c r="CK40" i="11"/>
  <c r="CK41" i="11"/>
  <c r="CK42" i="11"/>
  <c r="CK43" i="11"/>
  <c r="CK44" i="11"/>
  <c r="CK45" i="11"/>
  <c r="CK46" i="11"/>
  <c r="CK47" i="11"/>
  <c r="CK48" i="11"/>
  <c r="CK49" i="11"/>
  <c r="CK50" i="11"/>
  <c r="CK51" i="11"/>
  <c r="CK52" i="11"/>
  <c r="CK53" i="11"/>
  <c r="CK54" i="11"/>
  <c r="CK55" i="11"/>
  <c r="CK56" i="11"/>
  <c r="CK57" i="11"/>
  <c r="CK58" i="11"/>
  <c r="CK59" i="11"/>
  <c r="CK60" i="11"/>
  <c r="CK61" i="11"/>
  <c r="CK62" i="11"/>
  <c r="CK63" i="11"/>
  <c r="CK64" i="11"/>
  <c r="CK65" i="11"/>
  <c r="CK66" i="11"/>
  <c r="CK67" i="11"/>
  <c r="CK68" i="11"/>
  <c r="CK69" i="11"/>
  <c r="CK70" i="11"/>
  <c r="CK71" i="11"/>
  <c r="CK72" i="11"/>
  <c r="CK73" i="11"/>
  <c r="CK74" i="11"/>
  <c r="CK75" i="11"/>
  <c r="AU3" i="10"/>
  <c r="AY3" i="10" s="1"/>
  <c r="AU4" i="10"/>
  <c r="AU5" i="10"/>
  <c r="AU6" i="10"/>
  <c r="AV6" i="10" s="1"/>
  <c r="AU7" i="10"/>
  <c r="AV7" i="10" s="1"/>
  <c r="AU8" i="10"/>
  <c r="AV8" i="10" s="1"/>
  <c r="AU9" i="10"/>
  <c r="AU10" i="10"/>
  <c r="AV10" i="10" s="1"/>
  <c r="AU11" i="10"/>
  <c r="AV11" i="10" s="1"/>
  <c r="AU12" i="10"/>
  <c r="AV12" i="10" s="1"/>
  <c r="AU13" i="10"/>
  <c r="AV13" i="10" s="1"/>
  <c r="AU14" i="10"/>
  <c r="AV14" i="10" s="1"/>
  <c r="AU15" i="10"/>
  <c r="AV15" i="10" s="1"/>
  <c r="AU16" i="10"/>
  <c r="AV16" i="10" s="1"/>
  <c r="AU17" i="10"/>
  <c r="AU18" i="10"/>
  <c r="AV18" i="10" s="1"/>
  <c r="AU19" i="10"/>
  <c r="AV19" i="10" s="1"/>
  <c r="AU20" i="10"/>
  <c r="AV20" i="10" s="1"/>
  <c r="AU21" i="10"/>
  <c r="AV21" i="10" s="1"/>
  <c r="AU22" i="10"/>
  <c r="AV22" i="10" s="1"/>
  <c r="AU23" i="10"/>
  <c r="AV23" i="10" s="1"/>
  <c r="AU24" i="10"/>
  <c r="AV24" i="10" s="1"/>
  <c r="AU25" i="10"/>
  <c r="AV25" i="10" s="1"/>
  <c r="AU26" i="10"/>
  <c r="AV26" i="10" s="1"/>
  <c r="AU27" i="10"/>
  <c r="AV27" i="10" s="1"/>
  <c r="AU28" i="10"/>
  <c r="AV28" i="10" s="1"/>
  <c r="AU29" i="10"/>
  <c r="AV29" i="10" s="1"/>
  <c r="AU30" i="10"/>
  <c r="AV30" i="10" s="1"/>
  <c r="AU31" i="10"/>
  <c r="AV31" i="10" s="1"/>
  <c r="AU32" i="10"/>
  <c r="AV32" i="10" s="1"/>
  <c r="AU33" i="10"/>
  <c r="AV33" i="10" s="1"/>
  <c r="AU34" i="10"/>
  <c r="AV34" i="10" s="1"/>
  <c r="AU35" i="10"/>
  <c r="AV35" i="10" s="1"/>
  <c r="AU36" i="10"/>
  <c r="AV36" i="10" s="1"/>
  <c r="AU37" i="10"/>
  <c r="AU38" i="10"/>
  <c r="AV38" i="10" s="1"/>
  <c r="AU39" i="10"/>
  <c r="AV39" i="10" s="1"/>
  <c r="AU40" i="10"/>
  <c r="AU41" i="10"/>
  <c r="AV41" i="10" s="1"/>
  <c r="AU42" i="10"/>
  <c r="AV42" i="10" s="1"/>
  <c r="AU43" i="10"/>
  <c r="AV43" i="10" s="1"/>
  <c r="AU44" i="10"/>
  <c r="AV44" i="10" s="1"/>
  <c r="AU45" i="10"/>
  <c r="AV45" i="10" s="1"/>
  <c r="AU46" i="10"/>
  <c r="AV46" i="10" s="1"/>
  <c r="AU47" i="10"/>
  <c r="AV47" i="10" s="1"/>
  <c r="AU48" i="10"/>
  <c r="AV48" i="10" s="1"/>
  <c r="AU49" i="10"/>
  <c r="AV49" i="10" s="1"/>
  <c r="AU50" i="10"/>
  <c r="AV50" i="10" s="1"/>
  <c r="AU51" i="10"/>
  <c r="AY51" i="10" s="1"/>
  <c r="AU52" i="10"/>
  <c r="AV52" i="10" s="1"/>
  <c r="AU53" i="10"/>
  <c r="AU54" i="10"/>
  <c r="AV54" i="10" s="1"/>
  <c r="AU55" i="10"/>
  <c r="AV55" i="10" s="1"/>
  <c r="AU56" i="10"/>
  <c r="AV56" i="10" s="1"/>
  <c r="AU57" i="10"/>
  <c r="AY57" i="10" s="1"/>
  <c r="AU58" i="10"/>
  <c r="AV58" i="10" s="1"/>
  <c r="AU59" i="10"/>
  <c r="AV59" i="10" s="1"/>
  <c r="AU60" i="10"/>
  <c r="AV60" i="10" s="1"/>
  <c r="AU61" i="10"/>
  <c r="AY61" i="10" s="1"/>
  <c r="AU62" i="10"/>
  <c r="AV62" i="10" s="1"/>
  <c r="AU63" i="10"/>
  <c r="AV63" i="10" s="1"/>
  <c r="AU64" i="10"/>
  <c r="AV64" i="10" s="1"/>
  <c r="AU65" i="10"/>
  <c r="AY65" i="10" s="1"/>
  <c r="AU66" i="10"/>
  <c r="AV66" i="10" s="1"/>
  <c r="AU67" i="10"/>
  <c r="AV67" i="10" s="1"/>
  <c r="AU68" i="10"/>
  <c r="AV68" i="10" s="1"/>
  <c r="AU69" i="10"/>
  <c r="AU70" i="10"/>
  <c r="AV70" i="10" s="1"/>
  <c r="AU71" i="10"/>
  <c r="AV71" i="10" s="1"/>
  <c r="AU72" i="10"/>
  <c r="AV72" i="10" s="1"/>
  <c r="AU73" i="10"/>
  <c r="AY73" i="10" s="1"/>
  <c r="AU74" i="10"/>
  <c r="AV74" i="10" s="1"/>
  <c r="AU75" i="10"/>
  <c r="AV75" i="10" s="1"/>
  <c r="B12" i="11"/>
  <c r="C12" i="11"/>
  <c r="I12" i="11" s="1"/>
  <c r="D12" i="11"/>
  <c r="J12" i="11" s="1"/>
  <c r="E12" i="11"/>
  <c r="K12" i="11" s="1"/>
  <c r="Y29" i="11"/>
  <c r="H8" i="29"/>
  <c r="AV5" i="10"/>
  <c r="AV9" i="10"/>
  <c r="AV17" i="10"/>
  <c r="AV37" i="10"/>
  <c r="AV40" i="10"/>
  <c r="AV53" i="10"/>
  <c r="AY69" i="10"/>
  <c r="AV4" i="10"/>
  <c r="F1255" i="28"/>
  <c r="F1254" i="28"/>
  <c r="F1253" i="28"/>
  <c r="F1252" i="28"/>
  <c r="F1251" i="28"/>
  <c r="F1250" i="28"/>
  <c r="F1249" i="28"/>
  <c r="F1248" i="28"/>
  <c r="F1247" i="28"/>
  <c r="F1246" i="28"/>
  <c r="F1245" i="28"/>
  <c r="F1244" i="28"/>
  <c r="F1243" i="28"/>
  <c r="F1242" i="28"/>
  <c r="F1241" i="28"/>
  <c r="F1240" i="28"/>
  <c r="F1239" i="28"/>
  <c r="F1237" i="28"/>
  <c r="CN58" i="11"/>
  <c r="B10" i="11"/>
  <c r="C10" i="11"/>
  <c r="D10" i="11"/>
  <c r="J10" i="11" s="1"/>
  <c r="E10" i="11"/>
  <c r="K10" i="11" s="1"/>
  <c r="B13" i="11"/>
  <c r="DB1" i="11" s="1"/>
  <c r="C13" i="11"/>
  <c r="I13" i="11" s="1"/>
  <c r="D13" i="11"/>
  <c r="J13" i="11" s="1"/>
  <c r="E13" i="11"/>
  <c r="K13" i="11" s="1"/>
  <c r="B11" i="11"/>
  <c r="CT1" i="11" s="1"/>
  <c r="C11" i="11"/>
  <c r="I11" i="11" s="1"/>
  <c r="D11" i="11"/>
  <c r="J11" i="11" s="1"/>
  <c r="E11" i="11"/>
  <c r="K11" i="11" s="1"/>
  <c r="S28" i="11"/>
  <c r="F1236" i="28"/>
  <c r="F1235" i="28"/>
  <c r="F1234" i="28"/>
  <c r="F1233" i="28"/>
  <c r="F1232" i="28"/>
  <c r="F1231" i="28"/>
  <c r="F2" i="28"/>
  <c r="F3" i="28"/>
  <c r="F4" i="28"/>
  <c r="F5" i="28"/>
  <c r="F6" i="28"/>
  <c r="F7" i="28"/>
  <c r="F8" i="28"/>
  <c r="F9" i="28"/>
  <c r="F10" i="28"/>
  <c r="F11" i="28"/>
  <c r="F12" i="28"/>
  <c r="F13" i="28"/>
  <c r="F14" i="28"/>
  <c r="F15" i="28"/>
  <c r="F16" i="28"/>
  <c r="F17" i="28"/>
  <c r="F18" i="28"/>
  <c r="F19" i="28"/>
  <c r="F20" i="28"/>
  <c r="F21" i="28"/>
  <c r="F22" i="28"/>
  <c r="F23" i="28"/>
  <c r="F24" i="28"/>
  <c r="F25" i="28"/>
  <c r="F26" i="28"/>
  <c r="F27" i="28"/>
  <c r="F28" i="28"/>
  <c r="F29" i="28"/>
  <c r="F30" i="28"/>
  <c r="F31" i="28"/>
  <c r="F32" i="28"/>
  <c r="F33" i="28"/>
  <c r="F34" i="28"/>
  <c r="F35" i="28"/>
  <c r="F36" i="28"/>
  <c r="F37" i="28"/>
  <c r="F38" i="28"/>
  <c r="F39" i="28"/>
  <c r="F40" i="28"/>
  <c r="F41" i="33" s="1"/>
  <c r="F41" i="28"/>
  <c r="F42" i="28"/>
  <c r="F43" i="28"/>
  <c r="F44" i="28"/>
  <c r="F45" i="28"/>
  <c r="F46" i="28"/>
  <c r="F47" i="28"/>
  <c r="F48" i="28"/>
  <c r="F49" i="28"/>
  <c r="F50" i="28"/>
  <c r="F51" i="28"/>
  <c r="F52" i="28"/>
  <c r="F53" i="28"/>
  <c r="F54" i="28"/>
  <c r="F55" i="28"/>
  <c r="F56" i="28"/>
  <c r="F57" i="28"/>
  <c r="F58" i="28"/>
  <c r="F59" i="28"/>
  <c r="F60" i="28"/>
  <c r="F61" i="28"/>
  <c r="F62" i="28"/>
  <c r="F63" i="28"/>
  <c r="F64" i="28"/>
  <c r="F65" i="28"/>
  <c r="F66" i="28"/>
  <c r="F25" i="10" s="1"/>
  <c r="F67" i="28"/>
  <c r="F68" i="28"/>
  <c r="F69" i="28"/>
  <c r="F70" i="28"/>
  <c r="F71" i="28"/>
  <c r="F72" i="28"/>
  <c r="F73" i="28"/>
  <c r="F74" i="28"/>
  <c r="F75" i="28"/>
  <c r="F76" i="28"/>
  <c r="F77" i="28"/>
  <c r="F78" i="28"/>
  <c r="F79" i="28"/>
  <c r="F80" i="28"/>
  <c r="F81" i="28"/>
  <c r="F82" i="28"/>
  <c r="F83" i="28"/>
  <c r="F84" i="28"/>
  <c r="F85" i="28"/>
  <c r="F86" i="28"/>
  <c r="F87" i="28"/>
  <c r="F88" i="28"/>
  <c r="F89" i="28"/>
  <c r="F90" i="28"/>
  <c r="F91" i="28"/>
  <c r="F92" i="28"/>
  <c r="F93" i="28"/>
  <c r="F94" i="28"/>
  <c r="F95" i="28"/>
  <c r="F96" i="28"/>
  <c r="F97" i="28"/>
  <c r="F98" i="28"/>
  <c r="F99" i="28"/>
  <c r="F100" i="28"/>
  <c r="F101" i="28"/>
  <c r="F102" i="28"/>
  <c r="F103" i="28"/>
  <c r="F104" i="28"/>
  <c r="F105" i="28"/>
  <c r="F106" i="28"/>
  <c r="F107" i="28"/>
  <c r="F108" i="28"/>
  <c r="F109" i="28"/>
  <c r="F110" i="28"/>
  <c r="F111" i="28"/>
  <c r="F112" i="28"/>
  <c r="F113" i="28"/>
  <c r="F114" i="28"/>
  <c r="F115" i="28"/>
  <c r="F116" i="28"/>
  <c r="F117" i="28"/>
  <c r="F118" i="28"/>
  <c r="F119" i="28"/>
  <c r="F120" i="28"/>
  <c r="F121" i="28"/>
  <c r="F122" i="28"/>
  <c r="F123" i="28"/>
  <c r="F124" i="28"/>
  <c r="F125" i="28"/>
  <c r="F126" i="28"/>
  <c r="F127" i="28"/>
  <c r="F128" i="28"/>
  <c r="F129" i="28"/>
  <c r="F130" i="28"/>
  <c r="F131" i="28"/>
  <c r="F132" i="28"/>
  <c r="F133" i="28"/>
  <c r="F134" i="28"/>
  <c r="F136" i="28"/>
  <c r="F137" i="28"/>
  <c r="F138" i="28"/>
  <c r="F139" i="28"/>
  <c r="F140" i="28"/>
  <c r="F141" i="28"/>
  <c r="F142" i="28"/>
  <c r="F143" i="28"/>
  <c r="F144" i="28"/>
  <c r="F145" i="28"/>
  <c r="F146" i="28"/>
  <c r="F147" i="28"/>
  <c r="F148" i="28"/>
  <c r="F149" i="28"/>
  <c r="F150" i="28"/>
  <c r="F151" i="28"/>
  <c r="F152" i="28"/>
  <c r="F153" i="28"/>
  <c r="F154" i="28"/>
  <c r="F155" i="28"/>
  <c r="F156" i="28"/>
  <c r="F157" i="28"/>
  <c r="F158" i="28"/>
  <c r="F159" i="28"/>
  <c r="F160" i="28"/>
  <c r="F161" i="28"/>
  <c r="F162" i="28"/>
  <c r="F163" i="28"/>
  <c r="F164" i="28"/>
  <c r="F165" i="28"/>
  <c r="F166" i="28"/>
  <c r="F167" i="28"/>
  <c r="F168" i="28"/>
  <c r="F169" i="28"/>
  <c r="F170" i="28"/>
  <c r="F171" i="28"/>
  <c r="F172" i="28"/>
  <c r="F173" i="28"/>
  <c r="F174" i="28"/>
  <c r="F175" i="28"/>
  <c r="F176" i="28"/>
  <c r="F177" i="28"/>
  <c r="F178" i="28"/>
  <c r="F179" i="28"/>
  <c r="F180" i="28"/>
  <c r="F181" i="28"/>
  <c r="F182" i="28"/>
  <c r="F183" i="28"/>
  <c r="F184" i="28"/>
  <c r="F185" i="28"/>
  <c r="F186" i="28"/>
  <c r="F187" i="28"/>
  <c r="F188" i="28"/>
  <c r="F189" i="28"/>
  <c r="F190" i="28"/>
  <c r="F191" i="28"/>
  <c r="F192" i="28"/>
  <c r="F193" i="28"/>
  <c r="F194" i="28"/>
  <c r="F195" i="28"/>
  <c r="F196" i="28"/>
  <c r="F197" i="28"/>
  <c r="F198" i="28"/>
  <c r="F199" i="28"/>
  <c r="F200" i="28"/>
  <c r="F201" i="28"/>
  <c r="F202" i="28"/>
  <c r="F203" i="28"/>
  <c r="F204" i="28"/>
  <c r="F205" i="28"/>
  <c r="F206" i="28"/>
  <c r="F207" i="28"/>
  <c r="F208" i="28"/>
  <c r="F209" i="28"/>
  <c r="F210" i="28"/>
  <c r="F211" i="28"/>
  <c r="F212" i="28"/>
  <c r="F213" i="28"/>
  <c r="F214" i="28"/>
  <c r="F215" i="28"/>
  <c r="F216" i="28"/>
  <c r="F217" i="28"/>
  <c r="F218" i="28"/>
  <c r="F219" i="28"/>
  <c r="F220" i="28"/>
  <c r="F221" i="28"/>
  <c r="F222" i="28"/>
  <c r="F63" i="33" s="1"/>
  <c r="F223" i="28"/>
  <c r="F224" i="28"/>
  <c r="F225" i="28"/>
  <c r="F226" i="28"/>
  <c r="F227" i="28"/>
  <c r="F228" i="28"/>
  <c r="F229" i="28"/>
  <c r="F230" i="28"/>
  <c r="F231" i="28"/>
  <c r="F232" i="28"/>
  <c r="F233" i="28"/>
  <c r="F234" i="28"/>
  <c r="F235" i="28"/>
  <c r="F236" i="28"/>
  <c r="F237" i="28"/>
  <c r="F238" i="28"/>
  <c r="F239" i="28"/>
  <c r="F240" i="28"/>
  <c r="F241" i="28"/>
  <c r="F242" i="28"/>
  <c r="F243" i="28"/>
  <c r="F244" i="28"/>
  <c r="F245" i="28"/>
  <c r="F246" i="28"/>
  <c r="F247" i="28"/>
  <c r="F248" i="28"/>
  <c r="F249" i="28"/>
  <c r="F250" i="28"/>
  <c r="F251" i="28"/>
  <c r="F252" i="28"/>
  <c r="F253" i="28"/>
  <c r="F254" i="28"/>
  <c r="F255" i="28"/>
  <c r="F256" i="28"/>
  <c r="F257" i="28"/>
  <c r="F258" i="28"/>
  <c r="F259" i="28"/>
  <c r="F260" i="28"/>
  <c r="F261" i="28"/>
  <c r="F262" i="28"/>
  <c r="F263" i="28"/>
  <c r="F264" i="28"/>
  <c r="F265" i="28"/>
  <c r="F266" i="28"/>
  <c r="F267" i="28"/>
  <c r="F268" i="28"/>
  <c r="F269" i="28"/>
  <c r="F270" i="28"/>
  <c r="F271" i="28"/>
  <c r="F272" i="28"/>
  <c r="F273" i="28"/>
  <c r="F274" i="28"/>
  <c r="F275" i="28"/>
  <c r="F276" i="28"/>
  <c r="F277" i="28"/>
  <c r="F278" i="28"/>
  <c r="F279" i="28"/>
  <c r="F280" i="28"/>
  <c r="F281" i="28"/>
  <c r="F282" i="28"/>
  <c r="F283" i="28"/>
  <c r="F284" i="28"/>
  <c r="F285" i="28"/>
  <c r="F286" i="28"/>
  <c r="F287" i="28"/>
  <c r="F288" i="28"/>
  <c r="F289" i="28"/>
  <c r="F290" i="28"/>
  <c r="F291" i="28"/>
  <c r="F292" i="28"/>
  <c r="F293" i="28"/>
  <c r="F294" i="28"/>
  <c r="F295" i="28"/>
  <c r="F296" i="28"/>
  <c r="F297" i="28"/>
  <c r="F298" i="28"/>
  <c r="F299" i="28"/>
  <c r="F300" i="28"/>
  <c r="F301" i="28"/>
  <c r="F302" i="28"/>
  <c r="F303" i="28"/>
  <c r="F304" i="28"/>
  <c r="F305" i="28"/>
  <c r="F306" i="28"/>
  <c r="F307" i="28"/>
  <c r="F308" i="28"/>
  <c r="F309" i="28"/>
  <c r="F310" i="28"/>
  <c r="F311" i="28"/>
  <c r="F312" i="28"/>
  <c r="F313" i="28"/>
  <c r="F314" i="28"/>
  <c r="F315" i="28"/>
  <c r="F316" i="28"/>
  <c r="F317" i="28"/>
  <c r="F318" i="28"/>
  <c r="F319" i="28"/>
  <c r="F320" i="28"/>
  <c r="F321" i="28"/>
  <c r="F322" i="28"/>
  <c r="F323" i="28"/>
  <c r="F324" i="28"/>
  <c r="F325" i="28"/>
  <c r="F326" i="28"/>
  <c r="F327" i="28"/>
  <c r="F328" i="28"/>
  <c r="F19" i="33" s="1"/>
  <c r="F329" i="28"/>
  <c r="F330" i="28"/>
  <c r="F331" i="28"/>
  <c r="F332" i="28"/>
  <c r="F333" i="28"/>
  <c r="F21" i="33" s="1"/>
  <c r="F334" i="28"/>
  <c r="F335" i="28"/>
  <c r="F336" i="28"/>
  <c r="F337" i="28"/>
  <c r="F22" i="33" s="1"/>
  <c r="F338" i="28"/>
  <c r="F339" i="28"/>
  <c r="F340" i="28"/>
  <c r="F341" i="28"/>
  <c r="F342" i="28"/>
  <c r="F343" i="28"/>
  <c r="F344" i="28"/>
  <c r="F345" i="28"/>
  <c r="F346" i="28"/>
  <c r="F23" i="33" s="1"/>
  <c r="F347" i="28"/>
  <c r="F348" i="28"/>
  <c r="F349" i="28"/>
  <c r="F350" i="28"/>
  <c r="F351" i="28"/>
  <c r="F352" i="28"/>
  <c r="F353" i="28"/>
  <c r="F354" i="28"/>
  <c r="F355" i="28"/>
  <c r="F356" i="28"/>
  <c r="F357" i="28"/>
  <c r="F358" i="28"/>
  <c r="F359" i="28"/>
  <c r="F360" i="28"/>
  <c r="F361" i="28"/>
  <c r="F362" i="28"/>
  <c r="F363" i="28"/>
  <c r="F364" i="28"/>
  <c r="F365" i="28"/>
  <c r="F366" i="28"/>
  <c r="F367" i="28"/>
  <c r="F368" i="28"/>
  <c r="F369" i="28"/>
  <c r="F370" i="28"/>
  <c r="F371" i="28"/>
  <c r="F372" i="28"/>
  <c r="F373" i="28"/>
  <c r="F374" i="28"/>
  <c r="F375" i="28"/>
  <c r="F376" i="28"/>
  <c r="F24" i="33" s="1"/>
  <c r="F377" i="28"/>
  <c r="F378" i="28"/>
  <c r="F379" i="28"/>
  <c r="F380" i="28"/>
  <c r="F381" i="28"/>
  <c r="F382" i="28"/>
  <c r="F383" i="28"/>
  <c r="F384" i="28"/>
  <c r="F385" i="28"/>
  <c r="F25" i="33" s="1"/>
  <c r="F386" i="28"/>
  <c r="F387" i="28"/>
  <c r="F388" i="28"/>
  <c r="F389" i="28"/>
  <c r="F390" i="28"/>
  <c r="F391" i="28"/>
  <c r="F392" i="28"/>
  <c r="F393" i="28"/>
  <c r="F394" i="28"/>
  <c r="F395" i="28"/>
  <c r="F396" i="28"/>
  <c r="F397" i="28"/>
  <c r="F398" i="28"/>
  <c r="F399" i="28"/>
  <c r="F400" i="28"/>
  <c r="F401" i="28"/>
  <c r="F402" i="28"/>
  <c r="F403" i="28"/>
  <c r="F404" i="28"/>
  <c r="F405" i="28"/>
  <c r="F406" i="28"/>
  <c r="F407" i="28"/>
  <c r="F408" i="28"/>
  <c r="F409" i="28"/>
  <c r="F410" i="28"/>
  <c r="F411" i="28"/>
  <c r="F412" i="28"/>
  <c r="F413" i="28"/>
  <c r="F414" i="28"/>
  <c r="F415" i="28"/>
  <c r="F416" i="28"/>
  <c r="F417" i="28"/>
  <c r="F418" i="28"/>
  <c r="F419" i="28"/>
  <c r="F420" i="28"/>
  <c r="F421" i="28"/>
  <c r="F422" i="28"/>
  <c r="F423" i="28"/>
  <c r="F424" i="28"/>
  <c r="F425" i="28"/>
  <c r="F426" i="28"/>
  <c r="F427" i="28"/>
  <c r="F428" i="28"/>
  <c r="F429" i="28"/>
  <c r="F430" i="28"/>
  <c r="F431" i="28"/>
  <c r="F432" i="28"/>
  <c r="F433" i="28"/>
  <c r="F434" i="28"/>
  <c r="F435" i="28"/>
  <c r="F436" i="28"/>
  <c r="F437" i="28"/>
  <c r="F438" i="28"/>
  <c r="F439" i="28"/>
  <c r="F440" i="28"/>
  <c r="F441" i="28"/>
  <c r="F442" i="28"/>
  <c r="F443" i="28"/>
  <c r="F444" i="28"/>
  <c r="F445" i="28"/>
  <c r="F446" i="28"/>
  <c r="F447" i="28"/>
  <c r="F448" i="28"/>
  <c r="F449" i="28"/>
  <c r="F27" i="33" s="1"/>
  <c r="F450" i="28"/>
  <c r="F451" i="28"/>
  <c r="F452" i="28"/>
  <c r="F453" i="28"/>
  <c r="F454" i="28"/>
  <c r="F455" i="28"/>
  <c r="F456" i="28"/>
  <c r="F457" i="28"/>
  <c r="F458" i="28"/>
  <c r="F459" i="28"/>
  <c r="F460" i="28"/>
  <c r="F461" i="28"/>
  <c r="F462" i="28"/>
  <c r="F463" i="28"/>
  <c r="F464" i="28"/>
  <c r="F465" i="28"/>
  <c r="F466" i="28"/>
  <c r="F467" i="28"/>
  <c r="F28" i="33" s="1"/>
  <c r="F468" i="28"/>
  <c r="F469" i="28"/>
  <c r="F470" i="28"/>
  <c r="F471" i="28"/>
  <c r="F472" i="28"/>
  <c r="F473" i="28"/>
  <c r="F474" i="28"/>
  <c r="F475" i="28"/>
  <c r="F476" i="28"/>
  <c r="F477" i="28"/>
  <c r="F478" i="28"/>
  <c r="F479" i="28"/>
  <c r="F480" i="28"/>
  <c r="F481" i="28"/>
  <c r="F482" i="28"/>
  <c r="F483" i="28"/>
  <c r="F484" i="28"/>
  <c r="F485" i="28"/>
  <c r="F486" i="28"/>
  <c r="F487" i="28"/>
  <c r="F488" i="28"/>
  <c r="F489" i="28"/>
  <c r="F490" i="28"/>
  <c r="F491" i="28"/>
  <c r="F29" i="33" s="1"/>
  <c r="F492" i="28"/>
  <c r="F493" i="28"/>
  <c r="F30" i="33" s="1"/>
  <c r="F494" i="28"/>
  <c r="F495" i="28"/>
  <c r="F496" i="28"/>
  <c r="F497" i="28"/>
  <c r="F498" i="28"/>
  <c r="F499" i="28"/>
  <c r="F500" i="28"/>
  <c r="F501" i="28"/>
  <c r="F502" i="28"/>
  <c r="F503" i="28"/>
  <c r="F504" i="28"/>
  <c r="F505" i="28"/>
  <c r="F506" i="28"/>
  <c r="F507" i="28"/>
  <c r="F508" i="28"/>
  <c r="F509" i="28"/>
  <c r="F510" i="28"/>
  <c r="F511" i="28"/>
  <c r="F512" i="28"/>
  <c r="F513" i="28"/>
  <c r="F514" i="28"/>
  <c r="F515" i="28"/>
  <c r="F516" i="28"/>
  <c r="F517" i="28"/>
  <c r="F518" i="28"/>
  <c r="F519" i="28"/>
  <c r="F520" i="28"/>
  <c r="F521" i="28"/>
  <c r="F522" i="28"/>
  <c r="F523" i="28"/>
  <c r="F524" i="28"/>
  <c r="F525" i="28"/>
  <c r="F526" i="28"/>
  <c r="F527" i="28"/>
  <c r="F528" i="28"/>
  <c r="F529" i="28"/>
  <c r="F530" i="28"/>
  <c r="F531" i="28"/>
  <c r="F532" i="28"/>
  <c r="F533" i="28"/>
  <c r="F534" i="28"/>
  <c r="F535" i="28"/>
  <c r="F536" i="28"/>
  <c r="F537" i="28"/>
  <c r="F538" i="28"/>
  <c r="F539" i="28"/>
  <c r="F540" i="28"/>
  <c r="F541" i="28"/>
  <c r="F32" i="33" s="1"/>
  <c r="F542" i="28"/>
  <c r="F543" i="28"/>
  <c r="F544" i="28"/>
  <c r="F545" i="28"/>
  <c r="F546" i="28"/>
  <c r="F547" i="28"/>
  <c r="F548" i="28"/>
  <c r="F549" i="28"/>
  <c r="F550" i="28"/>
  <c r="F551" i="28"/>
  <c r="F552" i="28"/>
  <c r="F553" i="28"/>
  <c r="F554" i="28"/>
  <c r="F555" i="28"/>
  <c r="F556" i="28"/>
  <c r="F557" i="28"/>
  <c r="F558" i="28"/>
  <c r="F559" i="28"/>
  <c r="F560" i="28"/>
  <c r="F561" i="28"/>
  <c r="F562" i="28"/>
  <c r="F563" i="28"/>
  <c r="F564" i="28"/>
  <c r="F33" i="33" s="1"/>
  <c r="F565" i="28"/>
  <c r="F566" i="28"/>
  <c r="F567" i="28"/>
  <c r="F568" i="28"/>
  <c r="F569" i="28"/>
  <c r="F570" i="28"/>
  <c r="F571" i="28"/>
  <c r="F572" i="28"/>
  <c r="F573" i="28"/>
  <c r="F574" i="28"/>
  <c r="F576" i="28"/>
  <c r="F577" i="28"/>
  <c r="F578" i="28"/>
  <c r="F579" i="28"/>
  <c r="F580" i="28"/>
  <c r="F581" i="28"/>
  <c r="F582" i="28"/>
  <c r="F583" i="28"/>
  <c r="F584" i="28"/>
  <c r="F585" i="28"/>
  <c r="F34" i="33" s="1"/>
  <c r="F586" i="28"/>
  <c r="F587" i="28"/>
  <c r="F588" i="28"/>
  <c r="F589" i="28"/>
  <c r="F590" i="28"/>
  <c r="F591" i="28"/>
  <c r="F592" i="28"/>
  <c r="F593" i="28"/>
  <c r="F594" i="28"/>
  <c r="F595" i="28"/>
  <c r="F597" i="28"/>
  <c r="F599" i="28"/>
  <c r="F600" i="28"/>
  <c r="F601" i="28"/>
  <c r="F602" i="28"/>
  <c r="F603" i="28"/>
  <c r="F604" i="28"/>
  <c r="F605" i="28"/>
  <c r="F606" i="28"/>
  <c r="F607" i="28"/>
  <c r="F608" i="28"/>
  <c r="F609" i="28"/>
  <c r="F610" i="28"/>
  <c r="F67" i="33" s="1"/>
  <c r="F611" i="28"/>
  <c r="F612" i="28"/>
  <c r="F613" i="28"/>
  <c r="F614" i="28"/>
  <c r="F615" i="28"/>
  <c r="F616" i="28"/>
  <c r="F617" i="28"/>
  <c r="F618" i="28"/>
  <c r="F619" i="28"/>
  <c r="F620" i="28"/>
  <c r="F621" i="28"/>
  <c r="F622" i="28"/>
  <c r="F623" i="28"/>
  <c r="F624" i="28"/>
  <c r="F625" i="28"/>
  <c r="F626" i="28"/>
  <c r="F627" i="28"/>
  <c r="F628" i="28"/>
  <c r="F629" i="28"/>
  <c r="F630" i="28"/>
  <c r="F631" i="28"/>
  <c r="F632" i="28"/>
  <c r="F633" i="28"/>
  <c r="F634" i="28"/>
  <c r="F635" i="28"/>
  <c r="F636" i="28"/>
  <c r="F637" i="28"/>
  <c r="F638" i="28"/>
  <c r="F639" i="28"/>
  <c r="F640" i="28"/>
  <c r="F641" i="28"/>
  <c r="F642" i="28"/>
  <c r="F643" i="28"/>
  <c r="F644" i="28"/>
  <c r="F645" i="28"/>
  <c r="F646" i="28"/>
  <c r="F647" i="28"/>
  <c r="F648" i="28"/>
  <c r="F649" i="28"/>
  <c r="F650" i="28"/>
  <c r="F39" i="33" s="1"/>
  <c r="F651" i="28"/>
  <c r="F64" i="33" s="1"/>
  <c r="F652" i="28"/>
  <c r="F653" i="28"/>
  <c r="F654" i="28"/>
  <c r="F655" i="28"/>
  <c r="F656" i="28"/>
  <c r="F40" i="33" s="1"/>
  <c r="F657" i="28"/>
  <c r="F658" i="28"/>
  <c r="F659" i="28"/>
  <c r="F660" i="28"/>
  <c r="F661" i="28"/>
  <c r="F662" i="28"/>
  <c r="F663" i="28"/>
  <c r="F664" i="28"/>
  <c r="F665" i="28"/>
  <c r="F666" i="28"/>
  <c r="F667" i="28"/>
  <c r="F668" i="28"/>
  <c r="F669" i="28"/>
  <c r="F670" i="28"/>
  <c r="F671" i="28"/>
  <c r="F672" i="28"/>
  <c r="F673" i="28"/>
  <c r="F674" i="28"/>
  <c r="F675" i="28"/>
  <c r="F676" i="28"/>
  <c r="F677" i="28"/>
  <c r="F678" i="28"/>
  <c r="F679" i="28"/>
  <c r="F680" i="28"/>
  <c r="F681" i="28"/>
  <c r="F682" i="28"/>
  <c r="F683" i="28"/>
  <c r="F684" i="28"/>
  <c r="F685" i="28"/>
  <c r="F686" i="28"/>
  <c r="F687" i="28"/>
  <c r="F688" i="28"/>
  <c r="F689" i="28"/>
  <c r="F690" i="28"/>
  <c r="F691" i="28"/>
  <c r="F692" i="28"/>
  <c r="F693" i="28"/>
  <c r="F694" i="28"/>
  <c r="F695" i="28"/>
  <c r="F696" i="28"/>
  <c r="F697" i="28"/>
  <c r="F698" i="28"/>
  <c r="F699" i="28"/>
  <c r="F700" i="28"/>
  <c r="F701" i="28"/>
  <c r="F702" i="28"/>
  <c r="F703" i="28"/>
  <c r="F704" i="28"/>
  <c r="F705" i="28"/>
  <c r="F706" i="28"/>
  <c r="F707" i="28"/>
  <c r="F708" i="28"/>
  <c r="F709" i="28"/>
  <c r="F710" i="28"/>
  <c r="F711" i="28"/>
  <c r="F712" i="28"/>
  <c r="F713" i="28"/>
  <c r="F714" i="28"/>
  <c r="F715" i="28"/>
  <c r="F716" i="28"/>
  <c r="F717" i="28"/>
  <c r="F718" i="28"/>
  <c r="F719" i="28"/>
  <c r="F720" i="28"/>
  <c r="F721" i="28"/>
  <c r="F42" i="33" s="1"/>
  <c r="F722" i="28"/>
  <c r="F723" i="28"/>
  <c r="F724" i="28"/>
  <c r="F725" i="28"/>
  <c r="F726" i="28"/>
  <c r="F727" i="28"/>
  <c r="F728" i="28"/>
  <c r="F729" i="28"/>
  <c r="F730" i="28"/>
  <c r="F731" i="28"/>
  <c r="F732" i="28"/>
  <c r="F733" i="28"/>
  <c r="F734" i="28"/>
  <c r="F43" i="33" s="1"/>
  <c r="F735" i="28"/>
  <c r="F736" i="28"/>
  <c r="F44" i="33" s="1"/>
  <c r="F737" i="28"/>
  <c r="F738" i="28"/>
  <c r="F739" i="28"/>
  <c r="F740" i="28"/>
  <c r="F45" i="33" s="1"/>
  <c r="F741" i="28"/>
  <c r="F742" i="28"/>
  <c r="F743" i="28"/>
  <c r="F744" i="28"/>
  <c r="F745" i="28"/>
  <c r="F746" i="28"/>
  <c r="F747" i="28"/>
  <c r="F748" i="28"/>
  <c r="F749" i="28"/>
  <c r="F750" i="28"/>
  <c r="F751" i="28"/>
  <c r="F752" i="28"/>
  <c r="F753" i="28"/>
  <c r="F754" i="28"/>
  <c r="F755" i="28"/>
  <c r="F756" i="28"/>
  <c r="F757" i="28"/>
  <c r="F758" i="28"/>
  <c r="F759" i="28"/>
  <c r="F760" i="28"/>
  <c r="F761" i="28"/>
  <c r="F762" i="28"/>
  <c r="F763" i="28"/>
  <c r="F764" i="28"/>
  <c r="F765" i="28"/>
  <c r="F766" i="28"/>
  <c r="F767" i="28"/>
  <c r="F768" i="28"/>
  <c r="F769" i="28"/>
  <c r="F770" i="28"/>
  <c r="F771" i="28"/>
  <c r="F772" i="28"/>
  <c r="F773" i="28"/>
  <c r="F774" i="28"/>
  <c r="F775" i="28"/>
  <c r="F776" i="28"/>
  <c r="F777" i="28"/>
  <c r="F778" i="28"/>
  <c r="F779" i="28"/>
  <c r="F780" i="28"/>
  <c r="F781" i="28"/>
  <c r="F782" i="28"/>
  <c r="F783" i="28"/>
  <c r="F784" i="28"/>
  <c r="F785" i="28"/>
  <c r="F786" i="28"/>
  <c r="F787" i="28"/>
  <c r="F788" i="28"/>
  <c r="F789" i="28"/>
  <c r="F790" i="28"/>
  <c r="F791" i="28"/>
  <c r="F792" i="28"/>
  <c r="F793" i="28"/>
  <c r="F794" i="28"/>
  <c r="F795" i="28"/>
  <c r="F796" i="28"/>
  <c r="F797" i="28"/>
  <c r="F47" i="33" s="1"/>
  <c r="F798" i="28"/>
  <c r="F799" i="28"/>
  <c r="F800" i="28"/>
  <c r="F801" i="28"/>
  <c r="F802" i="28"/>
  <c r="F803" i="28"/>
  <c r="F804" i="28"/>
  <c r="F805" i="28"/>
  <c r="F806" i="28"/>
  <c r="F807" i="28"/>
  <c r="F808" i="28"/>
  <c r="F809" i="28"/>
  <c r="F810" i="28"/>
  <c r="F811" i="28"/>
  <c r="F812" i="28"/>
  <c r="F48" i="33" s="1"/>
  <c r="F813" i="28"/>
  <c r="F814" i="28"/>
  <c r="F815" i="28"/>
  <c r="F816" i="28"/>
  <c r="F817" i="28"/>
  <c r="F818" i="28"/>
  <c r="F28" i="10" s="1"/>
  <c r="F819" i="28"/>
  <c r="F820" i="28"/>
  <c r="F821" i="28"/>
  <c r="F822" i="28"/>
  <c r="F823" i="28"/>
  <c r="F824" i="28"/>
  <c r="F825" i="28"/>
  <c r="F826" i="28"/>
  <c r="F827" i="28"/>
  <c r="F828" i="28"/>
  <c r="F829" i="28"/>
  <c r="F830" i="28"/>
  <c r="F831" i="28"/>
  <c r="F832" i="28"/>
  <c r="F833" i="28"/>
  <c r="F834" i="28"/>
  <c r="F835" i="28"/>
  <c r="F836" i="28"/>
  <c r="F837" i="28"/>
  <c r="F838" i="28"/>
  <c r="F839" i="28"/>
  <c r="F840" i="28"/>
  <c r="F841" i="28"/>
  <c r="F842" i="28"/>
  <c r="F843" i="28"/>
  <c r="F844" i="28"/>
  <c r="F845" i="28"/>
  <c r="F49" i="33" s="1"/>
  <c r="F846" i="28"/>
  <c r="F847" i="28"/>
  <c r="F848" i="28"/>
  <c r="F849" i="28"/>
  <c r="F850" i="28"/>
  <c r="F50" i="33" s="1"/>
  <c r="F851" i="28"/>
  <c r="F65" i="33" s="1"/>
  <c r="F852" i="28"/>
  <c r="F853" i="28"/>
  <c r="F51" i="33" s="1"/>
  <c r="F854" i="28"/>
  <c r="F855" i="28"/>
  <c r="F856" i="28"/>
  <c r="F857" i="28"/>
  <c r="F858" i="28"/>
  <c r="F859" i="28"/>
  <c r="F860" i="28"/>
  <c r="F861" i="28"/>
  <c r="F862" i="28"/>
  <c r="F863" i="28"/>
  <c r="F864" i="28"/>
  <c r="F865" i="28"/>
  <c r="F866" i="28"/>
  <c r="F867" i="28"/>
  <c r="F868" i="28"/>
  <c r="F869" i="28"/>
  <c r="F870" i="28"/>
  <c r="F871" i="28"/>
  <c r="F872" i="28"/>
  <c r="F873" i="28"/>
  <c r="F874" i="28"/>
  <c r="F875" i="28"/>
  <c r="F876" i="28"/>
  <c r="F53" i="33" s="1"/>
  <c r="F877" i="28"/>
  <c r="F878" i="28"/>
  <c r="F879" i="28"/>
  <c r="F880" i="28"/>
  <c r="F881" i="28"/>
  <c r="F882" i="28"/>
  <c r="F883" i="28"/>
  <c r="F884" i="28"/>
  <c r="F885" i="28"/>
  <c r="F886" i="28"/>
  <c r="F887" i="28"/>
  <c r="F888" i="28"/>
  <c r="F889" i="28"/>
  <c r="F890" i="28"/>
  <c r="F891" i="28"/>
  <c r="F892" i="28"/>
  <c r="F893" i="28"/>
  <c r="F894" i="28"/>
  <c r="F895" i="28"/>
  <c r="F896" i="28"/>
  <c r="F897" i="28"/>
  <c r="F898" i="28"/>
  <c r="F899" i="28"/>
  <c r="F900" i="28"/>
  <c r="F901" i="28"/>
  <c r="F902" i="28"/>
  <c r="F903" i="28"/>
  <c r="F904" i="28"/>
  <c r="F905" i="28"/>
  <c r="F906" i="28"/>
  <c r="F907" i="28"/>
  <c r="F908" i="28"/>
  <c r="F909" i="28"/>
  <c r="F910" i="28"/>
  <c r="F911" i="28"/>
  <c r="F912" i="28"/>
  <c r="F913" i="28"/>
  <c r="F35" i="33" s="1"/>
  <c r="F914" i="28"/>
  <c r="F915" i="28"/>
  <c r="F916" i="28"/>
  <c r="F917" i="28"/>
  <c r="F918" i="28"/>
  <c r="F919" i="28"/>
  <c r="F920" i="28"/>
  <c r="F921" i="28"/>
  <c r="F922" i="28"/>
  <c r="F923" i="28"/>
  <c r="F924" i="28"/>
  <c r="F925" i="28"/>
  <c r="F926" i="28"/>
  <c r="F927" i="28"/>
  <c r="F928" i="28"/>
  <c r="F929" i="28"/>
  <c r="F930" i="28"/>
  <c r="F931" i="28"/>
  <c r="F932" i="28"/>
  <c r="F933" i="28"/>
  <c r="F934" i="28"/>
  <c r="F935" i="28"/>
  <c r="F936" i="28"/>
  <c r="F937" i="28"/>
  <c r="F938" i="28"/>
  <c r="F939" i="28"/>
  <c r="F940" i="28"/>
  <c r="F941" i="28"/>
  <c r="F942" i="28"/>
  <c r="F943" i="28"/>
  <c r="F944" i="28"/>
  <c r="F945" i="28"/>
  <c r="F946" i="28"/>
  <c r="F947" i="28"/>
  <c r="F948" i="28"/>
  <c r="F949" i="28"/>
  <c r="F950" i="28"/>
  <c r="F951" i="28"/>
  <c r="F952" i="28"/>
  <c r="F953" i="28"/>
  <c r="F954" i="28"/>
  <c r="F955" i="28"/>
  <c r="F956" i="28"/>
  <c r="F54" i="33" s="1"/>
  <c r="F957" i="28"/>
  <c r="F958" i="28"/>
  <c r="F959" i="28"/>
  <c r="F960" i="28"/>
  <c r="F961" i="28"/>
  <c r="F962" i="28"/>
  <c r="F963" i="28"/>
  <c r="F964" i="28"/>
  <c r="F965" i="28"/>
  <c r="F966" i="28"/>
  <c r="F967" i="28"/>
  <c r="F968" i="28"/>
  <c r="F969" i="28"/>
  <c r="F970" i="28"/>
  <c r="F971" i="28"/>
  <c r="F972" i="28"/>
  <c r="F973" i="28"/>
  <c r="F974" i="28"/>
  <c r="F975" i="28"/>
  <c r="F976" i="28"/>
  <c r="F977" i="28"/>
  <c r="F978" i="28"/>
  <c r="F979" i="28"/>
  <c r="F980" i="28"/>
  <c r="F981" i="28"/>
  <c r="F982" i="28"/>
  <c r="F983" i="28"/>
  <c r="F984" i="28"/>
  <c r="F985" i="28"/>
  <c r="F986" i="28"/>
  <c r="F987" i="28"/>
  <c r="F988" i="28"/>
  <c r="F989" i="28"/>
  <c r="F990" i="28"/>
  <c r="F991" i="28"/>
  <c r="F992" i="28"/>
  <c r="F993" i="28"/>
  <c r="F994" i="28"/>
  <c r="F995" i="28"/>
  <c r="F996" i="28"/>
  <c r="F997" i="28"/>
  <c r="F998" i="28"/>
  <c r="F999" i="28"/>
  <c r="F1000" i="28"/>
  <c r="F1001" i="28"/>
  <c r="F1002" i="28"/>
  <c r="F62" i="33" s="1"/>
  <c r="F1003" i="28"/>
  <c r="F1004" i="28"/>
  <c r="F1005" i="28"/>
  <c r="F1006" i="28"/>
  <c r="F1007" i="28"/>
  <c r="F1008" i="28"/>
  <c r="F1009" i="28"/>
  <c r="F1010" i="28"/>
  <c r="F1011" i="28"/>
  <c r="F1012" i="28"/>
  <c r="F1013" i="28"/>
  <c r="F1014" i="28"/>
  <c r="F1015" i="28"/>
  <c r="F1016" i="28"/>
  <c r="F1017" i="28"/>
  <c r="F1018" i="28"/>
  <c r="F1019" i="28"/>
  <c r="F1020" i="28"/>
  <c r="F1021" i="28"/>
  <c r="F1022" i="28"/>
  <c r="F1023" i="28"/>
  <c r="F1024" i="28"/>
  <c r="F1025" i="28"/>
  <c r="F1026" i="28"/>
  <c r="F1027" i="28"/>
  <c r="F1028" i="28"/>
  <c r="F1029" i="28"/>
  <c r="F1030" i="28"/>
  <c r="F1031" i="28"/>
  <c r="F1032" i="28"/>
  <c r="F1033" i="28"/>
  <c r="F1034" i="28"/>
  <c r="F1035" i="28"/>
  <c r="F1036" i="28"/>
  <c r="F1037" i="28"/>
  <c r="F1038" i="28"/>
  <c r="F1039" i="28"/>
  <c r="F1040" i="28"/>
  <c r="F1041" i="28"/>
  <c r="F1042" i="28"/>
  <c r="F1043" i="28"/>
  <c r="F1044" i="28"/>
  <c r="F1045" i="28"/>
  <c r="F1046" i="28"/>
  <c r="F1047" i="28"/>
  <c r="F1048" i="28"/>
  <c r="F1049" i="28"/>
  <c r="F66" i="33" s="1"/>
  <c r="F1050" i="28"/>
  <c r="F1051" i="28"/>
  <c r="F1052" i="28"/>
  <c r="F1053" i="28"/>
  <c r="F1054" i="28"/>
  <c r="F1055" i="28"/>
  <c r="F1056" i="28"/>
  <c r="F1057" i="28"/>
  <c r="F1058" i="28"/>
  <c r="F1059" i="28"/>
  <c r="F1060" i="28"/>
  <c r="F1061" i="28"/>
  <c r="F1062" i="28"/>
  <c r="F1063" i="28"/>
  <c r="F1064" i="28"/>
  <c r="F1065" i="28"/>
  <c r="F1066" i="28"/>
  <c r="F1067" i="28"/>
  <c r="F1068" i="28"/>
  <c r="F1069" i="28"/>
  <c r="F1070" i="28"/>
  <c r="F1071" i="28"/>
  <c r="F1072" i="28"/>
  <c r="F1073" i="28"/>
  <c r="F1074" i="28"/>
  <c r="F1075" i="28"/>
  <c r="F1076" i="28"/>
  <c r="F1077" i="28"/>
  <c r="F55" i="33" s="1"/>
  <c r="F1078" i="28"/>
  <c r="F1079" i="28"/>
  <c r="F1080" i="28"/>
  <c r="F1081" i="28"/>
  <c r="F1082" i="28"/>
  <c r="F1083" i="28"/>
  <c r="F1084" i="28"/>
  <c r="F1085" i="28"/>
  <c r="F1086" i="28"/>
  <c r="F1087" i="28"/>
  <c r="F1088" i="28"/>
  <c r="F1089" i="28"/>
  <c r="F1090" i="28"/>
  <c r="F1091" i="28"/>
  <c r="F1092" i="28"/>
  <c r="F1093" i="28"/>
  <c r="F1094" i="28"/>
  <c r="F1095" i="28"/>
  <c r="F1096" i="28"/>
  <c r="F1097" i="28"/>
  <c r="F1098" i="28"/>
  <c r="F1099" i="28"/>
  <c r="F1100" i="28"/>
  <c r="F1101" i="28"/>
  <c r="F1102" i="28"/>
  <c r="F1103" i="28"/>
  <c r="F1104" i="28"/>
  <c r="F1105" i="28"/>
  <c r="F1106" i="28"/>
  <c r="F1107" i="28"/>
  <c r="F1108" i="28"/>
  <c r="F1109" i="28"/>
  <c r="F1110" i="28"/>
  <c r="F1111" i="28"/>
  <c r="F1112" i="28"/>
  <c r="F1113" i="28"/>
  <c r="F1114" i="28"/>
  <c r="F1115" i="28"/>
  <c r="F1116" i="28"/>
  <c r="F1117" i="28"/>
  <c r="F1118" i="28"/>
  <c r="F1119" i="28"/>
  <c r="F1120" i="28"/>
  <c r="F1121" i="28"/>
  <c r="F1122" i="28"/>
  <c r="F1123" i="28"/>
  <c r="F1124" i="28"/>
  <c r="F1125" i="28"/>
  <c r="F1126" i="28"/>
  <c r="F1127" i="28"/>
  <c r="F1128" i="28"/>
  <c r="F1129" i="28"/>
  <c r="F1130" i="28"/>
  <c r="F1131" i="28"/>
  <c r="F1132" i="28"/>
  <c r="F1133" i="28"/>
  <c r="F1134" i="28"/>
  <c r="F1135" i="28"/>
  <c r="F1136" i="28"/>
  <c r="F1137" i="28"/>
  <c r="F1138" i="28"/>
  <c r="F31" i="33" s="1"/>
  <c r="F1139" i="28"/>
  <c r="F1140" i="28"/>
  <c r="F1141" i="28"/>
  <c r="F1142" i="28"/>
  <c r="F1143" i="28"/>
  <c r="F1144" i="28"/>
  <c r="F1145" i="28"/>
  <c r="F1146" i="28"/>
  <c r="F58" i="33" s="1"/>
  <c r="F1147" i="28"/>
  <c r="F1148" i="28"/>
  <c r="F1149" i="28"/>
  <c r="F1150" i="28"/>
  <c r="F1151" i="28"/>
  <c r="F1152" i="28"/>
  <c r="F1153" i="28"/>
  <c r="F1154" i="28"/>
  <c r="F1155" i="28"/>
  <c r="F1156" i="28"/>
  <c r="F1157" i="28"/>
  <c r="F1158" i="28"/>
  <c r="F1159" i="28"/>
  <c r="F1160" i="28"/>
  <c r="F59" i="33" s="1"/>
  <c r="F1161" i="28"/>
  <c r="F1162" i="28"/>
  <c r="F1163" i="28"/>
  <c r="F1164" i="28"/>
  <c r="F1165" i="28"/>
  <c r="F1166" i="28"/>
  <c r="F1167" i="28"/>
  <c r="F1168" i="28"/>
  <c r="F1169" i="28"/>
  <c r="F1170" i="28"/>
  <c r="F1171" i="28"/>
  <c r="F1172" i="28"/>
  <c r="F1173" i="28"/>
  <c r="F1174" i="28"/>
  <c r="F1175" i="28"/>
  <c r="F1176" i="28"/>
  <c r="F1177" i="28"/>
  <c r="F1178" i="28"/>
  <c r="F1179" i="28"/>
  <c r="F1180" i="28"/>
  <c r="F1181" i="28"/>
  <c r="F1182" i="28"/>
  <c r="F1183" i="28"/>
  <c r="F1184" i="28"/>
  <c r="F1185" i="28"/>
  <c r="F1186" i="28"/>
  <c r="F1187" i="28"/>
  <c r="F1188" i="28"/>
  <c r="F1189" i="28"/>
  <c r="F1190" i="28"/>
  <c r="F1191" i="28"/>
  <c r="F1192" i="28"/>
  <c r="F1193" i="28"/>
  <c r="F1194" i="28"/>
  <c r="F1195" i="28"/>
  <c r="F1196" i="28"/>
  <c r="F1197" i="28"/>
  <c r="F1198" i="28"/>
  <c r="F1199" i="28"/>
  <c r="F1200" i="28"/>
  <c r="F1201" i="28"/>
  <c r="F1202" i="28"/>
  <c r="F1203" i="28"/>
  <c r="F1204" i="28"/>
  <c r="F1205" i="28"/>
  <c r="F1206" i="28"/>
  <c r="F1207" i="28"/>
  <c r="F1208" i="28"/>
  <c r="F1209" i="28"/>
  <c r="F1210" i="28"/>
  <c r="F1211" i="28"/>
  <c r="F1212" i="28"/>
  <c r="F1213" i="28"/>
  <c r="F1214" i="28"/>
  <c r="F1215" i="28"/>
  <c r="F1216" i="28"/>
  <c r="F1217" i="28"/>
  <c r="F1218" i="28"/>
  <c r="F26" i="33" s="1"/>
  <c r="F1219" i="28"/>
  <c r="F1230" i="28"/>
  <c r="F12" i="11" l="1"/>
  <c r="CX1" i="11"/>
  <c r="AW3" i="10"/>
  <c r="F13" i="11"/>
  <c r="F20" i="33"/>
  <c r="F34" i="10"/>
  <c r="F56" i="33"/>
  <c r="F26" i="10"/>
  <c r="F38" i="33"/>
  <c r="F33" i="10"/>
  <c r="F36" i="33"/>
  <c r="F24" i="10"/>
  <c r="F37" i="33"/>
  <c r="F30" i="10"/>
  <c r="F52" i="33"/>
  <c r="F27" i="10"/>
  <c r="F46" i="33"/>
  <c r="F37" i="10"/>
  <c r="F61" i="33"/>
  <c r="F35" i="10"/>
  <c r="F57" i="33"/>
  <c r="F36" i="10"/>
  <c r="F29" i="10"/>
  <c r="F31" i="10"/>
  <c r="F32" i="10"/>
  <c r="G14" i="11"/>
  <c r="T28" i="11"/>
  <c r="AA29" i="11"/>
  <c r="CP1" i="11"/>
  <c r="CN40" i="11"/>
  <c r="CN8" i="11"/>
  <c r="CN6" i="11"/>
  <c r="CN75" i="11"/>
  <c r="CN71" i="11"/>
  <c r="CN67" i="11"/>
  <c r="CN63" i="11"/>
  <c r="CN59" i="11"/>
  <c r="CN55" i="11"/>
  <c r="CN51" i="11"/>
  <c r="CN47" i="11"/>
  <c r="CN43" i="11"/>
  <c r="CN39" i="11"/>
  <c r="CN35" i="11"/>
  <c r="CN31" i="11"/>
  <c r="CN27" i="11"/>
  <c r="CN23" i="11"/>
  <c r="CN19" i="11"/>
  <c r="CN15" i="11"/>
  <c r="CN11" i="11"/>
  <c r="CN7" i="11"/>
  <c r="CO3" i="11"/>
  <c r="CN74" i="11"/>
  <c r="CN66" i="11"/>
  <c r="CN50" i="11"/>
  <c r="CN42" i="11"/>
  <c r="CN34" i="11"/>
  <c r="CN30" i="11"/>
  <c r="CN26" i="11"/>
  <c r="CN18" i="11"/>
  <c r="CN14" i="11"/>
  <c r="CM73" i="11"/>
  <c r="CM65" i="11"/>
  <c r="CM57" i="11"/>
  <c r="CM49" i="11"/>
  <c r="CM41" i="11"/>
  <c r="CM33" i="11"/>
  <c r="CM25" i="11"/>
  <c r="CM17" i="11"/>
  <c r="CM13" i="11"/>
  <c r="CM9" i="11"/>
  <c r="F11" i="11"/>
  <c r="F10" i="11"/>
  <c r="CM29" i="11"/>
  <c r="CM69" i="11"/>
  <c r="CN46" i="11"/>
  <c r="CM61" i="11"/>
  <c r="CM45" i="11"/>
  <c r="CM21" i="11"/>
  <c r="CM53" i="11"/>
  <c r="CM37" i="11"/>
  <c r="CM5" i="11"/>
  <c r="CO72" i="11"/>
  <c r="CM68" i="11"/>
  <c r="CO64" i="11"/>
  <c r="CN60" i="11"/>
  <c r="CN56" i="11"/>
  <c r="CN52" i="11"/>
  <c r="CN48" i="11"/>
  <c r="CN44" i="11"/>
  <c r="CN36" i="11"/>
  <c r="CN32" i="11"/>
  <c r="CN28" i="11"/>
  <c r="CN24" i="11"/>
  <c r="CN20" i="11"/>
  <c r="CN16" i="11"/>
  <c r="CN12" i="11"/>
  <c r="CN4" i="11"/>
  <c r="CN38" i="11"/>
  <c r="CN70" i="11"/>
  <c r="CN62" i="11"/>
  <c r="CN54" i="11"/>
  <c r="CN22" i="11"/>
  <c r="CN10" i="11"/>
  <c r="S4" i="11" a="1"/>
  <c r="S4" i="11" s="1"/>
  <c r="S3" i="11" a="1"/>
  <c r="S3" i="11" s="1"/>
  <c r="U28" i="11"/>
  <c r="S27" i="11"/>
  <c r="V28" i="11"/>
  <c r="G12" i="11"/>
  <c r="CN41" i="11"/>
  <c r="T27" i="11"/>
  <c r="U27" i="11"/>
  <c r="V27" i="11"/>
  <c r="T25" i="11"/>
  <c r="S25" i="11"/>
  <c r="T26" i="11"/>
  <c r="U26" i="11"/>
  <c r="S26" i="11"/>
  <c r="V26" i="11"/>
  <c r="U25" i="11"/>
  <c r="V25" i="11"/>
  <c r="CO23" i="11"/>
  <c r="CO55" i="11"/>
  <c r="CN25" i="11"/>
  <c r="CO47" i="11"/>
  <c r="CO15" i="11"/>
  <c r="CN9" i="11"/>
  <c r="CO71" i="11"/>
  <c r="CO39" i="11"/>
  <c r="CO7" i="11"/>
  <c r="CN57" i="11"/>
  <c r="CO63" i="11"/>
  <c r="CO31" i="11"/>
  <c r="CL68" i="11"/>
  <c r="CL44" i="11"/>
  <c r="CL28" i="11"/>
  <c r="CL4" i="11"/>
  <c r="CM32" i="11"/>
  <c r="CL75" i="11"/>
  <c r="CL67" i="11"/>
  <c r="CL59" i="11"/>
  <c r="CL51" i="11"/>
  <c r="CL43" i="11"/>
  <c r="CL35" i="11"/>
  <c r="CL27" i="11"/>
  <c r="CL19" i="11"/>
  <c r="CL11" i="11"/>
  <c r="CM3" i="11"/>
  <c r="CM60" i="11"/>
  <c r="CM44" i="11"/>
  <c r="CM28" i="11"/>
  <c r="CM12" i="11"/>
  <c r="CN73" i="11"/>
  <c r="CN65" i="11"/>
  <c r="CN53" i="11"/>
  <c r="CN37" i="11"/>
  <c r="CN21" i="11"/>
  <c r="CN5" i="11"/>
  <c r="CO68" i="11"/>
  <c r="CO60" i="11"/>
  <c r="CO52" i="11"/>
  <c r="CO44" i="11"/>
  <c r="CO36" i="11"/>
  <c r="CO28" i="11"/>
  <c r="CO20" i="11"/>
  <c r="CO12" i="11"/>
  <c r="CO4" i="11"/>
  <c r="CL3" i="11"/>
  <c r="CL52" i="11"/>
  <c r="CL20" i="11"/>
  <c r="CM48" i="11"/>
  <c r="CN3" i="11"/>
  <c r="CL72" i="11"/>
  <c r="CL64" i="11"/>
  <c r="CL56" i="11"/>
  <c r="CL48" i="11"/>
  <c r="CL40" i="11"/>
  <c r="CL32" i="11"/>
  <c r="CL24" i="11"/>
  <c r="CL16" i="11"/>
  <c r="CL8" i="11"/>
  <c r="CM72" i="11"/>
  <c r="CM56" i="11"/>
  <c r="CM40" i="11"/>
  <c r="CM24" i="11"/>
  <c r="CM8" i="11"/>
  <c r="CN72" i="11"/>
  <c r="CN64" i="11"/>
  <c r="CN49" i="11"/>
  <c r="CN33" i="11"/>
  <c r="CN17" i="11"/>
  <c r="CO75" i="11"/>
  <c r="CO67" i="11"/>
  <c r="CO59" i="11"/>
  <c r="CO51" i="11"/>
  <c r="CO43" i="11"/>
  <c r="CO35" i="11"/>
  <c r="CO27" i="11"/>
  <c r="CO19" i="11"/>
  <c r="CO11" i="11"/>
  <c r="CL60" i="11"/>
  <c r="CL36" i="11"/>
  <c r="CL12" i="11"/>
  <c r="CM64" i="11"/>
  <c r="CM16" i="11"/>
  <c r="CN68" i="11"/>
  <c r="CL71" i="11"/>
  <c r="CL63" i="11"/>
  <c r="CL55" i="11"/>
  <c r="CL47" i="11"/>
  <c r="CL39" i="11"/>
  <c r="CL31" i="11"/>
  <c r="CL23" i="11"/>
  <c r="CL15" i="11"/>
  <c r="CL7" i="11"/>
  <c r="CM52" i="11"/>
  <c r="CM36" i="11"/>
  <c r="CM20" i="11"/>
  <c r="CM4" i="11"/>
  <c r="CN69" i="11"/>
  <c r="CN61" i="11"/>
  <c r="CN45" i="11"/>
  <c r="CN29" i="11"/>
  <c r="CN13" i="11"/>
  <c r="CO56" i="11"/>
  <c r="CO48" i="11"/>
  <c r="CO40" i="11"/>
  <c r="CO32" i="11"/>
  <c r="CO24" i="11"/>
  <c r="CO16" i="11"/>
  <c r="CO8" i="11"/>
  <c r="AX3" i="10"/>
  <c r="AV3" i="10"/>
  <c r="AY67" i="10"/>
  <c r="AV73" i="10"/>
  <c r="AV65" i="10"/>
  <c r="AV57" i="10"/>
  <c r="AV61" i="10"/>
  <c r="AV69" i="10"/>
  <c r="AY75" i="10"/>
  <c r="AY59" i="10"/>
  <c r="AY71" i="10"/>
  <c r="AY63" i="10"/>
  <c r="AY55" i="10"/>
  <c r="AV51" i="10"/>
  <c r="AY72" i="10"/>
  <c r="AY68" i="10"/>
  <c r="AY64" i="10"/>
  <c r="AY60" i="10"/>
  <c r="AY56" i="10"/>
  <c r="AY52" i="10"/>
  <c r="AY48" i="10"/>
  <c r="AY44" i="10"/>
  <c r="AY40" i="10"/>
  <c r="AY36" i="10"/>
  <c r="AY32" i="10"/>
  <c r="AY28" i="10"/>
  <c r="AY24" i="10"/>
  <c r="AY20" i="10"/>
  <c r="AY16" i="10"/>
  <c r="AY12" i="10"/>
  <c r="AY8" i="10"/>
  <c r="AY4" i="10"/>
  <c r="AX72" i="10"/>
  <c r="AX68" i="10"/>
  <c r="AX64" i="10"/>
  <c r="AX60" i="10"/>
  <c r="AX56" i="10"/>
  <c r="AX52" i="10"/>
  <c r="AX48" i="10"/>
  <c r="AX44" i="10"/>
  <c r="AX40" i="10"/>
  <c r="AX36" i="10"/>
  <c r="AX32" i="10"/>
  <c r="AX28" i="10"/>
  <c r="AX24" i="10"/>
  <c r="AX20" i="10"/>
  <c r="AX16" i="10"/>
  <c r="AX12" i="10"/>
  <c r="AX8" i="10"/>
  <c r="AX4" i="10"/>
  <c r="AW72" i="10"/>
  <c r="AW68" i="10"/>
  <c r="AW64" i="10"/>
  <c r="AW60" i="10"/>
  <c r="AW56" i="10"/>
  <c r="AW52" i="10"/>
  <c r="AW48" i="10"/>
  <c r="AW44" i="10"/>
  <c r="AW40" i="10"/>
  <c r="AW36" i="10"/>
  <c r="AW32" i="10"/>
  <c r="AW28" i="10"/>
  <c r="AW24" i="10"/>
  <c r="AW20" i="10"/>
  <c r="AW16" i="10"/>
  <c r="AW12" i="10"/>
  <c r="AW8" i="10"/>
  <c r="AW4" i="10"/>
  <c r="AY47" i="10"/>
  <c r="AY43" i="10"/>
  <c r="AY39" i="10"/>
  <c r="AY35" i="10"/>
  <c r="AY31" i="10"/>
  <c r="AY27" i="10"/>
  <c r="AY23" i="10"/>
  <c r="AY19" i="10"/>
  <c r="AY15" i="10"/>
  <c r="AY11" i="10"/>
  <c r="AY7" i="10"/>
  <c r="AX75" i="10"/>
  <c r="AX71" i="10"/>
  <c r="AX67" i="10"/>
  <c r="AX63" i="10"/>
  <c r="AX59" i="10"/>
  <c r="AX55" i="10"/>
  <c r="AX51" i="10"/>
  <c r="AX47" i="10"/>
  <c r="AX43" i="10"/>
  <c r="AX39" i="10"/>
  <c r="AX35" i="10"/>
  <c r="AX31" i="10"/>
  <c r="AX27" i="10"/>
  <c r="AX23" i="10"/>
  <c r="AX19" i="10"/>
  <c r="AX15" i="10"/>
  <c r="AX11" i="10"/>
  <c r="AX7" i="10"/>
  <c r="AW75" i="10"/>
  <c r="AW71" i="10"/>
  <c r="AW67" i="10"/>
  <c r="AW63" i="10"/>
  <c r="AW59" i="10"/>
  <c r="AW55" i="10"/>
  <c r="AW51" i="10"/>
  <c r="AW47" i="10"/>
  <c r="AW43" i="10"/>
  <c r="AW39" i="10"/>
  <c r="AW35" i="10"/>
  <c r="AW31" i="10"/>
  <c r="AW27" i="10"/>
  <c r="AW23" i="10"/>
  <c r="AW19" i="10"/>
  <c r="AW15" i="10"/>
  <c r="AW11" i="10"/>
  <c r="AW7" i="10"/>
  <c r="AY74" i="10"/>
  <c r="AY70" i="10"/>
  <c r="AY66" i="10"/>
  <c r="AY62" i="10"/>
  <c r="AY58" i="10"/>
  <c r="AY54" i="10"/>
  <c r="AY50" i="10"/>
  <c r="AY46" i="10"/>
  <c r="AY42" i="10"/>
  <c r="AY38" i="10"/>
  <c r="AY34" i="10"/>
  <c r="AY30" i="10"/>
  <c r="AY26" i="10"/>
  <c r="AY22" i="10"/>
  <c r="AY18" i="10"/>
  <c r="AY14" i="10"/>
  <c r="AY10" i="10"/>
  <c r="AY6" i="10"/>
  <c r="AX74" i="10"/>
  <c r="AX70" i="10"/>
  <c r="AX66" i="10"/>
  <c r="AX62" i="10"/>
  <c r="AX58" i="10"/>
  <c r="AX54" i="10"/>
  <c r="AX50" i="10"/>
  <c r="AX46" i="10"/>
  <c r="AX42" i="10"/>
  <c r="AX38" i="10"/>
  <c r="AX34" i="10"/>
  <c r="AX30" i="10"/>
  <c r="AX26" i="10"/>
  <c r="AX22" i="10"/>
  <c r="AX18" i="10"/>
  <c r="AX14" i="10"/>
  <c r="AX10" i="10"/>
  <c r="AX6" i="10"/>
  <c r="AW74" i="10"/>
  <c r="AW70" i="10"/>
  <c r="AW66" i="10"/>
  <c r="AW62" i="10"/>
  <c r="AW58" i="10"/>
  <c r="AW54" i="10"/>
  <c r="AW50" i="10"/>
  <c r="AW46" i="10"/>
  <c r="AW42" i="10"/>
  <c r="AW38" i="10"/>
  <c r="AW34" i="10"/>
  <c r="AW30" i="10"/>
  <c r="AW26" i="10"/>
  <c r="AW22" i="10"/>
  <c r="AW18" i="10"/>
  <c r="AW14" i="10"/>
  <c r="AW10" i="10"/>
  <c r="AW6" i="10"/>
  <c r="AY53" i="10"/>
  <c r="AY49" i="10"/>
  <c r="AY45" i="10"/>
  <c r="AY41" i="10"/>
  <c r="AY37" i="10"/>
  <c r="AY33" i="10"/>
  <c r="AY29" i="10"/>
  <c r="AY25" i="10"/>
  <c r="AY21" i="10"/>
  <c r="AY17" i="10"/>
  <c r="AY13" i="10"/>
  <c r="AY9" i="10"/>
  <c r="AY5" i="10"/>
  <c r="AX73" i="10"/>
  <c r="AX69" i="10"/>
  <c r="AX65" i="10"/>
  <c r="AX61" i="10"/>
  <c r="AX57" i="10"/>
  <c r="AX53" i="10"/>
  <c r="AX49" i="10"/>
  <c r="AX45" i="10"/>
  <c r="AX41" i="10"/>
  <c r="AX37" i="10"/>
  <c r="AX33" i="10"/>
  <c r="AX29" i="10"/>
  <c r="AX25" i="10"/>
  <c r="AX21" i="10"/>
  <c r="AX17" i="10"/>
  <c r="AX13" i="10"/>
  <c r="AX9" i="10"/>
  <c r="AX5" i="10"/>
  <c r="AW73" i="10"/>
  <c r="AW69" i="10"/>
  <c r="AW65" i="10"/>
  <c r="AW61" i="10"/>
  <c r="AW57" i="10"/>
  <c r="AW53" i="10"/>
  <c r="AW49" i="10"/>
  <c r="AW45" i="10"/>
  <c r="AW41" i="10"/>
  <c r="AW37" i="10"/>
  <c r="AW33" i="10"/>
  <c r="AW29" i="10"/>
  <c r="AW25" i="10"/>
  <c r="AW21" i="10"/>
  <c r="AW17" i="10"/>
  <c r="AW13" i="10"/>
  <c r="AW9" i="10"/>
  <c r="AW5" i="10"/>
  <c r="CL74" i="11"/>
  <c r="CL70" i="11"/>
  <c r="CL66" i="11"/>
  <c r="CL62" i="11"/>
  <c r="CL58" i="11"/>
  <c r="CL54" i="11"/>
  <c r="CL50" i="11"/>
  <c r="CL46" i="11"/>
  <c r="CL42" i="11"/>
  <c r="CL38" i="11"/>
  <c r="CL34" i="11"/>
  <c r="CL30" i="11"/>
  <c r="CL26" i="11"/>
  <c r="CL22" i="11"/>
  <c r="CL18" i="11"/>
  <c r="CL14" i="11"/>
  <c r="CL10" i="11"/>
  <c r="CL6" i="11"/>
  <c r="CM75" i="11"/>
  <c r="CM71" i="11"/>
  <c r="CM67" i="11"/>
  <c r="CM63" i="11"/>
  <c r="CM59" i="11"/>
  <c r="CM55" i="11"/>
  <c r="CM51" i="11"/>
  <c r="CM47" i="11"/>
  <c r="CM43" i="11"/>
  <c r="CM39" i="11"/>
  <c r="CM35" i="11"/>
  <c r="CM31" i="11"/>
  <c r="CM27" i="11"/>
  <c r="CM23" i="11"/>
  <c r="CM19" i="11"/>
  <c r="CM15" i="11"/>
  <c r="CM11" i="11"/>
  <c r="CM7" i="11"/>
  <c r="CO74" i="11"/>
  <c r="CO70" i="11"/>
  <c r="CO66" i="11"/>
  <c r="CO62" i="11"/>
  <c r="CO58" i="11"/>
  <c r="CO54" i="11"/>
  <c r="CO50" i="11"/>
  <c r="CO46" i="11"/>
  <c r="CO42" i="11"/>
  <c r="CO38" i="11"/>
  <c r="CO34" i="11"/>
  <c r="CO30" i="11"/>
  <c r="CO26" i="11"/>
  <c r="CO22" i="11"/>
  <c r="CO18" i="11"/>
  <c r="CO14" i="11"/>
  <c r="CO10" i="11"/>
  <c r="CO6" i="11"/>
  <c r="CL73" i="11"/>
  <c r="CL69" i="11"/>
  <c r="CL65" i="11"/>
  <c r="CL61" i="11"/>
  <c r="CL57" i="11"/>
  <c r="CL53" i="11"/>
  <c r="CL49" i="11"/>
  <c r="CL45" i="11"/>
  <c r="CL41" i="11"/>
  <c r="CL37" i="11"/>
  <c r="CL33" i="11"/>
  <c r="CL29" i="11"/>
  <c r="CL25" i="11"/>
  <c r="CL21" i="11"/>
  <c r="CL17" i="11"/>
  <c r="CL13" i="11"/>
  <c r="CL9" i="11"/>
  <c r="CL5" i="11"/>
  <c r="CM74" i="11"/>
  <c r="CM70" i="11"/>
  <c r="CM66" i="11"/>
  <c r="CM62" i="11"/>
  <c r="CM58" i="11"/>
  <c r="CM54" i="11"/>
  <c r="CM50" i="11"/>
  <c r="CM46" i="11"/>
  <c r="CM42" i="11"/>
  <c r="CM38" i="11"/>
  <c r="CM34" i="11"/>
  <c r="CM30" i="11"/>
  <c r="CM26" i="11"/>
  <c r="CM22" i="11"/>
  <c r="CM18" i="11"/>
  <c r="CM14" i="11"/>
  <c r="CM10" i="11"/>
  <c r="CM6" i="11"/>
  <c r="CO73" i="11"/>
  <c r="CO69" i="11"/>
  <c r="CO65" i="11"/>
  <c r="CO61" i="11"/>
  <c r="CO57" i="11"/>
  <c r="CO53" i="11"/>
  <c r="CO49" i="11"/>
  <c r="CO45" i="11"/>
  <c r="CO41" i="11"/>
  <c r="CO37" i="11"/>
  <c r="CO33" i="11"/>
  <c r="CO29" i="11"/>
  <c r="CO25" i="11"/>
  <c r="CO21" i="11"/>
  <c r="CO17" i="11"/>
  <c r="CO13" i="11"/>
  <c r="CO9" i="11"/>
  <c r="CO5" i="11"/>
  <c r="G13" i="11"/>
  <c r="G11" i="11"/>
  <c r="G10" i="11"/>
  <c r="I10" i="11"/>
  <c r="T31" i="11" l="1" a="1"/>
  <c r="T31" i="11" s="1"/>
  <c r="T30" i="11"/>
  <c r="U30" i="11"/>
  <c r="V30" i="11"/>
  <c r="BN13" i="11"/>
  <c r="Y31" i="11" l="1"/>
  <c r="M24" i="10" l="1"/>
  <c r="J24" i="10" s="1"/>
  <c r="G24" i="10" s="1"/>
  <c r="H24" i="10" s="1"/>
  <c r="M25" i="10"/>
  <c r="J25" i="10" l="1"/>
  <c r="G25" i="10" s="1"/>
  <c r="H25" i="10" s="1"/>
  <c r="O25" i="10"/>
  <c r="G5" i="29"/>
  <c r="F5" i="29"/>
  <c r="E5" i="29"/>
  <c r="D5" i="29"/>
  <c r="C5" i="29"/>
  <c r="B23" i="10"/>
  <c r="C23" i="10"/>
  <c r="D23" i="10"/>
  <c r="E23" i="10"/>
  <c r="B22" i="10"/>
  <c r="C22" i="10"/>
  <c r="D22" i="10"/>
  <c r="E22" i="10"/>
  <c r="B21" i="10"/>
  <c r="C21" i="10"/>
  <c r="D21" i="10"/>
  <c r="E21" i="10"/>
  <c r="B20" i="10"/>
  <c r="C20" i="10"/>
  <c r="D20" i="10"/>
  <c r="E20" i="10"/>
  <c r="B19" i="10"/>
  <c r="C19" i="10"/>
  <c r="D19" i="10"/>
  <c r="E19" i="10"/>
  <c r="F19" i="10"/>
  <c r="G1268" i="28" l="1"/>
  <c r="G1269" i="28"/>
  <c r="G1267" i="28"/>
  <c r="G1266" i="28"/>
  <c r="G1265" i="28"/>
  <c r="G1264" i="28"/>
  <c r="G1263" i="28"/>
  <c r="G1261" i="28"/>
  <c r="G1262" i="28"/>
  <c r="G1260" i="28"/>
  <c r="G1259" i="28"/>
  <c r="G2" i="28"/>
  <c r="G6" i="28"/>
  <c r="G10" i="28"/>
  <c r="G14" i="28"/>
  <c r="G18" i="28"/>
  <c r="G22" i="28"/>
  <c r="G26" i="28"/>
  <c r="G30" i="28"/>
  <c r="G34" i="28"/>
  <c r="G38" i="28"/>
  <c r="G42" i="28"/>
  <c r="G46" i="28"/>
  <c r="G50" i="28"/>
  <c r="G54" i="28"/>
  <c r="G58" i="28"/>
  <c r="G62" i="28"/>
  <c r="G66" i="28"/>
  <c r="G70" i="28"/>
  <c r="G74" i="28"/>
  <c r="G78" i="28"/>
  <c r="G82" i="28"/>
  <c r="G86" i="28"/>
  <c r="G90" i="28"/>
  <c r="G94" i="28"/>
  <c r="G98" i="28"/>
  <c r="G102" i="28"/>
  <c r="G106" i="28"/>
  <c r="G110" i="28"/>
  <c r="G114" i="28"/>
  <c r="G118" i="28"/>
  <c r="G122" i="28"/>
  <c r="G126" i="28"/>
  <c r="G130" i="28"/>
  <c r="G134" i="28"/>
  <c r="G138" i="28"/>
  <c r="G142" i="28"/>
  <c r="G146" i="28"/>
  <c r="G150" i="28"/>
  <c r="G154" i="28"/>
  <c r="G158" i="28"/>
  <c r="G162" i="28"/>
  <c r="G166" i="28"/>
  <c r="G170" i="28"/>
  <c r="G174" i="28"/>
  <c r="G178" i="28"/>
  <c r="G182" i="28"/>
  <c r="G186" i="28"/>
  <c r="G190" i="28"/>
  <c r="G194" i="28"/>
  <c r="G198" i="28"/>
  <c r="G202" i="28"/>
  <c r="G206" i="28"/>
  <c r="G210" i="28"/>
  <c r="G214" i="28"/>
  <c r="G218" i="28"/>
  <c r="G222" i="28"/>
  <c r="G226" i="28"/>
  <c r="G230" i="28"/>
  <c r="G234" i="28"/>
  <c r="G238" i="28"/>
  <c r="G242" i="28"/>
  <c r="G246" i="28"/>
  <c r="G250" i="28"/>
  <c r="G254" i="28"/>
  <c r="G258" i="28"/>
  <c r="G262" i="28"/>
  <c r="G266" i="28"/>
  <c r="G270" i="28"/>
  <c r="G274" i="28"/>
  <c r="G278" i="28"/>
  <c r="G282" i="28"/>
  <c r="G286" i="28"/>
  <c r="G290" i="28"/>
  <c r="G294" i="28"/>
  <c r="G298" i="28"/>
  <c r="G302" i="28"/>
  <c r="G306" i="28"/>
  <c r="G310" i="28"/>
  <c r="G314" i="28"/>
  <c r="G318" i="28"/>
  <c r="G322" i="28"/>
  <c r="G326" i="28"/>
  <c r="G330" i="28"/>
  <c r="G334" i="28"/>
  <c r="G338" i="28"/>
  <c r="G3" i="28"/>
  <c r="G7" i="28"/>
  <c r="G11" i="28"/>
  <c r="G15" i="28"/>
  <c r="G19" i="28"/>
  <c r="G23" i="28"/>
  <c r="G27" i="28"/>
  <c r="G31" i="28"/>
  <c r="G35" i="28"/>
  <c r="G39" i="28"/>
  <c r="G43" i="28"/>
  <c r="G47" i="28"/>
  <c r="G51" i="28"/>
  <c r="G55" i="28"/>
  <c r="G59" i="28"/>
  <c r="G63" i="28"/>
  <c r="G67" i="28"/>
  <c r="G71" i="28"/>
  <c r="G75" i="28"/>
  <c r="G79" i="28"/>
  <c r="G83" i="28"/>
  <c r="G87" i="28"/>
  <c r="G91" i="28"/>
  <c r="G95" i="28"/>
  <c r="G99" i="28"/>
  <c r="G103" i="28"/>
  <c r="G107" i="28"/>
  <c r="G111" i="28"/>
  <c r="G115" i="28"/>
  <c r="G119" i="28"/>
  <c r="G123" i="28"/>
  <c r="G127" i="28"/>
  <c r="G131" i="28"/>
  <c r="G135" i="28"/>
  <c r="G139" i="28"/>
  <c r="G143" i="28"/>
  <c r="G147" i="28"/>
  <c r="G151" i="28"/>
  <c r="G155" i="28"/>
  <c r="G159" i="28"/>
  <c r="G163" i="28"/>
  <c r="G167" i="28"/>
  <c r="G171" i="28"/>
  <c r="G175" i="28"/>
  <c r="G179" i="28"/>
  <c r="G183" i="28"/>
  <c r="G187" i="28"/>
  <c r="G191" i="28"/>
  <c r="G195" i="28"/>
  <c r="G199" i="28"/>
  <c r="G203" i="28"/>
  <c r="G207" i="28"/>
  <c r="G211" i="28"/>
  <c r="G215" i="28"/>
  <c r="G219" i="28"/>
  <c r="G223" i="28"/>
  <c r="G227" i="28"/>
  <c r="G231" i="28"/>
  <c r="G235" i="28"/>
  <c r="G239" i="28"/>
  <c r="G243" i="28"/>
  <c r="G247" i="28"/>
  <c r="G251" i="28"/>
  <c r="G255" i="28"/>
  <c r="G259" i="28"/>
  <c r="G263" i="28"/>
  <c r="G267" i="28"/>
  <c r="G271" i="28"/>
  <c r="G275" i="28"/>
  <c r="G279" i="28"/>
  <c r="G283" i="28"/>
  <c r="G287" i="28"/>
  <c r="G291" i="28"/>
  <c r="G295" i="28"/>
  <c r="G299" i="28"/>
  <c r="G303" i="28"/>
  <c r="G307" i="28"/>
  <c r="G311" i="28"/>
  <c r="G315" i="28"/>
  <c r="G319" i="28"/>
  <c r="G323" i="28"/>
  <c r="G327" i="28"/>
  <c r="G331" i="28"/>
  <c r="G335" i="28"/>
  <c r="G339" i="28"/>
  <c r="G4" i="28"/>
  <c r="G8" i="28"/>
  <c r="G12" i="28"/>
  <c r="G16" i="28"/>
  <c r="G20" i="28"/>
  <c r="G24" i="28"/>
  <c r="G28" i="28"/>
  <c r="G32" i="28"/>
  <c r="G36" i="28"/>
  <c r="G40" i="28"/>
  <c r="G44" i="28"/>
  <c r="G48" i="28"/>
  <c r="G52" i="28"/>
  <c r="G56" i="28"/>
  <c r="G60" i="28"/>
  <c r="G64" i="28"/>
  <c r="G68" i="28"/>
  <c r="G72" i="28"/>
  <c r="G76" i="28"/>
  <c r="G80" i="28"/>
  <c r="G84" i="28"/>
  <c r="G88" i="28"/>
  <c r="G92" i="28"/>
  <c r="G96" i="28"/>
  <c r="G100" i="28"/>
  <c r="G104" i="28"/>
  <c r="G108" i="28"/>
  <c r="G112" i="28"/>
  <c r="G116" i="28"/>
  <c r="G120" i="28"/>
  <c r="G124" i="28"/>
  <c r="G128" i="28"/>
  <c r="G132" i="28"/>
  <c r="G136" i="28"/>
  <c r="G140" i="28"/>
  <c r="G144" i="28"/>
  <c r="G148" i="28"/>
  <c r="G152" i="28"/>
  <c r="G156" i="28"/>
  <c r="G160" i="28"/>
  <c r="G164" i="28"/>
  <c r="G168" i="28"/>
  <c r="G172" i="28"/>
  <c r="G176" i="28"/>
  <c r="G180" i="28"/>
  <c r="G184" i="28"/>
  <c r="G188" i="28"/>
  <c r="G192" i="28"/>
  <c r="G196" i="28"/>
  <c r="G200" i="28"/>
  <c r="G204" i="28"/>
  <c r="G208" i="28"/>
  <c r="G212" i="28"/>
  <c r="G216" i="28"/>
  <c r="G220" i="28"/>
  <c r="G224" i="28"/>
  <c r="G228" i="28"/>
  <c r="G232" i="28"/>
  <c r="G236" i="28"/>
  <c r="G240" i="28"/>
  <c r="G244" i="28"/>
  <c r="G248" i="28"/>
  <c r="G252" i="28"/>
  <c r="G256" i="28"/>
  <c r="G260" i="28"/>
  <c r="G264" i="28"/>
  <c r="G268" i="28"/>
  <c r="G272" i="28"/>
  <c r="G276" i="28"/>
  <c r="G280" i="28"/>
  <c r="G284" i="28"/>
  <c r="G288" i="28"/>
  <c r="G292" i="28"/>
  <c r="G296" i="28"/>
  <c r="G300" i="28"/>
  <c r="G304" i="28"/>
  <c r="G308" i="28"/>
  <c r="G312" i="28"/>
  <c r="G316" i="28"/>
  <c r="G320" i="28"/>
  <c r="G324" i="28"/>
  <c r="G328" i="28"/>
  <c r="G332" i="28"/>
  <c r="G336" i="28"/>
  <c r="G340" i="28"/>
  <c r="G5" i="28"/>
  <c r="G21" i="28"/>
  <c r="G37" i="28"/>
  <c r="G53" i="28"/>
  <c r="G69" i="28"/>
  <c r="G85" i="28"/>
  <c r="G101" i="28"/>
  <c r="G117" i="28"/>
  <c r="G133" i="28"/>
  <c r="G149" i="28"/>
  <c r="G165" i="28"/>
  <c r="G181" i="28"/>
  <c r="G197" i="28"/>
  <c r="G213" i="28"/>
  <c r="G229" i="28"/>
  <c r="G245" i="28"/>
  <c r="G261" i="28"/>
  <c r="G277" i="28"/>
  <c r="G293" i="28"/>
  <c r="G309" i="28"/>
  <c r="G325" i="28"/>
  <c r="G341" i="28"/>
  <c r="G345" i="28"/>
  <c r="G349" i="28"/>
  <c r="G353" i="28"/>
  <c r="G357" i="28"/>
  <c r="G361" i="28"/>
  <c r="G365" i="28"/>
  <c r="G369" i="28"/>
  <c r="G373" i="28"/>
  <c r="G377" i="28"/>
  <c r="G381" i="28"/>
  <c r="G385" i="28"/>
  <c r="G389" i="28"/>
  <c r="G393" i="28"/>
  <c r="G397" i="28"/>
  <c r="G401" i="28"/>
  <c r="G405" i="28"/>
  <c r="G409" i="28"/>
  <c r="G413" i="28"/>
  <c r="G417" i="28"/>
  <c r="G421" i="28"/>
  <c r="G425" i="28"/>
  <c r="G429" i="28"/>
  <c r="G433" i="28"/>
  <c r="G437" i="28"/>
  <c r="G441" i="28"/>
  <c r="G445" i="28"/>
  <c r="G449" i="28"/>
  <c r="G453" i="28"/>
  <c r="G457" i="28"/>
  <c r="G461" i="28"/>
  <c r="G465" i="28"/>
  <c r="G469" i="28"/>
  <c r="G473" i="28"/>
  <c r="G477" i="28"/>
  <c r="G481" i="28"/>
  <c r="G485" i="28"/>
  <c r="G489" i="28"/>
  <c r="G493" i="28"/>
  <c r="G497" i="28"/>
  <c r="G501" i="28"/>
  <c r="G505" i="28"/>
  <c r="G509" i="28"/>
  <c r="G513" i="28"/>
  <c r="G517" i="28"/>
  <c r="G521" i="28"/>
  <c r="G525" i="28"/>
  <c r="G529" i="28"/>
  <c r="G533" i="28"/>
  <c r="G537" i="28"/>
  <c r="G541" i="28"/>
  <c r="G545" i="28"/>
  <c r="G549" i="28"/>
  <c r="G553" i="28"/>
  <c r="G557" i="28"/>
  <c r="G561" i="28"/>
  <c r="G565" i="28"/>
  <c r="G569" i="28"/>
  <c r="G573" i="28"/>
  <c r="G577" i="28"/>
  <c r="G581" i="28"/>
  <c r="G585" i="28"/>
  <c r="G589" i="28"/>
  <c r="G593" i="28"/>
  <c r="G597" i="28"/>
  <c r="G9" i="28"/>
  <c r="G25" i="28"/>
  <c r="G41" i="28"/>
  <c r="G57" i="28"/>
  <c r="G73" i="28"/>
  <c r="G89" i="28"/>
  <c r="G105" i="28"/>
  <c r="G121" i="28"/>
  <c r="G137" i="28"/>
  <c r="G153" i="28"/>
  <c r="G169" i="28"/>
  <c r="G185" i="28"/>
  <c r="G201" i="28"/>
  <c r="G217" i="28"/>
  <c r="G233" i="28"/>
  <c r="G249" i="28"/>
  <c r="G265" i="28"/>
  <c r="G281" i="28"/>
  <c r="G297" i="28"/>
  <c r="G313" i="28"/>
  <c r="G329" i="28"/>
  <c r="G342" i="28"/>
  <c r="G346" i="28"/>
  <c r="G350" i="28"/>
  <c r="G354" i="28"/>
  <c r="G358" i="28"/>
  <c r="G362" i="28"/>
  <c r="G366" i="28"/>
  <c r="G370" i="28"/>
  <c r="G374" i="28"/>
  <c r="G378" i="28"/>
  <c r="G382" i="28"/>
  <c r="G386" i="28"/>
  <c r="G390" i="28"/>
  <c r="G394" i="28"/>
  <c r="G398" i="28"/>
  <c r="G402" i="28"/>
  <c r="G406" i="28"/>
  <c r="G410" i="28"/>
  <c r="G414" i="28"/>
  <c r="G418" i="28"/>
  <c r="G422" i="28"/>
  <c r="G426" i="28"/>
  <c r="G430" i="28"/>
  <c r="G434" i="28"/>
  <c r="G438" i="28"/>
  <c r="G442" i="28"/>
  <c r="G446" i="28"/>
  <c r="G450" i="28"/>
  <c r="G454" i="28"/>
  <c r="G458" i="28"/>
  <c r="G462" i="28"/>
  <c r="G466" i="28"/>
  <c r="G470" i="28"/>
  <c r="G474" i="28"/>
  <c r="G478" i="28"/>
  <c r="G482" i="28"/>
  <c r="G486" i="28"/>
  <c r="G490" i="28"/>
  <c r="G494" i="28"/>
  <c r="G498" i="28"/>
  <c r="G502" i="28"/>
  <c r="G506" i="28"/>
  <c r="G510" i="28"/>
  <c r="G514" i="28"/>
  <c r="G518" i="28"/>
  <c r="G522" i="28"/>
  <c r="G526" i="28"/>
  <c r="G530" i="28"/>
  <c r="G534" i="28"/>
  <c r="G538" i="28"/>
  <c r="G542" i="28"/>
  <c r="G546" i="28"/>
  <c r="G550" i="28"/>
  <c r="G554" i="28"/>
  <c r="G558" i="28"/>
  <c r="G562" i="28"/>
  <c r="G566" i="28"/>
  <c r="G570" i="28"/>
  <c r="G574" i="28"/>
  <c r="G578" i="28"/>
  <c r="G582" i="28"/>
  <c r="G586" i="28"/>
  <c r="G590" i="28"/>
  <c r="G594" i="28"/>
  <c r="G13" i="28"/>
  <c r="G29" i="28"/>
  <c r="G45" i="28"/>
  <c r="G61" i="28"/>
  <c r="G77" i="28"/>
  <c r="G93" i="28"/>
  <c r="G109" i="28"/>
  <c r="G125" i="28"/>
  <c r="G141" i="28"/>
  <c r="G157" i="28"/>
  <c r="G173" i="28"/>
  <c r="G189" i="28"/>
  <c r="G205" i="28"/>
  <c r="G221" i="28"/>
  <c r="G237" i="28"/>
  <c r="G253" i="28"/>
  <c r="G269" i="28"/>
  <c r="G285" i="28"/>
  <c r="G301" i="28"/>
  <c r="G317" i="28"/>
  <c r="G333" i="28"/>
  <c r="G343" i="28"/>
  <c r="G347" i="28"/>
  <c r="G351" i="28"/>
  <c r="G355" i="28"/>
  <c r="G359" i="28"/>
  <c r="G363" i="28"/>
  <c r="G367" i="28"/>
  <c r="G371" i="28"/>
  <c r="G375" i="28"/>
  <c r="G379" i="28"/>
  <c r="G383" i="28"/>
  <c r="G387" i="28"/>
  <c r="G391" i="28"/>
  <c r="G395" i="28"/>
  <c r="G399" i="28"/>
  <c r="G403" i="28"/>
  <c r="G407" i="28"/>
  <c r="G411" i="28"/>
  <c r="G415" i="28"/>
  <c r="G419" i="28"/>
  <c r="G423" i="28"/>
  <c r="G427" i="28"/>
  <c r="G431" i="28"/>
  <c r="G435" i="28"/>
  <c r="G439" i="28"/>
  <c r="G443" i="28"/>
  <c r="G447" i="28"/>
  <c r="G451" i="28"/>
  <c r="G455" i="28"/>
  <c r="G459" i="28"/>
  <c r="G463" i="28"/>
  <c r="G467" i="28"/>
  <c r="G471" i="28"/>
  <c r="G475" i="28"/>
  <c r="G479" i="28"/>
  <c r="G483" i="28"/>
  <c r="G487" i="28"/>
  <c r="G491" i="28"/>
  <c r="G495" i="28"/>
  <c r="G499" i="28"/>
  <c r="G503" i="28"/>
  <c r="G507" i="28"/>
  <c r="G511" i="28"/>
  <c r="G515" i="28"/>
  <c r="G519" i="28"/>
  <c r="G523" i="28"/>
  <c r="G527" i="28"/>
  <c r="G531" i="28"/>
  <c r="G535" i="28"/>
  <c r="G539" i="28"/>
  <c r="G543" i="28"/>
  <c r="G547" i="28"/>
  <c r="G551" i="28"/>
  <c r="G555" i="28"/>
  <c r="G559" i="28"/>
  <c r="G563" i="28"/>
  <c r="G567" i="28"/>
  <c r="G571" i="28"/>
  <c r="G575" i="28"/>
  <c r="G579" i="28"/>
  <c r="G583" i="28"/>
  <c r="G587" i="28"/>
  <c r="G591" i="28"/>
  <c r="G595" i="28"/>
  <c r="G17" i="28"/>
  <c r="G81" i="28"/>
  <c r="G145" i="28"/>
  <c r="G209" i="28"/>
  <c r="G273" i="28"/>
  <c r="G337" i="28"/>
  <c r="G356" i="28"/>
  <c r="G372" i="28"/>
  <c r="G388" i="28"/>
  <c r="G404" i="28"/>
  <c r="G420" i="28"/>
  <c r="G436" i="28"/>
  <c r="G452" i="28"/>
  <c r="G468" i="28"/>
  <c r="G484" i="28"/>
  <c r="G500" i="28"/>
  <c r="G516" i="28"/>
  <c r="G532" i="28"/>
  <c r="G548" i="28"/>
  <c r="G564" i="28"/>
  <c r="G580" i="28"/>
  <c r="G596" i="28"/>
  <c r="G601" i="28"/>
  <c r="G605" i="28"/>
  <c r="G609" i="28"/>
  <c r="G613" i="28"/>
  <c r="G617" i="28"/>
  <c r="G621" i="28"/>
  <c r="G625" i="28"/>
  <c r="G629" i="28"/>
  <c r="G633" i="28"/>
  <c r="G637" i="28"/>
  <c r="G641" i="28"/>
  <c r="G645" i="28"/>
  <c r="G649" i="28"/>
  <c r="G653" i="28"/>
  <c r="G657" i="28"/>
  <c r="G661" i="28"/>
  <c r="G665" i="28"/>
  <c r="G669" i="28"/>
  <c r="G673" i="28"/>
  <c r="G677" i="28"/>
  <c r="G681" i="28"/>
  <c r="G685" i="28"/>
  <c r="G689" i="28"/>
  <c r="G693" i="28"/>
  <c r="G697" i="28"/>
  <c r="G701" i="28"/>
  <c r="G705" i="28"/>
  <c r="G709" i="28"/>
  <c r="G713" i="28"/>
  <c r="G717" i="28"/>
  <c r="G721" i="28"/>
  <c r="G725" i="28"/>
  <c r="G729" i="28"/>
  <c r="G733" i="28"/>
  <c r="G737" i="28"/>
  <c r="G741" i="28"/>
  <c r="G745" i="28"/>
  <c r="G749" i="28"/>
  <c r="G753" i="28"/>
  <c r="G757" i="28"/>
  <c r="G761" i="28"/>
  <c r="G765" i="28"/>
  <c r="G769" i="28"/>
  <c r="G773" i="28"/>
  <c r="G777" i="28"/>
  <c r="G781" i="28"/>
  <c r="G785" i="28"/>
  <c r="G789" i="28"/>
  <c r="G793" i="28"/>
  <c r="G797" i="28"/>
  <c r="G801" i="28"/>
  <c r="G805" i="28"/>
  <c r="G809" i="28"/>
  <c r="G813" i="28"/>
  <c r="G817" i="28"/>
  <c r="G821" i="28"/>
  <c r="G825" i="28"/>
  <c r="G829" i="28"/>
  <c r="G833" i="28"/>
  <c r="G837" i="28"/>
  <c r="G841" i="28"/>
  <c r="G845" i="28"/>
  <c r="G849" i="28"/>
  <c r="G853" i="28"/>
  <c r="G33" i="28"/>
  <c r="G97" i="28"/>
  <c r="G161" i="28"/>
  <c r="G225" i="28"/>
  <c r="G289" i="28"/>
  <c r="G344" i="28"/>
  <c r="G360" i="28"/>
  <c r="G376" i="28"/>
  <c r="G392" i="28"/>
  <c r="G408" i="28"/>
  <c r="G424" i="28"/>
  <c r="G440" i="28"/>
  <c r="G456" i="28"/>
  <c r="G472" i="28"/>
  <c r="G488" i="28"/>
  <c r="G504" i="28"/>
  <c r="G520" i="28"/>
  <c r="G536" i="28"/>
  <c r="G552" i="28"/>
  <c r="G568" i="28"/>
  <c r="G584" i="28"/>
  <c r="G598" i="28"/>
  <c r="G602" i="28"/>
  <c r="G606" i="28"/>
  <c r="G610" i="28"/>
  <c r="G614" i="28"/>
  <c r="G618" i="28"/>
  <c r="G622" i="28"/>
  <c r="G626" i="28"/>
  <c r="G630" i="28"/>
  <c r="G634" i="28"/>
  <c r="G638" i="28"/>
  <c r="G642" i="28"/>
  <c r="G646" i="28"/>
  <c r="G650" i="28"/>
  <c r="G654" i="28"/>
  <c r="G658" i="28"/>
  <c r="G662" i="28"/>
  <c r="G666" i="28"/>
  <c r="G670" i="28"/>
  <c r="G674" i="28"/>
  <c r="G678" i="28"/>
  <c r="G682" i="28"/>
  <c r="G686" i="28"/>
  <c r="G690" i="28"/>
  <c r="G694" i="28"/>
  <c r="G698" i="28"/>
  <c r="G702" i="28"/>
  <c r="G706" i="28"/>
  <c r="G710" i="28"/>
  <c r="G714" i="28"/>
  <c r="G718" i="28"/>
  <c r="G722" i="28"/>
  <c r="G726" i="28"/>
  <c r="G730" i="28"/>
  <c r="G734" i="28"/>
  <c r="G738" i="28"/>
  <c r="G742" i="28"/>
  <c r="G746" i="28"/>
  <c r="G750" i="28"/>
  <c r="G754" i="28"/>
  <c r="G758" i="28"/>
  <c r="G762" i="28"/>
  <c r="G766" i="28"/>
  <c r="G770" i="28"/>
  <c r="G774" i="28"/>
  <c r="G778" i="28"/>
  <c r="G782" i="28"/>
  <c r="G786" i="28"/>
  <c r="G790" i="28"/>
  <c r="G794" i="28"/>
  <c r="G798" i="28"/>
  <c r="G802" i="28"/>
  <c r="G806" i="28"/>
  <c r="G810" i="28"/>
  <c r="G814" i="28"/>
  <c r="G818" i="28"/>
  <c r="G822" i="28"/>
  <c r="G826" i="28"/>
  <c r="G830" i="28"/>
  <c r="G834" i="28"/>
  <c r="G838" i="28"/>
  <c r="G842" i="28"/>
  <c r="G846" i="28"/>
  <c r="G850" i="28"/>
  <c r="G854" i="28"/>
  <c r="G49" i="28"/>
  <c r="G113" i="28"/>
  <c r="G177" i="28"/>
  <c r="G241" i="28"/>
  <c r="G305" i="28"/>
  <c r="G348" i="28"/>
  <c r="G364" i="28"/>
  <c r="G380" i="28"/>
  <c r="G396" i="28"/>
  <c r="G412" i="28"/>
  <c r="G428" i="28"/>
  <c r="G444" i="28"/>
  <c r="G460" i="28"/>
  <c r="G476" i="28"/>
  <c r="G492" i="28"/>
  <c r="G508" i="28"/>
  <c r="G524" i="28"/>
  <c r="G540" i="28"/>
  <c r="G556" i="28"/>
  <c r="G572" i="28"/>
  <c r="G588" i="28"/>
  <c r="G599" i="28"/>
  <c r="G603" i="28"/>
  <c r="G607" i="28"/>
  <c r="G611" i="28"/>
  <c r="G615" i="28"/>
  <c r="G619" i="28"/>
  <c r="G623" i="28"/>
  <c r="G627" i="28"/>
  <c r="G631" i="28"/>
  <c r="G635" i="28"/>
  <c r="G639" i="28"/>
  <c r="G643" i="28"/>
  <c r="G647" i="28"/>
  <c r="G651" i="28"/>
  <c r="G655" i="28"/>
  <c r="G659" i="28"/>
  <c r="G663" i="28"/>
  <c r="G667" i="28"/>
  <c r="G671" i="28"/>
  <c r="G675" i="28"/>
  <c r="G679" i="28"/>
  <c r="G683" i="28"/>
  <c r="G687" i="28"/>
  <c r="G691" i="28"/>
  <c r="G695" i="28"/>
  <c r="G699" i="28"/>
  <c r="G703" i="28"/>
  <c r="G707" i="28"/>
  <c r="G711" i="28"/>
  <c r="G715" i="28"/>
  <c r="G719" i="28"/>
  <c r="G723" i="28"/>
  <c r="G727" i="28"/>
  <c r="G731" i="28"/>
  <c r="G735" i="28"/>
  <c r="G739" i="28"/>
  <c r="G743" i="28"/>
  <c r="G747" i="28"/>
  <c r="G751" i="28"/>
  <c r="G755" i="28"/>
  <c r="G759" i="28"/>
  <c r="G763" i="28"/>
  <c r="G767" i="28"/>
  <c r="G771" i="28"/>
  <c r="G775" i="28"/>
  <c r="G779" i="28"/>
  <c r="G783" i="28"/>
  <c r="G787" i="28"/>
  <c r="G791" i="28"/>
  <c r="G795" i="28"/>
  <c r="G799" i="28"/>
  <c r="G803" i="28"/>
  <c r="G807" i="28"/>
  <c r="G811" i="28"/>
  <c r="G815" i="28"/>
  <c r="G819" i="28"/>
  <c r="G823" i="28"/>
  <c r="G827" i="28"/>
  <c r="G831" i="28"/>
  <c r="G835" i="28"/>
  <c r="G839" i="28"/>
  <c r="G843" i="28"/>
  <c r="G847" i="28"/>
  <c r="G851" i="28"/>
  <c r="G65" i="28"/>
  <c r="G321" i="28"/>
  <c r="G400" i="28"/>
  <c r="G464" i="28"/>
  <c r="G528" i="28"/>
  <c r="G592" i="28"/>
  <c r="G612" i="28"/>
  <c r="G628" i="28"/>
  <c r="G644" i="28"/>
  <c r="G660" i="28"/>
  <c r="G676" i="28"/>
  <c r="G692" i="28"/>
  <c r="G708" i="28"/>
  <c r="G724" i="28"/>
  <c r="G740" i="28"/>
  <c r="G756" i="28"/>
  <c r="G772" i="28"/>
  <c r="G788" i="28"/>
  <c r="G804" i="28"/>
  <c r="G820" i="28"/>
  <c r="G836" i="28"/>
  <c r="G852" i="28"/>
  <c r="G858" i="28"/>
  <c r="G862" i="28"/>
  <c r="G866" i="28"/>
  <c r="G870" i="28"/>
  <c r="G874" i="28"/>
  <c r="G878" i="28"/>
  <c r="G882" i="28"/>
  <c r="G886" i="28"/>
  <c r="G890" i="28"/>
  <c r="G894" i="28"/>
  <c r="G898" i="28"/>
  <c r="G902" i="28"/>
  <c r="G906" i="28"/>
  <c r="G910" i="28"/>
  <c r="G914" i="28"/>
  <c r="G918" i="28"/>
  <c r="G922" i="28"/>
  <c r="G926" i="28"/>
  <c r="G930" i="28"/>
  <c r="G934" i="28"/>
  <c r="G938" i="28"/>
  <c r="G942" i="28"/>
  <c r="G946" i="28"/>
  <c r="G950" i="28"/>
  <c r="G954" i="28"/>
  <c r="G958" i="28"/>
  <c r="G962" i="28"/>
  <c r="G966" i="28"/>
  <c r="G970" i="28"/>
  <c r="G974" i="28"/>
  <c r="G978" i="28"/>
  <c r="G982" i="28"/>
  <c r="G986" i="28"/>
  <c r="G990" i="28"/>
  <c r="G994" i="28"/>
  <c r="G998" i="28"/>
  <c r="G1002" i="28"/>
  <c r="G1006" i="28"/>
  <c r="G1010" i="28"/>
  <c r="G1014" i="28"/>
  <c r="G1018" i="28"/>
  <c r="G1022" i="28"/>
  <c r="G1026" i="28"/>
  <c r="G1030" i="28"/>
  <c r="G1034" i="28"/>
  <c r="G1038" i="28"/>
  <c r="G1042" i="28"/>
  <c r="G1046" i="28"/>
  <c r="G1050" i="28"/>
  <c r="G1054" i="28"/>
  <c r="G1058" i="28"/>
  <c r="G1062" i="28"/>
  <c r="G1066" i="28"/>
  <c r="G1070" i="28"/>
  <c r="G1074" i="28"/>
  <c r="G1078" i="28"/>
  <c r="G1082" i="28"/>
  <c r="G1086" i="28"/>
  <c r="G1090" i="28"/>
  <c r="G1094" i="28"/>
  <c r="G1098" i="28"/>
  <c r="G1102" i="28"/>
  <c r="G1106" i="28"/>
  <c r="G1110" i="28"/>
  <c r="G1114" i="28"/>
  <c r="G1118" i="28"/>
  <c r="G1122" i="28"/>
  <c r="G1126" i="28"/>
  <c r="G1130" i="28"/>
  <c r="G1134" i="28"/>
  <c r="G1138" i="28"/>
  <c r="G1142" i="28"/>
  <c r="G1146" i="28"/>
  <c r="G1150" i="28"/>
  <c r="G1154" i="28"/>
  <c r="G1158" i="28"/>
  <c r="G1162" i="28"/>
  <c r="G1166" i="28"/>
  <c r="G1170" i="28"/>
  <c r="G1174" i="28"/>
  <c r="G1178" i="28"/>
  <c r="G1182" i="28"/>
  <c r="G1186" i="28"/>
  <c r="G1190" i="28"/>
  <c r="G1194" i="28"/>
  <c r="G1198" i="28"/>
  <c r="G1202" i="28"/>
  <c r="G1206" i="28"/>
  <c r="G1210" i="28"/>
  <c r="G1214" i="28"/>
  <c r="G1218" i="28"/>
  <c r="G1222" i="28"/>
  <c r="G1226" i="28"/>
  <c r="G1230" i="28"/>
  <c r="G1234" i="28"/>
  <c r="G1238" i="28"/>
  <c r="G1242" i="28"/>
  <c r="G1246" i="28"/>
  <c r="G1250" i="28"/>
  <c r="G1254" i="28"/>
  <c r="G1258" i="28"/>
  <c r="G129" i="28"/>
  <c r="G352" i="28"/>
  <c r="G416" i="28"/>
  <c r="G480" i="28"/>
  <c r="G544" i="28"/>
  <c r="G600" i="28"/>
  <c r="G616" i="28"/>
  <c r="G632" i="28"/>
  <c r="G648" i="28"/>
  <c r="G664" i="28"/>
  <c r="G680" i="28"/>
  <c r="G696" i="28"/>
  <c r="G712" i="28"/>
  <c r="G728" i="28"/>
  <c r="G744" i="28"/>
  <c r="G760" i="28"/>
  <c r="G776" i="28"/>
  <c r="G792" i="28"/>
  <c r="G808" i="28"/>
  <c r="G824" i="28"/>
  <c r="G840" i="28"/>
  <c r="G855" i="28"/>
  <c r="G859" i="28"/>
  <c r="G863" i="28"/>
  <c r="G867" i="28"/>
  <c r="G871" i="28"/>
  <c r="G875" i="28"/>
  <c r="G879" i="28"/>
  <c r="G883" i="28"/>
  <c r="G887" i="28"/>
  <c r="G891" i="28"/>
  <c r="G895" i="28"/>
  <c r="G899" i="28"/>
  <c r="G903" i="28"/>
  <c r="G907" i="28"/>
  <c r="G911" i="28"/>
  <c r="G915" i="28"/>
  <c r="G919" i="28"/>
  <c r="G923" i="28"/>
  <c r="G927" i="28"/>
  <c r="G931" i="28"/>
  <c r="G935" i="28"/>
  <c r="G939" i="28"/>
  <c r="G943" i="28"/>
  <c r="G947" i="28"/>
  <c r="G951" i="28"/>
  <c r="G955" i="28"/>
  <c r="G959" i="28"/>
  <c r="G963" i="28"/>
  <c r="G967" i="28"/>
  <c r="G971" i="28"/>
  <c r="G975" i="28"/>
  <c r="G979" i="28"/>
  <c r="G983" i="28"/>
  <c r="G987" i="28"/>
  <c r="G991" i="28"/>
  <c r="G995" i="28"/>
  <c r="G999" i="28"/>
  <c r="G1003" i="28"/>
  <c r="G1007" i="28"/>
  <c r="G1011" i="28"/>
  <c r="G1015" i="28"/>
  <c r="G1019" i="28"/>
  <c r="G1023" i="28"/>
  <c r="G1027" i="28"/>
  <c r="G1031" i="28"/>
  <c r="G1035" i="28"/>
  <c r="G1039" i="28"/>
  <c r="G1043" i="28"/>
  <c r="G1047" i="28"/>
  <c r="G1051" i="28"/>
  <c r="G1055" i="28"/>
  <c r="G1059" i="28"/>
  <c r="G1063" i="28"/>
  <c r="G1067" i="28"/>
  <c r="G1071" i="28"/>
  <c r="G1075" i="28"/>
  <c r="G1079" i="28"/>
  <c r="G1083" i="28"/>
  <c r="G1087" i="28"/>
  <c r="G1091" i="28"/>
  <c r="G1095" i="28"/>
  <c r="G1099" i="28"/>
  <c r="G1103" i="28"/>
  <c r="G1107" i="28"/>
  <c r="G1111" i="28"/>
  <c r="G1115" i="28"/>
  <c r="G1119" i="28"/>
  <c r="G1123" i="28"/>
  <c r="G1127" i="28"/>
  <c r="G1131" i="28"/>
  <c r="G1135" i="28"/>
  <c r="G1139" i="28"/>
  <c r="G1143" i="28"/>
  <c r="G1147" i="28"/>
  <c r="G1151" i="28"/>
  <c r="G1155" i="28"/>
  <c r="G1159" i="28"/>
  <c r="G1163" i="28"/>
  <c r="G1167" i="28"/>
  <c r="G1171" i="28"/>
  <c r="G1175" i="28"/>
  <c r="G1179" i="28"/>
  <c r="G1183" i="28"/>
  <c r="G1187" i="28"/>
  <c r="G1191" i="28"/>
  <c r="G1195" i="28"/>
  <c r="G1199" i="28"/>
  <c r="G1203" i="28"/>
  <c r="G1207" i="28"/>
  <c r="G1211" i="28"/>
  <c r="G1215" i="28"/>
  <c r="G1219" i="28"/>
  <c r="G1223" i="28"/>
  <c r="G1227" i="28"/>
  <c r="G1231" i="28"/>
  <c r="G1235" i="28"/>
  <c r="G1239" i="28"/>
  <c r="G1243" i="28"/>
  <c r="G1247" i="28"/>
  <c r="G1251" i="28"/>
  <c r="G1255" i="28"/>
  <c r="G257" i="28"/>
  <c r="G448" i="28"/>
  <c r="G608" i="28"/>
  <c r="G640" i="28"/>
  <c r="G656" i="28"/>
  <c r="G688" i="28"/>
  <c r="G736" i="28"/>
  <c r="G768" i="28"/>
  <c r="G816" i="28"/>
  <c r="G832" i="28"/>
  <c r="G857" i="28"/>
  <c r="G865" i="28"/>
  <c r="G873" i="28"/>
  <c r="G885" i="28"/>
  <c r="G893" i="28"/>
  <c r="G901" i="28"/>
  <c r="G909" i="28"/>
  <c r="G917" i="28"/>
  <c r="G925" i="28"/>
  <c r="G937" i="28"/>
  <c r="G941" i="28"/>
  <c r="G949" i="28"/>
  <c r="G961" i="28"/>
  <c r="G969" i="28"/>
  <c r="G977" i="28"/>
  <c r="G985" i="28"/>
  <c r="G989" i="28"/>
  <c r="G1001" i="28"/>
  <c r="G1005" i="28"/>
  <c r="G1013" i="28"/>
  <c r="G1021" i="28"/>
  <c r="G1029" i="28"/>
  <c r="G1037" i="28"/>
  <c r="G1045" i="28"/>
  <c r="G1053" i="28"/>
  <c r="G1061" i="28"/>
  <c r="G1069" i="28"/>
  <c r="G1077" i="28"/>
  <c r="G1085" i="28"/>
  <c r="G1093" i="28"/>
  <c r="G1101" i="28"/>
  <c r="G1109" i="28"/>
  <c r="G1117" i="28"/>
  <c r="G1125" i="28"/>
  <c r="G1137" i="28"/>
  <c r="G1145" i="28"/>
  <c r="G193" i="28"/>
  <c r="G368" i="28"/>
  <c r="G432" i="28"/>
  <c r="G496" i="28"/>
  <c r="G560" i="28"/>
  <c r="G604" i="28"/>
  <c r="G620" i="28"/>
  <c r="G636" i="28"/>
  <c r="G652" i="28"/>
  <c r="G668" i="28"/>
  <c r="G684" i="28"/>
  <c r="G700" i="28"/>
  <c r="G716" i="28"/>
  <c r="G732" i="28"/>
  <c r="G748" i="28"/>
  <c r="G764" i="28"/>
  <c r="G780" i="28"/>
  <c r="G796" i="28"/>
  <c r="G812" i="28"/>
  <c r="G828" i="28"/>
  <c r="G844" i="28"/>
  <c r="G856" i="28"/>
  <c r="G860" i="28"/>
  <c r="G864" i="28"/>
  <c r="G868" i="28"/>
  <c r="G872" i="28"/>
  <c r="G876" i="28"/>
  <c r="G880" i="28"/>
  <c r="G884" i="28"/>
  <c r="G888" i="28"/>
  <c r="G892" i="28"/>
  <c r="G896" i="28"/>
  <c r="G900" i="28"/>
  <c r="G904" i="28"/>
  <c r="G908" i="28"/>
  <c r="G912" i="28"/>
  <c r="G916" i="28"/>
  <c r="G920" i="28"/>
  <c r="G924" i="28"/>
  <c r="G928" i="28"/>
  <c r="G932" i="28"/>
  <c r="G936" i="28"/>
  <c r="G940" i="28"/>
  <c r="G944" i="28"/>
  <c r="G948" i="28"/>
  <c r="G952" i="28"/>
  <c r="G956" i="28"/>
  <c r="G960" i="28"/>
  <c r="G964" i="28"/>
  <c r="G968" i="28"/>
  <c r="G972" i="28"/>
  <c r="G976" i="28"/>
  <c r="G980" i="28"/>
  <c r="G984" i="28"/>
  <c r="G988" i="28"/>
  <c r="G992" i="28"/>
  <c r="G996" i="28"/>
  <c r="G1000" i="28"/>
  <c r="G1004" i="28"/>
  <c r="G1008" i="28"/>
  <c r="G1012" i="28"/>
  <c r="G1016" i="28"/>
  <c r="G1020" i="28"/>
  <c r="G1024" i="28"/>
  <c r="G1028" i="28"/>
  <c r="G1032" i="28"/>
  <c r="G1036" i="28"/>
  <c r="G1040" i="28"/>
  <c r="G1044" i="28"/>
  <c r="G1048" i="28"/>
  <c r="G1052" i="28"/>
  <c r="G1056" i="28"/>
  <c r="G1060" i="28"/>
  <c r="G1064" i="28"/>
  <c r="G1068" i="28"/>
  <c r="G1072" i="28"/>
  <c r="G1076" i="28"/>
  <c r="G1080" i="28"/>
  <c r="G1084" i="28"/>
  <c r="G1088" i="28"/>
  <c r="G1092" i="28"/>
  <c r="G1096" i="28"/>
  <c r="G1100" i="28"/>
  <c r="G1104" i="28"/>
  <c r="G1108" i="28"/>
  <c r="G1112" i="28"/>
  <c r="G1116" i="28"/>
  <c r="G1120" i="28"/>
  <c r="G1124" i="28"/>
  <c r="G1128" i="28"/>
  <c r="G1132" i="28"/>
  <c r="G1136" i="28"/>
  <c r="G1140" i="28"/>
  <c r="G1144" i="28"/>
  <c r="G1148" i="28"/>
  <c r="G1152" i="28"/>
  <c r="G1156" i="28"/>
  <c r="G1160" i="28"/>
  <c r="G1164" i="28"/>
  <c r="G1168" i="28"/>
  <c r="G1172" i="28"/>
  <c r="G1176" i="28"/>
  <c r="G1180" i="28"/>
  <c r="G1184" i="28"/>
  <c r="G1188" i="28"/>
  <c r="G1192" i="28"/>
  <c r="G1196" i="28"/>
  <c r="G1200" i="28"/>
  <c r="G1204" i="28"/>
  <c r="G1208" i="28"/>
  <c r="G1212" i="28"/>
  <c r="G1216" i="28"/>
  <c r="G1220" i="28"/>
  <c r="G1224" i="28"/>
  <c r="G1228" i="28"/>
  <c r="G1232" i="28"/>
  <c r="G1236" i="28"/>
  <c r="G1240" i="28"/>
  <c r="G1244" i="28"/>
  <c r="G1248" i="28"/>
  <c r="G1252" i="28"/>
  <c r="G1256" i="28"/>
  <c r="G384" i="28"/>
  <c r="G512" i="28"/>
  <c r="G576" i="28"/>
  <c r="G624" i="28"/>
  <c r="G672" i="28"/>
  <c r="G704" i="28"/>
  <c r="G720" i="28"/>
  <c r="G752" i="28"/>
  <c r="G784" i="28"/>
  <c r="G800" i="28"/>
  <c r="G848" i="28"/>
  <c r="G861" i="28"/>
  <c r="G869" i="28"/>
  <c r="G877" i="28"/>
  <c r="G881" i="28"/>
  <c r="G889" i="28"/>
  <c r="G897" i="28"/>
  <c r="G905" i="28"/>
  <c r="G913" i="28"/>
  <c r="G921" i="28"/>
  <c r="G929" i="28"/>
  <c r="G933" i="28"/>
  <c r="G945" i="28"/>
  <c r="G953" i="28"/>
  <c r="G957" i="28"/>
  <c r="G965" i="28"/>
  <c r="G973" i="28"/>
  <c r="G981" i="28"/>
  <c r="G993" i="28"/>
  <c r="G997" i="28"/>
  <c r="G1009" i="28"/>
  <c r="G1017" i="28"/>
  <c r="G1025" i="28"/>
  <c r="G1033" i="28"/>
  <c r="G1041" i="28"/>
  <c r="G1049" i="28"/>
  <c r="G1057" i="28"/>
  <c r="G1065" i="28"/>
  <c r="G1073" i="28"/>
  <c r="G1081" i="28"/>
  <c r="G1089" i="28"/>
  <c r="G1097" i="28"/>
  <c r="G1105" i="28"/>
  <c r="G1113" i="28"/>
  <c r="G1121" i="28"/>
  <c r="G1129" i="28"/>
  <c r="G1133" i="28"/>
  <c r="G1141" i="28"/>
  <c r="G1149" i="28"/>
  <c r="G1165" i="28"/>
  <c r="G1181" i="28"/>
  <c r="G1197" i="28"/>
  <c r="G1213" i="28"/>
  <c r="G1229" i="28"/>
  <c r="G1245" i="28"/>
  <c r="G1193" i="28"/>
  <c r="G1153" i="28"/>
  <c r="G1169" i="28"/>
  <c r="G1185" i="28"/>
  <c r="G1201" i="28"/>
  <c r="G1217" i="28"/>
  <c r="G1233" i="28"/>
  <c r="G1249" i="28"/>
  <c r="G1161" i="28"/>
  <c r="G1209" i="28"/>
  <c r="G1241" i="28"/>
  <c r="G1157" i="28"/>
  <c r="G1173" i="28"/>
  <c r="G1189" i="28"/>
  <c r="G1205" i="28"/>
  <c r="G1221" i="28"/>
  <c r="G1237" i="28"/>
  <c r="G1253" i="28"/>
  <c r="G1177" i="28"/>
  <c r="G1225" i="28"/>
  <c r="G1257" i="28"/>
  <c r="M19" i="10"/>
  <c r="M20" i="10"/>
  <c r="M21" i="10"/>
  <c r="J21" i="10" s="1"/>
  <c r="G21" i="10" s="1"/>
  <c r="M22" i="10"/>
  <c r="J22" i="10" s="1"/>
  <c r="G22" i="10" s="1"/>
  <c r="M23" i="10"/>
  <c r="L12" i="11"/>
  <c r="L13" i="11"/>
  <c r="L14" i="11"/>
  <c r="M14" i="11" s="1"/>
  <c r="L10" i="11"/>
  <c r="L11" i="11"/>
  <c r="F22" i="10"/>
  <c r="F21" i="10"/>
  <c r="F20" i="10"/>
  <c r="M13" i="11" l="1"/>
  <c r="DE30" i="11"/>
  <c r="DB55" i="11"/>
  <c r="DB10" i="11"/>
  <c r="DC72" i="11"/>
  <c r="DC68" i="11"/>
  <c r="DC64" i="11"/>
  <c r="DC60" i="11"/>
  <c r="DB52" i="11"/>
  <c r="DB48" i="11"/>
  <c r="DB44" i="11"/>
  <c r="DE40" i="11"/>
  <c r="DE36" i="11"/>
  <c r="DE32" i="11"/>
  <c r="DE28" i="11"/>
  <c r="DE24" i="11"/>
  <c r="DD20" i="11"/>
  <c r="DD16" i="11"/>
  <c r="DC8" i="11"/>
  <c r="DC4" i="11"/>
  <c r="DE53" i="11"/>
  <c r="DE6" i="11"/>
  <c r="DD75" i="11"/>
  <c r="DD71" i="11"/>
  <c r="DE67" i="11"/>
  <c r="DD63" i="11"/>
  <c r="DE59" i="11"/>
  <c r="DB51" i="11"/>
  <c r="DC47" i="11"/>
  <c r="DC43" i="11"/>
  <c r="DC39" i="11"/>
  <c r="DD35" i="11"/>
  <c r="DC31" i="11"/>
  <c r="DD27" i="11"/>
  <c r="DE23" i="11"/>
  <c r="DE19" i="11"/>
  <c r="DB11" i="11"/>
  <c r="DC7" i="11"/>
  <c r="DD3" i="11"/>
  <c r="DC24" i="11"/>
  <c r="DB43" i="11"/>
  <c r="DD44" i="11"/>
  <c r="DB74" i="11"/>
  <c r="DE70" i="11"/>
  <c r="DE66" i="11"/>
  <c r="DD58" i="11"/>
  <c r="DC54" i="11"/>
  <c r="DD50" i="11"/>
  <c r="DD46" i="11"/>
  <c r="DD38" i="11"/>
  <c r="DD22" i="11"/>
  <c r="DE18" i="11"/>
  <c r="DE14" i="11"/>
  <c r="DB73" i="11"/>
  <c r="DB69" i="11"/>
  <c r="DC65" i="11"/>
  <c r="DB61" i="11"/>
  <c r="DC57" i="11"/>
  <c r="DC53" i="11"/>
  <c r="DB49" i="11"/>
  <c r="DB45" i="11"/>
  <c r="DC41" i="11"/>
  <c r="DC37" i="11"/>
  <c r="DC29" i="11"/>
  <c r="DD25" i="11"/>
  <c r="DC17" i="11"/>
  <c r="DE13" i="11"/>
  <c r="DE9" i="11"/>
  <c r="DE5" i="11"/>
  <c r="DB15" i="11"/>
  <c r="DE62" i="11"/>
  <c r="DD64" i="11"/>
  <c r="DC48" i="11"/>
  <c r="DB32" i="11"/>
  <c r="DE20" i="11"/>
  <c r="DD8" i="11"/>
  <c r="DC6" i="11"/>
  <c r="DE71" i="11"/>
  <c r="DC55" i="11"/>
  <c r="DD47" i="11"/>
  <c r="DB26" i="11"/>
  <c r="DC35" i="11"/>
  <c r="DD10" i="11"/>
  <c r="DB72" i="11"/>
  <c r="DB68" i="11"/>
  <c r="DB64" i="11"/>
  <c r="DB60" i="11"/>
  <c r="DB56" i="11"/>
  <c r="DE52" i="11"/>
  <c r="DE48" i="11"/>
  <c r="DE44" i="11"/>
  <c r="DD40" i="11"/>
  <c r="DD36" i="11"/>
  <c r="DD32" i="11"/>
  <c r="DD28" i="11"/>
  <c r="DD24" i="11"/>
  <c r="DC20" i="11"/>
  <c r="DC16" i="11"/>
  <c r="DB8" i="11"/>
  <c r="DB4" i="11"/>
  <c r="DB34" i="11"/>
  <c r="DB6" i="11"/>
  <c r="DC75" i="11"/>
  <c r="DC71" i="11"/>
  <c r="DD67" i="11"/>
  <c r="DC63" i="11"/>
  <c r="DD59" i="11"/>
  <c r="DE55" i="11"/>
  <c r="DE51" i="11"/>
  <c r="DB39" i="11"/>
  <c r="DB31" i="11"/>
  <c r="DC27" i="11"/>
  <c r="DD23" i="11"/>
  <c r="DD19" i="11"/>
  <c r="DE15" i="11"/>
  <c r="DE11" i="11"/>
  <c r="DB7" i="11"/>
  <c r="DB67" i="11"/>
  <c r="DD53" i="11"/>
  <c r="DB23" i="11"/>
  <c r="DD70" i="11"/>
  <c r="DD62" i="11"/>
  <c r="DC58" i="11"/>
  <c r="DB54" i="11"/>
  <c r="DC50" i="11"/>
  <c r="DC46" i="11"/>
  <c r="DD42" i="11"/>
  <c r="DC38" i="11"/>
  <c r="DD34" i="11"/>
  <c r="DD30" i="11"/>
  <c r="DD26" i="11"/>
  <c r="DC22" i="11"/>
  <c r="DD18" i="11"/>
  <c r="DB14" i="11"/>
  <c r="DE73" i="11"/>
  <c r="DE69" i="11"/>
  <c r="DB65" i="11"/>
  <c r="DE61" i="11"/>
  <c r="DB57" i="11"/>
  <c r="DB53" i="11"/>
  <c r="DE49" i="11"/>
  <c r="DE45" i="11"/>
  <c r="DB41" i="11"/>
  <c r="DB37" i="11"/>
  <c r="DC33" i="11"/>
  <c r="DB29" i="11"/>
  <c r="DC25" i="11"/>
  <c r="DC21" i="11"/>
  <c r="DB17" i="11"/>
  <c r="DC13" i="11"/>
  <c r="DD9" i="11"/>
  <c r="DD5" i="11"/>
  <c r="DC44" i="11"/>
  <c r="DE21" i="11"/>
  <c r="DE10" i="11"/>
  <c r="DD68" i="11"/>
  <c r="DD56" i="11"/>
  <c r="DB40" i="11"/>
  <c r="DB28" i="11"/>
  <c r="DE16" i="11"/>
  <c r="DD4" i="11"/>
  <c r="DE63" i="11"/>
  <c r="DC51" i="11"/>
  <c r="DE74" i="11"/>
  <c r="DB3" i="11"/>
  <c r="DC10" i="11"/>
  <c r="DE72" i="11"/>
  <c r="DE68" i="11"/>
  <c r="DE64" i="11"/>
  <c r="DE60" i="11"/>
  <c r="DE56" i="11"/>
  <c r="DD52" i="11"/>
  <c r="DD48" i="11"/>
  <c r="DC40" i="11"/>
  <c r="DC36" i="11"/>
  <c r="DC32" i="11"/>
  <c r="DC28" i="11"/>
  <c r="DB20" i="11"/>
  <c r="DB16" i="11"/>
  <c r="DB12" i="11"/>
  <c r="DE8" i="11"/>
  <c r="DE4" i="11"/>
  <c r="DD65" i="11"/>
  <c r="DD6" i="11"/>
  <c r="DB71" i="11"/>
  <c r="DB63" i="11"/>
  <c r="DC59" i="11"/>
  <c r="DD55" i="11"/>
  <c r="DD51" i="11"/>
  <c r="DE47" i="11"/>
  <c r="DE43" i="11"/>
  <c r="DE39" i="11"/>
  <c r="DE31" i="11"/>
  <c r="DB27" i="11"/>
  <c r="DC23" i="11"/>
  <c r="DC19" i="11"/>
  <c r="DD15" i="11"/>
  <c r="DD11" i="11"/>
  <c r="DE7" i="11"/>
  <c r="DB47" i="11"/>
  <c r="DD12" i="11"/>
  <c r="DC56" i="11"/>
  <c r="DD74" i="11"/>
  <c r="DC70" i="11"/>
  <c r="DD66" i="11"/>
  <c r="DC62" i="11"/>
  <c r="DE58" i="11"/>
  <c r="DE54" i="11"/>
  <c r="DB50" i="11"/>
  <c r="DB46" i="11"/>
  <c r="DC42" i="11"/>
  <c r="DB38" i="11"/>
  <c r="DC34" i="11"/>
  <c r="DC30" i="11"/>
  <c r="DC26" i="11"/>
  <c r="DB22" i="11"/>
  <c r="DC18" i="11"/>
  <c r="DD14" i="11"/>
  <c r="DD73" i="11"/>
  <c r="DD69" i="11"/>
  <c r="DE65" i="11"/>
  <c r="DD61" i="11"/>
  <c r="DE57" i="11"/>
  <c r="DD49" i="11"/>
  <c r="DD45" i="11"/>
  <c r="DE41" i="11"/>
  <c r="DE37" i="11"/>
  <c r="DB33" i="11"/>
  <c r="DE29" i="11"/>
  <c r="DB25" i="11"/>
  <c r="DB21" i="11"/>
  <c r="DE17" i="11"/>
  <c r="DB13" i="11"/>
  <c r="DC9" i="11"/>
  <c r="DC5" i="11"/>
  <c r="DB58" i="11"/>
  <c r="DC3" i="11"/>
  <c r="DB66" i="11"/>
  <c r="DB75" i="11"/>
  <c r="DD72" i="11"/>
  <c r="DD60" i="11"/>
  <c r="DC52" i="11"/>
  <c r="DB36" i="11"/>
  <c r="DB24" i="11"/>
  <c r="DE12" i="11"/>
  <c r="DD21" i="11"/>
  <c r="DE75" i="11"/>
  <c r="DB59" i="11"/>
  <c r="DB19" i="11"/>
  <c r="DC11" i="11"/>
  <c r="DE3" i="11"/>
  <c r="DC66" i="11"/>
  <c r="DE50" i="11"/>
  <c r="DE38" i="11"/>
  <c r="DB30" i="11"/>
  <c r="DC61" i="11"/>
  <c r="DC49" i="11"/>
  <c r="DD37" i="11"/>
  <c r="DB5" i="11"/>
  <c r="DD43" i="11"/>
  <c r="DE35" i="11"/>
  <c r="DE27" i="11"/>
  <c r="DC67" i="11"/>
  <c r="DC74" i="11"/>
  <c r="DB62" i="11"/>
  <c r="DE46" i="11"/>
  <c r="DB18" i="11"/>
  <c r="DC73" i="11"/>
  <c r="DC45" i="11"/>
  <c r="DE25" i="11"/>
  <c r="DD13" i="11"/>
  <c r="DB35" i="11"/>
  <c r="DE22" i="11"/>
  <c r="DD41" i="11"/>
  <c r="DD17" i="11"/>
  <c r="DC15" i="11"/>
  <c r="DD7" i="11"/>
  <c r="DE42" i="11"/>
  <c r="DB70" i="11"/>
  <c r="DD54" i="11"/>
  <c r="DE34" i="11"/>
  <c r="DE26" i="11"/>
  <c r="DC69" i="11"/>
  <c r="DD57" i="11"/>
  <c r="DE33" i="11"/>
  <c r="DD33" i="11"/>
  <c r="DD39" i="11"/>
  <c r="DD31" i="11"/>
  <c r="DC12" i="11"/>
  <c r="DB42" i="11"/>
  <c r="DC14" i="11"/>
  <c r="DD29" i="11"/>
  <c r="DB9" i="11"/>
  <c r="CY62" i="11"/>
  <c r="CZ14" i="11"/>
  <c r="CZ37" i="11"/>
  <c r="CX53" i="11"/>
  <c r="CX47" i="11"/>
  <c r="CX15" i="11"/>
  <c r="CX48" i="11"/>
  <c r="CZ40" i="11"/>
  <c r="CZ32" i="11"/>
  <c r="CY28" i="11"/>
  <c r="CZ24" i="11"/>
  <c r="CX20" i="11"/>
  <c r="CX12" i="11"/>
  <c r="CX8" i="11"/>
  <c r="CX4" i="11"/>
  <c r="CX68" i="11"/>
  <c r="CY24" i="11"/>
  <c r="CZ55" i="11"/>
  <c r="CY6" i="11"/>
  <c r="CY75" i="11"/>
  <c r="CX55" i="11"/>
  <c r="CZ43" i="11"/>
  <c r="CY27" i="11"/>
  <c r="CZ23" i="11"/>
  <c r="CY11" i="11"/>
  <c r="CX73" i="11"/>
  <c r="CX33" i="11"/>
  <c r="CY63" i="11"/>
  <c r="CY20" i="11"/>
  <c r="CZ22" i="11"/>
  <c r="CX21" i="11"/>
  <c r="CY40" i="11"/>
  <c r="CZ71" i="11"/>
  <c r="CZ74" i="11"/>
  <c r="CX70" i="11"/>
  <c r="CY66" i="11"/>
  <c r="CZ62" i="11"/>
  <c r="CZ58" i="11"/>
  <c r="CZ26" i="11"/>
  <c r="CY18" i="11"/>
  <c r="CY73" i="11"/>
  <c r="CZ69" i="11"/>
  <c r="CY61" i="11"/>
  <c r="CY57" i="11"/>
  <c r="CY49" i="11"/>
  <c r="CZ45" i="11"/>
  <c r="CX45" i="11"/>
  <c r="CX29" i="11"/>
  <c r="CZ13" i="11"/>
  <c r="CX49" i="11"/>
  <c r="CX6" i="11"/>
  <c r="CY36" i="11"/>
  <c r="CZ67" i="11"/>
  <c r="CZ16" i="11"/>
  <c r="CX72" i="11"/>
  <c r="CX10" i="11"/>
  <c r="CY30" i="11"/>
  <c r="CZ60" i="11"/>
  <c r="CZ66" i="11"/>
  <c r="CX62" i="11"/>
  <c r="CX46" i="11"/>
  <c r="CZ38" i="11"/>
  <c r="CX34" i="11"/>
  <c r="CY22" i="11"/>
  <c r="CZ18" i="11"/>
  <c r="CZ73" i="11"/>
  <c r="CY69" i="11"/>
  <c r="CY65" i="11"/>
  <c r="CX61" i="11"/>
  <c r="CY45" i="11"/>
  <c r="CY41" i="11"/>
  <c r="CZ25" i="11"/>
  <c r="CY21" i="11"/>
  <c r="CY9" i="11"/>
  <c r="CX38" i="11"/>
  <c r="CY68" i="11"/>
  <c r="CZ56" i="11"/>
  <c r="CX51" i="11"/>
  <c r="CZ31" i="11"/>
  <c r="CY23" i="11"/>
  <c r="CZ19" i="11"/>
  <c r="CZ11" i="11"/>
  <c r="CY31" i="11"/>
  <c r="CY8" i="11"/>
  <c r="CY46" i="11"/>
  <c r="CZ21" i="11"/>
  <c r="CX5" i="11"/>
  <c r="CZ68" i="11"/>
  <c r="CX64" i="11"/>
  <c r="CX52" i="11"/>
  <c r="CX40" i="11"/>
  <c r="CX36" i="11"/>
  <c r="CY32" i="11"/>
  <c r="CX28" i="11"/>
  <c r="CX24" i="11"/>
  <c r="CZ20" i="11"/>
  <c r="CY16" i="11"/>
  <c r="CZ12" i="11"/>
  <c r="CX26" i="11"/>
  <c r="CY14" i="11"/>
  <c r="CZ42" i="11"/>
  <c r="CZ75" i="11"/>
  <c r="CY71" i="11"/>
  <c r="CY55" i="11"/>
  <c r="CY43" i="11"/>
  <c r="CX39" i="11"/>
  <c r="CZ27" i="11"/>
  <c r="CX7" i="11"/>
  <c r="CX65" i="11"/>
  <c r="CX22" i="11"/>
  <c r="CY52" i="11"/>
  <c r="CY10" i="11"/>
  <c r="CZ9" i="11"/>
  <c r="CX74" i="11"/>
  <c r="CZ54" i="11"/>
  <c r="CX50" i="11"/>
  <c r="CY13" i="11"/>
  <c r="CZ5" i="11"/>
  <c r="CY26" i="11"/>
  <c r="CX3" i="11"/>
  <c r="CX30" i="11"/>
  <c r="CZ61" i="11"/>
  <c r="CX58" i="11"/>
  <c r="CY67" i="11"/>
  <c r="CY64" i="11"/>
  <c r="CY60" i="11"/>
  <c r="CX56" i="11"/>
  <c r="CZ52" i="11"/>
  <c r="CY48" i="11"/>
  <c r="CX44" i="11"/>
  <c r="CY12" i="11"/>
  <c r="CY56" i="11"/>
  <c r="CY3" i="11"/>
  <c r="CZ28" i="11"/>
  <c r="CX75" i="11"/>
  <c r="CX71" i="11"/>
  <c r="CX67" i="11"/>
  <c r="CY59" i="11"/>
  <c r="CZ39" i="11"/>
  <c r="CY39" i="11"/>
  <c r="CZ35" i="11"/>
  <c r="CX23" i="11"/>
  <c r="CX19" i="11"/>
  <c r="CZ15" i="11"/>
  <c r="CZ7" i="11"/>
  <c r="CY7" i="11"/>
  <c r="CZ3" i="11"/>
  <c r="CX54" i="11"/>
  <c r="CX11" i="11"/>
  <c r="CY42" i="11"/>
  <c r="CZ72" i="11"/>
  <c r="CX63" i="11"/>
  <c r="CY72" i="11"/>
  <c r="CY19" i="11"/>
  <c r="CZ36" i="11"/>
  <c r="CZ70" i="11"/>
  <c r="CY50" i="11"/>
  <c r="CY38" i="11"/>
  <c r="CY34" i="11"/>
  <c r="CZ57" i="11"/>
  <c r="CY53" i="11"/>
  <c r="CZ41" i="11"/>
  <c r="CY33" i="11"/>
  <c r="CZ29" i="11"/>
  <c r="CX25" i="11"/>
  <c r="CY17" i="11"/>
  <c r="CX9" i="11"/>
  <c r="CX69" i="11"/>
  <c r="CX27" i="11"/>
  <c r="CY58" i="11"/>
  <c r="CY15" i="11"/>
  <c r="CZ44" i="11"/>
  <c r="CZ49" i="11"/>
  <c r="CX42" i="11"/>
  <c r="CX37" i="11"/>
  <c r="CZ10" i="11"/>
  <c r="CZ64" i="11"/>
  <c r="CX60" i="11"/>
  <c r="CZ48" i="11"/>
  <c r="CY44" i="11"/>
  <c r="CX32" i="11"/>
  <c r="CX16" i="11"/>
  <c r="CZ8" i="11"/>
  <c r="CZ4" i="11"/>
  <c r="CY35" i="11"/>
  <c r="CZ65" i="11"/>
  <c r="CZ63" i="11"/>
  <c r="CZ59" i="11"/>
  <c r="CZ47" i="11"/>
  <c r="CX35" i="11"/>
  <c r="CX43" i="11"/>
  <c r="CY74" i="11"/>
  <c r="CZ51" i="11"/>
  <c r="CX31" i="11"/>
  <c r="CY51" i="11"/>
  <c r="CZ6" i="11"/>
  <c r="CY70" i="11"/>
  <c r="CX66" i="11"/>
  <c r="CY54" i="11"/>
  <c r="CZ50" i="11"/>
  <c r="CZ46" i="11"/>
  <c r="CZ34" i="11"/>
  <c r="CX18" i="11"/>
  <c r="CX14" i="11"/>
  <c r="CX57" i="11"/>
  <c r="CZ53" i="11"/>
  <c r="CY25" i="11"/>
  <c r="CZ17" i="11"/>
  <c r="CY5" i="11"/>
  <c r="CY47" i="11"/>
  <c r="CY29" i="11"/>
  <c r="CY4" i="11"/>
  <c r="CZ33" i="11"/>
  <c r="CX13" i="11"/>
  <c r="CX59" i="11"/>
  <c r="CZ30" i="11"/>
  <c r="CX41" i="11"/>
  <c r="CY37" i="11"/>
  <c r="CX17" i="11"/>
  <c r="J20" i="10"/>
  <c r="G20" i="10" s="1"/>
  <c r="O20" i="10"/>
  <c r="J23" i="10"/>
  <c r="G23" i="10" s="1"/>
  <c r="O23" i="10"/>
  <c r="J19" i="10"/>
  <c r="G19" i="10" s="1"/>
  <c r="O19" i="10"/>
  <c r="CT38" i="11"/>
  <c r="CT22" i="11"/>
  <c r="CU17" i="11"/>
  <c r="CW73" i="11"/>
  <c r="CV29" i="11"/>
  <c r="CW9" i="11"/>
  <c r="CU23" i="11"/>
  <c r="CU49" i="11"/>
  <c r="CV47" i="11"/>
  <c r="CT67" i="11"/>
  <c r="CV73" i="11"/>
  <c r="CW13" i="11"/>
  <c r="CW37" i="11"/>
  <c r="CT56" i="11"/>
  <c r="CT24" i="11"/>
  <c r="CU44" i="11"/>
  <c r="CV52" i="11"/>
  <c r="CW67" i="11"/>
  <c r="CW31" i="11"/>
  <c r="CW27" i="11"/>
  <c r="CW23" i="11"/>
  <c r="CW19" i="11"/>
  <c r="CW11" i="11"/>
  <c r="CT66" i="11"/>
  <c r="CT39" i="11"/>
  <c r="CT7" i="11"/>
  <c r="CU53" i="11"/>
  <c r="CU32" i="11"/>
  <c r="CU11" i="11"/>
  <c r="CV56" i="11"/>
  <c r="CV24" i="11"/>
  <c r="CW68" i="11"/>
  <c r="CW36" i="11"/>
  <c r="CW4" i="11"/>
  <c r="CT59" i="11"/>
  <c r="CT27" i="11"/>
  <c r="CU73" i="11"/>
  <c r="CU52" i="11"/>
  <c r="CU31" i="11"/>
  <c r="CU9" i="11"/>
  <c r="CV60" i="11"/>
  <c r="CV39" i="11"/>
  <c r="CV17" i="11"/>
  <c r="CU74" i="11"/>
  <c r="CV70" i="11"/>
  <c r="CU66" i="11"/>
  <c r="CU62" i="11"/>
  <c r="CW58" i="11"/>
  <c r="CU54" i="11"/>
  <c r="CW46" i="11"/>
  <c r="CU46" i="11"/>
  <c r="CW42" i="11"/>
  <c r="CW22" i="11"/>
  <c r="CU18" i="11"/>
  <c r="CT61" i="11"/>
  <c r="CT53" i="11"/>
  <c r="CT68" i="11"/>
  <c r="CT47" i="11"/>
  <c r="CT26" i="11"/>
  <c r="CT4" i="11"/>
  <c r="CU56" i="11"/>
  <c r="CU35" i="11"/>
  <c r="CU13" i="11"/>
  <c r="CV64" i="11"/>
  <c r="CV43" i="11"/>
  <c r="CV21" i="11"/>
  <c r="CW72" i="11"/>
  <c r="CW40" i="11"/>
  <c r="CW8" i="11"/>
  <c r="CT54" i="11"/>
  <c r="CT34" i="11"/>
  <c r="CT18" i="11"/>
  <c r="CU69" i="11"/>
  <c r="CV45" i="11"/>
  <c r="CW25" i="11"/>
  <c r="CU5" i="11"/>
  <c r="CV63" i="11"/>
  <c r="CU39" i="11"/>
  <c r="CT19" i="11"/>
  <c r="CW61" i="11"/>
  <c r="CW53" i="11"/>
  <c r="CT35" i="11"/>
  <c r="CV41" i="11"/>
  <c r="CW5" i="11"/>
  <c r="CV10" i="11"/>
  <c r="CT46" i="11"/>
  <c r="CT14" i="11"/>
  <c r="CU28" i="11"/>
  <c r="CV36" i="11"/>
  <c r="CW6" i="11"/>
  <c r="CW51" i="11"/>
  <c r="CW43" i="11"/>
  <c r="CW35" i="11"/>
  <c r="CT70" i="11"/>
  <c r="CT50" i="11"/>
  <c r="CW65" i="11"/>
  <c r="CW41" i="11"/>
  <c r="CW17" i="11"/>
  <c r="CV15" i="11"/>
  <c r="CV57" i="11"/>
  <c r="CU3" i="11"/>
  <c r="CW21" i="11"/>
  <c r="CU65" i="11"/>
  <c r="CV9" i="11"/>
  <c r="CU55" i="11"/>
  <c r="CU10" i="11"/>
  <c r="CT72" i="11"/>
  <c r="CT40" i="11"/>
  <c r="CT8" i="11"/>
  <c r="CU12" i="11"/>
  <c r="CV20" i="11"/>
  <c r="CV6" i="11"/>
  <c r="CW75" i="11"/>
  <c r="CW55" i="11"/>
  <c r="CW15" i="11"/>
  <c r="CT3" i="11"/>
  <c r="CT55" i="11"/>
  <c r="CT23" i="11"/>
  <c r="CU64" i="11"/>
  <c r="CU43" i="11"/>
  <c r="CU21" i="11"/>
  <c r="CV67" i="11"/>
  <c r="CV40" i="11"/>
  <c r="CV8" i="11"/>
  <c r="CW52" i="11"/>
  <c r="CW20" i="11"/>
  <c r="CT75" i="11"/>
  <c r="CT43" i="11"/>
  <c r="CT11" i="11"/>
  <c r="CU63" i="11"/>
  <c r="CU41" i="11"/>
  <c r="CU20" i="11"/>
  <c r="CV71" i="11"/>
  <c r="CV49" i="11"/>
  <c r="CV28" i="11"/>
  <c r="CV7" i="11"/>
  <c r="CV58" i="11"/>
  <c r="CW54" i="11"/>
  <c r="CU50" i="11"/>
  <c r="CV42" i="11"/>
  <c r="CV38" i="11"/>
  <c r="CU34" i="11"/>
  <c r="CU30" i="11"/>
  <c r="CW26" i="11"/>
  <c r="CU26" i="11"/>
  <c r="CU22" i="11"/>
  <c r="CU14" i="11"/>
  <c r="CT37" i="11"/>
  <c r="CT25" i="11"/>
  <c r="CT21" i="11"/>
  <c r="CT17" i="11"/>
  <c r="CT9" i="11"/>
  <c r="CT5" i="11"/>
  <c r="CT58" i="11"/>
  <c r="CT36" i="11"/>
  <c r="CT15" i="11"/>
  <c r="CU67" i="11"/>
  <c r="CU45" i="11"/>
  <c r="CU24" i="11"/>
  <c r="CV75" i="11"/>
  <c r="CV53" i="11"/>
  <c r="CV32" i="11"/>
  <c r="CV11" i="11"/>
  <c r="CW56" i="11"/>
  <c r="CW24" i="11"/>
  <c r="CW29" i="11"/>
  <c r="CW57" i="11"/>
  <c r="CW33" i="11"/>
  <c r="CV13" i="11"/>
  <c r="CU71" i="11"/>
  <c r="CT51" i="11"/>
  <c r="CV31" i="11"/>
  <c r="CU7" i="11"/>
  <c r="CV25" i="11"/>
  <c r="CU33" i="11"/>
  <c r="CW45" i="11"/>
  <c r="CW69" i="11"/>
  <c r="CW10" i="11"/>
  <c r="CT62" i="11"/>
  <c r="CT30" i="11"/>
  <c r="CU60" i="11"/>
  <c r="CV68" i="11"/>
  <c r="CV4" i="11"/>
  <c r="CU6" i="11"/>
  <c r="CW71" i="11"/>
  <c r="CW63" i="11"/>
  <c r="CW59" i="11"/>
  <c r="CW47" i="11"/>
  <c r="CW39" i="11"/>
  <c r="CW7" i="11"/>
  <c r="CT71" i="11"/>
  <c r="CT44" i="11"/>
  <c r="CT12" i="11"/>
  <c r="CU59" i="11"/>
  <c r="CU37" i="11"/>
  <c r="CU16" i="11"/>
  <c r="CV61" i="11"/>
  <c r="CV35" i="11"/>
  <c r="CV3" i="11"/>
  <c r="CW44" i="11"/>
  <c r="CW12" i="11"/>
  <c r="CT64" i="11"/>
  <c r="CT32" i="11"/>
  <c r="CT6" i="11"/>
  <c r="CU57" i="11"/>
  <c r="CU36" i="11"/>
  <c r="CU15" i="11"/>
  <c r="CV65" i="11"/>
  <c r="CV44" i="11"/>
  <c r="CV23" i="11"/>
  <c r="CW49" i="11"/>
  <c r="CV74" i="11"/>
  <c r="CW70" i="11"/>
  <c r="CV66" i="11"/>
  <c r="CV62" i="11"/>
  <c r="CU58" i="11"/>
  <c r="CV54" i="11"/>
  <c r="CW50" i="11"/>
  <c r="CV46" i="11"/>
  <c r="CU42" i="11"/>
  <c r="CU38" i="11"/>
  <c r="CW34" i="11"/>
  <c r="CW30" i="11"/>
  <c r="CV18" i="11"/>
  <c r="CW14" i="11"/>
  <c r="CT65" i="11"/>
  <c r="CT57" i="11"/>
  <c r="CT49" i="11"/>
  <c r="CT45" i="11"/>
  <c r="CT41" i="11"/>
  <c r="CT29" i="11"/>
  <c r="CT13" i="11"/>
  <c r="CT74" i="11"/>
  <c r="CT52" i="11"/>
  <c r="CT31" i="11"/>
  <c r="CT10" i="11"/>
  <c r="CU61" i="11"/>
  <c r="CU40" i="11"/>
  <c r="CU19" i="11"/>
  <c r="CV69" i="11"/>
  <c r="CV48" i="11"/>
  <c r="CV27" i="11"/>
  <c r="CV5" i="11"/>
  <c r="CW48" i="11"/>
  <c r="CW16" i="11"/>
  <c r="CT60" i="11"/>
  <c r="CU27" i="11"/>
  <c r="CW60" i="11"/>
  <c r="CT16" i="11"/>
  <c r="CU4" i="11"/>
  <c r="CV34" i="11"/>
  <c r="CV26" i="11"/>
  <c r="CT63" i="11"/>
  <c r="CU51" i="11"/>
  <c r="CV37" i="11"/>
  <c r="CT28" i="11"/>
  <c r="CV72" i="11"/>
  <c r="CW28" i="11"/>
  <c r="CU68" i="11"/>
  <c r="CV55" i="11"/>
  <c r="CW74" i="11"/>
  <c r="CU70" i="11"/>
  <c r="CW66" i="11"/>
  <c r="CW18" i="11"/>
  <c r="CT73" i="11"/>
  <c r="CT69" i="11"/>
  <c r="CT33" i="11"/>
  <c r="CT42" i="11"/>
  <c r="CU29" i="11"/>
  <c r="CV16" i="11"/>
  <c r="CU75" i="11"/>
  <c r="CV51" i="11"/>
  <c r="CU47" i="11"/>
  <c r="CV33" i="11"/>
  <c r="CV50" i="11"/>
  <c r="CV30" i="11"/>
  <c r="CV22" i="11"/>
  <c r="CV14" i="11"/>
  <c r="CT20" i="11"/>
  <c r="CU8" i="11"/>
  <c r="CW64" i="11"/>
  <c r="CU48" i="11"/>
  <c r="CU25" i="11"/>
  <c r="CW32" i="11"/>
  <c r="CV19" i="11"/>
  <c r="CV12" i="11"/>
  <c r="CW38" i="11"/>
  <c r="CU72" i="11"/>
  <c r="CW62" i="11"/>
  <c r="CV59" i="11"/>
  <c r="CW3" i="11"/>
  <c r="CT48" i="11"/>
  <c r="M11" i="11"/>
  <c r="CP3" i="11"/>
  <c r="CQ45" i="11"/>
  <c r="CQ64" i="11"/>
  <c r="CQ48" i="11"/>
  <c r="CP32" i="11"/>
  <c r="CP16" i="11"/>
  <c r="CQ53" i="11"/>
  <c r="CQ37" i="11"/>
  <c r="CR62" i="11"/>
  <c r="CR38" i="11"/>
  <c r="CP70" i="11"/>
  <c r="CP54" i="11"/>
  <c r="CP38" i="11"/>
  <c r="CP22" i="11"/>
  <c r="CP6" i="11"/>
  <c r="CP61" i="11"/>
  <c r="CP45" i="11"/>
  <c r="CP29" i="11"/>
  <c r="CP13" i="11"/>
  <c r="CP64" i="11"/>
  <c r="CP71" i="11"/>
  <c r="CP55" i="11"/>
  <c r="CP39" i="11"/>
  <c r="CP23" i="11"/>
  <c r="CP7" i="11"/>
  <c r="CQ56" i="11"/>
  <c r="CR69" i="11"/>
  <c r="CR49" i="11"/>
  <c r="CS58" i="11"/>
  <c r="CR53" i="11"/>
  <c r="CR13" i="11"/>
  <c r="CS22" i="11"/>
  <c r="CR25" i="11"/>
  <c r="CS34" i="11"/>
  <c r="CR72" i="11"/>
  <c r="CS64" i="11"/>
  <c r="CR60" i="11"/>
  <c r="CR56" i="11"/>
  <c r="CS44" i="11"/>
  <c r="CR40" i="11"/>
  <c r="CQ36" i="11"/>
  <c r="CR32" i="11"/>
  <c r="CQ28" i="11"/>
  <c r="CR24" i="11"/>
  <c r="CQ20" i="11"/>
  <c r="CR16" i="11"/>
  <c r="CQ12" i="11"/>
  <c r="CQ4" i="11"/>
  <c r="CQ60" i="11"/>
  <c r="CQ71" i="11"/>
  <c r="CQ55" i="11"/>
  <c r="CQ39" i="11"/>
  <c r="CQ23" i="11"/>
  <c r="CQ7" i="11"/>
  <c r="CS65" i="11"/>
  <c r="CS49" i="11"/>
  <c r="CS33" i="11"/>
  <c r="CS17" i="11"/>
  <c r="CQ74" i="11"/>
  <c r="CQ58" i="11"/>
  <c r="CQ42" i="11"/>
  <c r="CQ21" i="11"/>
  <c r="CP60" i="11"/>
  <c r="CP44" i="11"/>
  <c r="CP28" i="11"/>
  <c r="CP12" i="11"/>
  <c r="CQ29" i="11"/>
  <c r="CQ5" i="11"/>
  <c r="CR58" i="11"/>
  <c r="CR22" i="11"/>
  <c r="CP66" i="11"/>
  <c r="CP50" i="11"/>
  <c r="CP34" i="11"/>
  <c r="CP18" i="11"/>
  <c r="CP73" i="11"/>
  <c r="CP57" i="11"/>
  <c r="CP41" i="11"/>
  <c r="CP25" i="11"/>
  <c r="CP9" i="11"/>
  <c r="CP52" i="11"/>
  <c r="CP67" i="11"/>
  <c r="CP51" i="11"/>
  <c r="CP35" i="11"/>
  <c r="CP19" i="11"/>
  <c r="CS46" i="11"/>
  <c r="CS14" i="11"/>
  <c r="CR21" i="11"/>
  <c r="CR33" i="11"/>
  <c r="CS42" i="11"/>
  <c r="CR61" i="11"/>
  <c r="CS70" i="11"/>
  <c r="CR37" i="11"/>
  <c r="CR73" i="11"/>
  <c r="CR9" i="11"/>
  <c r="CS18" i="11"/>
  <c r="CS68" i="11"/>
  <c r="CS52" i="11"/>
  <c r="CS48" i="11"/>
  <c r="CR44" i="11"/>
  <c r="CS28" i="11"/>
  <c r="CQ24" i="11"/>
  <c r="CS20" i="11"/>
  <c r="CS12" i="11"/>
  <c r="CQ8" i="11"/>
  <c r="CS4" i="11"/>
  <c r="CQ44" i="11"/>
  <c r="CQ67" i="11"/>
  <c r="CQ51" i="11"/>
  <c r="CQ35" i="11"/>
  <c r="CQ19" i="11"/>
  <c r="CQ3" i="11"/>
  <c r="CS61" i="11"/>
  <c r="CS45" i="11"/>
  <c r="CS29" i="11"/>
  <c r="CS13" i="11"/>
  <c r="CQ70" i="11"/>
  <c r="CQ54" i="11"/>
  <c r="CP72" i="11"/>
  <c r="CP56" i="11"/>
  <c r="CP40" i="11"/>
  <c r="CP24" i="11"/>
  <c r="CP8" i="11"/>
  <c r="CR54" i="11"/>
  <c r="CR10" i="11"/>
  <c r="CP62" i="11"/>
  <c r="CP46" i="11"/>
  <c r="CP30" i="11"/>
  <c r="CP14" i="11"/>
  <c r="CP69" i="11"/>
  <c r="CP53" i="11"/>
  <c r="CP37" i="11"/>
  <c r="CP21" i="11"/>
  <c r="CP5" i="11"/>
  <c r="CP48" i="11"/>
  <c r="CQ68" i="11"/>
  <c r="CP4" i="11"/>
  <c r="CR70" i="11"/>
  <c r="CP42" i="11"/>
  <c r="CP49" i="11"/>
  <c r="CP75" i="11"/>
  <c r="CP43" i="11"/>
  <c r="CP11" i="11"/>
  <c r="CS6" i="11"/>
  <c r="CS74" i="11"/>
  <c r="CR29" i="11"/>
  <c r="CS66" i="11"/>
  <c r="CR68" i="11"/>
  <c r="CS60" i="11"/>
  <c r="CR52" i="11"/>
  <c r="CS36" i="11"/>
  <c r="CS32" i="11"/>
  <c r="CQ16" i="11"/>
  <c r="CS8" i="11"/>
  <c r="CQ47" i="11"/>
  <c r="CQ15" i="11"/>
  <c r="CS57" i="11"/>
  <c r="CS25" i="11"/>
  <c r="CQ66" i="11"/>
  <c r="CQ38" i="11"/>
  <c r="CQ22" i="11"/>
  <c r="CQ6" i="11"/>
  <c r="CR63" i="11"/>
  <c r="CR47" i="11"/>
  <c r="CR31" i="11"/>
  <c r="CR15" i="11"/>
  <c r="CQ49" i="11"/>
  <c r="CQ17" i="11"/>
  <c r="CR66" i="11"/>
  <c r="CR30" i="11"/>
  <c r="CR6" i="11"/>
  <c r="CS63" i="11"/>
  <c r="CS47" i="11"/>
  <c r="CS31" i="11"/>
  <c r="CS15" i="11"/>
  <c r="CP20" i="11"/>
  <c r="CP65" i="11"/>
  <c r="CP47" i="11"/>
  <c r="CR17" i="11"/>
  <c r="CS56" i="11"/>
  <c r="CQ32" i="11"/>
  <c r="CR4" i="11"/>
  <c r="CS37" i="11"/>
  <c r="CQ26" i="11"/>
  <c r="CR51" i="11"/>
  <c r="CR19" i="11"/>
  <c r="CQ25" i="11"/>
  <c r="CR14" i="11"/>
  <c r="CS35" i="11"/>
  <c r="CS3" i="11"/>
  <c r="CQ52" i="11"/>
  <c r="CR46" i="11"/>
  <c r="CP26" i="11"/>
  <c r="CP33" i="11"/>
  <c r="CP63" i="11"/>
  <c r="CP31" i="11"/>
  <c r="CR5" i="11"/>
  <c r="CQ72" i="11"/>
  <c r="CS26" i="11"/>
  <c r="CS54" i="11"/>
  <c r="CS50" i="11"/>
  <c r="CQ40" i="11"/>
  <c r="CR36" i="11"/>
  <c r="CR28" i="11"/>
  <c r="CR20" i="11"/>
  <c r="CS16" i="11"/>
  <c r="CR8" i="11"/>
  <c r="CQ75" i="11"/>
  <c r="CQ43" i="11"/>
  <c r="CQ11" i="11"/>
  <c r="CS53" i="11"/>
  <c r="CS21" i="11"/>
  <c r="CQ62" i="11"/>
  <c r="CQ34" i="11"/>
  <c r="CQ18" i="11"/>
  <c r="CR75" i="11"/>
  <c r="CR59" i="11"/>
  <c r="CR43" i="11"/>
  <c r="CR27" i="11"/>
  <c r="CR11" i="11"/>
  <c r="CQ73" i="11"/>
  <c r="CQ41" i="11"/>
  <c r="CQ13" i="11"/>
  <c r="CR50" i="11"/>
  <c r="CR26" i="11"/>
  <c r="CS75" i="11"/>
  <c r="CS59" i="11"/>
  <c r="CS43" i="11"/>
  <c r="CS27" i="11"/>
  <c r="CS11" i="11"/>
  <c r="CS62" i="11"/>
  <c r="CR41" i="11"/>
  <c r="CR48" i="11"/>
  <c r="CR12" i="11"/>
  <c r="CQ27" i="11"/>
  <c r="CS5" i="11"/>
  <c r="CQ10" i="11"/>
  <c r="CR35" i="11"/>
  <c r="CQ57" i="11"/>
  <c r="CR34" i="11"/>
  <c r="CS51" i="11"/>
  <c r="CP36" i="11"/>
  <c r="CQ69" i="11"/>
  <c r="CP74" i="11"/>
  <c r="CP10" i="11"/>
  <c r="CP17" i="11"/>
  <c r="CP59" i="11"/>
  <c r="CP27" i="11"/>
  <c r="CS30" i="11"/>
  <c r="CR65" i="11"/>
  <c r="CS10" i="11"/>
  <c r="CS38" i="11"/>
  <c r="CR57" i="11"/>
  <c r="CS72" i="11"/>
  <c r="CS40" i="11"/>
  <c r="CQ63" i="11"/>
  <c r="CQ31" i="11"/>
  <c r="CS73" i="11"/>
  <c r="CS41" i="11"/>
  <c r="CS9" i="11"/>
  <c r="CQ50" i="11"/>
  <c r="CQ30" i="11"/>
  <c r="CQ14" i="11"/>
  <c r="CR71" i="11"/>
  <c r="CR55" i="11"/>
  <c r="CR39" i="11"/>
  <c r="CR23" i="11"/>
  <c r="CR7" i="11"/>
  <c r="CQ65" i="11"/>
  <c r="CQ33" i="11"/>
  <c r="CQ9" i="11"/>
  <c r="CR42" i="11"/>
  <c r="CR18" i="11"/>
  <c r="CS71" i="11"/>
  <c r="CS55" i="11"/>
  <c r="CS39" i="11"/>
  <c r="CS23" i="11"/>
  <c r="CS7" i="11"/>
  <c r="CQ61" i="11"/>
  <c r="CP58" i="11"/>
  <c r="CP68" i="11"/>
  <c r="CP15" i="11"/>
  <c r="CR45" i="11"/>
  <c r="CR64" i="11"/>
  <c r="CS24" i="11"/>
  <c r="CQ59" i="11"/>
  <c r="CS69" i="11"/>
  <c r="CQ46" i="11"/>
  <c r="CR67" i="11"/>
  <c r="CR3" i="11"/>
  <c r="CR74" i="11"/>
  <c r="CS67" i="11"/>
  <c r="CS19" i="11"/>
  <c r="M10" i="11"/>
  <c r="DA5" i="11"/>
  <c r="DA60" i="11"/>
  <c r="DA44" i="11"/>
  <c r="DA28" i="11"/>
  <c r="DA12" i="11"/>
  <c r="DA67" i="11"/>
  <c r="DA51" i="11"/>
  <c r="DA35" i="11"/>
  <c r="DA19" i="11"/>
  <c r="DA3" i="11"/>
  <c r="DA62" i="11"/>
  <c r="DA46" i="11"/>
  <c r="DA30" i="11"/>
  <c r="DA14" i="11"/>
  <c r="DA73" i="11"/>
  <c r="DA57" i="11"/>
  <c r="DA9" i="11"/>
  <c r="DA68" i="11"/>
  <c r="DA48" i="11"/>
  <c r="DA24" i="11"/>
  <c r="DA75" i="11"/>
  <c r="DA55" i="11"/>
  <c r="DA31" i="11"/>
  <c r="DA11" i="11"/>
  <c r="DA66" i="11"/>
  <c r="DA42" i="11"/>
  <c r="DA22" i="11"/>
  <c r="DA4" i="11"/>
  <c r="DA53" i="11"/>
  <c r="DA37" i="11"/>
  <c r="DA21" i="11"/>
  <c r="DA64" i="11"/>
  <c r="DA40" i="11"/>
  <c r="DA20" i="11"/>
  <c r="DA71" i="11"/>
  <c r="DA47" i="11"/>
  <c r="DA27" i="11"/>
  <c r="DA7" i="11"/>
  <c r="DA58" i="11"/>
  <c r="DA38" i="11"/>
  <c r="DA18" i="11"/>
  <c r="DA69" i="11"/>
  <c r="DA49" i="11"/>
  <c r="DA33" i="11"/>
  <c r="DA17" i="11"/>
  <c r="DA56" i="11"/>
  <c r="DA36" i="11"/>
  <c r="DA16" i="11"/>
  <c r="DA63" i="11"/>
  <c r="DA43" i="11"/>
  <c r="DA23" i="11"/>
  <c r="DA74" i="11"/>
  <c r="DA54" i="11"/>
  <c r="DA34" i="11"/>
  <c r="DA10" i="11"/>
  <c r="DA65" i="11"/>
  <c r="DA45" i="11"/>
  <c r="DA29" i="11"/>
  <c r="DA13" i="11"/>
  <c r="DA8" i="11"/>
  <c r="DA70" i="11"/>
  <c r="DA61" i="11"/>
  <c r="DA15" i="11"/>
  <c r="DA72" i="11"/>
  <c r="DA59" i="11"/>
  <c r="DA50" i="11"/>
  <c r="DA41" i="11"/>
  <c r="DA6" i="11"/>
  <c r="DA52" i="11"/>
  <c r="DA39" i="11"/>
  <c r="DA26" i="11"/>
  <c r="DA25" i="11"/>
  <c r="DA32" i="11"/>
  <c r="M12" i="11"/>
  <c r="B11" i="29" a="1"/>
  <c r="B11" i="29" s="1"/>
  <c r="F23" i="10"/>
  <c r="H8" i="11"/>
  <c r="F18" i="10"/>
  <c r="E18" i="10"/>
  <c r="D18" i="10"/>
  <c r="C18" i="10"/>
  <c r="B18" i="10"/>
  <c r="F16" i="10"/>
  <c r="F17" i="10"/>
  <c r="E16" i="10"/>
  <c r="E10" i="10" s="1"/>
  <c r="E17" i="10"/>
  <c r="D16" i="10"/>
  <c r="D10" i="10" s="1"/>
  <c r="D17" i="10"/>
  <c r="C16" i="10"/>
  <c r="C17" i="10"/>
  <c r="B16" i="10"/>
  <c r="B17" i="10"/>
  <c r="D11" i="10" l="1"/>
  <c r="E11" i="10"/>
  <c r="C11" i="10"/>
  <c r="C10" i="10"/>
  <c r="M16" i="10"/>
  <c r="O16" i="10" s="1"/>
  <c r="M18" i="10"/>
  <c r="J18" i="10" s="1"/>
  <c r="G18" i="10" s="1"/>
  <c r="M17" i="10"/>
  <c r="J17" i="10" s="1"/>
  <c r="G17" i="10" s="1"/>
  <c r="AC3" i="11"/>
  <c r="E5" i="10"/>
  <c r="D5" i="10"/>
  <c r="J16" i="10" l="1"/>
  <c r="G16" i="10" s="1"/>
  <c r="N16" i="10"/>
  <c r="AE3" i="11"/>
  <c r="AD3" i="11"/>
  <c r="U20" i="11"/>
  <c r="Y32" i="11" s="1"/>
  <c r="S8" i="11" l="1"/>
  <c r="U8" i="11" s="1"/>
  <c r="S9" i="11"/>
  <c r="T9" i="11" s="1"/>
  <c r="S10" i="11"/>
  <c r="V10" i="11" s="1"/>
  <c r="S11" i="11"/>
  <c r="U11" i="11" s="1"/>
  <c r="S12" i="11"/>
  <c r="S13" i="11"/>
  <c r="T13" i="11" s="1"/>
  <c r="S14" i="11"/>
  <c r="V14" i="11" s="1"/>
  <c r="S15" i="11"/>
  <c r="U15" i="11" s="1"/>
  <c r="S16" i="11"/>
  <c r="U16" i="11" s="1"/>
  <c r="S17" i="11"/>
  <c r="T17" i="11" s="1"/>
  <c r="S7" i="11"/>
  <c r="U7" i="11" s="1"/>
  <c r="U12" i="11" l="1"/>
  <c r="T12" i="11"/>
  <c r="T8" i="11"/>
  <c r="V12" i="11"/>
  <c r="V16" i="11"/>
  <c r="V8" i="11"/>
  <c r="T16" i="11"/>
  <c r="U14" i="11"/>
  <c r="U10" i="11"/>
  <c r="T15" i="11"/>
  <c r="T11" i="11"/>
  <c r="V17" i="11"/>
  <c r="V15" i="11"/>
  <c r="V13" i="11"/>
  <c r="V11" i="11"/>
  <c r="V9" i="11"/>
  <c r="V7" i="11"/>
  <c r="T7" i="11"/>
  <c r="T14" i="11"/>
  <c r="T10" i="11"/>
  <c r="U17" i="11"/>
  <c r="U13" i="11"/>
  <c r="U9" i="11"/>
  <c r="D6" i="10"/>
  <c r="F6" i="10" s="1"/>
  <c r="C5" i="10"/>
  <c r="N39" i="10"/>
  <c r="N41" i="10"/>
  <c r="N42" i="10"/>
  <c r="N46" i="10"/>
  <c r="N47" i="10"/>
  <c r="N48" i="10"/>
  <c r="N51" i="10"/>
  <c r="N52" i="10"/>
  <c r="N53" i="10"/>
  <c r="N54" i="10"/>
  <c r="N55" i="10"/>
  <c r="N56" i="10"/>
  <c r="N57" i="10"/>
  <c r="N58" i="10"/>
  <c r="N59" i="10"/>
  <c r="N61" i="10"/>
  <c r="N62" i="10"/>
  <c r="N63" i="10"/>
  <c r="N64" i="10"/>
  <c r="N65" i="10"/>
  <c r="N67" i="10"/>
  <c r="N68" i="10"/>
  <c r="N70" i="10"/>
  <c r="N71" i="10"/>
  <c r="N72" i="10"/>
  <c r="N73" i="10"/>
  <c r="N75" i="10"/>
  <c r="N76" i="10"/>
  <c r="N77" i="10"/>
  <c r="N78" i="10"/>
  <c r="N79" i="10"/>
  <c r="N82" i="10"/>
  <c r="N84" i="10"/>
  <c r="N85" i="10"/>
  <c r="N86" i="10"/>
  <c r="N87" i="10"/>
  <c r="N88" i="10"/>
  <c r="N89" i="10"/>
  <c r="N90" i="10"/>
  <c r="N91" i="10"/>
  <c r="N92" i="10"/>
  <c r="N93" i="10"/>
  <c r="N94" i="10"/>
  <c r="N95" i="10"/>
  <c r="N96" i="10"/>
  <c r="N97" i="10"/>
  <c r="N25" i="10"/>
  <c r="N24" i="10"/>
  <c r="M101" i="10"/>
  <c r="N101" i="10" s="1"/>
  <c r="M100" i="10"/>
  <c r="N100" i="10" s="1"/>
  <c r="M99" i="10"/>
  <c r="N99" i="10" s="1"/>
  <c r="M98" i="10"/>
  <c r="N98" i="10" s="1"/>
  <c r="M97" i="10"/>
  <c r="M96" i="10"/>
  <c r="M95" i="10"/>
  <c r="M94" i="10"/>
  <c r="M93" i="10"/>
  <c r="M92" i="10"/>
  <c r="M91" i="10"/>
  <c r="M90" i="10"/>
  <c r="M89" i="10"/>
  <c r="M88" i="10"/>
  <c r="M87" i="10"/>
  <c r="M86" i="10"/>
  <c r="M85" i="10"/>
  <c r="M84" i="10"/>
  <c r="M83" i="10"/>
  <c r="N83" i="10" s="1"/>
  <c r="M82" i="10"/>
  <c r="M81" i="10"/>
  <c r="N81" i="10" s="1"/>
  <c r="M80" i="10"/>
  <c r="N80" i="10" s="1"/>
  <c r="M79" i="10"/>
  <c r="M78" i="10"/>
  <c r="M77" i="10"/>
  <c r="M76" i="10"/>
  <c r="M75" i="10"/>
  <c r="M74" i="10"/>
  <c r="N74" i="10" s="1"/>
  <c r="M73" i="10"/>
  <c r="M72" i="10"/>
  <c r="M71" i="10"/>
  <c r="M70" i="10"/>
  <c r="M69" i="10"/>
  <c r="N69" i="10" s="1"/>
  <c r="M68" i="10"/>
  <c r="M67" i="10"/>
  <c r="M66" i="10"/>
  <c r="N66" i="10" s="1"/>
  <c r="M65" i="10"/>
  <c r="M64" i="10"/>
  <c r="M63" i="10"/>
  <c r="M62" i="10"/>
  <c r="M61" i="10"/>
  <c r="M60" i="10"/>
  <c r="N60" i="10" s="1"/>
  <c r="M59" i="10"/>
  <c r="M58" i="10"/>
  <c r="M57" i="10"/>
  <c r="M56" i="10"/>
  <c r="M55" i="10"/>
  <c r="M54" i="10"/>
  <c r="M53" i="10"/>
  <c r="M52" i="10"/>
  <c r="M51" i="10"/>
  <c r="M50" i="10"/>
  <c r="N50" i="10" s="1"/>
  <c r="M49" i="10"/>
  <c r="N49" i="10" s="1"/>
  <c r="M48" i="10"/>
  <c r="M47" i="10"/>
  <c r="M46" i="10"/>
  <c r="M45" i="10"/>
  <c r="N45" i="10" s="1"/>
  <c r="M44" i="10"/>
  <c r="N44" i="10" s="1"/>
  <c r="M43" i="10"/>
  <c r="N43" i="10" s="1"/>
  <c r="M42" i="10"/>
  <c r="M41" i="10"/>
  <c r="M40" i="10"/>
  <c r="N40" i="10" s="1"/>
  <c r="M39" i="10"/>
  <c r="M38" i="10"/>
  <c r="M37" i="10"/>
  <c r="J37" i="10" s="1"/>
  <c r="G37" i="10" s="1"/>
  <c r="H37" i="10" s="1"/>
  <c r="M36" i="10"/>
  <c r="M35" i="10"/>
  <c r="O35" i="10" s="1"/>
  <c r="M34" i="10"/>
  <c r="O34" i="10" s="1"/>
  <c r="M33" i="10"/>
  <c r="O33" i="10" s="1"/>
  <c r="M32" i="10"/>
  <c r="O32" i="10" s="1"/>
  <c r="M31" i="10"/>
  <c r="M30" i="10"/>
  <c r="J30" i="10" s="1"/>
  <c r="G30" i="10" s="1"/>
  <c r="H30" i="10" s="1"/>
  <c r="M29" i="10"/>
  <c r="M28" i="10"/>
  <c r="M27" i="10"/>
  <c r="M26" i="10"/>
  <c r="J26" i="10" s="1"/>
  <c r="G26" i="10" s="1"/>
  <c r="H26" i="10" s="1"/>
  <c r="N23" i="10"/>
  <c r="N22" i="10"/>
  <c r="N21" i="10"/>
  <c r="N20" i="10"/>
  <c r="N19" i="10"/>
  <c r="N18" i="10"/>
  <c r="N17" i="10"/>
  <c r="P2" i="10"/>
  <c r="P1" i="10"/>
  <c r="O38" i="10" l="1"/>
  <c r="J27" i="10"/>
  <c r="G27" i="10" s="1"/>
  <c r="H27" i="10" s="1"/>
  <c r="O27" i="10"/>
  <c r="J31" i="10"/>
  <c r="G31" i="10" s="1"/>
  <c r="H31" i="10" s="1"/>
  <c r="O31" i="10"/>
  <c r="N36" i="10"/>
  <c r="J36" i="10"/>
  <c r="G36" i="10" s="1"/>
  <c r="H36" i="10" s="1"/>
  <c r="N35" i="10"/>
  <c r="J35" i="10"/>
  <c r="G35" i="10" s="1"/>
  <c r="H35" i="10" s="1"/>
  <c r="N34" i="10"/>
  <c r="J34" i="10"/>
  <c r="G34" i="10" s="1"/>
  <c r="H34" i="10" s="1"/>
  <c r="N33" i="10"/>
  <c r="J33" i="10"/>
  <c r="G33" i="10" s="1"/>
  <c r="H33" i="10" s="1"/>
  <c r="N32" i="10"/>
  <c r="J32" i="10"/>
  <c r="G32" i="10" s="1"/>
  <c r="H32" i="10" s="1"/>
  <c r="N29" i="10"/>
  <c r="J29" i="10"/>
  <c r="G29" i="10" s="1"/>
  <c r="H29" i="10" s="1"/>
  <c r="N28" i="10"/>
  <c r="J28" i="10"/>
  <c r="G28" i="10" s="1"/>
  <c r="H28" i="10" s="1"/>
  <c r="N30" i="10"/>
  <c r="N31" i="10"/>
  <c r="N38" i="10"/>
  <c r="N26" i="10"/>
  <c r="N27" i="10"/>
  <c r="N37" i="10"/>
  <c r="C4" i="11"/>
  <c r="E4" i="11"/>
  <c r="E5" i="11" s="1"/>
  <c r="D4" i="11"/>
  <c r="D5" i="11" s="1"/>
  <c r="P3" i="10"/>
  <c r="N102" i="10" l="1"/>
  <c r="L2" i="10" s="1"/>
  <c r="O102" i="10"/>
  <c r="G4" i="11"/>
  <c r="G5" i="11" s="1"/>
  <c r="H22" i="10"/>
  <c r="H23" i="10"/>
  <c r="H20" i="10"/>
  <c r="H16" i="10"/>
  <c r="BA3" i="10" s="1" a="1"/>
  <c r="BA3" i="10" s="1"/>
  <c r="H17" i="10"/>
  <c r="H18" i="10"/>
  <c r="H19" i="10"/>
  <c r="H21" i="10"/>
  <c r="E12" i="10" l="1"/>
  <c r="E13" i="10" s="1"/>
  <c r="L6" i="10"/>
  <c r="L3" i="10"/>
  <c r="P6" i="10"/>
  <c r="P5" i="10"/>
  <c r="C5" i="11"/>
  <c r="W7" i="11"/>
  <c r="W14" i="11"/>
  <c r="X14" i="11" s="1"/>
  <c r="W9" i="11"/>
  <c r="X9" i="11" s="1"/>
  <c r="W8" i="11"/>
  <c r="X8" i="11" s="1"/>
  <c r="W13" i="11"/>
  <c r="X13" i="11" s="1"/>
  <c r="W11" i="11"/>
  <c r="X11" i="11" s="1"/>
  <c r="W16" i="11"/>
  <c r="X16" i="11" s="1"/>
  <c r="W10" i="11"/>
  <c r="X10" i="11" s="1"/>
  <c r="W15" i="11"/>
  <c r="X15" i="11" s="1"/>
  <c r="W17" i="11"/>
  <c r="X17" i="11" s="1"/>
  <c r="W12" i="11"/>
  <c r="X12" i="11" s="1"/>
  <c r="W3" i="11"/>
  <c r="X3" i="11" s="1"/>
  <c r="W4" i="11"/>
  <c r="X4" i="11" s="1"/>
  <c r="X7" i="11" l="1"/>
  <c r="D12" i="10"/>
  <c r="D13" i="10" s="1"/>
  <c r="C12" i="10"/>
  <c r="C13" i="10" s="1"/>
  <c r="BH13" i="11"/>
  <c r="BM13" i="11" s="1" a="1"/>
  <c r="BM13" i="11" s="1"/>
  <c r="R20" i="11"/>
  <c r="BK13" i="11" l="1" a="1"/>
  <c r="BK13" i="11" s="1"/>
  <c r="BI13" i="11" a="1"/>
  <c r="BI13" i="11" s="1"/>
  <c r="BL13" i="11" a="1"/>
  <c r="BL13" i="11" s="1"/>
  <c r="BJ13" i="11" a="1"/>
  <c r="BJ13" i="11" s="1"/>
  <c r="T20" i="11" l="1" a="1"/>
  <c r="T20" i="11" s="1"/>
  <c r="V20" i="1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Rubén Murcia</author>
  </authors>
  <commentList>
    <comment ref="O9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Rubén Murcia:</t>
        </r>
        <r>
          <rPr>
            <sz val="9"/>
            <color indexed="81"/>
            <rFont val="Tahoma"/>
            <family val="2"/>
          </rPr>
          <t xml:space="preserve">
Best Mixture  correct values will show after running SOLVER.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<sst xmlns="http://schemas.openxmlformats.org/spreadsheetml/2006/main" count="2953" uniqueCount="2610">
  <si>
    <t>%</t>
  </si>
  <si>
    <t>R</t>
  </si>
  <si>
    <t>Target</t>
  </si>
  <si>
    <t>Solvents</t>
  </si>
  <si>
    <t>MVol</t>
  </si>
  <si>
    <t>Distance</t>
  </si>
  <si>
    <t>Acetone</t>
  </si>
  <si>
    <t>Acetonitrile</t>
  </si>
  <si>
    <t>n-Amyl Acetate</t>
  </si>
  <si>
    <t>n-Amyl Alcohol</t>
  </si>
  <si>
    <t>Benzyl Alcohol</t>
  </si>
  <si>
    <t>Benzyl Benzoate</t>
  </si>
  <si>
    <t>1-Butanol</t>
  </si>
  <si>
    <t>2-Butanol</t>
  </si>
  <si>
    <t>n-Butyl Acetate</t>
  </si>
  <si>
    <t>t-Butyl Acetate</t>
  </si>
  <si>
    <t>t-Butyl Alcohol</t>
  </si>
  <si>
    <t>Butyl Benzoate</t>
  </si>
  <si>
    <t>Butyl Diglycol Acetate</t>
  </si>
  <si>
    <t>Butyl Glycol Acetate</t>
  </si>
  <si>
    <t>n-Butyl Propionate</t>
  </si>
  <si>
    <t>Caprolactone (Epsilon)</t>
  </si>
  <si>
    <t>Cyclohexane</t>
  </si>
  <si>
    <t>Cyclohexanol</t>
  </si>
  <si>
    <t>Cyclohexanone</t>
  </si>
  <si>
    <t>Di-isoButyl Ketone</t>
  </si>
  <si>
    <t>Diacetone Alcohol</t>
  </si>
  <si>
    <t>Diethylene Glycol Monobutyl Ether</t>
  </si>
  <si>
    <t>Dimethyl Cyclohexane</t>
  </si>
  <si>
    <t>Dimethyl Sulfoxide (DMSO)</t>
  </si>
  <si>
    <t>1,4-Dioxane</t>
  </si>
  <si>
    <t>1,3-Dioxolane</t>
  </si>
  <si>
    <t>Dipropylene Glycol</t>
  </si>
  <si>
    <t>Dipropylene Glycol Methyl Ether</t>
  </si>
  <si>
    <t>Dipropylene Glycol Mono n-Butyl Ether</t>
  </si>
  <si>
    <t>Ethanol</t>
  </si>
  <si>
    <t>Ethyl Acetate</t>
  </si>
  <si>
    <t>Ethyl Benzene</t>
  </si>
  <si>
    <t>Ethyl Lactate</t>
  </si>
  <si>
    <t>Ethylene Carbonate</t>
  </si>
  <si>
    <t>Ethylene Glycol</t>
  </si>
  <si>
    <t>Ethylene Glycol Monobutyl Ether</t>
  </si>
  <si>
    <t>Ethylene Glycol Monomethyl Ether</t>
  </si>
  <si>
    <t>gamma-Butyrolactone (GBL)</t>
  </si>
  <si>
    <t>Glycerol Carbonate</t>
  </si>
  <si>
    <t>Heptane</t>
  </si>
  <si>
    <t>Hexane</t>
  </si>
  <si>
    <t>Iso-Butanol</t>
  </si>
  <si>
    <t>Iso-Butyl Isobutyrate</t>
  </si>
  <si>
    <t>Iso-Pentyl Acetate</t>
  </si>
  <si>
    <t>iso-Pentyl Alcohol</t>
  </si>
  <si>
    <t>Iso-Propyl Acetate</t>
  </si>
  <si>
    <t>Isophorone</t>
  </si>
  <si>
    <t>d-Limonene</t>
  </si>
  <si>
    <t>Methanol</t>
  </si>
  <si>
    <t>Methyl Acetate</t>
  </si>
  <si>
    <t>Methyl Carbitol</t>
  </si>
  <si>
    <t>Methyl Cellosolve</t>
  </si>
  <si>
    <t>Methyl Cyclohexane</t>
  </si>
  <si>
    <t>Methyl Ethyl Ketone (MEK)</t>
  </si>
  <si>
    <t>Methyl iso-Amyl Ketone</t>
  </si>
  <si>
    <t>Methyl iso-Butyl Carbinol</t>
  </si>
  <si>
    <t>Methyl Iso-Butyl Ketone (MIBK)</t>
  </si>
  <si>
    <t>Methyl Oleate</t>
  </si>
  <si>
    <t>Methyl Propyl Ketone</t>
  </si>
  <si>
    <t>N-Methyl-2-Pyrrolidone (NMP)</t>
  </si>
  <si>
    <t>Methylene Chloride</t>
  </si>
  <si>
    <t>N,N-Dimethyl Acetamide</t>
  </si>
  <si>
    <t>N,N-Dimethyl Formamide (DMF)</t>
  </si>
  <si>
    <t>1-Nitropropane</t>
  </si>
  <si>
    <t>2-Phenoxy Ethanol</t>
  </si>
  <si>
    <t>2-Propanol</t>
  </si>
  <si>
    <t>1-Propanol</t>
  </si>
  <si>
    <t>n-Propyl Acetate</t>
  </si>
  <si>
    <t>n-Propyl Propanoate</t>
  </si>
  <si>
    <t>Propylene Carbonate</t>
  </si>
  <si>
    <t>Propylene Glycol Monobutyl Ether</t>
  </si>
  <si>
    <t>Propylene Glycol Monoethyl Ether Acetate</t>
  </si>
  <si>
    <t>Propylene Glycol Monomethyl Ether</t>
  </si>
  <si>
    <t>Propylene Glycol Monomethyl Ether Acetate</t>
  </si>
  <si>
    <t>Propylene Glycol Phenyl Ether</t>
  </si>
  <si>
    <t>sec-Butyl Acetate</t>
  </si>
  <si>
    <t>Sulfolane (Tetramethylene Sulfone)</t>
  </si>
  <si>
    <t>Tetrahydrofuran (THF)</t>
  </si>
  <si>
    <t>Tetrahydrofurfuryl Alcohol</t>
  </si>
  <si>
    <t>Toluene</t>
  </si>
  <si>
    <t>Xylene</t>
  </si>
  <si>
    <t>Score</t>
  </si>
  <si>
    <t>Benzene</t>
  </si>
  <si>
    <t>Chloroform</t>
  </si>
  <si>
    <t>Diethyl Ether</t>
  </si>
  <si>
    <t>m-Cresol</t>
  </si>
  <si>
    <t>Good</t>
  </si>
  <si>
    <t>Bad</t>
  </si>
  <si>
    <t>Total</t>
  </si>
  <si>
    <t>Iso-Propyl Ether</t>
  </si>
  <si>
    <t>dD</t>
  </si>
  <si>
    <t>dP</t>
  </si>
  <si>
    <t>dH</t>
  </si>
  <si>
    <t>Error</t>
  </si>
  <si>
    <t>Scaling</t>
  </si>
  <si>
    <t>Fit %</t>
  </si>
  <si>
    <t>RED</t>
  </si>
  <si>
    <t>Wrong Out</t>
  </si>
  <si>
    <t>Wrong In</t>
  </si>
  <si>
    <t>Test Value</t>
  </si>
  <si>
    <t>Delta</t>
  </si>
  <si>
    <t>Blend</t>
  </si>
  <si>
    <t>Total dD</t>
  </si>
  <si>
    <t>Total dP</t>
  </si>
  <si>
    <t>Total dH</t>
  </si>
  <si>
    <t>Partial dD</t>
  </si>
  <si>
    <t>Partial dP</t>
  </si>
  <si>
    <t>Partial dH</t>
  </si>
  <si>
    <t>S1</t>
  </si>
  <si>
    <t>S2</t>
  </si>
  <si>
    <t>Solvent</t>
  </si>
  <si>
    <t>RT</t>
  </si>
  <si>
    <t>Chi parameter</t>
  </si>
  <si>
    <t>HSP Sphere</t>
  </si>
  <si>
    <t>HSP Solvent Blends</t>
  </si>
  <si>
    <t>If you find bugs/issues or would like extra functionality, please email Steven Abbott</t>
  </si>
  <si>
    <t>steven@stevenabbott.co.uk</t>
  </si>
  <si>
    <t>These two workbooks are provided by www.hansen-solubility.com as a convenient introduction to some of the basic HSP methods</t>
  </si>
  <si>
    <t>They are Copyright © 2013 Prof Steven Abbott</t>
  </si>
  <si>
    <t>1,1,1,2-Tetrachloroethane</t>
  </si>
  <si>
    <t>630-20-6</t>
  </si>
  <si>
    <t>1,1,1-Trichloroethane</t>
  </si>
  <si>
    <t>71-55-6</t>
  </si>
  <si>
    <t>1,1,1-Trifluoroethane</t>
  </si>
  <si>
    <t>420-46-2</t>
  </si>
  <si>
    <t>1,1,2,2-Tetrabromoethane</t>
  </si>
  <si>
    <t>79-27-6</t>
  </si>
  <si>
    <t>1,1,2,2-Tetrachloroethane</t>
  </si>
  <si>
    <t>79-34-5</t>
  </si>
  <si>
    <t>1,1,2,2-Tetrachloropropane</t>
  </si>
  <si>
    <t>13116-60-4</t>
  </si>
  <si>
    <t>1,1,2-Tribromo Ethylene</t>
  </si>
  <si>
    <t>598-16-3</t>
  </si>
  <si>
    <t>1,1,2-Trichloro Propene</t>
  </si>
  <si>
    <t>21400-25-9</t>
  </si>
  <si>
    <t>1,1,2-Trichloroethane</t>
  </si>
  <si>
    <t>79-00-5</t>
  </si>
  <si>
    <t>1,1,2-Trichlorotrifluoroethane (Freon113)</t>
  </si>
  <si>
    <t>76-13-1</t>
  </si>
  <si>
    <t>1,1,3,3-Tetramethoxypropane</t>
  </si>
  <si>
    <t>102-52-3</t>
  </si>
  <si>
    <t>1,1-Diallyloxyethane</t>
  </si>
  <si>
    <t>20682-69-3</t>
  </si>
  <si>
    <t>1,1-Dibromoethane</t>
  </si>
  <si>
    <t>557-91-5</t>
  </si>
  <si>
    <t>1,1-Dibromoethylene</t>
  </si>
  <si>
    <t>593-92-0</t>
  </si>
  <si>
    <t>1,1-Dichloro-1-Nitroethane</t>
  </si>
  <si>
    <t>594-72-9</t>
  </si>
  <si>
    <t>1,1-Dichloroacetone</t>
  </si>
  <si>
    <t>513-88-2</t>
  </si>
  <si>
    <t>1,1-Dichloroethane</t>
  </si>
  <si>
    <t>75-34-3</t>
  </si>
  <si>
    <t>1,1-Dichloroethylene</t>
  </si>
  <si>
    <t>75-35-4</t>
  </si>
  <si>
    <t>1,1-Dichloropropane</t>
  </si>
  <si>
    <t>78-99-9</t>
  </si>
  <si>
    <t>1,1-Dichloropropene</t>
  </si>
  <si>
    <t>563-58-6</t>
  </si>
  <si>
    <t>1,1-Diethoxy Butane</t>
  </si>
  <si>
    <t>3658-95-5</t>
  </si>
  <si>
    <t>1,1-Diethoxy Ethane</t>
  </si>
  <si>
    <t>105-57-7</t>
  </si>
  <si>
    <t>1,1-Difluoroethane</t>
  </si>
  <si>
    <t>75-37-6</t>
  </si>
  <si>
    <t>1,1-Difluoroethylene</t>
  </si>
  <si>
    <t>75-38-7</t>
  </si>
  <si>
    <t>1,1-Dimethoxy Ethane</t>
  </si>
  <si>
    <t>534-15-6</t>
  </si>
  <si>
    <t>1,1-Dimethyl Hydrazine</t>
  </si>
  <si>
    <t>57-14-7</t>
  </si>
  <si>
    <t>1,2,3,4-Tetramethylbenzene</t>
  </si>
  <si>
    <t>488-23-3</t>
  </si>
  <si>
    <t>1,2,3,5-Tetramethylbenzene</t>
  </si>
  <si>
    <t>527-53-7</t>
  </si>
  <si>
    <t>1,2,3-Benzotriazole</t>
  </si>
  <si>
    <t>95-14-7</t>
  </si>
  <si>
    <t>1,2,3-Triazole</t>
  </si>
  <si>
    <t>288-36-8</t>
  </si>
  <si>
    <t>1,2,3-Trichloro Propene</t>
  </si>
  <si>
    <t>96-19-5</t>
  </si>
  <si>
    <t>1,2,3-Trichloropropane</t>
  </si>
  <si>
    <t>96-18-4</t>
  </si>
  <si>
    <t>1,2,4,5-Tetrachlorobenzene</t>
  </si>
  <si>
    <t>95-94-3</t>
  </si>
  <si>
    <t>1,2,4-Trichlorobenzene</t>
  </si>
  <si>
    <t>120-82-1</t>
  </si>
  <si>
    <t>1,2-Butadiene</t>
  </si>
  <si>
    <t>590-19-2</t>
  </si>
  <si>
    <t>1,2-Chlorobromoethylene</t>
  </si>
  <si>
    <t>1,2-Cyclohexanediol</t>
  </si>
  <si>
    <t>931-17-9</t>
  </si>
  <si>
    <t>1,2-Cyclohexanedione</t>
  </si>
  <si>
    <t>765-87-7</t>
  </si>
  <si>
    <t>1,2-Dibromoethylene</t>
  </si>
  <si>
    <t>540-49-8</t>
  </si>
  <si>
    <t>1,2-Dichloroethylene (Cis)</t>
  </si>
  <si>
    <t>156-59-2</t>
  </si>
  <si>
    <t>1,2-Dichloropropane</t>
  </si>
  <si>
    <t>78-87-5</t>
  </si>
  <si>
    <t>1,2-Dichloropropene (Cis)</t>
  </si>
  <si>
    <t>6923-20-2</t>
  </si>
  <si>
    <t>1,2-Dichlorotetrafluoroethane (Freon 114)</t>
  </si>
  <si>
    <t>76-14-2</t>
  </si>
  <si>
    <t>1,2-Dichlorovinyl Ethyl Ether</t>
  </si>
  <si>
    <t>42345-82-4</t>
  </si>
  <si>
    <t>1,2-Diethyl Benzene</t>
  </si>
  <si>
    <t>135-01-3</t>
  </si>
  <si>
    <t>1,2-Dihydroxybenzene (Catechol)</t>
  </si>
  <si>
    <t>120-80-9</t>
  </si>
  <si>
    <t>1,2-Dimethoxybenzene</t>
  </si>
  <si>
    <t>91-16-7</t>
  </si>
  <si>
    <t>1,2-Dinitrobenzene</t>
  </si>
  <si>
    <t>528-29-0</t>
  </si>
  <si>
    <t>1,2-Epoxy-2-Propene</t>
  </si>
  <si>
    <t>40079-14-9</t>
  </si>
  <si>
    <t>1,2-Ethane Dithiol</t>
  </si>
  <si>
    <t>540-63-6</t>
  </si>
  <si>
    <t>1,2-Methylenedioxybenzene (G.C.)</t>
  </si>
  <si>
    <t>274-09-9</t>
  </si>
  <si>
    <t>1,2-Propadiene (Allene)</t>
  </si>
  <si>
    <t>463-49-0</t>
  </si>
  <si>
    <t>1,3,5-Trioxane</t>
  </si>
  <si>
    <t>110-88-3</t>
  </si>
  <si>
    <t>1,3-Benzenediol</t>
  </si>
  <si>
    <t>108-46-3</t>
  </si>
  <si>
    <t>1,3-Bis(Trifluoromethyl)Benzene</t>
  </si>
  <si>
    <t>402-31-3</t>
  </si>
  <si>
    <t>1,3-Butadiene</t>
  </si>
  <si>
    <t>106-99-0</t>
  </si>
  <si>
    <t>1,3-Butadiene-1,2-Di-Chloro</t>
  </si>
  <si>
    <t>3574-40-1</t>
  </si>
  <si>
    <t>1,3-Butadiene-1-Chloro</t>
  </si>
  <si>
    <t>627-22-5</t>
  </si>
  <si>
    <t>1,3-Butanediol</t>
  </si>
  <si>
    <t>107-88-0</t>
  </si>
  <si>
    <t>1,3-Dichloro Propane</t>
  </si>
  <si>
    <t>142-28-9</t>
  </si>
  <si>
    <t>1,3-Dichloro-2-Butene</t>
  </si>
  <si>
    <t>926-57-8</t>
  </si>
  <si>
    <t>1,3-Dichloro-2-Fluorobenzene</t>
  </si>
  <si>
    <t>1,3-Dichloro-2-Propanol</t>
  </si>
  <si>
    <t>96-23-1</t>
  </si>
  <si>
    <t>1,3-Dimethoxy Butane</t>
  </si>
  <si>
    <t>10143-66-5</t>
  </si>
  <si>
    <t>646-06-0</t>
  </si>
  <si>
    <t>1,3-Pentadiene (Trans)</t>
  </si>
  <si>
    <t>2004-70-8</t>
  </si>
  <si>
    <t>1,3-Propane Sultone</t>
  </si>
  <si>
    <t>1120-71-4</t>
  </si>
  <si>
    <t>1,3-Propanediol (Trimethyleneglycol)</t>
  </si>
  <si>
    <t>504-63-2</t>
  </si>
  <si>
    <t>1,4-Butandiol Diacrylate</t>
  </si>
  <si>
    <t>1070-70-8</t>
  </si>
  <si>
    <t>1,4-Butanediol</t>
  </si>
  <si>
    <t>110-63-4</t>
  </si>
  <si>
    <t>1,4-Dichloro-2-Butene</t>
  </si>
  <si>
    <t>764-41-0</t>
  </si>
  <si>
    <t>1,4-Dichlorobutane</t>
  </si>
  <si>
    <t>110-56-5</t>
  </si>
  <si>
    <t>1,4-Dihydroxybenzene (1,4-Benzenediol)</t>
  </si>
  <si>
    <t>123-31-9</t>
  </si>
  <si>
    <t>123-91-1</t>
  </si>
  <si>
    <t>1,4-Dioxane (High P)</t>
  </si>
  <si>
    <t>1,4-Thioxane</t>
  </si>
  <si>
    <t>15980-15-1</t>
  </si>
  <si>
    <t>1,5-Dichloropentane</t>
  </si>
  <si>
    <t>628-76-2</t>
  </si>
  <si>
    <t>1,8-Cineole (Eucalyptol)</t>
  </si>
  <si>
    <t>470-82-6</t>
  </si>
  <si>
    <t>1,9-Nonanediol</t>
  </si>
  <si>
    <t>3937-56-2</t>
  </si>
  <si>
    <t>1-Acetoxy-1,3-Butadiene</t>
  </si>
  <si>
    <t>1515-76-0</t>
  </si>
  <si>
    <t>1-Aminocyclopropane Carboxylic Acid</t>
  </si>
  <si>
    <t>22059-21-8</t>
  </si>
  <si>
    <t>1-Bromo Propene (Cis)</t>
  </si>
  <si>
    <t>590-13-6</t>
  </si>
  <si>
    <t>1-Bromo-4-Ethoxy Benzene</t>
  </si>
  <si>
    <t>588-96-5</t>
  </si>
  <si>
    <t>1-Bromonaphthalene</t>
  </si>
  <si>
    <t>90-11-9</t>
  </si>
  <si>
    <t>1-Bromopropane</t>
  </si>
  <si>
    <t>106-94-5</t>
  </si>
  <si>
    <t>1-Butanethiol</t>
  </si>
  <si>
    <t>109-79-5</t>
  </si>
  <si>
    <t>71-36-3</t>
  </si>
  <si>
    <t>1-Butene</t>
  </si>
  <si>
    <t>106-98-9</t>
  </si>
  <si>
    <t>1-Butenyl Methyl Ether</t>
  </si>
  <si>
    <t>4696-30-4</t>
  </si>
  <si>
    <t>1-Chloro Pentane</t>
  </si>
  <si>
    <t>543-59-9</t>
  </si>
  <si>
    <t>1-Chloro Vinyl Ethyl Ether</t>
  </si>
  <si>
    <t>54722-81-5</t>
  </si>
  <si>
    <t>1-Chloro-1-Fluoro Ethylene</t>
  </si>
  <si>
    <t>2317-91-1</t>
  </si>
  <si>
    <t>1-Chloro-1-Nitroethane</t>
  </si>
  <si>
    <t>598-92-5</t>
  </si>
  <si>
    <t>1-Chloro-1-Nitropropane</t>
  </si>
  <si>
    <t>600-25-9</t>
  </si>
  <si>
    <t>1-Chloro-2-Butene</t>
  </si>
  <si>
    <t>591-97-9</t>
  </si>
  <si>
    <t>1-Chloro-2-Ethoxy Benzene</t>
  </si>
  <si>
    <t>614-72-2</t>
  </si>
  <si>
    <t>1-Chloro-2-Ethyl Benzene</t>
  </si>
  <si>
    <t>89-96-3</t>
  </si>
  <si>
    <t>1-Chloro-2-Methyl Propene</t>
  </si>
  <si>
    <t>513-37-1</t>
  </si>
  <si>
    <t>1-Chloro-4-Ethoxy Benzene</t>
  </si>
  <si>
    <t>622-61-7</t>
  </si>
  <si>
    <t>1-Chlorobutane</t>
  </si>
  <si>
    <t>109-69-3</t>
  </si>
  <si>
    <t>1-Chlorohexane</t>
  </si>
  <si>
    <t>544-10-5</t>
  </si>
  <si>
    <t>1-Chloronaphthalene</t>
  </si>
  <si>
    <t>90-13-1</t>
  </si>
  <si>
    <t>1-Chloropropene</t>
  </si>
  <si>
    <t>590-21-6</t>
  </si>
  <si>
    <t>1-Decanol</t>
  </si>
  <si>
    <t>112-30-1</t>
  </si>
  <si>
    <t>1-Decene</t>
  </si>
  <si>
    <t>872-05-9</t>
  </si>
  <si>
    <t>1-Ethoxy Ethoxy-2-Propanol</t>
  </si>
  <si>
    <t>4043-59-8</t>
  </si>
  <si>
    <t>1-Ethyl Vinyl Ethyl Ether</t>
  </si>
  <si>
    <t>1528-20-7</t>
  </si>
  <si>
    <t>1-Fluoro Acrylic Acid</t>
  </si>
  <si>
    <t>430-99-9</t>
  </si>
  <si>
    <t>1-Fluoro Acrylonitrile</t>
  </si>
  <si>
    <t>430-49-9</t>
  </si>
  <si>
    <t>1-Heptanol</t>
  </si>
  <si>
    <t>111-70-6</t>
  </si>
  <si>
    <t>1-Heptene</t>
  </si>
  <si>
    <t>592-76-7</t>
  </si>
  <si>
    <t>1-Hexanol</t>
  </si>
  <si>
    <t>111-27-3</t>
  </si>
  <si>
    <t>1-Hexene</t>
  </si>
  <si>
    <t>592-41-6</t>
  </si>
  <si>
    <t>1-Methoxy-1,3-Butadiene</t>
  </si>
  <si>
    <t>3036-66-6</t>
  </si>
  <si>
    <t>1-Methoxy-2-Nitrobenzene</t>
  </si>
  <si>
    <t>91-23-6</t>
  </si>
  <si>
    <t>1-Methyl Cyclohexanol</t>
  </si>
  <si>
    <t>590-67-0</t>
  </si>
  <si>
    <t>1-Methyl Imidazole</t>
  </si>
  <si>
    <t>616-47-7</t>
  </si>
  <si>
    <t>1-Methyl Naphthalene</t>
  </si>
  <si>
    <t>90-12-0</t>
  </si>
  <si>
    <t>1-Methyl Vinyl Methyl Ether</t>
  </si>
  <si>
    <t>116-11-0</t>
  </si>
  <si>
    <t>1-Naphthol</t>
  </si>
  <si>
    <t>90-15-3</t>
  </si>
  <si>
    <t>108-03-2</t>
  </si>
  <si>
    <t>1-Nonanol</t>
  </si>
  <si>
    <t>143-08-8</t>
  </si>
  <si>
    <t>1-Nonene</t>
  </si>
  <si>
    <t>124-11-8</t>
  </si>
  <si>
    <t>1-Octanol</t>
  </si>
  <si>
    <t>111-87-5</t>
  </si>
  <si>
    <t>1-Octene</t>
  </si>
  <si>
    <t>111-66-0</t>
  </si>
  <si>
    <t>1-Pentanol</t>
  </si>
  <si>
    <t>71-41-0</t>
  </si>
  <si>
    <t>1-Pentene</t>
  </si>
  <si>
    <t>109-67-1</t>
  </si>
  <si>
    <t>1-Propanethiol</t>
  </si>
  <si>
    <t>107-03-9</t>
  </si>
  <si>
    <t>71-23-8</t>
  </si>
  <si>
    <t>1-Tetradecene</t>
  </si>
  <si>
    <t>1120-36-1</t>
  </si>
  <si>
    <t>2,2',5,5'-Tetrathiafulvalen</t>
  </si>
  <si>
    <t>31366-25-3</t>
  </si>
  <si>
    <t>2,2,2-Trifluoro Ethanol</t>
  </si>
  <si>
    <t>75-89-8</t>
  </si>
  <si>
    <t>2,2,4-Trimethyl-1,3-Pentanediol Monoisobutyrate (Texanol)</t>
  </si>
  <si>
    <t>25265-77-4</t>
  </si>
  <si>
    <t>2,2,4-Trimethylpentane</t>
  </si>
  <si>
    <t>540-84-1</t>
  </si>
  <si>
    <t>2,2,6,6-Tetrachlorocyclohexanone</t>
  </si>
  <si>
    <t>3776-30-5</t>
  </si>
  <si>
    <t>2,2-Dimethyl-1-Propanol (Neopentyl Alc.)</t>
  </si>
  <si>
    <t>75-84-3</t>
  </si>
  <si>
    <t>2,3,4-Trifluoro Nitrobenzene</t>
  </si>
  <si>
    <t>771-69-7</t>
  </si>
  <si>
    <t>2,3-Benzofuran (Cumaron)</t>
  </si>
  <si>
    <t>271-89-6</t>
  </si>
  <si>
    <t>2,3-Butadiene-1-ol</t>
  </si>
  <si>
    <t>18913-31-0</t>
  </si>
  <si>
    <t>2,3-Butylene Carbonate</t>
  </si>
  <si>
    <t>4437-70-1</t>
  </si>
  <si>
    <t>2,3-Dibromoprene</t>
  </si>
  <si>
    <t>34994-48-4</t>
  </si>
  <si>
    <t>2,3-Dichloro-1,3-Butadiene</t>
  </si>
  <si>
    <t>1653-19-6</t>
  </si>
  <si>
    <t>2,3-Dichloronitrobenzene</t>
  </si>
  <si>
    <t>3209-22-1</t>
  </si>
  <si>
    <t>2,3-Dichloropropanol</t>
  </si>
  <si>
    <t>616-23-9</t>
  </si>
  <si>
    <t>2,3-Dichloropropene</t>
  </si>
  <si>
    <t>78-88-6</t>
  </si>
  <si>
    <t>2,4,5-Trichlorothiophenol</t>
  </si>
  <si>
    <t>3773-14-6</t>
  </si>
  <si>
    <t>2,4,6-Tribromo Phenol</t>
  </si>
  <si>
    <t>118-79-6</t>
  </si>
  <si>
    <t>2,4,6-Trichloroanisol</t>
  </si>
  <si>
    <t>87-40-1</t>
  </si>
  <si>
    <t>2,4,6-Trichlorophenol</t>
  </si>
  <si>
    <t>88-06-2</t>
  </si>
  <si>
    <t>2,4-Dichloro-3-Fluoronitrobenzene</t>
  </si>
  <si>
    <t>393-79-3</t>
  </si>
  <si>
    <t>2,4-Dichloro-5-Nitrobenzotrifluoride</t>
  </si>
  <si>
    <t>400-70-4</t>
  </si>
  <si>
    <t>2,4-Dichloroaniline</t>
  </si>
  <si>
    <t>554-00-7</t>
  </si>
  <si>
    <t>2,4-Dichlorobenzaldehyde</t>
  </si>
  <si>
    <t>874-42-0</t>
  </si>
  <si>
    <t>2,4-Dichloronitrobenzene</t>
  </si>
  <si>
    <t>611-06-3</t>
  </si>
  <si>
    <t>2,4-Dichlorophenol</t>
  </si>
  <si>
    <t>120-83-2</t>
  </si>
  <si>
    <t>2,4-Difluoronitrobenzene</t>
  </si>
  <si>
    <t>446-35-5</t>
  </si>
  <si>
    <t>2,4-Dimethylaniline</t>
  </si>
  <si>
    <t>95-68-1</t>
  </si>
  <si>
    <t>2,4-Dinitrotoluene</t>
  </si>
  <si>
    <t>121-14-2</t>
  </si>
  <si>
    <t>2,5-Dichlorobenzotrifluoride</t>
  </si>
  <si>
    <t>320-50-3</t>
  </si>
  <si>
    <t>2,5-Dichlorophenol</t>
  </si>
  <si>
    <t>583-78-8</t>
  </si>
  <si>
    <t>2,5-Diethoxy Tetrahydrofuran</t>
  </si>
  <si>
    <t>3320-90-9</t>
  </si>
  <si>
    <t>2,5-Dimethoxytetrahydrofuran</t>
  </si>
  <si>
    <t>696-59-3</t>
  </si>
  <si>
    <t>2,5-Dimethyl Pyrrole</t>
  </si>
  <si>
    <t>625-84-3</t>
  </si>
  <si>
    <t>2,5-Tetrahydrofuran Dimethanol</t>
  </si>
  <si>
    <t>104-80-3</t>
  </si>
  <si>
    <t>2,6-Dichloro-7-Methyl Purine</t>
  </si>
  <si>
    <t>2273-93-0</t>
  </si>
  <si>
    <t>2,6-Dichloroanisole</t>
  </si>
  <si>
    <t>1984-65-2</t>
  </si>
  <si>
    <t>2,6-Dichlorophenol</t>
  </si>
  <si>
    <t>87-65-0</t>
  </si>
  <si>
    <t>2,6-Difluorobenzonitrile</t>
  </si>
  <si>
    <t>1897-52-5</t>
  </si>
  <si>
    <t>2,6-Dimethoxy Phenol</t>
  </si>
  <si>
    <t>91-10-1</t>
  </si>
  <si>
    <t>2,6-Dimethyl Phenol</t>
  </si>
  <si>
    <t>576-26-1</t>
  </si>
  <si>
    <t>2-(Diethylamino)Ethanol</t>
  </si>
  <si>
    <t>100-37-8</t>
  </si>
  <si>
    <t>2-Acetyl Thiophene</t>
  </si>
  <si>
    <t>88-15-3</t>
  </si>
  <si>
    <t>2-Amino Pyridine</t>
  </si>
  <si>
    <t>504-29-0</t>
  </si>
  <si>
    <t>2-Bromo Allyl Alcohol</t>
  </si>
  <si>
    <t>598-19-6</t>
  </si>
  <si>
    <t>2-Bromo Propene</t>
  </si>
  <si>
    <t>557-93-7</t>
  </si>
  <si>
    <t>2-Bromobutane</t>
  </si>
  <si>
    <t>78-76-2</t>
  </si>
  <si>
    <t>2-Bromopropane</t>
  </si>
  <si>
    <t>75-26-3</t>
  </si>
  <si>
    <t>2-Bromothiophene</t>
  </si>
  <si>
    <t>1003-09-4</t>
  </si>
  <si>
    <t>78-92-2</t>
  </si>
  <si>
    <t>2-Butene (Cis)</t>
  </si>
  <si>
    <t>590-18-1</t>
  </si>
  <si>
    <t>2-Butene (Trans)</t>
  </si>
  <si>
    <t>624-64-6</t>
  </si>
  <si>
    <t>2-Butenyl Methyl Ether (Cis)</t>
  </si>
  <si>
    <t>25125-85-3</t>
  </si>
  <si>
    <t>2-Butenyl Methyl Ether (Trans)</t>
  </si>
  <si>
    <t>10034-14-7</t>
  </si>
  <si>
    <t>2-Butynedinitrile</t>
  </si>
  <si>
    <t>1071-98-3</t>
  </si>
  <si>
    <t>2-Chloro Allyl Alcohol</t>
  </si>
  <si>
    <t>5976-47-6</t>
  </si>
  <si>
    <t>2-Chloro Propene (Isopropenyl Chloride)</t>
  </si>
  <si>
    <t>557-98-2</t>
  </si>
  <si>
    <t>2-Chloro-2-Methyl Propane</t>
  </si>
  <si>
    <t>507-20-0</t>
  </si>
  <si>
    <t>2-Chloro-4-Methylaniline</t>
  </si>
  <si>
    <t>615-65-6</t>
  </si>
  <si>
    <t>2-Chloro-5-Methyl Phenol</t>
  </si>
  <si>
    <t>615-74-7</t>
  </si>
  <si>
    <t>2-Chloroacetamide</t>
  </si>
  <si>
    <t>79-07-2</t>
  </si>
  <si>
    <t>2-Chloroallylidene Diacetate</t>
  </si>
  <si>
    <t>5459-90-5</t>
  </si>
  <si>
    <t>2-Chlorobutane</t>
  </si>
  <si>
    <t>78-86-4</t>
  </si>
  <si>
    <t>2-Chlorocyclohexanone</t>
  </si>
  <si>
    <t>822-87-7</t>
  </si>
  <si>
    <t>2-Chloroethyl Acetate</t>
  </si>
  <si>
    <t>542-58-5</t>
  </si>
  <si>
    <t>2-Chloroethyl Benzene</t>
  </si>
  <si>
    <t>622-24-2</t>
  </si>
  <si>
    <t>2-Chloroethyl Ethyl Ether</t>
  </si>
  <si>
    <t>628-34-2</t>
  </si>
  <si>
    <t>2-Chloroethyl Ethyl Sulfide</t>
  </si>
  <si>
    <t>693-07-2</t>
  </si>
  <si>
    <t>2-Chlorophenol</t>
  </si>
  <si>
    <t>95-57-8</t>
  </si>
  <si>
    <t>2-Chloropropenal</t>
  </si>
  <si>
    <t>683-51-2</t>
  </si>
  <si>
    <t>2-Chloropropenoic Acid</t>
  </si>
  <si>
    <t>598-79-8</t>
  </si>
  <si>
    <t>2-Chlorothiophene</t>
  </si>
  <si>
    <t>96-43-5</t>
  </si>
  <si>
    <t>2-Cyclopentenyl Alcohol</t>
  </si>
  <si>
    <t>3212-60-0</t>
  </si>
  <si>
    <t>2-Decanol</t>
  </si>
  <si>
    <t>1120-06-5</t>
  </si>
  <si>
    <t>2-Ethyl Croton Aldehyde</t>
  </si>
  <si>
    <t>19780-25-7</t>
  </si>
  <si>
    <t>2-Ethyl Hexyl Acetate</t>
  </si>
  <si>
    <t>103-09-3</t>
  </si>
  <si>
    <t>2-Ethyl Hexyl Acrylate</t>
  </si>
  <si>
    <t>103-11-7</t>
  </si>
  <si>
    <t>2-Ethyl Hexyl Phthalate (Mono)</t>
  </si>
  <si>
    <t>4376-20-9</t>
  </si>
  <si>
    <t>2-Ethyl-1,3-Butadiene</t>
  </si>
  <si>
    <t>3404-63-5</t>
  </si>
  <si>
    <t>2-Ethyl-1-Butanol</t>
  </si>
  <si>
    <t>97-95-0</t>
  </si>
  <si>
    <t>2-Ethyl-1-Butene</t>
  </si>
  <si>
    <t>760-21-4</t>
  </si>
  <si>
    <t>2-Ethyl-Hexanol</t>
  </si>
  <si>
    <t>104-76-7</t>
  </si>
  <si>
    <t>2-Ethylhexyl Amine</t>
  </si>
  <si>
    <t>20352-67-4</t>
  </si>
  <si>
    <t>2-Furonitrile</t>
  </si>
  <si>
    <t>617-90-3</t>
  </si>
  <si>
    <t>2-Heptanol</t>
  </si>
  <si>
    <t>543-49-7</t>
  </si>
  <si>
    <t>2-Methoxy Tetrahydropyrane</t>
  </si>
  <si>
    <t>6581-66-4</t>
  </si>
  <si>
    <t>2-Methoxy-1,3-Dioxolane</t>
  </si>
  <si>
    <t>19693-75-5</t>
  </si>
  <si>
    <t>2-Methyl (Cis) Acrylic Acid</t>
  </si>
  <si>
    <t>503-64-0</t>
  </si>
  <si>
    <t>2-Methyl Cyclohexanol (Mix)</t>
  </si>
  <si>
    <t>583-59-5</t>
  </si>
  <si>
    <t>2-Methyl Cyclohexanone</t>
  </si>
  <si>
    <t>583-60-8</t>
  </si>
  <si>
    <t>2-Methyl Pyrazine</t>
  </si>
  <si>
    <t>109-08-0</t>
  </si>
  <si>
    <t>2-Methyl Tetrahydrofuran</t>
  </si>
  <si>
    <t>96-47-9</t>
  </si>
  <si>
    <t>2-Methyl-1,3-Dioxolane</t>
  </si>
  <si>
    <t>497-26-7</t>
  </si>
  <si>
    <t>2-Methyl-1-Butanol</t>
  </si>
  <si>
    <t>137-32-6</t>
  </si>
  <si>
    <t>2-Methyl-1-Butene</t>
  </si>
  <si>
    <t>563-46-2</t>
  </si>
  <si>
    <t>2-Methyl-1-Chloro Acrolein</t>
  </si>
  <si>
    <t>53175-28-3</t>
  </si>
  <si>
    <t>2-Methyl-1-Pentanol</t>
  </si>
  <si>
    <t>105-30-6</t>
  </si>
  <si>
    <t>2-Methyl-2-Butanol</t>
  </si>
  <si>
    <t>75-85-4</t>
  </si>
  <si>
    <t>2-Methyl-2-Butene</t>
  </si>
  <si>
    <t>513-35-9</t>
  </si>
  <si>
    <t>2-Methylfuran</t>
  </si>
  <si>
    <t>534-22-5</t>
  </si>
  <si>
    <t>2-Nitro-1-Propanol</t>
  </si>
  <si>
    <t>2902-96-7</t>
  </si>
  <si>
    <t>2-Nitropropane</t>
  </si>
  <si>
    <t>79-46-9</t>
  </si>
  <si>
    <t>2-Nitrothiophene</t>
  </si>
  <si>
    <t>609-40-5</t>
  </si>
  <si>
    <t>2-Octanol</t>
  </si>
  <si>
    <t>123-96-6</t>
  </si>
  <si>
    <t>2-Oxopyrrolidinacetamid</t>
  </si>
  <si>
    <t>7491-74-9</t>
  </si>
  <si>
    <t>2-Pentanol</t>
  </si>
  <si>
    <t>6032-29-7</t>
  </si>
  <si>
    <t>122-99-6</t>
  </si>
  <si>
    <t>2-Phenyl Ethanol</t>
  </si>
  <si>
    <t>60-12-8</t>
  </si>
  <si>
    <t>2-Pinene (dl)</t>
  </si>
  <si>
    <t>80-56-8</t>
  </si>
  <si>
    <t>2-Propanethiol</t>
  </si>
  <si>
    <t>75-33-2</t>
  </si>
  <si>
    <t>67-63-0</t>
  </si>
  <si>
    <t>2-Propyn-1-ol</t>
  </si>
  <si>
    <t>107-19-7</t>
  </si>
  <si>
    <t>2-Pyrrolidone</t>
  </si>
  <si>
    <t>616-45-5</t>
  </si>
  <si>
    <t>2-t-Butyl-4-Methyl Phenol</t>
  </si>
  <si>
    <t>2409-55-4</t>
  </si>
  <si>
    <t>2-Thiabutane</t>
  </si>
  <si>
    <t>624-89-5</t>
  </si>
  <si>
    <t>2-Toluidine</t>
  </si>
  <si>
    <t>95-53-4</t>
  </si>
  <si>
    <t>2-Vinyl Toluene</t>
  </si>
  <si>
    <t>611-15-4</t>
  </si>
  <si>
    <t>3,3,3-Trichloro Propene</t>
  </si>
  <si>
    <t>2233-00-3</t>
  </si>
  <si>
    <t>3,4-Dichloro Alpha,Alpha,A-Trifluorotoluene</t>
  </si>
  <si>
    <t>328-84-7</t>
  </si>
  <si>
    <t>3,4-Dichloronitrobenzene</t>
  </si>
  <si>
    <t>99-54-7</t>
  </si>
  <si>
    <t>3,4-Dichlorophenyl Acetonitrile</t>
  </si>
  <si>
    <t>3218-49-3</t>
  </si>
  <si>
    <t>3,4-Dichlorotoluene</t>
  </si>
  <si>
    <t>95-75-0</t>
  </si>
  <si>
    <t>3,4-Dimethyl Phenol</t>
  </si>
  <si>
    <t>95-65-8</t>
  </si>
  <si>
    <t>3,4-Dinitrophenol</t>
  </si>
  <si>
    <t>577-71-9</t>
  </si>
  <si>
    <t>3,4-Epoxy-1-Butene</t>
  </si>
  <si>
    <t>930-22-3</t>
  </si>
  <si>
    <t>3,5-Difluorobenzonitrile</t>
  </si>
  <si>
    <t>64248-63-1</t>
  </si>
  <si>
    <t>3,5-Dinitrophenol</t>
  </si>
  <si>
    <t>586-11-8</t>
  </si>
  <si>
    <t>3-Azidopropene</t>
  </si>
  <si>
    <t>821-13-6</t>
  </si>
  <si>
    <t>3-Bromopropyne</t>
  </si>
  <si>
    <t>106-96-7</t>
  </si>
  <si>
    <t>3-Butenenitrile</t>
  </si>
  <si>
    <t>109-75-1</t>
  </si>
  <si>
    <t>3-Butoxybutanol</t>
  </si>
  <si>
    <t>NA</t>
  </si>
  <si>
    <t>3-Chloro Allyl Alcohol</t>
  </si>
  <si>
    <t>29560-84-7</t>
  </si>
  <si>
    <t>3-Chloro-1-Propanol</t>
  </si>
  <si>
    <t>627-30-5</t>
  </si>
  <si>
    <t>3-Chloro-2-Methyl Propene</t>
  </si>
  <si>
    <t>563-47-3</t>
  </si>
  <si>
    <t>3-Chlorobenzylchloride</t>
  </si>
  <si>
    <t>620-20-2</t>
  </si>
  <si>
    <t>3-Chloropropionaldehyde</t>
  </si>
  <si>
    <t>19434-65-2</t>
  </si>
  <si>
    <t>3-Chloropropionitrile</t>
  </si>
  <si>
    <t>542-76-7</t>
  </si>
  <si>
    <t>3-Chloropropyne</t>
  </si>
  <si>
    <t>624-65-7</t>
  </si>
  <si>
    <t>3-Ethoxy Propionaldehyde</t>
  </si>
  <si>
    <t>2806-85-1</t>
  </si>
  <si>
    <t>3-Heptanol</t>
  </si>
  <si>
    <t>589-82-2</t>
  </si>
  <si>
    <t>3-Hydroxy Tetrahydrofuran</t>
  </si>
  <si>
    <t>453-20-3</t>
  </si>
  <si>
    <t>3-Methoxy Butanol</t>
  </si>
  <si>
    <t>2517-43-3</t>
  </si>
  <si>
    <t>3-Methoxy Butyl Acetate</t>
  </si>
  <si>
    <t>4435-53-4</t>
  </si>
  <si>
    <t>3-Methoxy-3-Methyl Butanol</t>
  </si>
  <si>
    <t>56539-66-3</t>
  </si>
  <si>
    <t>3-Methoxypropionitrile</t>
  </si>
  <si>
    <t>110-67-8</t>
  </si>
  <si>
    <t>3-Methyl Allyl Alcohol</t>
  </si>
  <si>
    <t>504-61-0</t>
  </si>
  <si>
    <t>3-Methyl Cyclohexanol (Mix)</t>
  </si>
  <si>
    <t>591-23-1</t>
  </si>
  <si>
    <t>3-Methyl Cyclohexanone</t>
  </si>
  <si>
    <t>591-24-2</t>
  </si>
  <si>
    <t>3-Methyl Isoxazole</t>
  </si>
  <si>
    <t>30842-90-1</t>
  </si>
  <si>
    <t>3-Methyl-1,2-Butadiene</t>
  </si>
  <si>
    <t>598-25-4</t>
  </si>
  <si>
    <t>3-Methyl-1-Butene</t>
  </si>
  <si>
    <t>563-45-1</t>
  </si>
  <si>
    <t>3-Methyl-2-Butanol</t>
  </si>
  <si>
    <t>598-75-4</t>
  </si>
  <si>
    <t>3-Methyl-3-Methoxy Butyl Acetate</t>
  </si>
  <si>
    <t>103429-90-9</t>
  </si>
  <si>
    <t>3-n-Butyl Toluene</t>
  </si>
  <si>
    <t>1595-04-6</t>
  </si>
  <si>
    <t>3-Nitroaniline</t>
  </si>
  <si>
    <t>99-09-2</t>
  </si>
  <si>
    <t>4,4'-Methylenebis(Phenylisocyanate)</t>
  </si>
  <si>
    <t>101-68-8</t>
  </si>
  <si>
    <t>4-(Trifluoromethyl) Acetophenone</t>
  </si>
  <si>
    <t>709-63-7</t>
  </si>
  <si>
    <t>4-Aminopyridine</t>
  </si>
  <si>
    <t>504-24-5</t>
  </si>
  <si>
    <t>4-Bromo-1,2-Butadiene</t>
  </si>
  <si>
    <t>18668-68-3</t>
  </si>
  <si>
    <t>4-Bromo-1-Butene</t>
  </si>
  <si>
    <t>5162-44-7</t>
  </si>
  <si>
    <t>4-Chloro-1,2-Butadiene</t>
  </si>
  <si>
    <t>25790-55-0</t>
  </si>
  <si>
    <t>4-Chloro-2-Nitrotoluene</t>
  </si>
  <si>
    <t>89-59-8</t>
  </si>
  <si>
    <t>4-Chloroanisole</t>
  </si>
  <si>
    <t>623-12-1</t>
  </si>
  <si>
    <t>4-Chlorobenzaldehyde</t>
  </si>
  <si>
    <t>104-88-1</t>
  </si>
  <si>
    <t>4-Chlorobenzonitrile</t>
  </si>
  <si>
    <t>623-03-0</t>
  </si>
  <si>
    <t>4-Chlorobenzotrichloride</t>
  </si>
  <si>
    <t>5216-25-1</t>
  </si>
  <si>
    <t>4-Chlorobenzyl Alcohol</t>
  </si>
  <si>
    <t>873-76-7</t>
  </si>
  <si>
    <t>4-Chlorothiophenol</t>
  </si>
  <si>
    <t>106-54-7</t>
  </si>
  <si>
    <t>4-Ethoxy Acetophenone</t>
  </si>
  <si>
    <t>1676-63-7</t>
  </si>
  <si>
    <t>4-Ethyl Morpholine</t>
  </si>
  <si>
    <t>100-74-3</t>
  </si>
  <si>
    <t>4-Ethyl Phenol</t>
  </si>
  <si>
    <t>123-07-9</t>
  </si>
  <si>
    <t>4-Ethyl-1,3-Dioxolane-2-One</t>
  </si>
  <si>
    <t>4437-85-8</t>
  </si>
  <si>
    <t>4-Fluoro-3-Nitrobenzofluoride</t>
  </si>
  <si>
    <t>364-74-9</t>
  </si>
  <si>
    <t>4-Fluoropropiophenone</t>
  </si>
  <si>
    <t>582-83-2</t>
  </si>
  <si>
    <t>4-Hydroxy Benzaldehyde</t>
  </si>
  <si>
    <t>123-08-0</t>
  </si>
  <si>
    <t>4-Hydroxycinnamic Acid</t>
  </si>
  <si>
    <t>7400-08-0</t>
  </si>
  <si>
    <t>4-Iodo-1,2-Butadiene</t>
  </si>
  <si>
    <t>29871-57-6</t>
  </si>
  <si>
    <t>4-Methoxy Acetophenone</t>
  </si>
  <si>
    <t>100-06-1</t>
  </si>
  <si>
    <t>4-Methoxy Benzonitrile</t>
  </si>
  <si>
    <t>874-90-8</t>
  </si>
  <si>
    <t>4-Methyl Cyclohexanol (Mix)</t>
  </si>
  <si>
    <t>589-91-3</t>
  </si>
  <si>
    <t>4-Nitrophenol</t>
  </si>
  <si>
    <t>100-02-7</t>
  </si>
  <si>
    <t>4-Pentenal</t>
  </si>
  <si>
    <t>2100-17-6</t>
  </si>
  <si>
    <t>4-Vinyl Pyridine</t>
  </si>
  <si>
    <t>100-43-6</t>
  </si>
  <si>
    <t>5,6-Dihydroxyindole</t>
  </si>
  <si>
    <t>3131-52-0</t>
  </si>
  <si>
    <t>5,6-Dihydroxyindole-2-Carboxylic Acid</t>
  </si>
  <si>
    <t>5,6-Indolequinone</t>
  </si>
  <si>
    <t>5,6-Indolequinone-2-Carboxylic Acid</t>
  </si>
  <si>
    <t>5-Bromo-2-Nitrobenzotrifluoride</t>
  </si>
  <si>
    <t>344-38-7</t>
  </si>
  <si>
    <t>6-Chloro-2-Nitrotoluene</t>
  </si>
  <si>
    <t>83-42-1</t>
  </si>
  <si>
    <t>9,10-Anthraquinone</t>
  </si>
  <si>
    <t>84-65-1</t>
  </si>
  <si>
    <t>9,10-Phenanthrenequinone</t>
  </si>
  <si>
    <t>84-11-7</t>
  </si>
  <si>
    <t>a-Methyl Styrene</t>
  </si>
  <si>
    <t>98-83-9</t>
  </si>
  <si>
    <t>Acetaldehyde</t>
  </si>
  <si>
    <t>75-07-0</t>
  </si>
  <si>
    <t>Acetaldoxime</t>
  </si>
  <si>
    <t>107-29-9</t>
  </si>
  <si>
    <t>Acetamide</t>
  </si>
  <si>
    <t>60-35-5</t>
  </si>
  <si>
    <t>Acetanilide</t>
  </si>
  <si>
    <t>103-84-4</t>
  </si>
  <si>
    <t>Acetic Acid</t>
  </si>
  <si>
    <t>64-19-7</t>
  </si>
  <si>
    <t>Acetic Anhydride</t>
  </si>
  <si>
    <t>108-24-7</t>
  </si>
  <si>
    <t>67-64-1</t>
  </si>
  <si>
    <t>Acetonecyanhydrin</t>
  </si>
  <si>
    <t>75-86-5</t>
  </si>
  <si>
    <t>Acetonemethyloxime</t>
  </si>
  <si>
    <t>3376-35-0</t>
  </si>
  <si>
    <t>75-05-8</t>
  </si>
  <si>
    <t>Acetophenone</t>
  </si>
  <si>
    <t>98-86-2</t>
  </si>
  <si>
    <t>Acetoxime</t>
  </si>
  <si>
    <t>127-06-0</t>
  </si>
  <si>
    <t>Acetyl Salicylic Acid</t>
  </si>
  <si>
    <t>50-78-2</t>
  </si>
  <si>
    <t>Acetyl Triethyl Citrate</t>
  </si>
  <si>
    <t>77-89-4</t>
  </si>
  <si>
    <t>Acetylacetone</t>
  </si>
  <si>
    <t>123-54-6</t>
  </si>
  <si>
    <t>Acetylbromide</t>
  </si>
  <si>
    <t>506-96-7</t>
  </si>
  <si>
    <t>Acetylchloride</t>
  </si>
  <si>
    <t>75-36-5</t>
  </si>
  <si>
    <t>Acetylene (Ethyne)</t>
  </si>
  <si>
    <t>74-86-2</t>
  </si>
  <si>
    <t>Acetylfluoride</t>
  </si>
  <si>
    <t>557-99-3</t>
  </si>
  <si>
    <t>Acridine</t>
  </si>
  <si>
    <t>260-94-6</t>
  </si>
  <si>
    <t>Acrolein</t>
  </si>
  <si>
    <t>107-02-8</t>
  </si>
  <si>
    <t>Acrylamide</t>
  </si>
  <si>
    <t>79-06-1</t>
  </si>
  <si>
    <t>Acrylic Acid</t>
  </si>
  <si>
    <t>79-10-7</t>
  </si>
  <si>
    <t>Acrylonitrile</t>
  </si>
  <si>
    <t>107-13-1</t>
  </si>
  <si>
    <t>Acrylylchloride</t>
  </si>
  <si>
    <t>814-68-6</t>
  </si>
  <si>
    <t>Adenine</t>
  </si>
  <si>
    <t>73-24-5</t>
  </si>
  <si>
    <t>Adipic Acid (1,6-Hexanedioic)</t>
  </si>
  <si>
    <t>124-04-9</t>
  </si>
  <si>
    <t>Adonitol</t>
  </si>
  <si>
    <t>488-81-3</t>
  </si>
  <si>
    <t>Adrenalin</t>
  </si>
  <si>
    <t>51-43-4</t>
  </si>
  <si>
    <t>Allyl Acetate</t>
  </si>
  <si>
    <t>591-87-7</t>
  </si>
  <si>
    <t>Allyl Acetic Acid</t>
  </si>
  <si>
    <t>591-80-0</t>
  </si>
  <si>
    <t>Allyl Acetoacetate</t>
  </si>
  <si>
    <t>1118-84-9</t>
  </si>
  <si>
    <t>Allyl Alcohol</t>
  </si>
  <si>
    <t>107-18-6</t>
  </si>
  <si>
    <t>Allyl Amine</t>
  </si>
  <si>
    <t>107-11-9</t>
  </si>
  <si>
    <t>Allyl Bromide (3-Bromoprene)</t>
  </si>
  <si>
    <t>106-95-6</t>
  </si>
  <si>
    <t>Allyl Chloride</t>
  </si>
  <si>
    <t>107-05-1</t>
  </si>
  <si>
    <t>Allyl Cyanide</t>
  </si>
  <si>
    <t>Allyl Ethylether</t>
  </si>
  <si>
    <t>557-31-3</t>
  </si>
  <si>
    <t>Allyl Fluoride</t>
  </si>
  <si>
    <t>818-92-8</t>
  </si>
  <si>
    <t>Allyl Formate</t>
  </si>
  <si>
    <t>1838-59-1</t>
  </si>
  <si>
    <t>Allyl Iodide</t>
  </si>
  <si>
    <t>556-56-9</t>
  </si>
  <si>
    <t>Allyl Isocyanide</t>
  </si>
  <si>
    <t>2835-21-4</t>
  </si>
  <si>
    <t>Allyl Isopropyl Ether</t>
  </si>
  <si>
    <t>6140-80-3</t>
  </si>
  <si>
    <t>Allyl Isothiocyanate</t>
  </si>
  <si>
    <t>57-06-7</t>
  </si>
  <si>
    <t>Allyl Mercaptan</t>
  </si>
  <si>
    <t>870-23-5</t>
  </si>
  <si>
    <t>Allyl Methacrylate</t>
  </si>
  <si>
    <t>96-05-9</t>
  </si>
  <si>
    <t>Allyl Methyl Ether</t>
  </si>
  <si>
    <t>627-40-7</t>
  </si>
  <si>
    <t>Allylacetonitrile (4-Pentenenitrile)</t>
  </si>
  <si>
    <t>592-51-8</t>
  </si>
  <si>
    <t>Alpha,Alpha,A-Trifluoro Toluene</t>
  </si>
  <si>
    <t>98-08-8</t>
  </si>
  <si>
    <t>Ammonia</t>
  </si>
  <si>
    <t>7664-41-7</t>
  </si>
  <si>
    <t>Amphetamine</t>
  </si>
  <si>
    <t>300-62-9</t>
  </si>
  <si>
    <t>Amyl Acetate</t>
  </si>
  <si>
    <t>628-63-7</t>
  </si>
  <si>
    <t>Anethole (Trans)</t>
  </si>
  <si>
    <t>104-46-1</t>
  </si>
  <si>
    <t>Aniline</t>
  </si>
  <si>
    <t>62-53-3</t>
  </si>
  <si>
    <t>Anisaldehyde (2-Methoxy Benzaldehyde)</t>
  </si>
  <si>
    <t>135-02-4</t>
  </si>
  <si>
    <t>Anisidine (2-Methoxyaniline)</t>
  </si>
  <si>
    <t>90-04-0</t>
  </si>
  <si>
    <t>Anisole</t>
  </si>
  <si>
    <t>100-66-3</t>
  </si>
  <si>
    <t>Ascorbic Acid</t>
  </si>
  <si>
    <t>50-81-7</t>
  </si>
  <si>
    <t>Azidoethane</t>
  </si>
  <si>
    <t>871-31-8</t>
  </si>
  <si>
    <t>Benzal Chloride (Alpha,A-Dichlorobenzene)</t>
  </si>
  <si>
    <t>98-87-3</t>
  </si>
  <si>
    <t>Benzaldehyde</t>
  </si>
  <si>
    <t>100-52-7</t>
  </si>
  <si>
    <t>Benzamide</t>
  </si>
  <si>
    <t>55-21-0</t>
  </si>
  <si>
    <t>71-43-2</t>
  </si>
  <si>
    <t>Benzimidazole</t>
  </si>
  <si>
    <t>51-17-2</t>
  </si>
  <si>
    <t>Benzisoxazole</t>
  </si>
  <si>
    <t>271-58-9</t>
  </si>
  <si>
    <t>Benzoic Acid</t>
  </si>
  <si>
    <t>65-85-0</t>
  </si>
  <si>
    <t>Benzoin</t>
  </si>
  <si>
    <t>119-53-9</t>
  </si>
  <si>
    <t>Benzonitrile</t>
  </si>
  <si>
    <t>100-47-0</t>
  </si>
  <si>
    <t>Benzophenone</t>
  </si>
  <si>
    <t>119-61-9</t>
  </si>
  <si>
    <t>Benzothiazole</t>
  </si>
  <si>
    <t>95-16-9</t>
  </si>
  <si>
    <t>Benzotrichloride</t>
  </si>
  <si>
    <t>98-07-7</t>
  </si>
  <si>
    <t>Benzoyl Chloride</t>
  </si>
  <si>
    <t>98-88-4</t>
  </si>
  <si>
    <t>Benzyl Acetate</t>
  </si>
  <si>
    <t>140-11-4</t>
  </si>
  <si>
    <t>100-51-6</t>
  </si>
  <si>
    <t>Benzyl Amine</t>
  </si>
  <si>
    <t>100-46-9</t>
  </si>
  <si>
    <t>120-51-4</t>
  </si>
  <si>
    <t>Benzyl Butyl Phthalate</t>
  </si>
  <si>
    <t>85-68-7</t>
  </si>
  <si>
    <t>Benzyl Chloride</t>
  </si>
  <si>
    <t>100-44-7</t>
  </si>
  <si>
    <t>Benzyl Ethyl Ether</t>
  </si>
  <si>
    <t>539-30-0</t>
  </si>
  <si>
    <t>Benzyl Methacrylate</t>
  </si>
  <si>
    <t>2495-37-6</t>
  </si>
  <si>
    <t>Bicyclohexyl</t>
  </si>
  <si>
    <t>92-51-3</t>
  </si>
  <si>
    <t>Biphenyl</t>
  </si>
  <si>
    <t>92-52-4</t>
  </si>
  <si>
    <t>Bis(Chloromethyl)Ether</t>
  </si>
  <si>
    <t>542-88-1</t>
  </si>
  <si>
    <t>Bis-(M-Phenoxyphenyl) Ether</t>
  </si>
  <si>
    <t>748-30-1</t>
  </si>
  <si>
    <t>Bisphenol A</t>
  </si>
  <si>
    <t>80-05-7</t>
  </si>
  <si>
    <t>Bisphenol-S</t>
  </si>
  <si>
    <t>80-09-1</t>
  </si>
  <si>
    <t>Biuret</t>
  </si>
  <si>
    <t>108-19-0</t>
  </si>
  <si>
    <t>Borine Carbonyl</t>
  </si>
  <si>
    <t>13205-44-2</t>
  </si>
  <si>
    <t>Boron Trichloride</t>
  </si>
  <si>
    <t>10294-34-5</t>
  </si>
  <si>
    <t>Bromine</t>
  </si>
  <si>
    <t>7726-95-6</t>
  </si>
  <si>
    <t>Bromoacetylene</t>
  </si>
  <si>
    <t>593-61-3</t>
  </si>
  <si>
    <t>Bromobenzene</t>
  </si>
  <si>
    <t>108-86-1</t>
  </si>
  <si>
    <t>Bromochloromethane</t>
  </si>
  <si>
    <t>74-97-5</t>
  </si>
  <si>
    <t>Bromoethylene</t>
  </si>
  <si>
    <t>593-60-2</t>
  </si>
  <si>
    <t>Bromoform</t>
  </si>
  <si>
    <t>75-25-2</t>
  </si>
  <si>
    <t>Bromomethyl Methyl Ether</t>
  </si>
  <si>
    <t>13057-17-5</t>
  </si>
  <si>
    <t>Bromoprene</t>
  </si>
  <si>
    <t>1822-86-2</t>
  </si>
  <si>
    <t>Bromotrichloro Methane #1</t>
  </si>
  <si>
    <t>75-62-7</t>
  </si>
  <si>
    <t>Bromotrichloro Methane #2-Gc</t>
  </si>
  <si>
    <t>Bromotrichloro Methane #3</t>
  </si>
  <si>
    <t>Bromotrifluoromethane (Freon 1381)</t>
  </si>
  <si>
    <t>75-63-8</t>
  </si>
  <si>
    <t>Butadiene-4-Cyano</t>
  </si>
  <si>
    <t>1615-70-9</t>
  </si>
  <si>
    <t>Butadienedioxide</t>
  </si>
  <si>
    <t>1464-53-5</t>
  </si>
  <si>
    <t>Butadione</t>
  </si>
  <si>
    <t>431-03-8</t>
  </si>
  <si>
    <t>Butane</t>
  </si>
  <si>
    <t>106-97-8</t>
  </si>
  <si>
    <t>Butoxy Ethoxy Propanol</t>
  </si>
  <si>
    <t>39332-55-3</t>
  </si>
  <si>
    <t>136-60-7</t>
  </si>
  <si>
    <t>Butyl Formate</t>
  </si>
  <si>
    <t>592-84-7</t>
  </si>
  <si>
    <t>Butyl Isopropenyl Ether</t>
  </si>
  <si>
    <t>22022-33-9</t>
  </si>
  <si>
    <t>Butyl Lactate</t>
  </si>
  <si>
    <t>138-22-7</t>
  </si>
  <si>
    <t>Butyl Oleate</t>
  </si>
  <si>
    <t>142-77-8</t>
  </si>
  <si>
    <t>Butyl Stearate</t>
  </si>
  <si>
    <t>123-95-5</t>
  </si>
  <si>
    <t>Butyl-6-Methyl-3-Cyclohexene Carboxylate</t>
  </si>
  <si>
    <t>Butyleneoxide</t>
  </si>
  <si>
    <t>106-88-7</t>
  </si>
  <si>
    <t>Butyraldehyde</t>
  </si>
  <si>
    <t>123-72-8</t>
  </si>
  <si>
    <t>Butyric Acid</t>
  </si>
  <si>
    <t>107-92-6</t>
  </si>
  <si>
    <t>Butyric Anhydride</t>
  </si>
  <si>
    <t>106-31-0</t>
  </si>
  <si>
    <t>Butyronitrile</t>
  </si>
  <si>
    <t>109-74-0</t>
  </si>
  <si>
    <t>Butyrylchloride</t>
  </si>
  <si>
    <t>141-75-3</t>
  </si>
  <si>
    <t>Caffeine</t>
  </si>
  <si>
    <t>58-08-2</t>
  </si>
  <si>
    <t>Camphene</t>
  </si>
  <si>
    <t>79-92-5</t>
  </si>
  <si>
    <t>502-44-3</t>
  </si>
  <si>
    <t>Carbazole (Diphenylenimine)</t>
  </si>
  <si>
    <t>86-74-8</t>
  </si>
  <si>
    <t>Carbon Dioxide (Fit = 1.0)</t>
  </si>
  <si>
    <t>124-38-9</t>
  </si>
  <si>
    <t>Carbon Disulfide (0 Dipole Moment)</t>
  </si>
  <si>
    <t>75-15-0</t>
  </si>
  <si>
    <t>Carbon Disulfide (P By Group Cont.)</t>
  </si>
  <si>
    <t>Carbon Tetrachloride (0 Dipole Moment)</t>
  </si>
  <si>
    <t>56-23-5</t>
  </si>
  <si>
    <t>Carbon Tetrachloride (P By Group Cont.)</t>
  </si>
  <si>
    <t>Carbonyl Cyanide</t>
  </si>
  <si>
    <t>922-64-5</t>
  </si>
  <si>
    <t>Carbonyl Sulfide</t>
  </si>
  <si>
    <t>463-58-1</t>
  </si>
  <si>
    <t>Castor Oil</t>
  </si>
  <si>
    <t>8001-79-4</t>
  </si>
  <si>
    <t>Cetyl Alcohol (1-Hexadecanol)</t>
  </si>
  <si>
    <t>36653-82-4</t>
  </si>
  <si>
    <t>Chloral</t>
  </si>
  <si>
    <t>75-87-6</t>
  </si>
  <si>
    <t>Chlorine</t>
  </si>
  <si>
    <t>7782-50-5</t>
  </si>
  <si>
    <t>Chloro Acetaldehyde</t>
  </si>
  <si>
    <t>107-20-0</t>
  </si>
  <si>
    <t>Chloro Acetic Acid</t>
  </si>
  <si>
    <t>79-11-8</t>
  </si>
  <si>
    <t>Chloro Maleic Anhydride</t>
  </si>
  <si>
    <t>96-02-6</t>
  </si>
  <si>
    <t>Chloroacetone</t>
  </si>
  <si>
    <t>78-95-5</t>
  </si>
  <si>
    <t>Chloroacetonitrile</t>
  </si>
  <si>
    <t>107-14-2</t>
  </si>
  <si>
    <t>Chloroacetylchloride</t>
  </si>
  <si>
    <t>79-04-9</t>
  </si>
  <si>
    <t>Chloroacetylene</t>
  </si>
  <si>
    <t>593-63-5</t>
  </si>
  <si>
    <t>Chlorobenzene</t>
  </si>
  <si>
    <t>108-90-7</t>
  </si>
  <si>
    <t>Chlorocyclopropane</t>
  </si>
  <si>
    <t>7393-45-5</t>
  </si>
  <si>
    <t>Chlorodifluoromethane (Freon 22)</t>
  </si>
  <si>
    <t>75-45-6</t>
  </si>
  <si>
    <t>67-66-3</t>
  </si>
  <si>
    <t>Chloromethylsulfide</t>
  </si>
  <si>
    <t>3592-44-7</t>
  </si>
  <si>
    <t>Chloronitromethane</t>
  </si>
  <si>
    <t>1794-84-9</t>
  </si>
  <si>
    <t>Chloropicrin (Trichloronitromethane)</t>
  </si>
  <si>
    <t>76-06-2</t>
  </si>
  <si>
    <t>Chloroprene</t>
  </si>
  <si>
    <t>126-99-8</t>
  </si>
  <si>
    <t>Chlorotrifluoroethylene (Ctfe)</t>
  </si>
  <si>
    <t>79-38-9</t>
  </si>
  <si>
    <t>Cinnamyl Alcohol</t>
  </si>
  <si>
    <t>104-54-1</t>
  </si>
  <si>
    <t>Cis-Cinnamic Acid</t>
  </si>
  <si>
    <t>102-94-3</t>
  </si>
  <si>
    <t>Cis-Decahydronaphthalene</t>
  </si>
  <si>
    <t>493-01-6</t>
  </si>
  <si>
    <t>Citraconic Anhydride</t>
  </si>
  <si>
    <t>616-02-4</t>
  </si>
  <si>
    <t>Coniferyl Alcohol</t>
  </si>
  <si>
    <t>458-35-5</t>
  </si>
  <si>
    <t>Coumarin</t>
  </si>
  <si>
    <t>91-64-5</t>
  </si>
  <si>
    <t>Crotonaldehyde</t>
  </si>
  <si>
    <t>123-73-9</t>
  </si>
  <si>
    <t>Crotonic Acid</t>
  </si>
  <si>
    <t>107-93-7</t>
  </si>
  <si>
    <t>Crotonlactone</t>
  </si>
  <si>
    <t>497-23-4</t>
  </si>
  <si>
    <t>Cyanamid (Carbamonitrile)</t>
  </si>
  <si>
    <t>420-04-2</t>
  </si>
  <si>
    <t>Cyanogen</t>
  </si>
  <si>
    <t>460-19-5</t>
  </si>
  <si>
    <t>Cyanogen Bromide</t>
  </si>
  <si>
    <t>506-68-3</t>
  </si>
  <si>
    <t>Cyanogen Chloride</t>
  </si>
  <si>
    <t>506-77-4</t>
  </si>
  <si>
    <t>Cyclobutanone</t>
  </si>
  <si>
    <t>1191-95-3</t>
  </si>
  <si>
    <t>Cyclodecanone</t>
  </si>
  <si>
    <t>1502-06-3</t>
  </si>
  <si>
    <t>Cyclododecane</t>
  </si>
  <si>
    <t>294-62-2</t>
  </si>
  <si>
    <t>Cycloheptane</t>
  </si>
  <si>
    <t>291-64-5</t>
  </si>
  <si>
    <t>Cycloheptanone</t>
  </si>
  <si>
    <t>502-42-1</t>
  </si>
  <si>
    <t>110-82-7</t>
  </si>
  <si>
    <t>Cyclohexane-1,2-Dicarboxylic Acid Di-Isononyl Ether</t>
  </si>
  <si>
    <t>108-93-0</t>
  </si>
  <si>
    <t>108-94-1</t>
  </si>
  <si>
    <t>Cyclohexene</t>
  </si>
  <si>
    <t>110-83-8</t>
  </si>
  <si>
    <t>Cycloheximide</t>
  </si>
  <si>
    <t>66-81-9</t>
  </si>
  <si>
    <t>Cyclohexyl Benzene</t>
  </si>
  <si>
    <t>827-52-1</t>
  </si>
  <si>
    <t>Cyclohexylamine</t>
  </si>
  <si>
    <t>108-91-8</t>
  </si>
  <si>
    <t>Cyclohexylchloride</t>
  </si>
  <si>
    <t>542-18-7</t>
  </si>
  <si>
    <t>Cyclooctanone</t>
  </si>
  <si>
    <t>502-49-8</t>
  </si>
  <si>
    <t>Cyclopentadiene</t>
  </si>
  <si>
    <t>542-92-7</t>
  </si>
  <si>
    <t>Cyclopentane</t>
  </si>
  <si>
    <t>287-92-3</t>
  </si>
  <si>
    <t>Cyclopentanone</t>
  </si>
  <si>
    <t>120-92-3</t>
  </si>
  <si>
    <t>Cyclopentene</t>
  </si>
  <si>
    <t>142-29-0</t>
  </si>
  <si>
    <t>Cyclopentyl Methyl Ether (Cpme)</t>
  </si>
  <si>
    <t>5614-37-9</t>
  </si>
  <si>
    <t>Cyclopropane</t>
  </si>
  <si>
    <t>75-19-4</t>
  </si>
  <si>
    <t>Cyclopropene</t>
  </si>
  <si>
    <t>2781-85-3</t>
  </si>
  <si>
    <t>Cyclopropylmethylketone</t>
  </si>
  <si>
    <t>765-43-5</t>
  </si>
  <si>
    <t>Cyclopropylnitrile</t>
  </si>
  <si>
    <t>5500-21-0</t>
  </si>
  <si>
    <t>d-Camphor</t>
  </si>
  <si>
    <t>464-49-3</t>
  </si>
  <si>
    <t>5989-27-5</t>
  </si>
  <si>
    <t>DDT</t>
  </si>
  <si>
    <t>50-29-3</t>
  </si>
  <si>
    <t>Decamethylcyclopentasiloxane</t>
  </si>
  <si>
    <t>541-02-6</t>
  </si>
  <si>
    <t>Decane</t>
  </si>
  <si>
    <t>124-18-5</t>
  </si>
  <si>
    <t>Di Butyl Fumarate</t>
  </si>
  <si>
    <t>105-75-9</t>
  </si>
  <si>
    <t>Di p-Tolyl Sulfoxide</t>
  </si>
  <si>
    <t>1774-35-2</t>
  </si>
  <si>
    <t>Di-(2-Chloro-Isopropyl) Ether</t>
  </si>
  <si>
    <t>108-60-1</t>
  </si>
  <si>
    <t>Di-(2-Chloroethoxy) Methane</t>
  </si>
  <si>
    <t>111-91-1</t>
  </si>
  <si>
    <t>Di-(2-Chloroethyl) Ether</t>
  </si>
  <si>
    <t>111-44-4</t>
  </si>
  <si>
    <t>Di-(2-Ethyl Hexyl) Sebacate</t>
  </si>
  <si>
    <t>122-62-3</t>
  </si>
  <si>
    <t>Di-(2-Ethylhexyl)Azelate</t>
  </si>
  <si>
    <t>103-24-2</t>
  </si>
  <si>
    <t>Di-(2-Methoxyethyl) Ether</t>
  </si>
  <si>
    <t>111-96-6</t>
  </si>
  <si>
    <t>Di-2-Ethylhexyl Amine</t>
  </si>
  <si>
    <t>106-20-7</t>
  </si>
  <si>
    <t>Di-2-Ethylhexyl Ether</t>
  </si>
  <si>
    <t>10143-60-9</t>
  </si>
  <si>
    <t>Di-Isobutyl Carbinol</t>
  </si>
  <si>
    <t>108-82-7</t>
  </si>
  <si>
    <t>Di-Isobutyl Ketone</t>
  </si>
  <si>
    <t>108-83-8</t>
  </si>
  <si>
    <t>Di-Isobutyl Sulfoxide</t>
  </si>
  <si>
    <t>3085-40-3</t>
  </si>
  <si>
    <t>Di-Isodecyl Phthalate</t>
  </si>
  <si>
    <t>26761-40-0</t>
  </si>
  <si>
    <t>Di-Isoheptyl Phthalate</t>
  </si>
  <si>
    <t>71888-89-6</t>
  </si>
  <si>
    <t>Di-Isononyl Adipate</t>
  </si>
  <si>
    <t>33703-08-1</t>
  </si>
  <si>
    <t>Di-Isononyl Phthalate</t>
  </si>
  <si>
    <t>28553-12-0</t>
  </si>
  <si>
    <t>Di-Isopropyl Methyl Phosphonate</t>
  </si>
  <si>
    <t>1445-75-6</t>
  </si>
  <si>
    <t>Di-Isopropyl Phosphonofluoridate</t>
  </si>
  <si>
    <t>55-91-4</t>
  </si>
  <si>
    <t>Di-Isopropyl Sulfoxide</t>
  </si>
  <si>
    <t>2211-89-4</t>
  </si>
  <si>
    <t>Di-n-Butyl Ether</t>
  </si>
  <si>
    <t>142-96-1</t>
  </si>
  <si>
    <t>Di-n-Butyl Sulfoxide</t>
  </si>
  <si>
    <t>2168-93-6</t>
  </si>
  <si>
    <t>Di-n-Pentyl Ether</t>
  </si>
  <si>
    <t>693-65-2</t>
  </si>
  <si>
    <t>Di-n-Propyl Ether</t>
  </si>
  <si>
    <t>111-43-3</t>
  </si>
  <si>
    <t>Di-n-Propyl Sulfoxide</t>
  </si>
  <si>
    <t>4253-91-2</t>
  </si>
  <si>
    <t>Di-sec-Butyl Ether</t>
  </si>
  <si>
    <t>6863-58-7</t>
  </si>
  <si>
    <t>123-42-2</t>
  </si>
  <si>
    <t>Diallyl Amine</t>
  </si>
  <si>
    <t>124-02-7</t>
  </si>
  <si>
    <t>Diallyl Ether</t>
  </si>
  <si>
    <t>557-40-4</t>
  </si>
  <si>
    <t>Diazomethane</t>
  </si>
  <si>
    <t>334-88-3</t>
  </si>
  <si>
    <t>Dibasic Esters (DBE)</t>
  </si>
  <si>
    <t>95481-62- 2</t>
  </si>
  <si>
    <t>Dibenzyl Ether</t>
  </si>
  <si>
    <t>103-50-4</t>
  </si>
  <si>
    <t>Dibenzyl Sebacate</t>
  </si>
  <si>
    <t>140-24-9</t>
  </si>
  <si>
    <t>Dibromomethane (Methylene Dibromide)</t>
  </si>
  <si>
    <t>74-95-3</t>
  </si>
  <si>
    <t>Dibutyl Amine</t>
  </si>
  <si>
    <t>111-92-2</t>
  </si>
  <si>
    <t>Dibutyl Ketone</t>
  </si>
  <si>
    <t>502-56-7</t>
  </si>
  <si>
    <t>Dibutyl Maleate</t>
  </si>
  <si>
    <t>105-76-0</t>
  </si>
  <si>
    <t>Dibutyl Phthalate</t>
  </si>
  <si>
    <t>84-74-2</t>
  </si>
  <si>
    <t>Dibutyl Sebacate</t>
  </si>
  <si>
    <t>109-43-3</t>
  </si>
  <si>
    <t>Dichloroacetaldehyde</t>
  </si>
  <si>
    <t>79-02-7</t>
  </si>
  <si>
    <t>Dichloroacetic Acid</t>
  </si>
  <si>
    <t>79-43-6</t>
  </si>
  <si>
    <t>Dichloroacetonitrile</t>
  </si>
  <si>
    <t>3018-12-0</t>
  </si>
  <si>
    <t>Dichlorodifluoromethane (Freon 12)</t>
  </si>
  <si>
    <t>75-71-8</t>
  </si>
  <si>
    <t>Dichloroethylene (Trans)</t>
  </si>
  <si>
    <t>156-60-5</t>
  </si>
  <si>
    <t>Dichloromethyl Methyl Ether</t>
  </si>
  <si>
    <t>Dichloromonofluoromethane (Freon21)</t>
  </si>
  <si>
    <t>75-43-4</t>
  </si>
  <si>
    <t>Diethanolamine</t>
  </si>
  <si>
    <t>111-42-2</t>
  </si>
  <si>
    <t>Diethyl Adipate</t>
  </si>
  <si>
    <t>141-28-6</t>
  </si>
  <si>
    <t>Diethyl Amine</t>
  </si>
  <si>
    <t>109-89-7</t>
  </si>
  <si>
    <t>Diethyl Carbonate</t>
  </si>
  <si>
    <t>105-58-8</t>
  </si>
  <si>
    <t>60-29-7</t>
  </si>
  <si>
    <t>Diethyl Glutarate</t>
  </si>
  <si>
    <t>818-38-2</t>
  </si>
  <si>
    <t>Diethyl Ketone</t>
  </si>
  <si>
    <t>96-22-0</t>
  </si>
  <si>
    <t>Diethyl Malonate</t>
  </si>
  <si>
    <t>105-53-3</t>
  </si>
  <si>
    <t>Diethyl Oxalate</t>
  </si>
  <si>
    <t>95-92-1</t>
  </si>
  <si>
    <t>Diethyl Phthalate</t>
  </si>
  <si>
    <t>84-66-2</t>
  </si>
  <si>
    <t>Diethyl Succinate</t>
  </si>
  <si>
    <t>123-25-1</t>
  </si>
  <si>
    <t>Diethyl Sulfate</t>
  </si>
  <si>
    <t>64-67-5</t>
  </si>
  <si>
    <t>Diethyl Sulfide</t>
  </si>
  <si>
    <t>352-93-2</t>
  </si>
  <si>
    <t>Diethyldisulfide</t>
  </si>
  <si>
    <t>110-81-6</t>
  </si>
  <si>
    <t>Diethylene Glycol</t>
  </si>
  <si>
    <t>111-46-6</t>
  </si>
  <si>
    <t>Diethylene Glycol Butyl Ether Acetate</t>
  </si>
  <si>
    <t>124-17-4</t>
  </si>
  <si>
    <t>Diethylene Glycol Dibutyl Ether</t>
  </si>
  <si>
    <t>112-73-2</t>
  </si>
  <si>
    <t>Diethylene Glycol Diethyl Ether</t>
  </si>
  <si>
    <t>112-36-7</t>
  </si>
  <si>
    <t>Diethylene Glycol Divinyl Ether</t>
  </si>
  <si>
    <t>764-99-8</t>
  </si>
  <si>
    <t>Diethylene Glycol Hexyl Ether</t>
  </si>
  <si>
    <t>112-59-4</t>
  </si>
  <si>
    <t>Diethylene Glycol Methyl t-Butyl Ether</t>
  </si>
  <si>
    <t>52788-79-1</t>
  </si>
  <si>
    <t>112-34-5</t>
  </si>
  <si>
    <t>Diethylene Glycol Monoethyl Ether</t>
  </si>
  <si>
    <t>111-90-0</t>
  </si>
  <si>
    <t>Diethylene Glycol Monoethyl Ether Acetate</t>
  </si>
  <si>
    <t>112-15-2</t>
  </si>
  <si>
    <t>Diethylene Glycol Monomethyl Ether</t>
  </si>
  <si>
    <t>111-77-3</t>
  </si>
  <si>
    <t>Diethylene Glycol Monopropyl Ether</t>
  </si>
  <si>
    <t>6881-94-3</t>
  </si>
  <si>
    <t>Diethylenetriamine</t>
  </si>
  <si>
    <t>111-40-0</t>
  </si>
  <si>
    <t>Diethylhexyl Phthalate (Dioctyl Phthalate)</t>
  </si>
  <si>
    <t>117-81-7</t>
  </si>
  <si>
    <t>Dihexyl Ether</t>
  </si>
  <si>
    <t>112-58-3</t>
  </si>
  <si>
    <t>Dihexyl Phthalate</t>
  </si>
  <si>
    <t>84-75-3</t>
  </si>
  <si>
    <t>Dihydrogen Disulfide</t>
  </si>
  <si>
    <t>13465-07-1</t>
  </si>
  <si>
    <t>Dihydropyran</t>
  </si>
  <si>
    <t>110-87-2</t>
  </si>
  <si>
    <t>Diisobutyl Adipate</t>
  </si>
  <si>
    <t>141-04-8</t>
  </si>
  <si>
    <t>Diisopropylamine</t>
  </si>
  <si>
    <t>108-18-9</t>
  </si>
  <si>
    <t>Diketene</t>
  </si>
  <si>
    <t>674-82-8</t>
  </si>
  <si>
    <t>109-87-5</t>
  </si>
  <si>
    <t>Dimethyl Isosorbide</t>
  </si>
  <si>
    <t>5306-85-4</t>
  </si>
  <si>
    <t>14035-94-0</t>
  </si>
  <si>
    <t>Dimethyl Acetylene</t>
  </si>
  <si>
    <t>503-17-3</t>
  </si>
  <si>
    <t>Dimethyl Adipate</t>
  </si>
  <si>
    <t>627-93-0</t>
  </si>
  <si>
    <t>Dimethyl Amine</t>
  </si>
  <si>
    <t>124-40-3</t>
  </si>
  <si>
    <t>Dimethyl Carbonate</t>
  </si>
  <si>
    <t>616-38-6</t>
  </si>
  <si>
    <t>Dimethyl Cellosolve</t>
  </si>
  <si>
    <t>110-71-4</t>
  </si>
  <si>
    <t>Dimethyl Disulfide</t>
  </si>
  <si>
    <t>624-92-0</t>
  </si>
  <si>
    <t>Dimethyl Ethanolamine</t>
  </si>
  <si>
    <t>108-01-0</t>
  </si>
  <si>
    <t>Dimethyl Ether</t>
  </si>
  <si>
    <t>115-10-6</t>
  </si>
  <si>
    <t>Dimethyl Formamide (DMF)</t>
  </si>
  <si>
    <t>68-12-2</t>
  </si>
  <si>
    <t>Dimethyl Glutarate</t>
  </si>
  <si>
    <t>1119-40-0</t>
  </si>
  <si>
    <t>Dimethyl Ketene</t>
  </si>
  <si>
    <t>598-26-5</t>
  </si>
  <si>
    <t>Dimethyl Maleate</t>
  </si>
  <si>
    <t>624-48-6</t>
  </si>
  <si>
    <t>Dimethyl Methyl Phosphonate</t>
  </si>
  <si>
    <t>756-79-6</t>
  </si>
  <si>
    <t>Dimethyl Phthalate</t>
  </si>
  <si>
    <t>131-11-3</t>
  </si>
  <si>
    <t>Dimethyl Sebacate</t>
  </si>
  <si>
    <t>106-79-6</t>
  </si>
  <si>
    <t>Dimethyl Succinate</t>
  </si>
  <si>
    <t>106-65-0</t>
  </si>
  <si>
    <t>Dimethyl Sulfate</t>
  </si>
  <si>
    <t>77-78-1</t>
  </si>
  <si>
    <t>Dimethyl Sulfide</t>
  </si>
  <si>
    <t>75-18-3</t>
  </si>
  <si>
    <t>Dimethyl Sulfone</t>
  </si>
  <si>
    <t>67-71-0</t>
  </si>
  <si>
    <t>67-68-5</t>
  </si>
  <si>
    <t>Dioctyl Adipate</t>
  </si>
  <si>
    <t>123-79-5</t>
  </si>
  <si>
    <t>Dipentene (Dl-Limonene)</t>
  </si>
  <si>
    <t>138-86-3</t>
  </si>
  <si>
    <t>Diphenyl Acetylene (0 Dipole Moment)</t>
  </si>
  <si>
    <t>501-65-5</t>
  </si>
  <si>
    <t>Diphenyl Acetylene (P By Group Cont.)</t>
  </si>
  <si>
    <t>Diphenyl Ether</t>
  </si>
  <si>
    <t>101-84-8</t>
  </si>
  <si>
    <t>Diphenyl Sulfone</t>
  </si>
  <si>
    <t>127-63-9</t>
  </si>
  <si>
    <t>Diphenylamine</t>
  </si>
  <si>
    <t>122-39-4</t>
  </si>
  <si>
    <t>Diphenylmethane</t>
  </si>
  <si>
    <t>101-81-5</t>
  </si>
  <si>
    <t>Dipropyl Amine</t>
  </si>
  <si>
    <t>142-84-7</t>
  </si>
  <si>
    <t>Dipropyl Ketone</t>
  </si>
  <si>
    <t>123-19-3</t>
  </si>
  <si>
    <t>2396-61-4</t>
  </si>
  <si>
    <t>112-28-7</t>
  </si>
  <si>
    <t>29911-28-2</t>
  </si>
  <si>
    <t>Dipropylene Glycol Mono n-Propyl Ether</t>
  </si>
  <si>
    <t>29911-27-1</t>
  </si>
  <si>
    <t>Dipropylene Glycol Monomethyl Ether Acetate</t>
  </si>
  <si>
    <t>88917-22-0</t>
  </si>
  <si>
    <t>Ditridecyl Phthalate</t>
  </si>
  <si>
    <t>119-06-2</t>
  </si>
  <si>
    <t>Divinylsulfide</t>
  </si>
  <si>
    <t>627-51-0</t>
  </si>
  <si>
    <t>Dodecane</t>
  </si>
  <si>
    <t>112-40-3</t>
  </si>
  <si>
    <t>Dodecanol</t>
  </si>
  <si>
    <t>112-53-8</t>
  </si>
  <si>
    <t>Dopamine</t>
  </si>
  <si>
    <t>51-61-6</t>
  </si>
  <si>
    <t>Ecstasy</t>
  </si>
  <si>
    <t>42542-10-9</t>
  </si>
  <si>
    <t>Eicosane</t>
  </si>
  <si>
    <t>112-95-8</t>
  </si>
  <si>
    <t>Epichlorohydrin</t>
  </si>
  <si>
    <t>106-89-8</t>
  </si>
  <si>
    <t>Epsilon-Caprolactam</t>
  </si>
  <si>
    <t>105-60-2</t>
  </si>
  <si>
    <t>Ethane</t>
  </si>
  <si>
    <t>74-84-0</t>
  </si>
  <si>
    <t>Ethane (Liq. B.P.)</t>
  </si>
  <si>
    <t>Ethanesulfonylchloride</t>
  </si>
  <si>
    <t>594-44-5</t>
  </si>
  <si>
    <t>Ethanethiol (Ethyl Mercaptan)</t>
  </si>
  <si>
    <t>75-08-1</t>
  </si>
  <si>
    <t>64-17-5</t>
  </si>
  <si>
    <t>Ethanolamine</t>
  </si>
  <si>
    <t>141-43-5</t>
  </si>
  <si>
    <t>Ethoxyethyl Propionate</t>
  </si>
  <si>
    <t>14272-48-1</t>
  </si>
  <si>
    <t>141-78-6</t>
  </si>
  <si>
    <t>Ethyl Aceto Acetate (Keto)</t>
  </si>
  <si>
    <t>141-97-9</t>
  </si>
  <si>
    <t>Ethyl Acetylene</t>
  </si>
  <si>
    <t>107-00-6</t>
  </si>
  <si>
    <t>Ethyl Acrylate</t>
  </si>
  <si>
    <t>140-88-5</t>
  </si>
  <si>
    <t>Ethyl Amine</t>
  </si>
  <si>
    <t>75-04-7</t>
  </si>
  <si>
    <t>Ethyl Amyl Ketone</t>
  </si>
  <si>
    <t>106-68-3</t>
  </si>
  <si>
    <t>100-41-4</t>
  </si>
  <si>
    <t>Ethyl Benzoate</t>
  </si>
  <si>
    <t>93-89-0</t>
  </si>
  <si>
    <t>Ethyl Bromide</t>
  </si>
  <si>
    <t>74-96-4</t>
  </si>
  <si>
    <t>Ethyl Butyl Ether</t>
  </si>
  <si>
    <t>628-81-9</t>
  </si>
  <si>
    <t>Ethyl Butyl Ketone</t>
  </si>
  <si>
    <t>106-35-4</t>
  </si>
  <si>
    <t>Ethyl Butyrate</t>
  </si>
  <si>
    <t>105-54-4</t>
  </si>
  <si>
    <t>Ethyl Capronate</t>
  </si>
  <si>
    <t>123-66-0</t>
  </si>
  <si>
    <t>Ethyl Carbamate</t>
  </si>
  <si>
    <t>51-79-6</t>
  </si>
  <si>
    <t>Ethyl Carbylamine</t>
  </si>
  <si>
    <t>624-79-3</t>
  </si>
  <si>
    <t>Ethyl Chloride</t>
  </si>
  <si>
    <t>75-00-3</t>
  </si>
  <si>
    <t>Ethyl Chloroformate</t>
  </si>
  <si>
    <t>541-41-3</t>
  </si>
  <si>
    <t>Ethyl Cinnamate</t>
  </si>
  <si>
    <t>103-36-6</t>
  </si>
  <si>
    <t>Ethyl Cyanoacetate</t>
  </si>
  <si>
    <t>105-56-6</t>
  </si>
  <si>
    <t>Ethyl Cyanoacrylate</t>
  </si>
  <si>
    <t>7085-85-0</t>
  </si>
  <si>
    <t>Ethyl Ethynylether</t>
  </si>
  <si>
    <t>927-80-0</t>
  </si>
  <si>
    <t>Ethyl Fluoride</t>
  </si>
  <si>
    <t>353-36-6</t>
  </si>
  <si>
    <t>Ethyl Formate</t>
  </si>
  <si>
    <t>109-94-4</t>
  </si>
  <si>
    <t>Ethyl Hypochlorite</t>
  </si>
  <si>
    <t>624-85-1</t>
  </si>
  <si>
    <t>Ethyl Iodide</t>
  </si>
  <si>
    <t>75-03-6</t>
  </si>
  <si>
    <t>Ethyl Isocyanate</t>
  </si>
  <si>
    <t>109-90-0</t>
  </si>
  <si>
    <t>Ethyl Isopropenyl Ether</t>
  </si>
  <si>
    <t>926-66-9</t>
  </si>
  <si>
    <t>Ethyl Isothiocyanate</t>
  </si>
  <si>
    <t>542-85-8</t>
  </si>
  <si>
    <t>97-64-3</t>
  </si>
  <si>
    <t>Ethyl Methacrylate</t>
  </si>
  <si>
    <t>97-63-2</t>
  </si>
  <si>
    <t>Ethyl Methyl Sulfide</t>
  </si>
  <si>
    <t>Ethyl Oleate</t>
  </si>
  <si>
    <t>111-62-6</t>
  </si>
  <si>
    <t>Ethyl Propionate</t>
  </si>
  <si>
    <t>105-37-3</t>
  </si>
  <si>
    <t>Ethyl Thiocyanate</t>
  </si>
  <si>
    <t>542-90-5</t>
  </si>
  <si>
    <t>Ethyl Vinylether</t>
  </si>
  <si>
    <t>109-92-2</t>
  </si>
  <si>
    <t>Ethyl Vinylketone</t>
  </si>
  <si>
    <t>1629-58-9</t>
  </si>
  <si>
    <t>Ethyl-1-Propynylether</t>
  </si>
  <si>
    <t>14273-06-4</t>
  </si>
  <si>
    <t>Ethylene</t>
  </si>
  <si>
    <t>74-85-1</t>
  </si>
  <si>
    <t>96-49-1</t>
  </si>
  <si>
    <t>Ethylene Chlorohydrin</t>
  </si>
  <si>
    <t>107-07-3</t>
  </si>
  <si>
    <t>Ethylene Cyanohydrin</t>
  </si>
  <si>
    <t>109-78-4</t>
  </si>
  <si>
    <t>Ethylene Dibromide</t>
  </si>
  <si>
    <t>106-93-4</t>
  </si>
  <si>
    <t>Ethylene Dichloride</t>
  </si>
  <si>
    <t>107-06-2</t>
  </si>
  <si>
    <t>Ethylene Dinitrate</t>
  </si>
  <si>
    <t>628-96-6</t>
  </si>
  <si>
    <t>107-21-1</t>
  </si>
  <si>
    <t>Ethylene Glycol Butyl Ether Acetate</t>
  </si>
  <si>
    <t>112-07-2</t>
  </si>
  <si>
    <t>Ethylene Glycol Butyl Ethyl Ether</t>
  </si>
  <si>
    <t>4413-13-2</t>
  </si>
  <si>
    <t>Ethylene Glycol Butyl Methyl Ether</t>
  </si>
  <si>
    <t>13343-98-1</t>
  </si>
  <si>
    <t>Ethylene Glycol Di-t-Butyl Ether</t>
  </si>
  <si>
    <t>26547-47-7</t>
  </si>
  <si>
    <t>Ethylene Glycol Diacetate</t>
  </si>
  <si>
    <t>111-55-7</t>
  </si>
  <si>
    <t>Ethylene Glycol Dibutyl Ether</t>
  </si>
  <si>
    <t>112-48-1</t>
  </si>
  <si>
    <t>Ethylene Glycol Diethyl Ether</t>
  </si>
  <si>
    <t>629-14-1</t>
  </si>
  <si>
    <t>Ethylene Glycol Dimethyl Ether</t>
  </si>
  <si>
    <t>Ethylene Glycol Methyl t-Butyl Ether</t>
  </si>
  <si>
    <t>66728-50-5</t>
  </si>
  <si>
    <t>Ethylene Glycol Mono 2-Ethyl Hexyl Ether</t>
  </si>
  <si>
    <t>1559-35-9</t>
  </si>
  <si>
    <t>Ethylene Glycol Mono Benzyl Ether</t>
  </si>
  <si>
    <t>622-08-2</t>
  </si>
  <si>
    <t>Ethylene Glycol Mono Ethyl Ether Acrylate</t>
  </si>
  <si>
    <t>106-74-1</t>
  </si>
  <si>
    <t>Ethylene Glycol Mono n-Hexyl Ether</t>
  </si>
  <si>
    <t>112-25-4</t>
  </si>
  <si>
    <t>Ethylene Glycol Mono n-Propyl Ether</t>
  </si>
  <si>
    <t>2807-30-9</t>
  </si>
  <si>
    <t>Ethylene Glycol Mono t-Butyl Ether</t>
  </si>
  <si>
    <t>7580-85-0</t>
  </si>
  <si>
    <t>111-76-2</t>
  </si>
  <si>
    <t>Ethylene Glycol Monoethyl Ether</t>
  </si>
  <si>
    <t>110-80-5</t>
  </si>
  <si>
    <t>Ethylene Glycol Monoethyl Ether Acetate</t>
  </si>
  <si>
    <t>111-15-9</t>
  </si>
  <si>
    <t>Ethylene Glycol Monoisobutyl Ether</t>
  </si>
  <si>
    <t>4439-24-1</t>
  </si>
  <si>
    <t>Ethylene Glycol Monoisopropyl Ether</t>
  </si>
  <si>
    <t>109-59-1</t>
  </si>
  <si>
    <t>109-86-4</t>
  </si>
  <si>
    <t>Ethylene Glycol Monomethyl Ether Acetate</t>
  </si>
  <si>
    <t>110-49-6</t>
  </si>
  <si>
    <t>Ethylene Glycol Sulfite</t>
  </si>
  <si>
    <t>3741-38-6</t>
  </si>
  <si>
    <t>Ethylene Methyl Sulfonate</t>
  </si>
  <si>
    <t>4672-49-5</t>
  </si>
  <si>
    <t>Ethylene Oxide</t>
  </si>
  <si>
    <t>75-21-8</t>
  </si>
  <si>
    <t>Ethylene Sulfide</t>
  </si>
  <si>
    <t>420-12-2</t>
  </si>
  <si>
    <t>Ethylenediamine</t>
  </si>
  <si>
    <t>107-15-3</t>
  </si>
  <si>
    <t>Ethyleneimine</t>
  </si>
  <si>
    <t>151-56-4</t>
  </si>
  <si>
    <t>Ethylidene Acetone</t>
  </si>
  <si>
    <t>625-33-2</t>
  </si>
  <si>
    <t>Ethynyl Methyl Ether</t>
  </si>
  <si>
    <t>6443-91-0</t>
  </si>
  <si>
    <t>Ethynyl Propyl Ether</t>
  </si>
  <si>
    <t>42842-08-0</t>
  </si>
  <si>
    <t>Eugenol</t>
  </si>
  <si>
    <t>97-53-0</t>
  </si>
  <si>
    <t>Fenchene(A)</t>
  </si>
  <si>
    <t>471-84-1</t>
  </si>
  <si>
    <t>Ferulic Acid</t>
  </si>
  <si>
    <t>1135-24-6</t>
  </si>
  <si>
    <t>Fluorene</t>
  </si>
  <si>
    <t>86-73-7</t>
  </si>
  <si>
    <t>Fluorobenzene</t>
  </si>
  <si>
    <t>462-06-6</t>
  </si>
  <si>
    <t>Fluoroethylene</t>
  </si>
  <si>
    <t>75-02-5</t>
  </si>
  <si>
    <t>Fluoromethane</t>
  </si>
  <si>
    <t>593-53-3</t>
  </si>
  <si>
    <t>Fluoroprene</t>
  </si>
  <si>
    <t>381-61-3</t>
  </si>
  <si>
    <t>Formaldehyde</t>
  </si>
  <si>
    <t>50-00-0</t>
  </si>
  <si>
    <t>Formamide</t>
  </si>
  <si>
    <t>75-12-7</t>
  </si>
  <si>
    <t>Formic Acid</t>
  </si>
  <si>
    <t>64-18-6</t>
  </si>
  <si>
    <t>Formyl Fluoride</t>
  </si>
  <si>
    <t>1493-02-3</t>
  </si>
  <si>
    <t>Fumaronitrile</t>
  </si>
  <si>
    <t>764-42-1</t>
  </si>
  <si>
    <t>Furan</t>
  </si>
  <si>
    <t>110-00-9</t>
  </si>
  <si>
    <t>Furfural</t>
  </si>
  <si>
    <t>98-01-1</t>
  </si>
  <si>
    <t>Furfuryl Alcohol</t>
  </si>
  <si>
    <t>98-00-0</t>
  </si>
  <si>
    <t>Glycerol</t>
  </si>
  <si>
    <t>56-81-5</t>
  </si>
  <si>
    <t>931-40-8</t>
  </si>
  <si>
    <t>Glycerol Carbonate Acetate</t>
  </si>
  <si>
    <t>1607-31-4</t>
  </si>
  <si>
    <t>Glycerol Carbonate Ethyl Ether</t>
  </si>
  <si>
    <t>307949-19-5</t>
  </si>
  <si>
    <t>Glycerol Diacetate</t>
  </si>
  <si>
    <t>Glycerol Formal</t>
  </si>
  <si>
    <t>4740-78-7 5464-28-8</t>
  </si>
  <si>
    <t>Glycerol Triacetate</t>
  </si>
  <si>
    <t>102-76-1</t>
  </si>
  <si>
    <t>Glycerol Tributyrate</t>
  </si>
  <si>
    <t>60-01-5</t>
  </si>
  <si>
    <t>Glycerol Trioleate</t>
  </si>
  <si>
    <t>122-32-7</t>
  </si>
  <si>
    <t>Glycidol</t>
  </si>
  <si>
    <t>556-52-5</t>
  </si>
  <si>
    <t>Glycidyl Methacrylate</t>
  </si>
  <si>
    <t>106-91-2</t>
  </si>
  <si>
    <t>Glyoxal (Ethandial)</t>
  </si>
  <si>
    <t>107-22-2</t>
  </si>
  <si>
    <t>HCFC 134a</t>
  </si>
  <si>
    <t>811-97-2</t>
  </si>
  <si>
    <t>HCFC 141b</t>
  </si>
  <si>
    <t>1717-00-6</t>
  </si>
  <si>
    <t>HCFC 225ca</t>
  </si>
  <si>
    <t>422-56-0</t>
  </si>
  <si>
    <t>HCFC 225cb</t>
  </si>
  <si>
    <t>507-55-1</t>
  </si>
  <si>
    <t>HCFC 253eb</t>
  </si>
  <si>
    <t>460-35-5</t>
  </si>
  <si>
    <t>HCFC-225ca:cb (45:55)</t>
  </si>
  <si>
    <t>HCFC123</t>
  </si>
  <si>
    <t>306-83-2</t>
  </si>
  <si>
    <t>142-82-5</t>
  </si>
  <si>
    <t>Hexachloroacetone</t>
  </si>
  <si>
    <t>116-16-5</t>
  </si>
  <si>
    <t>Hexachlorobenzene</t>
  </si>
  <si>
    <t>118-74-1</t>
  </si>
  <si>
    <t>Hexachloroethane</t>
  </si>
  <si>
    <t>67-72-1</t>
  </si>
  <si>
    <t>Hexadecane</t>
  </si>
  <si>
    <t>544-76-3</t>
  </si>
  <si>
    <t>Hexafluoro Isopropanol</t>
  </si>
  <si>
    <t>920-66-1</t>
  </si>
  <si>
    <t>Hexafluoro-1,3-Butadiene</t>
  </si>
  <si>
    <t>685-63-2</t>
  </si>
  <si>
    <t>Hexafluorobenzene</t>
  </si>
  <si>
    <t>392-56-3</t>
  </si>
  <si>
    <t>Hexafluorohexanol</t>
  </si>
  <si>
    <t>Hexamethyl Benzene</t>
  </si>
  <si>
    <t>87-85-4</t>
  </si>
  <si>
    <t>Hexamethylenetetramine</t>
  </si>
  <si>
    <t>100-97-0</t>
  </si>
  <si>
    <t>Hexamethylphosphoramide</t>
  </si>
  <si>
    <t>680-31-9</t>
  </si>
  <si>
    <t>Hexanal</t>
  </si>
  <si>
    <t>66-25-1</t>
  </si>
  <si>
    <t>110-54-3</t>
  </si>
  <si>
    <t>Hexane 1,6 Diol</t>
  </si>
  <si>
    <t>629-11-8</t>
  </si>
  <si>
    <t>Hexanoic Acid</t>
  </si>
  <si>
    <t>142-62-1</t>
  </si>
  <si>
    <t>Hexyl Acetate</t>
  </si>
  <si>
    <t>142-92-7</t>
  </si>
  <si>
    <t>Hexylene Glycol Diacetate</t>
  </si>
  <si>
    <t>6222-17-9</t>
  </si>
  <si>
    <t>HFC 245fa</t>
  </si>
  <si>
    <t>460-73-1</t>
  </si>
  <si>
    <t>HFC 338pcc</t>
  </si>
  <si>
    <t>377-36-6</t>
  </si>
  <si>
    <t>HFC-365mfc</t>
  </si>
  <si>
    <t>406-58-6</t>
  </si>
  <si>
    <t>HFC-43-10mee</t>
  </si>
  <si>
    <t>138495-42-8</t>
  </si>
  <si>
    <t>HFE 7000</t>
  </si>
  <si>
    <t>375-03-1</t>
  </si>
  <si>
    <t>HFE 7100</t>
  </si>
  <si>
    <t>163702-07-6</t>
  </si>
  <si>
    <t>HFE 7500</t>
  </si>
  <si>
    <t>297730-93-9</t>
  </si>
  <si>
    <t>HFE 8200</t>
  </si>
  <si>
    <t>Hydrazine</t>
  </si>
  <si>
    <t>302-01-2</t>
  </si>
  <si>
    <t>Hydrogen Cyanide</t>
  </si>
  <si>
    <t>74-90-8</t>
  </si>
  <si>
    <t>Hydrogen Peroxide</t>
  </si>
  <si>
    <t>7722-84-1</t>
  </si>
  <si>
    <t>Hydrogen Sulfide</t>
  </si>
  <si>
    <t>Hydroxyethyl Acrylate</t>
  </si>
  <si>
    <t>818-61-1</t>
  </si>
  <si>
    <t>Indene</t>
  </si>
  <si>
    <t>95-13-6</t>
  </si>
  <si>
    <t>Indole</t>
  </si>
  <si>
    <t>120-72-9</t>
  </si>
  <si>
    <t>Iodobenzene</t>
  </si>
  <si>
    <t>591-50-4</t>
  </si>
  <si>
    <t>Iodoform</t>
  </si>
  <si>
    <t>75-47-8</t>
  </si>
  <si>
    <t>Iodoprene</t>
  </si>
  <si>
    <t>19221-28-4</t>
  </si>
  <si>
    <t>Isoamyl Acetate</t>
  </si>
  <si>
    <t>123-92-2</t>
  </si>
  <si>
    <t>Isoamyl Alcohol (3-Methyl-1-Butanol)</t>
  </si>
  <si>
    <t>123-51-3</t>
  </si>
  <si>
    <t>Isoamyl Propionate</t>
  </si>
  <si>
    <t>105-68-0</t>
  </si>
  <si>
    <t>Isobutyl Acetate</t>
  </si>
  <si>
    <t>110-19-0</t>
  </si>
  <si>
    <t>Isobutyl Acrylate</t>
  </si>
  <si>
    <t>106-63-8</t>
  </si>
  <si>
    <t>Isobutyl Alcohol</t>
  </si>
  <si>
    <t>78-83-1</t>
  </si>
  <si>
    <t>Isobutyl Formate</t>
  </si>
  <si>
    <t>542-55-2</t>
  </si>
  <si>
    <t>Isobutyl Isobutyrate</t>
  </si>
  <si>
    <t>97-85-8</t>
  </si>
  <si>
    <t>Isobutyl Sulfoxide</t>
  </si>
  <si>
    <t>Isobutylene</t>
  </si>
  <si>
    <t>115-11-7</t>
  </si>
  <si>
    <t>Isobutyleneoxide</t>
  </si>
  <si>
    <t>558-30-5</t>
  </si>
  <si>
    <t>Isobutyric Acid</t>
  </si>
  <si>
    <t>79-31-2</t>
  </si>
  <si>
    <t>Isocyanic Acid</t>
  </si>
  <si>
    <t>75-13-8</t>
  </si>
  <si>
    <t>Isooctyl Alcohol</t>
  </si>
  <si>
    <t>26952-21-6</t>
  </si>
  <si>
    <t>Isopentane</t>
  </si>
  <si>
    <t>78-78-4</t>
  </si>
  <si>
    <t>78-59-1</t>
  </si>
  <si>
    <t>Isoprene (2-Methyl-1,3-Butadiene)</t>
  </si>
  <si>
    <t>78-79-5</t>
  </si>
  <si>
    <t>Isopropyl Acetate</t>
  </si>
  <si>
    <t>108-21-4</t>
  </si>
  <si>
    <t>Isopropyl Amine (2-Propan Amine)</t>
  </si>
  <si>
    <t>75-31-0</t>
  </si>
  <si>
    <t>Isopropyl Benzene (Cumene)</t>
  </si>
  <si>
    <t>98-82-8</t>
  </si>
  <si>
    <t>Isopropyl Chloride (2-Chloro Propane)</t>
  </si>
  <si>
    <t>75-29-6</t>
  </si>
  <si>
    <t>Isopropyl Ether</t>
  </si>
  <si>
    <t>108-20-3</t>
  </si>
  <si>
    <t>Isopropyl Palmitate</t>
  </si>
  <si>
    <t>142-91-6</t>
  </si>
  <si>
    <t>Isovaleraldehyde</t>
  </si>
  <si>
    <t>590-86-3</t>
  </si>
  <si>
    <t>Isovaleric Acid</t>
  </si>
  <si>
    <t>503-74-2</t>
  </si>
  <si>
    <t>Isoxazole</t>
  </si>
  <si>
    <t>288-14-2</t>
  </si>
  <si>
    <t>Ketene</t>
  </si>
  <si>
    <t>463-51-4</t>
  </si>
  <si>
    <t>l-Dopa</t>
  </si>
  <si>
    <t>59-92-7</t>
  </si>
  <si>
    <t>l-Menthol</t>
  </si>
  <si>
    <t>2216-51-5</t>
  </si>
  <si>
    <t>l-Menthone</t>
  </si>
  <si>
    <t>10458-14-7</t>
  </si>
  <si>
    <t>l-Menthyl Acetate</t>
  </si>
  <si>
    <t>2623-23-6</t>
  </si>
  <si>
    <t>l-Tyrosine</t>
  </si>
  <si>
    <t>60-18-4</t>
  </si>
  <si>
    <t>Lactic Acid (dl)</t>
  </si>
  <si>
    <t>50-21-5</t>
  </si>
  <si>
    <t>Lauryl Methacrylate</t>
  </si>
  <si>
    <t>142-90-5</t>
  </si>
  <si>
    <t>m-Chloroaniline</t>
  </si>
  <si>
    <t>108-42-9</t>
  </si>
  <si>
    <t>108-39-4</t>
  </si>
  <si>
    <t>m-Dichlorobenzene</t>
  </si>
  <si>
    <t>541-73-1</t>
  </si>
  <si>
    <t>Maleic Anhydride</t>
  </si>
  <si>
    <t>108-31-6</t>
  </si>
  <si>
    <t>Malononitrile</t>
  </si>
  <si>
    <t>109-77-3</t>
  </si>
  <si>
    <t>Meclofenoxate</t>
  </si>
  <si>
    <t>51-68-3</t>
  </si>
  <si>
    <t>Menthofuran</t>
  </si>
  <si>
    <t>494-90-6</t>
  </si>
  <si>
    <t>Mesityl Oxide</t>
  </si>
  <si>
    <t>141-79-7</t>
  </si>
  <si>
    <t>Mesitylene</t>
  </si>
  <si>
    <t>108-67-8</t>
  </si>
  <si>
    <t>Methacrylaldehyde</t>
  </si>
  <si>
    <t>78-85-3</t>
  </si>
  <si>
    <t>Methacrylamide</t>
  </si>
  <si>
    <t>79-39-0</t>
  </si>
  <si>
    <t>Methacrylic Acid</t>
  </si>
  <si>
    <t>79-41-4</t>
  </si>
  <si>
    <t>Methacrylonitrile</t>
  </si>
  <si>
    <t>126-98-7</t>
  </si>
  <si>
    <t>Methane (Liquid B.P.)</t>
  </si>
  <si>
    <t>74-82-8</t>
  </si>
  <si>
    <t>67-56-1</t>
  </si>
  <si>
    <t>Methanol Cluster</t>
  </si>
  <si>
    <t>Methoxy Methanol</t>
  </si>
  <si>
    <t>4461-52-3</t>
  </si>
  <si>
    <t>Methoxyhexanone (Pentoxone)</t>
  </si>
  <si>
    <t>107-70-0</t>
  </si>
  <si>
    <t>Methyl 1-Propenyl Ether</t>
  </si>
  <si>
    <t>7319-16-6</t>
  </si>
  <si>
    <t>79-20-9</t>
  </si>
  <si>
    <t>Methyl Aceto Acetate</t>
  </si>
  <si>
    <t>105-45-3</t>
  </si>
  <si>
    <t>Methyl Acetylene</t>
  </si>
  <si>
    <t>74-99-7</t>
  </si>
  <si>
    <t>Methyl Acrylate</t>
  </si>
  <si>
    <t>96-33-3</t>
  </si>
  <si>
    <t>Methyl Allyl Cyanide</t>
  </si>
  <si>
    <t>16529-56-9</t>
  </si>
  <si>
    <t>Methyl Amine</t>
  </si>
  <si>
    <t>74-89-5</t>
  </si>
  <si>
    <t>Methyl Amyl Acetate</t>
  </si>
  <si>
    <t>108-84-9</t>
  </si>
  <si>
    <t>Methyl Benzoate</t>
  </si>
  <si>
    <t>93-58-3</t>
  </si>
  <si>
    <t>Methyl Bromide</t>
  </si>
  <si>
    <t>74-83-9</t>
  </si>
  <si>
    <t>Methyl Butyl Ketone</t>
  </si>
  <si>
    <t>591-78-6</t>
  </si>
  <si>
    <t>Methyl Chloride</t>
  </si>
  <si>
    <t>74-87-3</t>
  </si>
  <si>
    <t>Methyl Chloroformate</t>
  </si>
  <si>
    <t>79-22-1</t>
  </si>
  <si>
    <t>Methyl Cyanoacetate</t>
  </si>
  <si>
    <t>105-34-0</t>
  </si>
  <si>
    <t>108-87-2</t>
  </si>
  <si>
    <t>Methyl Cyclopentane</t>
  </si>
  <si>
    <t>96-37-7</t>
  </si>
  <si>
    <t>Methyl Ethyl Ether</t>
  </si>
  <si>
    <t>540-67-0</t>
  </si>
  <si>
    <t>78-93-3</t>
  </si>
  <si>
    <t>Methyl Ethyl Ketoxime</t>
  </si>
  <si>
    <t>96-29-7</t>
  </si>
  <si>
    <t>Methyl Formate</t>
  </si>
  <si>
    <t>107-31-3</t>
  </si>
  <si>
    <t>Methyl Furoate</t>
  </si>
  <si>
    <t>611-13-2</t>
  </si>
  <si>
    <t>Methyl Glyoxal</t>
  </si>
  <si>
    <t>78-98-8</t>
  </si>
  <si>
    <t>Methyl Hydrazine</t>
  </si>
  <si>
    <t>60-34-4</t>
  </si>
  <si>
    <t>Methyl Hydroperoxide</t>
  </si>
  <si>
    <t>3031-73-0</t>
  </si>
  <si>
    <t>Methyl Iodide</t>
  </si>
  <si>
    <t>74-88-4</t>
  </si>
  <si>
    <t>Methyl Isoamyl Ketone</t>
  </si>
  <si>
    <t>110-12-3</t>
  </si>
  <si>
    <t>Methyl Isobutyl Carbinol</t>
  </si>
  <si>
    <t>108-11-2</t>
  </si>
  <si>
    <t>Methyl Isobutyl Ketone (MIBK)</t>
  </si>
  <si>
    <t>108-10-1</t>
  </si>
  <si>
    <t>Methyl Isocyanate</t>
  </si>
  <si>
    <t>624-83-9</t>
  </si>
  <si>
    <t>Methyl Isopropenyl Ketone</t>
  </si>
  <si>
    <t>814-78-8</t>
  </si>
  <si>
    <t>Methyl Isothiocyanate</t>
  </si>
  <si>
    <t>556-61-6</t>
  </si>
  <si>
    <t>Methyl Mercaptan</t>
  </si>
  <si>
    <t>74-93-1</t>
  </si>
  <si>
    <t>Methyl Methacrylate</t>
  </si>
  <si>
    <t>80-62-6</t>
  </si>
  <si>
    <t>Methyl n-Amyl Ketone</t>
  </si>
  <si>
    <t>110-43-0</t>
  </si>
  <si>
    <t>Methyl n-Propyl Ketone</t>
  </si>
  <si>
    <t>107-87-9</t>
  </si>
  <si>
    <t>Methyl Nitrate</t>
  </si>
  <si>
    <t>598-58-3</t>
  </si>
  <si>
    <t>112-62-9</t>
  </si>
  <si>
    <t>Methyl Phenyl Sulfide</t>
  </si>
  <si>
    <t>100-68-5</t>
  </si>
  <si>
    <t>Methyl Phenyl Sulfone (Uncertain)</t>
  </si>
  <si>
    <t>3112-85-4</t>
  </si>
  <si>
    <t>Methyl Phosphonic Difluoride</t>
  </si>
  <si>
    <t>676-99-3</t>
  </si>
  <si>
    <t>Methyl Propionate</t>
  </si>
  <si>
    <t>554-12-1</t>
  </si>
  <si>
    <t>Methyl Riboside</t>
  </si>
  <si>
    <t>Methyl Salicylate</t>
  </si>
  <si>
    <t>119-36-8</t>
  </si>
  <si>
    <t>Methyl Silane</t>
  </si>
  <si>
    <t>992-94-9</t>
  </si>
  <si>
    <t>Methyl Sulfolane</t>
  </si>
  <si>
    <t>872-93-5</t>
  </si>
  <si>
    <t>Methyl Thiocyanate</t>
  </si>
  <si>
    <t>556-64-9</t>
  </si>
  <si>
    <t>Methyl Vinyl Ether</t>
  </si>
  <si>
    <t>107-25-5</t>
  </si>
  <si>
    <t>Methyl Vinyl Ketone</t>
  </si>
  <si>
    <t>78-94-4</t>
  </si>
  <si>
    <t>Methyl Vinyl Sulfide</t>
  </si>
  <si>
    <t>1822-74-8</t>
  </si>
  <si>
    <t>Methyl Vinyl Sulfone</t>
  </si>
  <si>
    <t>Methyl-1-Propynyl Ether</t>
  </si>
  <si>
    <t>13169-01-2</t>
  </si>
  <si>
    <t>Methyl-4-Toluenesulfonate</t>
  </si>
  <si>
    <t>80-48-8</t>
  </si>
  <si>
    <t>Methyl-p-Toluate</t>
  </si>
  <si>
    <t>99-75-2</t>
  </si>
  <si>
    <t>Methyl-t-Butyl Ether</t>
  </si>
  <si>
    <t>1634-04-4</t>
  </si>
  <si>
    <t>Methylene Dichloride (Dichloromethane)</t>
  </si>
  <si>
    <t>75-09-2</t>
  </si>
  <si>
    <t>Methylene Diiodide (Diiodomethane)</t>
  </si>
  <si>
    <t>75-11-6</t>
  </si>
  <si>
    <t>Morpholine</t>
  </si>
  <si>
    <t>110-91-8</t>
  </si>
  <si>
    <t>N,N,N,N-Tetramethylthiourea</t>
  </si>
  <si>
    <t>2782-91-4</t>
  </si>
  <si>
    <t>N,N-Dibutyl Formamide</t>
  </si>
  <si>
    <t>761-65-9</t>
  </si>
  <si>
    <t>N,N-Dichloroethyl Amine</t>
  </si>
  <si>
    <t>334-22-5</t>
  </si>
  <si>
    <t>N,N-Dichloromethyl Amine</t>
  </si>
  <si>
    <t>7651-91-4</t>
  </si>
  <si>
    <t>N,N-Diethyl Acetamide</t>
  </si>
  <si>
    <t>685-91-6</t>
  </si>
  <si>
    <t>N,N-Diethyl Formamide</t>
  </si>
  <si>
    <t>617-84-5</t>
  </si>
  <si>
    <t>127-19-5</t>
  </si>
  <si>
    <t>N,N-Dimethyl Butyramide</t>
  </si>
  <si>
    <t>760-79-2</t>
  </si>
  <si>
    <t>N-(2-Hydroxyethyl)-2-Pyrrolidone</t>
  </si>
  <si>
    <t>N-Acetyl Caprolactam</t>
  </si>
  <si>
    <t>1888-91-1</t>
  </si>
  <si>
    <t>N-Acetyl Piperidine</t>
  </si>
  <si>
    <t>618-42-8</t>
  </si>
  <si>
    <t>N-Acetyl Pyrrolidone</t>
  </si>
  <si>
    <t>932-17-2</t>
  </si>
  <si>
    <t>N-Acetylmorpholine</t>
  </si>
  <si>
    <t>1696-20-4</t>
  </si>
  <si>
    <t>N-Benzyl Pyrrolidone</t>
  </si>
  <si>
    <t>5291-77-0</t>
  </si>
  <si>
    <t>123-86-4</t>
  </si>
  <si>
    <t>n-Butyl Aceto Acetate</t>
  </si>
  <si>
    <t>591-60-6</t>
  </si>
  <si>
    <t>n-Butyl Acrylate</t>
  </si>
  <si>
    <t>141-32-2</t>
  </si>
  <si>
    <t>n-Butyl Amine</t>
  </si>
  <si>
    <t>109-73-9</t>
  </si>
  <si>
    <t>n-Butyl Butyrate</t>
  </si>
  <si>
    <t>109-21-7</t>
  </si>
  <si>
    <t>n-Butyl Cyclohexane</t>
  </si>
  <si>
    <t>1678-93-9</t>
  </si>
  <si>
    <t>n-Butyl Cyclopentane</t>
  </si>
  <si>
    <t>2040-95-1</t>
  </si>
  <si>
    <t>n-Butyl Methacrylate</t>
  </si>
  <si>
    <t>97-88-1</t>
  </si>
  <si>
    <t>590-01-2</t>
  </si>
  <si>
    <t>n-Butyl Salicylate</t>
  </si>
  <si>
    <t>2052-14-4</t>
  </si>
  <si>
    <t>n-Butylbenzene</t>
  </si>
  <si>
    <t>104-51-8</t>
  </si>
  <si>
    <t>n-Butyramide</t>
  </si>
  <si>
    <t>541-35-5</t>
  </si>
  <si>
    <t>N-Chlorodimethylamine</t>
  </si>
  <si>
    <t>1585-74-6</t>
  </si>
  <si>
    <t>N-Cyclohexyl-2-Pyrrolidone</t>
  </si>
  <si>
    <t>6837-24-7</t>
  </si>
  <si>
    <t>N-Ethyl Formamide</t>
  </si>
  <si>
    <t>627-45-2</t>
  </si>
  <si>
    <t>N-Ethyl-2-Pyrrolidone</t>
  </si>
  <si>
    <t>2687-91-4</t>
  </si>
  <si>
    <t>N-Formyl Hexamethylene Imine</t>
  </si>
  <si>
    <t>25114-81-2</t>
  </si>
  <si>
    <t>N-Formyl Piperidine</t>
  </si>
  <si>
    <t>2591-86-8</t>
  </si>
  <si>
    <t>n-Heptyl Acetate</t>
  </si>
  <si>
    <t>112-06-1</t>
  </si>
  <si>
    <t>N-Methyl Acetamide</t>
  </si>
  <si>
    <t>79-16-3</t>
  </si>
  <si>
    <t>N-Methyl Formamide</t>
  </si>
  <si>
    <t>123-39-7</t>
  </si>
  <si>
    <t>N-Methyl Morpholine-N-Oxide (App.)</t>
  </si>
  <si>
    <t>7529-22-8</t>
  </si>
  <si>
    <t>N-Methyl Pyrrolidine</t>
  </si>
  <si>
    <t>120-94-5</t>
  </si>
  <si>
    <t>872-50-4</t>
  </si>
  <si>
    <t>N-Methylaniline</t>
  </si>
  <si>
    <t>100-61-8</t>
  </si>
  <si>
    <t>N-n-Butyl Pyrrolidone</t>
  </si>
  <si>
    <t>3470-98-2</t>
  </si>
  <si>
    <t>n-Pentyl Propionate</t>
  </si>
  <si>
    <t>624-54-4</t>
  </si>
  <si>
    <t>109-60-4</t>
  </si>
  <si>
    <t>n-Propyl Nitrate</t>
  </si>
  <si>
    <t>627-13-4</t>
  </si>
  <si>
    <t>106-36-5</t>
  </si>
  <si>
    <t>n-Tetradecane</t>
  </si>
  <si>
    <t>629-59-4</t>
  </si>
  <si>
    <t>Naphtha,High-Flash</t>
  </si>
  <si>
    <t>8030-30-6</t>
  </si>
  <si>
    <t>Naphthalene</t>
  </si>
  <si>
    <t>91-20-3</t>
  </si>
  <si>
    <t>Nicotine</t>
  </si>
  <si>
    <t>54-11-5</t>
  </si>
  <si>
    <t>Nitric Acid</t>
  </si>
  <si>
    <t>7697-37-2</t>
  </si>
  <si>
    <t>Nitrobenzene</t>
  </si>
  <si>
    <t>98-95-3</t>
  </si>
  <si>
    <t>Nitroethane</t>
  </si>
  <si>
    <t>79-24-3</t>
  </si>
  <si>
    <t>Nitroethylene</t>
  </si>
  <si>
    <t>3638-64-0</t>
  </si>
  <si>
    <t>Nitroglycerin (Glyceryl Trinitrate)</t>
  </si>
  <si>
    <t>55-63-0</t>
  </si>
  <si>
    <t>Nitromethane</t>
  </si>
  <si>
    <t>75-52-5</t>
  </si>
  <si>
    <t>Nitrosobenzene</t>
  </si>
  <si>
    <t>586-96-9</t>
  </si>
  <si>
    <t>Nonane</t>
  </si>
  <si>
    <t>111-84-2</t>
  </si>
  <si>
    <t>Nonyl Phenol</t>
  </si>
  <si>
    <t>104-40-5</t>
  </si>
  <si>
    <t>Nonyl Phenoxy Ethanol</t>
  </si>
  <si>
    <t>27986-36-3</t>
  </si>
  <si>
    <t>Norephedrin</t>
  </si>
  <si>
    <t>299-42-3</t>
  </si>
  <si>
    <t>o-Bromoanisole</t>
  </si>
  <si>
    <t>578-57-4</t>
  </si>
  <si>
    <t>o-Bromochlorobenzene</t>
  </si>
  <si>
    <t>694-80-4</t>
  </si>
  <si>
    <t>o-Bromostyrene</t>
  </si>
  <si>
    <t>2039-88-5</t>
  </si>
  <si>
    <t>o-Bromotoluene</t>
  </si>
  <si>
    <t>95-46-5</t>
  </si>
  <si>
    <t>o-Chlorofluorobenzene</t>
  </si>
  <si>
    <t>348-51-6</t>
  </si>
  <si>
    <t>o-Chlorostyrene</t>
  </si>
  <si>
    <t>2039-87-4</t>
  </si>
  <si>
    <t>o-Chlorothiophenol</t>
  </si>
  <si>
    <t>o-Chlorotoluene</t>
  </si>
  <si>
    <t>95-49-8</t>
  </si>
  <si>
    <t>o-Dibromobenzene</t>
  </si>
  <si>
    <t>583-53-9</t>
  </si>
  <si>
    <t>o-Dichlorobenzene</t>
  </si>
  <si>
    <t>95-50-1</t>
  </si>
  <si>
    <t>o-Difluorobenzene</t>
  </si>
  <si>
    <t>367-11-3</t>
  </si>
  <si>
    <t>o-Methoxyphenol (Guaiacol)</t>
  </si>
  <si>
    <t>90-05-1</t>
  </si>
  <si>
    <t>o-n-Butyltoluene</t>
  </si>
  <si>
    <t>1595-11-5</t>
  </si>
  <si>
    <t>Octadecane</t>
  </si>
  <si>
    <t>593-45-3</t>
  </si>
  <si>
    <t>Octamethylcyclotetrasiloxane</t>
  </si>
  <si>
    <t>556-67-2</t>
  </si>
  <si>
    <t>Octane</t>
  </si>
  <si>
    <t>111-65-9</t>
  </si>
  <si>
    <t>Octanoic Acid</t>
  </si>
  <si>
    <t>124-07-2</t>
  </si>
  <si>
    <t>Octyl Acetate</t>
  </si>
  <si>
    <t>112-14-1</t>
  </si>
  <si>
    <t>Oleic Acid</t>
  </si>
  <si>
    <t>112-80-1</t>
  </si>
  <si>
    <t>Oleyl Alcohol</t>
  </si>
  <si>
    <t>143-28-2</t>
  </si>
  <si>
    <t>OS-10 (Hexamethyldisiloxane)</t>
  </si>
  <si>
    <t>107-46-0</t>
  </si>
  <si>
    <t>OS-20 (Octamethyltrisiloxane)</t>
  </si>
  <si>
    <t>107-51-7</t>
  </si>
  <si>
    <t>OS-30 (Decamethyltetrasiloxane)</t>
  </si>
  <si>
    <t>141-62-8</t>
  </si>
  <si>
    <t>Oxalic Acid</t>
  </si>
  <si>
    <t>144-62-7</t>
  </si>
  <si>
    <t>Oxalylchloride</t>
  </si>
  <si>
    <t>79-37-8</t>
  </si>
  <si>
    <t>Oxetane (Trimethylene Oxide)</t>
  </si>
  <si>
    <t>503-30-0</t>
  </si>
  <si>
    <t>Ozone</t>
  </si>
  <si>
    <t>10028-15-6</t>
  </si>
  <si>
    <t>p-Anisidine (Methoxy Aniline)</t>
  </si>
  <si>
    <t>104-94-9</t>
  </si>
  <si>
    <t>p-Bromobenzonitrile</t>
  </si>
  <si>
    <t>623-00-7</t>
  </si>
  <si>
    <t>p-Bromobenzoyl Chloride</t>
  </si>
  <si>
    <t>586-75-4</t>
  </si>
  <si>
    <t>p-Bromonitrobenzene</t>
  </si>
  <si>
    <t>586-78-7</t>
  </si>
  <si>
    <t>p-Bromotoluene</t>
  </si>
  <si>
    <t>106-38-7</t>
  </si>
  <si>
    <t>p-Chloro Acetophenone</t>
  </si>
  <si>
    <t>99-91-2</t>
  </si>
  <si>
    <t>p-Chlorobenzoyl Chloride</t>
  </si>
  <si>
    <t>122-01-0</t>
  </si>
  <si>
    <t>p-Chloronitrobenzene</t>
  </si>
  <si>
    <t>100-00-5</t>
  </si>
  <si>
    <t>p-Chlorostyrene</t>
  </si>
  <si>
    <t>1073-67-2</t>
  </si>
  <si>
    <t>p-Chlorotoluene</t>
  </si>
  <si>
    <t>106-43-4</t>
  </si>
  <si>
    <t>p-Coumaryl Alcohol</t>
  </si>
  <si>
    <t>p-Dichlorobenzene</t>
  </si>
  <si>
    <t>106-46-7</t>
  </si>
  <si>
    <t>p-Diethyl Benzene</t>
  </si>
  <si>
    <t>105-05-5</t>
  </si>
  <si>
    <t>p-Divinyl Benzene</t>
  </si>
  <si>
    <t>105-06-6</t>
  </si>
  <si>
    <t>p-Fluoroanisole</t>
  </si>
  <si>
    <t>459-60-9</t>
  </si>
  <si>
    <t>p-n-Butyltoluene</t>
  </si>
  <si>
    <t>1595-05-7</t>
  </si>
  <si>
    <t>p-Nitro Toluene</t>
  </si>
  <si>
    <t>99-99-0</t>
  </si>
  <si>
    <t>Paracetamol</t>
  </si>
  <si>
    <t>103-90-2</t>
  </si>
  <si>
    <t>Paraldehyde</t>
  </si>
  <si>
    <t>123-63-7</t>
  </si>
  <si>
    <t>Paraquat</t>
  </si>
  <si>
    <t>4685-14-7</t>
  </si>
  <si>
    <t>Pentachloro Ethane</t>
  </si>
  <si>
    <t>76-01-7</t>
  </si>
  <si>
    <t>Pentachlorocyclopropane</t>
  </si>
  <si>
    <t>6262-51-7</t>
  </si>
  <si>
    <t>Pentachlorophenol</t>
  </si>
  <si>
    <t>87-86-5</t>
  </si>
  <si>
    <t>Pentafluorobenzophenone</t>
  </si>
  <si>
    <t>652-29-9</t>
  </si>
  <si>
    <t>Pentanal (Valeraldehyde)</t>
  </si>
  <si>
    <t>110-62-3</t>
  </si>
  <si>
    <t>Pentane</t>
  </si>
  <si>
    <t>109-66-0</t>
  </si>
  <si>
    <t>Pentanoic Acid</t>
  </si>
  <si>
    <t>109-52-4</t>
  </si>
  <si>
    <t>Perfluoro Dimethylcyclohexane</t>
  </si>
  <si>
    <t>374-77-6</t>
  </si>
  <si>
    <t>Perfluoro Ethylene (Tetrafluoro Ethylene</t>
  </si>
  <si>
    <t>116-14-3</t>
  </si>
  <si>
    <t>Perfluorobutane</t>
  </si>
  <si>
    <t>355-25-9</t>
  </si>
  <si>
    <t>Perfluoroheptane</t>
  </si>
  <si>
    <t>335-57-9</t>
  </si>
  <si>
    <t>Perfluorohexane (PFC 5060)</t>
  </si>
  <si>
    <t>355-42-0</t>
  </si>
  <si>
    <t>Perfluoromethylcyclohexane</t>
  </si>
  <si>
    <t>355-02-2</t>
  </si>
  <si>
    <t>Perfluoropentane (PFC 5050)</t>
  </si>
  <si>
    <t>678-26-2</t>
  </si>
  <si>
    <t>Phenetole (Ethyl Phenyl Ether)</t>
  </si>
  <si>
    <t>103-73-1</t>
  </si>
  <si>
    <t>Phenol</t>
  </si>
  <si>
    <t>108-95-2</t>
  </si>
  <si>
    <t>Phenyl Acetate</t>
  </si>
  <si>
    <t>122-79-2</t>
  </si>
  <si>
    <t>Phenyl Acetonitrile</t>
  </si>
  <si>
    <t>140-29-4</t>
  </si>
  <si>
    <t>Phenyl Acetylene</t>
  </si>
  <si>
    <t>536-74-3</t>
  </si>
  <si>
    <t>Phenylhydrazine</t>
  </si>
  <si>
    <t>100-63-0</t>
  </si>
  <si>
    <t>Phosgene</t>
  </si>
  <si>
    <t>75-44-5</t>
  </si>
  <si>
    <t>Phosphoric Acid</t>
  </si>
  <si>
    <t>7664-38-2</t>
  </si>
  <si>
    <t>Phosphorous Oxychloride</t>
  </si>
  <si>
    <t>10025-87-3</t>
  </si>
  <si>
    <t>Phosphorus Trichloride</t>
  </si>
  <si>
    <t>Phthalic Anhydride</t>
  </si>
  <si>
    <t>85-44-9</t>
  </si>
  <si>
    <t>Picric Acid (2,4,6-Trinitrophenol)</t>
  </si>
  <si>
    <t>88-89-1</t>
  </si>
  <si>
    <t>Pine Oil</t>
  </si>
  <si>
    <t>8006-88-0</t>
  </si>
  <si>
    <t>Piperazine</t>
  </si>
  <si>
    <t>110-85-0</t>
  </si>
  <si>
    <t>Piperidine</t>
  </si>
  <si>
    <t>110-89-4</t>
  </si>
  <si>
    <t>Propane</t>
  </si>
  <si>
    <t>74-98-6</t>
  </si>
  <si>
    <t>Propargyl Acetate</t>
  </si>
  <si>
    <t>627-09-8</t>
  </si>
  <si>
    <t>Propargylaldehyde</t>
  </si>
  <si>
    <t>624-67-9</t>
  </si>
  <si>
    <t>Propionaldehyde</t>
  </si>
  <si>
    <t>123-38-6</t>
  </si>
  <si>
    <t>Propionaldehyde - 2,3-Epoxy</t>
  </si>
  <si>
    <t>765-34-4</t>
  </si>
  <si>
    <t>Propionamide</t>
  </si>
  <si>
    <t>79-05-0</t>
  </si>
  <si>
    <t>Propionic Acid</t>
  </si>
  <si>
    <t>79-09-4</t>
  </si>
  <si>
    <t>Propionic Anhydride</t>
  </si>
  <si>
    <t>123-62-6</t>
  </si>
  <si>
    <t>Propionitrile</t>
  </si>
  <si>
    <t>107-12-0</t>
  </si>
  <si>
    <t>Propionylchloride</t>
  </si>
  <si>
    <t>79-03-8</t>
  </si>
  <si>
    <t>Propyl Amine</t>
  </si>
  <si>
    <t>107-10-8</t>
  </si>
  <si>
    <t>Propyl Chloride</t>
  </si>
  <si>
    <t>540-54-5</t>
  </si>
  <si>
    <t>Propyl Formate</t>
  </si>
  <si>
    <t>110-74-7</t>
  </si>
  <si>
    <t>Propyl Methacrylate</t>
  </si>
  <si>
    <t>2210-28-8</t>
  </si>
  <si>
    <t>Propylene</t>
  </si>
  <si>
    <t>115-07-1</t>
  </si>
  <si>
    <t>108-32-7</t>
  </si>
  <si>
    <t>Propylene Chlorohydrin</t>
  </si>
  <si>
    <t>127-00-4</t>
  </si>
  <si>
    <t>Propylene Glycol</t>
  </si>
  <si>
    <t>57-55-6</t>
  </si>
  <si>
    <t>Propylene Glycol Mono-t-Butyl Ether</t>
  </si>
  <si>
    <t>57018-52-7</t>
  </si>
  <si>
    <t>5131-66-8</t>
  </si>
  <si>
    <t>Propylene Glycol Monoethyl Ether</t>
  </si>
  <si>
    <t>1569-02-4</t>
  </si>
  <si>
    <t>54839-24-6</t>
  </si>
  <si>
    <t>Propylene Glycol Monoisobutyl Ether</t>
  </si>
  <si>
    <t>23436-19-3</t>
  </si>
  <si>
    <t>Propylene Glycol Monoisopropyl Ether</t>
  </si>
  <si>
    <t>3944-36-3</t>
  </si>
  <si>
    <t>107-98-2</t>
  </si>
  <si>
    <t>108-65-6</t>
  </si>
  <si>
    <t>Propylene Glycol Monophenyl Ether</t>
  </si>
  <si>
    <t>770-35-4</t>
  </si>
  <si>
    <t>Propylene Glycol Monopropyl Ether</t>
  </si>
  <si>
    <t>1569-01-3</t>
  </si>
  <si>
    <t>Propylene Imine (2-Methyl Aziridine)</t>
  </si>
  <si>
    <t>75-55-8</t>
  </si>
  <si>
    <t>Propylene Oxide</t>
  </si>
  <si>
    <t>75-56-9</t>
  </si>
  <si>
    <t>Propynonitrile</t>
  </si>
  <si>
    <t>1070-71-9</t>
  </si>
  <si>
    <t>Pulegone</t>
  </si>
  <si>
    <t>89-82-7</t>
  </si>
  <si>
    <t>Purine</t>
  </si>
  <si>
    <t>120-73-0</t>
  </si>
  <si>
    <t>Pyrazole</t>
  </si>
  <si>
    <t>288-13-1</t>
  </si>
  <si>
    <t>Pyridazine</t>
  </si>
  <si>
    <t>289-80-5</t>
  </si>
  <si>
    <t>Pyridine</t>
  </si>
  <si>
    <t>110-86-1</t>
  </si>
  <si>
    <t>Pyrimidine</t>
  </si>
  <si>
    <t>289-95-2</t>
  </si>
  <si>
    <t>Pyrogallol (1,2,3-Trihydroxybenzene)</t>
  </si>
  <si>
    <t>87-66-1</t>
  </si>
  <si>
    <t>Pyrrole</t>
  </si>
  <si>
    <t>109-97-7</t>
  </si>
  <si>
    <t>Pyrrolidine</t>
  </si>
  <si>
    <t>123-75-1</t>
  </si>
  <si>
    <t>Pyruvonitrile</t>
  </si>
  <si>
    <t>631-57-2</t>
  </si>
  <si>
    <t>Quinine</t>
  </si>
  <si>
    <t>130-95-0</t>
  </si>
  <si>
    <t>Quinoline</t>
  </si>
  <si>
    <t>91-22-5</t>
  </si>
  <si>
    <t>Saccharin</t>
  </si>
  <si>
    <t>81-07-2</t>
  </si>
  <si>
    <t>Salicylaldehyde</t>
  </si>
  <si>
    <t>90-02-8</t>
  </si>
  <si>
    <t>Salicylic Acid</t>
  </si>
  <si>
    <t>69-72-7</t>
  </si>
  <si>
    <t>Sebacic Acid</t>
  </si>
  <si>
    <t>111-20-6</t>
  </si>
  <si>
    <t>105-46-4</t>
  </si>
  <si>
    <t>Serotonin</t>
  </si>
  <si>
    <t>50-67-9</t>
  </si>
  <si>
    <t>Sinapyl Alcohol</t>
  </si>
  <si>
    <t>537-33-7</t>
  </si>
  <si>
    <t>Skatole</t>
  </si>
  <si>
    <t>83-34-1</t>
  </si>
  <si>
    <t>Spermidin</t>
  </si>
  <si>
    <t>124-20-9</t>
  </si>
  <si>
    <t>Stearic Acid</t>
  </si>
  <si>
    <t>57-11-4</t>
  </si>
  <si>
    <t>Styrene</t>
  </si>
  <si>
    <t>100-42-5</t>
  </si>
  <si>
    <t>Styrene Oxide (Phenyl Oxirane)</t>
  </si>
  <si>
    <t>96-09-3</t>
  </si>
  <si>
    <t>Succinaldehyde (Butanedial)</t>
  </si>
  <si>
    <t>638-37-9</t>
  </si>
  <si>
    <t>Succinic Anhydride</t>
  </si>
  <si>
    <t>108-30-5</t>
  </si>
  <si>
    <t>Succinonitrile</t>
  </si>
  <si>
    <t>110-61-2</t>
  </si>
  <si>
    <t>Sulfanilamide</t>
  </si>
  <si>
    <t>63-74-1</t>
  </si>
  <si>
    <t>126-33-0</t>
  </si>
  <si>
    <t>Sulfur Dicyanide</t>
  </si>
  <si>
    <t>627-52-1</t>
  </si>
  <si>
    <t>Sulfur Dioxide</t>
  </si>
  <si>
    <t>Sulfuryl Chloride</t>
  </si>
  <si>
    <t>7791-25-5</t>
  </si>
  <si>
    <t>540-88-5</t>
  </si>
  <si>
    <t>75-65-0</t>
  </si>
  <si>
    <t>Terephthalic Acid</t>
  </si>
  <si>
    <t>100-21-0</t>
  </si>
  <si>
    <t>Tetrabromobisphenol A</t>
  </si>
  <si>
    <t>79-94-7</t>
  </si>
  <si>
    <t>Tetrachloroethylene</t>
  </si>
  <si>
    <t>127-18-4</t>
  </si>
  <si>
    <t>Tetraethylorthosilicate</t>
  </si>
  <si>
    <t>78-10-4</t>
  </si>
  <si>
    <t>109-99-9</t>
  </si>
  <si>
    <t>97-99-4</t>
  </si>
  <si>
    <t>Tetrahydronaphthalene</t>
  </si>
  <si>
    <t>119-64-2</t>
  </si>
  <si>
    <t>Tetrahydropyran</t>
  </si>
  <si>
    <t>142-68-7</t>
  </si>
  <si>
    <t>Tetrahydrothiapyran</t>
  </si>
  <si>
    <t>1613-51-0</t>
  </si>
  <si>
    <t>Tetramethylene Sulfide</t>
  </si>
  <si>
    <t>110-01-0</t>
  </si>
  <si>
    <t>Tetramethylene Sulfoxide</t>
  </si>
  <si>
    <t>1600-44-8</t>
  </si>
  <si>
    <t>Tetramethylurea</t>
  </si>
  <si>
    <t>632-22-4</t>
  </si>
  <si>
    <t>Tetranitromethane</t>
  </si>
  <si>
    <t>509-14-8</t>
  </si>
  <si>
    <t>Thiazole</t>
  </si>
  <si>
    <t>288-47-1</t>
  </si>
  <si>
    <t>Thioacetamide</t>
  </si>
  <si>
    <t>62-55-5</t>
  </si>
  <si>
    <t>Thioacetic Acid</t>
  </si>
  <si>
    <t>507-09-5</t>
  </si>
  <si>
    <t>Thiocyanic Acid</t>
  </si>
  <si>
    <t>463-56-9</t>
  </si>
  <si>
    <t>Thiodiethylenglycol</t>
  </si>
  <si>
    <t>111-48-8</t>
  </si>
  <si>
    <t>Thioglycolic Acid (Mercapto Acetic Acid)</t>
  </si>
  <si>
    <t>68-11-1</t>
  </si>
  <si>
    <t>Thionyl Chloride</t>
  </si>
  <si>
    <t>Thiophene</t>
  </si>
  <si>
    <t>110-02-1</t>
  </si>
  <si>
    <t>Thiophenol</t>
  </si>
  <si>
    <t>108-98-5</t>
  </si>
  <si>
    <t>Thiourea</t>
  </si>
  <si>
    <t>62-56-6</t>
  </si>
  <si>
    <t>Thiourea From Urea Min Sphere</t>
  </si>
  <si>
    <t>Thymine</t>
  </si>
  <si>
    <t>65-71-4</t>
  </si>
  <si>
    <t>Thymol</t>
  </si>
  <si>
    <t>89-83-8</t>
  </si>
  <si>
    <t>Tigaldehyde</t>
  </si>
  <si>
    <t>497-03-0</t>
  </si>
  <si>
    <t>108-88-3</t>
  </si>
  <si>
    <t>Tolylene Diisocyanate</t>
  </si>
  <si>
    <t>86-91-9</t>
  </si>
  <si>
    <t>Trans-Cinnamaldehyde</t>
  </si>
  <si>
    <t>14371-10-9</t>
  </si>
  <si>
    <t>Trans-Crotononitrile</t>
  </si>
  <si>
    <t>627-26-9</t>
  </si>
  <si>
    <t>Trans-Decahydronaphthalene</t>
  </si>
  <si>
    <t>493-02-7</t>
  </si>
  <si>
    <t>Tri-n-Butyl Acetyl Citrate</t>
  </si>
  <si>
    <t>77-90-7</t>
  </si>
  <si>
    <t>Tri-n-Butyl Borate</t>
  </si>
  <si>
    <t>688-74-4</t>
  </si>
  <si>
    <t>Tri-n-Butyl Citrate</t>
  </si>
  <si>
    <t>77-94-1</t>
  </si>
  <si>
    <t>Tri-n-Butyl Phosphate</t>
  </si>
  <si>
    <t>126-73-8</t>
  </si>
  <si>
    <t>Trichloroacetic Acid</t>
  </si>
  <si>
    <t>76-03-9</t>
  </si>
  <si>
    <t>Trichloroacetonitrile</t>
  </si>
  <si>
    <t>545-06-2</t>
  </si>
  <si>
    <t>Trichlorobiphenyl</t>
  </si>
  <si>
    <t>55702-46-0</t>
  </si>
  <si>
    <t>Trichloroethylene</t>
  </si>
  <si>
    <t>79-01-6</t>
  </si>
  <si>
    <t>Trichlorofluoromethane (Freon 11)</t>
  </si>
  <si>
    <t>75-69-4</t>
  </si>
  <si>
    <t>Trichloromethylsilane</t>
  </si>
  <si>
    <t>75-79-6</t>
  </si>
  <si>
    <t>Trichlorosilane</t>
  </si>
  <si>
    <t>10025-78-2</t>
  </si>
  <si>
    <t>Triclosan</t>
  </si>
  <si>
    <t>3380-34-5</t>
  </si>
  <si>
    <t>Tricresyl Phosphate</t>
  </si>
  <si>
    <t>1330-78-5</t>
  </si>
  <si>
    <t>Tricyclene</t>
  </si>
  <si>
    <t>508-32-7</t>
  </si>
  <si>
    <t>Tridecyl Alcohol</t>
  </si>
  <si>
    <t>112-70-9</t>
  </si>
  <si>
    <t>Triethanolamine</t>
  </si>
  <si>
    <t>102-71-6</t>
  </si>
  <si>
    <t>Triethyl Citrate</t>
  </si>
  <si>
    <t>77-93-0</t>
  </si>
  <si>
    <t>Triethylamine</t>
  </si>
  <si>
    <t>121-44-8</t>
  </si>
  <si>
    <t>Triethylene Glycol</t>
  </si>
  <si>
    <t>112-27-6</t>
  </si>
  <si>
    <t>Triethylene Glycol Monomethyl Ether</t>
  </si>
  <si>
    <t>112-35-6</t>
  </si>
  <si>
    <t>Triethylene Glycol Monooleyl Ether</t>
  </si>
  <si>
    <t>5274-66-8</t>
  </si>
  <si>
    <t>Triethylphosphate</t>
  </si>
  <si>
    <t>78-40-0</t>
  </si>
  <si>
    <t>Trifluoroacetic Acid</t>
  </si>
  <si>
    <t>76-05-1</t>
  </si>
  <si>
    <t>Trifluoromethane (Freon 23)</t>
  </si>
  <si>
    <t>75-46-7</t>
  </si>
  <si>
    <t>Triisononyl Trimellilate</t>
  </si>
  <si>
    <t>53894-23-8</t>
  </si>
  <si>
    <t>Triisooctyl Trimellitate</t>
  </si>
  <si>
    <t>27251-75-8</t>
  </si>
  <si>
    <t>Trimethyl Amine</t>
  </si>
  <si>
    <t>75-50-3</t>
  </si>
  <si>
    <t>Trimethylbenzene</t>
  </si>
  <si>
    <t>95-63-6</t>
  </si>
  <si>
    <t>Trimethylene Sulfide</t>
  </si>
  <si>
    <t>287-27-4</t>
  </si>
  <si>
    <t>Trimethylphosphate</t>
  </si>
  <si>
    <t>512-56-1</t>
  </si>
  <si>
    <t>Trinitromethane</t>
  </si>
  <si>
    <t>517-25-9</t>
  </si>
  <si>
    <t>Trinitrotoluene (TNT) (DM)</t>
  </si>
  <si>
    <t>118-96-7</t>
  </si>
  <si>
    <t>Trinitrotoluene (TNT) (G.C.)</t>
  </si>
  <si>
    <t>Trioctyl Phosphate</t>
  </si>
  <si>
    <t>1806-54-8</t>
  </si>
  <si>
    <t>Triphenyl Phosphate</t>
  </si>
  <si>
    <t>115-86-6</t>
  </si>
  <si>
    <t>Tripropylene Glycol Monomethyl Ether</t>
  </si>
  <si>
    <t>30373-82-1</t>
  </si>
  <si>
    <t>Undecane</t>
  </si>
  <si>
    <t>1120-21-4</t>
  </si>
  <si>
    <t>Urea For Ro Equal 19.4</t>
  </si>
  <si>
    <t>57-13-6</t>
  </si>
  <si>
    <t>Urea Min Sphere</t>
  </si>
  <si>
    <t>Valeronitrile</t>
  </si>
  <si>
    <t>110-59-8</t>
  </si>
  <si>
    <t>Vanillin (4-Hydroxy-3-Methoxy Benzaldehy</t>
  </si>
  <si>
    <t>121-33-5</t>
  </si>
  <si>
    <t>Vinyl 2-Chloro Ethyl Ether</t>
  </si>
  <si>
    <t>110-75-8</t>
  </si>
  <si>
    <t>Vinyl 2-Ethylhexyl Ether</t>
  </si>
  <si>
    <t>103-44-6</t>
  </si>
  <si>
    <t>Vinyl 2-Methoxy Ethyl Ether</t>
  </si>
  <si>
    <t>1663-35-0</t>
  </si>
  <si>
    <t>Vinyl Acetate</t>
  </si>
  <si>
    <t>108-05-4</t>
  </si>
  <si>
    <t>Vinyl Acetylene</t>
  </si>
  <si>
    <t>689-97-4</t>
  </si>
  <si>
    <t>Vinyl Allyl Ether</t>
  </si>
  <si>
    <t>3917-15-5</t>
  </si>
  <si>
    <t>Vinyl Amine</t>
  </si>
  <si>
    <t>593-67-9</t>
  </si>
  <si>
    <t>Vinyl Butyl Carbitol</t>
  </si>
  <si>
    <t>Vinyl Butyl Ether</t>
  </si>
  <si>
    <t>111-34-2</t>
  </si>
  <si>
    <t>Vinyl Butyl Sulfide</t>
  </si>
  <si>
    <t>4789-70-2</t>
  </si>
  <si>
    <t>Vinyl Butyrate</t>
  </si>
  <si>
    <t>123-20-6</t>
  </si>
  <si>
    <t>Vinyl Carbitol</t>
  </si>
  <si>
    <t>929-37-3</t>
  </si>
  <si>
    <t>Vinyl Chloride</t>
  </si>
  <si>
    <t>75-01-4</t>
  </si>
  <si>
    <t>Vinyl Crotonate</t>
  </si>
  <si>
    <t>14861-06-4</t>
  </si>
  <si>
    <t>Vinyl Ether</t>
  </si>
  <si>
    <t>109-93-3</t>
  </si>
  <si>
    <t>Vinyl Ethyl Carbitol</t>
  </si>
  <si>
    <t>10143-53-0</t>
  </si>
  <si>
    <t>Vinyl Ethyl Sulfide</t>
  </si>
  <si>
    <t>627-50-9</t>
  </si>
  <si>
    <t>Vinyl Formate</t>
  </si>
  <si>
    <t>692-45-5</t>
  </si>
  <si>
    <t>Vinyl Iodide (Iodoethene)</t>
  </si>
  <si>
    <t>593-66-8</t>
  </si>
  <si>
    <t>Vinyl Isobutyl Ether</t>
  </si>
  <si>
    <t>109-53-5</t>
  </si>
  <si>
    <t>Vinyl Isopropyl Ether</t>
  </si>
  <si>
    <t>926-65-8</t>
  </si>
  <si>
    <t>Vinyl Propionate</t>
  </si>
  <si>
    <t>105-38-4</t>
  </si>
  <si>
    <t>Vinyl Propyl Ether</t>
  </si>
  <si>
    <t>764-47-6</t>
  </si>
  <si>
    <t>Vinyl Pyrrolidone</t>
  </si>
  <si>
    <t>88-12-0</t>
  </si>
  <si>
    <t>Vinyl S-Butyl Mercapto Ethyl Ether</t>
  </si>
  <si>
    <t>Vinyl S-Ethyl Mercapto Ethyl Ether</t>
  </si>
  <si>
    <t>Vinyl Silane</t>
  </si>
  <si>
    <t>7291-09-0</t>
  </si>
  <si>
    <t>Vinyl Trifluoro Acetate</t>
  </si>
  <si>
    <t>433-28-3</t>
  </si>
  <si>
    <t>Vinyl Trimethyl Silane</t>
  </si>
  <si>
    <t>754-05-2</t>
  </si>
  <si>
    <t>Vinyl-2-Ethyl Hexanoate</t>
  </si>
  <si>
    <t>94-04-2</t>
  </si>
  <si>
    <t>Vinylenecarbonate</t>
  </si>
  <si>
    <t>872-36-6</t>
  </si>
  <si>
    <t>Water</t>
  </si>
  <si>
    <t>7732-18-5</t>
  </si>
  <si>
    <t>Water 1% Soluble In - Ro=18.1</t>
  </si>
  <si>
    <t>Water Complete Misc. (R=13.0)</t>
  </si>
  <si>
    <t>106-42-3</t>
  </si>
  <si>
    <t>ß-Propiolactone</t>
  </si>
  <si>
    <t>57-57-8</t>
  </si>
  <si>
    <t>α-Chloro Acetophenone</t>
  </si>
  <si>
    <t>532-27-4</t>
  </si>
  <si>
    <t>α-Chloro Methyl Acrylate</t>
  </si>
  <si>
    <t>80-63-7</t>
  </si>
  <si>
    <t>γ-Butyrolactone (GBL)</t>
  </si>
  <si>
    <t>96-48-0</t>
  </si>
  <si>
    <t>γ-Thiobutyrolactone</t>
  </si>
  <si>
    <t>1003-10-7</t>
  </si>
  <si>
    <t>CAS</t>
  </si>
  <si>
    <t>Chemical</t>
  </si>
  <si>
    <t>Vmol</t>
  </si>
  <si>
    <t>S1 (%)</t>
  </si>
  <si>
    <t>S2 (%)</t>
  </si>
  <si>
    <t>Solvent Nafta 160/180</t>
  </si>
  <si>
    <t>Rhodiasolv DIB</t>
  </si>
  <si>
    <t>Rhodiasolv RPDE</t>
  </si>
  <si>
    <t>Disolvente D-80</t>
  </si>
  <si>
    <t>64742-47-8</t>
  </si>
  <si>
    <t>Galaster EL-98</t>
  </si>
  <si>
    <t>687-47-8</t>
  </si>
  <si>
    <t>Rhodiasolv IRIS / Dimethyl 2-Methylglutarate</t>
  </si>
  <si>
    <t>Min</t>
  </si>
  <si>
    <t>Max</t>
  </si>
  <si>
    <t>Reference</t>
  </si>
  <si>
    <t>Alternative</t>
  </si>
  <si>
    <t xml:space="preserve">Methylal (Dimethoxy Methane) </t>
  </si>
  <si>
    <t>462-95-3</t>
  </si>
  <si>
    <t>Ethylal (Diethoxymethane)</t>
  </si>
  <si>
    <t>505-84-0</t>
  </si>
  <si>
    <t>Propylal (Dipropoxymethane)</t>
  </si>
  <si>
    <t>2568-90-3</t>
  </si>
  <si>
    <t>Butylal (1-(Butoxymethoxy)butane)</t>
  </si>
  <si>
    <t>TOU - 2,5,7,10-Tetraoxaundecane</t>
  </si>
  <si>
    <t>4431-83-8</t>
  </si>
  <si>
    <t>2-Ethylhexylal - 3,3'-[Methylenebis(oxymethylene)]bisheptane</t>
  </si>
  <si>
    <t>22174-70-5</t>
  </si>
  <si>
    <t>Min Dist</t>
  </si>
  <si>
    <t>Total (%)</t>
  </si>
  <si>
    <t>Radius</t>
  </si>
  <si>
    <t>CLiQSPERSE 149 (polar)</t>
  </si>
  <si>
    <t>CLiQSPERSE 149 (apolar)</t>
  </si>
  <si>
    <t>Tego Dispers 761 W (polar)</t>
  </si>
  <si>
    <t>Tego Dispers 761 W (apolar)</t>
  </si>
  <si>
    <t>Raven 5000 Ultra II (carbon black)</t>
  </si>
  <si>
    <t>Raven 5100 Ultra (carbon black)</t>
  </si>
  <si>
    <t>Angle º</t>
  </si>
  <si>
    <t>Rad</t>
  </si>
  <si>
    <t>dP (x)</t>
  </si>
  <si>
    <t>dD (y)</t>
  </si>
  <si>
    <t>dH (y)</t>
  </si>
  <si>
    <t>dD (x)</t>
  </si>
  <si>
    <t>PET</t>
  </si>
  <si>
    <t>Nylon 66</t>
  </si>
  <si>
    <t>Epoxy resin</t>
  </si>
  <si>
    <t>Polyvinylbutyral</t>
  </si>
  <si>
    <t>Polyvinyldenefluoride (PVF)</t>
  </si>
  <si>
    <t>Polyphenyleneoxide (PPO)</t>
  </si>
  <si>
    <t>Polyuretane (PU)</t>
  </si>
  <si>
    <t>Polysulphone</t>
  </si>
  <si>
    <t>Polysilicone</t>
  </si>
  <si>
    <t>Polyethersulphone</t>
  </si>
  <si>
    <t>Polyvinylpyrrolidone (PVP)</t>
  </si>
  <si>
    <t>Polyethylene oxide (PEO)</t>
  </si>
  <si>
    <t>Polypropylene oxide (PPO)</t>
  </si>
  <si>
    <t>Polyvinyl alcohol (PVOH)</t>
  </si>
  <si>
    <t>Polylactic acid (PLA)</t>
  </si>
  <si>
    <t>AUX</t>
  </si>
  <si>
    <t>&lt; 4</t>
  </si>
  <si>
    <t>&gt;8</t>
  </si>
  <si>
    <t>Temperature (ºC)</t>
  </si>
  <si>
    <t>Nº</t>
  </si>
  <si>
    <t>% Min</t>
  </si>
  <si>
    <t>% Max</t>
  </si>
  <si>
    <t>2 Components Blend Distance Calculator</t>
  </si>
  <si>
    <t>% Total</t>
  </si>
  <si>
    <t>Chi</t>
  </si>
  <si>
    <t>Mvol</t>
  </si>
  <si>
    <t>Best Mixutre</t>
  </si>
  <si>
    <t>Selec. Solvent</t>
  </si>
  <si>
    <t>32131-17-2</t>
  </si>
  <si>
    <t>25038-59-9</t>
  </si>
  <si>
    <t>Epoxy Resin</t>
  </si>
  <si>
    <t>63148-65-2</t>
  </si>
  <si>
    <t>25134-01-4</t>
  </si>
  <si>
    <t>Polyuretane</t>
  </si>
  <si>
    <t>25135-51-7</t>
  </si>
  <si>
    <t>25667-42-9</t>
  </si>
  <si>
    <t>9002-81-7</t>
  </si>
  <si>
    <t>Polyoxymethylene (POM)</t>
  </si>
  <si>
    <t>9003-39-8</t>
  </si>
  <si>
    <t>26007-43-2</t>
  </si>
  <si>
    <t>Cyclic Olefin Copolymer (COC)</t>
  </si>
  <si>
    <t>25322-68-3</t>
  </si>
  <si>
    <t>25322-69-4</t>
  </si>
  <si>
    <t>9002-89-5</t>
  </si>
  <si>
    <t>26100-51-6</t>
  </si>
  <si>
    <t>24937-79-9</t>
  </si>
  <si>
    <t>Finntalc M15 (Mondo Minerals)</t>
  </si>
  <si>
    <t>Talcum</t>
  </si>
  <si>
    <t>Sphere Overlap</t>
  </si>
  <si>
    <t>&gt;= 2 Components Blend Calculator (Use SOLVER)</t>
  </si>
  <si>
    <t>REFERENCE</t>
  </si>
  <si>
    <t>dD (y)2</t>
  </si>
  <si>
    <t>dP (x)3</t>
  </si>
  <si>
    <t>dH (y)4</t>
  </si>
  <si>
    <t>dD (x)5</t>
  </si>
  <si>
    <t>dD (y)22</t>
  </si>
  <si>
    <t>dP (x)33</t>
  </si>
  <si>
    <t>dH (y)44</t>
  </si>
  <si>
    <t>dD (x)55</t>
  </si>
  <si>
    <t>dD (y)222</t>
  </si>
  <si>
    <t>dP (x)333</t>
  </si>
  <si>
    <t>dH (y)444</t>
  </si>
  <si>
    <t>dD (x)555</t>
  </si>
  <si>
    <t>dD (y)2222</t>
  </si>
  <si>
    <t>dP (x)3333</t>
  </si>
  <si>
    <t>dH (y)4444</t>
  </si>
  <si>
    <t>dD (x)5555</t>
  </si>
  <si>
    <t>2-Propanol (isopropanol)</t>
  </si>
  <si>
    <t>Price (Unit)</t>
  </si>
  <si>
    <t>Price</t>
  </si>
  <si>
    <t>Estasol HP Oxygenated Solvents</t>
  </si>
  <si>
    <t>Coasol Coalescig Aids</t>
  </si>
  <si>
    <t>95481-62-2</t>
  </si>
  <si>
    <t>Coasol</t>
  </si>
  <si>
    <t>Solvents tested</t>
  </si>
  <si>
    <t>Ra Good Solv</t>
  </si>
  <si>
    <t>Function</t>
  </si>
  <si>
    <t>Fit</t>
  </si>
  <si>
    <t>Use Excel Solver to Maximise K6</t>
  </si>
  <si>
    <t>Esfera 1</t>
  </si>
  <si>
    <t>Esfera 2</t>
  </si>
  <si>
    <t xml:space="preserve">Solvents used: </t>
  </si>
  <si>
    <t>WI/WO</t>
  </si>
  <si>
    <t>RED 2</t>
  </si>
  <si>
    <t>Error Total</t>
  </si>
  <si>
    <t>Range of values (Max y Min)</t>
  </si>
  <si>
    <t>Substance Coordinates</t>
  </si>
  <si>
    <t>68937-83-7</t>
  </si>
  <si>
    <t>111-82-0, 124-10-7</t>
  </si>
  <si>
    <t>67762-38-3</t>
  </si>
  <si>
    <t>73398-61-5</t>
  </si>
  <si>
    <t>1118-92-9, 14433-76-2</t>
  </si>
  <si>
    <t>HALLCOMID M-10</t>
  </si>
  <si>
    <t>HALLCOMID M-8-10</t>
  </si>
  <si>
    <t>STEPAN 108</t>
  </si>
  <si>
    <t>STEPAN C-65</t>
  </si>
  <si>
    <t>STEPAN C-42</t>
  </si>
  <si>
    <t>STEPAN C-25</t>
  </si>
  <si>
    <t>14433-76-2</t>
  </si>
  <si>
    <t>3007-53-2, 3015-65-4</t>
  </si>
  <si>
    <t>HALLCOMID M-12-14</t>
  </si>
  <si>
    <t>1356965-776</t>
  </si>
  <si>
    <t>HALLCOMID 1025</t>
  </si>
  <si>
    <t>STEPOSOL ROE-W</t>
  </si>
  <si>
    <t>STEPOSOL ME</t>
  </si>
  <si>
    <t>67784-80-9</t>
  </si>
  <si>
    <t>15567-96-1</t>
  </si>
  <si>
    <t>STEPOSOL EA</t>
  </si>
  <si>
    <t>AUX2</t>
  </si>
  <si>
    <t>Good Solv</t>
  </si>
  <si>
    <t>Bad Solv</t>
  </si>
  <si>
    <t>Outliers</t>
  </si>
  <si>
    <t>WI / WO</t>
  </si>
  <si>
    <t>Sphere 1</t>
  </si>
  <si>
    <t>Sphere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</si>
</sst>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#,##0.00\ &quot;€&quot;"/>
    <numFmt numFmtId="166" formatCode="0.000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3" tint="0.3999755851924192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0000"/>
      <name val="Calibri"/>
      <family val="2"/>
    </font>
    <font>
      <sz val="10"/>
      <name val="Verdana"/>
      <family val="2"/>
    </font>
    <font>
      <sz val="10"/>
      <name val="Arial"/>
      <family val="2"/>
    </font>
    <font>
      <sz val="12"/>
      <color rgb="FF00263B"/>
      <name val="Arial"/>
      <family val="2"/>
    </font>
    <font>
      <sz val="11"/>
      <color rgb="FF4D5156"/>
      <name val="Arial"/>
      <family val="2"/>
    </font>
    <font>
      <b/>
      <sz val="11"/>
      <color rgb="FF00B050"/>
      <name val="Calibri"/>
      <family val="2"/>
      <scheme val="minor"/>
    </font>
    <font>
      <sz val="12"/>
      <color rgb="FF666666"/>
      <name val="Verdana"/>
      <family val="2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6F6FE"/>
        <bgColor indexed="64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1" fillId="2" borderId="0" applyNumberFormat="0" applyBorder="0" applyAlignment="0" applyProtection="0"/>
    <xf numFmtId="0" fontId="10" fillId="0" borderId="0"/>
    <xf numFmtId="0" fontId="11" fillId="0" borderId="0"/>
  </cellStyleXfs>
  <cellXfs count="80">
    <xf numFmtId="0" fontId="0" fillId="0" borderId="0" xfId="0"/>
    <xf numFmtId="0" fontId="4" fillId="0" borderId="0" xfId="2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5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0" xfId="0" applyFont="1"/>
    <xf numFmtId="0" fontId="1" fillId="2" borderId="0" xfId="3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0" fillId="5" borderId="0" xfId="0" applyFill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2" fontId="1" fillId="0" borderId="0" xfId="3" applyNumberFormat="1" applyFill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2" fillId="6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13" fillId="0" borderId="0" xfId="0" applyFont="1"/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9" fontId="3" fillId="0" borderId="0" xfId="1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2" fontId="0" fillId="0" borderId="0" xfId="1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0" fontId="0" fillId="0" borderId="0" xfId="1" applyNumberFormat="1" applyFont="1" applyAlignment="1">
      <alignment horizontal="center" vertical="center"/>
    </xf>
    <xf numFmtId="9" fontId="0" fillId="5" borderId="0" xfId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5" fillId="0" borderId="0" xfId="0" applyFont="1" applyAlignment="1">
      <alignment horizontal="left" vertical="center"/>
    </xf>
    <xf numFmtId="10" fontId="14" fillId="0" borderId="0" xfId="1" applyNumberFormat="1" applyFont="1" applyFill="1" applyAlignment="1">
      <alignment horizontal="center" vertical="center"/>
    </xf>
    <xf numFmtId="10" fontId="14" fillId="0" borderId="0" xfId="1" applyNumberFormat="1" applyFont="1" applyAlignment="1">
      <alignment horizontal="center" vertical="center"/>
    </xf>
    <xf numFmtId="2" fontId="0" fillId="0" borderId="0" xfId="0" applyNumberFormat="1" applyAlignment="1">
      <alignment horizontal="left" vertical="center"/>
    </xf>
    <xf numFmtId="165" fontId="3" fillId="0" borderId="0" xfId="1" applyNumberFormat="1" applyFont="1" applyAlignment="1">
      <alignment horizontal="center" vertical="center"/>
    </xf>
    <xf numFmtId="165" fontId="0" fillId="0" borderId="0" xfId="1" applyNumberFormat="1" applyFont="1" applyAlignment="1">
      <alignment horizontal="center" vertical="center"/>
    </xf>
    <xf numFmtId="0" fontId="1" fillId="2" borderId="0" xfId="3" applyNumberFormat="1" applyAlignment="1">
      <alignment horizontal="center" vertical="center"/>
    </xf>
    <xf numFmtId="2" fontId="0" fillId="7" borderId="0" xfId="0" applyNumberFormat="1" applyFill="1" applyAlignment="1">
      <alignment horizontal="center" vertical="center"/>
    </xf>
    <xf numFmtId="0" fontId="15" fillId="0" borderId="0" xfId="0" applyFont="1"/>
    <xf numFmtId="2" fontId="0" fillId="5" borderId="0" xfId="0" applyNumberFormat="1" applyFill="1" applyAlignment="1">
      <alignment horizontal="center" vertical="center"/>
    </xf>
    <xf numFmtId="0" fontId="0" fillId="0" borderId="0" xfId="0" applyAlignment="1">
      <alignment horizontal="left" vertical="top"/>
    </xf>
    <xf numFmtId="0" fontId="16" fillId="0" borderId="0" xfId="0" applyFont="1" applyAlignment="1">
      <alignment horizontal="center" vertical="center"/>
    </xf>
    <xf numFmtId="0" fontId="0" fillId="0" borderId="3" xfId="0" applyBorder="1" applyAlignment="1">
      <alignment vertical="center"/>
    </xf>
    <xf numFmtId="166" fontId="3" fillId="4" borderId="0" xfId="0" applyNumberFormat="1" applyFont="1" applyFill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0" fontId="2" fillId="0" borderId="7" xfId="0" applyFont="1" applyBorder="1" applyAlignment="1">
      <alignment horizontal="left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0" fillId="0" borderId="11" xfId="0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64" fontId="3" fillId="0" borderId="3" xfId="0" applyNumberFormat="1" applyFont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2" borderId="0" xfId="3" applyNumberFormat="1" applyFont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1" fillId="0" borderId="0" xfId="3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</cellXfs>
  <cellStyles count="6">
    <cellStyle name="40% - Accent1" xfId="3" builtinId="31"/>
    <cellStyle name="Hyperlink" xfId="2" builtinId="8"/>
    <cellStyle name="Normal" xfId="0" builtinId="0"/>
    <cellStyle name="Normal 2" xfId="4" xr:uid="{00000000-0005-0000-0000-000003000000}"/>
    <cellStyle name="Normal 3" xfId="5" xr:uid="{00000000-0005-0000-0000-000004000000}"/>
    <cellStyle name="Percent" xfId="1" builtinId="5"/>
  </cellStyles>
  <dxfs count="137"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  <strike val="0"/>
        <color rgb="FF00B050"/>
      </font>
    </dxf>
    <dxf>
      <numFmt numFmtId="2" formatCode="0.00"/>
      <alignment horizontal="center" vertical="center" textRotation="0" wrapText="0" indent="0" justifyLastLine="0" shrinkToFit="0" readingOrder="0"/>
    </dxf>
    <dxf>
      <numFmt numFmtId="165" formatCode="#,##0.00\ &quot;€&quot;"/>
      <alignment horizontal="center" vertical="center" textRotation="0" wrapText="0" indent="0" justifyLastLine="0" shrinkToFit="0" readingOrder="0"/>
    </dxf>
    <dxf>
      <numFmt numFmtId="14" formatCode="0.00%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thin">
          <color indexed="64"/>
        </top>
      </border>
    </dxf>
    <dxf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rgb="FF00B050"/>
        <name val="Calibri"/>
        <scheme val="minor"/>
      </font>
      <numFmt numFmtId="14" formatCode="0.00%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" formatCode="0.0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0.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" formatCode="0.00"/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263B"/>
        <name val="Arial"/>
        <scheme val="none"/>
      </font>
      <fill>
        <patternFill patternType="solid">
          <fgColor indexed="64"/>
          <bgColor rgb="FFF6F6FE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rgb="FFCEDEFF"/>
        </left>
        <right style="medium">
          <color rgb="FFCEDEFF"/>
        </right>
        <top style="medium">
          <color rgb="FFCEDEFF"/>
        </top>
        <bottom style="medium">
          <color rgb="FFCEDEF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263B"/>
        <name val="Arial"/>
        <scheme val="none"/>
      </font>
      <numFmt numFmtId="0" formatCode="General"/>
      <fill>
        <patternFill patternType="solid">
          <fgColor indexed="64"/>
          <bgColor rgb="FFF6F6FE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rgb="FFCEDEFF"/>
        </left>
        <right style="medium">
          <color rgb="FFCEDEFF"/>
        </right>
        <top style="medium">
          <color rgb="FFCEDEFF"/>
        </top>
        <bottom style="medium">
          <color rgb="FFCEDEF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263B"/>
        <name val="Arial"/>
        <scheme val="none"/>
      </font>
      <numFmt numFmtId="0" formatCode="General"/>
      <fill>
        <patternFill patternType="solid">
          <fgColor indexed="64"/>
          <bgColor rgb="FFF6F6FE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rgb="FFCEDEFF"/>
        </left>
        <right style="medium">
          <color rgb="FFCEDEFF"/>
        </right>
        <top style="medium">
          <color rgb="FFCEDEFF"/>
        </top>
        <bottom style="medium">
          <color rgb="FFCEDEF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263B"/>
        <name val="Arial"/>
        <scheme val="none"/>
      </font>
      <fill>
        <patternFill patternType="solid">
          <fgColor indexed="64"/>
          <bgColor rgb="FFF6F6FE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rgb="FFCEDEFF"/>
        </left>
        <right style="medium">
          <color rgb="FFCEDEFF"/>
        </right>
        <top style="medium">
          <color rgb="FFCEDEFF"/>
        </top>
        <bottom style="medium">
          <color rgb="FFCEDEF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263B"/>
        <name val="Arial"/>
        <scheme val="none"/>
      </font>
      <fill>
        <patternFill patternType="solid">
          <fgColor indexed="64"/>
          <bgColor rgb="FFF6F6FE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rgb="FFCEDEFF"/>
        </left>
        <right style="medium">
          <color rgb="FFCEDEFF"/>
        </right>
        <top style="medium">
          <color rgb="FFCEDEFF"/>
        </top>
        <bottom style="medium">
          <color rgb="FFCEDEF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263B"/>
        <name val="Arial"/>
        <scheme val="none"/>
      </font>
      <fill>
        <patternFill patternType="solid">
          <fgColor indexed="64"/>
          <bgColor rgb="FFF6F6FE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rgb="FFCEDEFF"/>
        </left>
        <right style="medium">
          <color rgb="FFCEDEFF"/>
        </right>
        <top style="medium">
          <color rgb="FFCEDEFF"/>
        </top>
        <bottom style="medium">
          <color rgb="FFCEDEF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263B"/>
        <name val="Arial"/>
        <scheme val="none"/>
      </font>
      <fill>
        <patternFill patternType="solid">
          <fgColor indexed="64"/>
          <bgColor rgb="FFF6F6FE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rgb="FFCEDEFF"/>
        </left>
        <right style="medium">
          <color rgb="FFCEDEFF"/>
        </right>
        <top style="medium">
          <color rgb="FFCEDEFF"/>
        </top>
        <bottom style="medium">
          <color rgb="FFCEDEF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263B"/>
        <name val="Arial"/>
        <scheme val="none"/>
      </font>
      <fill>
        <patternFill patternType="solid">
          <fgColor indexed="64"/>
          <bgColor rgb="FFF6F6FE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rgb="FFCEDEFF"/>
        </left>
        <right style="medium">
          <color rgb="FFCEDEFF"/>
        </right>
        <top style="medium">
          <color rgb="FFCEDEFF"/>
        </top>
        <bottom style="medium">
          <color rgb="FFCEDEFF"/>
        </bottom>
      </border>
    </dxf>
    <dxf>
      <border outline="0">
        <bottom style="medium">
          <color rgb="FFCEDEF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263B"/>
        <name val="Arial"/>
        <scheme val="none"/>
      </font>
      <fill>
        <patternFill patternType="solid">
          <fgColor indexed="64"/>
          <bgColor rgb="FFF6F6FE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DAA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9428477690288726E-2"/>
          <c:y val="5.0925925925925923E-2"/>
          <c:w val="0.88423818897637796"/>
          <c:h val="0.85834610816600498"/>
        </c:manualLayout>
      </c:layout>
      <c:scatterChart>
        <c:scatterStyle val="lineMarker"/>
        <c:varyColors val="0"/>
        <c:ser>
          <c:idx val="1"/>
          <c:order val="0"/>
          <c:tx>
            <c:v>Reference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5000"/>
                </a:schemeClr>
              </a:solidFill>
              <a:ln w="0">
                <a:solidFill>
                  <a:schemeClr val="accent6">
                    <a:lumMod val="75000"/>
                  </a:schemeClr>
                </a:solidFill>
              </a:ln>
              <a:effectLst/>
            </c:spPr>
          </c:marker>
          <c:xVal>
            <c:numRef>
              <c:f>'HSP 1 Sphere'!$D$3</c:f>
              <c:numCache>
                <c:formatCode>0.00</c:formatCode>
                <c:ptCount val="1"/>
                <c:pt idx="0">
                  <c:v>9.7595643039943738</c:v>
                </c:pt>
              </c:numCache>
            </c:numRef>
          </c:xVal>
          <c:yVal>
            <c:numRef>
              <c:f>'HSP 1 Sphere'!$E$3</c:f>
              <c:numCache>
                <c:formatCode>0.00</c:formatCode>
                <c:ptCount val="1"/>
                <c:pt idx="0">
                  <c:v>8.0681076208676448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21A0-4278-9F5B-21F8A5C96A48}"/>
            </c:ext>
          </c:extLst>
        </c:ser>
        <c:ser>
          <c:idx val="2"/>
          <c:order val="1"/>
          <c:tx>
            <c:v>Sphere</c:v>
          </c:tx>
          <c:spPr>
            <a:ln w="15875" cap="rnd">
              <a:solidFill>
                <a:schemeClr val="accent6">
                  <a:lumMod val="75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'HSP 1 Sphere'!$AW$3:$AW$75</c:f>
              <c:numCache>
                <c:formatCode>General</c:formatCode>
                <c:ptCount val="73"/>
                <c:pt idx="0">
                  <c:v>16.828185213323131</c:v>
                </c:pt>
                <c:pt idx="1">
                  <c:v>16.801286976688132</c:v>
                </c:pt>
                <c:pt idx="2">
                  <c:v>16.720796978605534</c:v>
                </c:pt>
                <c:pt idx="3">
                  <c:v>16.587327796561937</c:v>
                </c:pt>
                <c:pt idx="4">
                  <c:v>16.401895211623582</c:v>
                </c:pt>
                <c:pt idx="5">
                  <c:v>16.16591047772911</c:v>
                </c:pt>
                <c:pt idx="6">
                  <c:v>15.881169581194936</c:v>
                </c:pt>
                <c:pt idx="7">
                  <c:v>15.549839572174935</c:v>
                </c:pt>
                <c:pt idx="8">
                  <c:v>15.174442072100284</c:v>
                </c:pt>
                <c:pt idx="9">
                  <c:v>14.757834082617757</c:v>
                </c:pt>
                <c:pt idx="10">
                  <c:v>14.303186242082097</c:v>
                </c:pt>
                <c:pt idx="11">
                  <c:v>13.813958695083652</c:v>
                </c:pt>
                <c:pt idx="12">
                  <c:v>13.293874758658752</c:v>
                </c:pt>
                <c:pt idx="13">
                  <c:v>12.746892585598854</c:v>
                </c:pt>
                <c:pt idx="14">
                  <c:v>12.177175040517813</c:v>
                </c:pt>
                <c:pt idx="15">
                  <c:v>11.589058017938553</c:v>
                </c:pt>
                <c:pt idx="16">
                  <c:v>10.987017443517672</c:v>
                </c:pt>
                <c:pt idx="17">
                  <c:v>10.375635209548548</c:v>
                </c:pt>
                <c:pt idx="18">
                  <c:v>9.7595643039943738</c:v>
                </c:pt>
                <c:pt idx="19">
                  <c:v>9.1434933984401994</c:v>
                </c:pt>
                <c:pt idx="20">
                  <c:v>8.5321111644710754</c:v>
                </c:pt>
                <c:pt idx="21">
                  <c:v>7.9300705900501924</c:v>
                </c:pt>
                <c:pt idx="22">
                  <c:v>7.3419535674709344</c:v>
                </c:pt>
                <c:pt idx="23">
                  <c:v>6.7722360223898939</c:v>
                </c:pt>
                <c:pt idx="24">
                  <c:v>6.2252538493299978</c:v>
                </c:pt>
                <c:pt idx="25">
                  <c:v>5.7051699129050952</c:v>
                </c:pt>
                <c:pt idx="26">
                  <c:v>5.2159423659066508</c:v>
                </c:pt>
                <c:pt idx="27">
                  <c:v>4.7612945253709915</c:v>
                </c:pt>
                <c:pt idx="28">
                  <c:v>4.3446865358884637</c:v>
                </c:pt>
                <c:pt idx="29">
                  <c:v>3.9692890358138104</c:v>
                </c:pt>
                <c:pt idx="30">
                  <c:v>3.637959026793812</c:v>
                </c:pt>
                <c:pt idx="31">
                  <c:v>3.3532181302596369</c:v>
                </c:pt>
                <c:pt idx="32">
                  <c:v>3.1172333963651653</c:v>
                </c:pt>
                <c:pt idx="33">
                  <c:v>2.931800811426811</c:v>
                </c:pt>
                <c:pt idx="34">
                  <c:v>2.7983316293832114</c:v>
                </c:pt>
                <c:pt idx="35">
                  <c:v>2.7178416313006144</c:v>
                </c:pt>
                <c:pt idx="36">
                  <c:v>2.6909433946656183</c:v>
                </c:pt>
                <c:pt idx="37">
                  <c:v>2.7178416313006144</c:v>
                </c:pt>
                <c:pt idx="38">
                  <c:v>2.7983316293832114</c:v>
                </c:pt>
                <c:pt idx="39">
                  <c:v>2.9318008114268101</c:v>
                </c:pt>
                <c:pt idx="40">
                  <c:v>3.1172333963651644</c:v>
                </c:pt>
                <c:pt idx="41">
                  <c:v>3.353218130259636</c:v>
                </c:pt>
                <c:pt idx="42">
                  <c:v>3.6379590267938129</c:v>
                </c:pt>
                <c:pt idx="43">
                  <c:v>3.9692890358138113</c:v>
                </c:pt>
                <c:pt idx="44">
                  <c:v>4.3446865358884637</c:v>
                </c:pt>
                <c:pt idx="45">
                  <c:v>4.7612945253709897</c:v>
                </c:pt>
                <c:pt idx="46">
                  <c:v>5.2159423659066499</c:v>
                </c:pt>
                <c:pt idx="47">
                  <c:v>5.7051699129050935</c:v>
                </c:pt>
                <c:pt idx="48">
                  <c:v>6.2252538493299934</c:v>
                </c:pt>
                <c:pt idx="49">
                  <c:v>6.7722360223898947</c:v>
                </c:pt>
                <c:pt idx="50">
                  <c:v>7.3419535674709353</c:v>
                </c:pt>
                <c:pt idx="51">
                  <c:v>7.9300705900501942</c:v>
                </c:pt>
                <c:pt idx="52">
                  <c:v>8.5321111644710754</c:v>
                </c:pt>
                <c:pt idx="53">
                  <c:v>9.1434933984401994</c:v>
                </c:pt>
                <c:pt idx="54">
                  <c:v>9.759564303994372</c:v>
                </c:pt>
                <c:pt idx="55">
                  <c:v>10.375635209548546</c:v>
                </c:pt>
                <c:pt idx="56">
                  <c:v>10.98701744351767</c:v>
                </c:pt>
                <c:pt idx="57">
                  <c:v>11.589058017938552</c:v>
                </c:pt>
                <c:pt idx="58">
                  <c:v>12.177175040517815</c:v>
                </c:pt>
                <c:pt idx="59">
                  <c:v>12.746892585598856</c:v>
                </c:pt>
                <c:pt idx="60">
                  <c:v>13.293874758658752</c:v>
                </c:pt>
                <c:pt idx="61">
                  <c:v>13.813958695083652</c:v>
                </c:pt>
                <c:pt idx="62">
                  <c:v>14.303186242082095</c:v>
                </c:pt>
                <c:pt idx="63">
                  <c:v>14.757834082617755</c:v>
                </c:pt>
                <c:pt idx="64">
                  <c:v>15.174442072100284</c:v>
                </c:pt>
                <c:pt idx="65">
                  <c:v>15.549839572174935</c:v>
                </c:pt>
                <c:pt idx="66">
                  <c:v>15.881169581194932</c:v>
                </c:pt>
                <c:pt idx="67">
                  <c:v>16.165910477729113</c:v>
                </c:pt>
                <c:pt idx="68">
                  <c:v>16.401895211623582</c:v>
                </c:pt>
                <c:pt idx="69">
                  <c:v>16.587327796561937</c:v>
                </c:pt>
                <c:pt idx="70">
                  <c:v>16.720796978605534</c:v>
                </c:pt>
                <c:pt idx="71">
                  <c:v>16.801286976688132</c:v>
                </c:pt>
                <c:pt idx="72">
                  <c:v>16.828185213323131</c:v>
                </c:pt>
              </c:numCache>
            </c:numRef>
          </c:xVal>
          <c:yVal>
            <c:numRef>
              <c:f>'HSP 1 Sphere'!$AX$3:$AX$75</c:f>
              <c:numCache>
                <c:formatCode>General</c:formatCode>
                <c:ptCount val="73"/>
                <c:pt idx="0">
                  <c:v>8.0681076208676448</c:v>
                </c:pt>
                <c:pt idx="1">
                  <c:v>8.6841785264218192</c:v>
                </c:pt>
                <c:pt idx="2">
                  <c:v>9.2955607603909431</c:v>
                </c:pt>
                <c:pt idx="3">
                  <c:v>9.8976013348118244</c:v>
                </c:pt>
                <c:pt idx="4">
                  <c:v>10.485718357391084</c:v>
                </c:pt>
                <c:pt idx="5">
                  <c:v>11.055435902472126</c:v>
                </c:pt>
                <c:pt idx="6">
                  <c:v>11.602418075532022</c:v>
                </c:pt>
                <c:pt idx="7">
                  <c:v>12.122502011956923</c:v>
                </c:pt>
                <c:pt idx="8">
                  <c:v>12.611729558955368</c:v>
                </c:pt>
                <c:pt idx="9">
                  <c:v>13.066377399491028</c:v>
                </c:pt>
                <c:pt idx="10">
                  <c:v>13.482985388973555</c:v>
                </c:pt>
                <c:pt idx="11">
                  <c:v>13.858382889048208</c:v>
                </c:pt>
                <c:pt idx="12">
                  <c:v>14.189712898068205</c:v>
                </c:pt>
                <c:pt idx="13">
                  <c:v>14.474453794602383</c:v>
                </c:pt>
                <c:pt idx="14">
                  <c:v>14.710438528496853</c:v>
                </c:pt>
                <c:pt idx="15">
                  <c:v>14.895871113435209</c:v>
                </c:pt>
                <c:pt idx="16">
                  <c:v>15.029340295478807</c:v>
                </c:pt>
                <c:pt idx="17">
                  <c:v>15.109830293561405</c:v>
                </c:pt>
                <c:pt idx="18">
                  <c:v>15.1367285301964</c:v>
                </c:pt>
                <c:pt idx="19">
                  <c:v>15.109830293561405</c:v>
                </c:pt>
                <c:pt idx="20">
                  <c:v>15.029340295478807</c:v>
                </c:pt>
                <c:pt idx="21">
                  <c:v>14.895871113435209</c:v>
                </c:pt>
                <c:pt idx="22">
                  <c:v>14.710438528496855</c:v>
                </c:pt>
                <c:pt idx="23">
                  <c:v>14.474453794602383</c:v>
                </c:pt>
                <c:pt idx="24">
                  <c:v>14.189712898068207</c:v>
                </c:pt>
                <c:pt idx="25">
                  <c:v>13.858382889048206</c:v>
                </c:pt>
                <c:pt idx="26">
                  <c:v>13.482985388973555</c:v>
                </c:pt>
                <c:pt idx="27">
                  <c:v>13.066377399491028</c:v>
                </c:pt>
                <c:pt idx="28">
                  <c:v>12.611729558955368</c:v>
                </c:pt>
                <c:pt idx="29">
                  <c:v>12.122502011956922</c:v>
                </c:pt>
                <c:pt idx="30">
                  <c:v>11.602418075532022</c:v>
                </c:pt>
                <c:pt idx="31">
                  <c:v>11.055435902472126</c:v>
                </c:pt>
                <c:pt idx="32">
                  <c:v>10.485718357391086</c:v>
                </c:pt>
                <c:pt idx="33">
                  <c:v>9.8976013348118279</c:v>
                </c:pt>
                <c:pt idx="34">
                  <c:v>9.2955607603909431</c:v>
                </c:pt>
                <c:pt idx="35">
                  <c:v>8.6841785264218192</c:v>
                </c:pt>
                <c:pt idx="36">
                  <c:v>8.0681076208676448</c:v>
                </c:pt>
                <c:pt idx="37">
                  <c:v>7.4520367153134721</c:v>
                </c:pt>
                <c:pt idx="38">
                  <c:v>6.8406544813443455</c:v>
                </c:pt>
                <c:pt idx="39">
                  <c:v>6.2386139069234643</c:v>
                </c:pt>
                <c:pt idx="40">
                  <c:v>5.6504968843442054</c:v>
                </c:pt>
                <c:pt idx="41">
                  <c:v>5.0807793392631648</c:v>
                </c:pt>
                <c:pt idx="42">
                  <c:v>4.5337971662032661</c:v>
                </c:pt>
                <c:pt idx="43">
                  <c:v>4.0137132297783662</c:v>
                </c:pt>
                <c:pt idx="44">
                  <c:v>3.5244856827799227</c:v>
                </c:pt>
                <c:pt idx="45">
                  <c:v>3.0698378422442625</c:v>
                </c:pt>
                <c:pt idx="46">
                  <c:v>2.6532298527617346</c:v>
                </c:pt>
                <c:pt idx="47">
                  <c:v>2.2778323526870841</c:v>
                </c:pt>
                <c:pt idx="48">
                  <c:v>1.9465023436670856</c:v>
                </c:pt>
                <c:pt idx="49">
                  <c:v>1.661761447132907</c:v>
                </c:pt>
                <c:pt idx="50">
                  <c:v>1.4257767132384354</c:v>
                </c:pt>
                <c:pt idx="51">
                  <c:v>1.2403441283000811</c:v>
                </c:pt>
                <c:pt idx="52">
                  <c:v>1.1068749462564824</c:v>
                </c:pt>
                <c:pt idx="53">
                  <c:v>1.0263849481738854</c:v>
                </c:pt>
                <c:pt idx="54">
                  <c:v>0.99948671153888924</c:v>
                </c:pt>
                <c:pt idx="55">
                  <c:v>1.0263849481738854</c:v>
                </c:pt>
                <c:pt idx="56">
                  <c:v>1.1068749462564815</c:v>
                </c:pt>
                <c:pt idx="57">
                  <c:v>1.2403441283000802</c:v>
                </c:pt>
                <c:pt idx="58">
                  <c:v>1.4257767132384362</c:v>
                </c:pt>
                <c:pt idx="59">
                  <c:v>1.6617614471329079</c:v>
                </c:pt>
                <c:pt idx="60">
                  <c:v>1.9465023436670839</c:v>
                </c:pt>
                <c:pt idx="61">
                  <c:v>2.2778323526870823</c:v>
                </c:pt>
                <c:pt idx="62">
                  <c:v>2.6532298527617337</c:v>
                </c:pt>
                <c:pt idx="63">
                  <c:v>3.0698378422442607</c:v>
                </c:pt>
                <c:pt idx="64">
                  <c:v>3.52448568277992</c:v>
                </c:pt>
                <c:pt idx="65">
                  <c:v>4.0137132297783635</c:v>
                </c:pt>
                <c:pt idx="66">
                  <c:v>4.5337971662032643</c:v>
                </c:pt>
                <c:pt idx="67">
                  <c:v>5.0807793392631648</c:v>
                </c:pt>
                <c:pt idx="68">
                  <c:v>5.6504968843442054</c:v>
                </c:pt>
                <c:pt idx="69">
                  <c:v>6.2386139069234652</c:v>
                </c:pt>
                <c:pt idx="70">
                  <c:v>6.8406544813443464</c:v>
                </c:pt>
                <c:pt idx="71">
                  <c:v>7.4520367153134695</c:v>
                </c:pt>
                <c:pt idx="72">
                  <c:v>8.068107620867643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21A0-4278-9F5B-21F8A5C96A48}"/>
            </c:ext>
          </c:extLst>
        </c:ser>
        <c:ser>
          <c:idx val="0"/>
          <c:order val="2"/>
          <c:tx>
            <c:v>Good Solv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'HSP 1 Sphere'!$BH$3:$BH$97</c:f>
              <c:numCache>
                <c:formatCode>General</c:formatCode>
                <c:ptCount val="95"/>
                <c:pt idx="0">
                  <c:v>10.4</c:v>
                </c:pt>
                <c:pt idx="1">
                  <c:v>3.1</c:v>
                </c:pt>
                <c:pt idx="2">
                  <c:v>6.5</c:v>
                </c:pt>
                <c:pt idx="3">
                  <c:v>16.399999999999999</c:v>
                </c:pt>
                <c:pt idx="4">
                  <c:v>6.6</c:v>
                </c:pt>
                <c:pt idx="5">
                  <c:v>5.3</c:v>
                </c:pt>
                <c:pt idx="6">
                  <c:v>9</c:v>
                </c:pt>
                <c:pt idx="7">
                  <c:v>12.3</c:v>
                </c:pt>
                <c:pt idx="8">
                  <c:v>7.3</c:v>
                </c:pt>
                <c:pt idx="9">
                  <c:v>13.7</c:v>
                </c:pt>
                <c:pt idx="10">
                  <c:v>5.7</c:v>
                </c:pt>
              </c:numCache>
            </c:numRef>
          </c:xVal>
          <c:yVal>
            <c:numRef>
              <c:f>'HSP 1 Sphere'!$BI$3:$BI$97</c:f>
              <c:numCache>
                <c:formatCode>General</c:formatCode>
                <c:ptCount val="95"/>
                <c:pt idx="0">
                  <c:v>7</c:v>
                </c:pt>
                <c:pt idx="1">
                  <c:v>5.7</c:v>
                </c:pt>
                <c:pt idx="2">
                  <c:v>13.7</c:v>
                </c:pt>
                <c:pt idx="3">
                  <c:v>10.199999999999999</c:v>
                </c:pt>
                <c:pt idx="4">
                  <c:v>9.3000000000000007</c:v>
                </c:pt>
                <c:pt idx="5">
                  <c:v>7.2</c:v>
                </c:pt>
                <c:pt idx="6">
                  <c:v>5.0999999999999996</c:v>
                </c:pt>
                <c:pt idx="7">
                  <c:v>7.2</c:v>
                </c:pt>
                <c:pt idx="8">
                  <c:v>7.1</c:v>
                </c:pt>
                <c:pt idx="9">
                  <c:v>11.3</c:v>
                </c:pt>
                <c:pt idx="10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811-4353-A308-6DB7A0810749}"/>
            </c:ext>
          </c:extLst>
        </c:ser>
        <c:ser>
          <c:idx val="4"/>
          <c:order val="3"/>
          <c:tx>
            <c:v>Bad Solv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'HSP 1 Sphere'!$BM$3:$BM$97</c:f>
              <c:numCache>
                <c:formatCode>General</c:formatCode>
                <c:ptCount val="95"/>
                <c:pt idx="0">
                  <c:v>18</c:v>
                </c:pt>
                <c:pt idx="1">
                  <c:v>0</c:v>
                </c:pt>
                <c:pt idx="2">
                  <c:v>0</c:v>
                </c:pt>
                <c:pt idx="3">
                  <c:v>2.9</c:v>
                </c:pt>
                <c:pt idx="4">
                  <c:v>1.8</c:v>
                </c:pt>
                <c:pt idx="5">
                  <c:v>8.8000000000000007</c:v>
                </c:pt>
                <c:pt idx="6">
                  <c:v>0</c:v>
                </c:pt>
                <c:pt idx="7">
                  <c:v>3.2</c:v>
                </c:pt>
                <c:pt idx="8">
                  <c:v>12.3</c:v>
                </c:pt>
                <c:pt idx="9">
                  <c:v>1.4</c:v>
                </c:pt>
                <c:pt idx="10">
                  <c:v>1</c:v>
                </c:pt>
              </c:numCache>
            </c:numRef>
          </c:xVal>
          <c:yVal>
            <c:numRef>
              <c:f>'HSP 1 Sphere'!$BN$3:$BN$97</c:f>
              <c:numCache>
                <c:formatCode>General</c:formatCode>
                <c:ptCount val="95"/>
                <c:pt idx="0">
                  <c:v>6.1</c:v>
                </c:pt>
                <c:pt idx="1">
                  <c:v>2</c:v>
                </c:pt>
                <c:pt idx="2">
                  <c:v>0.2</c:v>
                </c:pt>
                <c:pt idx="3">
                  <c:v>4.5999999999999996</c:v>
                </c:pt>
                <c:pt idx="4">
                  <c:v>9</c:v>
                </c:pt>
                <c:pt idx="5">
                  <c:v>19.399999999999999</c:v>
                </c:pt>
                <c:pt idx="6">
                  <c:v>0</c:v>
                </c:pt>
                <c:pt idx="7">
                  <c:v>3.2</c:v>
                </c:pt>
                <c:pt idx="8">
                  <c:v>22.3</c:v>
                </c:pt>
                <c:pt idx="9">
                  <c:v>2</c:v>
                </c:pt>
                <c:pt idx="10">
                  <c:v>3.1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811-4353-A308-6DB7A0810749}"/>
            </c:ext>
          </c:extLst>
        </c:ser>
        <c:ser>
          <c:idx val="3"/>
          <c:order val="4"/>
          <c:tx>
            <c:v>Outlier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C000"/>
              </a:solidFill>
              <a:ln w="9525">
                <a:solidFill>
                  <a:srgbClr val="FFC000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2811-4353-A308-6DB7A081074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AB93-4010-A4D7-EC2C5D5AB85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AB93-4010-A4D7-EC2C5D5AB85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AB93-4010-A4D7-EC2C5D5AB859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AB93-4010-A4D7-EC2C5D5AB859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AB93-4010-A4D7-EC2C5D5AB859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AB93-4010-A4D7-EC2C5D5AB859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AB93-4010-A4D7-EC2C5D5AB859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AB93-4010-A4D7-EC2C5D5AB859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AB93-4010-A4D7-EC2C5D5AB859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AB93-4010-A4D7-EC2C5D5AB859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A-AB93-4010-A4D7-EC2C5D5AB859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AB93-4010-A4D7-EC2C5D5AB859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C-AB93-4010-A4D7-EC2C5D5AB859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D-AB93-4010-A4D7-EC2C5D5AB859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E-AB93-4010-A4D7-EC2C5D5AB859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F-AB93-4010-A4D7-EC2C5D5AB859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0-AB93-4010-A4D7-EC2C5D5AB859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1-AB93-4010-A4D7-EC2C5D5AB859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2-AB93-4010-A4D7-EC2C5D5AB859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3-AB93-4010-A4D7-EC2C5D5AB859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4-AB93-4010-A4D7-EC2C5D5AB859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5-AB93-4010-A4D7-EC2C5D5AB859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6-AB93-4010-A4D7-EC2C5D5AB859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7-AB93-4010-A4D7-EC2C5D5AB859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8-AB93-4010-A4D7-EC2C5D5AB859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9-AB93-4010-A4D7-EC2C5D5AB859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A-AB93-4010-A4D7-EC2C5D5AB859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B-AB93-4010-A4D7-EC2C5D5AB859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C-AB93-4010-A4D7-EC2C5D5AB859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D-AB93-4010-A4D7-EC2C5D5AB859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E-AB93-4010-A4D7-EC2C5D5AB859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F-AB93-4010-A4D7-EC2C5D5AB859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0-AB93-4010-A4D7-EC2C5D5AB859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1-AB93-4010-A4D7-EC2C5D5AB859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2-AB93-4010-A4D7-EC2C5D5AB859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3-AB93-4010-A4D7-EC2C5D5AB859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4-AB93-4010-A4D7-EC2C5D5AB859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5-AB93-4010-A4D7-EC2C5D5AB859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6-AB93-4010-A4D7-EC2C5D5AB859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7-AB93-4010-A4D7-EC2C5D5AB859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8-AB93-4010-A4D7-EC2C5D5AB859}"/>
                </c:ext>
              </c:extLst>
            </c:dLbl>
            <c:dLbl>
              <c:idx val="42"/>
              <c:tx>
                <c:rich>
                  <a:bodyPr/>
                  <a:lstStyle/>
                  <a:p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9-AB93-4010-A4D7-EC2C5D5AB859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A-AB93-4010-A4D7-EC2C5D5AB859}"/>
                </c:ext>
              </c:extLst>
            </c:dLbl>
            <c:dLbl>
              <c:idx val="44"/>
              <c:tx>
                <c:rich>
                  <a:bodyPr/>
                  <a:lstStyle/>
                  <a:p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B-AB93-4010-A4D7-EC2C5D5AB859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C-AB93-4010-A4D7-EC2C5D5AB859}"/>
                </c:ext>
              </c:extLst>
            </c:dLbl>
            <c:dLbl>
              <c:idx val="46"/>
              <c:tx>
                <c:rich>
                  <a:bodyPr/>
                  <a:lstStyle/>
                  <a:p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D-AB93-4010-A4D7-EC2C5D5AB859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E-AB93-4010-A4D7-EC2C5D5AB859}"/>
                </c:ext>
              </c:extLst>
            </c:dLbl>
            <c:dLbl>
              <c:idx val="48"/>
              <c:tx>
                <c:rich>
                  <a:bodyPr/>
                  <a:lstStyle/>
                  <a:p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F-AB93-4010-A4D7-EC2C5D5AB859}"/>
                </c:ext>
              </c:extLst>
            </c:dLbl>
            <c:dLbl>
              <c:idx val="49"/>
              <c:tx>
                <c:rich>
                  <a:bodyPr/>
                  <a:lstStyle/>
                  <a:p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0-AB93-4010-A4D7-EC2C5D5AB859}"/>
                </c:ext>
              </c:extLst>
            </c:dLbl>
            <c:dLbl>
              <c:idx val="50"/>
              <c:tx>
                <c:rich>
                  <a:bodyPr/>
                  <a:lstStyle/>
                  <a:p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1-AB93-4010-A4D7-EC2C5D5AB859}"/>
                </c:ext>
              </c:extLst>
            </c:dLbl>
            <c:dLbl>
              <c:idx val="51"/>
              <c:tx>
                <c:rich>
                  <a:bodyPr/>
                  <a:lstStyle/>
                  <a:p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2-AB93-4010-A4D7-EC2C5D5AB859}"/>
                </c:ext>
              </c:extLst>
            </c:dLbl>
            <c:dLbl>
              <c:idx val="52"/>
              <c:tx>
                <c:rich>
                  <a:bodyPr/>
                  <a:lstStyle/>
                  <a:p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3-AB93-4010-A4D7-EC2C5D5AB859}"/>
                </c:ext>
              </c:extLst>
            </c:dLbl>
            <c:dLbl>
              <c:idx val="53"/>
              <c:tx>
                <c:rich>
                  <a:bodyPr/>
                  <a:lstStyle/>
                  <a:p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4-AB93-4010-A4D7-EC2C5D5AB859}"/>
                </c:ext>
              </c:extLst>
            </c:dLbl>
            <c:dLbl>
              <c:idx val="54"/>
              <c:tx>
                <c:rich>
                  <a:bodyPr/>
                  <a:lstStyle/>
                  <a:p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5-AB93-4010-A4D7-EC2C5D5AB859}"/>
                </c:ext>
              </c:extLst>
            </c:dLbl>
            <c:dLbl>
              <c:idx val="55"/>
              <c:tx>
                <c:rich>
                  <a:bodyPr/>
                  <a:lstStyle/>
                  <a:p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6-AB93-4010-A4D7-EC2C5D5AB859}"/>
                </c:ext>
              </c:extLst>
            </c:dLbl>
            <c:dLbl>
              <c:idx val="56"/>
              <c:tx>
                <c:rich>
                  <a:bodyPr/>
                  <a:lstStyle/>
                  <a:p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7-AB93-4010-A4D7-EC2C5D5AB859}"/>
                </c:ext>
              </c:extLst>
            </c:dLbl>
            <c:dLbl>
              <c:idx val="57"/>
              <c:tx>
                <c:rich>
                  <a:bodyPr/>
                  <a:lstStyle/>
                  <a:p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8-AB93-4010-A4D7-EC2C5D5AB859}"/>
                </c:ext>
              </c:extLst>
            </c:dLbl>
            <c:dLbl>
              <c:idx val="58"/>
              <c:tx>
                <c:rich>
                  <a:bodyPr/>
                  <a:lstStyle/>
                  <a:p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9-AB93-4010-A4D7-EC2C5D5AB859}"/>
                </c:ext>
              </c:extLst>
            </c:dLbl>
            <c:dLbl>
              <c:idx val="59"/>
              <c:tx>
                <c:rich>
                  <a:bodyPr/>
                  <a:lstStyle/>
                  <a:p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A-AB93-4010-A4D7-EC2C5D5AB859}"/>
                </c:ext>
              </c:extLst>
            </c:dLbl>
            <c:dLbl>
              <c:idx val="60"/>
              <c:tx>
                <c:rich>
                  <a:bodyPr/>
                  <a:lstStyle/>
                  <a:p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B-AB93-4010-A4D7-EC2C5D5AB859}"/>
                </c:ext>
              </c:extLst>
            </c:dLbl>
            <c:dLbl>
              <c:idx val="61"/>
              <c:tx>
                <c:rich>
                  <a:bodyPr/>
                  <a:lstStyle/>
                  <a:p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C-AB93-4010-A4D7-EC2C5D5AB859}"/>
                </c:ext>
              </c:extLst>
            </c:dLbl>
            <c:dLbl>
              <c:idx val="62"/>
              <c:tx>
                <c:rich>
                  <a:bodyPr/>
                  <a:lstStyle/>
                  <a:p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D-AB93-4010-A4D7-EC2C5D5AB859}"/>
                </c:ext>
              </c:extLst>
            </c:dLbl>
            <c:dLbl>
              <c:idx val="63"/>
              <c:tx>
                <c:rich>
                  <a:bodyPr/>
                  <a:lstStyle/>
                  <a:p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E-AB93-4010-A4D7-EC2C5D5AB859}"/>
                </c:ext>
              </c:extLst>
            </c:dLbl>
            <c:dLbl>
              <c:idx val="64"/>
              <c:tx>
                <c:rich>
                  <a:bodyPr/>
                  <a:lstStyle/>
                  <a:p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F-AB93-4010-A4D7-EC2C5D5AB859}"/>
                </c:ext>
              </c:extLst>
            </c:dLbl>
            <c:dLbl>
              <c:idx val="65"/>
              <c:tx>
                <c:rich>
                  <a:bodyPr/>
                  <a:lstStyle/>
                  <a:p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0-AB93-4010-A4D7-EC2C5D5AB859}"/>
                </c:ext>
              </c:extLst>
            </c:dLbl>
            <c:dLbl>
              <c:idx val="66"/>
              <c:tx>
                <c:rich>
                  <a:bodyPr/>
                  <a:lstStyle/>
                  <a:p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1-AB93-4010-A4D7-EC2C5D5AB859}"/>
                </c:ext>
              </c:extLst>
            </c:dLbl>
            <c:dLbl>
              <c:idx val="67"/>
              <c:tx>
                <c:rich>
                  <a:bodyPr/>
                  <a:lstStyle/>
                  <a:p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2-AB93-4010-A4D7-EC2C5D5AB859}"/>
                </c:ext>
              </c:extLst>
            </c:dLbl>
            <c:dLbl>
              <c:idx val="68"/>
              <c:tx>
                <c:rich>
                  <a:bodyPr/>
                  <a:lstStyle/>
                  <a:p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3-AB93-4010-A4D7-EC2C5D5AB859}"/>
                </c:ext>
              </c:extLst>
            </c:dLbl>
            <c:dLbl>
              <c:idx val="69"/>
              <c:tx>
                <c:rich>
                  <a:bodyPr/>
                  <a:lstStyle/>
                  <a:p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4-AB93-4010-A4D7-EC2C5D5AB859}"/>
                </c:ext>
              </c:extLst>
            </c:dLbl>
            <c:dLbl>
              <c:idx val="70"/>
              <c:tx>
                <c:rich>
                  <a:bodyPr/>
                  <a:lstStyle/>
                  <a:p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5-AB93-4010-A4D7-EC2C5D5AB859}"/>
                </c:ext>
              </c:extLst>
            </c:dLbl>
            <c:dLbl>
              <c:idx val="71"/>
              <c:tx>
                <c:rich>
                  <a:bodyPr/>
                  <a:lstStyle/>
                  <a:p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6-AB93-4010-A4D7-EC2C5D5AB859}"/>
                </c:ext>
              </c:extLst>
            </c:dLbl>
            <c:dLbl>
              <c:idx val="72"/>
              <c:tx>
                <c:rich>
                  <a:bodyPr/>
                  <a:lstStyle/>
                  <a:p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7-AB93-4010-A4D7-EC2C5D5AB859}"/>
                </c:ext>
              </c:extLst>
            </c:dLbl>
            <c:dLbl>
              <c:idx val="73"/>
              <c:tx>
                <c:rich>
                  <a:bodyPr/>
                  <a:lstStyle/>
                  <a:p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8-AB93-4010-A4D7-EC2C5D5AB859}"/>
                </c:ext>
              </c:extLst>
            </c:dLbl>
            <c:dLbl>
              <c:idx val="74"/>
              <c:tx>
                <c:rich>
                  <a:bodyPr/>
                  <a:lstStyle/>
                  <a:p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9-AB93-4010-A4D7-EC2C5D5AB859}"/>
                </c:ext>
              </c:extLst>
            </c:dLbl>
            <c:dLbl>
              <c:idx val="75"/>
              <c:tx>
                <c:rich>
                  <a:bodyPr/>
                  <a:lstStyle/>
                  <a:p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A-AB93-4010-A4D7-EC2C5D5AB859}"/>
                </c:ext>
              </c:extLst>
            </c:dLbl>
            <c:dLbl>
              <c:idx val="76"/>
              <c:tx>
                <c:rich>
                  <a:bodyPr/>
                  <a:lstStyle/>
                  <a:p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B-AB93-4010-A4D7-EC2C5D5AB859}"/>
                </c:ext>
              </c:extLst>
            </c:dLbl>
            <c:dLbl>
              <c:idx val="77"/>
              <c:tx>
                <c:rich>
                  <a:bodyPr/>
                  <a:lstStyle/>
                  <a:p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C-AB93-4010-A4D7-EC2C5D5AB859}"/>
                </c:ext>
              </c:extLst>
            </c:dLbl>
            <c:dLbl>
              <c:idx val="78"/>
              <c:tx>
                <c:rich>
                  <a:bodyPr/>
                  <a:lstStyle/>
                  <a:p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D-AB93-4010-A4D7-EC2C5D5AB859}"/>
                </c:ext>
              </c:extLst>
            </c:dLbl>
            <c:dLbl>
              <c:idx val="79"/>
              <c:tx>
                <c:rich>
                  <a:bodyPr/>
                  <a:lstStyle/>
                  <a:p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E-AB93-4010-A4D7-EC2C5D5AB859}"/>
                </c:ext>
              </c:extLst>
            </c:dLbl>
            <c:dLbl>
              <c:idx val="80"/>
              <c:tx>
                <c:rich>
                  <a:bodyPr/>
                  <a:lstStyle/>
                  <a:p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F-AB93-4010-A4D7-EC2C5D5AB859}"/>
                </c:ext>
              </c:extLst>
            </c:dLbl>
            <c:dLbl>
              <c:idx val="81"/>
              <c:tx>
                <c:rich>
                  <a:bodyPr/>
                  <a:lstStyle/>
                  <a:p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0-AB93-4010-A4D7-EC2C5D5AB859}"/>
                </c:ext>
              </c:extLst>
            </c:dLbl>
            <c:dLbl>
              <c:idx val="82"/>
              <c:tx>
                <c:rich>
                  <a:bodyPr/>
                  <a:lstStyle/>
                  <a:p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1-AB93-4010-A4D7-EC2C5D5AB859}"/>
                </c:ext>
              </c:extLst>
            </c:dLbl>
            <c:dLbl>
              <c:idx val="83"/>
              <c:tx>
                <c:rich>
                  <a:bodyPr/>
                  <a:lstStyle/>
                  <a:p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2-AB93-4010-A4D7-EC2C5D5AB859}"/>
                </c:ext>
              </c:extLst>
            </c:dLbl>
            <c:dLbl>
              <c:idx val="84"/>
              <c:tx>
                <c:rich>
                  <a:bodyPr/>
                  <a:lstStyle/>
                  <a:p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3-AB93-4010-A4D7-EC2C5D5AB859}"/>
                </c:ext>
              </c:extLst>
            </c:dLbl>
            <c:dLbl>
              <c:idx val="85"/>
              <c:tx>
                <c:rich>
                  <a:bodyPr/>
                  <a:lstStyle/>
                  <a:p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4-AB93-4010-A4D7-EC2C5D5AB859}"/>
                </c:ext>
              </c:extLst>
            </c:dLbl>
            <c:dLbl>
              <c:idx val="86"/>
              <c:tx>
                <c:rich>
                  <a:bodyPr/>
                  <a:lstStyle/>
                  <a:p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5-AB93-4010-A4D7-EC2C5D5AB859}"/>
                </c:ext>
              </c:extLst>
            </c:dLbl>
            <c:dLbl>
              <c:idx val="87"/>
              <c:tx>
                <c:rich>
                  <a:bodyPr/>
                  <a:lstStyle/>
                  <a:p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6-AB93-4010-A4D7-EC2C5D5AB859}"/>
                </c:ext>
              </c:extLst>
            </c:dLbl>
            <c:dLbl>
              <c:idx val="88"/>
              <c:tx>
                <c:rich>
                  <a:bodyPr/>
                  <a:lstStyle/>
                  <a:p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7-AB93-4010-A4D7-EC2C5D5AB859}"/>
                </c:ext>
              </c:extLst>
            </c:dLbl>
            <c:dLbl>
              <c:idx val="89"/>
              <c:tx>
                <c:rich>
                  <a:bodyPr/>
                  <a:lstStyle/>
                  <a:p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8-AB93-4010-A4D7-EC2C5D5AB859}"/>
                </c:ext>
              </c:extLst>
            </c:dLbl>
            <c:dLbl>
              <c:idx val="90"/>
              <c:tx>
                <c:rich>
                  <a:bodyPr/>
                  <a:lstStyle/>
                  <a:p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9-AB93-4010-A4D7-EC2C5D5AB859}"/>
                </c:ext>
              </c:extLst>
            </c:dLbl>
            <c:dLbl>
              <c:idx val="91"/>
              <c:tx>
                <c:rich>
                  <a:bodyPr/>
                  <a:lstStyle/>
                  <a:p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A-AB93-4010-A4D7-EC2C5D5AB859}"/>
                </c:ext>
              </c:extLst>
            </c:dLbl>
            <c:dLbl>
              <c:idx val="92"/>
              <c:tx>
                <c:rich>
                  <a:bodyPr/>
                  <a:lstStyle/>
                  <a:p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B-AB93-4010-A4D7-EC2C5D5AB859}"/>
                </c:ext>
              </c:extLst>
            </c:dLbl>
            <c:dLbl>
              <c:idx val="93"/>
              <c:tx>
                <c:rich>
                  <a:bodyPr/>
                  <a:lstStyle/>
                  <a:p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C-AB93-4010-A4D7-EC2C5D5AB859}"/>
                </c:ext>
              </c:extLst>
            </c:dLbl>
            <c:dLbl>
              <c:idx val="94"/>
              <c:tx>
                <c:rich>
                  <a:bodyPr/>
                  <a:lstStyle/>
                  <a:p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D-AB93-4010-A4D7-EC2C5D5AB859}"/>
                </c:ext>
              </c:extLst>
            </c:dLbl>
            <c:dLbl>
              <c:idx val="95"/>
              <c:tx>
                <c:rich>
                  <a:bodyPr/>
                  <a:lstStyle/>
                  <a:p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E-AB93-4010-A4D7-EC2C5D5AB859}"/>
                </c:ext>
              </c:extLst>
            </c:dLbl>
            <c:dLbl>
              <c:idx val="96"/>
              <c:tx>
                <c:rich>
                  <a:bodyPr/>
                  <a:lstStyle/>
                  <a:p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F-AB93-4010-A4D7-EC2C5D5AB859}"/>
                </c:ext>
              </c:extLst>
            </c:dLbl>
            <c:dLbl>
              <c:idx val="97"/>
              <c:tx>
                <c:rich>
                  <a:bodyPr/>
                  <a:lstStyle/>
                  <a:p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60-AB93-4010-A4D7-EC2C5D5AB859}"/>
                </c:ext>
              </c:extLst>
            </c:dLbl>
            <c:dLbl>
              <c:idx val="98"/>
              <c:tx>
                <c:rich>
                  <a:bodyPr/>
                  <a:lstStyle/>
                  <a:p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61-AB93-4010-A4D7-EC2C5D5AB859}"/>
                </c:ext>
              </c:extLst>
            </c:dLbl>
            <c:dLbl>
              <c:idx val="99"/>
              <c:tx>
                <c:rich>
                  <a:bodyPr/>
                  <a:lstStyle/>
                  <a:p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62-AB93-4010-A4D7-EC2C5D5AB859}"/>
                </c:ext>
              </c:extLst>
            </c:dLbl>
            <c:dLbl>
              <c:idx val="100"/>
              <c:tx>
                <c:rich>
                  <a:bodyPr/>
                  <a:lstStyle/>
                  <a:p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63-AB93-4010-A4D7-EC2C5D5AB859}"/>
                </c:ext>
              </c:extLst>
            </c:dLbl>
            <c:dLbl>
              <c:idx val="101"/>
              <c:tx>
                <c:rich>
                  <a:bodyPr/>
                  <a:lstStyle/>
                  <a:p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64-AB93-4010-A4D7-EC2C5D5AB859}"/>
                </c:ext>
              </c:extLst>
            </c:dLbl>
            <c:dLbl>
              <c:idx val="102"/>
              <c:tx>
                <c:rich>
                  <a:bodyPr/>
                  <a:lstStyle/>
                  <a:p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65-AB93-4010-A4D7-EC2C5D5AB859}"/>
                </c:ext>
              </c:extLst>
            </c:dLbl>
            <c:dLbl>
              <c:idx val="103"/>
              <c:tx>
                <c:rich>
                  <a:bodyPr/>
                  <a:lstStyle/>
                  <a:p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66-AB93-4010-A4D7-EC2C5D5AB859}"/>
                </c:ext>
              </c:extLst>
            </c:dLbl>
            <c:dLbl>
              <c:idx val="104"/>
              <c:tx>
                <c:rich>
                  <a:bodyPr/>
                  <a:lstStyle/>
                  <a:p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67-AB93-4010-A4D7-EC2C5D5AB859}"/>
                </c:ext>
              </c:extLst>
            </c:dLbl>
            <c:dLbl>
              <c:idx val="105"/>
              <c:tx>
                <c:rich>
                  <a:bodyPr/>
                  <a:lstStyle/>
                  <a:p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68-AB93-4010-A4D7-EC2C5D5AB859}"/>
                </c:ext>
              </c:extLst>
            </c:dLbl>
            <c:dLbl>
              <c:idx val="106"/>
              <c:tx>
                <c:rich>
                  <a:bodyPr/>
                  <a:lstStyle/>
                  <a:p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69-AB93-4010-A4D7-EC2C5D5AB859}"/>
                </c:ext>
              </c:extLst>
            </c:dLbl>
            <c:dLbl>
              <c:idx val="107"/>
              <c:tx>
                <c:rich>
                  <a:bodyPr/>
                  <a:lstStyle/>
                  <a:p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6A-AB93-4010-A4D7-EC2C5D5AB859}"/>
                </c:ext>
              </c:extLst>
            </c:dLbl>
            <c:dLbl>
              <c:idx val="108"/>
              <c:tx>
                <c:rich>
                  <a:bodyPr/>
                  <a:lstStyle/>
                  <a:p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6B-AB93-4010-A4D7-EC2C5D5AB85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'HSP 1 Sphere'!$BC$3:$BC$111</c:f>
              <c:numCache>
                <c:formatCode>General</c:formatCode>
                <c:ptCount val="109"/>
              </c:numCache>
            </c:numRef>
          </c:xVal>
          <c:yVal>
            <c:numRef>
              <c:f>'HSP 1 Sphere'!$BD$3:$BD$4111</c:f>
              <c:numCache>
                <c:formatCode>General</c:formatCode>
                <c:ptCount val="410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21A0-4278-9F5B-21F8A5C96A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0270200"/>
        <c:axId val="310270592"/>
      </c:scatterChart>
      <c:valAx>
        <c:axId val="3102702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b="1"/>
                  <a:t>dP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0270592"/>
        <c:crosses val="autoZero"/>
        <c:crossBetween val="midCat"/>
      </c:valAx>
      <c:valAx>
        <c:axId val="310270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b="1"/>
                  <a:t>dH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02702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8.4634060265601843E-2"/>
          <c:y val="5.7803519906126262E-2"/>
          <c:w val="0.18351551281173656"/>
          <c:h val="0.2129747720384677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9428477690288726E-2"/>
          <c:y val="5.0925925925925923E-2"/>
          <c:w val="0.88423818897637796"/>
          <c:h val="0.85834610816600498"/>
        </c:manualLayout>
      </c:layout>
      <c:scatterChart>
        <c:scatterStyle val="lineMarker"/>
        <c:varyColors val="0"/>
        <c:ser>
          <c:idx val="1"/>
          <c:order val="0"/>
          <c:tx>
            <c:v>Reference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5000"/>
                </a:schemeClr>
              </a:solidFill>
              <a:ln w="0">
                <a:solidFill>
                  <a:schemeClr val="accent6">
                    <a:lumMod val="75000"/>
                  </a:schemeClr>
                </a:solidFill>
              </a:ln>
              <a:effectLst/>
            </c:spPr>
          </c:marker>
          <c:xVal>
            <c:numRef>
              <c:f>'HSP 1 Sphere'!$D$3</c:f>
              <c:numCache>
                <c:formatCode>0.00</c:formatCode>
                <c:ptCount val="1"/>
                <c:pt idx="0">
                  <c:v>9.7595643039943738</c:v>
                </c:pt>
              </c:numCache>
            </c:numRef>
          </c:xVal>
          <c:yVal>
            <c:numRef>
              <c:f>'HSP 1 Sphere'!$C$3</c:f>
              <c:numCache>
                <c:formatCode>0.00</c:formatCode>
                <c:ptCount val="1"/>
                <c:pt idx="0">
                  <c:v>17.826540139168078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B70-4E5F-AD7E-69F56C98F12C}"/>
            </c:ext>
          </c:extLst>
        </c:ser>
        <c:ser>
          <c:idx val="2"/>
          <c:order val="1"/>
          <c:tx>
            <c:v>Sphere</c:v>
          </c:tx>
          <c:spPr>
            <a:ln w="15875" cap="rnd">
              <a:solidFill>
                <a:schemeClr val="accent6">
                  <a:lumMod val="75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'HSP 1 Sphere'!$AW$3:$AW$75</c:f>
              <c:numCache>
                <c:formatCode>General</c:formatCode>
                <c:ptCount val="73"/>
                <c:pt idx="0">
                  <c:v>16.828185213323131</c:v>
                </c:pt>
                <c:pt idx="1">
                  <c:v>16.801286976688132</c:v>
                </c:pt>
                <c:pt idx="2">
                  <c:v>16.720796978605534</c:v>
                </c:pt>
                <c:pt idx="3">
                  <c:v>16.587327796561937</c:v>
                </c:pt>
                <c:pt idx="4">
                  <c:v>16.401895211623582</c:v>
                </c:pt>
                <c:pt idx="5">
                  <c:v>16.16591047772911</c:v>
                </c:pt>
                <c:pt idx="6">
                  <c:v>15.881169581194936</c:v>
                </c:pt>
                <c:pt idx="7">
                  <c:v>15.549839572174935</c:v>
                </c:pt>
                <c:pt idx="8">
                  <c:v>15.174442072100284</c:v>
                </c:pt>
                <c:pt idx="9">
                  <c:v>14.757834082617757</c:v>
                </c:pt>
                <c:pt idx="10">
                  <c:v>14.303186242082097</c:v>
                </c:pt>
                <c:pt idx="11">
                  <c:v>13.813958695083652</c:v>
                </c:pt>
                <c:pt idx="12">
                  <c:v>13.293874758658752</c:v>
                </c:pt>
                <c:pt idx="13">
                  <c:v>12.746892585598854</c:v>
                </c:pt>
                <c:pt idx="14">
                  <c:v>12.177175040517813</c:v>
                </c:pt>
                <c:pt idx="15">
                  <c:v>11.589058017938553</c:v>
                </c:pt>
                <c:pt idx="16">
                  <c:v>10.987017443517672</c:v>
                </c:pt>
                <c:pt idx="17">
                  <c:v>10.375635209548548</c:v>
                </c:pt>
                <c:pt idx="18">
                  <c:v>9.7595643039943738</c:v>
                </c:pt>
                <c:pt idx="19">
                  <c:v>9.1434933984401994</c:v>
                </c:pt>
                <c:pt idx="20">
                  <c:v>8.5321111644710754</c:v>
                </c:pt>
                <c:pt idx="21">
                  <c:v>7.9300705900501924</c:v>
                </c:pt>
                <c:pt idx="22">
                  <c:v>7.3419535674709344</c:v>
                </c:pt>
                <c:pt idx="23">
                  <c:v>6.7722360223898939</c:v>
                </c:pt>
                <c:pt idx="24">
                  <c:v>6.2252538493299978</c:v>
                </c:pt>
                <c:pt idx="25">
                  <c:v>5.7051699129050952</c:v>
                </c:pt>
                <c:pt idx="26">
                  <c:v>5.2159423659066508</c:v>
                </c:pt>
                <c:pt idx="27">
                  <c:v>4.7612945253709915</c:v>
                </c:pt>
                <c:pt idx="28">
                  <c:v>4.3446865358884637</c:v>
                </c:pt>
                <c:pt idx="29">
                  <c:v>3.9692890358138104</c:v>
                </c:pt>
                <c:pt idx="30">
                  <c:v>3.637959026793812</c:v>
                </c:pt>
                <c:pt idx="31">
                  <c:v>3.3532181302596369</c:v>
                </c:pt>
                <c:pt idx="32">
                  <c:v>3.1172333963651653</c:v>
                </c:pt>
                <c:pt idx="33">
                  <c:v>2.931800811426811</c:v>
                </c:pt>
                <c:pt idx="34">
                  <c:v>2.7983316293832114</c:v>
                </c:pt>
                <c:pt idx="35">
                  <c:v>2.7178416313006144</c:v>
                </c:pt>
                <c:pt idx="36">
                  <c:v>2.6909433946656183</c:v>
                </c:pt>
                <c:pt idx="37">
                  <c:v>2.7178416313006144</c:v>
                </c:pt>
                <c:pt idx="38">
                  <c:v>2.7983316293832114</c:v>
                </c:pt>
                <c:pt idx="39">
                  <c:v>2.9318008114268101</c:v>
                </c:pt>
                <c:pt idx="40">
                  <c:v>3.1172333963651644</c:v>
                </c:pt>
                <c:pt idx="41">
                  <c:v>3.353218130259636</c:v>
                </c:pt>
                <c:pt idx="42">
                  <c:v>3.6379590267938129</c:v>
                </c:pt>
                <c:pt idx="43">
                  <c:v>3.9692890358138113</c:v>
                </c:pt>
                <c:pt idx="44">
                  <c:v>4.3446865358884637</c:v>
                </c:pt>
                <c:pt idx="45">
                  <c:v>4.7612945253709897</c:v>
                </c:pt>
                <c:pt idx="46">
                  <c:v>5.2159423659066499</c:v>
                </c:pt>
                <c:pt idx="47">
                  <c:v>5.7051699129050935</c:v>
                </c:pt>
                <c:pt idx="48">
                  <c:v>6.2252538493299934</c:v>
                </c:pt>
                <c:pt idx="49">
                  <c:v>6.7722360223898947</c:v>
                </c:pt>
                <c:pt idx="50">
                  <c:v>7.3419535674709353</c:v>
                </c:pt>
                <c:pt idx="51">
                  <c:v>7.9300705900501942</c:v>
                </c:pt>
                <c:pt idx="52">
                  <c:v>8.5321111644710754</c:v>
                </c:pt>
                <c:pt idx="53">
                  <c:v>9.1434933984401994</c:v>
                </c:pt>
                <c:pt idx="54">
                  <c:v>9.759564303994372</c:v>
                </c:pt>
                <c:pt idx="55">
                  <c:v>10.375635209548546</c:v>
                </c:pt>
                <c:pt idx="56">
                  <c:v>10.98701744351767</c:v>
                </c:pt>
                <c:pt idx="57">
                  <c:v>11.589058017938552</c:v>
                </c:pt>
                <c:pt idx="58">
                  <c:v>12.177175040517815</c:v>
                </c:pt>
                <c:pt idx="59">
                  <c:v>12.746892585598856</c:v>
                </c:pt>
                <c:pt idx="60">
                  <c:v>13.293874758658752</c:v>
                </c:pt>
                <c:pt idx="61">
                  <c:v>13.813958695083652</c:v>
                </c:pt>
                <c:pt idx="62">
                  <c:v>14.303186242082095</c:v>
                </c:pt>
                <c:pt idx="63">
                  <c:v>14.757834082617755</c:v>
                </c:pt>
                <c:pt idx="64">
                  <c:v>15.174442072100284</c:v>
                </c:pt>
                <c:pt idx="65">
                  <c:v>15.549839572174935</c:v>
                </c:pt>
                <c:pt idx="66">
                  <c:v>15.881169581194932</c:v>
                </c:pt>
                <c:pt idx="67">
                  <c:v>16.165910477729113</c:v>
                </c:pt>
                <c:pt idx="68">
                  <c:v>16.401895211623582</c:v>
                </c:pt>
                <c:pt idx="69">
                  <c:v>16.587327796561937</c:v>
                </c:pt>
                <c:pt idx="70">
                  <c:v>16.720796978605534</c:v>
                </c:pt>
                <c:pt idx="71">
                  <c:v>16.801286976688132</c:v>
                </c:pt>
                <c:pt idx="72">
                  <c:v>16.828185213323131</c:v>
                </c:pt>
              </c:numCache>
            </c:numRef>
          </c:xVal>
          <c:yVal>
            <c:numRef>
              <c:f>'HSP 1 Sphere'!$AV$3:$AV$75</c:f>
              <c:numCache>
                <c:formatCode>General</c:formatCode>
                <c:ptCount val="73"/>
                <c:pt idx="0">
                  <c:v>17.826540139168078</c:v>
                </c:pt>
                <c:pt idx="1">
                  <c:v>18.442611044722252</c:v>
                </c:pt>
                <c:pt idx="2">
                  <c:v>19.053993278691376</c:v>
                </c:pt>
                <c:pt idx="3">
                  <c:v>19.656033853112259</c:v>
                </c:pt>
                <c:pt idx="4">
                  <c:v>20.244150875691517</c:v>
                </c:pt>
                <c:pt idx="5">
                  <c:v>20.813868420772557</c:v>
                </c:pt>
                <c:pt idx="6">
                  <c:v>21.360850593832456</c:v>
                </c:pt>
                <c:pt idx="7">
                  <c:v>21.880934530257356</c:v>
                </c:pt>
                <c:pt idx="8">
                  <c:v>22.370162077255799</c:v>
                </c:pt>
                <c:pt idx="9">
                  <c:v>22.824809917791459</c:v>
                </c:pt>
                <c:pt idx="10">
                  <c:v>23.241417907273988</c:v>
                </c:pt>
                <c:pt idx="11">
                  <c:v>23.616815407348639</c:v>
                </c:pt>
                <c:pt idx="12">
                  <c:v>23.948145416368639</c:v>
                </c:pt>
                <c:pt idx="13">
                  <c:v>24.232886312902814</c:v>
                </c:pt>
                <c:pt idx="14">
                  <c:v>24.468871046797286</c:v>
                </c:pt>
                <c:pt idx="15">
                  <c:v>24.65430363173564</c:v>
                </c:pt>
                <c:pt idx="16">
                  <c:v>24.787772813779242</c:v>
                </c:pt>
                <c:pt idx="17">
                  <c:v>24.868262811861836</c:v>
                </c:pt>
                <c:pt idx="18">
                  <c:v>24.895161048496831</c:v>
                </c:pt>
                <c:pt idx="19">
                  <c:v>24.868262811861836</c:v>
                </c:pt>
                <c:pt idx="20">
                  <c:v>24.787772813779242</c:v>
                </c:pt>
                <c:pt idx="21">
                  <c:v>24.65430363173564</c:v>
                </c:pt>
                <c:pt idx="22">
                  <c:v>24.468871046797286</c:v>
                </c:pt>
                <c:pt idx="23">
                  <c:v>24.232886312902814</c:v>
                </c:pt>
                <c:pt idx="24">
                  <c:v>23.948145416368639</c:v>
                </c:pt>
                <c:pt idx="25">
                  <c:v>23.616815407348639</c:v>
                </c:pt>
                <c:pt idx="26">
                  <c:v>23.241417907273988</c:v>
                </c:pt>
                <c:pt idx="27">
                  <c:v>22.824809917791463</c:v>
                </c:pt>
                <c:pt idx="28">
                  <c:v>22.370162077255802</c:v>
                </c:pt>
                <c:pt idx="29">
                  <c:v>21.880934530257356</c:v>
                </c:pt>
                <c:pt idx="30">
                  <c:v>21.360850593832456</c:v>
                </c:pt>
                <c:pt idx="31">
                  <c:v>20.813868420772557</c:v>
                </c:pt>
                <c:pt idx="32">
                  <c:v>20.244150875691517</c:v>
                </c:pt>
                <c:pt idx="33">
                  <c:v>19.656033853112259</c:v>
                </c:pt>
                <c:pt idx="34">
                  <c:v>19.053993278691376</c:v>
                </c:pt>
                <c:pt idx="35">
                  <c:v>18.442611044722252</c:v>
                </c:pt>
                <c:pt idx="36">
                  <c:v>17.826540139168078</c:v>
                </c:pt>
                <c:pt idx="37">
                  <c:v>17.210469233613903</c:v>
                </c:pt>
                <c:pt idx="38">
                  <c:v>16.599086999644779</c:v>
                </c:pt>
                <c:pt idx="39">
                  <c:v>15.997046425223896</c:v>
                </c:pt>
                <c:pt idx="40">
                  <c:v>15.408929402644638</c:v>
                </c:pt>
                <c:pt idx="41">
                  <c:v>14.839211857563598</c:v>
                </c:pt>
                <c:pt idx="42">
                  <c:v>14.292229684503699</c:v>
                </c:pt>
                <c:pt idx="43">
                  <c:v>13.772145748078799</c:v>
                </c:pt>
                <c:pt idx="44">
                  <c:v>13.282918201080356</c:v>
                </c:pt>
                <c:pt idx="45">
                  <c:v>12.828270360544696</c:v>
                </c:pt>
                <c:pt idx="46">
                  <c:v>12.411662371062167</c:v>
                </c:pt>
                <c:pt idx="47">
                  <c:v>12.036264870987516</c:v>
                </c:pt>
                <c:pt idx="48">
                  <c:v>11.704934861967519</c:v>
                </c:pt>
                <c:pt idx="49">
                  <c:v>11.42019396543334</c:v>
                </c:pt>
                <c:pt idx="50">
                  <c:v>11.184209231538869</c:v>
                </c:pt>
                <c:pt idx="51">
                  <c:v>10.998776646600515</c:v>
                </c:pt>
                <c:pt idx="52">
                  <c:v>10.865307464556915</c:v>
                </c:pt>
                <c:pt idx="53">
                  <c:v>10.784817466474319</c:v>
                </c:pt>
                <c:pt idx="54">
                  <c:v>10.757919229839322</c:v>
                </c:pt>
                <c:pt idx="55">
                  <c:v>10.784817466474319</c:v>
                </c:pt>
                <c:pt idx="56">
                  <c:v>10.865307464556913</c:v>
                </c:pt>
                <c:pt idx="57">
                  <c:v>10.998776646600513</c:v>
                </c:pt>
                <c:pt idx="58">
                  <c:v>11.184209231538869</c:v>
                </c:pt>
                <c:pt idx="59">
                  <c:v>11.420193965433342</c:v>
                </c:pt>
                <c:pt idx="60">
                  <c:v>11.704934861967516</c:v>
                </c:pt>
                <c:pt idx="61">
                  <c:v>12.036264870987516</c:v>
                </c:pt>
                <c:pt idx="62">
                  <c:v>12.411662371062167</c:v>
                </c:pt>
                <c:pt idx="63">
                  <c:v>12.828270360544693</c:v>
                </c:pt>
                <c:pt idx="64">
                  <c:v>13.282918201080353</c:v>
                </c:pt>
                <c:pt idx="65">
                  <c:v>13.772145748078795</c:v>
                </c:pt>
                <c:pt idx="66">
                  <c:v>14.292229684503697</c:v>
                </c:pt>
                <c:pt idx="67">
                  <c:v>14.839211857563598</c:v>
                </c:pt>
                <c:pt idx="68">
                  <c:v>15.408929402644638</c:v>
                </c:pt>
                <c:pt idx="69">
                  <c:v>15.997046425223898</c:v>
                </c:pt>
                <c:pt idx="70">
                  <c:v>16.599086999644779</c:v>
                </c:pt>
                <c:pt idx="71">
                  <c:v>17.210469233613903</c:v>
                </c:pt>
                <c:pt idx="72">
                  <c:v>17.826540139168078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B70-4E5F-AD7E-69F56C98F12C}"/>
            </c:ext>
          </c:extLst>
        </c:ser>
        <c:ser>
          <c:idx val="0"/>
          <c:order val="2"/>
          <c:tx>
            <c:v>Good Solv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'HSP 1 Sphere'!$BH$3:$BH$97</c:f>
              <c:numCache>
                <c:formatCode>General</c:formatCode>
                <c:ptCount val="95"/>
                <c:pt idx="0">
                  <c:v>10.4</c:v>
                </c:pt>
                <c:pt idx="1">
                  <c:v>3.1</c:v>
                </c:pt>
                <c:pt idx="2">
                  <c:v>6.5</c:v>
                </c:pt>
                <c:pt idx="3">
                  <c:v>16.399999999999999</c:v>
                </c:pt>
                <c:pt idx="4">
                  <c:v>6.6</c:v>
                </c:pt>
                <c:pt idx="5">
                  <c:v>5.3</c:v>
                </c:pt>
                <c:pt idx="6">
                  <c:v>9</c:v>
                </c:pt>
                <c:pt idx="7">
                  <c:v>12.3</c:v>
                </c:pt>
                <c:pt idx="8">
                  <c:v>7.3</c:v>
                </c:pt>
                <c:pt idx="9">
                  <c:v>13.7</c:v>
                </c:pt>
                <c:pt idx="10">
                  <c:v>5.7</c:v>
                </c:pt>
              </c:numCache>
            </c:numRef>
          </c:xVal>
          <c:yVal>
            <c:numRef>
              <c:f>'HSP 1 Sphere'!$BG$3:$BG$97</c:f>
              <c:numCache>
                <c:formatCode>General</c:formatCode>
                <c:ptCount val="95"/>
                <c:pt idx="0">
                  <c:v>15.5</c:v>
                </c:pt>
                <c:pt idx="1">
                  <c:v>17.8</c:v>
                </c:pt>
                <c:pt idx="2">
                  <c:v>18.5</c:v>
                </c:pt>
                <c:pt idx="3">
                  <c:v>18.399999999999999</c:v>
                </c:pt>
                <c:pt idx="4">
                  <c:v>18.100000000000001</c:v>
                </c:pt>
                <c:pt idx="5">
                  <c:v>15.8</c:v>
                </c:pt>
                <c:pt idx="6">
                  <c:v>16</c:v>
                </c:pt>
                <c:pt idx="7">
                  <c:v>18</c:v>
                </c:pt>
                <c:pt idx="8">
                  <c:v>17</c:v>
                </c:pt>
                <c:pt idx="9">
                  <c:v>17.399999999999999</c:v>
                </c:pt>
                <c:pt idx="10">
                  <c:v>16.8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B70-4E5F-AD7E-69F56C98F12C}"/>
            </c:ext>
          </c:extLst>
        </c:ser>
        <c:ser>
          <c:idx val="4"/>
          <c:order val="3"/>
          <c:tx>
            <c:v>Bad Solv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'HSP 1 Sphere'!$BM$3:$BM$97</c:f>
              <c:numCache>
                <c:formatCode>General</c:formatCode>
                <c:ptCount val="95"/>
                <c:pt idx="0">
                  <c:v>18</c:v>
                </c:pt>
                <c:pt idx="1">
                  <c:v>0</c:v>
                </c:pt>
                <c:pt idx="2">
                  <c:v>0</c:v>
                </c:pt>
                <c:pt idx="3">
                  <c:v>2.9</c:v>
                </c:pt>
                <c:pt idx="4">
                  <c:v>1.8</c:v>
                </c:pt>
                <c:pt idx="5">
                  <c:v>8.8000000000000007</c:v>
                </c:pt>
                <c:pt idx="6">
                  <c:v>0</c:v>
                </c:pt>
                <c:pt idx="7">
                  <c:v>3.2</c:v>
                </c:pt>
                <c:pt idx="8">
                  <c:v>12.3</c:v>
                </c:pt>
                <c:pt idx="9">
                  <c:v>1.4</c:v>
                </c:pt>
                <c:pt idx="10">
                  <c:v>1</c:v>
                </c:pt>
              </c:numCache>
            </c:numRef>
          </c:xVal>
          <c:yVal>
            <c:numRef>
              <c:f>'HSP 1 Sphere'!$BL$3:$BL$97</c:f>
              <c:numCache>
                <c:formatCode>General</c:formatCode>
                <c:ptCount val="95"/>
                <c:pt idx="0">
                  <c:v>15.3</c:v>
                </c:pt>
                <c:pt idx="1">
                  <c:v>18.399999999999999</c:v>
                </c:pt>
                <c:pt idx="2">
                  <c:v>16.8</c:v>
                </c:pt>
                <c:pt idx="3">
                  <c:v>14.5</c:v>
                </c:pt>
                <c:pt idx="4">
                  <c:v>17.5</c:v>
                </c:pt>
                <c:pt idx="5">
                  <c:v>15.8</c:v>
                </c:pt>
                <c:pt idx="6">
                  <c:v>14.9</c:v>
                </c:pt>
                <c:pt idx="7">
                  <c:v>15.1</c:v>
                </c:pt>
                <c:pt idx="8">
                  <c:v>14.7</c:v>
                </c:pt>
                <c:pt idx="9">
                  <c:v>18</c:v>
                </c:pt>
                <c:pt idx="10">
                  <c:v>17.8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B70-4E5F-AD7E-69F56C98F12C}"/>
            </c:ext>
          </c:extLst>
        </c:ser>
        <c:ser>
          <c:idx val="3"/>
          <c:order val="4"/>
          <c:tx>
            <c:v>Outlier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C000"/>
              </a:solidFill>
              <a:ln w="9525">
                <a:solidFill>
                  <a:srgbClr val="FFC000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DE94-46BD-B65B-BDFBE6F9FD6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DE94-46BD-B65B-BDFBE6F9FD6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'HSP 1 Sphere'!$BC$3:$BC$97</c:f>
              <c:numCache>
                <c:formatCode>General</c:formatCode>
                <c:ptCount val="95"/>
              </c:numCache>
            </c:numRef>
          </c:xVal>
          <c:yVal>
            <c:numRef>
              <c:f>'HSP 1 Sphere'!$BB$3:$BB$4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B70-4E5F-AD7E-69F56C98F1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0272944"/>
        <c:axId val="310273336"/>
      </c:scatterChart>
      <c:valAx>
        <c:axId val="3102729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b="1"/>
                  <a:t>dP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0273336"/>
        <c:crosses val="autoZero"/>
        <c:crossBetween val="midCat"/>
      </c:valAx>
      <c:valAx>
        <c:axId val="310273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b="1"/>
                  <a:t>dD</a:t>
                </a:r>
              </a:p>
            </c:rich>
          </c:tx>
          <c:layout>
            <c:manualLayout>
              <c:xMode val="edge"/>
              <c:yMode val="edge"/>
              <c:x val="2.4558740349333577E-3"/>
              <c:y val="0.4956601895957837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02729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8.4634060265601843E-2"/>
          <c:y val="5.7803519906126262E-2"/>
          <c:w val="0.18351547732425758"/>
          <c:h val="0.2129747720384677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9428477690288726E-2"/>
          <c:y val="5.0925925925925923E-2"/>
          <c:w val="0.88423818897637796"/>
          <c:h val="0.85834610816600498"/>
        </c:manualLayout>
      </c:layout>
      <c:scatterChart>
        <c:scatterStyle val="lineMarker"/>
        <c:varyColors val="0"/>
        <c:ser>
          <c:idx val="1"/>
          <c:order val="0"/>
          <c:tx>
            <c:v>Reference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5000"/>
                </a:schemeClr>
              </a:solidFill>
              <a:ln w="0">
                <a:solidFill>
                  <a:schemeClr val="accent6">
                    <a:lumMod val="75000"/>
                  </a:schemeClr>
                </a:solidFill>
              </a:ln>
              <a:effectLst/>
            </c:spPr>
          </c:marker>
          <c:xVal>
            <c:numRef>
              <c:f>'HSP 1 Sphere'!$C$3</c:f>
              <c:numCache>
                <c:formatCode>0.00</c:formatCode>
                <c:ptCount val="1"/>
                <c:pt idx="0">
                  <c:v>17.826540139168078</c:v>
                </c:pt>
              </c:numCache>
            </c:numRef>
          </c:xVal>
          <c:yVal>
            <c:numRef>
              <c:f>'HSP 1 Sphere'!$E$3</c:f>
              <c:numCache>
                <c:formatCode>0.00</c:formatCode>
                <c:ptCount val="1"/>
                <c:pt idx="0">
                  <c:v>8.0681076208676448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B18-432B-A62C-403276C67A8A}"/>
            </c:ext>
          </c:extLst>
        </c:ser>
        <c:ser>
          <c:idx val="2"/>
          <c:order val="1"/>
          <c:tx>
            <c:v>Sphere</c:v>
          </c:tx>
          <c:spPr>
            <a:ln w="15875" cap="rnd">
              <a:solidFill>
                <a:schemeClr val="accent6">
                  <a:lumMod val="75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'HSP 1 Sphere'!$AY$3:$AY$75</c:f>
              <c:numCache>
                <c:formatCode>General</c:formatCode>
                <c:ptCount val="73"/>
                <c:pt idx="0">
                  <c:v>24.895161048496831</c:v>
                </c:pt>
                <c:pt idx="1">
                  <c:v>24.868262811861836</c:v>
                </c:pt>
                <c:pt idx="2">
                  <c:v>24.787772813779242</c:v>
                </c:pt>
                <c:pt idx="3">
                  <c:v>24.65430363173564</c:v>
                </c:pt>
                <c:pt idx="4">
                  <c:v>24.468871046797286</c:v>
                </c:pt>
                <c:pt idx="5">
                  <c:v>24.232886312902814</c:v>
                </c:pt>
                <c:pt idx="6">
                  <c:v>23.948145416368639</c:v>
                </c:pt>
                <c:pt idx="7">
                  <c:v>23.616815407348639</c:v>
                </c:pt>
                <c:pt idx="8">
                  <c:v>23.241417907273988</c:v>
                </c:pt>
                <c:pt idx="9">
                  <c:v>22.824809917791463</c:v>
                </c:pt>
                <c:pt idx="10">
                  <c:v>22.370162077255799</c:v>
                </c:pt>
                <c:pt idx="11">
                  <c:v>21.880934530257356</c:v>
                </c:pt>
                <c:pt idx="12">
                  <c:v>21.360850593832456</c:v>
                </c:pt>
                <c:pt idx="13">
                  <c:v>20.813868420772557</c:v>
                </c:pt>
                <c:pt idx="14">
                  <c:v>20.244150875691517</c:v>
                </c:pt>
                <c:pt idx="15">
                  <c:v>19.656033853112259</c:v>
                </c:pt>
                <c:pt idx="16">
                  <c:v>19.053993278691376</c:v>
                </c:pt>
                <c:pt idx="17">
                  <c:v>18.442611044722252</c:v>
                </c:pt>
                <c:pt idx="18">
                  <c:v>17.826540139168078</c:v>
                </c:pt>
                <c:pt idx="19">
                  <c:v>17.210469233613903</c:v>
                </c:pt>
                <c:pt idx="20">
                  <c:v>16.599086999644779</c:v>
                </c:pt>
                <c:pt idx="21">
                  <c:v>15.997046425223896</c:v>
                </c:pt>
                <c:pt idx="22">
                  <c:v>15.408929402644638</c:v>
                </c:pt>
                <c:pt idx="23">
                  <c:v>14.839211857563598</c:v>
                </c:pt>
                <c:pt idx="24">
                  <c:v>14.292229684503702</c:v>
                </c:pt>
                <c:pt idx="25">
                  <c:v>13.772145748078799</c:v>
                </c:pt>
                <c:pt idx="26">
                  <c:v>13.282918201080355</c:v>
                </c:pt>
                <c:pt idx="27">
                  <c:v>12.828270360544696</c:v>
                </c:pt>
                <c:pt idx="28">
                  <c:v>12.411662371062167</c:v>
                </c:pt>
                <c:pt idx="29">
                  <c:v>12.036264870987514</c:v>
                </c:pt>
                <c:pt idx="30">
                  <c:v>11.704934861967516</c:v>
                </c:pt>
                <c:pt idx="31">
                  <c:v>11.420193965433342</c:v>
                </c:pt>
                <c:pt idx="32">
                  <c:v>11.184209231538869</c:v>
                </c:pt>
                <c:pt idx="33">
                  <c:v>10.998776646600515</c:v>
                </c:pt>
                <c:pt idx="34">
                  <c:v>10.865307464556915</c:v>
                </c:pt>
                <c:pt idx="35">
                  <c:v>10.784817466474319</c:v>
                </c:pt>
                <c:pt idx="36">
                  <c:v>10.757919229839322</c:v>
                </c:pt>
                <c:pt idx="37">
                  <c:v>10.784817466474319</c:v>
                </c:pt>
                <c:pt idx="38">
                  <c:v>10.865307464556915</c:v>
                </c:pt>
                <c:pt idx="39">
                  <c:v>10.998776646600515</c:v>
                </c:pt>
                <c:pt idx="40">
                  <c:v>11.184209231538869</c:v>
                </c:pt>
                <c:pt idx="41">
                  <c:v>11.42019396543334</c:v>
                </c:pt>
                <c:pt idx="42">
                  <c:v>11.704934861967516</c:v>
                </c:pt>
                <c:pt idx="43">
                  <c:v>12.036264870987516</c:v>
                </c:pt>
                <c:pt idx="44">
                  <c:v>12.411662371062167</c:v>
                </c:pt>
                <c:pt idx="45">
                  <c:v>12.828270360544693</c:v>
                </c:pt>
                <c:pt idx="46">
                  <c:v>13.282918201080353</c:v>
                </c:pt>
                <c:pt idx="47">
                  <c:v>13.772145748078797</c:v>
                </c:pt>
                <c:pt idx="48">
                  <c:v>14.292229684503697</c:v>
                </c:pt>
                <c:pt idx="49">
                  <c:v>14.839211857563598</c:v>
                </c:pt>
                <c:pt idx="50">
                  <c:v>15.408929402644638</c:v>
                </c:pt>
                <c:pt idx="51">
                  <c:v>15.997046425223898</c:v>
                </c:pt>
                <c:pt idx="52">
                  <c:v>16.599086999644779</c:v>
                </c:pt>
                <c:pt idx="53">
                  <c:v>17.210469233613903</c:v>
                </c:pt>
                <c:pt idx="54">
                  <c:v>17.826540139168078</c:v>
                </c:pt>
                <c:pt idx="55">
                  <c:v>18.442611044722248</c:v>
                </c:pt>
                <c:pt idx="56">
                  <c:v>19.053993278691372</c:v>
                </c:pt>
                <c:pt idx="57">
                  <c:v>19.656033853112255</c:v>
                </c:pt>
                <c:pt idx="58">
                  <c:v>20.24415087569152</c:v>
                </c:pt>
                <c:pt idx="59">
                  <c:v>20.813868420772561</c:v>
                </c:pt>
                <c:pt idx="60">
                  <c:v>21.360850593832456</c:v>
                </c:pt>
                <c:pt idx="61">
                  <c:v>21.880934530257356</c:v>
                </c:pt>
                <c:pt idx="62">
                  <c:v>22.370162077255799</c:v>
                </c:pt>
                <c:pt idx="63">
                  <c:v>22.824809917791459</c:v>
                </c:pt>
                <c:pt idx="64">
                  <c:v>23.241417907273988</c:v>
                </c:pt>
                <c:pt idx="65">
                  <c:v>23.616815407348639</c:v>
                </c:pt>
                <c:pt idx="66">
                  <c:v>23.948145416368636</c:v>
                </c:pt>
                <c:pt idx="67">
                  <c:v>24.232886312902814</c:v>
                </c:pt>
                <c:pt idx="68">
                  <c:v>24.468871046797286</c:v>
                </c:pt>
                <c:pt idx="69">
                  <c:v>24.65430363173564</c:v>
                </c:pt>
                <c:pt idx="70">
                  <c:v>24.787772813779242</c:v>
                </c:pt>
                <c:pt idx="71">
                  <c:v>24.868262811861836</c:v>
                </c:pt>
                <c:pt idx="72">
                  <c:v>24.895161048496831</c:v>
                </c:pt>
              </c:numCache>
            </c:numRef>
          </c:xVal>
          <c:yVal>
            <c:numRef>
              <c:f>'HSP 1 Sphere'!$AX$3:$AX$75</c:f>
              <c:numCache>
                <c:formatCode>General</c:formatCode>
                <c:ptCount val="73"/>
                <c:pt idx="0">
                  <c:v>8.0681076208676448</c:v>
                </c:pt>
                <c:pt idx="1">
                  <c:v>8.6841785264218192</c:v>
                </c:pt>
                <c:pt idx="2">
                  <c:v>9.2955607603909431</c:v>
                </c:pt>
                <c:pt idx="3">
                  <c:v>9.8976013348118244</c:v>
                </c:pt>
                <c:pt idx="4">
                  <c:v>10.485718357391084</c:v>
                </c:pt>
                <c:pt idx="5">
                  <c:v>11.055435902472126</c:v>
                </c:pt>
                <c:pt idx="6">
                  <c:v>11.602418075532022</c:v>
                </c:pt>
                <c:pt idx="7">
                  <c:v>12.122502011956923</c:v>
                </c:pt>
                <c:pt idx="8">
                  <c:v>12.611729558955368</c:v>
                </c:pt>
                <c:pt idx="9">
                  <c:v>13.066377399491028</c:v>
                </c:pt>
                <c:pt idx="10">
                  <c:v>13.482985388973555</c:v>
                </c:pt>
                <c:pt idx="11">
                  <c:v>13.858382889048208</c:v>
                </c:pt>
                <c:pt idx="12">
                  <c:v>14.189712898068205</c:v>
                </c:pt>
                <c:pt idx="13">
                  <c:v>14.474453794602383</c:v>
                </c:pt>
                <c:pt idx="14">
                  <c:v>14.710438528496853</c:v>
                </c:pt>
                <c:pt idx="15">
                  <c:v>14.895871113435209</c:v>
                </c:pt>
                <c:pt idx="16">
                  <c:v>15.029340295478807</c:v>
                </c:pt>
                <c:pt idx="17">
                  <c:v>15.109830293561405</c:v>
                </c:pt>
                <c:pt idx="18">
                  <c:v>15.1367285301964</c:v>
                </c:pt>
                <c:pt idx="19">
                  <c:v>15.109830293561405</c:v>
                </c:pt>
                <c:pt idx="20">
                  <c:v>15.029340295478807</c:v>
                </c:pt>
                <c:pt idx="21">
                  <c:v>14.895871113435209</c:v>
                </c:pt>
                <c:pt idx="22">
                  <c:v>14.710438528496855</c:v>
                </c:pt>
                <c:pt idx="23">
                  <c:v>14.474453794602383</c:v>
                </c:pt>
                <c:pt idx="24">
                  <c:v>14.189712898068207</c:v>
                </c:pt>
                <c:pt idx="25">
                  <c:v>13.858382889048206</c:v>
                </c:pt>
                <c:pt idx="26">
                  <c:v>13.482985388973555</c:v>
                </c:pt>
                <c:pt idx="27">
                  <c:v>13.066377399491028</c:v>
                </c:pt>
                <c:pt idx="28">
                  <c:v>12.611729558955368</c:v>
                </c:pt>
                <c:pt idx="29">
                  <c:v>12.122502011956922</c:v>
                </c:pt>
                <c:pt idx="30">
                  <c:v>11.602418075532022</c:v>
                </c:pt>
                <c:pt idx="31">
                  <c:v>11.055435902472126</c:v>
                </c:pt>
                <c:pt idx="32">
                  <c:v>10.485718357391086</c:v>
                </c:pt>
                <c:pt idx="33">
                  <c:v>9.8976013348118279</c:v>
                </c:pt>
                <c:pt idx="34">
                  <c:v>9.2955607603909431</c:v>
                </c:pt>
                <c:pt idx="35">
                  <c:v>8.6841785264218192</c:v>
                </c:pt>
                <c:pt idx="36">
                  <c:v>8.0681076208676448</c:v>
                </c:pt>
                <c:pt idx="37">
                  <c:v>7.4520367153134721</c:v>
                </c:pt>
                <c:pt idx="38">
                  <c:v>6.8406544813443455</c:v>
                </c:pt>
                <c:pt idx="39">
                  <c:v>6.2386139069234643</c:v>
                </c:pt>
                <c:pt idx="40">
                  <c:v>5.6504968843442054</c:v>
                </c:pt>
                <c:pt idx="41">
                  <c:v>5.0807793392631648</c:v>
                </c:pt>
                <c:pt idx="42">
                  <c:v>4.5337971662032661</c:v>
                </c:pt>
                <c:pt idx="43">
                  <c:v>4.0137132297783662</c:v>
                </c:pt>
                <c:pt idx="44">
                  <c:v>3.5244856827799227</c:v>
                </c:pt>
                <c:pt idx="45">
                  <c:v>3.0698378422442625</c:v>
                </c:pt>
                <c:pt idx="46">
                  <c:v>2.6532298527617346</c:v>
                </c:pt>
                <c:pt idx="47">
                  <c:v>2.2778323526870841</c:v>
                </c:pt>
                <c:pt idx="48">
                  <c:v>1.9465023436670856</c:v>
                </c:pt>
                <c:pt idx="49">
                  <c:v>1.661761447132907</c:v>
                </c:pt>
                <c:pt idx="50">
                  <c:v>1.4257767132384354</c:v>
                </c:pt>
                <c:pt idx="51">
                  <c:v>1.2403441283000811</c:v>
                </c:pt>
                <c:pt idx="52">
                  <c:v>1.1068749462564824</c:v>
                </c:pt>
                <c:pt idx="53">
                  <c:v>1.0263849481738854</c:v>
                </c:pt>
                <c:pt idx="54">
                  <c:v>0.99948671153888924</c:v>
                </c:pt>
                <c:pt idx="55">
                  <c:v>1.0263849481738854</c:v>
                </c:pt>
                <c:pt idx="56">
                  <c:v>1.1068749462564815</c:v>
                </c:pt>
                <c:pt idx="57">
                  <c:v>1.2403441283000802</c:v>
                </c:pt>
                <c:pt idx="58">
                  <c:v>1.4257767132384362</c:v>
                </c:pt>
                <c:pt idx="59">
                  <c:v>1.6617614471329079</c:v>
                </c:pt>
                <c:pt idx="60">
                  <c:v>1.9465023436670839</c:v>
                </c:pt>
                <c:pt idx="61">
                  <c:v>2.2778323526870823</c:v>
                </c:pt>
                <c:pt idx="62">
                  <c:v>2.6532298527617337</c:v>
                </c:pt>
                <c:pt idx="63">
                  <c:v>3.0698378422442607</c:v>
                </c:pt>
                <c:pt idx="64">
                  <c:v>3.52448568277992</c:v>
                </c:pt>
                <c:pt idx="65">
                  <c:v>4.0137132297783635</c:v>
                </c:pt>
                <c:pt idx="66">
                  <c:v>4.5337971662032643</c:v>
                </c:pt>
                <c:pt idx="67">
                  <c:v>5.0807793392631648</c:v>
                </c:pt>
                <c:pt idx="68">
                  <c:v>5.6504968843442054</c:v>
                </c:pt>
                <c:pt idx="69">
                  <c:v>6.2386139069234652</c:v>
                </c:pt>
                <c:pt idx="70">
                  <c:v>6.8406544813443464</c:v>
                </c:pt>
                <c:pt idx="71">
                  <c:v>7.4520367153134695</c:v>
                </c:pt>
                <c:pt idx="72">
                  <c:v>8.068107620867643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B18-432B-A62C-403276C67A8A}"/>
            </c:ext>
          </c:extLst>
        </c:ser>
        <c:ser>
          <c:idx val="0"/>
          <c:order val="2"/>
          <c:tx>
            <c:v>Good Solv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'HSP 1 Sphere'!$BG$3:$BG$97</c:f>
              <c:numCache>
                <c:formatCode>General</c:formatCode>
                <c:ptCount val="95"/>
                <c:pt idx="0">
                  <c:v>15.5</c:v>
                </c:pt>
                <c:pt idx="1">
                  <c:v>17.8</c:v>
                </c:pt>
                <c:pt idx="2">
                  <c:v>18.5</c:v>
                </c:pt>
                <c:pt idx="3">
                  <c:v>18.399999999999999</c:v>
                </c:pt>
                <c:pt idx="4">
                  <c:v>18.100000000000001</c:v>
                </c:pt>
                <c:pt idx="5">
                  <c:v>15.8</c:v>
                </c:pt>
                <c:pt idx="6">
                  <c:v>16</c:v>
                </c:pt>
                <c:pt idx="7">
                  <c:v>18</c:v>
                </c:pt>
                <c:pt idx="8">
                  <c:v>17</c:v>
                </c:pt>
                <c:pt idx="9">
                  <c:v>17.399999999999999</c:v>
                </c:pt>
                <c:pt idx="10">
                  <c:v>16.8</c:v>
                </c:pt>
              </c:numCache>
            </c:numRef>
          </c:xVal>
          <c:yVal>
            <c:numRef>
              <c:f>'HSP 1 Sphere'!$BI$3:$BI$97</c:f>
              <c:numCache>
                <c:formatCode>General</c:formatCode>
                <c:ptCount val="95"/>
                <c:pt idx="0">
                  <c:v>7</c:v>
                </c:pt>
                <c:pt idx="1">
                  <c:v>5.7</c:v>
                </c:pt>
                <c:pt idx="2">
                  <c:v>13.7</c:v>
                </c:pt>
                <c:pt idx="3">
                  <c:v>10.199999999999999</c:v>
                </c:pt>
                <c:pt idx="4">
                  <c:v>9.3000000000000007</c:v>
                </c:pt>
                <c:pt idx="5">
                  <c:v>7.2</c:v>
                </c:pt>
                <c:pt idx="6">
                  <c:v>5.0999999999999996</c:v>
                </c:pt>
                <c:pt idx="7">
                  <c:v>7.2</c:v>
                </c:pt>
                <c:pt idx="8">
                  <c:v>7.1</c:v>
                </c:pt>
                <c:pt idx="9">
                  <c:v>11.3</c:v>
                </c:pt>
                <c:pt idx="10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B18-432B-A62C-403276C67A8A}"/>
            </c:ext>
          </c:extLst>
        </c:ser>
        <c:ser>
          <c:idx val="4"/>
          <c:order val="3"/>
          <c:tx>
            <c:v>Bad Solv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'HSP 1 Sphere'!$BL$3:$BL$97</c:f>
              <c:numCache>
                <c:formatCode>General</c:formatCode>
                <c:ptCount val="95"/>
                <c:pt idx="0">
                  <c:v>15.3</c:v>
                </c:pt>
                <c:pt idx="1">
                  <c:v>18.399999999999999</c:v>
                </c:pt>
                <c:pt idx="2">
                  <c:v>16.8</c:v>
                </c:pt>
                <c:pt idx="3">
                  <c:v>14.5</c:v>
                </c:pt>
                <c:pt idx="4">
                  <c:v>17.5</c:v>
                </c:pt>
                <c:pt idx="5">
                  <c:v>15.8</c:v>
                </c:pt>
                <c:pt idx="6">
                  <c:v>14.9</c:v>
                </c:pt>
                <c:pt idx="7">
                  <c:v>15.1</c:v>
                </c:pt>
                <c:pt idx="8">
                  <c:v>14.7</c:v>
                </c:pt>
                <c:pt idx="9">
                  <c:v>18</c:v>
                </c:pt>
                <c:pt idx="10">
                  <c:v>17.8</c:v>
                </c:pt>
              </c:numCache>
            </c:numRef>
          </c:xVal>
          <c:yVal>
            <c:numRef>
              <c:f>'HSP 1 Sphere'!$BN$3:$BN$97</c:f>
              <c:numCache>
                <c:formatCode>General</c:formatCode>
                <c:ptCount val="95"/>
                <c:pt idx="0">
                  <c:v>6.1</c:v>
                </c:pt>
                <c:pt idx="1">
                  <c:v>2</c:v>
                </c:pt>
                <c:pt idx="2">
                  <c:v>0.2</c:v>
                </c:pt>
                <c:pt idx="3">
                  <c:v>4.5999999999999996</c:v>
                </c:pt>
                <c:pt idx="4">
                  <c:v>9</c:v>
                </c:pt>
                <c:pt idx="5">
                  <c:v>19.399999999999999</c:v>
                </c:pt>
                <c:pt idx="6">
                  <c:v>0</c:v>
                </c:pt>
                <c:pt idx="7">
                  <c:v>3.2</c:v>
                </c:pt>
                <c:pt idx="8">
                  <c:v>22.3</c:v>
                </c:pt>
                <c:pt idx="9">
                  <c:v>2</c:v>
                </c:pt>
                <c:pt idx="10">
                  <c:v>3.1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B18-432B-A62C-403276C67A8A}"/>
            </c:ext>
          </c:extLst>
        </c:ser>
        <c:ser>
          <c:idx val="3"/>
          <c:order val="4"/>
          <c:tx>
            <c:v>Outlier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C000"/>
              </a:solidFill>
              <a:ln w="9525">
                <a:solidFill>
                  <a:srgbClr val="FFC000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C2F3-4882-A52D-368821CE9E5E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C2F3-4882-A52D-368821CE9E5E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C2F3-4882-A52D-368821CE9E5E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C2F3-4882-A52D-368821CE9E5E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C2F3-4882-A52D-368821CE9E5E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C2F3-4882-A52D-368821CE9E5E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C2F3-4882-A52D-368821CE9E5E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C2F3-4882-A52D-368821CE9E5E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C2F3-4882-A52D-368821CE9E5E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C2F3-4882-A52D-368821CE9E5E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A-C2F3-4882-A52D-368821CE9E5E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C2F3-4882-A52D-368821CE9E5E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C-C2F3-4882-A52D-368821CE9E5E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D-C2F3-4882-A52D-368821CE9E5E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E-C2F3-4882-A52D-368821CE9E5E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F-C2F3-4882-A52D-368821CE9E5E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0-C2F3-4882-A52D-368821CE9E5E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1-C2F3-4882-A52D-368821CE9E5E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2-C2F3-4882-A52D-368821CE9E5E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3-C2F3-4882-A52D-368821CE9E5E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4-C2F3-4882-A52D-368821CE9E5E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5-C2F3-4882-A52D-368821CE9E5E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6-C2F3-4882-A52D-368821CE9E5E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7-C2F3-4882-A52D-368821CE9E5E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8-C2F3-4882-A52D-368821CE9E5E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9-C2F3-4882-A52D-368821CE9E5E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A-C2F3-4882-A52D-368821CE9E5E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B-C2F3-4882-A52D-368821CE9E5E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C-C2F3-4882-A52D-368821CE9E5E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D-C2F3-4882-A52D-368821CE9E5E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E-C2F3-4882-A52D-368821CE9E5E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F-C2F3-4882-A52D-368821CE9E5E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0-C2F3-4882-A52D-368821CE9E5E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1-C2F3-4882-A52D-368821CE9E5E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2-C2F3-4882-A52D-368821CE9E5E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3-C2F3-4882-A52D-368821CE9E5E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4-C2F3-4882-A52D-368821CE9E5E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5-C2F3-4882-A52D-368821CE9E5E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6-C2F3-4882-A52D-368821CE9E5E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7-C2F3-4882-A52D-368821CE9E5E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8-C2F3-4882-A52D-368821CE9E5E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9-C2F3-4882-A52D-368821CE9E5E}"/>
                </c:ext>
              </c:extLst>
            </c:dLbl>
            <c:dLbl>
              <c:idx val="42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A-C2F3-4882-A52D-368821CE9E5E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B-C2F3-4882-A52D-368821CE9E5E}"/>
                </c:ext>
              </c:extLst>
            </c:dLbl>
            <c:dLbl>
              <c:idx val="44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C-C2F3-4882-A52D-368821CE9E5E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D-C2F3-4882-A52D-368821CE9E5E}"/>
                </c:ext>
              </c:extLst>
            </c:dLbl>
            <c:dLbl>
              <c:idx val="46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E-C2F3-4882-A52D-368821CE9E5E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F-C2F3-4882-A52D-368821CE9E5E}"/>
                </c:ext>
              </c:extLst>
            </c:dLbl>
            <c:dLbl>
              <c:idx val="48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0-C2F3-4882-A52D-368821CE9E5E}"/>
                </c:ext>
              </c:extLst>
            </c:dLbl>
            <c:dLbl>
              <c:idx val="49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1-C2F3-4882-A52D-368821CE9E5E}"/>
                </c:ext>
              </c:extLst>
            </c:dLbl>
            <c:dLbl>
              <c:idx val="50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2-C2F3-4882-A52D-368821CE9E5E}"/>
                </c:ext>
              </c:extLst>
            </c:dLbl>
            <c:dLbl>
              <c:idx val="51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3-C2F3-4882-A52D-368821CE9E5E}"/>
                </c:ext>
              </c:extLst>
            </c:dLbl>
            <c:dLbl>
              <c:idx val="52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4-C2F3-4882-A52D-368821CE9E5E}"/>
                </c:ext>
              </c:extLst>
            </c:dLbl>
            <c:dLbl>
              <c:idx val="53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5-C2F3-4882-A52D-368821CE9E5E}"/>
                </c:ext>
              </c:extLst>
            </c:dLbl>
            <c:dLbl>
              <c:idx val="54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6-C2F3-4882-A52D-368821CE9E5E}"/>
                </c:ext>
              </c:extLst>
            </c:dLbl>
            <c:dLbl>
              <c:idx val="55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7-C2F3-4882-A52D-368821CE9E5E}"/>
                </c:ext>
              </c:extLst>
            </c:dLbl>
            <c:dLbl>
              <c:idx val="56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8-C2F3-4882-A52D-368821CE9E5E}"/>
                </c:ext>
              </c:extLst>
            </c:dLbl>
            <c:dLbl>
              <c:idx val="57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9-C2F3-4882-A52D-368821CE9E5E}"/>
                </c:ext>
              </c:extLst>
            </c:dLbl>
            <c:dLbl>
              <c:idx val="58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A-C2F3-4882-A52D-368821CE9E5E}"/>
                </c:ext>
              </c:extLst>
            </c:dLbl>
            <c:dLbl>
              <c:idx val="59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B-C2F3-4882-A52D-368821CE9E5E}"/>
                </c:ext>
              </c:extLst>
            </c:dLbl>
            <c:dLbl>
              <c:idx val="60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C-C2F3-4882-A52D-368821CE9E5E}"/>
                </c:ext>
              </c:extLst>
            </c:dLbl>
            <c:dLbl>
              <c:idx val="61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D-C2F3-4882-A52D-368821CE9E5E}"/>
                </c:ext>
              </c:extLst>
            </c:dLbl>
            <c:dLbl>
              <c:idx val="62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E-C2F3-4882-A52D-368821CE9E5E}"/>
                </c:ext>
              </c:extLst>
            </c:dLbl>
            <c:dLbl>
              <c:idx val="63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F-C2F3-4882-A52D-368821CE9E5E}"/>
                </c:ext>
              </c:extLst>
            </c:dLbl>
            <c:dLbl>
              <c:idx val="64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0-C2F3-4882-A52D-368821CE9E5E}"/>
                </c:ext>
              </c:extLst>
            </c:dLbl>
            <c:dLbl>
              <c:idx val="65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1-C2F3-4882-A52D-368821CE9E5E}"/>
                </c:ext>
              </c:extLst>
            </c:dLbl>
            <c:dLbl>
              <c:idx val="66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2-C2F3-4882-A52D-368821CE9E5E}"/>
                </c:ext>
              </c:extLst>
            </c:dLbl>
            <c:dLbl>
              <c:idx val="67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3-C2F3-4882-A52D-368821CE9E5E}"/>
                </c:ext>
              </c:extLst>
            </c:dLbl>
            <c:dLbl>
              <c:idx val="68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4-C2F3-4882-A52D-368821CE9E5E}"/>
                </c:ext>
              </c:extLst>
            </c:dLbl>
            <c:dLbl>
              <c:idx val="69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5-C2F3-4882-A52D-368821CE9E5E}"/>
                </c:ext>
              </c:extLst>
            </c:dLbl>
            <c:dLbl>
              <c:idx val="70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6-C2F3-4882-A52D-368821CE9E5E}"/>
                </c:ext>
              </c:extLst>
            </c:dLbl>
            <c:dLbl>
              <c:idx val="71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7-C2F3-4882-A52D-368821CE9E5E}"/>
                </c:ext>
              </c:extLst>
            </c:dLbl>
            <c:dLbl>
              <c:idx val="72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8-C2F3-4882-A52D-368821CE9E5E}"/>
                </c:ext>
              </c:extLst>
            </c:dLbl>
            <c:dLbl>
              <c:idx val="73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9-C2F3-4882-A52D-368821CE9E5E}"/>
                </c:ext>
              </c:extLst>
            </c:dLbl>
            <c:dLbl>
              <c:idx val="74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A-C2F3-4882-A52D-368821CE9E5E}"/>
                </c:ext>
              </c:extLst>
            </c:dLbl>
            <c:dLbl>
              <c:idx val="75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B-C2F3-4882-A52D-368821CE9E5E}"/>
                </c:ext>
              </c:extLst>
            </c:dLbl>
            <c:dLbl>
              <c:idx val="76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C-C2F3-4882-A52D-368821CE9E5E}"/>
                </c:ext>
              </c:extLst>
            </c:dLbl>
            <c:dLbl>
              <c:idx val="77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D-C2F3-4882-A52D-368821CE9E5E}"/>
                </c:ext>
              </c:extLst>
            </c:dLbl>
            <c:dLbl>
              <c:idx val="78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E-C2F3-4882-A52D-368821CE9E5E}"/>
                </c:ext>
              </c:extLst>
            </c:dLbl>
            <c:dLbl>
              <c:idx val="79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F-C2F3-4882-A52D-368821CE9E5E}"/>
                </c:ext>
              </c:extLst>
            </c:dLbl>
            <c:dLbl>
              <c:idx val="80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0-C2F3-4882-A52D-368821CE9E5E}"/>
                </c:ext>
              </c:extLst>
            </c:dLbl>
            <c:dLbl>
              <c:idx val="81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1-C2F3-4882-A52D-368821CE9E5E}"/>
                </c:ext>
              </c:extLst>
            </c:dLbl>
            <c:dLbl>
              <c:idx val="82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2-C2F3-4882-A52D-368821CE9E5E}"/>
                </c:ext>
              </c:extLst>
            </c:dLbl>
            <c:dLbl>
              <c:idx val="83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3-C2F3-4882-A52D-368821CE9E5E}"/>
                </c:ext>
              </c:extLst>
            </c:dLbl>
            <c:dLbl>
              <c:idx val="84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4-C2F3-4882-A52D-368821CE9E5E}"/>
                </c:ext>
              </c:extLst>
            </c:dLbl>
            <c:dLbl>
              <c:idx val="85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5-C2F3-4882-A52D-368821CE9E5E}"/>
                </c:ext>
              </c:extLst>
            </c:dLbl>
            <c:dLbl>
              <c:idx val="86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6-C2F3-4882-A52D-368821CE9E5E}"/>
                </c:ext>
              </c:extLst>
            </c:dLbl>
            <c:dLbl>
              <c:idx val="87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7-C2F3-4882-A52D-368821CE9E5E}"/>
                </c:ext>
              </c:extLst>
            </c:dLbl>
            <c:dLbl>
              <c:idx val="88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8-C2F3-4882-A52D-368821CE9E5E}"/>
                </c:ext>
              </c:extLst>
            </c:dLbl>
            <c:dLbl>
              <c:idx val="89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9-C2F3-4882-A52D-368821CE9E5E}"/>
                </c:ext>
              </c:extLst>
            </c:dLbl>
            <c:dLbl>
              <c:idx val="90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A-C2F3-4882-A52D-368821CE9E5E}"/>
                </c:ext>
              </c:extLst>
            </c:dLbl>
            <c:dLbl>
              <c:idx val="91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B-C2F3-4882-A52D-368821CE9E5E}"/>
                </c:ext>
              </c:extLst>
            </c:dLbl>
            <c:dLbl>
              <c:idx val="92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C-C2F3-4882-A52D-368821CE9E5E}"/>
                </c:ext>
              </c:extLst>
            </c:dLbl>
            <c:dLbl>
              <c:idx val="93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D-C2F3-4882-A52D-368821CE9E5E}"/>
                </c:ext>
              </c:extLst>
            </c:dLbl>
            <c:dLbl>
              <c:idx val="94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E-C2F3-4882-A52D-368821CE9E5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'HSP 1 Sphere'!$BB$3:$BB$97</c:f>
              <c:numCache>
                <c:formatCode>General</c:formatCode>
                <c:ptCount val="95"/>
              </c:numCache>
            </c:numRef>
          </c:xVal>
          <c:yVal>
            <c:numRef>
              <c:f>'HSP 1 Sphere'!$BD$3:$BD$97</c:f>
              <c:numCache>
                <c:formatCode>General</c:formatCode>
                <c:ptCount val="9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B18-432B-A62C-403276C67A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7037128"/>
        <c:axId val="307037520"/>
      </c:scatterChart>
      <c:valAx>
        <c:axId val="3070371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b="1"/>
                  <a:t>dD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7037520"/>
        <c:crosses val="autoZero"/>
        <c:crossBetween val="midCat"/>
      </c:valAx>
      <c:valAx>
        <c:axId val="307037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b="1"/>
                  <a:t>dH</a:t>
                </a:r>
              </a:p>
            </c:rich>
          </c:tx>
          <c:layout>
            <c:manualLayout>
              <c:xMode val="edge"/>
              <c:yMode val="edge"/>
              <c:x val="2.4558740349333577E-3"/>
              <c:y val="0.4956601895957837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70371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8.4634060265601843E-2"/>
          <c:y val="5.7803519906126262E-2"/>
          <c:w val="0.18351547732425758"/>
          <c:h val="0.2129747720384677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9428477690288726E-2"/>
          <c:y val="5.0925925925925923E-2"/>
          <c:w val="0.88423818897637796"/>
          <c:h val="0.89821220155050752"/>
        </c:manualLayout>
      </c:layout>
      <c:scatterChart>
        <c:scatterStyle val="lineMarker"/>
        <c:varyColors val="0"/>
        <c:ser>
          <c:idx val="1"/>
          <c:order val="0"/>
          <c:tx>
            <c:v>Reference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2">
                  <a:lumMod val="60000"/>
                  <a:lumOff val="40000"/>
                </a:schemeClr>
              </a:solidFill>
              <a:ln w="0">
                <a:solidFill>
                  <a:schemeClr val="tx2">
                    <a:lumMod val="60000"/>
                    <a:lumOff val="40000"/>
                  </a:schemeClr>
                </a:solidFill>
              </a:ln>
              <a:effectLst/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044-405A-8F15-C6855F9147F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'HSP 2 Spheres'!$D$3</c:f>
              <c:numCache>
                <c:formatCode>0.00</c:formatCode>
                <c:ptCount val="1"/>
                <c:pt idx="0">
                  <c:v>3.8117288880368432</c:v>
                </c:pt>
              </c:numCache>
            </c:numRef>
          </c:xVal>
          <c:yVal>
            <c:numRef>
              <c:f>'HSP 2 Spheres'!$E$3</c:f>
              <c:numCache>
                <c:formatCode>0.00</c:formatCode>
                <c:ptCount val="1"/>
                <c:pt idx="0">
                  <c:v>8.7640383721148947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044-405A-8F15-C6855F9147FC}"/>
            </c:ext>
          </c:extLst>
        </c:ser>
        <c:ser>
          <c:idx val="2"/>
          <c:order val="1"/>
          <c:tx>
            <c:v>Sphere</c:v>
          </c:tx>
          <c:spPr>
            <a:ln w="15875" cap="rnd">
              <a:solidFill>
                <a:schemeClr val="tx2">
                  <a:lumMod val="60000"/>
                  <a:lumOff val="4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dLbls>
            <c:delete val="1"/>
          </c:dLbls>
          <c:xVal>
            <c:numRef>
              <c:f>'HSP 2 Spheres'!$AW$3:$AW$75</c:f>
              <c:numCache>
                <c:formatCode>General</c:formatCode>
                <c:ptCount val="73"/>
                <c:pt idx="0">
                  <c:v>9.6358324763952261</c:v>
                </c:pt>
                <c:pt idx="1">
                  <c:v>9.6136700038965746</c:v>
                </c:pt>
                <c:pt idx="2">
                  <c:v>9.5473512561984002</c:v>
                </c:pt>
                <c:pt idx="3">
                  <c:v>9.4373809590150426</c:v>
                </c:pt>
                <c:pt idx="4">
                  <c:v>9.2845960527099454</c:v>
                </c:pt>
                <c:pt idx="5">
                  <c:v>9.0901593226741415</c:v>
                </c:pt>
                <c:pt idx="6">
                  <c:v>8.8555505498273099</c:v>
                </c:pt>
                <c:pt idx="7">
                  <c:v>8.5825552485914649</c:v>
                </c:pt>
                <c:pt idx="8">
                  <c:v>8.2732510780480819</c:v>
                </c:pt>
                <c:pt idx="9">
                  <c:v>7.9299920296979618</c:v>
                </c:pt>
                <c:pt idx="10">
                  <c:v>7.5553905121645251</c:v>
                </c:pt>
                <c:pt idx="11">
                  <c:v>7.1522974691867844</c:v>
                </c:pt>
                <c:pt idx="12">
                  <c:v>6.7237806822160353</c:v>
                </c:pt>
                <c:pt idx="13">
                  <c:v>6.2731014227466328</c:v>
                </c:pt>
                <c:pt idx="14">
                  <c:v>5.8036896320707196</c:v>
                </c:pt>
                <c:pt idx="15">
                  <c:v>5.3191178173539244</c:v>
                </c:pt>
                <c:pt idx="16">
                  <c:v>4.8230738626987062</c:v>
                </c:pt>
                <c:pt idx="17">
                  <c:v>4.3193329621195193</c:v>
                </c:pt>
                <c:pt idx="18">
                  <c:v>3.8117288880368436</c:v>
                </c:pt>
                <c:pt idx="19">
                  <c:v>3.3041248139541666</c:v>
                </c:pt>
                <c:pt idx="20">
                  <c:v>2.8003839133749802</c:v>
                </c:pt>
                <c:pt idx="21">
                  <c:v>2.3043399587197611</c:v>
                </c:pt>
                <c:pt idx="22">
                  <c:v>1.8197681440029674</c:v>
                </c:pt>
                <c:pt idx="23">
                  <c:v>1.3503563533270535</c:v>
                </c:pt>
                <c:pt idx="24">
                  <c:v>0.89967709385765282</c:v>
                </c:pt>
                <c:pt idx="25">
                  <c:v>0.47116030688690147</c:v>
                </c:pt>
                <c:pt idx="26">
                  <c:v>6.8067263909161291E-2</c:v>
                </c:pt>
                <c:pt idx="27">
                  <c:v>-0.30653425362427411</c:v>
                </c:pt>
                <c:pt idx="28">
                  <c:v>-0.64979330197439511</c:v>
                </c:pt>
                <c:pt idx="29">
                  <c:v>-0.95909747251777988</c:v>
                </c:pt>
                <c:pt idx="30">
                  <c:v>-1.232092773753624</c:v>
                </c:pt>
                <c:pt idx="31">
                  <c:v>-1.4667015466004556</c:v>
                </c:pt>
                <c:pt idx="32">
                  <c:v>-1.6611382766362595</c:v>
                </c:pt>
                <c:pt idx="33">
                  <c:v>-1.8139231829413558</c:v>
                </c:pt>
                <c:pt idx="34">
                  <c:v>-1.9238934801247143</c:v>
                </c:pt>
                <c:pt idx="35">
                  <c:v>-1.9902122278228886</c:v>
                </c:pt>
                <c:pt idx="36">
                  <c:v>-2.0123747003215402</c:v>
                </c:pt>
                <c:pt idx="37">
                  <c:v>-1.9902122278228886</c:v>
                </c:pt>
                <c:pt idx="38">
                  <c:v>-1.9238934801247143</c:v>
                </c:pt>
                <c:pt idx="39">
                  <c:v>-1.8139231829413558</c:v>
                </c:pt>
                <c:pt idx="40">
                  <c:v>-1.6611382766362595</c:v>
                </c:pt>
                <c:pt idx="41">
                  <c:v>-1.4667015466004556</c:v>
                </c:pt>
                <c:pt idx="42">
                  <c:v>-1.2320927737536231</c:v>
                </c:pt>
                <c:pt idx="43">
                  <c:v>-0.95909747251777899</c:v>
                </c:pt>
                <c:pt idx="44">
                  <c:v>-0.649793301974396</c:v>
                </c:pt>
                <c:pt idx="45">
                  <c:v>-0.306534253624275</c:v>
                </c:pt>
                <c:pt idx="46">
                  <c:v>6.8067263909160847E-2</c:v>
                </c:pt>
                <c:pt idx="47">
                  <c:v>0.47116030688690014</c:v>
                </c:pt>
                <c:pt idx="48">
                  <c:v>0.89967709385764882</c:v>
                </c:pt>
                <c:pt idx="49">
                  <c:v>1.3503563533270548</c:v>
                </c:pt>
                <c:pt idx="50">
                  <c:v>1.8197681440029685</c:v>
                </c:pt>
                <c:pt idx="51">
                  <c:v>2.3043399587197628</c:v>
                </c:pt>
                <c:pt idx="52">
                  <c:v>2.8003839133749802</c:v>
                </c:pt>
                <c:pt idx="53">
                  <c:v>3.3041248139541666</c:v>
                </c:pt>
                <c:pt idx="54">
                  <c:v>3.8117288880368423</c:v>
                </c:pt>
                <c:pt idx="55">
                  <c:v>4.3193329621195176</c:v>
                </c:pt>
                <c:pt idx="56">
                  <c:v>4.8230738626987044</c:v>
                </c:pt>
                <c:pt idx="57">
                  <c:v>5.3191178173539218</c:v>
                </c:pt>
                <c:pt idx="58">
                  <c:v>5.8036896320707205</c:v>
                </c:pt>
                <c:pt idx="59">
                  <c:v>6.2731014227466346</c:v>
                </c:pt>
                <c:pt idx="60">
                  <c:v>6.7237806822160353</c:v>
                </c:pt>
                <c:pt idx="61">
                  <c:v>7.1522974691867844</c:v>
                </c:pt>
                <c:pt idx="62">
                  <c:v>7.5553905121645242</c:v>
                </c:pt>
                <c:pt idx="63">
                  <c:v>7.92999202969796</c:v>
                </c:pt>
                <c:pt idx="64">
                  <c:v>8.2732510780480819</c:v>
                </c:pt>
                <c:pt idx="65">
                  <c:v>8.5825552485914649</c:v>
                </c:pt>
                <c:pt idx="66">
                  <c:v>8.8555505498273082</c:v>
                </c:pt>
                <c:pt idx="67">
                  <c:v>9.0901593226741415</c:v>
                </c:pt>
                <c:pt idx="68">
                  <c:v>9.2845960527099454</c:v>
                </c:pt>
                <c:pt idx="69">
                  <c:v>9.4373809590150426</c:v>
                </c:pt>
                <c:pt idx="70">
                  <c:v>9.5473512561984002</c:v>
                </c:pt>
                <c:pt idx="71">
                  <c:v>9.6136700038965746</c:v>
                </c:pt>
                <c:pt idx="72">
                  <c:v>9.6358324763952261</c:v>
                </c:pt>
              </c:numCache>
            </c:numRef>
          </c:xVal>
          <c:yVal>
            <c:numRef>
              <c:f>'HSP 2 Spheres'!$AX$3:$AX$75</c:f>
              <c:numCache>
                <c:formatCode>General</c:formatCode>
                <c:ptCount val="73"/>
                <c:pt idx="0">
                  <c:v>8.7640383721148947</c:v>
                </c:pt>
                <c:pt idx="1">
                  <c:v>9.2716424461975713</c:v>
                </c:pt>
                <c:pt idx="2">
                  <c:v>9.7753833467767581</c:v>
                </c:pt>
                <c:pt idx="3">
                  <c:v>10.271427301431975</c:v>
                </c:pt>
                <c:pt idx="4">
                  <c:v>10.75599911614877</c:v>
                </c:pt>
                <c:pt idx="5">
                  <c:v>11.225410906824685</c:v>
                </c:pt>
                <c:pt idx="6">
                  <c:v>11.676090166294086</c:v>
                </c:pt>
                <c:pt idx="7">
                  <c:v>12.104606953264836</c:v>
                </c:pt>
                <c:pt idx="8">
                  <c:v>12.507699996242575</c:v>
                </c:pt>
                <c:pt idx="9">
                  <c:v>12.882301513776012</c:v>
                </c:pt>
                <c:pt idx="10">
                  <c:v>13.225560562126134</c:v>
                </c:pt>
                <c:pt idx="11">
                  <c:v>13.534864732669517</c:v>
                </c:pt>
                <c:pt idx="12">
                  <c:v>13.80786003390536</c:v>
                </c:pt>
                <c:pt idx="13">
                  <c:v>14.042468806752193</c:v>
                </c:pt>
                <c:pt idx="14">
                  <c:v>14.236905536787997</c:v>
                </c:pt>
                <c:pt idx="15">
                  <c:v>14.389690443093095</c:v>
                </c:pt>
                <c:pt idx="16">
                  <c:v>14.499660740276452</c:v>
                </c:pt>
                <c:pt idx="17">
                  <c:v>14.565979487974626</c:v>
                </c:pt>
                <c:pt idx="18">
                  <c:v>14.588141960473278</c:v>
                </c:pt>
                <c:pt idx="19">
                  <c:v>14.565979487974626</c:v>
                </c:pt>
                <c:pt idx="20">
                  <c:v>14.499660740276452</c:v>
                </c:pt>
                <c:pt idx="21">
                  <c:v>14.389690443093095</c:v>
                </c:pt>
                <c:pt idx="22">
                  <c:v>14.236905536787997</c:v>
                </c:pt>
                <c:pt idx="23">
                  <c:v>14.042468806752193</c:v>
                </c:pt>
                <c:pt idx="24">
                  <c:v>13.807860033905362</c:v>
                </c:pt>
                <c:pt idx="25">
                  <c:v>13.534864732669517</c:v>
                </c:pt>
                <c:pt idx="26">
                  <c:v>13.225560562126134</c:v>
                </c:pt>
                <c:pt idx="27">
                  <c:v>12.882301513776014</c:v>
                </c:pt>
                <c:pt idx="28">
                  <c:v>12.507699996242577</c:v>
                </c:pt>
                <c:pt idx="29">
                  <c:v>12.104606953264835</c:v>
                </c:pt>
                <c:pt idx="30">
                  <c:v>11.676090166294086</c:v>
                </c:pt>
                <c:pt idx="31">
                  <c:v>11.225410906824685</c:v>
                </c:pt>
                <c:pt idx="32">
                  <c:v>10.755999116148772</c:v>
                </c:pt>
                <c:pt idx="33">
                  <c:v>10.271427301431977</c:v>
                </c:pt>
                <c:pt idx="34">
                  <c:v>9.7753833467767581</c:v>
                </c:pt>
                <c:pt idx="35">
                  <c:v>9.2716424461975713</c:v>
                </c:pt>
                <c:pt idx="36">
                  <c:v>8.7640383721148947</c:v>
                </c:pt>
                <c:pt idx="37">
                  <c:v>8.2564342980322198</c:v>
                </c:pt>
                <c:pt idx="38">
                  <c:v>7.7526933974530312</c:v>
                </c:pt>
                <c:pt idx="39">
                  <c:v>7.256649442797813</c:v>
                </c:pt>
                <c:pt idx="40">
                  <c:v>6.7720776280810195</c:v>
                </c:pt>
                <c:pt idx="41">
                  <c:v>6.3026658374051054</c:v>
                </c:pt>
                <c:pt idx="42">
                  <c:v>5.851986577935703</c:v>
                </c:pt>
                <c:pt idx="43">
                  <c:v>5.423469790964953</c:v>
                </c:pt>
                <c:pt idx="44">
                  <c:v>5.0203767479872141</c:v>
                </c:pt>
                <c:pt idx="45">
                  <c:v>4.6457752304537774</c:v>
                </c:pt>
                <c:pt idx="46">
                  <c:v>4.3025161821036564</c:v>
                </c:pt>
                <c:pt idx="47">
                  <c:v>3.9932120115602734</c:v>
                </c:pt>
                <c:pt idx="48">
                  <c:v>3.7202167103244292</c:v>
                </c:pt>
                <c:pt idx="49">
                  <c:v>3.4856079374775959</c:v>
                </c:pt>
                <c:pt idx="50">
                  <c:v>3.291171207441792</c:v>
                </c:pt>
                <c:pt idx="51">
                  <c:v>3.1383863011366957</c:v>
                </c:pt>
                <c:pt idx="52">
                  <c:v>3.0284160039533372</c:v>
                </c:pt>
                <c:pt idx="53">
                  <c:v>2.9620972562551628</c:v>
                </c:pt>
                <c:pt idx="54">
                  <c:v>2.9399347837565113</c:v>
                </c:pt>
                <c:pt idx="55">
                  <c:v>2.9620972562551628</c:v>
                </c:pt>
                <c:pt idx="56">
                  <c:v>3.0284160039533363</c:v>
                </c:pt>
                <c:pt idx="57">
                  <c:v>3.1383863011366948</c:v>
                </c:pt>
                <c:pt idx="58">
                  <c:v>3.291171207441792</c:v>
                </c:pt>
                <c:pt idx="59">
                  <c:v>3.4856079374775959</c:v>
                </c:pt>
                <c:pt idx="60">
                  <c:v>3.7202167103244284</c:v>
                </c:pt>
                <c:pt idx="61">
                  <c:v>3.9932120115602725</c:v>
                </c:pt>
                <c:pt idx="62">
                  <c:v>4.3025161821036546</c:v>
                </c:pt>
                <c:pt idx="63">
                  <c:v>4.6457752304537765</c:v>
                </c:pt>
                <c:pt idx="64">
                  <c:v>5.0203767479872115</c:v>
                </c:pt>
                <c:pt idx="65">
                  <c:v>5.4234697909649512</c:v>
                </c:pt>
                <c:pt idx="66">
                  <c:v>5.8519865779357003</c:v>
                </c:pt>
                <c:pt idx="67">
                  <c:v>6.3026658374051063</c:v>
                </c:pt>
                <c:pt idx="68">
                  <c:v>6.7720776280810195</c:v>
                </c:pt>
                <c:pt idx="69">
                  <c:v>7.2566494427978139</c:v>
                </c:pt>
                <c:pt idx="70">
                  <c:v>7.7526933974530312</c:v>
                </c:pt>
                <c:pt idx="71">
                  <c:v>8.2564342980322181</c:v>
                </c:pt>
                <c:pt idx="72">
                  <c:v>8.7640383721148929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044-405A-8F15-C6855F9147FC}"/>
            </c:ext>
          </c:extLst>
        </c:ser>
        <c:ser>
          <c:idx val="4"/>
          <c:order val="2"/>
          <c:tx>
            <c:v>Sphere 2</c:v>
          </c:tx>
          <c:spPr>
            <a:ln w="15875" cap="rnd">
              <a:solidFill>
                <a:schemeClr val="accent6">
                  <a:lumMod val="75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dLbls>
            <c:delete val="1"/>
          </c:dLbls>
          <c:xVal>
            <c:numRef>
              <c:f>'HSP 2 Spheres'!$BA$3:$BA$75</c:f>
              <c:numCache>
                <c:formatCode>General</c:formatCode>
                <c:ptCount val="73"/>
                <c:pt idx="0">
                  <c:v>16.681514375937503</c:v>
                </c:pt>
                <c:pt idx="1">
                  <c:v>16.661505996241829</c:v>
                </c:pt>
                <c:pt idx="2">
                  <c:v>16.601633133005674</c:v>
                </c:pt>
                <c:pt idx="3">
                  <c:v>16.502351454870492</c:v>
                </c:pt>
                <c:pt idx="4">
                  <c:v>16.364416555354811</c:v>
                </c:pt>
                <c:pt idx="5">
                  <c:v>16.18887820233131</c:v>
                </c:pt>
                <c:pt idx="6">
                  <c:v>15.977072348659453</c:v>
                </c:pt>
                <c:pt idx="7">
                  <c:v>15.730610964777558</c:v>
                </c:pt>
                <c:pt idx="8">
                  <c:v>15.451369770634415</c:v>
                </c:pt>
                <c:pt idx="9">
                  <c:v>15.141473960327898</c:v>
                </c:pt>
                <c:pt idx="10">
                  <c:v>14.803282028094646</c:v>
                </c:pt>
                <c:pt idx="11">
                  <c:v>14.439367818744827</c:v>
                </c:pt>
                <c:pt idx="12">
                  <c:v>14.052500939148997</c:v>
                </c:pt>
                <c:pt idx="13">
                  <c:v>13.645625679857492</c:v>
                </c:pt>
                <c:pt idx="14">
                  <c:v>13.221838607271518</c:v>
                </c:pt>
                <c:pt idx="15">
                  <c:v>12.784364996903086</c:v>
                </c:pt>
                <c:pt idx="16">
                  <c:v>12.336534287080887</c:v>
                </c:pt>
                <c:pt idx="17">
                  <c:v>11.881754739914243</c:v>
                </c:pt>
                <c:pt idx="18">
                  <c:v>11.423487502360491</c:v>
                </c:pt>
                <c:pt idx="19">
                  <c:v>10.965220264806739</c:v>
                </c:pt>
                <c:pt idx="20">
                  <c:v>10.510440717640096</c:v>
                </c:pt>
                <c:pt idx="21">
                  <c:v>10.062610007817895</c:v>
                </c:pt>
                <c:pt idx="22">
                  <c:v>9.625136397449463</c:v>
                </c:pt>
                <c:pt idx="23">
                  <c:v>9.2013493248634894</c:v>
                </c:pt>
                <c:pt idx="24">
                  <c:v>8.7944740655719862</c:v>
                </c:pt>
                <c:pt idx="25">
                  <c:v>8.4076071859761541</c:v>
                </c:pt>
                <c:pt idx="26">
                  <c:v>8.0436929766263354</c:v>
                </c:pt>
                <c:pt idx="27">
                  <c:v>7.7055010443930838</c:v>
                </c:pt>
                <c:pt idx="28">
                  <c:v>7.3956052340865677</c:v>
                </c:pt>
                <c:pt idx="29">
                  <c:v>7.1163640399434236</c:v>
                </c:pt>
                <c:pt idx="30">
                  <c:v>6.8699026560615284</c:v>
                </c:pt>
                <c:pt idx="31">
                  <c:v>6.6580968023896734</c:v>
                </c:pt>
                <c:pt idx="32">
                  <c:v>6.4825584493661719</c:v>
                </c:pt>
                <c:pt idx="33">
                  <c:v>6.344623549850489</c:v>
                </c:pt>
                <c:pt idx="34">
                  <c:v>6.2453418717153077</c:v>
                </c:pt>
                <c:pt idx="35">
                  <c:v>6.1854690084791537</c:v>
                </c:pt>
                <c:pt idx="36">
                  <c:v>6.1654606287834781</c:v>
                </c:pt>
                <c:pt idx="37">
                  <c:v>6.1854690084791537</c:v>
                </c:pt>
                <c:pt idx="38">
                  <c:v>6.2453418717153077</c:v>
                </c:pt>
                <c:pt idx="39">
                  <c:v>6.3446235498504882</c:v>
                </c:pt>
                <c:pt idx="40">
                  <c:v>6.482558449366171</c:v>
                </c:pt>
                <c:pt idx="41">
                  <c:v>6.6580968023896725</c:v>
                </c:pt>
                <c:pt idx="42">
                  <c:v>6.8699026560615293</c:v>
                </c:pt>
                <c:pt idx="43">
                  <c:v>7.1163640399434245</c:v>
                </c:pt>
                <c:pt idx="44">
                  <c:v>7.3956052340865668</c:v>
                </c:pt>
                <c:pt idx="45">
                  <c:v>7.7055010443930829</c:v>
                </c:pt>
                <c:pt idx="46">
                  <c:v>8.0436929766263354</c:v>
                </c:pt>
                <c:pt idx="47">
                  <c:v>8.4076071859761541</c:v>
                </c:pt>
                <c:pt idx="48">
                  <c:v>8.7944740655719826</c:v>
                </c:pt>
                <c:pt idx="49">
                  <c:v>9.2013493248634912</c:v>
                </c:pt>
                <c:pt idx="50">
                  <c:v>9.625136397449463</c:v>
                </c:pt>
                <c:pt idx="51">
                  <c:v>10.062610007817897</c:v>
                </c:pt>
                <c:pt idx="52">
                  <c:v>10.510440717640096</c:v>
                </c:pt>
                <c:pt idx="53">
                  <c:v>10.965220264806739</c:v>
                </c:pt>
                <c:pt idx="54">
                  <c:v>11.423487502360489</c:v>
                </c:pt>
                <c:pt idx="55">
                  <c:v>11.881754739914241</c:v>
                </c:pt>
                <c:pt idx="56">
                  <c:v>12.336534287080884</c:v>
                </c:pt>
                <c:pt idx="57">
                  <c:v>12.784364996903083</c:v>
                </c:pt>
                <c:pt idx="58">
                  <c:v>13.22183860727152</c:v>
                </c:pt>
                <c:pt idx="59">
                  <c:v>13.645625679857492</c:v>
                </c:pt>
                <c:pt idx="60">
                  <c:v>14.052500939148997</c:v>
                </c:pt>
                <c:pt idx="61">
                  <c:v>14.439367818744826</c:v>
                </c:pt>
                <c:pt idx="62">
                  <c:v>14.803282028094646</c:v>
                </c:pt>
                <c:pt idx="63">
                  <c:v>15.141473960327897</c:v>
                </c:pt>
                <c:pt idx="64">
                  <c:v>15.451369770634413</c:v>
                </c:pt>
                <c:pt idx="65">
                  <c:v>15.730610964777556</c:v>
                </c:pt>
                <c:pt idx="66">
                  <c:v>15.977072348659451</c:v>
                </c:pt>
                <c:pt idx="67">
                  <c:v>16.18887820233131</c:v>
                </c:pt>
                <c:pt idx="68">
                  <c:v>16.364416555354811</c:v>
                </c:pt>
                <c:pt idx="69">
                  <c:v>16.502351454870492</c:v>
                </c:pt>
                <c:pt idx="70">
                  <c:v>16.601633133005674</c:v>
                </c:pt>
                <c:pt idx="71">
                  <c:v>16.661505996241829</c:v>
                </c:pt>
                <c:pt idx="72">
                  <c:v>16.681514375937503</c:v>
                </c:pt>
              </c:numCache>
            </c:numRef>
          </c:xVal>
          <c:yVal>
            <c:numRef>
              <c:f>'HSP 2 Spheres'!$BB$3:$BB$75</c:f>
              <c:numCache>
                <c:formatCode>General</c:formatCode>
                <c:ptCount val="73"/>
                <c:pt idx="0">
                  <c:v>8.1717074034439623</c:v>
                </c:pt>
                <c:pt idx="1">
                  <c:v>8.6299746409977143</c:v>
                </c:pt>
                <c:pt idx="2">
                  <c:v>9.0847541881643572</c:v>
                </c:pt>
                <c:pt idx="3">
                  <c:v>9.5325848979865579</c:v>
                </c:pt>
                <c:pt idx="4">
                  <c:v>9.97005850835499</c:v>
                </c:pt>
                <c:pt idx="5">
                  <c:v>10.393845580940964</c:v>
                </c:pt>
                <c:pt idx="6">
                  <c:v>10.800720840232469</c:v>
                </c:pt>
                <c:pt idx="7">
                  <c:v>11.187587719828297</c:v>
                </c:pt>
                <c:pt idx="8">
                  <c:v>11.551501929178118</c:v>
                </c:pt>
                <c:pt idx="9">
                  <c:v>11.88969386141137</c:v>
                </c:pt>
                <c:pt idx="10">
                  <c:v>12.199589671717886</c:v>
                </c:pt>
                <c:pt idx="11">
                  <c:v>12.478830865861028</c:v>
                </c:pt>
                <c:pt idx="12">
                  <c:v>12.725292249742925</c:v>
                </c:pt>
                <c:pt idx="13">
                  <c:v>12.93709810341478</c:v>
                </c:pt>
                <c:pt idx="14">
                  <c:v>13.112636456438281</c:v>
                </c:pt>
                <c:pt idx="15">
                  <c:v>13.250571355953966</c:v>
                </c:pt>
                <c:pt idx="16">
                  <c:v>13.349853034089145</c:v>
                </c:pt>
                <c:pt idx="17">
                  <c:v>13.409725897325298</c:v>
                </c:pt>
                <c:pt idx="18">
                  <c:v>13.429734277020975</c:v>
                </c:pt>
                <c:pt idx="19">
                  <c:v>13.409725897325298</c:v>
                </c:pt>
                <c:pt idx="20">
                  <c:v>13.349853034089145</c:v>
                </c:pt>
                <c:pt idx="21">
                  <c:v>13.250571355953966</c:v>
                </c:pt>
                <c:pt idx="22">
                  <c:v>13.112636456438281</c:v>
                </c:pt>
                <c:pt idx="23">
                  <c:v>12.93709810341478</c:v>
                </c:pt>
                <c:pt idx="24">
                  <c:v>12.725292249742925</c:v>
                </c:pt>
                <c:pt idx="25">
                  <c:v>12.478830865861028</c:v>
                </c:pt>
                <c:pt idx="26">
                  <c:v>12.199589671717886</c:v>
                </c:pt>
                <c:pt idx="27">
                  <c:v>11.88969386141137</c:v>
                </c:pt>
                <c:pt idx="28">
                  <c:v>11.551501929178119</c:v>
                </c:pt>
                <c:pt idx="29">
                  <c:v>11.187587719828297</c:v>
                </c:pt>
                <c:pt idx="30">
                  <c:v>10.800720840232469</c:v>
                </c:pt>
                <c:pt idx="31">
                  <c:v>10.393845580940964</c:v>
                </c:pt>
                <c:pt idx="32">
                  <c:v>9.9700585083549917</c:v>
                </c:pt>
                <c:pt idx="33">
                  <c:v>9.5325848979865579</c:v>
                </c:pt>
                <c:pt idx="34">
                  <c:v>9.0847541881643572</c:v>
                </c:pt>
                <c:pt idx="35">
                  <c:v>8.6299746409977143</c:v>
                </c:pt>
                <c:pt idx="36">
                  <c:v>8.1717074034439623</c:v>
                </c:pt>
                <c:pt idx="37">
                  <c:v>7.7134401658902121</c:v>
                </c:pt>
                <c:pt idx="38">
                  <c:v>7.2586606187235665</c:v>
                </c:pt>
                <c:pt idx="39">
                  <c:v>6.8108299089013666</c:v>
                </c:pt>
                <c:pt idx="40">
                  <c:v>6.3733562985329346</c:v>
                </c:pt>
                <c:pt idx="41">
                  <c:v>5.949569225946961</c:v>
                </c:pt>
                <c:pt idx="42">
                  <c:v>5.542693966655456</c:v>
                </c:pt>
                <c:pt idx="43">
                  <c:v>5.1558270870596266</c:v>
                </c:pt>
                <c:pt idx="44">
                  <c:v>4.791912877709807</c:v>
                </c:pt>
                <c:pt idx="45">
                  <c:v>4.4537209454765554</c:v>
                </c:pt>
                <c:pt idx="46">
                  <c:v>4.1438251351700393</c:v>
                </c:pt>
                <c:pt idx="47">
                  <c:v>3.864583941026897</c:v>
                </c:pt>
                <c:pt idx="48">
                  <c:v>3.6181225571450017</c:v>
                </c:pt>
                <c:pt idx="49">
                  <c:v>3.4063167034731441</c:v>
                </c:pt>
                <c:pt idx="50">
                  <c:v>3.2307783504496426</c:v>
                </c:pt>
                <c:pt idx="51">
                  <c:v>3.0928434509339597</c:v>
                </c:pt>
                <c:pt idx="52">
                  <c:v>2.9935617727987793</c:v>
                </c:pt>
                <c:pt idx="53">
                  <c:v>2.9336889095626253</c:v>
                </c:pt>
                <c:pt idx="54">
                  <c:v>2.9136805298669497</c:v>
                </c:pt>
                <c:pt idx="55">
                  <c:v>2.9336889095626253</c:v>
                </c:pt>
                <c:pt idx="56">
                  <c:v>2.9935617727987784</c:v>
                </c:pt>
                <c:pt idx="57">
                  <c:v>3.0928434509339588</c:v>
                </c:pt>
                <c:pt idx="58">
                  <c:v>3.2307783504496435</c:v>
                </c:pt>
                <c:pt idx="59">
                  <c:v>3.406316703473145</c:v>
                </c:pt>
                <c:pt idx="60">
                  <c:v>3.6181225571450009</c:v>
                </c:pt>
                <c:pt idx="61">
                  <c:v>3.8645839410268961</c:v>
                </c:pt>
                <c:pt idx="62">
                  <c:v>4.1438251351700384</c:v>
                </c:pt>
                <c:pt idx="63">
                  <c:v>4.4537209454765545</c:v>
                </c:pt>
                <c:pt idx="64">
                  <c:v>4.7919128777098052</c:v>
                </c:pt>
                <c:pt idx="65">
                  <c:v>5.1558270870596248</c:v>
                </c:pt>
                <c:pt idx="66">
                  <c:v>5.5426939666554542</c:v>
                </c:pt>
                <c:pt idx="67">
                  <c:v>5.9495692259469619</c:v>
                </c:pt>
                <c:pt idx="68">
                  <c:v>6.3733562985329355</c:v>
                </c:pt>
                <c:pt idx="69">
                  <c:v>6.8108299089013675</c:v>
                </c:pt>
                <c:pt idx="70">
                  <c:v>7.2586606187235665</c:v>
                </c:pt>
                <c:pt idx="71">
                  <c:v>7.7134401658902103</c:v>
                </c:pt>
                <c:pt idx="72">
                  <c:v>8.1717074034439605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73-B044-405A-8F15-C6855F9147FC}"/>
            </c:ext>
          </c:extLst>
        </c:ser>
        <c:ser>
          <c:idx val="5"/>
          <c:order val="3"/>
          <c:tx>
            <c:v>Reference 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5000"/>
                </a:schemeClr>
              </a:solidFill>
              <a:ln w="9525">
                <a:solidFill>
                  <a:schemeClr val="accent6">
                    <a:lumMod val="75000"/>
                  </a:schemeClr>
                </a:solidFill>
              </a:ln>
              <a:effectLst/>
            </c:spPr>
          </c:marker>
          <c:dLbls>
            <c:delete val="1"/>
          </c:dLbls>
          <c:xVal>
            <c:numRef>
              <c:f>'HSP 2 Spheres'!$D$4</c:f>
              <c:numCache>
                <c:formatCode>0.00</c:formatCode>
                <c:ptCount val="1"/>
                <c:pt idx="0">
                  <c:v>11.423487502360491</c:v>
                </c:pt>
              </c:numCache>
            </c:numRef>
          </c:xVal>
          <c:yVal>
            <c:numRef>
              <c:f>'HSP 2 Spheres'!$E$4</c:f>
              <c:numCache>
                <c:formatCode>0.00</c:formatCode>
                <c:ptCount val="1"/>
                <c:pt idx="0">
                  <c:v>8.1717074034439623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4-B044-405A-8F15-C6855F9147FC}"/>
            </c:ext>
          </c:extLst>
        </c:ser>
        <c:ser>
          <c:idx val="6"/>
          <c:order val="4"/>
          <c:tx>
            <c:v>Good Solv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dLbls>
            <c:delete val="1"/>
          </c:dLbls>
          <c:xVal>
            <c:numRef>
              <c:f>'HSP 2 Spheres'!$BL$3:$BL$97</c:f>
              <c:numCache>
                <c:formatCode>General</c:formatCode>
                <c:ptCount val="95"/>
                <c:pt idx="0">
                  <c:v>11.7</c:v>
                </c:pt>
                <c:pt idx="1">
                  <c:v>10.4</c:v>
                </c:pt>
                <c:pt idx="2">
                  <c:v>9</c:v>
                </c:pt>
                <c:pt idx="3">
                  <c:v>10</c:v>
                </c:pt>
                <c:pt idx="4">
                  <c:v>12.8</c:v>
                </c:pt>
                <c:pt idx="5">
                  <c:v>16.600000000000001</c:v>
                </c:pt>
                <c:pt idx="6">
                  <c:v>8.1999999999999993</c:v>
                </c:pt>
                <c:pt idx="7">
                  <c:v>6.3</c:v>
                </c:pt>
                <c:pt idx="8">
                  <c:v>11.5</c:v>
                </c:pt>
                <c:pt idx="9">
                  <c:v>13.7</c:v>
                </c:pt>
                <c:pt idx="10">
                  <c:v>1.8</c:v>
                </c:pt>
                <c:pt idx="11">
                  <c:v>5.3</c:v>
                </c:pt>
                <c:pt idx="12">
                  <c:v>8.8000000000000007</c:v>
                </c:pt>
                <c:pt idx="13">
                  <c:v>3.1</c:v>
                </c:pt>
                <c:pt idx="14">
                  <c:v>8</c:v>
                </c:pt>
                <c:pt idx="15">
                  <c:v>7.2</c:v>
                </c:pt>
                <c:pt idx="16">
                  <c:v>6.7</c:v>
                </c:pt>
                <c:pt idx="17">
                  <c:v>9</c:v>
                </c:pt>
                <c:pt idx="18">
                  <c:v>6.1</c:v>
                </c:pt>
                <c:pt idx="19">
                  <c:v>8.8000000000000007</c:v>
                </c:pt>
                <c:pt idx="20">
                  <c:v>5.7</c:v>
                </c:pt>
                <c:pt idx="21">
                  <c:v>11.4</c:v>
                </c:pt>
                <c:pt idx="22">
                  <c:v>5</c:v>
                </c:pt>
                <c:pt idx="23">
                  <c:v>7.3</c:v>
                </c:pt>
                <c:pt idx="24">
                  <c:v>8.6</c:v>
                </c:pt>
                <c:pt idx="25">
                  <c:v>9</c:v>
                </c:pt>
              </c:numCache>
            </c:numRef>
          </c:xVal>
          <c:yVal>
            <c:numRef>
              <c:f>'HSP 2 Spheres'!$BM$3:$BM$97</c:f>
              <c:numCache>
                <c:formatCode>General</c:formatCode>
                <c:ptCount val="95"/>
                <c:pt idx="0">
                  <c:v>10.199999999999999</c:v>
                </c:pt>
                <c:pt idx="1">
                  <c:v>7</c:v>
                </c:pt>
                <c:pt idx="2">
                  <c:v>4</c:v>
                </c:pt>
                <c:pt idx="3">
                  <c:v>6.2</c:v>
                </c:pt>
                <c:pt idx="4">
                  <c:v>6.8</c:v>
                </c:pt>
                <c:pt idx="5">
                  <c:v>7.4</c:v>
                </c:pt>
                <c:pt idx="6">
                  <c:v>10.8</c:v>
                </c:pt>
                <c:pt idx="7">
                  <c:v>3.5</c:v>
                </c:pt>
                <c:pt idx="8">
                  <c:v>9.4</c:v>
                </c:pt>
                <c:pt idx="9">
                  <c:v>11.3</c:v>
                </c:pt>
                <c:pt idx="10">
                  <c:v>9</c:v>
                </c:pt>
                <c:pt idx="11">
                  <c:v>7.2</c:v>
                </c:pt>
                <c:pt idx="12">
                  <c:v>17</c:v>
                </c:pt>
                <c:pt idx="13">
                  <c:v>7</c:v>
                </c:pt>
                <c:pt idx="14">
                  <c:v>5</c:v>
                </c:pt>
                <c:pt idx="15">
                  <c:v>7.6</c:v>
                </c:pt>
                <c:pt idx="16">
                  <c:v>9.4</c:v>
                </c:pt>
                <c:pt idx="17">
                  <c:v>5.0999999999999996</c:v>
                </c:pt>
                <c:pt idx="18">
                  <c:v>4.0999999999999996</c:v>
                </c:pt>
                <c:pt idx="19">
                  <c:v>5.9</c:v>
                </c:pt>
                <c:pt idx="20">
                  <c:v>8</c:v>
                </c:pt>
                <c:pt idx="21">
                  <c:v>9.1999999999999993</c:v>
                </c:pt>
                <c:pt idx="22">
                  <c:v>4.3</c:v>
                </c:pt>
                <c:pt idx="23">
                  <c:v>8.3000000000000007</c:v>
                </c:pt>
                <c:pt idx="24">
                  <c:v>8.9</c:v>
                </c:pt>
                <c:pt idx="25">
                  <c:v>7.7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586-4B4A-8EE7-D76C4505E5CE}"/>
            </c:ext>
          </c:extLst>
        </c:ser>
        <c:ser>
          <c:idx val="0"/>
          <c:order val="5"/>
          <c:tx>
            <c:v>Bad Solv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dLbls>
            <c:delete val="1"/>
          </c:dLbls>
          <c:xVal>
            <c:numRef>
              <c:f>'HSP 2 Spheres'!$BQ$3:$BQ$97</c:f>
              <c:numCache>
                <c:formatCode>General</c:formatCode>
                <c:ptCount val="95"/>
                <c:pt idx="0">
                  <c:v>5.8</c:v>
                </c:pt>
                <c:pt idx="1">
                  <c:v>0</c:v>
                </c:pt>
                <c:pt idx="2">
                  <c:v>0</c:v>
                </c:pt>
                <c:pt idx="3">
                  <c:v>3.1</c:v>
                </c:pt>
                <c:pt idx="4">
                  <c:v>0</c:v>
                </c:pt>
                <c:pt idx="5">
                  <c:v>4.0999999999999996</c:v>
                </c:pt>
                <c:pt idx="6">
                  <c:v>0</c:v>
                </c:pt>
                <c:pt idx="7">
                  <c:v>7.8</c:v>
                </c:pt>
                <c:pt idx="8">
                  <c:v>8.8000000000000007</c:v>
                </c:pt>
                <c:pt idx="9">
                  <c:v>0.6</c:v>
                </c:pt>
                <c:pt idx="10">
                  <c:v>4.9000000000000004</c:v>
                </c:pt>
                <c:pt idx="11">
                  <c:v>14.4</c:v>
                </c:pt>
                <c:pt idx="12">
                  <c:v>10</c:v>
                </c:pt>
                <c:pt idx="13">
                  <c:v>14.9</c:v>
                </c:pt>
                <c:pt idx="14">
                  <c:v>0</c:v>
                </c:pt>
                <c:pt idx="15">
                  <c:v>12.3</c:v>
                </c:pt>
                <c:pt idx="16">
                  <c:v>10.6</c:v>
                </c:pt>
                <c:pt idx="17">
                  <c:v>1.4</c:v>
                </c:pt>
                <c:pt idx="18">
                  <c:v>3.1</c:v>
                </c:pt>
                <c:pt idx="19">
                  <c:v>0</c:v>
                </c:pt>
                <c:pt idx="20">
                  <c:v>1</c:v>
                </c:pt>
                <c:pt idx="21">
                  <c:v>6.2</c:v>
                </c:pt>
                <c:pt idx="22">
                  <c:v>8.3000000000000007</c:v>
                </c:pt>
              </c:numCache>
            </c:numRef>
          </c:xVal>
          <c:yVal>
            <c:numRef>
              <c:f>'HSP 2 Spheres'!$BR$3:$BR$97</c:f>
              <c:numCache>
                <c:formatCode>General</c:formatCode>
                <c:ptCount val="95"/>
                <c:pt idx="0">
                  <c:v>11.2</c:v>
                </c:pt>
                <c:pt idx="1">
                  <c:v>2</c:v>
                </c:pt>
                <c:pt idx="2">
                  <c:v>0.6</c:v>
                </c:pt>
                <c:pt idx="3">
                  <c:v>5.7</c:v>
                </c:pt>
                <c:pt idx="4">
                  <c:v>0.2</c:v>
                </c:pt>
                <c:pt idx="5">
                  <c:v>13.5</c:v>
                </c:pt>
                <c:pt idx="6">
                  <c:v>0</c:v>
                </c:pt>
                <c:pt idx="7">
                  <c:v>12.6</c:v>
                </c:pt>
                <c:pt idx="8">
                  <c:v>19.399999999999999</c:v>
                </c:pt>
                <c:pt idx="9">
                  <c:v>1.4</c:v>
                </c:pt>
                <c:pt idx="10">
                  <c:v>3</c:v>
                </c:pt>
                <c:pt idx="11">
                  <c:v>15.4</c:v>
                </c:pt>
                <c:pt idx="12">
                  <c:v>14</c:v>
                </c:pt>
                <c:pt idx="13">
                  <c:v>5.0999999999999996</c:v>
                </c:pt>
                <c:pt idx="14">
                  <c:v>0</c:v>
                </c:pt>
                <c:pt idx="15">
                  <c:v>22.3</c:v>
                </c:pt>
                <c:pt idx="16">
                  <c:v>3.1</c:v>
                </c:pt>
                <c:pt idx="17">
                  <c:v>2</c:v>
                </c:pt>
                <c:pt idx="18">
                  <c:v>5.3</c:v>
                </c:pt>
                <c:pt idx="19">
                  <c:v>0</c:v>
                </c:pt>
                <c:pt idx="20">
                  <c:v>3.1</c:v>
                </c:pt>
                <c:pt idx="21">
                  <c:v>2.6</c:v>
                </c:pt>
                <c:pt idx="22">
                  <c:v>9.8000000000000007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586-4B4A-8EE7-D76C4505E5CE}"/>
            </c:ext>
          </c:extLst>
        </c:ser>
        <c:ser>
          <c:idx val="3"/>
          <c:order val="6"/>
          <c:tx>
            <c:v>Outliers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C000"/>
              </a:solidFill>
              <a:ln w="9525">
                <a:solidFill>
                  <a:srgbClr val="FFC000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C862EDD0-2EA6-4B92-9E5F-179E095EB95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B044-405A-8F15-C6855F9147FC}"/>
                </c:ext>
              </c:extLst>
            </c:dLbl>
            <c:dLbl>
              <c:idx val="1"/>
              <c:layout>
                <c:manualLayout>
                  <c:x val="4.5397057610817991E-2"/>
                  <c:y val="-1.2724828346961051E-2"/>
                </c:manualLayout>
              </c:layout>
              <c:tx>
                <c:rich>
                  <a:bodyPr/>
                  <a:lstStyle/>
                  <a:p>
                    <a:fld id="{3BF8B778-4465-4288-AD0C-C03316175C8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B044-405A-8F15-C6855F9147F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59EE4988-C49A-43C8-8A80-79260703FBA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635C-43D2-9CA6-880BB6666FB1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635C-43D2-9CA6-880BB6666FB1}"/>
                </c:ext>
              </c:extLst>
            </c:dLbl>
            <c:dLbl>
              <c:idx val="4"/>
              <c:layout>
                <c:manualLayout>
                  <c:x val="-0.21171666578292064"/>
                  <c:y val="-3.8216860247016329E-2"/>
                </c:manualLayout>
              </c:layout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B044-405A-8F15-C6855F9147FC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635C-43D2-9CA6-880BB6666FB1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635C-43D2-9CA6-880BB6666FB1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635C-43D2-9CA6-880BB6666FB1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635C-43D2-9CA6-880BB6666FB1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635C-43D2-9CA6-880BB6666FB1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635C-43D2-9CA6-880BB6666FB1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635C-43D2-9CA6-880BB6666FB1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635C-43D2-9CA6-880BB6666FB1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A-635C-43D2-9CA6-880BB6666FB1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635C-43D2-9CA6-880BB6666FB1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C-635C-43D2-9CA6-880BB6666FB1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D-635C-43D2-9CA6-880BB6666FB1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E-635C-43D2-9CA6-880BB6666FB1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F-635C-43D2-9CA6-880BB6666FB1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0-635C-43D2-9CA6-880BB6666FB1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1-635C-43D2-9CA6-880BB6666FB1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2-635C-43D2-9CA6-880BB6666FB1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3-635C-43D2-9CA6-880BB6666FB1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4-635C-43D2-9CA6-880BB6666FB1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5-635C-43D2-9CA6-880BB6666FB1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6-635C-43D2-9CA6-880BB6666FB1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7-635C-43D2-9CA6-880BB6666FB1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8-635C-43D2-9CA6-880BB6666FB1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9-635C-43D2-9CA6-880BB6666FB1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A-635C-43D2-9CA6-880BB6666FB1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B-635C-43D2-9CA6-880BB6666FB1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C-635C-43D2-9CA6-880BB6666FB1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D-635C-43D2-9CA6-880BB6666FB1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E-635C-43D2-9CA6-880BB6666FB1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F-635C-43D2-9CA6-880BB6666FB1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0-635C-43D2-9CA6-880BB6666FB1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1-635C-43D2-9CA6-880BB6666FB1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2-635C-43D2-9CA6-880BB6666FB1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3-635C-43D2-9CA6-880BB6666FB1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4-635C-43D2-9CA6-880BB6666FB1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5-635C-43D2-9CA6-880BB6666FB1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6-635C-43D2-9CA6-880BB6666FB1}"/>
                </c:ext>
              </c:extLst>
            </c:dLbl>
            <c:dLbl>
              <c:idx val="42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7-635C-43D2-9CA6-880BB6666FB1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8-635C-43D2-9CA6-880BB6666FB1}"/>
                </c:ext>
              </c:extLst>
            </c:dLbl>
            <c:dLbl>
              <c:idx val="44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9-635C-43D2-9CA6-880BB6666FB1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A-635C-43D2-9CA6-880BB6666FB1}"/>
                </c:ext>
              </c:extLst>
            </c:dLbl>
            <c:dLbl>
              <c:idx val="46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B-635C-43D2-9CA6-880BB6666FB1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C-635C-43D2-9CA6-880BB6666FB1}"/>
                </c:ext>
              </c:extLst>
            </c:dLbl>
            <c:dLbl>
              <c:idx val="48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D-635C-43D2-9CA6-880BB6666FB1}"/>
                </c:ext>
              </c:extLst>
            </c:dLbl>
            <c:dLbl>
              <c:idx val="49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E-635C-43D2-9CA6-880BB6666FB1}"/>
                </c:ext>
              </c:extLst>
            </c:dLbl>
            <c:dLbl>
              <c:idx val="50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F-635C-43D2-9CA6-880BB6666FB1}"/>
                </c:ext>
              </c:extLst>
            </c:dLbl>
            <c:dLbl>
              <c:idx val="51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0-635C-43D2-9CA6-880BB6666FB1}"/>
                </c:ext>
              </c:extLst>
            </c:dLbl>
            <c:dLbl>
              <c:idx val="52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1-635C-43D2-9CA6-880BB6666FB1}"/>
                </c:ext>
              </c:extLst>
            </c:dLbl>
            <c:dLbl>
              <c:idx val="53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2-635C-43D2-9CA6-880BB6666FB1}"/>
                </c:ext>
              </c:extLst>
            </c:dLbl>
            <c:dLbl>
              <c:idx val="54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3-635C-43D2-9CA6-880BB6666FB1}"/>
                </c:ext>
              </c:extLst>
            </c:dLbl>
            <c:dLbl>
              <c:idx val="55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4-635C-43D2-9CA6-880BB6666FB1}"/>
                </c:ext>
              </c:extLst>
            </c:dLbl>
            <c:dLbl>
              <c:idx val="56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5-635C-43D2-9CA6-880BB6666FB1}"/>
                </c:ext>
              </c:extLst>
            </c:dLbl>
            <c:dLbl>
              <c:idx val="57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6-635C-43D2-9CA6-880BB6666FB1}"/>
                </c:ext>
              </c:extLst>
            </c:dLbl>
            <c:dLbl>
              <c:idx val="58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7-635C-43D2-9CA6-880BB6666FB1}"/>
                </c:ext>
              </c:extLst>
            </c:dLbl>
            <c:dLbl>
              <c:idx val="59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8-635C-43D2-9CA6-880BB6666FB1}"/>
                </c:ext>
              </c:extLst>
            </c:dLbl>
            <c:dLbl>
              <c:idx val="60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9-635C-43D2-9CA6-880BB6666FB1}"/>
                </c:ext>
              </c:extLst>
            </c:dLbl>
            <c:dLbl>
              <c:idx val="61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A-635C-43D2-9CA6-880BB6666FB1}"/>
                </c:ext>
              </c:extLst>
            </c:dLbl>
            <c:dLbl>
              <c:idx val="62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B-635C-43D2-9CA6-880BB6666FB1}"/>
                </c:ext>
              </c:extLst>
            </c:dLbl>
            <c:dLbl>
              <c:idx val="63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C-635C-43D2-9CA6-880BB6666FB1}"/>
                </c:ext>
              </c:extLst>
            </c:dLbl>
            <c:dLbl>
              <c:idx val="64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D-635C-43D2-9CA6-880BB6666FB1}"/>
                </c:ext>
              </c:extLst>
            </c:dLbl>
            <c:dLbl>
              <c:idx val="65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E-635C-43D2-9CA6-880BB6666FB1}"/>
                </c:ext>
              </c:extLst>
            </c:dLbl>
            <c:dLbl>
              <c:idx val="66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F-635C-43D2-9CA6-880BB6666FB1}"/>
                </c:ext>
              </c:extLst>
            </c:dLbl>
            <c:dLbl>
              <c:idx val="67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0-635C-43D2-9CA6-880BB6666FB1}"/>
                </c:ext>
              </c:extLst>
            </c:dLbl>
            <c:dLbl>
              <c:idx val="68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1-635C-43D2-9CA6-880BB6666FB1}"/>
                </c:ext>
              </c:extLst>
            </c:dLbl>
            <c:dLbl>
              <c:idx val="69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2-635C-43D2-9CA6-880BB6666FB1}"/>
                </c:ext>
              </c:extLst>
            </c:dLbl>
            <c:dLbl>
              <c:idx val="70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3-635C-43D2-9CA6-880BB6666FB1}"/>
                </c:ext>
              </c:extLst>
            </c:dLbl>
            <c:dLbl>
              <c:idx val="71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4-635C-43D2-9CA6-880BB6666FB1}"/>
                </c:ext>
              </c:extLst>
            </c:dLbl>
            <c:dLbl>
              <c:idx val="72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5-635C-43D2-9CA6-880BB6666FB1}"/>
                </c:ext>
              </c:extLst>
            </c:dLbl>
            <c:dLbl>
              <c:idx val="73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6-635C-43D2-9CA6-880BB6666FB1}"/>
                </c:ext>
              </c:extLst>
            </c:dLbl>
            <c:dLbl>
              <c:idx val="74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7-635C-43D2-9CA6-880BB6666FB1}"/>
                </c:ext>
              </c:extLst>
            </c:dLbl>
            <c:dLbl>
              <c:idx val="75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8-635C-43D2-9CA6-880BB6666FB1}"/>
                </c:ext>
              </c:extLst>
            </c:dLbl>
            <c:dLbl>
              <c:idx val="76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9-635C-43D2-9CA6-880BB6666FB1}"/>
                </c:ext>
              </c:extLst>
            </c:dLbl>
            <c:dLbl>
              <c:idx val="77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A-635C-43D2-9CA6-880BB6666FB1}"/>
                </c:ext>
              </c:extLst>
            </c:dLbl>
            <c:dLbl>
              <c:idx val="78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B-635C-43D2-9CA6-880BB6666FB1}"/>
                </c:ext>
              </c:extLst>
            </c:dLbl>
            <c:dLbl>
              <c:idx val="79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C-635C-43D2-9CA6-880BB6666FB1}"/>
                </c:ext>
              </c:extLst>
            </c:dLbl>
            <c:dLbl>
              <c:idx val="80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D-635C-43D2-9CA6-880BB6666FB1}"/>
                </c:ext>
              </c:extLst>
            </c:dLbl>
            <c:dLbl>
              <c:idx val="81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E-635C-43D2-9CA6-880BB6666FB1}"/>
                </c:ext>
              </c:extLst>
            </c:dLbl>
            <c:dLbl>
              <c:idx val="82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F-635C-43D2-9CA6-880BB6666FB1}"/>
                </c:ext>
              </c:extLst>
            </c:dLbl>
            <c:dLbl>
              <c:idx val="83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0-635C-43D2-9CA6-880BB6666FB1}"/>
                </c:ext>
              </c:extLst>
            </c:dLbl>
            <c:dLbl>
              <c:idx val="84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1-635C-43D2-9CA6-880BB6666FB1}"/>
                </c:ext>
              </c:extLst>
            </c:dLbl>
            <c:dLbl>
              <c:idx val="85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2-635C-43D2-9CA6-880BB6666FB1}"/>
                </c:ext>
              </c:extLst>
            </c:dLbl>
            <c:dLbl>
              <c:idx val="86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3-635C-43D2-9CA6-880BB6666FB1}"/>
                </c:ext>
              </c:extLst>
            </c:dLbl>
            <c:dLbl>
              <c:idx val="87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4-635C-43D2-9CA6-880BB6666FB1}"/>
                </c:ext>
              </c:extLst>
            </c:dLbl>
            <c:dLbl>
              <c:idx val="88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5-635C-43D2-9CA6-880BB6666FB1}"/>
                </c:ext>
              </c:extLst>
            </c:dLbl>
            <c:dLbl>
              <c:idx val="89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6-635C-43D2-9CA6-880BB6666FB1}"/>
                </c:ext>
              </c:extLst>
            </c:dLbl>
            <c:dLbl>
              <c:idx val="90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7-635C-43D2-9CA6-880BB6666FB1}"/>
                </c:ext>
              </c:extLst>
            </c:dLbl>
            <c:dLbl>
              <c:idx val="91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8-635C-43D2-9CA6-880BB6666FB1}"/>
                </c:ext>
              </c:extLst>
            </c:dLbl>
            <c:dLbl>
              <c:idx val="92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9-635C-43D2-9CA6-880BB6666FB1}"/>
                </c:ext>
              </c:extLst>
            </c:dLbl>
            <c:dLbl>
              <c:idx val="93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A-635C-43D2-9CA6-880BB6666FB1}"/>
                </c:ext>
              </c:extLst>
            </c:dLbl>
            <c:dLbl>
              <c:idx val="94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B-635C-43D2-9CA6-880BB6666FB1}"/>
                </c:ext>
              </c:extLst>
            </c:dLbl>
            <c:dLbl>
              <c:idx val="95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C-635C-43D2-9CA6-880BB6666FB1}"/>
                </c:ext>
              </c:extLst>
            </c:dLbl>
            <c:dLbl>
              <c:idx val="96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D-635C-43D2-9CA6-880BB6666FB1}"/>
                </c:ext>
              </c:extLst>
            </c:dLbl>
            <c:dLbl>
              <c:idx val="97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E-635C-43D2-9CA6-880BB6666FB1}"/>
                </c:ext>
              </c:extLst>
            </c:dLbl>
            <c:dLbl>
              <c:idx val="98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F-635C-43D2-9CA6-880BB6666FB1}"/>
                </c:ext>
              </c:extLst>
            </c:dLbl>
            <c:dLbl>
              <c:idx val="99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60-635C-43D2-9CA6-880BB6666FB1}"/>
                </c:ext>
              </c:extLst>
            </c:dLbl>
            <c:dLbl>
              <c:idx val="100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61-635C-43D2-9CA6-880BB6666FB1}"/>
                </c:ext>
              </c:extLst>
            </c:dLbl>
            <c:dLbl>
              <c:idx val="101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62-635C-43D2-9CA6-880BB6666FB1}"/>
                </c:ext>
              </c:extLst>
            </c:dLbl>
            <c:dLbl>
              <c:idx val="102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63-635C-43D2-9CA6-880BB6666FB1}"/>
                </c:ext>
              </c:extLst>
            </c:dLbl>
            <c:dLbl>
              <c:idx val="103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64-635C-43D2-9CA6-880BB6666FB1}"/>
                </c:ext>
              </c:extLst>
            </c:dLbl>
            <c:dLbl>
              <c:idx val="104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65-635C-43D2-9CA6-880BB6666FB1}"/>
                </c:ext>
              </c:extLst>
            </c:dLbl>
            <c:dLbl>
              <c:idx val="105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66-635C-43D2-9CA6-880BB6666FB1}"/>
                </c:ext>
              </c:extLst>
            </c:dLbl>
            <c:dLbl>
              <c:idx val="106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67-635C-43D2-9CA6-880BB6666FB1}"/>
                </c:ext>
              </c:extLst>
            </c:dLbl>
            <c:dLbl>
              <c:idx val="107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68-635C-43D2-9CA6-880BB6666FB1}"/>
                </c:ext>
              </c:extLst>
            </c:dLbl>
            <c:dLbl>
              <c:idx val="108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69-635C-43D2-9CA6-880BB6666FB1}"/>
                </c:ext>
              </c:extLst>
            </c:dLbl>
            <c:dLbl>
              <c:idx val="109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6A-635C-43D2-9CA6-880BB6666FB1}"/>
                </c:ext>
              </c:extLst>
            </c:dLbl>
            <c:dLbl>
              <c:idx val="110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6B-635C-43D2-9CA6-880BB6666FB1}"/>
                </c:ext>
              </c:extLst>
            </c:dLbl>
            <c:dLbl>
              <c:idx val="111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6C-635C-43D2-9CA6-880BB6666FB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'HSP 2 Spheres'!$BG$3:$BG$114</c:f>
              <c:numCache>
                <c:formatCode>General</c:formatCode>
                <c:ptCount val="112"/>
                <c:pt idx="0">
                  <c:v>8.8000000000000007</c:v>
                </c:pt>
                <c:pt idx="1">
                  <c:v>14.9</c:v>
                </c:pt>
                <c:pt idx="2">
                  <c:v>8.3000000000000007</c:v>
                </c:pt>
              </c:numCache>
            </c:numRef>
          </c:xVal>
          <c:yVal>
            <c:numRef>
              <c:f>'HSP 2 Spheres'!$BH$3:$BH$114</c:f>
              <c:numCache>
                <c:formatCode>General</c:formatCode>
                <c:ptCount val="112"/>
                <c:pt idx="0">
                  <c:v>17</c:v>
                </c:pt>
                <c:pt idx="1">
                  <c:v>5.0999999999999996</c:v>
                </c:pt>
                <c:pt idx="2">
                  <c:v>9.8000000000000007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'HSP 2 Spheres'!$BE$3:$BE$114</c15:f>
                <c15:dlblRangeCache>
                  <c:ptCount val="112"/>
                  <c:pt idx="0">
                    <c:v>Ethylenediamine</c:v>
                  </c:pt>
                  <c:pt idx="1">
                    <c:v>Furfural</c:v>
                  </c:pt>
                  <c:pt idx="2">
                    <c:v>Dimethyl Maleate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72-B044-405A-8F15-C6855F9147F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307039872"/>
        <c:axId val="307040264"/>
      </c:scatterChart>
      <c:valAx>
        <c:axId val="3070398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b="1"/>
                  <a:t>dP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7040264"/>
        <c:crosses val="autoZero"/>
        <c:crossBetween val="midCat"/>
      </c:valAx>
      <c:valAx>
        <c:axId val="307040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b="1"/>
                  <a:t>dH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70398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1.9364168155403556E-2"/>
          <c:y val="3.5524434673718221E-2"/>
          <c:w val="0.16568069929567344"/>
          <c:h val="0.299714230231660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9428477690288726E-2"/>
          <c:y val="5.0925925925925923E-2"/>
          <c:w val="0.88423818897637796"/>
          <c:h val="0.90222855652274359"/>
        </c:manualLayout>
      </c:layout>
      <c:scatterChart>
        <c:scatterStyle val="lineMarker"/>
        <c:varyColors val="0"/>
        <c:ser>
          <c:idx val="1"/>
          <c:order val="0"/>
          <c:tx>
            <c:v>Reference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2">
                  <a:lumMod val="60000"/>
                  <a:lumOff val="40000"/>
                </a:schemeClr>
              </a:solidFill>
              <a:ln w="0">
                <a:solidFill>
                  <a:schemeClr val="tx2">
                    <a:lumMod val="60000"/>
                    <a:lumOff val="40000"/>
                  </a:schemeClr>
                </a:solidFill>
              </a:ln>
              <a:effectLst/>
            </c:spPr>
          </c:marker>
          <c:dLbls>
            <c:delete val="1"/>
          </c:dLbls>
          <c:xVal>
            <c:numRef>
              <c:f>'HSP 2 Spheres'!$C$3</c:f>
              <c:numCache>
                <c:formatCode>0.00</c:formatCode>
                <c:ptCount val="1"/>
                <c:pt idx="0">
                  <c:v>15.1533315769037</c:v>
                </c:pt>
              </c:numCache>
            </c:numRef>
          </c:xVal>
          <c:yVal>
            <c:numRef>
              <c:f>'HSP 2 Spheres'!$E$3</c:f>
              <c:numCache>
                <c:formatCode>0.00</c:formatCode>
                <c:ptCount val="1"/>
                <c:pt idx="0">
                  <c:v>8.7640383721148947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23-40CB-B84D-EF99D6D683EE}"/>
            </c:ext>
          </c:extLst>
        </c:ser>
        <c:ser>
          <c:idx val="2"/>
          <c:order val="1"/>
          <c:tx>
            <c:v>Sphere</c:v>
          </c:tx>
          <c:spPr>
            <a:ln w="15875" cap="rnd">
              <a:solidFill>
                <a:schemeClr val="tx2">
                  <a:lumMod val="60000"/>
                  <a:lumOff val="4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dLbls>
            <c:delete val="1"/>
          </c:dLbls>
          <c:xVal>
            <c:numRef>
              <c:f>'HSP 2 Spheres'!$AY$3:$AY$75</c:f>
              <c:numCache>
                <c:formatCode>General</c:formatCode>
                <c:ptCount val="73"/>
                <c:pt idx="0">
                  <c:v>20.977435165262083</c:v>
                </c:pt>
                <c:pt idx="1">
                  <c:v>20.95527269276343</c:v>
                </c:pt>
                <c:pt idx="2">
                  <c:v>20.888953945065257</c:v>
                </c:pt>
                <c:pt idx="3">
                  <c:v>20.778983647881898</c:v>
                </c:pt>
                <c:pt idx="4">
                  <c:v>20.6261987415768</c:v>
                </c:pt>
                <c:pt idx="5">
                  <c:v>20.431762011540997</c:v>
                </c:pt>
                <c:pt idx="6">
                  <c:v>20.197153238694167</c:v>
                </c:pt>
                <c:pt idx="7">
                  <c:v>19.924157937458322</c:v>
                </c:pt>
                <c:pt idx="8">
                  <c:v>19.614853766914941</c:v>
                </c:pt>
                <c:pt idx="9">
                  <c:v>19.271594718564817</c:v>
                </c:pt>
                <c:pt idx="10">
                  <c:v>18.896993201031382</c:v>
                </c:pt>
                <c:pt idx="11">
                  <c:v>18.493900158053641</c:v>
                </c:pt>
                <c:pt idx="12">
                  <c:v>18.065383371082891</c:v>
                </c:pt>
                <c:pt idx="13">
                  <c:v>17.614704111613491</c:v>
                </c:pt>
                <c:pt idx="14">
                  <c:v>17.145292320937575</c:v>
                </c:pt>
                <c:pt idx="15">
                  <c:v>16.66072050622078</c:v>
                </c:pt>
                <c:pt idx="16">
                  <c:v>16.164676551565563</c:v>
                </c:pt>
                <c:pt idx="17">
                  <c:v>15.660935650986376</c:v>
                </c:pt>
                <c:pt idx="18">
                  <c:v>15.1533315769037</c:v>
                </c:pt>
                <c:pt idx="19">
                  <c:v>14.645727502821023</c:v>
                </c:pt>
                <c:pt idx="20">
                  <c:v>14.141986602241836</c:v>
                </c:pt>
                <c:pt idx="21">
                  <c:v>13.645942647586617</c:v>
                </c:pt>
                <c:pt idx="22">
                  <c:v>13.161370832869824</c:v>
                </c:pt>
                <c:pt idx="23">
                  <c:v>12.691959042193909</c:v>
                </c:pt>
                <c:pt idx="24">
                  <c:v>12.24127978272451</c:v>
                </c:pt>
                <c:pt idx="25">
                  <c:v>11.812762995753758</c:v>
                </c:pt>
                <c:pt idx="26">
                  <c:v>11.409669952776017</c:v>
                </c:pt>
                <c:pt idx="27">
                  <c:v>11.035068435242582</c:v>
                </c:pt>
                <c:pt idx="28">
                  <c:v>10.691809386892462</c:v>
                </c:pt>
                <c:pt idx="29">
                  <c:v>10.382505216349077</c:v>
                </c:pt>
                <c:pt idx="30">
                  <c:v>10.109509915113232</c:v>
                </c:pt>
                <c:pt idx="31">
                  <c:v>9.8749011422664008</c:v>
                </c:pt>
                <c:pt idx="32">
                  <c:v>9.6804644122305969</c:v>
                </c:pt>
                <c:pt idx="33">
                  <c:v>9.5276795059255015</c:v>
                </c:pt>
                <c:pt idx="34">
                  <c:v>9.4177092087421421</c:v>
                </c:pt>
                <c:pt idx="35">
                  <c:v>9.3513904610439678</c:v>
                </c:pt>
                <c:pt idx="36">
                  <c:v>9.3292279885453162</c:v>
                </c:pt>
                <c:pt idx="37">
                  <c:v>9.3513904610439678</c:v>
                </c:pt>
                <c:pt idx="38">
                  <c:v>9.4177092087421421</c:v>
                </c:pt>
                <c:pt idx="39">
                  <c:v>9.5276795059255015</c:v>
                </c:pt>
                <c:pt idx="40">
                  <c:v>9.6804644122305969</c:v>
                </c:pt>
                <c:pt idx="41">
                  <c:v>9.8749011422664008</c:v>
                </c:pt>
                <c:pt idx="42">
                  <c:v>10.109509915113232</c:v>
                </c:pt>
                <c:pt idx="43">
                  <c:v>10.382505216349077</c:v>
                </c:pt>
                <c:pt idx="44">
                  <c:v>10.69180938689246</c:v>
                </c:pt>
                <c:pt idx="45">
                  <c:v>11.035068435242582</c:v>
                </c:pt>
                <c:pt idx="46">
                  <c:v>11.409669952776017</c:v>
                </c:pt>
                <c:pt idx="47">
                  <c:v>11.812762995753756</c:v>
                </c:pt>
                <c:pt idx="48">
                  <c:v>12.241279782724504</c:v>
                </c:pt>
                <c:pt idx="49">
                  <c:v>12.691959042193911</c:v>
                </c:pt>
                <c:pt idx="50">
                  <c:v>13.161370832869824</c:v>
                </c:pt>
                <c:pt idx="51">
                  <c:v>13.645942647586619</c:v>
                </c:pt>
                <c:pt idx="52">
                  <c:v>14.141986602241836</c:v>
                </c:pt>
                <c:pt idx="53">
                  <c:v>14.645727502821023</c:v>
                </c:pt>
                <c:pt idx="54">
                  <c:v>15.153331576903698</c:v>
                </c:pt>
                <c:pt idx="55">
                  <c:v>15.660935650986374</c:v>
                </c:pt>
                <c:pt idx="56">
                  <c:v>16.164676551565559</c:v>
                </c:pt>
                <c:pt idx="57">
                  <c:v>16.660720506220777</c:v>
                </c:pt>
                <c:pt idx="58">
                  <c:v>17.145292320937578</c:v>
                </c:pt>
                <c:pt idx="59">
                  <c:v>17.614704111613491</c:v>
                </c:pt>
                <c:pt idx="60">
                  <c:v>18.065383371082891</c:v>
                </c:pt>
                <c:pt idx="61">
                  <c:v>18.493900158053641</c:v>
                </c:pt>
                <c:pt idx="62">
                  <c:v>18.896993201031382</c:v>
                </c:pt>
                <c:pt idx="63">
                  <c:v>19.271594718564817</c:v>
                </c:pt>
                <c:pt idx="64">
                  <c:v>19.614853766914937</c:v>
                </c:pt>
                <c:pt idx="65">
                  <c:v>19.924157937458322</c:v>
                </c:pt>
                <c:pt idx="66">
                  <c:v>20.197153238694163</c:v>
                </c:pt>
                <c:pt idx="67">
                  <c:v>20.431762011540997</c:v>
                </c:pt>
                <c:pt idx="68">
                  <c:v>20.6261987415768</c:v>
                </c:pt>
                <c:pt idx="69">
                  <c:v>20.778983647881898</c:v>
                </c:pt>
                <c:pt idx="70">
                  <c:v>20.888953945065257</c:v>
                </c:pt>
                <c:pt idx="71">
                  <c:v>20.95527269276343</c:v>
                </c:pt>
                <c:pt idx="72">
                  <c:v>20.977435165262083</c:v>
                </c:pt>
              </c:numCache>
            </c:numRef>
          </c:xVal>
          <c:yVal>
            <c:numRef>
              <c:f>'HSP 2 Spheres'!$AX$3:$AX$75</c:f>
              <c:numCache>
                <c:formatCode>General</c:formatCode>
                <c:ptCount val="73"/>
                <c:pt idx="0">
                  <c:v>8.7640383721148947</c:v>
                </c:pt>
                <c:pt idx="1">
                  <c:v>9.2716424461975713</c:v>
                </c:pt>
                <c:pt idx="2">
                  <c:v>9.7753833467767581</c:v>
                </c:pt>
                <c:pt idx="3">
                  <c:v>10.271427301431975</c:v>
                </c:pt>
                <c:pt idx="4">
                  <c:v>10.75599911614877</c:v>
                </c:pt>
                <c:pt idx="5">
                  <c:v>11.225410906824685</c:v>
                </c:pt>
                <c:pt idx="6">
                  <c:v>11.676090166294086</c:v>
                </c:pt>
                <c:pt idx="7">
                  <c:v>12.104606953264836</c:v>
                </c:pt>
                <c:pt idx="8">
                  <c:v>12.507699996242575</c:v>
                </c:pt>
                <c:pt idx="9">
                  <c:v>12.882301513776012</c:v>
                </c:pt>
                <c:pt idx="10">
                  <c:v>13.225560562126134</c:v>
                </c:pt>
                <c:pt idx="11">
                  <c:v>13.534864732669517</c:v>
                </c:pt>
                <c:pt idx="12">
                  <c:v>13.80786003390536</c:v>
                </c:pt>
                <c:pt idx="13">
                  <c:v>14.042468806752193</c:v>
                </c:pt>
                <c:pt idx="14">
                  <c:v>14.236905536787997</c:v>
                </c:pt>
                <c:pt idx="15">
                  <c:v>14.389690443093095</c:v>
                </c:pt>
                <c:pt idx="16">
                  <c:v>14.499660740276452</c:v>
                </c:pt>
                <c:pt idx="17">
                  <c:v>14.565979487974626</c:v>
                </c:pt>
                <c:pt idx="18">
                  <c:v>14.588141960473278</c:v>
                </c:pt>
                <c:pt idx="19">
                  <c:v>14.565979487974626</c:v>
                </c:pt>
                <c:pt idx="20">
                  <c:v>14.499660740276452</c:v>
                </c:pt>
                <c:pt idx="21">
                  <c:v>14.389690443093095</c:v>
                </c:pt>
                <c:pt idx="22">
                  <c:v>14.236905536787997</c:v>
                </c:pt>
                <c:pt idx="23">
                  <c:v>14.042468806752193</c:v>
                </c:pt>
                <c:pt idx="24">
                  <c:v>13.807860033905362</c:v>
                </c:pt>
                <c:pt idx="25">
                  <c:v>13.534864732669517</c:v>
                </c:pt>
                <c:pt idx="26">
                  <c:v>13.225560562126134</c:v>
                </c:pt>
                <c:pt idx="27">
                  <c:v>12.882301513776014</c:v>
                </c:pt>
                <c:pt idx="28">
                  <c:v>12.507699996242577</c:v>
                </c:pt>
                <c:pt idx="29">
                  <c:v>12.104606953264835</c:v>
                </c:pt>
                <c:pt idx="30">
                  <c:v>11.676090166294086</c:v>
                </c:pt>
                <c:pt idx="31">
                  <c:v>11.225410906824685</c:v>
                </c:pt>
                <c:pt idx="32">
                  <c:v>10.755999116148772</c:v>
                </c:pt>
                <c:pt idx="33">
                  <c:v>10.271427301431977</c:v>
                </c:pt>
                <c:pt idx="34">
                  <c:v>9.7753833467767581</c:v>
                </c:pt>
                <c:pt idx="35">
                  <c:v>9.2716424461975713</c:v>
                </c:pt>
                <c:pt idx="36">
                  <c:v>8.7640383721148947</c:v>
                </c:pt>
                <c:pt idx="37">
                  <c:v>8.2564342980322198</c:v>
                </c:pt>
                <c:pt idx="38">
                  <c:v>7.7526933974530312</c:v>
                </c:pt>
                <c:pt idx="39">
                  <c:v>7.256649442797813</c:v>
                </c:pt>
                <c:pt idx="40">
                  <c:v>6.7720776280810195</c:v>
                </c:pt>
                <c:pt idx="41">
                  <c:v>6.3026658374051054</c:v>
                </c:pt>
                <c:pt idx="42">
                  <c:v>5.851986577935703</c:v>
                </c:pt>
                <c:pt idx="43">
                  <c:v>5.423469790964953</c:v>
                </c:pt>
                <c:pt idx="44">
                  <c:v>5.0203767479872141</c:v>
                </c:pt>
                <c:pt idx="45">
                  <c:v>4.6457752304537774</c:v>
                </c:pt>
                <c:pt idx="46">
                  <c:v>4.3025161821036564</c:v>
                </c:pt>
                <c:pt idx="47">
                  <c:v>3.9932120115602734</c:v>
                </c:pt>
                <c:pt idx="48">
                  <c:v>3.7202167103244292</c:v>
                </c:pt>
                <c:pt idx="49">
                  <c:v>3.4856079374775959</c:v>
                </c:pt>
                <c:pt idx="50">
                  <c:v>3.291171207441792</c:v>
                </c:pt>
                <c:pt idx="51">
                  <c:v>3.1383863011366957</c:v>
                </c:pt>
                <c:pt idx="52">
                  <c:v>3.0284160039533372</c:v>
                </c:pt>
                <c:pt idx="53">
                  <c:v>2.9620972562551628</c:v>
                </c:pt>
                <c:pt idx="54">
                  <c:v>2.9399347837565113</c:v>
                </c:pt>
                <c:pt idx="55">
                  <c:v>2.9620972562551628</c:v>
                </c:pt>
                <c:pt idx="56">
                  <c:v>3.0284160039533363</c:v>
                </c:pt>
                <c:pt idx="57">
                  <c:v>3.1383863011366948</c:v>
                </c:pt>
                <c:pt idx="58">
                  <c:v>3.291171207441792</c:v>
                </c:pt>
                <c:pt idx="59">
                  <c:v>3.4856079374775959</c:v>
                </c:pt>
                <c:pt idx="60">
                  <c:v>3.7202167103244284</c:v>
                </c:pt>
                <c:pt idx="61">
                  <c:v>3.9932120115602725</c:v>
                </c:pt>
                <c:pt idx="62">
                  <c:v>4.3025161821036546</c:v>
                </c:pt>
                <c:pt idx="63">
                  <c:v>4.6457752304537765</c:v>
                </c:pt>
                <c:pt idx="64">
                  <c:v>5.0203767479872115</c:v>
                </c:pt>
                <c:pt idx="65">
                  <c:v>5.4234697909649512</c:v>
                </c:pt>
                <c:pt idx="66">
                  <c:v>5.8519865779357003</c:v>
                </c:pt>
                <c:pt idx="67">
                  <c:v>6.3026658374051063</c:v>
                </c:pt>
                <c:pt idx="68">
                  <c:v>6.7720776280810195</c:v>
                </c:pt>
                <c:pt idx="69">
                  <c:v>7.2566494427978139</c:v>
                </c:pt>
                <c:pt idx="70">
                  <c:v>7.7526933974530312</c:v>
                </c:pt>
                <c:pt idx="71">
                  <c:v>8.2564342980322181</c:v>
                </c:pt>
                <c:pt idx="72">
                  <c:v>8.7640383721148929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C23-40CB-B84D-EF99D6D683EE}"/>
            </c:ext>
          </c:extLst>
        </c:ser>
        <c:ser>
          <c:idx val="4"/>
          <c:order val="2"/>
          <c:tx>
            <c:v>Sphere 2</c:v>
          </c:tx>
          <c:spPr>
            <a:ln w="15875" cap="rnd">
              <a:solidFill>
                <a:schemeClr val="accent6">
                  <a:lumMod val="75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dLbls>
            <c:delete val="1"/>
          </c:dLbls>
          <c:xVal>
            <c:numRef>
              <c:f>'HSP 2 Spheres'!$BC$3:$BC$75</c:f>
              <c:numCache>
                <c:formatCode>General</c:formatCode>
                <c:ptCount val="73"/>
                <c:pt idx="0">
                  <c:v>23.013728207676117</c:v>
                </c:pt>
                <c:pt idx="1">
                  <c:v>22.993719827980442</c:v>
                </c:pt>
                <c:pt idx="2">
                  <c:v>22.933846964744287</c:v>
                </c:pt>
                <c:pt idx="3">
                  <c:v>22.834565286609106</c:v>
                </c:pt>
                <c:pt idx="4">
                  <c:v>22.696630387093425</c:v>
                </c:pt>
                <c:pt idx="5">
                  <c:v>22.521092034069923</c:v>
                </c:pt>
                <c:pt idx="6">
                  <c:v>22.309286180398068</c:v>
                </c:pt>
                <c:pt idx="7">
                  <c:v>22.062824796516171</c:v>
                </c:pt>
                <c:pt idx="8">
                  <c:v>21.783583602373028</c:v>
                </c:pt>
                <c:pt idx="9">
                  <c:v>21.47368779206651</c:v>
                </c:pt>
                <c:pt idx="10">
                  <c:v>21.135495859833259</c:v>
                </c:pt>
                <c:pt idx="11">
                  <c:v>20.771581650483441</c:v>
                </c:pt>
                <c:pt idx="12">
                  <c:v>20.384714770887612</c:v>
                </c:pt>
                <c:pt idx="13">
                  <c:v>19.977839511596105</c:v>
                </c:pt>
                <c:pt idx="14">
                  <c:v>19.554052439010132</c:v>
                </c:pt>
                <c:pt idx="15">
                  <c:v>19.1165788286417</c:v>
                </c:pt>
                <c:pt idx="16">
                  <c:v>18.668748118819501</c:v>
                </c:pt>
                <c:pt idx="17">
                  <c:v>18.213968571652856</c:v>
                </c:pt>
                <c:pt idx="18">
                  <c:v>17.755701334099104</c:v>
                </c:pt>
                <c:pt idx="19">
                  <c:v>17.297434096545352</c:v>
                </c:pt>
                <c:pt idx="20">
                  <c:v>16.842654549378707</c:v>
                </c:pt>
                <c:pt idx="21">
                  <c:v>16.394823839556508</c:v>
                </c:pt>
                <c:pt idx="22">
                  <c:v>15.957350229188076</c:v>
                </c:pt>
                <c:pt idx="23">
                  <c:v>15.533563156602103</c:v>
                </c:pt>
                <c:pt idx="24">
                  <c:v>15.1266878973106</c:v>
                </c:pt>
                <c:pt idx="25">
                  <c:v>14.739821017714767</c:v>
                </c:pt>
                <c:pt idx="26">
                  <c:v>14.375906808364949</c:v>
                </c:pt>
                <c:pt idx="27">
                  <c:v>14.037714876131698</c:v>
                </c:pt>
                <c:pt idx="28">
                  <c:v>13.72781906582518</c:v>
                </c:pt>
                <c:pt idx="29">
                  <c:v>13.448577871682037</c:v>
                </c:pt>
                <c:pt idx="30">
                  <c:v>13.202116487800142</c:v>
                </c:pt>
                <c:pt idx="31">
                  <c:v>12.990310634128287</c:v>
                </c:pt>
                <c:pt idx="32">
                  <c:v>12.814772281104785</c:v>
                </c:pt>
                <c:pt idx="33">
                  <c:v>12.676837381589102</c:v>
                </c:pt>
                <c:pt idx="34">
                  <c:v>12.577555703453921</c:v>
                </c:pt>
                <c:pt idx="35">
                  <c:v>12.517682840217766</c:v>
                </c:pt>
                <c:pt idx="36">
                  <c:v>12.497674460522092</c:v>
                </c:pt>
                <c:pt idx="37">
                  <c:v>12.517682840217766</c:v>
                </c:pt>
                <c:pt idx="38">
                  <c:v>12.577555703453921</c:v>
                </c:pt>
                <c:pt idx="39">
                  <c:v>12.676837381589102</c:v>
                </c:pt>
                <c:pt idx="40">
                  <c:v>12.814772281104784</c:v>
                </c:pt>
                <c:pt idx="41">
                  <c:v>12.990310634128285</c:v>
                </c:pt>
                <c:pt idx="42">
                  <c:v>13.202116487800144</c:v>
                </c:pt>
                <c:pt idx="43">
                  <c:v>13.448577871682037</c:v>
                </c:pt>
                <c:pt idx="44">
                  <c:v>13.72781906582518</c:v>
                </c:pt>
                <c:pt idx="45">
                  <c:v>14.037714876131696</c:v>
                </c:pt>
                <c:pt idx="46">
                  <c:v>14.375906808364949</c:v>
                </c:pt>
                <c:pt idx="47">
                  <c:v>14.739821017714767</c:v>
                </c:pt>
                <c:pt idx="48">
                  <c:v>15.126687897310596</c:v>
                </c:pt>
                <c:pt idx="49">
                  <c:v>15.533563156602105</c:v>
                </c:pt>
                <c:pt idx="50">
                  <c:v>15.957350229188076</c:v>
                </c:pt>
                <c:pt idx="51">
                  <c:v>16.394823839556508</c:v>
                </c:pt>
                <c:pt idx="52">
                  <c:v>16.842654549378707</c:v>
                </c:pt>
                <c:pt idx="53">
                  <c:v>17.297434096545352</c:v>
                </c:pt>
                <c:pt idx="54">
                  <c:v>17.755701334099104</c:v>
                </c:pt>
                <c:pt idx="55">
                  <c:v>18.213968571652853</c:v>
                </c:pt>
                <c:pt idx="56">
                  <c:v>18.668748118819497</c:v>
                </c:pt>
                <c:pt idx="57">
                  <c:v>19.116578828641696</c:v>
                </c:pt>
                <c:pt idx="58">
                  <c:v>19.554052439010132</c:v>
                </c:pt>
                <c:pt idx="59">
                  <c:v>19.977839511596105</c:v>
                </c:pt>
                <c:pt idx="60">
                  <c:v>20.384714770887612</c:v>
                </c:pt>
                <c:pt idx="61">
                  <c:v>20.771581650483441</c:v>
                </c:pt>
                <c:pt idx="62">
                  <c:v>21.135495859833259</c:v>
                </c:pt>
                <c:pt idx="63">
                  <c:v>21.47368779206651</c:v>
                </c:pt>
                <c:pt idx="64">
                  <c:v>21.783583602373028</c:v>
                </c:pt>
                <c:pt idx="65">
                  <c:v>22.062824796516168</c:v>
                </c:pt>
                <c:pt idx="66">
                  <c:v>22.309286180398065</c:v>
                </c:pt>
                <c:pt idx="67">
                  <c:v>22.521092034069923</c:v>
                </c:pt>
                <c:pt idx="68">
                  <c:v>22.696630387093425</c:v>
                </c:pt>
                <c:pt idx="69">
                  <c:v>22.834565286609106</c:v>
                </c:pt>
                <c:pt idx="70">
                  <c:v>22.933846964744287</c:v>
                </c:pt>
                <c:pt idx="71">
                  <c:v>22.993719827980442</c:v>
                </c:pt>
                <c:pt idx="72">
                  <c:v>23.013728207676117</c:v>
                </c:pt>
              </c:numCache>
            </c:numRef>
          </c:xVal>
          <c:yVal>
            <c:numRef>
              <c:f>'HSP 2 Spheres'!$BB$3:$BB$75</c:f>
              <c:numCache>
                <c:formatCode>General</c:formatCode>
                <c:ptCount val="73"/>
                <c:pt idx="0">
                  <c:v>8.1717074034439623</c:v>
                </c:pt>
                <c:pt idx="1">
                  <c:v>8.6299746409977143</c:v>
                </c:pt>
                <c:pt idx="2">
                  <c:v>9.0847541881643572</c:v>
                </c:pt>
                <c:pt idx="3">
                  <c:v>9.5325848979865579</c:v>
                </c:pt>
                <c:pt idx="4">
                  <c:v>9.97005850835499</c:v>
                </c:pt>
                <c:pt idx="5">
                  <c:v>10.393845580940964</c:v>
                </c:pt>
                <c:pt idx="6">
                  <c:v>10.800720840232469</c:v>
                </c:pt>
                <c:pt idx="7">
                  <c:v>11.187587719828297</c:v>
                </c:pt>
                <c:pt idx="8">
                  <c:v>11.551501929178118</c:v>
                </c:pt>
                <c:pt idx="9">
                  <c:v>11.88969386141137</c:v>
                </c:pt>
                <c:pt idx="10">
                  <c:v>12.199589671717886</c:v>
                </c:pt>
                <c:pt idx="11">
                  <c:v>12.478830865861028</c:v>
                </c:pt>
                <c:pt idx="12">
                  <c:v>12.725292249742925</c:v>
                </c:pt>
                <c:pt idx="13">
                  <c:v>12.93709810341478</c:v>
                </c:pt>
                <c:pt idx="14">
                  <c:v>13.112636456438281</c:v>
                </c:pt>
                <c:pt idx="15">
                  <c:v>13.250571355953966</c:v>
                </c:pt>
                <c:pt idx="16">
                  <c:v>13.349853034089145</c:v>
                </c:pt>
                <c:pt idx="17">
                  <c:v>13.409725897325298</c:v>
                </c:pt>
                <c:pt idx="18">
                  <c:v>13.429734277020975</c:v>
                </c:pt>
                <c:pt idx="19">
                  <c:v>13.409725897325298</c:v>
                </c:pt>
                <c:pt idx="20">
                  <c:v>13.349853034089145</c:v>
                </c:pt>
                <c:pt idx="21">
                  <c:v>13.250571355953966</c:v>
                </c:pt>
                <c:pt idx="22">
                  <c:v>13.112636456438281</c:v>
                </c:pt>
                <c:pt idx="23">
                  <c:v>12.93709810341478</c:v>
                </c:pt>
                <c:pt idx="24">
                  <c:v>12.725292249742925</c:v>
                </c:pt>
                <c:pt idx="25">
                  <c:v>12.478830865861028</c:v>
                </c:pt>
                <c:pt idx="26">
                  <c:v>12.199589671717886</c:v>
                </c:pt>
                <c:pt idx="27">
                  <c:v>11.88969386141137</c:v>
                </c:pt>
                <c:pt idx="28">
                  <c:v>11.551501929178119</c:v>
                </c:pt>
                <c:pt idx="29">
                  <c:v>11.187587719828297</c:v>
                </c:pt>
                <c:pt idx="30">
                  <c:v>10.800720840232469</c:v>
                </c:pt>
                <c:pt idx="31">
                  <c:v>10.393845580940964</c:v>
                </c:pt>
                <c:pt idx="32">
                  <c:v>9.9700585083549917</c:v>
                </c:pt>
                <c:pt idx="33">
                  <c:v>9.5325848979865579</c:v>
                </c:pt>
                <c:pt idx="34">
                  <c:v>9.0847541881643572</c:v>
                </c:pt>
                <c:pt idx="35">
                  <c:v>8.6299746409977143</c:v>
                </c:pt>
                <c:pt idx="36">
                  <c:v>8.1717074034439623</c:v>
                </c:pt>
                <c:pt idx="37">
                  <c:v>7.7134401658902121</c:v>
                </c:pt>
                <c:pt idx="38">
                  <c:v>7.2586606187235665</c:v>
                </c:pt>
                <c:pt idx="39">
                  <c:v>6.8108299089013666</c:v>
                </c:pt>
                <c:pt idx="40">
                  <c:v>6.3733562985329346</c:v>
                </c:pt>
                <c:pt idx="41">
                  <c:v>5.949569225946961</c:v>
                </c:pt>
                <c:pt idx="42">
                  <c:v>5.542693966655456</c:v>
                </c:pt>
                <c:pt idx="43">
                  <c:v>5.1558270870596266</c:v>
                </c:pt>
                <c:pt idx="44">
                  <c:v>4.791912877709807</c:v>
                </c:pt>
                <c:pt idx="45">
                  <c:v>4.4537209454765554</c:v>
                </c:pt>
                <c:pt idx="46">
                  <c:v>4.1438251351700393</c:v>
                </c:pt>
                <c:pt idx="47">
                  <c:v>3.864583941026897</c:v>
                </c:pt>
                <c:pt idx="48">
                  <c:v>3.6181225571450017</c:v>
                </c:pt>
                <c:pt idx="49">
                  <c:v>3.4063167034731441</c:v>
                </c:pt>
                <c:pt idx="50">
                  <c:v>3.2307783504496426</c:v>
                </c:pt>
                <c:pt idx="51">
                  <c:v>3.0928434509339597</c:v>
                </c:pt>
                <c:pt idx="52">
                  <c:v>2.9935617727987793</c:v>
                </c:pt>
                <c:pt idx="53">
                  <c:v>2.9336889095626253</c:v>
                </c:pt>
                <c:pt idx="54">
                  <c:v>2.9136805298669497</c:v>
                </c:pt>
                <c:pt idx="55">
                  <c:v>2.9336889095626253</c:v>
                </c:pt>
                <c:pt idx="56">
                  <c:v>2.9935617727987784</c:v>
                </c:pt>
                <c:pt idx="57">
                  <c:v>3.0928434509339588</c:v>
                </c:pt>
                <c:pt idx="58">
                  <c:v>3.2307783504496435</c:v>
                </c:pt>
                <c:pt idx="59">
                  <c:v>3.406316703473145</c:v>
                </c:pt>
                <c:pt idx="60">
                  <c:v>3.6181225571450009</c:v>
                </c:pt>
                <c:pt idx="61">
                  <c:v>3.8645839410268961</c:v>
                </c:pt>
                <c:pt idx="62">
                  <c:v>4.1438251351700384</c:v>
                </c:pt>
                <c:pt idx="63">
                  <c:v>4.4537209454765545</c:v>
                </c:pt>
                <c:pt idx="64">
                  <c:v>4.7919128777098052</c:v>
                </c:pt>
                <c:pt idx="65">
                  <c:v>5.1558270870596248</c:v>
                </c:pt>
                <c:pt idx="66">
                  <c:v>5.5426939666554542</c:v>
                </c:pt>
                <c:pt idx="67">
                  <c:v>5.9495692259469619</c:v>
                </c:pt>
                <c:pt idx="68">
                  <c:v>6.3733562985329355</c:v>
                </c:pt>
                <c:pt idx="69">
                  <c:v>6.8108299089013675</c:v>
                </c:pt>
                <c:pt idx="70">
                  <c:v>7.2586606187235665</c:v>
                </c:pt>
                <c:pt idx="71">
                  <c:v>7.7134401658902103</c:v>
                </c:pt>
                <c:pt idx="72">
                  <c:v>8.1717074034439605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72-6C23-40CB-B84D-EF99D6D683EE}"/>
            </c:ext>
          </c:extLst>
        </c:ser>
        <c:ser>
          <c:idx val="5"/>
          <c:order val="3"/>
          <c:tx>
            <c:v>Reference 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5000"/>
                </a:schemeClr>
              </a:solidFill>
              <a:ln w="9525">
                <a:solidFill>
                  <a:schemeClr val="accent6">
                    <a:lumMod val="75000"/>
                  </a:schemeClr>
                </a:solidFill>
              </a:ln>
              <a:effectLst/>
            </c:spPr>
          </c:marker>
          <c:dLbls>
            <c:delete val="1"/>
          </c:dLbls>
          <c:xVal>
            <c:numRef>
              <c:f>'HSP 2 Spheres'!$C$4</c:f>
              <c:numCache>
                <c:formatCode>0.00</c:formatCode>
                <c:ptCount val="1"/>
                <c:pt idx="0">
                  <c:v>17.755701334099104</c:v>
                </c:pt>
              </c:numCache>
            </c:numRef>
          </c:xVal>
          <c:yVal>
            <c:numRef>
              <c:f>'HSP 2 Spheres'!$E$4</c:f>
              <c:numCache>
                <c:formatCode>0.00</c:formatCode>
                <c:ptCount val="1"/>
                <c:pt idx="0">
                  <c:v>8.1717074034439623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3-6C23-40CB-B84D-EF99D6D683EE}"/>
            </c:ext>
          </c:extLst>
        </c:ser>
        <c:ser>
          <c:idx val="0"/>
          <c:order val="4"/>
          <c:tx>
            <c:v>Good Solv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dLbls>
            <c:delete val="1"/>
          </c:dLbls>
          <c:xVal>
            <c:numRef>
              <c:f>'HSP 2 Spheres'!$BK$3:$BK$97</c:f>
              <c:numCache>
                <c:formatCode>General</c:formatCode>
                <c:ptCount val="95"/>
                <c:pt idx="0">
                  <c:v>16</c:v>
                </c:pt>
                <c:pt idx="1">
                  <c:v>15.5</c:v>
                </c:pt>
                <c:pt idx="2">
                  <c:v>18.8</c:v>
                </c:pt>
                <c:pt idx="3">
                  <c:v>16.100000000000001</c:v>
                </c:pt>
                <c:pt idx="4">
                  <c:v>16</c:v>
                </c:pt>
                <c:pt idx="5">
                  <c:v>18</c:v>
                </c:pt>
                <c:pt idx="6">
                  <c:v>15.8</c:v>
                </c:pt>
                <c:pt idx="7">
                  <c:v>15.1</c:v>
                </c:pt>
                <c:pt idx="8">
                  <c:v>16.8</c:v>
                </c:pt>
                <c:pt idx="9">
                  <c:v>17.399999999999999</c:v>
                </c:pt>
                <c:pt idx="10">
                  <c:v>17.5</c:v>
                </c:pt>
                <c:pt idx="11">
                  <c:v>15.8</c:v>
                </c:pt>
                <c:pt idx="12">
                  <c:v>16.600000000000001</c:v>
                </c:pt>
                <c:pt idx="13">
                  <c:v>15.3</c:v>
                </c:pt>
                <c:pt idx="14">
                  <c:v>17</c:v>
                </c:pt>
                <c:pt idx="15">
                  <c:v>15.5</c:v>
                </c:pt>
                <c:pt idx="16">
                  <c:v>15.3</c:v>
                </c:pt>
                <c:pt idx="17">
                  <c:v>16</c:v>
                </c:pt>
                <c:pt idx="18">
                  <c:v>15.3</c:v>
                </c:pt>
                <c:pt idx="19">
                  <c:v>19</c:v>
                </c:pt>
                <c:pt idx="20">
                  <c:v>16.8</c:v>
                </c:pt>
                <c:pt idx="21">
                  <c:v>16.7</c:v>
                </c:pt>
                <c:pt idx="22">
                  <c:v>16.899999999999999</c:v>
                </c:pt>
                <c:pt idx="23">
                  <c:v>16.5</c:v>
                </c:pt>
                <c:pt idx="24">
                  <c:v>16.399999999999999</c:v>
                </c:pt>
                <c:pt idx="25">
                  <c:v>15.8</c:v>
                </c:pt>
              </c:numCache>
            </c:numRef>
          </c:xVal>
          <c:yVal>
            <c:numRef>
              <c:f>'HSP 2 Spheres'!$BM$3:$BM$97</c:f>
              <c:numCache>
                <c:formatCode>General</c:formatCode>
                <c:ptCount val="95"/>
                <c:pt idx="0">
                  <c:v>10.199999999999999</c:v>
                </c:pt>
                <c:pt idx="1">
                  <c:v>7</c:v>
                </c:pt>
                <c:pt idx="2">
                  <c:v>4</c:v>
                </c:pt>
                <c:pt idx="3">
                  <c:v>6.2</c:v>
                </c:pt>
                <c:pt idx="4">
                  <c:v>6.8</c:v>
                </c:pt>
                <c:pt idx="5">
                  <c:v>7.4</c:v>
                </c:pt>
                <c:pt idx="6">
                  <c:v>10.8</c:v>
                </c:pt>
                <c:pt idx="7">
                  <c:v>3.5</c:v>
                </c:pt>
                <c:pt idx="8">
                  <c:v>9.4</c:v>
                </c:pt>
                <c:pt idx="9">
                  <c:v>11.3</c:v>
                </c:pt>
                <c:pt idx="10">
                  <c:v>9</c:v>
                </c:pt>
                <c:pt idx="11">
                  <c:v>7.2</c:v>
                </c:pt>
                <c:pt idx="12">
                  <c:v>17</c:v>
                </c:pt>
                <c:pt idx="13">
                  <c:v>7</c:v>
                </c:pt>
                <c:pt idx="14">
                  <c:v>5</c:v>
                </c:pt>
                <c:pt idx="15">
                  <c:v>7.6</c:v>
                </c:pt>
                <c:pt idx="16">
                  <c:v>9.4</c:v>
                </c:pt>
                <c:pt idx="17">
                  <c:v>5.0999999999999996</c:v>
                </c:pt>
                <c:pt idx="18">
                  <c:v>4.0999999999999996</c:v>
                </c:pt>
                <c:pt idx="19">
                  <c:v>5.9</c:v>
                </c:pt>
                <c:pt idx="20">
                  <c:v>8</c:v>
                </c:pt>
                <c:pt idx="21">
                  <c:v>9.1999999999999993</c:v>
                </c:pt>
                <c:pt idx="22">
                  <c:v>4.3</c:v>
                </c:pt>
                <c:pt idx="23">
                  <c:v>8.3000000000000007</c:v>
                </c:pt>
                <c:pt idx="24">
                  <c:v>8.9</c:v>
                </c:pt>
                <c:pt idx="25">
                  <c:v>7.7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C8C-4EAC-ABCD-E8EE9C2788DB}"/>
            </c:ext>
          </c:extLst>
        </c:ser>
        <c:ser>
          <c:idx val="6"/>
          <c:order val="5"/>
          <c:tx>
            <c:v>Bad Solv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dLbls>
            <c:delete val="1"/>
          </c:dLbls>
          <c:xVal>
            <c:numRef>
              <c:f>'HSP 2 Spheres'!$BP$3:$BP$97</c:f>
              <c:numCache>
                <c:formatCode>General</c:formatCode>
                <c:ptCount val="95"/>
                <c:pt idx="0">
                  <c:v>20.100000000000001</c:v>
                </c:pt>
                <c:pt idx="1">
                  <c:v>18.399999999999999</c:v>
                </c:pt>
                <c:pt idx="2">
                  <c:v>17.8</c:v>
                </c:pt>
                <c:pt idx="3">
                  <c:v>17.8</c:v>
                </c:pt>
                <c:pt idx="4">
                  <c:v>16.8</c:v>
                </c:pt>
                <c:pt idx="5">
                  <c:v>17.399999999999999</c:v>
                </c:pt>
                <c:pt idx="6">
                  <c:v>18</c:v>
                </c:pt>
                <c:pt idx="7">
                  <c:v>16.2</c:v>
                </c:pt>
                <c:pt idx="8">
                  <c:v>15.8</c:v>
                </c:pt>
                <c:pt idx="9">
                  <c:v>17.8</c:v>
                </c:pt>
                <c:pt idx="10">
                  <c:v>17</c:v>
                </c:pt>
                <c:pt idx="11">
                  <c:v>12.8</c:v>
                </c:pt>
                <c:pt idx="12">
                  <c:v>14.6</c:v>
                </c:pt>
                <c:pt idx="13">
                  <c:v>18.600000000000001</c:v>
                </c:pt>
                <c:pt idx="14">
                  <c:v>14.9</c:v>
                </c:pt>
                <c:pt idx="15">
                  <c:v>14.7</c:v>
                </c:pt>
                <c:pt idx="16">
                  <c:v>20</c:v>
                </c:pt>
                <c:pt idx="17">
                  <c:v>18</c:v>
                </c:pt>
                <c:pt idx="18">
                  <c:v>18</c:v>
                </c:pt>
                <c:pt idx="19">
                  <c:v>14.1</c:v>
                </c:pt>
                <c:pt idx="20">
                  <c:v>17.8</c:v>
                </c:pt>
                <c:pt idx="21">
                  <c:v>19.100000000000001</c:v>
                </c:pt>
                <c:pt idx="22">
                  <c:v>16.3</c:v>
                </c:pt>
              </c:numCache>
            </c:numRef>
          </c:xVal>
          <c:yVal>
            <c:numRef>
              <c:f>'HSP 2 Spheres'!$BR$3:$BR$97</c:f>
              <c:numCache>
                <c:formatCode>General</c:formatCode>
                <c:ptCount val="95"/>
                <c:pt idx="0">
                  <c:v>11.2</c:v>
                </c:pt>
                <c:pt idx="1">
                  <c:v>2</c:v>
                </c:pt>
                <c:pt idx="2">
                  <c:v>0.6</c:v>
                </c:pt>
                <c:pt idx="3">
                  <c:v>5.7</c:v>
                </c:pt>
                <c:pt idx="4">
                  <c:v>0.2</c:v>
                </c:pt>
                <c:pt idx="5">
                  <c:v>13.5</c:v>
                </c:pt>
                <c:pt idx="6">
                  <c:v>0</c:v>
                </c:pt>
                <c:pt idx="7">
                  <c:v>12.6</c:v>
                </c:pt>
                <c:pt idx="8">
                  <c:v>19.399999999999999</c:v>
                </c:pt>
                <c:pt idx="9">
                  <c:v>1.4</c:v>
                </c:pt>
                <c:pt idx="10">
                  <c:v>3</c:v>
                </c:pt>
                <c:pt idx="11">
                  <c:v>15.4</c:v>
                </c:pt>
                <c:pt idx="12">
                  <c:v>14</c:v>
                </c:pt>
                <c:pt idx="13">
                  <c:v>5.0999999999999996</c:v>
                </c:pt>
                <c:pt idx="14">
                  <c:v>0</c:v>
                </c:pt>
                <c:pt idx="15">
                  <c:v>22.3</c:v>
                </c:pt>
                <c:pt idx="16">
                  <c:v>3.1</c:v>
                </c:pt>
                <c:pt idx="17">
                  <c:v>2</c:v>
                </c:pt>
                <c:pt idx="18">
                  <c:v>5.3</c:v>
                </c:pt>
                <c:pt idx="19">
                  <c:v>0</c:v>
                </c:pt>
                <c:pt idx="20">
                  <c:v>3.1</c:v>
                </c:pt>
                <c:pt idx="21">
                  <c:v>2.6</c:v>
                </c:pt>
                <c:pt idx="22">
                  <c:v>9.8000000000000007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C8C-4EAC-ABCD-E8EE9C2788DB}"/>
            </c:ext>
          </c:extLst>
        </c:ser>
        <c:ser>
          <c:idx val="3"/>
          <c:order val="6"/>
          <c:tx>
            <c:v>Outlier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C000"/>
              </a:solidFill>
              <a:ln w="9525">
                <a:solidFill>
                  <a:srgbClr val="FFC000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F1428F4D-B9EA-4367-B744-406434BA948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6C23-40CB-B84D-EF99D6D683EE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6C7654D9-4813-4C0C-A4DE-876BEBA9BAC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92C6-44E6-8269-30F546AE96D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C7AFF278-113A-4D47-9E03-EC35EA2014D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92C6-44E6-8269-30F546AE96D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92C6-44E6-8269-30F546AE96D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92C6-44E6-8269-30F546AE96D0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92C6-44E6-8269-30F546AE96D0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92C6-44E6-8269-30F546AE96D0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92C6-44E6-8269-30F546AE96D0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92C6-44E6-8269-30F546AE96D0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92C6-44E6-8269-30F546AE96D0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92C6-44E6-8269-30F546AE96D0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A-92C6-44E6-8269-30F546AE96D0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92C6-44E6-8269-30F546AE96D0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C-92C6-44E6-8269-30F546AE96D0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D-92C6-44E6-8269-30F546AE96D0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E-92C6-44E6-8269-30F546AE96D0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F-92C6-44E6-8269-30F546AE96D0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0-92C6-44E6-8269-30F546AE96D0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1-92C6-44E6-8269-30F546AE96D0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2-92C6-44E6-8269-30F546AE96D0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3-92C6-44E6-8269-30F546AE96D0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4-92C6-44E6-8269-30F546AE96D0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5-92C6-44E6-8269-30F546AE96D0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6-92C6-44E6-8269-30F546AE96D0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7-92C6-44E6-8269-30F546AE96D0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8-92C6-44E6-8269-30F546AE96D0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9-92C6-44E6-8269-30F546AE96D0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A-92C6-44E6-8269-30F546AE96D0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B-92C6-44E6-8269-30F546AE96D0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C-92C6-44E6-8269-30F546AE96D0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D-92C6-44E6-8269-30F546AE96D0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E-92C6-44E6-8269-30F546AE96D0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F-92C6-44E6-8269-30F546AE96D0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0-92C6-44E6-8269-30F546AE96D0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1-92C6-44E6-8269-30F546AE96D0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2-92C6-44E6-8269-30F546AE96D0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3-92C6-44E6-8269-30F546AE96D0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4-92C6-44E6-8269-30F546AE96D0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5-92C6-44E6-8269-30F546AE96D0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6-92C6-44E6-8269-30F546AE96D0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7-92C6-44E6-8269-30F546AE96D0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8-92C6-44E6-8269-30F546AE96D0}"/>
                </c:ext>
              </c:extLst>
            </c:dLbl>
            <c:dLbl>
              <c:idx val="42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9-92C6-44E6-8269-30F546AE96D0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A-92C6-44E6-8269-30F546AE96D0}"/>
                </c:ext>
              </c:extLst>
            </c:dLbl>
            <c:dLbl>
              <c:idx val="44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B-92C6-44E6-8269-30F546AE96D0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C-92C6-44E6-8269-30F546AE96D0}"/>
                </c:ext>
              </c:extLst>
            </c:dLbl>
            <c:dLbl>
              <c:idx val="46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D-92C6-44E6-8269-30F546AE96D0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E-92C6-44E6-8269-30F546AE96D0}"/>
                </c:ext>
              </c:extLst>
            </c:dLbl>
            <c:dLbl>
              <c:idx val="48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F-92C6-44E6-8269-30F546AE96D0}"/>
                </c:ext>
              </c:extLst>
            </c:dLbl>
            <c:dLbl>
              <c:idx val="49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0-92C6-44E6-8269-30F546AE96D0}"/>
                </c:ext>
              </c:extLst>
            </c:dLbl>
            <c:dLbl>
              <c:idx val="50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1-92C6-44E6-8269-30F546AE96D0}"/>
                </c:ext>
              </c:extLst>
            </c:dLbl>
            <c:dLbl>
              <c:idx val="51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2-92C6-44E6-8269-30F546AE96D0}"/>
                </c:ext>
              </c:extLst>
            </c:dLbl>
            <c:dLbl>
              <c:idx val="52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3-92C6-44E6-8269-30F546AE96D0}"/>
                </c:ext>
              </c:extLst>
            </c:dLbl>
            <c:dLbl>
              <c:idx val="53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4-92C6-44E6-8269-30F546AE96D0}"/>
                </c:ext>
              </c:extLst>
            </c:dLbl>
            <c:dLbl>
              <c:idx val="54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5-92C6-44E6-8269-30F546AE96D0}"/>
                </c:ext>
              </c:extLst>
            </c:dLbl>
            <c:dLbl>
              <c:idx val="55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6-92C6-44E6-8269-30F546AE96D0}"/>
                </c:ext>
              </c:extLst>
            </c:dLbl>
            <c:dLbl>
              <c:idx val="56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7-92C6-44E6-8269-30F546AE96D0}"/>
                </c:ext>
              </c:extLst>
            </c:dLbl>
            <c:dLbl>
              <c:idx val="57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8-92C6-44E6-8269-30F546AE96D0}"/>
                </c:ext>
              </c:extLst>
            </c:dLbl>
            <c:dLbl>
              <c:idx val="58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9-92C6-44E6-8269-30F546AE96D0}"/>
                </c:ext>
              </c:extLst>
            </c:dLbl>
            <c:dLbl>
              <c:idx val="59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A-92C6-44E6-8269-30F546AE96D0}"/>
                </c:ext>
              </c:extLst>
            </c:dLbl>
            <c:dLbl>
              <c:idx val="60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B-92C6-44E6-8269-30F546AE96D0}"/>
                </c:ext>
              </c:extLst>
            </c:dLbl>
            <c:dLbl>
              <c:idx val="61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C-92C6-44E6-8269-30F546AE96D0}"/>
                </c:ext>
              </c:extLst>
            </c:dLbl>
            <c:dLbl>
              <c:idx val="62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D-92C6-44E6-8269-30F546AE96D0}"/>
                </c:ext>
              </c:extLst>
            </c:dLbl>
            <c:dLbl>
              <c:idx val="63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E-92C6-44E6-8269-30F546AE96D0}"/>
                </c:ext>
              </c:extLst>
            </c:dLbl>
            <c:dLbl>
              <c:idx val="64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F-92C6-44E6-8269-30F546AE96D0}"/>
                </c:ext>
              </c:extLst>
            </c:dLbl>
            <c:dLbl>
              <c:idx val="65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0-92C6-44E6-8269-30F546AE96D0}"/>
                </c:ext>
              </c:extLst>
            </c:dLbl>
            <c:dLbl>
              <c:idx val="66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1-92C6-44E6-8269-30F546AE96D0}"/>
                </c:ext>
              </c:extLst>
            </c:dLbl>
            <c:dLbl>
              <c:idx val="67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2-92C6-44E6-8269-30F546AE96D0}"/>
                </c:ext>
              </c:extLst>
            </c:dLbl>
            <c:dLbl>
              <c:idx val="68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3-92C6-44E6-8269-30F546AE96D0}"/>
                </c:ext>
              </c:extLst>
            </c:dLbl>
            <c:dLbl>
              <c:idx val="69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4-92C6-44E6-8269-30F546AE96D0}"/>
                </c:ext>
              </c:extLst>
            </c:dLbl>
            <c:dLbl>
              <c:idx val="70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5-92C6-44E6-8269-30F546AE96D0}"/>
                </c:ext>
              </c:extLst>
            </c:dLbl>
            <c:dLbl>
              <c:idx val="71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6-92C6-44E6-8269-30F546AE96D0}"/>
                </c:ext>
              </c:extLst>
            </c:dLbl>
            <c:dLbl>
              <c:idx val="72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7-92C6-44E6-8269-30F546AE96D0}"/>
                </c:ext>
              </c:extLst>
            </c:dLbl>
            <c:dLbl>
              <c:idx val="73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8-92C6-44E6-8269-30F546AE96D0}"/>
                </c:ext>
              </c:extLst>
            </c:dLbl>
            <c:dLbl>
              <c:idx val="74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9-92C6-44E6-8269-30F546AE96D0}"/>
                </c:ext>
              </c:extLst>
            </c:dLbl>
            <c:dLbl>
              <c:idx val="75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A-92C6-44E6-8269-30F546AE96D0}"/>
                </c:ext>
              </c:extLst>
            </c:dLbl>
            <c:dLbl>
              <c:idx val="76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B-92C6-44E6-8269-30F546AE96D0}"/>
                </c:ext>
              </c:extLst>
            </c:dLbl>
            <c:dLbl>
              <c:idx val="77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C-92C6-44E6-8269-30F546AE96D0}"/>
                </c:ext>
              </c:extLst>
            </c:dLbl>
            <c:dLbl>
              <c:idx val="78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D-92C6-44E6-8269-30F546AE96D0}"/>
                </c:ext>
              </c:extLst>
            </c:dLbl>
            <c:dLbl>
              <c:idx val="79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E-92C6-44E6-8269-30F546AE96D0}"/>
                </c:ext>
              </c:extLst>
            </c:dLbl>
            <c:dLbl>
              <c:idx val="80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F-92C6-44E6-8269-30F546AE96D0}"/>
                </c:ext>
              </c:extLst>
            </c:dLbl>
            <c:dLbl>
              <c:idx val="81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0-92C6-44E6-8269-30F546AE96D0}"/>
                </c:ext>
              </c:extLst>
            </c:dLbl>
            <c:dLbl>
              <c:idx val="82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1-92C6-44E6-8269-30F546AE96D0}"/>
                </c:ext>
              </c:extLst>
            </c:dLbl>
            <c:dLbl>
              <c:idx val="83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2-92C6-44E6-8269-30F546AE96D0}"/>
                </c:ext>
              </c:extLst>
            </c:dLbl>
            <c:dLbl>
              <c:idx val="84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3-92C6-44E6-8269-30F546AE96D0}"/>
                </c:ext>
              </c:extLst>
            </c:dLbl>
            <c:dLbl>
              <c:idx val="85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4-92C6-44E6-8269-30F546AE96D0}"/>
                </c:ext>
              </c:extLst>
            </c:dLbl>
            <c:dLbl>
              <c:idx val="86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5-92C6-44E6-8269-30F546AE96D0}"/>
                </c:ext>
              </c:extLst>
            </c:dLbl>
            <c:dLbl>
              <c:idx val="87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6-92C6-44E6-8269-30F546AE96D0}"/>
                </c:ext>
              </c:extLst>
            </c:dLbl>
            <c:dLbl>
              <c:idx val="88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7-92C6-44E6-8269-30F546AE96D0}"/>
                </c:ext>
              </c:extLst>
            </c:dLbl>
            <c:dLbl>
              <c:idx val="89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8-92C6-44E6-8269-30F546AE96D0}"/>
                </c:ext>
              </c:extLst>
            </c:dLbl>
            <c:dLbl>
              <c:idx val="90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9-92C6-44E6-8269-30F546AE96D0}"/>
                </c:ext>
              </c:extLst>
            </c:dLbl>
            <c:dLbl>
              <c:idx val="91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A-92C6-44E6-8269-30F546AE96D0}"/>
                </c:ext>
              </c:extLst>
            </c:dLbl>
            <c:dLbl>
              <c:idx val="92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B-92C6-44E6-8269-30F546AE96D0}"/>
                </c:ext>
              </c:extLst>
            </c:dLbl>
            <c:dLbl>
              <c:idx val="93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C-92C6-44E6-8269-30F546AE96D0}"/>
                </c:ext>
              </c:extLst>
            </c:dLbl>
            <c:dLbl>
              <c:idx val="94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D-92C6-44E6-8269-30F546AE96D0}"/>
                </c:ext>
              </c:extLst>
            </c:dLbl>
            <c:dLbl>
              <c:idx val="95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E-92C6-44E6-8269-30F546AE96D0}"/>
                </c:ext>
              </c:extLst>
            </c:dLbl>
            <c:dLbl>
              <c:idx val="96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F-92C6-44E6-8269-30F546AE96D0}"/>
                </c:ext>
              </c:extLst>
            </c:dLbl>
            <c:dLbl>
              <c:idx val="97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60-92C6-44E6-8269-30F546AE96D0}"/>
                </c:ext>
              </c:extLst>
            </c:dLbl>
            <c:dLbl>
              <c:idx val="98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61-92C6-44E6-8269-30F546AE96D0}"/>
                </c:ext>
              </c:extLst>
            </c:dLbl>
            <c:dLbl>
              <c:idx val="99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62-92C6-44E6-8269-30F546AE96D0}"/>
                </c:ext>
              </c:extLst>
            </c:dLbl>
            <c:dLbl>
              <c:idx val="100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63-92C6-44E6-8269-30F546AE96D0}"/>
                </c:ext>
              </c:extLst>
            </c:dLbl>
            <c:dLbl>
              <c:idx val="101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64-92C6-44E6-8269-30F546AE96D0}"/>
                </c:ext>
              </c:extLst>
            </c:dLbl>
            <c:dLbl>
              <c:idx val="102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65-92C6-44E6-8269-30F546AE96D0}"/>
                </c:ext>
              </c:extLst>
            </c:dLbl>
            <c:dLbl>
              <c:idx val="103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66-92C6-44E6-8269-30F546AE96D0}"/>
                </c:ext>
              </c:extLst>
            </c:dLbl>
            <c:dLbl>
              <c:idx val="104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67-92C6-44E6-8269-30F546AE96D0}"/>
                </c:ext>
              </c:extLst>
            </c:dLbl>
            <c:dLbl>
              <c:idx val="105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68-92C6-44E6-8269-30F546AE96D0}"/>
                </c:ext>
              </c:extLst>
            </c:dLbl>
            <c:dLbl>
              <c:idx val="106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69-92C6-44E6-8269-30F546AE96D0}"/>
                </c:ext>
              </c:extLst>
            </c:dLbl>
            <c:dLbl>
              <c:idx val="107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6A-92C6-44E6-8269-30F546AE96D0}"/>
                </c:ext>
              </c:extLst>
            </c:dLbl>
            <c:dLbl>
              <c:idx val="108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6B-92C6-44E6-8269-30F546AE96D0}"/>
                </c:ext>
              </c:extLst>
            </c:dLbl>
            <c:dLbl>
              <c:idx val="109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6C-92C6-44E6-8269-30F546AE96D0}"/>
                </c:ext>
              </c:extLst>
            </c:dLbl>
            <c:dLbl>
              <c:idx val="110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6D-92C6-44E6-8269-30F546AE96D0}"/>
                </c:ext>
              </c:extLst>
            </c:dLbl>
            <c:dLbl>
              <c:idx val="111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6E-92C6-44E6-8269-30F546AE96D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'HSP 2 Spheres'!$BF$3:$BF$114</c:f>
              <c:numCache>
                <c:formatCode>General</c:formatCode>
                <c:ptCount val="112"/>
                <c:pt idx="0">
                  <c:v>16.600000000000001</c:v>
                </c:pt>
                <c:pt idx="1">
                  <c:v>18.600000000000001</c:v>
                </c:pt>
                <c:pt idx="2">
                  <c:v>16.3</c:v>
                </c:pt>
              </c:numCache>
            </c:numRef>
          </c:xVal>
          <c:yVal>
            <c:numRef>
              <c:f>'HSP 2 Spheres'!$BH$3:$BH$114</c:f>
              <c:numCache>
                <c:formatCode>General</c:formatCode>
                <c:ptCount val="112"/>
                <c:pt idx="0">
                  <c:v>17</c:v>
                </c:pt>
                <c:pt idx="1">
                  <c:v>5.0999999999999996</c:v>
                </c:pt>
                <c:pt idx="2">
                  <c:v>9.8000000000000007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'HSP 2 Spheres'!$BE$3:$BE$114</c15:f>
                <c15:dlblRangeCache>
                  <c:ptCount val="112"/>
                  <c:pt idx="0">
                    <c:v>Ethylenediamine</c:v>
                  </c:pt>
                  <c:pt idx="1">
                    <c:v>Furfural</c:v>
                  </c:pt>
                  <c:pt idx="2">
                    <c:v>Dimethyl Maleate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71-6C23-40CB-B84D-EF99D6D683E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307042616"/>
        <c:axId val="307043008"/>
      </c:scatterChart>
      <c:valAx>
        <c:axId val="3070426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b="1"/>
                  <a:t>dD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7043008"/>
        <c:crosses val="autoZero"/>
        <c:crossBetween val="midCat"/>
      </c:valAx>
      <c:valAx>
        <c:axId val="307043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b="1"/>
                  <a:t>dH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70426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9.0321508223908387E-2"/>
          <c:y val="5.684106291156886E-2"/>
          <c:w val="0.1653871215752265"/>
          <c:h val="0.3397866149896786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4160073022954723E-2"/>
          <c:y val="4.2025422792395635E-2"/>
          <c:w val="0.88423818897637796"/>
          <c:h val="0.89577792993267158"/>
        </c:manualLayout>
      </c:layout>
      <c:scatterChart>
        <c:scatterStyle val="lineMarker"/>
        <c:varyColors val="0"/>
        <c:ser>
          <c:idx val="1"/>
          <c:order val="0"/>
          <c:tx>
            <c:v>Reference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2">
                  <a:lumMod val="60000"/>
                  <a:lumOff val="40000"/>
                </a:schemeClr>
              </a:solidFill>
              <a:ln w="0">
                <a:solidFill>
                  <a:schemeClr val="tx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'HSP 2 Spheres'!$D$3</c:f>
              <c:numCache>
                <c:formatCode>0.00</c:formatCode>
                <c:ptCount val="1"/>
                <c:pt idx="0">
                  <c:v>3.8117288880368432</c:v>
                </c:pt>
              </c:numCache>
            </c:numRef>
          </c:xVal>
          <c:yVal>
            <c:numRef>
              <c:f>'HSP 2 Spheres'!$C$3</c:f>
              <c:numCache>
                <c:formatCode>0.00</c:formatCode>
                <c:ptCount val="1"/>
                <c:pt idx="0">
                  <c:v>15.1533315769037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9D8-4A4F-A670-732EF99A3D0A}"/>
            </c:ext>
          </c:extLst>
        </c:ser>
        <c:ser>
          <c:idx val="2"/>
          <c:order val="1"/>
          <c:tx>
            <c:v>Sphere</c:v>
          </c:tx>
          <c:spPr>
            <a:ln w="15875" cap="rnd">
              <a:solidFill>
                <a:schemeClr val="tx2">
                  <a:lumMod val="60000"/>
                  <a:lumOff val="4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'HSP 2 Spheres'!$AW$3:$AW$75</c:f>
              <c:numCache>
                <c:formatCode>General</c:formatCode>
                <c:ptCount val="73"/>
                <c:pt idx="0">
                  <c:v>9.6358324763952261</c:v>
                </c:pt>
                <c:pt idx="1">
                  <c:v>9.6136700038965746</c:v>
                </c:pt>
                <c:pt idx="2">
                  <c:v>9.5473512561984002</c:v>
                </c:pt>
                <c:pt idx="3">
                  <c:v>9.4373809590150426</c:v>
                </c:pt>
                <c:pt idx="4">
                  <c:v>9.2845960527099454</c:v>
                </c:pt>
                <c:pt idx="5">
                  <c:v>9.0901593226741415</c:v>
                </c:pt>
                <c:pt idx="6">
                  <c:v>8.8555505498273099</c:v>
                </c:pt>
                <c:pt idx="7">
                  <c:v>8.5825552485914649</c:v>
                </c:pt>
                <c:pt idx="8">
                  <c:v>8.2732510780480819</c:v>
                </c:pt>
                <c:pt idx="9">
                  <c:v>7.9299920296979618</c:v>
                </c:pt>
                <c:pt idx="10">
                  <c:v>7.5553905121645251</c:v>
                </c:pt>
                <c:pt idx="11">
                  <c:v>7.1522974691867844</c:v>
                </c:pt>
                <c:pt idx="12">
                  <c:v>6.7237806822160353</c:v>
                </c:pt>
                <c:pt idx="13">
                  <c:v>6.2731014227466328</c:v>
                </c:pt>
                <c:pt idx="14">
                  <c:v>5.8036896320707196</c:v>
                </c:pt>
                <c:pt idx="15">
                  <c:v>5.3191178173539244</c:v>
                </c:pt>
                <c:pt idx="16">
                  <c:v>4.8230738626987062</c:v>
                </c:pt>
                <c:pt idx="17">
                  <c:v>4.3193329621195193</c:v>
                </c:pt>
                <c:pt idx="18">
                  <c:v>3.8117288880368436</c:v>
                </c:pt>
                <c:pt idx="19">
                  <c:v>3.3041248139541666</c:v>
                </c:pt>
                <c:pt idx="20">
                  <c:v>2.8003839133749802</c:v>
                </c:pt>
                <c:pt idx="21">
                  <c:v>2.3043399587197611</c:v>
                </c:pt>
                <c:pt idx="22">
                  <c:v>1.8197681440029674</c:v>
                </c:pt>
                <c:pt idx="23">
                  <c:v>1.3503563533270535</c:v>
                </c:pt>
                <c:pt idx="24">
                  <c:v>0.89967709385765282</c:v>
                </c:pt>
                <c:pt idx="25">
                  <c:v>0.47116030688690147</c:v>
                </c:pt>
                <c:pt idx="26">
                  <c:v>6.8067263909161291E-2</c:v>
                </c:pt>
                <c:pt idx="27">
                  <c:v>-0.30653425362427411</c:v>
                </c:pt>
                <c:pt idx="28">
                  <c:v>-0.64979330197439511</c:v>
                </c:pt>
                <c:pt idx="29">
                  <c:v>-0.95909747251777988</c:v>
                </c:pt>
                <c:pt idx="30">
                  <c:v>-1.232092773753624</c:v>
                </c:pt>
                <c:pt idx="31">
                  <c:v>-1.4667015466004556</c:v>
                </c:pt>
                <c:pt idx="32">
                  <c:v>-1.6611382766362595</c:v>
                </c:pt>
                <c:pt idx="33">
                  <c:v>-1.8139231829413558</c:v>
                </c:pt>
                <c:pt idx="34">
                  <c:v>-1.9238934801247143</c:v>
                </c:pt>
                <c:pt idx="35">
                  <c:v>-1.9902122278228886</c:v>
                </c:pt>
                <c:pt idx="36">
                  <c:v>-2.0123747003215402</c:v>
                </c:pt>
                <c:pt idx="37">
                  <c:v>-1.9902122278228886</c:v>
                </c:pt>
                <c:pt idx="38">
                  <c:v>-1.9238934801247143</c:v>
                </c:pt>
                <c:pt idx="39">
                  <c:v>-1.8139231829413558</c:v>
                </c:pt>
                <c:pt idx="40">
                  <c:v>-1.6611382766362595</c:v>
                </c:pt>
                <c:pt idx="41">
                  <c:v>-1.4667015466004556</c:v>
                </c:pt>
                <c:pt idx="42">
                  <c:v>-1.2320927737536231</c:v>
                </c:pt>
                <c:pt idx="43">
                  <c:v>-0.95909747251777899</c:v>
                </c:pt>
                <c:pt idx="44">
                  <c:v>-0.649793301974396</c:v>
                </c:pt>
                <c:pt idx="45">
                  <c:v>-0.306534253624275</c:v>
                </c:pt>
                <c:pt idx="46">
                  <c:v>6.8067263909160847E-2</c:v>
                </c:pt>
                <c:pt idx="47">
                  <c:v>0.47116030688690014</c:v>
                </c:pt>
                <c:pt idx="48">
                  <c:v>0.89967709385764882</c:v>
                </c:pt>
                <c:pt idx="49">
                  <c:v>1.3503563533270548</c:v>
                </c:pt>
                <c:pt idx="50">
                  <c:v>1.8197681440029685</c:v>
                </c:pt>
                <c:pt idx="51">
                  <c:v>2.3043399587197628</c:v>
                </c:pt>
                <c:pt idx="52">
                  <c:v>2.8003839133749802</c:v>
                </c:pt>
                <c:pt idx="53">
                  <c:v>3.3041248139541666</c:v>
                </c:pt>
                <c:pt idx="54">
                  <c:v>3.8117288880368423</c:v>
                </c:pt>
                <c:pt idx="55">
                  <c:v>4.3193329621195176</c:v>
                </c:pt>
                <c:pt idx="56">
                  <c:v>4.8230738626987044</c:v>
                </c:pt>
                <c:pt idx="57">
                  <c:v>5.3191178173539218</c:v>
                </c:pt>
                <c:pt idx="58">
                  <c:v>5.8036896320707205</c:v>
                </c:pt>
                <c:pt idx="59">
                  <c:v>6.2731014227466346</c:v>
                </c:pt>
                <c:pt idx="60">
                  <c:v>6.7237806822160353</c:v>
                </c:pt>
                <c:pt idx="61">
                  <c:v>7.1522974691867844</c:v>
                </c:pt>
                <c:pt idx="62">
                  <c:v>7.5553905121645242</c:v>
                </c:pt>
                <c:pt idx="63">
                  <c:v>7.92999202969796</c:v>
                </c:pt>
                <c:pt idx="64">
                  <c:v>8.2732510780480819</c:v>
                </c:pt>
                <c:pt idx="65">
                  <c:v>8.5825552485914649</c:v>
                </c:pt>
                <c:pt idx="66">
                  <c:v>8.8555505498273082</c:v>
                </c:pt>
                <c:pt idx="67">
                  <c:v>9.0901593226741415</c:v>
                </c:pt>
                <c:pt idx="68">
                  <c:v>9.2845960527099454</c:v>
                </c:pt>
                <c:pt idx="69">
                  <c:v>9.4373809590150426</c:v>
                </c:pt>
                <c:pt idx="70">
                  <c:v>9.5473512561984002</c:v>
                </c:pt>
                <c:pt idx="71">
                  <c:v>9.6136700038965746</c:v>
                </c:pt>
                <c:pt idx="72">
                  <c:v>9.6358324763952261</c:v>
                </c:pt>
              </c:numCache>
            </c:numRef>
          </c:xVal>
          <c:yVal>
            <c:numRef>
              <c:f>'HSP 2 Spheres'!$AV$3:$AV$75</c:f>
              <c:numCache>
                <c:formatCode>General</c:formatCode>
                <c:ptCount val="73"/>
                <c:pt idx="0">
                  <c:v>15.1533315769037</c:v>
                </c:pt>
                <c:pt idx="1">
                  <c:v>15.660935650986376</c:v>
                </c:pt>
                <c:pt idx="2">
                  <c:v>16.164676551565563</c:v>
                </c:pt>
                <c:pt idx="3">
                  <c:v>16.66072050622078</c:v>
                </c:pt>
                <c:pt idx="4">
                  <c:v>17.145292320937575</c:v>
                </c:pt>
                <c:pt idx="5">
                  <c:v>17.614704111613491</c:v>
                </c:pt>
                <c:pt idx="6">
                  <c:v>18.065383371082891</c:v>
                </c:pt>
                <c:pt idx="7">
                  <c:v>18.493900158053641</c:v>
                </c:pt>
                <c:pt idx="8">
                  <c:v>18.896993201031382</c:v>
                </c:pt>
                <c:pt idx="9">
                  <c:v>19.271594718564817</c:v>
                </c:pt>
                <c:pt idx="10">
                  <c:v>19.614853766914941</c:v>
                </c:pt>
                <c:pt idx="11">
                  <c:v>19.924157937458322</c:v>
                </c:pt>
                <c:pt idx="12">
                  <c:v>20.197153238694167</c:v>
                </c:pt>
                <c:pt idx="13">
                  <c:v>20.431762011540997</c:v>
                </c:pt>
                <c:pt idx="14">
                  <c:v>20.6261987415768</c:v>
                </c:pt>
                <c:pt idx="15">
                  <c:v>20.778983647881898</c:v>
                </c:pt>
                <c:pt idx="16">
                  <c:v>20.888953945065257</c:v>
                </c:pt>
                <c:pt idx="17">
                  <c:v>20.95527269276343</c:v>
                </c:pt>
                <c:pt idx="18">
                  <c:v>20.977435165262083</c:v>
                </c:pt>
                <c:pt idx="19">
                  <c:v>20.95527269276343</c:v>
                </c:pt>
                <c:pt idx="20">
                  <c:v>20.888953945065257</c:v>
                </c:pt>
                <c:pt idx="21">
                  <c:v>20.778983647881898</c:v>
                </c:pt>
                <c:pt idx="22">
                  <c:v>20.6261987415768</c:v>
                </c:pt>
                <c:pt idx="23">
                  <c:v>20.431762011540997</c:v>
                </c:pt>
                <c:pt idx="24">
                  <c:v>20.197153238694167</c:v>
                </c:pt>
                <c:pt idx="25">
                  <c:v>19.924157937458322</c:v>
                </c:pt>
                <c:pt idx="26">
                  <c:v>19.614853766914941</c:v>
                </c:pt>
                <c:pt idx="27">
                  <c:v>19.271594718564817</c:v>
                </c:pt>
                <c:pt idx="28">
                  <c:v>18.896993201031382</c:v>
                </c:pt>
                <c:pt idx="29">
                  <c:v>18.493900158053641</c:v>
                </c:pt>
                <c:pt idx="30">
                  <c:v>18.065383371082891</c:v>
                </c:pt>
                <c:pt idx="31">
                  <c:v>17.614704111613491</c:v>
                </c:pt>
                <c:pt idx="32">
                  <c:v>17.145292320937575</c:v>
                </c:pt>
                <c:pt idx="33">
                  <c:v>16.660720506220784</c:v>
                </c:pt>
                <c:pt idx="34">
                  <c:v>16.164676551565563</c:v>
                </c:pt>
                <c:pt idx="35">
                  <c:v>15.660935650986376</c:v>
                </c:pt>
                <c:pt idx="36">
                  <c:v>15.1533315769037</c:v>
                </c:pt>
                <c:pt idx="37">
                  <c:v>14.645727502821025</c:v>
                </c:pt>
                <c:pt idx="38">
                  <c:v>14.141986602241836</c:v>
                </c:pt>
                <c:pt idx="39">
                  <c:v>13.645942647586619</c:v>
                </c:pt>
                <c:pt idx="40">
                  <c:v>13.161370832869824</c:v>
                </c:pt>
                <c:pt idx="41">
                  <c:v>12.691959042193911</c:v>
                </c:pt>
                <c:pt idx="42">
                  <c:v>12.241279782724508</c:v>
                </c:pt>
                <c:pt idx="43">
                  <c:v>11.812762995753758</c:v>
                </c:pt>
                <c:pt idx="44">
                  <c:v>11.409669952776019</c:v>
                </c:pt>
                <c:pt idx="45">
                  <c:v>11.035068435242582</c:v>
                </c:pt>
                <c:pt idx="46">
                  <c:v>10.691809386892462</c:v>
                </c:pt>
                <c:pt idx="47">
                  <c:v>10.382505216349077</c:v>
                </c:pt>
                <c:pt idx="48">
                  <c:v>10.109509915113234</c:v>
                </c:pt>
                <c:pt idx="49">
                  <c:v>9.8749011422664008</c:v>
                </c:pt>
                <c:pt idx="50">
                  <c:v>9.6804644122305969</c:v>
                </c:pt>
                <c:pt idx="51">
                  <c:v>9.5276795059255015</c:v>
                </c:pt>
                <c:pt idx="52">
                  <c:v>9.4177092087421421</c:v>
                </c:pt>
                <c:pt idx="53">
                  <c:v>9.3513904610439678</c:v>
                </c:pt>
                <c:pt idx="54">
                  <c:v>9.3292279885453162</c:v>
                </c:pt>
                <c:pt idx="55">
                  <c:v>9.3513904610439678</c:v>
                </c:pt>
                <c:pt idx="56">
                  <c:v>9.4177092087421421</c:v>
                </c:pt>
                <c:pt idx="57">
                  <c:v>9.5276795059254997</c:v>
                </c:pt>
                <c:pt idx="58">
                  <c:v>9.6804644122305969</c:v>
                </c:pt>
                <c:pt idx="59">
                  <c:v>9.8749011422664008</c:v>
                </c:pt>
                <c:pt idx="60">
                  <c:v>10.109509915113232</c:v>
                </c:pt>
                <c:pt idx="61">
                  <c:v>10.382505216349077</c:v>
                </c:pt>
                <c:pt idx="62">
                  <c:v>10.691809386892459</c:v>
                </c:pt>
                <c:pt idx="63">
                  <c:v>11.035068435242582</c:v>
                </c:pt>
                <c:pt idx="64">
                  <c:v>11.409669952776017</c:v>
                </c:pt>
                <c:pt idx="65">
                  <c:v>11.812762995753756</c:v>
                </c:pt>
                <c:pt idx="66">
                  <c:v>12.241279782724504</c:v>
                </c:pt>
                <c:pt idx="67">
                  <c:v>12.691959042193911</c:v>
                </c:pt>
                <c:pt idx="68">
                  <c:v>13.161370832869824</c:v>
                </c:pt>
                <c:pt idx="69">
                  <c:v>13.645942647586619</c:v>
                </c:pt>
                <c:pt idx="70">
                  <c:v>14.141986602241836</c:v>
                </c:pt>
                <c:pt idx="71">
                  <c:v>14.645727502821023</c:v>
                </c:pt>
                <c:pt idx="72">
                  <c:v>15.153331576903698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9D8-4A4F-A670-732EF99A3D0A}"/>
            </c:ext>
          </c:extLst>
        </c:ser>
        <c:ser>
          <c:idx val="4"/>
          <c:order val="2"/>
          <c:tx>
            <c:v>Sphere 2</c:v>
          </c:tx>
          <c:spPr>
            <a:ln w="15875" cap="rnd">
              <a:solidFill>
                <a:schemeClr val="accent6">
                  <a:lumMod val="75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'HSP 2 Spheres'!$BA$3:$BA$75</c:f>
              <c:numCache>
                <c:formatCode>General</c:formatCode>
                <c:ptCount val="73"/>
                <c:pt idx="0">
                  <c:v>16.681514375937503</c:v>
                </c:pt>
                <c:pt idx="1">
                  <c:v>16.661505996241829</c:v>
                </c:pt>
                <c:pt idx="2">
                  <c:v>16.601633133005674</c:v>
                </c:pt>
                <c:pt idx="3">
                  <c:v>16.502351454870492</c:v>
                </c:pt>
                <c:pt idx="4">
                  <c:v>16.364416555354811</c:v>
                </c:pt>
                <c:pt idx="5">
                  <c:v>16.18887820233131</c:v>
                </c:pt>
                <c:pt idx="6">
                  <c:v>15.977072348659453</c:v>
                </c:pt>
                <c:pt idx="7">
                  <c:v>15.730610964777558</c:v>
                </c:pt>
                <c:pt idx="8">
                  <c:v>15.451369770634415</c:v>
                </c:pt>
                <c:pt idx="9">
                  <c:v>15.141473960327898</c:v>
                </c:pt>
                <c:pt idx="10">
                  <c:v>14.803282028094646</c:v>
                </c:pt>
                <c:pt idx="11">
                  <c:v>14.439367818744827</c:v>
                </c:pt>
                <c:pt idx="12">
                  <c:v>14.052500939148997</c:v>
                </c:pt>
                <c:pt idx="13">
                  <c:v>13.645625679857492</c:v>
                </c:pt>
                <c:pt idx="14">
                  <c:v>13.221838607271518</c:v>
                </c:pt>
                <c:pt idx="15">
                  <c:v>12.784364996903086</c:v>
                </c:pt>
                <c:pt idx="16">
                  <c:v>12.336534287080887</c:v>
                </c:pt>
                <c:pt idx="17">
                  <c:v>11.881754739914243</c:v>
                </c:pt>
                <c:pt idx="18">
                  <c:v>11.423487502360491</c:v>
                </c:pt>
                <c:pt idx="19">
                  <c:v>10.965220264806739</c:v>
                </c:pt>
                <c:pt idx="20">
                  <c:v>10.510440717640096</c:v>
                </c:pt>
                <c:pt idx="21">
                  <c:v>10.062610007817895</c:v>
                </c:pt>
                <c:pt idx="22">
                  <c:v>9.625136397449463</c:v>
                </c:pt>
                <c:pt idx="23">
                  <c:v>9.2013493248634894</c:v>
                </c:pt>
                <c:pt idx="24">
                  <c:v>8.7944740655719862</c:v>
                </c:pt>
                <c:pt idx="25">
                  <c:v>8.4076071859761541</c:v>
                </c:pt>
                <c:pt idx="26">
                  <c:v>8.0436929766263354</c:v>
                </c:pt>
                <c:pt idx="27">
                  <c:v>7.7055010443930838</c:v>
                </c:pt>
                <c:pt idx="28">
                  <c:v>7.3956052340865677</c:v>
                </c:pt>
                <c:pt idx="29">
                  <c:v>7.1163640399434236</c:v>
                </c:pt>
                <c:pt idx="30">
                  <c:v>6.8699026560615284</c:v>
                </c:pt>
                <c:pt idx="31">
                  <c:v>6.6580968023896734</c:v>
                </c:pt>
                <c:pt idx="32">
                  <c:v>6.4825584493661719</c:v>
                </c:pt>
                <c:pt idx="33">
                  <c:v>6.344623549850489</c:v>
                </c:pt>
                <c:pt idx="34">
                  <c:v>6.2453418717153077</c:v>
                </c:pt>
                <c:pt idx="35">
                  <c:v>6.1854690084791537</c:v>
                </c:pt>
                <c:pt idx="36">
                  <c:v>6.1654606287834781</c:v>
                </c:pt>
                <c:pt idx="37">
                  <c:v>6.1854690084791537</c:v>
                </c:pt>
                <c:pt idx="38">
                  <c:v>6.2453418717153077</c:v>
                </c:pt>
                <c:pt idx="39">
                  <c:v>6.3446235498504882</c:v>
                </c:pt>
                <c:pt idx="40">
                  <c:v>6.482558449366171</c:v>
                </c:pt>
                <c:pt idx="41">
                  <c:v>6.6580968023896725</c:v>
                </c:pt>
                <c:pt idx="42">
                  <c:v>6.8699026560615293</c:v>
                </c:pt>
                <c:pt idx="43">
                  <c:v>7.1163640399434245</c:v>
                </c:pt>
                <c:pt idx="44">
                  <c:v>7.3956052340865668</c:v>
                </c:pt>
                <c:pt idx="45">
                  <c:v>7.7055010443930829</c:v>
                </c:pt>
                <c:pt idx="46">
                  <c:v>8.0436929766263354</c:v>
                </c:pt>
                <c:pt idx="47">
                  <c:v>8.4076071859761541</c:v>
                </c:pt>
                <c:pt idx="48">
                  <c:v>8.7944740655719826</c:v>
                </c:pt>
                <c:pt idx="49">
                  <c:v>9.2013493248634912</c:v>
                </c:pt>
                <c:pt idx="50">
                  <c:v>9.625136397449463</c:v>
                </c:pt>
                <c:pt idx="51">
                  <c:v>10.062610007817897</c:v>
                </c:pt>
                <c:pt idx="52">
                  <c:v>10.510440717640096</c:v>
                </c:pt>
                <c:pt idx="53">
                  <c:v>10.965220264806739</c:v>
                </c:pt>
                <c:pt idx="54">
                  <c:v>11.423487502360489</c:v>
                </c:pt>
                <c:pt idx="55">
                  <c:v>11.881754739914241</c:v>
                </c:pt>
                <c:pt idx="56">
                  <c:v>12.336534287080884</c:v>
                </c:pt>
                <c:pt idx="57">
                  <c:v>12.784364996903083</c:v>
                </c:pt>
                <c:pt idx="58">
                  <c:v>13.22183860727152</c:v>
                </c:pt>
                <c:pt idx="59">
                  <c:v>13.645625679857492</c:v>
                </c:pt>
                <c:pt idx="60">
                  <c:v>14.052500939148997</c:v>
                </c:pt>
                <c:pt idx="61">
                  <c:v>14.439367818744826</c:v>
                </c:pt>
                <c:pt idx="62">
                  <c:v>14.803282028094646</c:v>
                </c:pt>
                <c:pt idx="63">
                  <c:v>15.141473960327897</c:v>
                </c:pt>
                <c:pt idx="64">
                  <c:v>15.451369770634413</c:v>
                </c:pt>
                <c:pt idx="65">
                  <c:v>15.730610964777556</c:v>
                </c:pt>
                <c:pt idx="66">
                  <c:v>15.977072348659451</c:v>
                </c:pt>
                <c:pt idx="67">
                  <c:v>16.18887820233131</c:v>
                </c:pt>
                <c:pt idx="68">
                  <c:v>16.364416555354811</c:v>
                </c:pt>
                <c:pt idx="69">
                  <c:v>16.502351454870492</c:v>
                </c:pt>
                <c:pt idx="70">
                  <c:v>16.601633133005674</c:v>
                </c:pt>
                <c:pt idx="71">
                  <c:v>16.661505996241829</c:v>
                </c:pt>
                <c:pt idx="72">
                  <c:v>16.681514375937503</c:v>
                </c:pt>
              </c:numCache>
            </c:numRef>
          </c:xVal>
          <c:yVal>
            <c:numRef>
              <c:f>'HSP 2 Spheres'!$AZ$3:$AZ$75</c:f>
              <c:numCache>
                <c:formatCode>General</c:formatCode>
                <c:ptCount val="73"/>
                <c:pt idx="0">
                  <c:v>17.755701334099104</c:v>
                </c:pt>
                <c:pt idx="1">
                  <c:v>18.213968571652856</c:v>
                </c:pt>
                <c:pt idx="2">
                  <c:v>18.668748118819501</c:v>
                </c:pt>
                <c:pt idx="3">
                  <c:v>19.1165788286417</c:v>
                </c:pt>
                <c:pt idx="4">
                  <c:v>19.554052439010132</c:v>
                </c:pt>
                <c:pt idx="5">
                  <c:v>19.977839511596105</c:v>
                </c:pt>
                <c:pt idx="6">
                  <c:v>20.384714770887609</c:v>
                </c:pt>
                <c:pt idx="7">
                  <c:v>20.771581650483441</c:v>
                </c:pt>
                <c:pt idx="8">
                  <c:v>21.135495859833259</c:v>
                </c:pt>
                <c:pt idx="9">
                  <c:v>21.47368779206651</c:v>
                </c:pt>
                <c:pt idx="10">
                  <c:v>21.783583602373028</c:v>
                </c:pt>
                <c:pt idx="11">
                  <c:v>22.062824796516171</c:v>
                </c:pt>
                <c:pt idx="12">
                  <c:v>22.309286180398065</c:v>
                </c:pt>
                <c:pt idx="13">
                  <c:v>22.521092034069923</c:v>
                </c:pt>
                <c:pt idx="14">
                  <c:v>22.696630387093421</c:v>
                </c:pt>
                <c:pt idx="15">
                  <c:v>22.834565286609106</c:v>
                </c:pt>
                <c:pt idx="16">
                  <c:v>22.933846964744287</c:v>
                </c:pt>
                <c:pt idx="17">
                  <c:v>22.993719827980442</c:v>
                </c:pt>
                <c:pt idx="18">
                  <c:v>23.013728207676117</c:v>
                </c:pt>
                <c:pt idx="19">
                  <c:v>22.993719827980442</c:v>
                </c:pt>
                <c:pt idx="20">
                  <c:v>22.933846964744287</c:v>
                </c:pt>
                <c:pt idx="21">
                  <c:v>22.834565286609106</c:v>
                </c:pt>
                <c:pt idx="22">
                  <c:v>22.696630387093425</c:v>
                </c:pt>
                <c:pt idx="23">
                  <c:v>22.521092034069923</c:v>
                </c:pt>
                <c:pt idx="24">
                  <c:v>22.309286180398068</c:v>
                </c:pt>
                <c:pt idx="25">
                  <c:v>22.062824796516168</c:v>
                </c:pt>
                <c:pt idx="26">
                  <c:v>21.783583602373028</c:v>
                </c:pt>
                <c:pt idx="27">
                  <c:v>21.47368779206651</c:v>
                </c:pt>
                <c:pt idx="28">
                  <c:v>21.135495859833259</c:v>
                </c:pt>
                <c:pt idx="29">
                  <c:v>20.771581650483437</c:v>
                </c:pt>
                <c:pt idx="30">
                  <c:v>20.384714770887609</c:v>
                </c:pt>
                <c:pt idx="31">
                  <c:v>19.977839511596105</c:v>
                </c:pt>
                <c:pt idx="32">
                  <c:v>19.554052439010132</c:v>
                </c:pt>
                <c:pt idx="33">
                  <c:v>19.1165788286417</c:v>
                </c:pt>
                <c:pt idx="34">
                  <c:v>18.668748118819501</c:v>
                </c:pt>
                <c:pt idx="35">
                  <c:v>18.213968571652856</c:v>
                </c:pt>
                <c:pt idx="36">
                  <c:v>17.755701334099104</c:v>
                </c:pt>
                <c:pt idx="37">
                  <c:v>17.297434096545352</c:v>
                </c:pt>
                <c:pt idx="38">
                  <c:v>16.842654549378707</c:v>
                </c:pt>
                <c:pt idx="39">
                  <c:v>16.394823839556508</c:v>
                </c:pt>
                <c:pt idx="40">
                  <c:v>15.957350229188076</c:v>
                </c:pt>
                <c:pt idx="41">
                  <c:v>15.533563156602103</c:v>
                </c:pt>
                <c:pt idx="42">
                  <c:v>15.126687897310598</c:v>
                </c:pt>
                <c:pt idx="43">
                  <c:v>14.739821017714767</c:v>
                </c:pt>
                <c:pt idx="44">
                  <c:v>14.375906808364949</c:v>
                </c:pt>
                <c:pt idx="45">
                  <c:v>14.037714876131698</c:v>
                </c:pt>
                <c:pt idx="46">
                  <c:v>13.72781906582518</c:v>
                </c:pt>
                <c:pt idx="47">
                  <c:v>13.448577871682039</c:v>
                </c:pt>
                <c:pt idx="48">
                  <c:v>13.202116487800144</c:v>
                </c:pt>
                <c:pt idx="49">
                  <c:v>12.990310634128285</c:v>
                </c:pt>
                <c:pt idx="50">
                  <c:v>12.814772281104784</c:v>
                </c:pt>
                <c:pt idx="51">
                  <c:v>12.676837381589102</c:v>
                </c:pt>
                <c:pt idx="52">
                  <c:v>12.577555703453921</c:v>
                </c:pt>
                <c:pt idx="53">
                  <c:v>12.517682840217766</c:v>
                </c:pt>
                <c:pt idx="54">
                  <c:v>12.497674460522092</c:v>
                </c:pt>
                <c:pt idx="55">
                  <c:v>12.517682840217766</c:v>
                </c:pt>
                <c:pt idx="56">
                  <c:v>12.577555703453921</c:v>
                </c:pt>
                <c:pt idx="57">
                  <c:v>12.676837381589101</c:v>
                </c:pt>
                <c:pt idx="58">
                  <c:v>12.814772281104785</c:v>
                </c:pt>
                <c:pt idx="59">
                  <c:v>12.990310634128287</c:v>
                </c:pt>
                <c:pt idx="60">
                  <c:v>13.202116487800144</c:v>
                </c:pt>
                <c:pt idx="61">
                  <c:v>13.448577871682037</c:v>
                </c:pt>
                <c:pt idx="62">
                  <c:v>13.72781906582518</c:v>
                </c:pt>
                <c:pt idx="63">
                  <c:v>14.037714876131696</c:v>
                </c:pt>
                <c:pt idx="64">
                  <c:v>14.375906808364947</c:v>
                </c:pt>
                <c:pt idx="65">
                  <c:v>14.739821017714767</c:v>
                </c:pt>
                <c:pt idx="66">
                  <c:v>15.126687897310596</c:v>
                </c:pt>
                <c:pt idx="67">
                  <c:v>15.533563156602103</c:v>
                </c:pt>
                <c:pt idx="68">
                  <c:v>15.957350229188076</c:v>
                </c:pt>
                <c:pt idx="69">
                  <c:v>16.394823839556508</c:v>
                </c:pt>
                <c:pt idx="70">
                  <c:v>16.842654549378707</c:v>
                </c:pt>
                <c:pt idx="71">
                  <c:v>17.297434096545352</c:v>
                </c:pt>
                <c:pt idx="72">
                  <c:v>17.755701334099104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72-E9D8-4A4F-A670-732EF99A3D0A}"/>
            </c:ext>
          </c:extLst>
        </c:ser>
        <c:ser>
          <c:idx val="5"/>
          <c:order val="3"/>
          <c:tx>
            <c:v>Reference 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5000"/>
                </a:schemeClr>
              </a:solidFill>
              <a:ln w="9525">
                <a:solidFill>
                  <a:schemeClr val="accent6">
                    <a:lumMod val="75000"/>
                  </a:schemeClr>
                </a:solidFill>
              </a:ln>
              <a:effectLst/>
            </c:spPr>
          </c:marker>
          <c:xVal>
            <c:numRef>
              <c:f>'HSP 2 Spheres'!$D$4</c:f>
              <c:numCache>
                <c:formatCode>0.00</c:formatCode>
                <c:ptCount val="1"/>
                <c:pt idx="0">
                  <c:v>11.423487502360491</c:v>
                </c:pt>
              </c:numCache>
            </c:numRef>
          </c:xVal>
          <c:yVal>
            <c:numRef>
              <c:f>'HSP 2 Spheres'!$C$4</c:f>
              <c:numCache>
                <c:formatCode>0.00</c:formatCode>
                <c:ptCount val="1"/>
                <c:pt idx="0">
                  <c:v>17.755701334099104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3-E9D8-4A4F-A670-732EF99A3D0A}"/>
            </c:ext>
          </c:extLst>
        </c:ser>
        <c:ser>
          <c:idx val="0"/>
          <c:order val="4"/>
          <c:tx>
            <c:v>Good Solv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'HSP 2 Spheres'!$BL$3:$BL$97</c:f>
              <c:numCache>
                <c:formatCode>General</c:formatCode>
                <c:ptCount val="95"/>
                <c:pt idx="0">
                  <c:v>11.7</c:v>
                </c:pt>
                <c:pt idx="1">
                  <c:v>10.4</c:v>
                </c:pt>
                <c:pt idx="2">
                  <c:v>9</c:v>
                </c:pt>
                <c:pt idx="3">
                  <c:v>10</c:v>
                </c:pt>
                <c:pt idx="4">
                  <c:v>12.8</c:v>
                </c:pt>
                <c:pt idx="5">
                  <c:v>16.600000000000001</c:v>
                </c:pt>
                <c:pt idx="6">
                  <c:v>8.1999999999999993</c:v>
                </c:pt>
                <c:pt idx="7">
                  <c:v>6.3</c:v>
                </c:pt>
                <c:pt idx="8">
                  <c:v>11.5</c:v>
                </c:pt>
                <c:pt idx="9">
                  <c:v>13.7</c:v>
                </c:pt>
                <c:pt idx="10">
                  <c:v>1.8</c:v>
                </c:pt>
                <c:pt idx="11">
                  <c:v>5.3</c:v>
                </c:pt>
                <c:pt idx="12">
                  <c:v>8.8000000000000007</c:v>
                </c:pt>
                <c:pt idx="13">
                  <c:v>3.1</c:v>
                </c:pt>
                <c:pt idx="14">
                  <c:v>8</c:v>
                </c:pt>
                <c:pt idx="15">
                  <c:v>7.2</c:v>
                </c:pt>
                <c:pt idx="16">
                  <c:v>6.7</c:v>
                </c:pt>
                <c:pt idx="17">
                  <c:v>9</c:v>
                </c:pt>
                <c:pt idx="18">
                  <c:v>6.1</c:v>
                </c:pt>
                <c:pt idx="19">
                  <c:v>8.8000000000000007</c:v>
                </c:pt>
                <c:pt idx="20">
                  <c:v>5.7</c:v>
                </c:pt>
                <c:pt idx="21">
                  <c:v>11.4</c:v>
                </c:pt>
                <c:pt idx="22">
                  <c:v>5</c:v>
                </c:pt>
                <c:pt idx="23">
                  <c:v>7.3</c:v>
                </c:pt>
                <c:pt idx="24">
                  <c:v>8.6</c:v>
                </c:pt>
                <c:pt idx="25">
                  <c:v>9</c:v>
                </c:pt>
              </c:numCache>
            </c:numRef>
          </c:xVal>
          <c:yVal>
            <c:numRef>
              <c:f>'HSP 2 Spheres'!$BK$3:$BK$97</c:f>
              <c:numCache>
                <c:formatCode>General</c:formatCode>
                <c:ptCount val="95"/>
                <c:pt idx="0">
                  <c:v>16</c:v>
                </c:pt>
                <c:pt idx="1">
                  <c:v>15.5</c:v>
                </c:pt>
                <c:pt idx="2">
                  <c:v>18.8</c:v>
                </c:pt>
                <c:pt idx="3">
                  <c:v>16.100000000000001</c:v>
                </c:pt>
                <c:pt idx="4">
                  <c:v>16</c:v>
                </c:pt>
                <c:pt idx="5">
                  <c:v>18</c:v>
                </c:pt>
                <c:pt idx="6">
                  <c:v>15.8</c:v>
                </c:pt>
                <c:pt idx="7">
                  <c:v>15.1</c:v>
                </c:pt>
                <c:pt idx="8">
                  <c:v>16.8</c:v>
                </c:pt>
                <c:pt idx="9">
                  <c:v>17.399999999999999</c:v>
                </c:pt>
                <c:pt idx="10">
                  <c:v>17.5</c:v>
                </c:pt>
                <c:pt idx="11">
                  <c:v>15.8</c:v>
                </c:pt>
                <c:pt idx="12">
                  <c:v>16.600000000000001</c:v>
                </c:pt>
                <c:pt idx="13">
                  <c:v>15.3</c:v>
                </c:pt>
                <c:pt idx="14">
                  <c:v>17</c:v>
                </c:pt>
                <c:pt idx="15">
                  <c:v>15.5</c:v>
                </c:pt>
                <c:pt idx="16">
                  <c:v>15.3</c:v>
                </c:pt>
                <c:pt idx="17">
                  <c:v>16</c:v>
                </c:pt>
                <c:pt idx="18">
                  <c:v>15.3</c:v>
                </c:pt>
                <c:pt idx="19">
                  <c:v>19</c:v>
                </c:pt>
                <c:pt idx="20">
                  <c:v>16.8</c:v>
                </c:pt>
                <c:pt idx="21">
                  <c:v>16.7</c:v>
                </c:pt>
                <c:pt idx="22">
                  <c:v>16.899999999999999</c:v>
                </c:pt>
                <c:pt idx="23">
                  <c:v>16.5</c:v>
                </c:pt>
                <c:pt idx="24">
                  <c:v>16.399999999999999</c:v>
                </c:pt>
                <c:pt idx="25">
                  <c:v>15.8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1C9-4C29-9BF0-063F4752E8C3}"/>
            </c:ext>
          </c:extLst>
        </c:ser>
        <c:ser>
          <c:idx val="6"/>
          <c:order val="5"/>
          <c:tx>
            <c:v>Bad Solv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'HSP 2 Spheres'!$BQ$3:$BQ$97</c:f>
              <c:numCache>
                <c:formatCode>General</c:formatCode>
                <c:ptCount val="95"/>
                <c:pt idx="0">
                  <c:v>5.8</c:v>
                </c:pt>
                <c:pt idx="1">
                  <c:v>0</c:v>
                </c:pt>
                <c:pt idx="2">
                  <c:v>0</c:v>
                </c:pt>
                <c:pt idx="3">
                  <c:v>3.1</c:v>
                </c:pt>
                <c:pt idx="4">
                  <c:v>0</c:v>
                </c:pt>
                <c:pt idx="5">
                  <c:v>4.0999999999999996</c:v>
                </c:pt>
                <c:pt idx="6">
                  <c:v>0</c:v>
                </c:pt>
                <c:pt idx="7">
                  <c:v>7.8</c:v>
                </c:pt>
                <c:pt idx="8">
                  <c:v>8.8000000000000007</c:v>
                </c:pt>
                <c:pt idx="9">
                  <c:v>0.6</c:v>
                </c:pt>
                <c:pt idx="10">
                  <c:v>4.9000000000000004</c:v>
                </c:pt>
                <c:pt idx="11">
                  <c:v>14.4</c:v>
                </c:pt>
                <c:pt idx="12">
                  <c:v>10</c:v>
                </c:pt>
                <c:pt idx="13">
                  <c:v>14.9</c:v>
                </c:pt>
                <c:pt idx="14">
                  <c:v>0</c:v>
                </c:pt>
                <c:pt idx="15">
                  <c:v>12.3</c:v>
                </c:pt>
                <c:pt idx="16">
                  <c:v>10.6</c:v>
                </c:pt>
                <c:pt idx="17">
                  <c:v>1.4</c:v>
                </c:pt>
                <c:pt idx="18">
                  <c:v>3.1</c:v>
                </c:pt>
                <c:pt idx="19">
                  <c:v>0</c:v>
                </c:pt>
                <c:pt idx="20">
                  <c:v>1</c:v>
                </c:pt>
                <c:pt idx="21">
                  <c:v>6.2</c:v>
                </c:pt>
                <c:pt idx="22">
                  <c:v>8.3000000000000007</c:v>
                </c:pt>
              </c:numCache>
            </c:numRef>
          </c:xVal>
          <c:yVal>
            <c:numRef>
              <c:f>'HSP 2 Spheres'!$BP$3:$BP$97</c:f>
              <c:numCache>
                <c:formatCode>General</c:formatCode>
                <c:ptCount val="95"/>
                <c:pt idx="0">
                  <c:v>20.100000000000001</c:v>
                </c:pt>
                <c:pt idx="1">
                  <c:v>18.399999999999999</c:v>
                </c:pt>
                <c:pt idx="2">
                  <c:v>17.8</c:v>
                </c:pt>
                <c:pt idx="3">
                  <c:v>17.8</c:v>
                </c:pt>
                <c:pt idx="4">
                  <c:v>16.8</c:v>
                </c:pt>
                <c:pt idx="5">
                  <c:v>17.399999999999999</c:v>
                </c:pt>
                <c:pt idx="6">
                  <c:v>18</c:v>
                </c:pt>
                <c:pt idx="7">
                  <c:v>16.2</c:v>
                </c:pt>
                <c:pt idx="8">
                  <c:v>15.8</c:v>
                </c:pt>
                <c:pt idx="9">
                  <c:v>17.8</c:v>
                </c:pt>
                <c:pt idx="10">
                  <c:v>17</c:v>
                </c:pt>
                <c:pt idx="11">
                  <c:v>12.8</c:v>
                </c:pt>
                <c:pt idx="12">
                  <c:v>14.6</c:v>
                </c:pt>
                <c:pt idx="13">
                  <c:v>18.600000000000001</c:v>
                </c:pt>
                <c:pt idx="14">
                  <c:v>14.9</c:v>
                </c:pt>
                <c:pt idx="15">
                  <c:v>14.7</c:v>
                </c:pt>
                <c:pt idx="16">
                  <c:v>20</c:v>
                </c:pt>
                <c:pt idx="17">
                  <c:v>18</c:v>
                </c:pt>
                <c:pt idx="18">
                  <c:v>18</c:v>
                </c:pt>
                <c:pt idx="19">
                  <c:v>14.1</c:v>
                </c:pt>
                <c:pt idx="20">
                  <c:v>17.8</c:v>
                </c:pt>
                <c:pt idx="21">
                  <c:v>19.100000000000001</c:v>
                </c:pt>
                <c:pt idx="22">
                  <c:v>16.3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1C9-4C29-9BF0-063F4752E8C3}"/>
            </c:ext>
          </c:extLst>
        </c:ser>
        <c:ser>
          <c:idx val="3"/>
          <c:order val="6"/>
          <c:tx>
            <c:v>Outliers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C000"/>
              </a:solidFill>
              <a:ln w="9525">
                <a:solidFill>
                  <a:srgbClr val="FFC000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0E0D6E5D-399E-4673-855D-9811B93BB5C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E9D8-4A4F-A670-732EF99A3D0A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BC4A28F9-CADD-483A-ABF6-D37E45656D4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0792-4BD6-9DDF-75010F0E5359}"/>
                </c:ext>
              </c:extLst>
            </c:dLbl>
            <c:dLbl>
              <c:idx val="2"/>
              <c:layout>
                <c:manualLayout>
                  <c:x val="-9.6580266162736406E-2"/>
                  <c:y val="7.709869791799763E-2"/>
                </c:manualLayout>
              </c:layout>
              <c:tx>
                <c:rich>
                  <a:bodyPr/>
                  <a:lstStyle/>
                  <a:p>
                    <a:fld id="{E2248A52-219D-4DBF-BEF4-8C5E75FD877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E9D8-4A4F-A670-732EF99A3D0A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0792-4BD6-9DDF-75010F0E5359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0792-4BD6-9DDF-75010F0E5359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0792-4BD6-9DDF-75010F0E5359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0792-4BD6-9DDF-75010F0E5359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0792-4BD6-9DDF-75010F0E5359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0792-4BD6-9DDF-75010F0E5359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0792-4BD6-9DDF-75010F0E5359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0792-4BD6-9DDF-75010F0E5359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0792-4BD6-9DDF-75010F0E5359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A-0792-4BD6-9DDF-75010F0E5359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0792-4BD6-9DDF-75010F0E5359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C-0792-4BD6-9DDF-75010F0E5359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D-0792-4BD6-9DDF-75010F0E5359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E-0792-4BD6-9DDF-75010F0E5359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F-0792-4BD6-9DDF-75010F0E5359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0-0792-4BD6-9DDF-75010F0E5359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1-0792-4BD6-9DDF-75010F0E5359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2-0792-4BD6-9DDF-75010F0E5359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3-0792-4BD6-9DDF-75010F0E5359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4-0792-4BD6-9DDF-75010F0E5359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5-0792-4BD6-9DDF-75010F0E5359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6-0792-4BD6-9DDF-75010F0E5359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7-0792-4BD6-9DDF-75010F0E5359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8-0792-4BD6-9DDF-75010F0E5359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9-0792-4BD6-9DDF-75010F0E5359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A-0792-4BD6-9DDF-75010F0E5359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B-0792-4BD6-9DDF-75010F0E5359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C-0792-4BD6-9DDF-75010F0E5359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D-0792-4BD6-9DDF-75010F0E5359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E-0792-4BD6-9DDF-75010F0E5359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F-0792-4BD6-9DDF-75010F0E5359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0-0792-4BD6-9DDF-75010F0E5359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1-0792-4BD6-9DDF-75010F0E5359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2-0792-4BD6-9DDF-75010F0E5359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3-0792-4BD6-9DDF-75010F0E5359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4-0792-4BD6-9DDF-75010F0E5359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5-0792-4BD6-9DDF-75010F0E5359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6-0792-4BD6-9DDF-75010F0E5359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7-0792-4BD6-9DDF-75010F0E5359}"/>
                </c:ext>
              </c:extLst>
            </c:dLbl>
            <c:dLbl>
              <c:idx val="42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8-0792-4BD6-9DDF-75010F0E5359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9-0792-4BD6-9DDF-75010F0E5359}"/>
                </c:ext>
              </c:extLst>
            </c:dLbl>
            <c:dLbl>
              <c:idx val="44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A-0792-4BD6-9DDF-75010F0E5359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B-0792-4BD6-9DDF-75010F0E5359}"/>
                </c:ext>
              </c:extLst>
            </c:dLbl>
            <c:dLbl>
              <c:idx val="46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C-0792-4BD6-9DDF-75010F0E5359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D-0792-4BD6-9DDF-75010F0E5359}"/>
                </c:ext>
              </c:extLst>
            </c:dLbl>
            <c:dLbl>
              <c:idx val="48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E-0792-4BD6-9DDF-75010F0E5359}"/>
                </c:ext>
              </c:extLst>
            </c:dLbl>
            <c:dLbl>
              <c:idx val="49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F-0792-4BD6-9DDF-75010F0E5359}"/>
                </c:ext>
              </c:extLst>
            </c:dLbl>
            <c:dLbl>
              <c:idx val="50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0-0792-4BD6-9DDF-75010F0E5359}"/>
                </c:ext>
              </c:extLst>
            </c:dLbl>
            <c:dLbl>
              <c:idx val="51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1-0792-4BD6-9DDF-75010F0E5359}"/>
                </c:ext>
              </c:extLst>
            </c:dLbl>
            <c:dLbl>
              <c:idx val="52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2-0792-4BD6-9DDF-75010F0E5359}"/>
                </c:ext>
              </c:extLst>
            </c:dLbl>
            <c:dLbl>
              <c:idx val="53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3-0792-4BD6-9DDF-75010F0E5359}"/>
                </c:ext>
              </c:extLst>
            </c:dLbl>
            <c:dLbl>
              <c:idx val="54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4-0792-4BD6-9DDF-75010F0E5359}"/>
                </c:ext>
              </c:extLst>
            </c:dLbl>
            <c:dLbl>
              <c:idx val="55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5-0792-4BD6-9DDF-75010F0E5359}"/>
                </c:ext>
              </c:extLst>
            </c:dLbl>
            <c:dLbl>
              <c:idx val="56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6-0792-4BD6-9DDF-75010F0E5359}"/>
                </c:ext>
              </c:extLst>
            </c:dLbl>
            <c:dLbl>
              <c:idx val="57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7-0792-4BD6-9DDF-75010F0E5359}"/>
                </c:ext>
              </c:extLst>
            </c:dLbl>
            <c:dLbl>
              <c:idx val="58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8-0792-4BD6-9DDF-75010F0E5359}"/>
                </c:ext>
              </c:extLst>
            </c:dLbl>
            <c:dLbl>
              <c:idx val="59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9-0792-4BD6-9DDF-75010F0E5359}"/>
                </c:ext>
              </c:extLst>
            </c:dLbl>
            <c:dLbl>
              <c:idx val="60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A-0792-4BD6-9DDF-75010F0E5359}"/>
                </c:ext>
              </c:extLst>
            </c:dLbl>
            <c:dLbl>
              <c:idx val="61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B-0792-4BD6-9DDF-75010F0E5359}"/>
                </c:ext>
              </c:extLst>
            </c:dLbl>
            <c:dLbl>
              <c:idx val="62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C-0792-4BD6-9DDF-75010F0E5359}"/>
                </c:ext>
              </c:extLst>
            </c:dLbl>
            <c:dLbl>
              <c:idx val="63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D-0792-4BD6-9DDF-75010F0E5359}"/>
                </c:ext>
              </c:extLst>
            </c:dLbl>
            <c:dLbl>
              <c:idx val="64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E-0792-4BD6-9DDF-75010F0E5359}"/>
                </c:ext>
              </c:extLst>
            </c:dLbl>
            <c:dLbl>
              <c:idx val="65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F-0792-4BD6-9DDF-75010F0E5359}"/>
                </c:ext>
              </c:extLst>
            </c:dLbl>
            <c:dLbl>
              <c:idx val="66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0-0792-4BD6-9DDF-75010F0E5359}"/>
                </c:ext>
              </c:extLst>
            </c:dLbl>
            <c:dLbl>
              <c:idx val="67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1-0792-4BD6-9DDF-75010F0E5359}"/>
                </c:ext>
              </c:extLst>
            </c:dLbl>
            <c:dLbl>
              <c:idx val="68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2-0792-4BD6-9DDF-75010F0E5359}"/>
                </c:ext>
              </c:extLst>
            </c:dLbl>
            <c:dLbl>
              <c:idx val="69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3-0792-4BD6-9DDF-75010F0E5359}"/>
                </c:ext>
              </c:extLst>
            </c:dLbl>
            <c:dLbl>
              <c:idx val="70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4-0792-4BD6-9DDF-75010F0E5359}"/>
                </c:ext>
              </c:extLst>
            </c:dLbl>
            <c:dLbl>
              <c:idx val="71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5-0792-4BD6-9DDF-75010F0E5359}"/>
                </c:ext>
              </c:extLst>
            </c:dLbl>
            <c:dLbl>
              <c:idx val="72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6-0792-4BD6-9DDF-75010F0E5359}"/>
                </c:ext>
              </c:extLst>
            </c:dLbl>
            <c:dLbl>
              <c:idx val="73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7-0792-4BD6-9DDF-75010F0E5359}"/>
                </c:ext>
              </c:extLst>
            </c:dLbl>
            <c:dLbl>
              <c:idx val="74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8-0792-4BD6-9DDF-75010F0E5359}"/>
                </c:ext>
              </c:extLst>
            </c:dLbl>
            <c:dLbl>
              <c:idx val="75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9-0792-4BD6-9DDF-75010F0E5359}"/>
                </c:ext>
              </c:extLst>
            </c:dLbl>
            <c:dLbl>
              <c:idx val="76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A-0792-4BD6-9DDF-75010F0E5359}"/>
                </c:ext>
              </c:extLst>
            </c:dLbl>
            <c:dLbl>
              <c:idx val="77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B-0792-4BD6-9DDF-75010F0E5359}"/>
                </c:ext>
              </c:extLst>
            </c:dLbl>
            <c:dLbl>
              <c:idx val="78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C-0792-4BD6-9DDF-75010F0E5359}"/>
                </c:ext>
              </c:extLst>
            </c:dLbl>
            <c:dLbl>
              <c:idx val="79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D-0792-4BD6-9DDF-75010F0E5359}"/>
                </c:ext>
              </c:extLst>
            </c:dLbl>
            <c:dLbl>
              <c:idx val="80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E-0792-4BD6-9DDF-75010F0E5359}"/>
                </c:ext>
              </c:extLst>
            </c:dLbl>
            <c:dLbl>
              <c:idx val="81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F-0792-4BD6-9DDF-75010F0E5359}"/>
                </c:ext>
              </c:extLst>
            </c:dLbl>
            <c:dLbl>
              <c:idx val="82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0-0792-4BD6-9DDF-75010F0E5359}"/>
                </c:ext>
              </c:extLst>
            </c:dLbl>
            <c:dLbl>
              <c:idx val="83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1-0792-4BD6-9DDF-75010F0E5359}"/>
                </c:ext>
              </c:extLst>
            </c:dLbl>
            <c:dLbl>
              <c:idx val="84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2-0792-4BD6-9DDF-75010F0E5359}"/>
                </c:ext>
              </c:extLst>
            </c:dLbl>
            <c:dLbl>
              <c:idx val="85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3-0792-4BD6-9DDF-75010F0E5359}"/>
                </c:ext>
              </c:extLst>
            </c:dLbl>
            <c:dLbl>
              <c:idx val="86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4-0792-4BD6-9DDF-75010F0E5359}"/>
                </c:ext>
              </c:extLst>
            </c:dLbl>
            <c:dLbl>
              <c:idx val="87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5-0792-4BD6-9DDF-75010F0E5359}"/>
                </c:ext>
              </c:extLst>
            </c:dLbl>
            <c:dLbl>
              <c:idx val="88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6-0792-4BD6-9DDF-75010F0E5359}"/>
                </c:ext>
              </c:extLst>
            </c:dLbl>
            <c:dLbl>
              <c:idx val="89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7-0792-4BD6-9DDF-75010F0E5359}"/>
                </c:ext>
              </c:extLst>
            </c:dLbl>
            <c:dLbl>
              <c:idx val="90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8-0792-4BD6-9DDF-75010F0E5359}"/>
                </c:ext>
              </c:extLst>
            </c:dLbl>
            <c:dLbl>
              <c:idx val="91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9-0792-4BD6-9DDF-75010F0E5359}"/>
                </c:ext>
              </c:extLst>
            </c:dLbl>
            <c:dLbl>
              <c:idx val="92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A-0792-4BD6-9DDF-75010F0E5359}"/>
                </c:ext>
              </c:extLst>
            </c:dLbl>
            <c:dLbl>
              <c:idx val="93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B-0792-4BD6-9DDF-75010F0E5359}"/>
                </c:ext>
              </c:extLst>
            </c:dLbl>
            <c:dLbl>
              <c:idx val="94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C-0792-4BD6-9DDF-75010F0E5359}"/>
                </c:ext>
              </c:extLst>
            </c:dLbl>
            <c:dLbl>
              <c:idx val="95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D-0792-4BD6-9DDF-75010F0E5359}"/>
                </c:ext>
              </c:extLst>
            </c:dLbl>
            <c:dLbl>
              <c:idx val="96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E-0792-4BD6-9DDF-75010F0E5359}"/>
                </c:ext>
              </c:extLst>
            </c:dLbl>
            <c:dLbl>
              <c:idx val="97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F-0792-4BD6-9DDF-75010F0E5359}"/>
                </c:ext>
              </c:extLst>
            </c:dLbl>
            <c:dLbl>
              <c:idx val="98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60-0792-4BD6-9DDF-75010F0E5359}"/>
                </c:ext>
              </c:extLst>
            </c:dLbl>
            <c:dLbl>
              <c:idx val="99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61-0792-4BD6-9DDF-75010F0E5359}"/>
                </c:ext>
              </c:extLst>
            </c:dLbl>
            <c:dLbl>
              <c:idx val="100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62-0792-4BD6-9DDF-75010F0E5359}"/>
                </c:ext>
              </c:extLst>
            </c:dLbl>
            <c:dLbl>
              <c:idx val="101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63-0792-4BD6-9DDF-75010F0E5359}"/>
                </c:ext>
              </c:extLst>
            </c:dLbl>
            <c:dLbl>
              <c:idx val="102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64-0792-4BD6-9DDF-75010F0E5359}"/>
                </c:ext>
              </c:extLst>
            </c:dLbl>
            <c:dLbl>
              <c:idx val="103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65-0792-4BD6-9DDF-75010F0E5359}"/>
                </c:ext>
              </c:extLst>
            </c:dLbl>
            <c:dLbl>
              <c:idx val="104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66-0792-4BD6-9DDF-75010F0E5359}"/>
                </c:ext>
              </c:extLst>
            </c:dLbl>
            <c:dLbl>
              <c:idx val="105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67-0792-4BD6-9DDF-75010F0E5359}"/>
                </c:ext>
              </c:extLst>
            </c:dLbl>
            <c:dLbl>
              <c:idx val="106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68-0792-4BD6-9DDF-75010F0E5359}"/>
                </c:ext>
              </c:extLst>
            </c:dLbl>
            <c:dLbl>
              <c:idx val="107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69-0792-4BD6-9DDF-75010F0E5359}"/>
                </c:ext>
              </c:extLst>
            </c:dLbl>
            <c:dLbl>
              <c:idx val="108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6A-0792-4BD6-9DDF-75010F0E5359}"/>
                </c:ext>
              </c:extLst>
            </c:dLbl>
            <c:dLbl>
              <c:idx val="109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6B-0792-4BD6-9DDF-75010F0E5359}"/>
                </c:ext>
              </c:extLst>
            </c:dLbl>
            <c:dLbl>
              <c:idx val="110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6C-0792-4BD6-9DDF-75010F0E5359}"/>
                </c:ext>
              </c:extLst>
            </c:dLbl>
            <c:dLbl>
              <c:idx val="111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6D-0792-4BD6-9DDF-75010F0E535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'HSP 2 Spheres'!$BG$3:$BG$114</c:f>
              <c:numCache>
                <c:formatCode>General</c:formatCode>
                <c:ptCount val="112"/>
                <c:pt idx="0">
                  <c:v>8.8000000000000007</c:v>
                </c:pt>
                <c:pt idx="1">
                  <c:v>14.9</c:v>
                </c:pt>
                <c:pt idx="2">
                  <c:v>8.3000000000000007</c:v>
                </c:pt>
              </c:numCache>
            </c:numRef>
          </c:xVal>
          <c:yVal>
            <c:numRef>
              <c:f>'HSP 2 Spheres'!$BF$3:$BF$114</c:f>
              <c:numCache>
                <c:formatCode>General</c:formatCode>
                <c:ptCount val="112"/>
                <c:pt idx="0">
                  <c:v>16.600000000000001</c:v>
                </c:pt>
                <c:pt idx="1">
                  <c:v>18.600000000000001</c:v>
                </c:pt>
                <c:pt idx="2">
                  <c:v>16.3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'HSP 2 Spheres'!$BE$3:$BE$114</c15:f>
                <c15:dlblRangeCache>
                  <c:ptCount val="112"/>
                  <c:pt idx="0">
                    <c:v>Ethylenediamine</c:v>
                  </c:pt>
                  <c:pt idx="1">
                    <c:v>Furfural</c:v>
                  </c:pt>
                  <c:pt idx="2">
                    <c:v>Dimethyl Maleate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71-E9D8-4A4F-A670-732EF99A3D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8872352"/>
        <c:axId val="308872744"/>
      </c:scatterChart>
      <c:valAx>
        <c:axId val="308872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b="1"/>
                  <a:t>dP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8872744"/>
        <c:crosses val="autoZero"/>
        <c:crossBetween val="midCat"/>
      </c:valAx>
      <c:valAx>
        <c:axId val="308872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b="1"/>
                  <a:t>dD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88723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2.8206963214589629E-2"/>
          <c:y val="2.7050754166351478E-2"/>
          <c:w val="0.1902942324282513"/>
          <c:h val="0.295496983964904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556839115355721"/>
          <c:y val="5.0925925925925923E-2"/>
          <c:w val="0.85809826179131221"/>
          <c:h val="0.85166304453178421"/>
        </c:manualLayout>
      </c:layout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9.4599221327448038E-2"/>
                  <c:y val="4.0136318361351481E-2"/>
                </c:manualLayout>
              </c:layout>
              <c:tx>
                <c:rich>
                  <a:bodyPr/>
                  <a:lstStyle/>
                  <a:p>
                    <a:fld id="{EF725CC9-2AE9-4D7C-8BD4-A3428ED08FC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55F0-4D68-9A28-CC644A4CC441}"/>
                </c:ext>
              </c:extLst>
            </c:dLbl>
            <c:dLbl>
              <c:idx val="1"/>
              <c:layout>
                <c:manualLayout>
                  <c:x val="-0.13592183655861365"/>
                  <c:y val="0.14489688478723972"/>
                </c:manualLayout>
              </c:layout>
              <c:tx>
                <c:rich>
                  <a:bodyPr/>
                  <a:lstStyle/>
                  <a:p>
                    <a:fld id="{FD33B7B2-AB7C-4C2F-B175-E04C64DDBEA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55F0-4D68-9A28-CC644A4CC441}"/>
                </c:ext>
              </c:extLst>
            </c:dLbl>
            <c:dLbl>
              <c:idx val="2"/>
              <c:layout>
                <c:manualLayout>
                  <c:x val="-0.18755502714537101"/>
                  <c:y val="-8.5025160506679871E-3"/>
                </c:manualLayout>
              </c:layout>
              <c:tx>
                <c:rich>
                  <a:bodyPr/>
                  <a:lstStyle/>
                  <a:p>
                    <a:fld id="{2704A790-A8C6-4F9E-A240-C66E9D3472A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55F0-4D68-9A28-CC644A4CC441}"/>
                </c:ext>
              </c:extLst>
            </c:dLbl>
            <c:dLbl>
              <c:idx val="3"/>
              <c:layout>
                <c:manualLayout>
                  <c:x val="8.9322418392697306E-3"/>
                  <c:y val="-4.0473048753434764E-2"/>
                </c:manualLayout>
              </c:layout>
              <c:tx>
                <c:rich>
                  <a:bodyPr/>
                  <a:lstStyle/>
                  <a:p>
                    <a:fld id="{2329719A-9DE5-4421-A743-526636F081B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55F0-4D68-9A28-CC644A4CC441}"/>
                </c:ext>
              </c:extLst>
            </c:dLbl>
            <c:dLbl>
              <c:idx val="4"/>
              <c:layout>
                <c:manualLayout>
                  <c:x val="-0.19770863135362113"/>
                  <c:y val="4.932172246875529E-2"/>
                </c:manualLayout>
              </c:layout>
              <c:tx>
                <c:rich>
                  <a:bodyPr/>
                  <a:lstStyle/>
                  <a:p>
                    <a:fld id="{51D0146C-781A-447D-B897-E5611D334F0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4CA7-4DF6-8AD2-01F61D9593BA}"/>
                </c:ext>
              </c:extLst>
            </c:dLbl>
            <c:dLbl>
              <c:idx val="5"/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7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8A4FBCB4-C00A-4BCB-B6C8-B9C312E708B4}" type="CELLRANGE">
                      <a:rPr lang="en-US"/>
                      <a:pPr>
                        <a:defRPr sz="7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55F0-4D68-9A28-CC644A4CC441}"/>
                </c:ext>
              </c:extLst>
            </c:dLbl>
            <c:dLbl>
              <c:idx val="6"/>
              <c:layout>
                <c:manualLayout>
                  <c:x val="-0.11328285943156863"/>
                  <c:y val="-4.6696227058216716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7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48907D45-C5A8-4F53-AB8C-67F9A37549DD}" type="CELLRANGE">
                      <a:rPr lang="en-US"/>
                      <a:pPr>
                        <a:defRPr sz="7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6488886866858508"/>
                      <c:h val="6.720231250996124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55F0-4D68-9A28-CC644A4CC441}"/>
                </c:ext>
              </c:extLst>
            </c:dLbl>
            <c:dLbl>
              <c:idx val="7"/>
              <c:layout>
                <c:manualLayout>
                  <c:x val="-3.7510146581985891E-2"/>
                  <c:y val="-1.6608644750025558E-2"/>
                </c:manualLayout>
              </c:layout>
              <c:tx>
                <c:rich>
                  <a:bodyPr/>
                  <a:lstStyle/>
                  <a:p>
                    <a:fld id="{FC7BD48A-E058-49D0-BB6D-674D16DA2C4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3802777777777778"/>
                      <c:h val="0.10430555555555554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55F0-4D68-9A28-CC644A4CC44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'HSP Solvent Blends and Chi'!$D$10:$D$17</c:f>
              <c:numCache>
                <c:formatCode>0.0</c:formatCode>
                <c:ptCount val="8"/>
                <c:pt idx="0">
                  <c:v>4.0999999999999996</c:v>
                </c:pt>
                <c:pt idx="1">
                  <c:v>5</c:v>
                </c:pt>
                <c:pt idx="2">
                  <c:v>3.9</c:v>
                </c:pt>
                <c:pt idx="3">
                  <c:v>7.5</c:v>
                </c:pt>
                <c:pt idx="4">
                  <c:v>6.5</c:v>
                </c:pt>
                <c:pt idx="5">
                  <c:v>5</c:v>
                </c:pt>
                <c:pt idx="6">
                  <c:v>4.2</c:v>
                </c:pt>
                <c:pt idx="7">
                  <c:v>6</c:v>
                </c:pt>
              </c:numCache>
            </c:numRef>
          </c:xVal>
          <c:yVal>
            <c:numRef>
              <c:f>'HSP Solvent Blends and Chi'!$E$10:$E$17</c:f>
              <c:numCache>
                <c:formatCode>0.0</c:formatCode>
                <c:ptCount val="8"/>
                <c:pt idx="0">
                  <c:v>5.0999999999999996</c:v>
                </c:pt>
                <c:pt idx="1">
                  <c:v>5.4</c:v>
                </c:pt>
                <c:pt idx="2">
                  <c:v>6.9</c:v>
                </c:pt>
                <c:pt idx="3">
                  <c:v>13.8</c:v>
                </c:pt>
                <c:pt idx="4">
                  <c:v>2.4</c:v>
                </c:pt>
                <c:pt idx="5">
                  <c:v>9</c:v>
                </c:pt>
                <c:pt idx="6">
                  <c:v>5.8</c:v>
                </c:pt>
                <c:pt idx="7">
                  <c:v>6.6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'HSP Solvent Blends and Chi'!$B$10:$B$17</c15:f>
                <c15:dlblRangeCache>
                  <c:ptCount val="8"/>
                  <c:pt idx="0">
                    <c:v>Vinyl Butyl Ether</c:v>
                  </c:pt>
                  <c:pt idx="1">
                    <c:v>Vinyl Butyl Sulfide</c:v>
                  </c:pt>
                  <c:pt idx="2">
                    <c:v>Vinyl Butyrate</c:v>
                  </c:pt>
                  <c:pt idx="3">
                    <c:v>Vinyl Carbitol</c:v>
                  </c:pt>
                  <c:pt idx="4">
                    <c:v>Vinyl Chloride</c:v>
                  </c:pt>
                  <c:pt idx="5">
                    <c:v>Vinyl Crotonate</c:v>
                  </c:pt>
                  <c:pt idx="6">
                    <c:v>Vinyl Ether</c:v>
                  </c:pt>
                  <c:pt idx="7">
                    <c:v>Vinyl Ethyl Carbitol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55F0-4D68-9A28-CC644A4CC441}"/>
            </c:ext>
          </c:extLst>
        </c:ser>
        <c:ser>
          <c:idx val="1"/>
          <c:order val="1"/>
          <c:tx>
            <c:v>Reference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0">
                <a:solidFill>
                  <a:srgbClr val="00B050"/>
                </a:solidFill>
              </a:ln>
              <a:effectLst/>
            </c:spPr>
          </c:marker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7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0-D3AC-435C-81DF-BF0C4A40160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'HSP Solvent Blends and Chi'!$D$3</c:f>
              <c:numCache>
                <c:formatCode>General</c:formatCode>
                <c:ptCount val="1"/>
                <c:pt idx="0">
                  <c:v>5.4</c:v>
                </c:pt>
              </c:numCache>
            </c:numRef>
          </c:xVal>
          <c:yVal>
            <c:numRef>
              <c:f>'HSP Solvent Blends and Chi'!$E$3</c:f>
              <c:numCache>
                <c:formatCode>General</c:formatCode>
                <c:ptCount val="1"/>
                <c:pt idx="0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55F0-4D68-9A28-CC644A4CC441}"/>
            </c:ext>
          </c:extLst>
        </c:ser>
        <c:ser>
          <c:idx val="2"/>
          <c:order val="2"/>
          <c:tx>
            <c:v>Circle</c:v>
          </c:tx>
          <c:spPr>
            <a:ln w="15875" cap="rnd">
              <a:solidFill>
                <a:srgbClr val="00B050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'HSP Solvent Blends and Chi'!$CM$3:$CM$75</c:f>
              <c:numCache>
                <c:formatCode>General</c:formatCode>
                <c:ptCount val="73"/>
                <c:pt idx="0">
                  <c:v>5.4</c:v>
                </c:pt>
                <c:pt idx="1">
                  <c:v>5.4</c:v>
                </c:pt>
                <c:pt idx="2">
                  <c:v>5.4</c:v>
                </c:pt>
                <c:pt idx="3">
                  <c:v>5.4</c:v>
                </c:pt>
                <c:pt idx="4">
                  <c:v>5.4</c:v>
                </c:pt>
                <c:pt idx="5">
                  <c:v>5.4</c:v>
                </c:pt>
                <c:pt idx="6">
                  <c:v>5.4</c:v>
                </c:pt>
                <c:pt idx="7">
                  <c:v>5.4</c:v>
                </c:pt>
                <c:pt idx="8">
                  <c:v>5.4</c:v>
                </c:pt>
                <c:pt idx="9">
                  <c:v>5.4</c:v>
                </c:pt>
                <c:pt idx="10">
                  <c:v>5.4</c:v>
                </c:pt>
                <c:pt idx="11">
                  <c:v>5.4</c:v>
                </c:pt>
                <c:pt idx="12">
                  <c:v>5.4</c:v>
                </c:pt>
                <c:pt idx="13">
                  <c:v>5.4</c:v>
                </c:pt>
                <c:pt idx="14">
                  <c:v>5.4</c:v>
                </c:pt>
                <c:pt idx="15">
                  <c:v>5.4</c:v>
                </c:pt>
                <c:pt idx="16">
                  <c:v>5.4</c:v>
                </c:pt>
                <c:pt idx="17">
                  <c:v>5.4</c:v>
                </c:pt>
                <c:pt idx="18">
                  <c:v>5.4</c:v>
                </c:pt>
                <c:pt idx="19">
                  <c:v>5.4</c:v>
                </c:pt>
                <c:pt idx="20">
                  <c:v>5.4</c:v>
                </c:pt>
                <c:pt idx="21">
                  <c:v>5.4</c:v>
                </c:pt>
                <c:pt idx="22">
                  <c:v>5.4</c:v>
                </c:pt>
                <c:pt idx="23">
                  <c:v>5.4</c:v>
                </c:pt>
                <c:pt idx="24">
                  <c:v>5.4</c:v>
                </c:pt>
                <c:pt idx="25">
                  <c:v>5.4</c:v>
                </c:pt>
                <c:pt idx="26">
                  <c:v>5.4</c:v>
                </c:pt>
                <c:pt idx="27">
                  <c:v>5.4</c:v>
                </c:pt>
                <c:pt idx="28">
                  <c:v>5.4</c:v>
                </c:pt>
                <c:pt idx="29">
                  <c:v>5.4</c:v>
                </c:pt>
                <c:pt idx="30">
                  <c:v>5.4</c:v>
                </c:pt>
                <c:pt idx="31">
                  <c:v>5.4</c:v>
                </c:pt>
                <c:pt idx="32">
                  <c:v>5.4</c:v>
                </c:pt>
                <c:pt idx="33">
                  <c:v>5.4</c:v>
                </c:pt>
                <c:pt idx="34">
                  <c:v>5.4</c:v>
                </c:pt>
                <c:pt idx="35">
                  <c:v>5.4</c:v>
                </c:pt>
                <c:pt idx="36">
                  <c:v>5.4</c:v>
                </c:pt>
                <c:pt idx="37">
                  <c:v>5.4</c:v>
                </c:pt>
                <c:pt idx="38">
                  <c:v>5.4</c:v>
                </c:pt>
                <c:pt idx="39">
                  <c:v>5.4</c:v>
                </c:pt>
                <c:pt idx="40">
                  <c:v>5.4</c:v>
                </c:pt>
                <c:pt idx="41">
                  <c:v>5.4</c:v>
                </c:pt>
                <c:pt idx="42">
                  <c:v>5.4</c:v>
                </c:pt>
                <c:pt idx="43">
                  <c:v>5.4</c:v>
                </c:pt>
                <c:pt idx="44">
                  <c:v>5.4</c:v>
                </c:pt>
                <c:pt idx="45">
                  <c:v>5.4</c:v>
                </c:pt>
                <c:pt idx="46">
                  <c:v>5.4</c:v>
                </c:pt>
                <c:pt idx="47">
                  <c:v>5.4</c:v>
                </c:pt>
                <c:pt idx="48">
                  <c:v>5.4</c:v>
                </c:pt>
                <c:pt idx="49">
                  <c:v>5.4</c:v>
                </c:pt>
                <c:pt idx="50">
                  <c:v>5.4</c:v>
                </c:pt>
                <c:pt idx="51">
                  <c:v>5.4</c:v>
                </c:pt>
                <c:pt idx="52">
                  <c:v>5.4</c:v>
                </c:pt>
                <c:pt idx="53">
                  <c:v>5.4</c:v>
                </c:pt>
                <c:pt idx="54">
                  <c:v>5.4</c:v>
                </c:pt>
                <c:pt idx="55">
                  <c:v>5.4</c:v>
                </c:pt>
                <c:pt idx="56">
                  <c:v>5.4</c:v>
                </c:pt>
                <c:pt idx="57">
                  <c:v>5.4</c:v>
                </c:pt>
                <c:pt idx="58">
                  <c:v>5.4</c:v>
                </c:pt>
                <c:pt idx="59">
                  <c:v>5.4</c:v>
                </c:pt>
                <c:pt idx="60">
                  <c:v>5.4</c:v>
                </c:pt>
                <c:pt idx="61">
                  <c:v>5.4</c:v>
                </c:pt>
                <c:pt idx="62">
                  <c:v>5.4</c:v>
                </c:pt>
                <c:pt idx="63">
                  <c:v>5.4</c:v>
                </c:pt>
                <c:pt idx="64">
                  <c:v>5.4</c:v>
                </c:pt>
                <c:pt idx="65">
                  <c:v>5.4</c:v>
                </c:pt>
                <c:pt idx="66">
                  <c:v>5.4</c:v>
                </c:pt>
                <c:pt idx="67">
                  <c:v>5.4</c:v>
                </c:pt>
                <c:pt idx="68">
                  <c:v>5.4</c:v>
                </c:pt>
                <c:pt idx="69">
                  <c:v>5.4</c:v>
                </c:pt>
                <c:pt idx="70">
                  <c:v>5.4</c:v>
                </c:pt>
                <c:pt idx="71">
                  <c:v>5.4</c:v>
                </c:pt>
                <c:pt idx="72">
                  <c:v>5.4</c:v>
                </c:pt>
              </c:numCache>
            </c:numRef>
          </c:xVal>
          <c:yVal>
            <c:numRef>
              <c:f>'HSP Solvent Blends and Chi'!$CN$3:$CN$75</c:f>
              <c:numCache>
                <c:formatCode>General</c:formatCode>
                <c:ptCount val="73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8</c:v>
                </c:pt>
                <c:pt idx="7">
                  <c:v>8</c:v>
                </c:pt>
                <c:pt idx="8">
                  <c:v>8</c:v>
                </c:pt>
                <c:pt idx="9">
                  <c:v>8</c:v>
                </c:pt>
                <c:pt idx="10">
                  <c:v>8</c:v>
                </c:pt>
                <c:pt idx="11">
                  <c:v>8</c:v>
                </c:pt>
                <c:pt idx="12">
                  <c:v>8</c:v>
                </c:pt>
                <c:pt idx="13">
                  <c:v>8</c:v>
                </c:pt>
                <c:pt idx="14">
                  <c:v>8</c:v>
                </c:pt>
                <c:pt idx="15">
                  <c:v>8</c:v>
                </c:pt>
                <c:pt idx="16">
                  <c:v>8</c:v>
                </c:pt>
                <c:pt idx="17">
                  <c:v>8</c:v>
                </c:pt>
                <c:pt idx="18">
                  <c:v>8</c:v>
                </c:pt>
                <c:pt idx="19">
                  <c:v>8</c:v>
                </c:pt>
                <c:pt idx="20">
                  <c:v>8</c:v>
                </c:pt>
                <c:pt idx="21">
                  <c:v>8</c:v>
                </c:pt>
                <c:pt idx="22">
                  <c:v>8</c:v>
                </c:pt>
                <c:pt idx="23">
                  <c:v>8</c:v>
                </c:pt>
                <c:pt idx="24">
                  <c:v>8</c:v>
                </c:pt>
                <c:pt idx="25">
                  <c:v>8</c:v>
                </c:pt>
                <c:pt idx="26">
                  <c:v>8</c:v>
                </c:pt>
                <c:pt idx="27">
                  <c:v>8</c:v>
                </c:pt>
                <c:pt idx="28">
                  <c:v>8</c:v>
                </c:pt>
                <c:pt idx="29">
                  <c:v>8</c:v>
                </c:pt>
                <c:pt idx="30">
                  <c:v>8</c:v>
                </c:pt>
                <c:pt idx="31">
                  <c:v>8</c:v>
                </c:pt>
                <c:pt idx="32">
                  <c:v>8</c:v>
                </c:pt>
                <c:pt idx="33">
                  <c:v>8</c:v>
                </c:pt>
                <c:pt idx="34">
                  <c:v>8</c:v>
                </c:pt>
                <c:pt idx="35">
                  <c:v>8</c:v>
                </c:pt>
                <c:pt idx="36">
                  <c:v>8</c:v>
                </c:pt>
                <c:pt idx="37">
                  <c:v>8</c:v>
                </c:pt>
                <c:pt idx="38">
                  <c:v>8</c:v>
                </c:pt>
                <c:pt idx="39">
                  <c:v>8</c:v>
                </c:pt>
                <c:pt idx="40">
                  <c:v>8</c:v>
                </c:pt>
                <c:pt idx="41">
                  <c:v>8</c:v>
                </c:pt>
                <c:pt idx="42">
                  <c:v>8</c:v>
                </c:pt>
                <c:pt idx="43">
                  <c:v>8</c:v>
                </c:pt>
                <c:pt idx="44">
                  <c:v>8</c:v>
                </c:pt>
                <c:pt idx="45">
                  <c:v>8</c:v>
                </c:pt>
                <c:pt idx="46">
                  <c:v>8</c:v>
                </c:pt>
                <c:pt idx="47">
                  <c:v>8</c:v>
                </c:pt>
                <c:pt idx="48">
                  <c:v>8</c:v>
                </c:pt>
                <c:pt idx="49">
                  <c:v>8</c:v>
                </c:pt>
                <c:pt idx="50">
                  <c:v>8</c:v>
                </c:pt>
                <c:pt idx="51">
                  <c:v>8</c:v>
                </c:pt>
                <c:pt idx="52">
                  <c:v>8</c:v>
                </c:pt>
                <c:pt idx="53">
                  <c:v>8</c:v>
                </c:pt>
                <c:pt idx="54">
                  <c:v>8</c:v>
                </c:pt>
                <c:pt idx="55">
                  <c:v>8</c:v>
                </c:pt>
                <c:pt idx="56">
                  <c:v>8</c:v>
                </c:pt>
                <c:pt idx="57">
                  <c:v>8</c:v>
                </c:pt>
                <c:pt idx="58">
                  <c:v>8</c:v>
                </c:pt>
                <c:pt idx="59">
                  <c:v>8</c:v>
                </c:pt>
                <c:pt idx="60">
                  <c:v>8</c:v>
                </c:pt>
                <c:pt idx="61">
                  <c:v>8</c:v>
                </c:pt>
                <c:pt idx="62">
                  <c:v>8</c:v>
                </c:pt>
                <c:pt idx="63">
                  <c:v>8</c:v>
                </c:pt>
                <c:pt idx="64">
                  <c:v>8</c:v>
                </c:pt>
                <c:pt idx="65">
                  <c:v>8</c:v>
                </c:pt>
                <c:pt idx="66">
                  <c:v>8</c:v>
                </c:pt>
                <c:pt idx="67">
                  <c:v>8</c:v>
                </c:pt>
                <c:pt idx="68">
                  <c:v>8</c:v>
                </c:pt>
                <c:pt idx="69">
                  <c:v>8</c:v>
                </c:pt>
                <c:pt idx="70">
                  <c:v>8</c:v>
                </c:pt>
                <c:pt idx="71">
                  <c:v>8</c:v>
                </c:pt>
                <c:pt idx="72">
                  <c:v>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052-464F-82C6-699BAB808338}"/>
            </c:ext>
          </c:extLst>
        </c:ser>
        <c:ser>
          <c:idx val="3"/>
          <c:order val="3"/>
          <c:tx>
            <c:v>Blend (2 Comp)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ysClr val="windowText" lastClr="000000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3.7341526293266827E-2"/>
                  <c:y val="6.4044176199259409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noAutofit/>
                </a:bodyPr>
                <a:lstStyle/>
                <a:p>
                  <a:pPr algn="ctr">
                    <a:defRPr lang="en-US" sz="7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0313574023763542"/>
                      <c:h val="4.0276843643086993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D5D1-4A19-946D-8CC5BD456F9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7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'HSP Solvent Blends and Chi'!$BL$13</c:f>
              <c:numCache>
                <c:formatCode>General</c:formatCode>
                <c:ptCount val="1"/>
                <c:pt idx="0">
                  <c:v>5</c:v>
                </c:pt>
              </c:numCache>
            </c:numRef>
          </c:xVal>
          <c:yVal>
            <c:numRef>
              <c:f>'HSP Solvent Blends and Chi'!$BM$13</c:f>
              <c:numCache>
                <c:formatCode>General</c:formatCode>
                <c:ptCount val="1"/>
                <c:pt idx="0">
                  <c:v>5.4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CD5-4FB9-87A4-E5F0109C37C8}"/>
            </c:ext>
          </c:extLst>
        </c:ser>
        <c:ser>
          <c:idx val="4"/>
          <c:order val="4"/>
          <c:tx>
            <c:v>Blend (&gt; 2 Comp)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4.1571448765941189E-2"/>
                  <c:y val="5.802044362977097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7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1807315090203663"/>
                      <c:h val="6.349238615169011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D5D1-4A19-946D-8CC5BD456F9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'HSP Solvent Blends and Chi'!$U$30</c:f>
              <c:numCache>
                <c:formatCode>0.00</c:formatCode>
                <c:ptCount val="1"/>
                <c:pt idx="0">
                  <c:v>5.5541062356418456</c:v>
                </c:pt>
              </c:numCache>
            </c:numRef>
          </c:xVal>
          <c:yVal>
            <c:numRef>
              <c:f>'HSP Solvent Blends and Chi'!$V$30</c:f>
              <c:numCache>
                <c:formatCode>0.00</c:formatCode>
                <c:ptCount val="1"/>
                <c:pt idx="0">
                  <c:v>6.4018250307429785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391-4979-8924-C61BFA0F21C7}"/>
            </c:ext>
          </c:extLst>
        </c:ser>
        <c:ser>
          <c:idx val="5"/>
          <c:order val="5"/>
          <c:tx>
            <c:v>Radius S1</c:v>
          </c:tx>
          <c:spPr>
            <a:ln w="15875" cap="rnd">
              <a:solidFill>
                <a:schemeClr val="accent6">
                  <a:lumMod val="75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'HSP Solvent Blends and Chi'!$CQ$3:$CQ$75</c:f>
              <c:numCache>
                <c:formatCode>General</c:formatCode>
                <c:ptCount val="73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5</c:v>
                </c:pt>
                <c:pt idx="29">
                  <c:v>5</c:v>
                </c:pt>
                <c:pt idx="30">
                  <c:v>5</c:v>
                </c:pt>
                <c:pt idx="31">
                  <c:v>5</c:v>
                </c:pt>
                <c:pt idx="32">
                  <c:v>5</c:v>
                </c:pt>
                <c:pt idx="33">
                  <c:v>5</c:v>
                </c:pt>
                <c:pt idx="34">
                  <c:v>5</c:v>
                </c:pt>
                <c:pt idx="35">
                  <c:v>5</c:v>
                </c:pt>
                <c:pt idx="36">
                  <c:v>5</c:v>
                </c:pt>
                <c:pt idx="37">
                  <c:v>5</c:v>
                </c:pt>
                <c:pt idx="38">
                  <c:v>5</c:v>
                </c:pt>
                <c:pt idx="39">
                  <c:v>5</c:v>
                </c:pt>
                <c:pt idx="40">
                  <c:v>5</c:v>
                </c:pt>
                <c:pt idx="41">
                  <c:v>5</c:v>
                </c:pt>
                <c:pt idx="42">
                  <c:v>5</c:v>
                </c:pt>
                <c:pt idx="43">
                  <c:v>5</c:v>
                </c:pt>
                <c:pt idx="44">
                  <c:v>5</c:v>
                </c:pt>
                <c:pt idx="45">
                  <c:v>5</c:v>
                </c:pt>
                <c:pt idx="46">
                  <c:v>5</c:v>
                </c:pt>
                <c:pt idx="47">
                  <c:v>5</c:v>
                </c:pt>
                <c:pt idx="48">
                  <c:v>5</c:v>
                </c:pt>
                <c:pt idx="49">
                  <c:v>5</c:v>
                </c:pt>
                <c:pt idx="50">
                  <c:v>5</c:v>
                </c:pt>
                <c:pt idx="51">
                  <c:v>5</c:v>
                </c:pt>
                <c:pt idx="52">
                  <c:v>5</c:v>
                </c:pt>
                <c:pt idx="53">
                  <c:v>5</c:v>
                </c:pt>
                <c:pt idx="54">
                  <c:v>5</c:v>
                </c:pt>
                <c:pt idx="55">
                  <c:v>5</c:v>
                </c:pt>
                <c:pt idx="56">
                  <c:v>5</c:v>
                </c:pt>
                <c:pt idx="57">
                  <c:v>5</c:v>
                </c:pt>
                <c:pt idx="58">
                  <c:v>5</c:v>
                </c:pt>
                <c:pt idx="59">
                  <c:v>5</c:v>
                </c:pt>
                <c:pt idx="60">
                  <c:v>5</c:v>
                </c:pt>
                <c:pt idx="61">
                  <c:v>5</c:v>
                </c:pt>
                <c:pt idx="62">
                  <c:v>5</c:v>
                </c:pt>
                <c:pt idx="63">
                  <c:v>5</c:v>
                </c:pt>
                <c:pt idx="64">
                  <c:v>5</c:v>
                </c:pt>
                <c:pt idx="65">
                  <c:v>5</c:v>
                </c:pt>
                <c:pt idx="66">
                  <c:v>5</c:v>
                </c:pt>
                <c:pt idx="67">
                  <c:v>5</c:v>
                </c:pt>
                <c:pt idx="68">
                  <c:v>5</c:v>
                </c:pt>
                <c:pt idx="69">
                  <c:v>5</c:v>
                </c:pt>
                <c:pt idx="70">
                  <c:v>5</c:v>
                </c:pt>
                <c:pt idx="71">
                  <c:v>5</c:v>
                </c:pt>
                <c:pt idx="72">
                  <c:v>5</c:v>
                </c:pt>
              </c:numCache>
            </c:numRef>
          </c:xVal>
          <c:yVal>
            <c:numRef>
              <c:f>'HSP Solvent Blends and Chi'!$CR$3:$CR$75</c:f>
              <c:numCache>
                <c:formatCode>General</c:formatCode>
                <c:ptCount val="73"/>
                <c:pt idx="0">
                  <c:v>5.4</c:v>
                </c:pt>
                <c:pt idx="1">
                  <c:v>5.4</c:v>
                </c:pt>
                <c:pt idx="2">
                  <c:v>5.4</c:v>
                </c:pt>
                <c:pt idx="3">
                  <c:v>5.4</c:v>
                </c:pt>
                <c:pt idx="4">
                  <c:v>5.4</c:v>
                </c:pt>
                <c:pt idx="5">
                  <c:v>5.4</c:v>
                </c:pt>
                <c:pt idx="6">
                  <c:v>5.4</c:v>
                </c:pt>
                <c:pt idx="7">
                  <c:v>5.4</c:v>
                </c:pt>
                <c:pt idx="8">
                  <c:v>5.4</c:v>
                </c:pt>
                <c:pt idx="9">
                  <c:v>5.4</c:v>
                </c:pt>
                <c:pt idx="10">
                  <c:v>5.4</c:v>
                </c:pt>
                <c:pt idx="11">
                  <c:v>5.4</c:v>
                </c:pt>
                <c:pt idx="12">
                  <c:v>5.4</c:v>
                </c:pt>
                <c:pt idx="13">
                  <c:v>5.4</c:v>
                </c:pt>
                <c:pt idx="14">
                  <c:v>5.4</c:v>
                </c:pt>
                <c:pt idx="15">
                  <c:v>5.4</c:v>
                </c:pt>
                <c:pt idx="16">
                  <c:v>5.4</c:v>
                </c:pt>
                <c:pt idx="17">
                  <c:v>5.4</c:v>
                </c:pt>
                <c:pt idx="18">
                  <c:v>5.4</c:v>
                </c:pt>
                <c:pt idx="19">
                  <c:v>5.4</c:v>
                </c:pt>
                <c:pt idx="20">
                  <c:v>5.4</c:v>
                </c:pt>
                <c:pt idx="21">
                  <c:v>5.4</c:v>
                </c:pt>
                <c:pt idx="22">
                  <c:v>5.4</c:v>
                </c:pt>
                <c:pt idx="23">
                  <c:v>5.4</c:v>
                </c:pt>
                <c:pt idx="24">
                  <c:v>5.4</c:v>
                </c:pt>
                <c:pt idx="25">
                  <c:v>5.4</c:v>
                </c:pt>
                <c:pt idx="26">
                  <c:v>5.4</c:v>
                </c:pt>
                <c:pt idx="27">
                  <c:v>5.4</c:v>
                </c:pt>
                <c:pt idx="28">
                  <c:v>5.4</c:v>
                </c:pt>
                <c:pt idx="29">
                  <c:v>5.4</c:v>
                </c:pt>
                <c:pt idx="30">
                  <c:v>5.4</c:v>
                </c:pt>
                <c:pt idx="31">
                  <c:v>5.4</c:v>
                </c:pt>
                <c:pt idx="32">
                  <c:v>5.4</c:v>
                </c:pt>
                <c:pt idx="33">
                  <c:v>5.4</c:v>
                </c:pt>
                <c:pt idx="34">
                  <c:v>5.4</c:v>
                </c:pt>
                <c:pt idx="35">
                  <c:v>5.4</c:v>
                </c:pt>
                <c:pt idx="36">
                  <c:v>5.4</c:v>
                </c:pt>
                <c:pt idx="37">
                  <c:v>5.4</c:v>
                </c:pt>
                <c:pt idx="38">
                  <c:v>5.4</c:v>
                </c:pt>
                <c:pt idx="39">
                  <c:v>5.4</c:v>
                </c:pt>
                <c:pt idx="40">
                  <c:v>5.4</c:v>
                </c:pt>
                <c:pt idx="41">
                  <c:v>5.4</c:v>
                </c:pt>
                <c:pt idx="42">
                  <c:v>5.4</c:v>
                </c:pt>
                <c:pt idx="43">
                  <c:v>5.4</c:v>
                </c:pt>
                <c:pt idx="44">
                  <c:v>5.4</c:v>
                </c:pt>
                <c:pt idx="45">
                  <c:v>5.4</c:v>
                </c:pt>
                <c:pt idx="46">
                  <c:v>5.4</c:v>
                </c:pt>
                <c:pt idx="47">
                  <c:v>5.4</c:v>
                </c:pt>
                <c:pt idx="48">
                  <c:v>5.4</c:v>
                </c:pt>
                <c:pt idx="49">
                  <c:v>5.4</c:v>
                </c:pt>
                <c:pt idx="50">
                  <c:v>5.4</c:v>
                </c:pt>
                <c:pt idx="51">
                  <c:v>5.4</c:v>
                </c:pt>
                <c:pt idx="52">
                  <c:v>5.4</c:v>
                </c:pt>
                <c:pt idx="53">
                  <c:v>5.4</c:v>
                </c:pt>
                <c:pt idx="54">
                  <c:v>5.4</c:v>
                </c:pt>
                <c:pt idx="55">
                  <c:v>5.4</c:v>
                </c:pt>
                <c:pt idx="56">
                  <c:v>5.4</c:v>
                </c:pt>
                <c:pt idx="57">
                  <c:v>5.4</c:v>
                </c:pt>
                <c:pt idx="58">
                  <c:v>5.4</c:v>
                </c:pt>
                <c:pt idx="59">
                  <c:v>5.4</c:v>
                </c:pt>
                <c:pt idx="60">
                  <c:v>5.4</c:v>
                </c:pt>
                <c:pt idx="61">
                  <c:v>5.4</c:v>
                </c:pt>
                <c:pt idx="62">
                  <c:v>5.4</c:v>
                </c:pt>
                <c:pt idx="63">
                  <c:v>5.4</c:v>
                </c:pt>
                <c:pt idx="64">
                  <c:v>5.4</c:v>
                </c:pt>
                <c:pt idx="65">
                  <c:v>5.4</c:v>
                </c:pt>
                <c:pt idx="66">
                  <c:v>5.4</c:v>
                </c:pt>
                <c:pt idx="67">
                  <c:v>5.4</c:v>
                </c:pt>
                <c:pt idx="68">
                  <c:v>5.4</c:v>
                </c:pt>
                <c:pt idx="69">
                  <c:v>5.4</c:v>
                </c:pt>
                <c:pt idx="70">
                  <c:v>5.4</c:v>
                </c:pt>
                <c:pt idx="71">
                  <c:v>5.4</c:v>
                </c:pt>
                <c:pt idx="72">
                  <c:v>5.4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582-4244-A678-797410F7FA7A}"/>
            </c:ext>
          </c:extLst>
        </c:ser>
        <c:ser>
          <c:idx val="6"/>
          <c:order val="6"/>
          <c:tx>
            <c:v>Radius S2</c:v>
          </c:tx>
          <c:spPr>
            <a:ln w="15875" cap="rnd">
              <a:solidFill>
                <a:schemeClr val="accent4">
                  <a:lumMod val="75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'HSP Solvent Blends and Chi'!$CU$3:$CU$75</c:f>
              <c:numCache>
                <c:formatCode>General</c:formatCode>
                <c:ptCount val="73"/>
                <c:pt idx="0">
                  <c:v>6.5</c:v>
                </c:pt>
                <c:pt idx="1">
                  <c:v>6.5</c:v>
                </c:pt>
                <c:pt idx="2">
                  <c:v>6.5</c:v>
                </c:pt>
                <c:pt idx="3">
                  <c:v>6.5</c:v>
                </c:pt>
                <c:pt idx="4">
                  <c:v>6.5</c:v>
                </c:pt>
                <c:pt idx="5">
                  <c:v>6.5</c:v>
                </c:pt>
                <c:pt idx="6">
                  <c:v>6.5</c:v>
                </c:pt>
                <c:pt idx="7">
                  <c:v>6.5</c:v>
                </c:pt>
                <c:pt idx="8">
                  <c:v>6.5</c:v>
                </c:pt>
                <c:pt idx="9">
                  <c:v>6.5</c:v>
                </c:pt>
                <c:pt idx="10">
                  <c:v>6.5</c:v>
                </c:pt>
                <c:pt idx="11">
                  <c:v>6.5</c:v>
                </c:pt>
                <c:pt idx="12">
                  <c:v>6.5</c:v>
                </c:pt>
                <c:pt idx="13">
                  <c:v>6.5</c:v>
                </c:pt>
                <c:pt idx="14">
                  <c:v>6.5</c:v>
                </c:pt>
                <c:pt idx="15">
                  <c:v>6.5</c:v>
                </c:pt>
                <c:pt idx="16">
                  <c:v>6.5</c:v>
                </c:pt>
                <c:pt idx="17">
                  <c:v>6.5</c:v>
                </c:pt>
                <c:pt idx="18">
                  <c:v>6.5</c:v>
                </c:pt>
                <c:pt idx="19">
                  <c:v>6.5</c:v>
                </c:pt>
                <c:pt idx="20">
                  <c:v>6.5</c:v>
                </c:pt>
                <c:pt idx="21">
                  <c:v>6.5</c:v>
                </c:pt>
                <c:pt idx="22">
                  <c:v>6.5</c:v>
                </c:pt>
                <c:pt idx="23">
                  <c:v>6.5</c:v>
                </c:pt>
                <c:pt idx="24">
                  <c:v>6.5</c:v>
                </c:pt>
                <c:pt idx="25">
                  <c:v>6.5</c:v>
                </c:pt>
                <c:pt idx="26">
                  <c:v>6.5</c:v>
                </c:pt>
                <c:pt idx="27">
                  <c:v>6.5</c:v>
                </c:pt>
                <c:pt idx="28">
                  <c:v>6.5</c:v>
                </c:pt>
                <c:pt idx="29">
                  <c:v>6.5</c:v>
                </c:pt>
                <c:pt idx="30">
                  <c:v>6.5</c:v>
                </c:pt>
                <c:pt idx="31">
                  <c:v>6.5</c:v>
                </c:pt>
                <c:pt idx="32">
                  <c:v>6.5</c:v>
                </c:pt>
                <c:pt idx="33">
                  <c:v>6.5</c:v>
                </c:pt>
                <c:pt idx="34">
                  <c:v>6.5</c:v>
                </c:pt>
                <c:pt idx="35">
                  <c:v>6.5</c:v>
                </c:pt>
                <c:pt idx="36">
                  <c:v>6.5</c:v>
                </c:pt>
                <c:pt idx="37">
                  <c:v>6.5</c:v>
                </c:pt>
                <c:pt idx="38">
                  <c:v>6.5</c:v>
                </c:pt>
                <c:pt idx="39">
                  <c:v>6.5</c:v>
                </c:pt>
                <c:pt idx="40">
                  <c:v>6.5</c:v>
                </c:pt>
                <c:pt idx="41">
                  <c:v>6.5</c:v>
                </c:pt>
                <c:pt idx="42">
                  <c:v>6.5</c:v>
                </c:pt>
                <c:pt idx="43">
                  <c:v>6.5</c:v>
                </c:pt>
                <c:pt idx="44">
                  <c:v>6.5</c:v>
                </c:pt>
                <c:pt idx="45">
                  <c:v>6.5</c:v>
                </c:pt>
                <c:pt idx="46">
                  <c:v>6.5</c:v>
                </c:pt>
                <c:pt idx="47">
                  <c:v>6.5</c:v>
                </c:pt>
                <c:pt idx="48">
                  <c:v>6.5</c:v>
                </c:pt>
                <c:pt idx="49">
                  <c:v>6.5</c:v>
                </c:pt>
                <c:pt idx="50">
                  <c:v>6.5</c:v>
                </c:pt>
                <c:pt idx="51">
                  <c:v>6.5</c:v>
                </c:pt>
                <c:pt idx="52">
                  <c:v>6.5</c:v>
                </c:pt>
                <c:pt idx="53">
                  <c:v>6.5</c:v>
                </c:pt>
                <c:pt idx="54">
                  <c:v>6.5</c:v>
                </c:pt>
                <c:pt idx="55">
                  <c:v>6.5</c:v>
                </c:pt>
                <c:pt idx="56">
                  <c:v>6.5</c:v>
                </c:pt>
                <c:pt idx="57">
                  <c:v>6.5</c:v>
                </c:pt>
                <c:pt idx="58">
                  <c:v>6.5</c:v>
                </c:pt>
                <c:pt idx="59">
                  <c:v>6.5</c:v>
                </c:pt>
                <c:pt idx="60">
                  <c:v>6.5</c:v>
                </c:pt>
                <c:pt idx="61">
                  <c:v>6.5</c:v>
                </c:pt>
                <c:pt idx="62">
                  <c:v>6.5</c:v>
                </c:pt>
                <c:pt idx="63">
                  <c:v>6.5</c:v>
                </c:pt>
                <c:pt idx="64">
                  <c:v>6.5</c:v>
                </c:pt>
                <c:pt idx="65">
                  <c:v>6.5</c:v>
                </c:pt>
                <c:pt idx="66">
                  <c:v>6.5</c:v>
                </c:pt>
                <c:pt idx="67">
                  <c:v>6.5</c:v>
                </c:pt>
                <c:pt idx="68">
                  <c:v>6.5</c:v>
                </c:pt>
                <c:pt idx="69">
                  <c:v>6.5</c:v>
                </c:pt>
                <c:pt idx="70">
                  <c:v>6.5</c:v>
                </c:pt>
                <c:pt idx="71">
                  <c:v>6.5</c:v>
                </c:pt>
                <c:pt idx="72">
                  <c:v>6.5</c:v>
                </c:pt>
              </c:numCache>
            </c:numRef>
          </c:xVal>
          <c:yVal>
            <c:numRef>
              <c:f>'HSP Solvent Blends and Chi'!$CV$3:$CV$75</c:f>
              <c:numCache>
                <c:formatCode>General</c:formatCode>
                <c:ptCount val="73"/>
                <c:pt idx="0">
                  <c:v>2.4</c:v>
                </c:pt>
                <c:pt idx="1">
                  <c:v>2.4</c:v>
                </c:pt>
                <c:pt idx="2">
                  <c:v>2.4</c:v>
                </c:pt>
                <c:pt idx="3">
                  <c:v>2.4</c:v>
                </c:pt>
                <c:pt idx="4">
                  <c:v>2.4</c:v>
                </c:pt>
                <c:pt idx="5">
                  <c:v>2.4</c:v>
                </c:pt>
                <c:pt idx="6">
                  <c:v>2.4</c:v>
                </c:pt>
                <c:pt idx="7">
                  <c:v>2.4</c:v>
                </c:pt>
                <c:pt idx="8">
                  <c:v>2.4</c:v>
                </c:pt>
                <c:pt idx="9">
                  <c:v>2.4</c:v>
                </c:pt>
                <c:pt idx="10">
                  <c:v>2.4</c:v>
                </c:pt>
                <c:pt idx="11">
                  <c:v>2.4</c:v>
                </c:pt>
                <c:pt idx="12">
                  <c:v>2.4</c:v>
                </c:pt>
                <c:pt idx="13">
                  <c:v>2.4</c:v>
                </c:pt>
                <c:pt idx="14">
                  <c:v>2.4</c:v>
                </c:pt>
                <c:pt idx="15">
                  <c:v>2.4</c:v>
                </c:pt>
                <c:pt idx="16">
                  <c:v>2.4</c:v>
                </c:pt>
                <c:pt idx="17">
                  <c:v>2.4</c:v>
                </c:pt>
                <c:pt idx="18">
                  <c:v>2.4</c:v>
                </c:pt>
                <c:pt idx="19">
                  <c:v>2.4</c:v>
                </c:pt>
                <c:pt idx="20">
                  <c:v>2.4</c:v>
                </c:pt>
                <c:pt idx="21">
                  <c:v>2.4</c:v>
                </c:pt>
                <c:pt idx="22">
                  <c:v>2.4</c:v>
                </c:pt>
                <c:pt idx="23">
                  <c:v>2.4</c:v>
                </c:pt>
                <c:pt idx="24">
                  <c:v>2.4</c:v>
                </c:pt>
                <c:pt idx="25">
                  <c:v>2.4</c:v>
                </c:pt>
                <c:pt idx="26">
                  <c:v>2.4</c:v>
                </c:pt>
                <c:pt idx="27">
                  <c:v>2.4</c:v>
                </c:pt>
                <c:pt idx="28">
                  <c:v>2.4</c:v>
                </c:pt>
                <c:pt idx="29">
                  <c:v>2.4</c:v>
                </c:pt>
                <c:pt idx="30">
                  <c:v>2.4</c:v>
                </c:pt>
                <c:pt idx="31">
                  <c:v>2.4</c:v>
                </c:pt>
                <c:pt idx="32">
                  <c:v>2.4</c:v>
                </c:pt>
                <c:pt idx="33">
                  <c:v>2.4</c:v>
                </c:pt>
                <c:pt idx="34">
                  <c:v>2.4</c:v>
                </c:pt>
                <c:pt idx="35">
                  <c:v>2.4</c:v>
                </c:pt>
                <c:pt idx="36">
                  <c:v>2.4</c:v>
                </c:pt>
                <c:pt idx="37">
                  <c:v>2.4</c:v>
                </c:pt>
                <c:pt idx="38">
                  <c:v>2.4</c:v>
                </c:pt>
                <c:pt idx="39">
                  <c:v>2.4</c:v>
                </c:pt>
                <c:pt idx="40">
                  <c:v>2.4</c:v>
                </c:pt>
                <c:pt idx="41">
                  <c:v>2.4</c:v>
                </c:pt>
                <c:pt idx="42">
                  <c:v>2.4</c:v>
                </c:pt>
                <c:pt idx="43">
                  <c:v>2.4</c:v>
                </c:pt>
                <c:pt idx="44">
                  <c:v>2.4</c:v>
                </c:pt>
                <c:pt idx="45">
                  <c:v>2.4</c:v>
                </c:pt>
                <c:pt idx="46">
                  <c:v>2.4</c:v>
                </c:pt>
                <c:pt idx="47">
                  <c:v>2.4</c:v>
                </c:pt>
                <c:pt idx="48">
                  <c:v>2.4</c:v>
                </c:pt>
                <c:pt idx="49">
                  <c:v>2.4</c:v>
                </c:pt>
                <c:pt idx="50">
                  <c:v>2.4</c:v>
                </c:pt>
                <c:pt idx="51">
                  <c:v>2.4</c:v>
                </c:pt>
                <c:pt idx="52">
                  <c:v>2.4</c:v>
                </c:pt>
                <c:pt idx="53">
                  <c:v>2.4</c:v>
                </c:pt>
                <c:pt idx="54">
                  <c:v>2.4</c:v>
                </c:pt>
                <c:pt idx="55">
                  <c:v>2.4</c:v>
                </c:pt>
                <c:pt idx="56">
                  <c:v>2.4</c:v>
                </c:pt>
                <c:pt idx="57">
                  <c:v>2.4</c:v>
                </c:pt>
                <c:pt idx="58">
                  <c:v>2.4</c:v>
                </c:pt>
                <c:pt idx="59">
                  <c:v>2.4</c:v>
                </c:pt>
                <c:pt idx="60">
                  <c:v>2.4</c:v>
                </c:pt>
                <c:pt idx="61">
                  <c:v>2.4</c:v>
                </c:pt>
                <c:pt idx="62">
                  <c:v>2.4</c:v>
                </c:pt>
                <c:pt idx="63">
                  <c:v>2.4</c:v>
                </c:pt>
                <c:pt idx="64">
                  <c:v>2.4</c:v>
                </c:pt>
                <c:pt idx="65">
                  <c:v>2.4</c:v>
                </c:pt>
                <c:pt idx="66">
                  <c:v>2.4</c:v>
                </c:pt>
                <c:pt idx="67">
                  <c:v>2.4</c:v>
                </c:pt>
                <c:pt idx="68">
                  <c:v>2.4</c:v>
                </c:pt>
                <c:pt idx="69">
                  <c:v>2.4</c:v>
                </c:pt>
                <c:pt idx="70">
                  <c:v>2.4</c:v>
                </c:pt>
                <c:pt idx="71">
                  <c:v>2.4</c:v>
                </c:pt>
                <c:pt idx="72">
                  <c:v>2.4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582-4244-A678-797410F7FA7A}"/>
            </c:ext>
          </c:extLst>
        </c:ser>
        <c:ser>
          <c:idx val="7"/>
          <c:order val="7"/>
          <c:tx>
            <c:v>Radius S3</c:v>
          </c:tx>
          <c:spPr>
            <a:ln w="15875" cap="rnd">
              <a:solidFill>
                <a:schemeClr val="accent2">
                  <a:lumMod val="75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'HSP Solvent Blends and Chi'!$CY$3:$CY$75</c:f>
              <c:numCache>
                <c:formatCode>General</c:formatCode>
                <c:ptCount val="73"/>
                <c:pt idx="0">
                  <c:v>4.2</c:v>
                </c:pt>
                <c:pt idx="1">
                  <c:v>4.2</c:v>
                </c:pt>
                <c:pt idx="2">
                  <c:v>4.2</c:v>
                </c:pt>
                <c:pt idx="3">
                  <c:v>4.2</c:v>
                </c:pt>
                <c:pt idx="4">
                  <c:v>4.2</c:v>
                </c:pt>
                <c:pt idx="5">
                  <c:v>4.2</c:v>
                </c:pt>
                <c:pt idx="6">
                  <c:v>4.2</c:v>
                </c:pt>
                <c:pt idx="7">
                  <c:v>4.2</c:v>
                </c:pt>
                <c:pt idx="8">
                  <c:v>4.2</c:v>
                </c:pt>
                <c:pt idx="9">
                  <c:v>4.2</c:v>
                </c:pt>
                <c:pt idx="10">
                  <c:v>4.2</c:v>
                </c:pt>
                <c:pt idx="11">
                  <c:v>4.2</c:v>
                </c:pt>
                <c:pt idx="12">
                  <c:v>4.2</c:v>
                </c:pt>
                <c:pt idx="13">
                  <c:v>4.2</c:v>
                </c:pt>
                <c:pt idx="14">
                  <c:v>4.2</c:v>
                </c:pt>
                <c:pt idx="15">
                  <c:v>4.2</c:v>
                </c:pt>
                <c:pt idx="16">
                  <c:v>4.2</c:v>
                </c:pt>
                <c:pt idx="17">
                  <c:v>4.2</c:v>
                </c:pt>
                <c:pt idx="18">
                  <c:v>4.2</c:v>
                </c:pt>
                <c:pt idx="19">
                  <c:v>4.2</c:v>
                </c:pt>
                <c:pt idx="20">
                  <c:v>4.2</c:v>
                </c:pt>
                <c:pt idx="21">
                  <c:v>4.2</c:v>
                </c:pt>
                <c:pt idx="22">
                  <c:v>4.2</c:v>
                </c:pt>
                <c:pt idx="23">
                  <c:v>4.2</c:v>
                </c:pt>
                <c:pt idx="24">
                  <c:v>4.2</c:v>
                </c:pt>
                <c:pt idx="25">
                  <c:v>4.2</c:v>
                </c:pt>
                <c:pt idx="26">
                  <c:v>4.2</c:v>
                </c:pt>
                <c:pt idx="27">
                  <c:v>4.2</c:v>
                </c:pt>
                <c:pt idx="28">
                  <c:v>4.2</c:v>
                </c:pt>
                <c:pt idx="29">
                  <c:v>4.2</c:v>
                </c:pt>
                <c:pt idx="30">
                  <c:v>4.2</c:v>
                </c:pt>
                <c:pt idx="31">
                  <c:v>4.2</c:v>
                </c:pt>
                <c:pt idx="32">
                  <c:v>4.2</c:v>
                </c:pt>
                <c:pt idx="33">
                  <c:v>4.2</c:v>
                </c:pt>
                <c:pt idx="34">
                  <c:v>4.2</c:v>
                </c:pt>
                <c:pt idx="35">
                  <c:v>4.2</c:v>
                </c:pt>
                <c:pt idx="36">
                  <c:v>4.2</c:v>
                </c:pt>
                <c:pt idx="37">
                  <c:v>4.2</c:v>
                </c:pt>
                <c:pt idx="38">
                  <c:v>4.2</c:v>
                </c:pt>
                <c:pt idx="39">
                  <c:v>4.2</c:v>
                </c:pt>
                <c:pt idx="40">
                  <c:v>4.2</c:v>
                </c:pt>
                <c:pt idx="41">
                  <c:v>4.2</c:v>
                </c:pt>
                <c:pt idx="42">
                  <c:v>4.2</c:v>
                </c:pt>
                <c:pt idx="43">
                  <c:v>4.2</c:v>
                </c:pt>
                <c:pt idx="44">
                  <c:v>4.2</c:v>
                </c:pt>
                <c:pt idx="45">
                  <c:v>4.2</c:v>
                </c:pt>
                <c:pt idx="46">
                  <c:v>4.2</c:v>
                </c:pt>
                <c:pt idx="47">
                  <c:v>4.2</c:v>
                </c:pt>
                <c:pt idx="48">
                  <c:v>4.2</c:v>
                </c:pt>
                <c:pt idx="49">
                  <c:v>4.2</c:v>
                </c:pt>
                <c:pt idx="50">
                  <c:v>4.2</c:v>
                </c:pt>
                <c:pt idx="51">
                  <c:v>4.2</c:v>
                </c:pt>
                <c:pt idx="52">
                  <c:v>4.2</c:v>
                </c:pt>
                <c:pt idx="53">
                  <c:v>4.2</c:v>
                </c:pt>
                <c:pt idx="54">
                  <c:v>4.2</c:v>
                </c:pt>
                <c:pt idx="55">
                  <c:v>4.2</c:v>
                </c:pt>
                <c:pt idx="56">
                  <c:v>4.2</c:v>
                </c:pt>
                <c:pt idx="57">
                  <c:v>4.2</c:v>
                </c:pt>
                <c:pt idx="58">
                  <c:v>4.2</c:v>
                </c:pt>
                <c:pt idx="59">
                  <c:v>4.2</c:v>
                </c:pt>
                <c:pt idx="60">
                  <c:v>4.2</c:v>
                </c:pt>
                <c:pt idx="61">
                  <c:v>4.2</c:v>
                </c:pt>
                <c:pt idx="62">
                  <c:v>4.2</c:v>
                </c:pt>
                <c:pt idx="63">
                  <c:v>4.2</c:v>
                </c:pt>
                <c:pt idx="64">
                  <c:v>4.2</c:v>
                </c:pt>
                <c:pt idx="65">
                  <c:v>4.2</c:v>
                </c:pt>
                <c:pt idx="66">
                  <c:v>4.2</c:v>
                </c:pt>
                <c:pt idx="67">
                  <c:v>4.2</c:v>
                </c:pt>
                <c:pt idx="68">
                  <c:v>4.2</c:v>
                </c:pt>
                <c:pt idx="69">
                  <c:v>4.2</c:v>
                </c:pt>
                <c:pt idx="70">
                  <c:v>4.2</c:v>
                </c:pt>
                <c:pt idx="71">
                  <c:v>4.2</c:v>
                </c:pt>
                <c:pt idx="72">
                  <c:v>4.2</c:v>
                </c:pt>
              </c:numCache>
            </c:numRef>
          </c:xVal>
          <c:yVal>
            <c:numRef>
              <c:f>'HSP Solvent Blends and Chi'!$CZ$3:$CZ$75</c:f>
              <c:numCache>
                <c:formatCode>General</c:formatCode>
                <c:ptCount val="73"/>
                <c:pt idx="0">
                  <c:v>5.8</c:v>
                </c:pt>
                <c:pt idx="1">
                  <c:v>5.8</c:v>
                </c:pt>
                <c:pt idx="2">
                  <c:v>5.8</c:v>
                </c:pt>
                <c:pt idx="3">
                  <c:v>5.8</c:v>
                </c:pt>
                <c:pt idx="4">
                  <c:v>5.8</c:v>
                </c:pt>
                <c:pt idx="5">
                  <c:v>5.8</c:v>
                </c:pt>
                <c:pt idx="6">
                  <c:v>5.8</c:v>
                </c:pt>
                <c:pt idx="7">
                  <c:v>5.8</c:v>
                </c:pt>
                <c:pt idx="8">
                  <c:v>5.8</c:v>
                </c:pt>
                <c:pt idx="9">
                  <c:v>5.8</c:v>
                </c:pt>
                <c:pt idx="10">
                  <c:v>5.8</c:v>
                </c:pt>
                <c:pt idx="11">
                  <c:v>5.8</c:v>
                </c:pt>
                <c:pt idx="12">
                  <c:v>5.8</c:v>
                </c:pt>
                <c:pt idx="13">
                  <c:v>5.8</c:v>
                </c:pt>
                <c:pt idx="14">
                  <c:v>5.8</c:v>
                </c:pt>
                <c:pt idx="15">
                  <c:v>5.8</c:v>
                </c:pt>
                <c:pt idx="16">
                  <c:v>5.8</c:v>
                </c:pt>
                <c:pt idx="17">
                  <c:v>5.8</c:v>
                </c:pt>
                <c:pt idx="18">
                  <c:v>5.8</c:v>
                </c:pt>
                <c:pt idx="19">
                  <c:v>5.8</c:v>
                </c:pt>
                <c:pt idx="20">
                  <c:v>5.8</c:v>
                </c:pt>
                <c:pt idx="21">
                  <c:v>5.8</c:v>
                </c:pt>
                <c:pt idx="22">
                  <c:v>5.8</c:v>
                </c:pt>
                <c:pt idx="23">
                  <c:v>5.8</c:v>
                </c:pt>
                <c:pt idx="24">
                  <c:v>5.8</c:v>
                </c:pt>
                <c:pt idx="25">
                  <c:v>5.8</c:v>
                </c:pt>
                <c:pt idx="26">
                  <c:v>5.8</c:v>
                </c:pt>
                <c:pt idx="27">
                  <c:v>5.8</c:v>
                </c:pt>
                <c:pt idx="28">
                  <c:v>5.8</c:v>
                </c:pt>
                <c:pt idx="29">
                  <c:v>5.8</c:v>
                </c:pt>
                <c:pt idx="30">
                  <c:v>5.8</c:v>
                </c:pt>
                <c:pt idx="31">
                  <c:v>5.8</c:v>
                </c:pt>
                <c:pt idx="32">
                  <c:v>5.8</c:v>
                </c:pt>
                <c:pt idx="33">
                  <c:v>5.8</c:v>
                </c:pt>
                <c:pt idx="34">
                  <c:v>5.8</c:v>
                </c:pt>
                <c:pt idx="35">
                  <c:v>5.8</c:v>
                </c:pt>
                <c:pt idx="36">
                  <c:v>5.8</c:v>
                </c:pt>
                <c:pt idx="37">
                  <c:v>5.8</c:v>
                </c:pt>
                <c:pt idx="38">
                  <c:v>5.8</c:v>
                </c:pt>
                <c:pt idx="39">
                  <c:v>5.8</c:v>
                </c:pt>
                <c:pt idx="40">
                  <c:v>5.8</c:v>
                </c:pt>
                <c:pt idx="41">
                  <c:v>5.8</c:v>
                </c:pt>
                <c:pt idx="42">
                  <c:v>5.8</c:v>
                </c:pt>
                <c:pt idx="43">
                  <c:v>5.8</c:v>
                </c:pt>
                <c:pt idx="44">
                  <c:v>5.8</c:v>
                </c:pt>
                <c:pt idx="45">
                  <c:v>5.8</c:v>
                </c:pt>
                <c:pt idx="46">
                  <c:v>5.8</c:v>
                </c:pt>
                <c:pt idx="47">
                  <c:v>5.8</c:v>
                </c:pt>
                <c:pt idx="48">
                  <c:v>5.8</c:v>
                </c:pt>
                <c:pt idx="49">
                  <c:v>5.8</c:v>
                </c:pt>
                <c:pt idx="50">
                  <c:v>5.8</c:v>
                </c:pt>
                <c:pt idx="51">
                  <c:v>5.8</c:v>
                </c:pt>
                <c:pt idx="52">
                  <c:v>5.8</c:v>
                </c:pt>
                <c:pt idx="53">
                  <c:v>5.8</c:v>
                </c:pt>
                <c:pt idx="54">
                  <c:v>5.8</c:v>
                </c:pt>
                <c:pt idx="55">
                  <c:v>5.8</c:v>
                </c:pt>
                <c:pt idx="56">
                  <c:v>5.8</c:v>
                </c:pt>
                <c:pt idx="57">
                  <c:v>5.8</c:v>
                </c:pt>
                <c:pt idx="58">
                  <c:v>5.8</c:v>
                </c:pt>
                <c:pt idx="59">
                  <c:v>5.8</c:v>
                </c:pt>
                <c:pt idx="60">
                  <c:v>5.8</c:v>
                </c:pt>
                <c:pt idx="61">
                  <c:v>5.8</c:v>
                </c:pt>
                <c:pt idx="62">
                  <c:v>5.8</c:v>
                </c:pt>
                <c:pt idx="63">
                  <c:v>5.8</c:v>
                </c:pt>
                <c:pt idx="64">
                  <c:v>5.8</c:v>
                </c:pt>
                <c:pt idx="65">
                  <c:v>5.8</c:v>
                </c:pt>
                <c:pt idx="66">
                  <c:v>5.8</c:v>
                </c:pt>
                <c:pt idx="67">
                  <c:v>5.8</c:v>
                </c:pt>
                <c:pt idx="68">
                  <c:v>5.8</c:v>
                </c:pt>
                <c:pt idx="69">
                  <c:v>5.8</c:v>
                </c:pt>
                <c:pt idx="70">
                  <c:v>5.8</c:v>
                </c:pt>
                <c:pt idx="71">
                  <c:v>5.8</c:v>
                </c:pt>
                <c:pt idx="72">
                  <c:v>5.8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8582-4244-A678-797410F7FA7A}"/>
            </c:ext>
          </c:extLst>
        </c:ser>
        <c:ser>
          <c:idx val="8"/>
          <c:order val="8"/>
          <c:tx>
            <c:v>Radius S4</c:v>
          </c:tx>
          <c:spPr>
            <a:ln w="15875" cap="rnd">
              <a:solidFill>
                <a:schemeClr val="accent5">
                  <a:lumMod val="75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'HSP Solvent Blends and Chi'!$DC$3:$DC$75</c:f>
              <c:numCache>
                <c:formatCode>General</c:formatCode>
                <c:ptCount val="73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6</c:v>
                </c:pt>
                <c:pt idx="21">
                  <c:v>6</c:v>
                </c:pt>
                <c:pt idx="22">
                  <c:v>6</c:v>
                </c:pt>
                <c:pt idx="23">
                  <c:v>6</c:v>
                </c:pt>
                <c:pt idx="24">
                  <c:v>6</c:v>
                </c:pt>
                <c:pt idx="25">
                  <c:v>6</c:v>
                </c:pt>
                <c:pt idx="26">
                  <c:v>6</c:v>
                </c:pt>
                <c:pt idx="27">
                  <c:v>6</c:v>
                </c:pt>
                <c:pt idx="28">
                  <c:v>6</c:v>
                </c:pt>
                <c:pt idx="29">
                  <c:v>6</c:v>
                </c:pt>
                <c:pt idx="30">
                  <c:v>6</c:v>
                </c:pt>
                <c:pt idx="31">
                  <c:v>6</c:v>
                </c:pt>
                <c:pt idx="32">
                  <c:v>6</c:v>
                </c:pt>
                <c:pt idx="33">
                  <c:v>6</c:v>
                </c:pt>
                <c:pt idx="34">
                  <c:v>6</c:v>
                </c:pt>
                <c:pt idx="35">
                  <c:v>6</c:v>
                </c:pt>
                <c:pt idx="36">
                  <c:v>6</c:v>
                </c:pt>
                <c:pt idx="37">
                  <c:v>6</c:v>
                </c:pt>
                <c:pt idx="38">
                  <c:v>6</c:v>
                </c:pt>
                <c:pt idx="39">
                  <c:v>6</c:v>
                </c:pt>
                <c:pt idx="40">
                  <c:v>6</c:v>
                </c:pt>
                <c:pt idx="41">
                  <c:v>6</c:v>
                </c:pt>
                <c:pt idx="42">
                  <c:v>6</c:v>
                </c:pt>
                <c:pt idx="43">
                  <c:v>6</c:v>
                </c:pt>
                <c:pt idx="44">
                  <c:v>6</c:v>
                </c:pt>
                <c:pt idx="45">
                  <c:v>6</c:v>
                </c:pt>
                <c:pt idx="46">
                  <c:v>6</c:v>
                </c:pt>
                <c:pt idx="47">
                  <c:v>6</c:v>
                </c:pt>
                <c:pt idx="48">
                  <c:v>6</c:v>
                </c:pt>
                <c:pt idx="49">
                  <c:v>6</c:v>
                </c:pt>
                <c:pt idx="50">
                  <c:v>6</c:v>
                </c:pt>
                <c:pt idx="51">
                  <c:v>6</c:v>
                </c:pt>
                <c:pt idx="52">
                  <c:v>6</c:v>
                </c:pt>
                <c:pt idx="53">
                  <c:v>6</c:v>
                </c:pt>
                <c:pt idx="54">
                  <c:v>6</c:v>
                </c:pt>
                <c:pt idx="55">
                  <c:v>6</c:v>
                </c:pt>
                <c:pt idx="56">
                  <c:v>6</c:v>
                </c:pt>
                <c:pt idx="57">
                  <c:v>6</c:v>
                </c:pt>
                <c:pt idx="58">
                  <c:v>6</c:v>
                </c:pt>
                <c:pt idx="59">
                  <c:v>6</c:v>
                </c:pt>
                <c:pt idx="60">
                  <c:v>6</c:v>
                </c:pt>
                <c:pt idx="61">
                  <c:v>6</c:v>
                </c:pt>
                <c:pt idx="62">
                  <c:v>6</c:v>
                </c:pt>
                <c:pt idx="63">
                  <c:v>6</c:v>
                </c:pt>
                <c:pt idx="64">
                  <c:v>6</c:v>
                </c:pt>
                <c:pt idx="65">
                  <c:v>6</c:v>
                </c:pt>
                <c:pt idx="66">
                  <c:v>6</c:v>
                </c:pt>
                <c:pt idx="67">
                  <c:v>6</c:v>
                </c:pt>
                <c:pt idx="68">
                  <c:v>6</c:v>
                </c:pt>
                <c:pt idx="69">
                  <c:v>6</c:v>
                </c:pt>
                <c:pt idx="70">
                  <c:v>6</c:v>
                </c:pt>
                <c:pt idx="71">
                  <c:v>6</c:v>
                </c:pt>
                <c:pt idx="72">
                  <c:v>6</c:v>
                </c:pt>
              </c:numCache>
            </c:numRef>
          </c:xVal>
          <c:yVal>
            <c:numRef>
              <c:f>'HSP Solvent Blends and Chi'!$DD$3:$DD$75</c:f>
              <c:numCache>
                <c:formatCode>General</c:formatCode>
                <c:ptCount val="73"/>
                <c:pt idx="0">
                  <c:v>6.6</c:v>
                </c:pt>
                <c:pt idx="1">
                  <c:v>6.6</c:v>
                </c:pt>
                <c:pt idx="2">
                  <c:v>6.6</c:v>
                </c:pt>
                <c:pt idx="3">
                  <c:v>6.6</c:v>
                </c:pt>
                <c:pt idx="4">
                  <c:v>6.6</c:v>
                </c:pt>
                <c:pt idx="5">
                  <c:v>6.6</c:v>
                </c:pt>
                <c:pt idx="6">
                  <c:v>6.6</c:v>
                </c:pt>
                <c:pt idx="7">
                  <c:v>6.6</c:v>
                </c:pt>
                <c:pt idx="8">
                  <c:v>6.6</c:v>
                </c:pt>
                <c:pt idx="9">
                  <c:v>6.6</c:v>
                </c:pt>
                <c:pt idx="10">
                  <c:v>6.6</c:v>
                </c:pt>
                <c:pt idx="11">
                  <c:v>6.6</c:v>
                </c:pt>
                <c:pt idx="12">
                  <c:v>6.6</c:v>
                </c:pt>
                <c:pt idx="13">
                  <c:v>6.6</c:v>
                </c:pt>
                <c:pt idx="14">
                  <c:v>6.6</c:v>
                </c:pt>
                <c:pt idx="15">
                  <c:v>6.6</c:v>
                </c:pt>
                <c:pt idx="16">
                  <c:v>6.6</c:v>
                </c:pt>
                <c:pt idx="17">
                  <c:v>6.6</c:v>
                </c:pt>
                <c:pt idx="18">
                  <c:v>6.6</c:v>
                </c:pt>
                <c:pt idx="19">
                  <c:v>6.6</c:v>
                </c:pt>
                <c:pt idx="20">
                  <c:v>6.6</c:v>
                </c:pt>
                <c:pt idx="21">
                  <c:v>6.6</c:v>
                </c:pt>
                <c:pt idx="22">
                  <c:v>6.6</c:v>
                </c:pt>
                <c:pt idx="23">
                  <c:v>6.6</c:v>
                </c:pt>
                <c:pt idx="24">
                  <c:v>6.6</c:v>
                </c:pt>
                <c:pt idx="25">
                  <c:v>6.6</c:v>
                </c:pt>
                <c:pt idx="26">
                  <c:v>6.6</c:v>
                </c:pt>
                <c:pt idx="27">
                  <c:v>6.6</c:v>
                </c:pt>
                <c:pt idx="28">
                  <c:v>6.6</c:v>
                </c:pt>
                <c:pt idx="29">
                  <c:v>6.6</c:v>
                </c:pt>
                <c:pt idx="30">
                  <c:v>6.6</c:v>
                </c:pt>
                <c:pt idx="31">
                  <c:v>6.6</c:v>
                </c:pt>
                <c:pt idx="32">
                  <c:v>6.6</c:v>
                </c:pt>
                <c:pt idx="33">
                  <c:v>6.6</c:v>
                </c:pt>
                <c:pt idx="34">
                  <c:v>6.6</c:v>
                </c:pt>
                <c:pt idx="35">
                  <c:v>6.6</c:v>
                </c:pt>
                <c:pt idx="36">
                  <c:v>6.6</c:v>
                </c:pt>
                <c:pt idx="37">
                  <c:v>6.6</c:v>
                </c:pt>
                <c:pt idx="38">
                  <c:v>6.6</c:v>
                </c:pt>
                <c:pt idx="39">
                  <c:v>6.6</c:v>
                </c:pt>
                <c:pt idx="40">
                  <c:v>6.6</c:v>
                </c:pt>
                <c:pt idx="41">
                  <c:v>6.6</c:v>
                </c:pt>
                <c:pt idx="42">
                  <c:v>6.6</c:v>
                </c:pt>
                <c:pt idx="43">
                  <c:v>6.6</c:v>
                </c:pt>
                <c:pt idx="44">
                  <c:v>6.6</c:v>
                </c:pt>
                <c:pt idx="45">
                  <c:v>6.6</c:v>
                </c:pt>
                <c:pt idx="46">
                  <c:v>6.6</c:v>
                </c:pt>
                <c:pt idx="47">
                  <c:v>6.6</c:v>
                </c:pt>
                <c:pt idx="48">
                  <c:v>6.6</c:v>
                </c:pt>
                <c:pt idx="49">
                  <c:v>6.6</c:v>
                </c:pt>
                <c:pt idx="50">
                  <c:v>6.6</c:v>
                </c:pt>
                <c:pt idx="51">
                  <c:v>6.6</c:v>
                </c:pt>
                <c:pt idx="52">
                  <c:v>6.6</c:v>
                </c:pt>
                <c:pt idx="53">
                  <c:v>6.6</c:v>
                </c:pt>
                <c:pt idx="54">
                  <c:v>6.6</c:v>
                </c:pt>
                <c:pt idx="55">
                  <c:v>6.6</c:v>
                </c:pt>
                <c:pt idx="56">
                  <c:v>6.6</c:v>
                </c:pt>
                <c:pt idx="57">
                  <c:v>6.6</c:v>
                </c:pt>
                <c:pt idx="58">
                  <c:v>6.6</c:v>
                </c:pt>
                <c:pt idx="59">
                  <c:v>6.6</c:v>
                </c:pt>
                <c:pt idx="60">
                  <c:v>6.6</c:v>
                </c:pt>
                <c:pt idx="61">
                  <c:v>6.6</c:v>
                </c:pt>
                <c:pt idx="62">
                  <c:v>6.6</c:v>
                </c:pt>
                <c:pt idx="63">
                  <c:v>6.6</c:v>
                </c:pt>
                <c:pt idx="64">
                  <c:v>6.6</c:v>
                </c:pt>
                <c:pt idx="65">
                  <c:v>6.6</c:v>
                </c:pt>
                <c:pt idx="66">
                  <c:v>6.6</c:v>
                </c:pt>
                <c:pt idx="67">
                  <c:v>6.6</c:v>
                </c:pt>
                <c:pt idx="68">
                  <c:v>6.6</c:v>
                </c:pt>
                <c:pt idx="69">
                  <c:v>6.6</c:v>
                </c:pt>
                <c:pt idx="70">
                  <c:v>6.6</c:v>
                </c:pt>
                <c:pt idx="71">
                  <c:v>6.6</c:v>
                </c:pt>
                <c:pt idx="72">
                  <c:v>6.6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8582-4244-A678-797410F7FA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8873528"/>
        <c:axId val="308873920"/>
      </c:scatterChart>
      <c:valAx>
        <c:axId val="3088735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b="1"/>
                  <a:t>dP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8873920"/>
        <c:crosses val="autoZero"/>
        <c:crossBetween val="midCat"/>
      </c:valAx>
      <c:valAx>
        <c:axId val="308873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b="1"/>
                  <a:t>dH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88735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551680608133966"/>
          <c:y val="5.0925925925925923E-2"/>
          <c:w val="0.84442610178344213"/>
          <c:h val="0.84404255344137669"/>
        </c:manualLayout>
      </c:layout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3.5898090487357627E-2"/>
                  <c:y val="-7.1866187795599723E-2"/>
                </c:manualLayout>
              </c:layout>
              <c:tx>
                <c:rich>
                  <a:bodyPr/>
                  <a:lstStyle/>
                  <a:p>
                    <a:fld id="{C56C7D6F-536E-4219-8D93-F1184D58872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B6E7-455C-82DA-89896208EF0A}"/>
                </c:ext>
              </c:extLst>
            </c:dLbl>
            <c:dLbl>
              <c:idx val="1"/>
              <c:layout>
                <c:manualLayout>
                  <c:x val="-3.1859708908273804E-2"/>
                  <c:y val="6.5088901599277466E-2"/>
                </c:manualLayout>
              </c:layout>
              <c:tx>
                <c:rich>
                  <a:bodyPr/>
                  <a:lstStyle/>
                  <a:p>
                    <a:fld id="{7DC74892-C723-46F2-B9FD-3A4C3EE112D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B6E7-455C-82DA-89896208EF0A}"/>
                </c:ext>
              </c:extLst>
            </c:dLbl>
            <c:dLbl>
              <c:idx val="2"/>
              <c:layout>
                <c:manualLayout>
                  <c:x val="-2.2657462675974901E-2"/>
                  <c:y val="5.6709343036031598E-3"/>
                </c:manualLayout>
              </c:layout>
              <c:tx>
                <c:rich>
                  <a:bodyPr/>
                  <a:lstStyle/>
                  <a:p>
                    <a:fld id="{EA5F6B15-9072-40FE-B8B9-20012107C49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B6E7-455C-82DA-89896208EF0A}"/>
                </c:ext>
              </c:extLst>
            </c:dLbl>
            <c:dLbl>
              <c:idx val="3"/>
              <c:layout>
                <c:manualLayout>
                  <c:x val="-0.27568260434226433"/>
                  <c:y val="-1.6947913375700424E-2"/>
                </c:manualLayout>
              </c:layout>
              <c:tx>
                <c:rich>
                  <a:bodyPr/>
                  <a:lstStyle/>
                  <a:p>
                    <a:fld id="{10403062-F49C-4750-84AF-E8481D1666D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B6E7-455C-82DA-89896208EF0A}"/>
                </c:ext>
              </c:extLst>
            </c:dLbl>
            <c:dLbl>
              <c:idx val="4"/>
              <c:layout>
                <c:manualLayout>
                  <c:x val="-0.23807269728184624"/>
                  <c:y val="3.3224910064866046E-2"/>
                </c:manualLayout>
              </c:layout>
              <c:tx>
                <c:rich>
                  <a:bodyPr/>
                  <a:lstStyle/>
                  <a:p>
                    <a:fld id="{8FD4B74E-0ACC-4F4F-9557-3936E762E10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5267-4936-A4FD-2D8EB8243443}"/>
                </c:ext>
              </c:extLst>
            </c:dLbl>
            <c:dLbl>
              <c:idx val="5"/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7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9685D74B-7658-49D9-A157-711EEDEB6E7C}" type="CELLRANGE">
                      <a:rPr lang="en-US"/>
                      <a:pPr>
                        <a:defRPr sz="7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B6E7-455C-82DA-89896208EF0A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3AA69919-9784-44F3-A6ED-B70DDE42ED3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1FDE-4F94-A8BA-5AB1BD30BA0B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15807DDF-C86B-47C2-A3FB-63A7F8DAC80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1FDE-4F94-A8BA-5AB1BD30BA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'HSP Solvent Blends and Chi'!$D$10:$D$17</c:f>
              <c:numCache>
                <c:formatCode>0.0</c:formatCode>
                <c:ptCount val="8"/>
                <c:pt idx="0">
                  <c:v>4.0999999999999996</c:v>
                </c:pt>
                <c:pt idx="1">
                  <c:v>5</c:v>
                </c:pt>
                <c:pt idx="2">
                  <c:v>3.9</c:v>
                </c:pt>
                <c:pt idx="3">
                  <c:v>7.5</c:v>
                </c:pt>
                <c:pt idx="4">
                  <c:v>6.5</c:v>
                </c:pt>
                <c:pt idx="5">
                  <c:v>5</c:v>
                </c:pt>
                <c:pt idx="6">
                  <c:v>4.2</c:v>
                </c:pt>
                <c:pt idx="7">
                  <c:v>6</c:v>
                </c:pt>
              </c:numCache>
            </c:numRef>
          </c:xVal>
          <c:yVal>
            <c:numRef>
              <c:f>'HSP Solvent Blends and Chi'!$C$10:$C$17</c:f>
              <c:numCache>
                <c:formatCode>0.0</c:formatCode>
                <c:ptCount val="8"/>
                <c:pt idx="0">
                  <c:v>15.2</c:v>
                </c:pt>
                <c:pt idx="1">
                  <c:v>16</c:v>
                </c:pt>
                <c:pt idx="2">
                  <c:v>15.6</c:v>
                </c:pt>
                <c:pt idx="3">
                  <c:v>16.3</c:v>
                </c:pt>
                <c:pt idx="4">
                  <c:v>16</c:v>
                </c:pt>
                <c:pt idx="5">
                  <c:v>15.9</c:v>
                </c:pt>
                <c:pt idx="6">
                  <c:v>14.8</c:v>
                </c:pt>
                <c:pt idx="7">
                  <c:v>15.9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'HSP Solvent Blends and Chi'!$B$10:$B$17</c15:f>
                <c15:dlblRangeCache>
                  <c:ptCount val="8"/>
                  <c:pt idx="0">
                    <c:v>Vinyl Butyl Ether</c:v>
                  </c:pt>
                  <c:pt idx="1">
                    <c:v>Vinyl Butyl Sulfide</c:v>
                  </c:pt>
                  <c:pt idx="2">
                    <c:v>Vinyl Butyrate</c:v>
                  </c:pt>
                  <c:pt idx="3">
                    <c:v>Vinyl Carbitol</c:v>
                  </c:pt>
                  <c:pt idx="4">
                    <c:v>Vinyl Chloride</c:v>
                  </c:pt>
                  <c:pt idx="5">
                    <c:v>Vinyl Crotonate</c:v>
                  </c:pt>
                  <c:pt idx="6">
                    <c:v>Vinyl Ether</c:v>
                  </c:pt>
                  <c:pt idx="7">
                    <c:v>Vinyl Ethyl Carbitol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9-B6E7-455C-82DA-89896208EF0A}"/>
            </c:ext>
          </c:extLst>
        </c:ser>
        <c:ser>
          <c:idx val="1"/>
          <c:order val="1"/>
          <c:tx>
            <c:v>Reference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0">
                <a:solidFill>
                  <a:srgbClr val="00B050"/>
                </a:solidFill>
              </a:ln>
              <a:effectLst/>
            </c:spPr>
          </c:marker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7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1FDE-4F94-A8BA-5AB1BD30BA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'HSP Solvent Blends and Chi'!$D$3</c:f>
              <c:numCache>
                <c:formatCode>General</c:formatCode>
                <c:ptCount val="1"/>
                <c:pt idx="0">
                  <c:v>5.4</c:v>
                </c:pt>
              </c:numCache>
            </c:numRef>
          </c:xVal>
          <c:yVal>
            <c:numRef>
              <c:f>'HSP Solvent Blends and Chi'!$C$3</c:f>
              <c:numCache>
                <c:formatCode>General</c:formatCode>
                <c:ptCount val="1"/>
                <c:pt idx="0">
                  <c:v>15.4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B6E7-455C-82DA-89896208EF0A}"/>
            </c:ext>
          </c:extLst>
        </c:ser>
        <c:ser>
          <c:idx val="2"/>
          <c:order val="2"/>
          <c:tx>
            <c:v>Circle</c:v>
          </c:tx>
          <c:spPr>
            <a:ln w="15875" cap="rnd">
              <a:solidFill>
                <a:srgbClr val="00B050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'HSP Solvent Blends and Chi'!$CM$3:$CM$75</c:f>
              <c:numCache>
                <c:formatCode>General</c:formatCode>
                <c:ptCount val="73"/>
                <c:pt idx="0">
                  <c:v>5.4</c:v>
                </c:pt>
                <c:pt idx="1">
                  <c:v>5.4</c:v>
                </c:pt>
                <c:pt idx="2">
                  <c:v>5.4</c:v>
                </c:pt>
                <c:pt idx="3">
                  <c:v>5.4</c:v>
                </c:pt>
                <c:pt idx="4">
                  <c:v>5.4</c:v>
                </c:pt>
                <c:pt idx="5">
                  <c:v>5.4</c:v>
                </c:pt>
                <c:pt idx="6">
                  <c:v>5.4</c:v>
                </c:pt>
                <c:pt idx="7">
                  <c:v>5.4</c:v>
                </c:pt>
                <c:pt idx="8">
                  <c:v>5.4</c:v>
                </c:pt>
                <c:pt idx="9">
                  <c:v>5.4</c:v>
                </c:pt>
                <c:pt idx="10">
                  <c:v>5.4</c:v>
                </c:pt>
                <c:pt idx="11">
                  <c:v>5.4</c:v>
                </c:pt>
                <c:pt idx="12">
                  <c:v>5.4</c:v>
                </c:pt>
                <c:pt idx="13">
                  <c:v>5.4</c:v>
                </c:pt>
                <c:pt idx="14">
                  <c:v>5.4</c:v>
                </c:pt>
                <c:pt idx="15">
                  <c:v>5.4</c:v>
                </c:pt>
                <c:pt idx="16">
                  <c:v>5.4</c:v>
                </c:pt>
                <c:pt idx="17">
                  <c:v>5.4</c:v>
                </c:pt>
                <c:pt idx="18">
                  <c:v>5.4</c:v>
                </c:pt>
                <c:pt idx="19">
                  <c:v>5.4</c:v>
                </c:pt>
                <c:pt idx="20">
                  <c:v>5.4</c:v>
                </c:pt>
                <c:pt idx="21">
                  <c:v>5.4</c:v>
                </c:pt>
                <c:pt idx="22">
                  <c:v>5.4</c:v>
                </c:pt>
                <c:pt idx="23">
                  <c:v>5.4</c:v>
                </c:pt>
                <c:pt idx="24">
                  <c:v>5.4</c:v>
                </c:pt>
                <c:pt idx="25">
                  <c:v>5.4</c:v>
                </c:pt>
                <c:pt idx="26">
                  <c:v>5.4</c:v>
                </c:pt>
                <c:pt idx="27">
                  <c:v>5.4</c:v>
                </c:pt>
                <c:pt idx="28">
                  <c:v>5.4</c:v>
                </c:pt>
                <c:pt idx="29">
                  <c:v>5.4</c:v>
                </c:pt>
                <c:pt idx="30">
                  <c:v>5.4</c:v>
                </c:pt>
                <c:pt idx="31">
                  <c:v>5.4</c:v>
                </c:pt>
                <c:pt idx="32">
                  <c:v>5.4</c:v>
                </c:pt>
                <c:pt idx="33">
                  <c:v>5.4</c:v>
                </c:pt>
                <c:pt idx="34">
                  <c:v>5.4</c:v>
                </c:pt>
                <c:pt idx="35">
                  <c:v>5.4</c:v>
                </c:pt>
                <c:pt idx="36">
                  <c:v>5.4</c:v>
                </c:pt>
                <c:pt idx="37">
                  <c:v>5.4</c:v>
                </c:pt>
                <c:pt idx="38">
                  <c:v>5.4</c:v>
                </c:pt>
                <c:pt idx="39">
                  <c:v>5.4</c:v>
                </c:pt>
                <c:pt idx="40">
                  <c:v>5.4</c:v>
                </c:pt>
                <c:pt idx="41">
                  <c:v>5.4</c:v>
                </c:pt>
                <c:pt idx="42">
                  <c:v>5.4</c:v>
                </c:pt>
                <c:pt idx="43">
                  <c:v>5.4</c:v>
                </c:pt>
                <c:pt idx="44">
                  <c:v>5.4</c:v>
                </c:pt>
                <c:pt idx="45">
                  <c:v>5.4</c:v>
                </c:pt>
                <c:pt idx="46">
                  <c:v>5.4</c:v>
                </c:pt>
                <c:pt idx="47">
                  <c:v>5.4</c:v>
                </c:pt>
                <c:pt idx="48">
                  <c:v>5.4</c:v>
                </c:pt>
                <c:pt idx="49">
                  <c:v>5.4</c:v>
                </c:pt>
                <c:pt idx="50">
                  <c:v>5.4</c:v>
                </c:pt>
                <c:pt idx="51">
                  <c:v>5.4</c:v>
                </c:pt>
                <c:pt idx="52">
                  <c:v>5.4</c:v>
                </c:pt>
                <c:pt idx="53">
                  <c:v>5.4</c:v>
                </c:pt>
                <c:pt idx="54">
                  <c:v>5.4</c:v>
                </c:pt>
                <c:pt idx="55">
                  <c:v>5.4</c:v>
                </c:pt>
                <c:pt idx="56">
                  <c:v>5.4</c:v>
                </c:pt>
                <c:pt idx="57">
                  <c:v>5.4</c:v>
                </c:pt>
                <c:pt idx="58">
                  <c:v>5.4</c:v>
                </c:pt>
                <c:pt idx="59">
                  <c:v>5.4</c:v>
                </c:pt>
                <c:pt idx="60">
                  <c:v>5.4</c:v>
                </c:pt>
                <c:pt idx="61">
                  <c:v>5.4</c:v>
                </c:pt>
                <c:pt idx="62">
                  <c:v>5.4</c:v>
                </c:pt>
                <c:pt idx="63">
                  <c:v>5.4</c:v>
                </c:pt>
                <c:pt idx="64">
                  <c:v>5.4</c:v>
                </c:pt>
                <c:pt idx="65">
                  <c:v>5.4</c:v>
                </c:pt>
                <c:pt idx="66">
                  <c:v>5.4</c:v>
                </c:pt>
                <c:pt idx="67">
                  <c:v>5.4</c:v>
                </c:pt>
                <c:pt idx="68">
                  <c:v>5.4</c:v>
                </c:pt>
                <c:pt idx="69">
                  <c:v>5.4</c:v>
                </c:pt>
                <c:pt idx="70">
                  <c:v>5.4</c:v>
                </c:pt>
                <c:pt idx="71">
                  <c:v>5.4</c:v>
                </c:pt>
                <c:pt idx="72">
                  <c:v>5.4</c:v>
                </c:pt>
              </c:numCache>
            </c:numRef>
          </c:xVal>
          <c:yVal>
            <c:numRef>
              <c:f>'HSP Solvent Blends and Chi'!$CL$3:$CL$75</c:f>
              <c:numCache>
                <c:formatCode>General</c:formatCode>
                <c:ptCount val="73"/>
                <c:pt idx="0">
                  <c:v>15.4</c:v>
                </c:pt>
                <c:pt idx="1">
                  <c:v>15.4</c:v>
                </c:pt>
                <c:pt idx="2">
                  <c:v>15.4</c:v>
                </c:pt>
                <c:pt idx="3">
                  <c:v>15.4</c:v>
                </c:pt>
                <c:pt idx="4">
                  <c:v>15.4</c:v>
                </c:pt>
                <c:pt idx="5">
                  <c:v>15.4</c:v>
                </c:pt>
                <c:pt idx="6">
                  <c:v>15.4</c:v>
                </c:pt>
                <c:pt idx="7">
                  <c:v>15.4</c:v>
                </c:pt>
                <c:pt idx="8">
                  <c:v>15.4</c:v>
                </c:pt>
                <c:pt idx="9">
                  <c:v>15.4</c:v>
                </c:pt>
                <c:pt idx="10">
                  <c:v>15.4</c:v>
                </c:pt>
                <c:pt idx="11">
                  <c:v>15.4</c:v>
                </c:pt>
                <c:pt idx="12">
                  <c:v>15.4</c:v>
                </c:pt>
                <c:pt idx="13">
                  <c:v>15.4</c:v>
                </c:pt>
                <c:pt idx="14">
                  <c:v>15.4</c:v>
                </c:pt>
                <c:pt idx="15">
                  <c:v>15.4</c:v>
                </c:pt>
                <c:pt idx="16">
                  <c:v>15.4</c:v>
                </c:pt>
                <c:pt idx="17">
                  <c:v>15.4</c:v>
                </c:pt>
                <c:pt idx="18">
                  <c:v>15.4</c:v>
                </c:pt>
                <c:pt idx="19">
                  <c:v>15.4</c:v>
                </c:pt>
                <c:pt idx="20">
                  <c:v>15.4</c:v>
                </c:pt>
                <c:pt idx="21">
                  <c:v>15.4</c:v>
                </c:pt>
                <c:pt idx="22">
                  <c:v>15.4</c:v>
                </c:pt>
                <c:pt idx="23">
                  <c:v>15.4</c:v>
                </c:pt>
                <c:pt idx="24">
                  <c:v>15.4</c:v>
                </c:pt>
                <c:pt idx="25">
                  <c:v>15.4</c:v>
                </c:pt>
                <c:pt idx="26">
                  <c:v>15.4</c:v>
                </c:pt>
                <c:pt idx="27">
                  <c:v>15.4</c:v>
                </c:pt>
                <c:pt idx="28">
                  <c:v>15.4</c:v>
                </c:pt>
                <c:pt idx="29">
                  <c:v>15.4</c:v>
                </c:pt>
                <c:pt idx="30">
                  <c:v>15.4</c:v>
                </c:pt>
                <c:pt idx="31">
                  <c:v>15.4</c:v>
                </c:pt>
                <c:pt idx="32">
                  <c:v>15.4</c:v>
                </c:pt>
                <c:pt idx="33">
                  <c:v>15.4</c:v>
                </c:pt>
                <c:pt idx="34">
                  <c:v>15.4</c:v>
                </c:pt>
                <c:pt idx="35">
                  <c:v>15.4</c:v>
                </c:pt>
                <c:pt idx="36">
                  <c:v>15.4</c:v>
                </c:pt>
                <c:pt idx="37">
                  <c:v>15.4</c:v>
                </c:pt>
                <c:pt idx="38">
                  <c:v>15.4</c:v>
                </c:pt>
                <c:pt idx="39">
                  <c:v>15.4</c:v>
                </c:pt>
                <c:pt idx="40">
                  <c:v>15.4</c:v>
                </c:pt>
                <c:pt idx="41">
                  <c:v>15.4</c:v>
                </c:pt>
                <c:pt idx="42">
                  <c:v>15.4</c:v>
                </c:pt>
                <c:pt idx="43">
                  <c:v>15.4</c:v>
                </c:pt>
                <c:pt idx="44">
                  <c:v>15.4</c:v>
                </c:pt>
                <c:pt idx="45">
                  <c:v>15.4</c:v>
                </c:pt>
                <c:pt idx="46">
                  <c:v>15.4</c:v>
                </c:pt>
                <c:pt idx="47">
                  <c:v>15.4</c:v>
                </c:pt>
                <c:pt idx="48">
                  <c:v>15.4</c:v>
                </c:pt>
                <c:pt idx="49">
                  <c:v>15.4</c:v>
                </c:pt>
                <c:pt idx="50">
                  <c:v>15.4</c:v>
                </c:pt>
                <c:pt idx="51">
                  <c:v>15.4</c:v>
                </c:pt>
                <c:pt idx="52">
                  <c:v>15.4</c:v>
                </c:pt>
                <c:pt idx="53">
                  <c:v>15.4</c:v>
                </c:pt>
                <c:pt idx="54">
                  <c:v>15.4</c:v>
                </c:pt>
                <c:pt idx="55">
                  <c:v>15.4</c:v>
                </c:pt>
                <c:pt idx="56">
                  <c:v>15.4</c:v>
                </c:pt>
                <c:pt idx="57">
                  <c:v>15.4</c:v>
                </c:pt>
                <c:pt idx="58">
                  <c:v>15.4</c:v>
                </c:pt>
                <c:pt idx="59">
                  <c:v>15.4</c:v>
                </c:pt>
                <c:pt idx="60">
                  <c:v>15.4</c:v>
                </c:pt>
                <c:pt idx="61">
                  <c:v>15.4</c:v>
                </c:pt>
                <c:pt idx="62">
                  <c:v>15.4</c:v>
                </c:pt>
                <c:pt idx="63">
                  <c:v>15.4</c:v>
                </c:pt>
                <c:pt idx="64">
                  <c:v>15.4</c:v>
                </c:pt>
                <c:pt idx="65">
                  <c:v>15.4</c:v>
                </c:pt>
                <c:pt idx="66">
                  <c:v>15.4</c:v>
                </c:pt>
                <c:pt idx="67">
                  <c:v>15.4</c:v>
                </c:pt>
                <c:pt idx="68">
                  <c:v>15.4</c:v>
                </c:pt>
                <c:pt idx="69">
                  <c:v>15.4</c:v>
                </c:pt>
                <c:pt idx="70">
                  <c:v>15.4</c:v>
                </c:pt>
                <c:pt idx="71">
                  <c:v>15.4</c:v>
                </c:pt>
                <c:pt idx="72">
                  <c:v>15.4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B6E7-455C-82DA-89896208EF0A}"/>
            </c:ext>
          </c:extLst>
        </c:ser>
        <c:ser>
          <c:idx val="3"/>
          <c:order val="3"/>
          <c:tx>
            <c:v>Blend (2 Comp)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0.19387205245692049"/>
                  <c:y val="4.746008853164084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7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7D6-4140-AFE8-B51D221ADC8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'HSP Solvent Blends and Chi'!$BL$13</c:f>
              <c:numCache>
                <c:formatCode>General</c:formatCode>
                <c:ptCount val="1"/>
                <c:pt idx="0">
                  <c:v>5</c:v>
                </c:pt>
              </c:numCache>
            </c:numRef>
          </c:xVal>
          <c:yVal>
            <c:numRef>
              <c:f>'HSP Solvent Blends and Chi'!$BK$13</c:f>
              <c:numCache>
                <c:formatCode>General</c:formatCode>
                <c:ptCount val="1"/>
                <c:pt idx="0">
                  <c:v>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31A-46A2-AD5C-59D235FA5233}"/>
            </c:ext>
          </c:extLst>
        </c:ser>
        <c:ser>
          <c:idx val="4"/>
          <c:order val="4"/>
          <c:tx>
            <c:v>Blend (&gt;2 Comp)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0.22597270316121235"/>
                  <c:y val="-3.4576726443337064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7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7D6-4140-AFE8-B51D221ADC8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'HSP Solvent Blends and Chi'!$U$30</c:f>
              <c:numCache>
                <c:formatCode>0.00</c:formatCode>
                <c:ptCount val="1"/>
                <c:pt idx="0">
                  <c:v>5.5541062356418456</c:v>
                </c:pt>
              </c:numCache>
            </c:numRef>
          </c:xVal>
          <c:yVal>
            <c:numRef>
              <c:f>'HSP Solvent Blends and Chi'!$T$30</c:f>
              <c:numCache>
                <c:formatCode>0.00</c:formatCode>
                <c:ptCount val="1"/>
                <c:pt idx="0">
                  <c:v>15.627509481688689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267-4936-A4FD-2D8EB8243443}"/>
            </c:ext>
          </c:extLst>
        </c:ser>
        <c:ser>
          <c:idx val="5"/>
          <c:order val="5"/>
          <c:tx>
            <c:v>Radius S1</c:v>
          </c:tx>
          <c:spPr>
            <a:ln w="15875" cap="rnd">
              <a:solidFill>
                <a:schemeClr val="accent6">
                  <a:lumMod val="75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'HSP Solvent Blends and Chi'!$CQ$3:$CQ$75</c:f>
              <c:numCache>
                <c:formatCode>General</c:formatCode>
                <c:ptCount val="73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5</c:v>
                </c:pt>
                <c:pt idx="29">
                  <c:v>5</c:v>
                </c:pt>
                <c:pt idx="30">
                  <c:v>5</c:v>
                </c:pt>
                <c:pt idx="31">
                  <c:v>5</c:v>
                </c:pt>
                <c:pt idx="32">
                  <c:v>5</c:v>
                </c:pt>
                <c:pt idx="33">
                  <c:v>5</c:v>
                </c:pt>
                <c:pt idx="34">
                  <c:v>5</c:v>
                </c:pt>
                <c:pt idx="35">
                  <c:v>5</c:v>
                </c:pt>
                <c:pt idx="36">
                  <c:v>5</c:v>
                </c:pt>
                <c:pt idx="37">
                  <c:v>5</c:v>
                </c:pt>
                <c:pt idx="38">
                  <c:v>5</c:v>
                </c:pt>
                <c:pt idx="39">
                  <c:v>5</c:v>
                </c:pt>
                <c:pt idx="40">
                  <c:v>5</c:v>
                </c:pt>
                <c:pt idx="41">
                  <c:v>5</c:v>
                </c:pt>
                <c:pt idx="42">
                  <c:v>5</c:v>
                </c:pt>
                <c:pt idx="43">
                  <c:v>5</c:v>
                </c:pt>
                <c:pt idx="44">
                  <c:v>5</c:v>
                </c:pt>
                <c:pt idx="45">
                  <c:v>5</c:v>
                </c:pt>
                <c:pt idx="46">
                  <c:v>5</c:v>
                </c:pt>
                <c:pt idx="47">
                  <c:v>5</c:v>
                </c:pt>
                <c:pt idx="48">
                  <c:v>5</c:v>
                </c:pt>
                <c:pt idx="49">
                  <c:v>5</c:v>
                </c:pt>
                <c:pt idx="50">
                  <c:v>5</c:v>
                </c:pt>
                <c:pt idx="51">
                  <c:v>5</c:v>
                </c:pt>
                <c:pt idx="52">
                  <c:v>5</c:v>
                </c:pt>
                <c:pt idx="53">
                  <c:v>5</c:v>
                </c:pt>
                <c:pt idx="54">
                  <c:v>5</c:v>
                </c:pt>
                <c:pt idx="55">
                  <c:v>5</c:v>
                </c:pt>
                <c:pt idx="56">
                  <c:v>5</c:v>
                </c:pt>
                <c:pt idx="57">
                  <c:v>5</c:v>
                </c:pt>
                <c:pt idx="58">
                  <c:v>5</c:v>
                </c:pt>
                <c:pt idx="59">
                  <c:v>5</c:v>
                </c:pt>
                <c:pt idx="60">
                  <c:v>5</c:v>
                </c:pt>
                <c:pt idx="61">
                  <c:v>5</c:v>
                </c:pt>
                <c:pt idx="62">
                  <c:v>5</c:v>
                </c:pt>
                <c:pt idx="63">
                  <c:v>5</c:v>
                </c:pt>
                <c:pt idx="64">
                  <c:v>5</c:v>
                </c:pt>
                <c:pt idx="65">
                  <c:v>5</c:v>
                </c:pt>
                <c:pt idx="66">
                  <c:v>5</c:v>
                </c:pt>
                <c:pt idx="67">
                  <c:v>5</c:v>
                </c:pt>
                <c:pt idx="68">
                  <c:v>5</c:v>
                </c:pt>
                <c:pt idx="69">
                  <c:v>5</c:v>
                </c:pt>
                <c:pt idx="70">
                  <c:v>5</c:v>
                </c:pt>
                <c:pt idx="71">
                  <c:v>5</c:v>
                </c:pt>
                <c:pt idx="72">
                  <c:v>5</c:v>
                </c:pt>
              </c:numCache>
            </c:numRef>
          </c:xVal>
          <c:yVal>
            <c:numRef>
              <c:f>'HSP Solvent Blends and Chi'!$CP$3:$CP$75</c:f>
              <c:numCache>
                <c:formatCode>General</c:formatCode>
                <c:ptCount val="73"/>
                <c:pt idx="0">
                  <c:v>16</c:v>
                </c:pt>
                <c:pt idx="1">
                  <c:v>16</c:v>
                </c:pt>
                <c:pt idx="2">
                  <c:v>16</c:v>
                </c:pt>
                <c:pt idx="3">
                  <c:v>16</c:v>
                </c:pt>
                <c:pt idx="4">
                  <c:v>16</c:v>
                </c:pt>
                <c:pt idx="5">
                  <c:v>16</c:v>
                </c:pt>
                <c:pt idx="6">
                  <c:v>16</c:v>
                </c:pt>
                <c:pt idx="7">
                  <c:v>16</c:v>
                </c:pt>
                <c:pt idx="8">
                  <c:v>16</c:v>
                </c:pt>
                <c:pt idx="9">
                  <c:v>16</c:v>
                </c:pt>
                <c:pt idx="10">
                  <c:v>16</c:v>
                </c:pt>
                <c:pt idx="11">
                  <c:v>16</c:v>
                </c:pt>
                <c:pt idx="12">
                  <c:v>16</c:v>
                </c:pt>
                <c:pt idx="13">
                  <c:v>16</c:v>
                </c:pt>
                <c:pt idx="14">
                  <c:v>16</c:v>
                </c:pt>
                <c:pt idx="15">
                  <c:v>16</c:v>
                </c:pt>
                <c:pt idx="16">
                  <c:v>16</c:v>
                </c:pt>
                <c:pt idx="17">
                  <c:v>16</c:v>
                </c:pt>
                <c:pt idx="18">
                  <c:v>16</c:v>
                </c:pt>
                <c:pt idx="19">
                  <c:v>16</c:v>
                </c:pt>
                <c:pt idx="20">
                  <c:v>16</c:v>
                </c:pt>
                <c:pt idx="21">
                  <c:v>16</c:v>
                </c:pt>
                <c:pt idx="22">
                  <c:v>16</c:v>
                </c:pt>
                <c:pt idx="23">
                  <c:v>16</c:v>
                </c:pt>
                <c:pt idx="24">
                  <c:v>16</c:v>
                </c:pt>
                <c:pt idx="25">
                  <c:v>16</c:v>
                </c:pt>
                <c:pt idx="26">
                  <c:v>16</c:v>
                </c:pt>
                <c:pt idx="27">
                  <c:v>16</c:v>
                </c:pt>
                <c:pt idx="28">
                  <c:v>16</c:v>
                </c:pt>
                <c:pt idx="29">
                  <c:v>16</c:v>
                </c:pt>
                <c:pt idx="30">
                  <c:v>16</c:v>
                </c:pt>
                <c:pt idx="31">
                  <c:v>16</c:v>
                </c:pt>
                <c:pt idx="32">
                  <c:v>16</c:v>
                </c:pt>
                <c:pt idx="33">
                  <c:v>16</c:v>
                </c:pt>
                <c:pt idx="34">
                  <c:v>16</c:v>
                </c:pt>
                <c:pt idx="35">
                  <c:v>16</c:v>
                </c:pt>
                <c:pt idx="36">
                  <c:v>16</c:v>
                </c:pt>
                <c:pt idx="37">
                  <c:v>16</c:v>
                </c:pt>
                <c:pt idx="38">
                  <c:v>16</c:v>
                </c:pt>
                <c:pt idx="39">
                  <c:v>16</c:v>
                </c:pt>
                <c:pt idx="40">
                  <c:v>16</c:v>
                </c:pt>
                <c:pt idx="41">
                  <c:v>16</c:v>
                </c:pt>
                <c:pt idx="42">
                  <c:v>16</c:v>
                </c:pt>
                <c:pt idx="43">
                  <c:v>16</c:v>
                </c:pt>
                <c:pt idx="44">
                  <c:v>16</c:v>
                </c:pt>
                <c:pt idx="45">
                  <c:v>16</c:v>
                </c:pt>
                <c:pt idx="46">
                  <c:v>16</c:v>
                </c:pt>
                <c:pt idx="47">
                  <c:v>16</c:v>
                </c:pt>
                <c:pt idx="48">
                  <c:v>16</c:v>
                </c:pt>
                <c:pt idx="49">
                  <c:v>16</c:v>
                </c:pt>
                <c:pt idx="50">
                  <c:v>16</c:v>
                </c:pt>
                <c:pt idx="51">
                  <c:v>16</c:v>
                </c:pt>
                <c:pt idx="52">
                  <c:v>16</c:v>
                </c:pt>
                <c:pt idx="53">
                  <c:v>16</c:v>
                </c:pt>
                <c:pt idx="54">
                  <c:v>16</c:v>
                </c:pt>
                <c:pt idx="55">
                  <c:v>16</c:v>
                </c:pt>
                <c:pt idx="56">
                  <c:v>16</c:v>
                </c:pt>
                <c:pt idx="57">
                  <c:v>16</c:v>
                </c:pt>
                <c:pt idx="58">
                  <c:v>16</c:v>
                </c:pt>
                <c:pt idx="59">
                  <c:v>16</c:v>
                </c:pt>
                <c:pt idx="60">
                  <c:v>16</c:v>
                </c:pt>
                <c:pt idx="61">
                  <c:v>16</c:v>
                </c:pt>
                <c:pt idx="62">
                  <c:v>16</c:v>
                </c:pt>
                <c:pt idx="63">
                  <c:v>16</c:v>
                </c:pt>
                <c:pt idx="64">
                  <c:v>16</c:v>
                </c:pt>
                <c:pt idx="65">
                  <c:v>16</c:v>
                </c:pt>
                <c:pt idx="66">
                  <c:v>16</c:v>
                </c:pt>
                <c:pt idx="67">
                  <c:v>16</c:v>
                </c:pt>
                <c:pt idx="68">
                  <c:v>16</c:v>
                </c:pt>
                <c:pt idx="69">
                  <c:v>16</c:v>
                </c:pt>
                <c:pt idx="70">
                  <c:v>16</c:v>
                </c:pt>
                <c:pt idx="71">
                  <c:v>16</c:v>
                </c:pt>
                <c:pt idx="72">
                  <c:v>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DA06-44A1-A7B4-FC84D38BFD7F}"/>
            </c:ext>
          </c:extLst>
        </c:ser>
        <c:ser>
          <c:idx val="6"/>
          <c:order val="6"/>
          <c:tx>
            <c:v>Radius S2</c:v>
          </c:tx>
          <c:spPr>
            <a:ln w="15875" cap="rnd">
              <a:solidFill>
                <a:schemeClr val="accent4">
                  <a:lumMod val="75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'HSP Solvent Blends and Chi'!$CU$3:$CU$75</c:f>
              <c:numCache>
                <c:formatCode>General</c:formatCode>
                <c:ptCount val="73"/>
                <c:pt idx="0">
                  <c:v>6.5</c:v>
                </c:pt>
                <c:pt idx="1">
                  <c:v>6.5</c:v>
                </c:pt>
                <c:pt idx="2">
                  <c:v>6.5</c:v>
                </c:pt>
                <c:pt idx="3">
                  <c:v>6.5</c:v>
                </c:pt>
                <c:pt idx="4">
                  <c:v>6.5</c:v>
                </c:pt>
                <c:pt idx="5">
                  <c:v>6.5</c:v>
                </c:pt>
                <c:pt idx="6">
                  <c:v>6.5</c:v>
                </c:pt>
                <c:pt idx="7">
                  <c:v>6.5</c:v>
                </c:pt>
                <c:pt idx="8">
                  <c:v>6.5</c:v>
                </c:pt>
                <c:pt idx="9">
                  <c:v>6.5</c:v>
                </c:pt>
                <c:pt idx="10">
                  <c:v>6.5</c:v>
                </c:pt>
                <c:pt idx="11">
                  <c:v>6.5</c:v>
                </c:pt>
                <c:pt idx="12">
                  <c:v>6.5</c:v>
                </c:pt>
                <c:pt idx="13">
                  <c:v>6.5</c:v>
                </c:pt>
                <c:pt idx="14">
                  <c:v>6.5</c:v>
                </c:pt>
                <c:pt idx="15">
                  <c:v>6.5</c:v>
                </c:pt>
                <c:pt idx="16">
                  <c:v>6.5</c:v>
                </c:pt>
                <c:pt idx="17">
                  <c:v>6.5</c:v>
                </c:pt>
                <c:pt idx="18">
                  <c:v>6.5</c:v>
                </c:pt>
                <c:pt idx="19">
                  <c:v>6.5</c:v>
                </c:pt>
                <c:pt idx="20">
                  <c:v>6.5</c:v>
                </c:pt>
                <c:pt idx="21">
                  <c:v>6.5</c:v>
                </c:pt>
                <c:pt idx="22">
                  <c:v>6.5</c:v>
                </c:pt>
                <c:pt idx="23">
                  <c:v>6.5</c:v>
                </c:pt>
                <c:pt idx="24">
                  <c:v>6.5</c:v>
                </c:pt>
                <c:pt idx="25">
                  <c:v>6.5</c:v>
                </c:pt>
                <c:pt idx="26">
                  <c:v>6.5</c:v>
                </c:pt>
                <c:pt idx="27">
                  <c:v>6.5</c:v>
                </c:pt>
                <c:pt idx="28">
                  <c:v>6.5</c:v>
                </c:pt>
                <c:pt idx="29">
                  <c:v>6.5</c:v>
                </c:pt>
                <c:pt idx="30">
                  <c:v>6.5</c:v>
                </c:pt>
                <c:pt idx="31">
                  <c:v>6.5</c:v>
                </c:pt>
                <c:pt idx="32">
                  <c:v>6.5</c:v>
                </c:pt>
                <c:pt idx="33">
                  <c:v>6.5</c:v>
                </c:pt>
                <c:pt idx="34">
                  <c:v>6.5</c:v>
                </c:pt>
                <c:pt idx="35">
                  <c:v>6.5</c:v>
                </c:pt>
                <c:pt idx="36">
                  <c:v>6.5</c:v>
                </c:pt>
                <c:pt idx="37">
                  <c:v>6.5</c:v>
                </c:pt>
                <c:pt idx="38">
                  <c:v>6.5</c:v>
                </c:pt>
                <c:pt idx="39">
                  <c:v>6.5</c:v>
                </c:pt>
                <c:pt idx="40">
                  <c:v>6.5</c:v>
                </c:pt>
                <c:pt idx="41">
                  <c:v>6.5</c:v>
                </c:pt>
                <c:pt idx="42">
                  <c:v>6.5</c:v>
                </c:pt>
                <c:pt idx="43">
                  <c:v>6.5</c:v>
                </c:pt>
                <c:pt idx="44">
                  <c:v>6.5</c:v>
                </c:pt>
                <c:pt idx="45">
                  <c:v>6.5</c:v>
                </c:pt>
                <c:pt idx="46">
                  <c:v>6.5</c:v>
                </c:pt>
                <c:pt idx="47">
                  <c:v>6.5</c:v>
                </c:pt>
                <c:pt idx="48">
                  <c:v>6.5</c:v>
                </c:pt>
                <c:pt idx="49">
                  <c:v>6.5</c:v>
                </c:pt>
                <c:pt idx="50">
                  <c:v>6.5</c:v>
                </c:pt>
                <c:pt idx="51">
                  <c:v>6.5</c:v>
                </c:pt>
                <c:pt idx="52">
                  <c:v>6.5</c:v>
                </c:pt>
                <c:pt idx="53">
                  <c:v>6.5</c:v>
                </c:pt>
                <c:pt idx="54">
                  <c:v>6.5</c:v>
                </c:pt>
                <c:pt idx="55">
                  <c:v>6.5</c:v>
                </c:pt>
                <c:pt idx="56">
                  <c:v>6.5</c:v>
                </c:pt>
                <c:pt idx="57">
                  <c:v>6.5</c:v>
                </c:pt>
                <c:pt idx="58">
                  <c:v>6.5</c:v>
                </c:pt>
                <c:pt idx="59">
                  <c:v>6.5</c:v>
                </c:pt>
                <c:pt idx="60">
                  <c:v>6.5</c:v>
                </c:pt>
                <c:pt idx="61">
                  <c:v>6.5</c:v>
                </c:pt>
                <c:pt idx="62">
                  <c:v>6.5</c:v>
                </c:pt>
                <c:pt idx="63">
                  <c:v>6.5</c:v>
                </c:pt>
                <c:pt idx="64">
                  <c:v>6.5</c:v>
                </c:pt>
                <c:pt idx="65">
                  <c:v>6.5</c:v>
                </c:pt>
                <c:pt idx="66">
                  <c:v>6.5</c:v>
                </c:pt>
                <c:pt idx="67">
                  <c:v>6.5</c:v>
                </c:pt>
                <c:pt idx="68">
                  <c:v>6.5</c:v>
                </c:pt>
                <c:pt idx="69">
                  <c:v>6.5</c:v>
                </c:pt>
                <c:pt idx="70">
                  <c:v>6.5</c:v>
                </c:pt>
                <c:pt idx="71">
                  <c:v>6.5</c:v>
                </c:pt>
                <c:pt idx="72">
                  <c:v>6.5</c:v>
                </c:pt>
              </c:numCache>
            </c:numRef>
          </c:xVal>
          <c:yVal>
            <c:numRef>
              <c:f>'HSP Solvent Blends and Chi'!$CT$3:$CT$75</c:f>
              <c:numCache>
                <c:formatCode>General</c:formatCode>
                <c:ptCount val="73"/>
                <c:pt idx="0">
                  <c:v>16</c:v>
                </c:pt>
                <c:pt idx="1">
                  <c:v>16</c:v>
                </c:pt>
                <c:pt idx="2">
                  <c:v>16</c:v>
                </c:pt>
                <c:pt idx="3">
                  <c:v>16</c:v>
                </c:pt>
                <c:pt idx="4">
                  <c:v>16</c:v>
                </c:pt>
                <c:pt idx="5">
                  <c:v>16</c:v>
                </c:pt>
                <c:pt idx="6">
                  <c:v>16</c:v>
                </c:pt>
                <c:pt idx="7">
                  <c:v>16</c:v>
                </c:pt>
                <c:pt idx="8">
                  <c:v>16</c:v>
                </c:pt>
                <c:pt idx="9">
                  <c:v>16</c:v>
                </c:pt>
                <c:pt idx="10">
                  <c:v>16</c:v>
                </c:pt>
                <c:pt idx="11">
                  <c:v>16</c:v>
                </c:pt>
                <c:pt idx="12">
                  <c:v>16</c:v>
                </c:pt>
                <c:pt idx="13">
                  <c:v>16</c:v>
                </c:pt>
                <c:pt idx="14">
                  <c:v>16</c:v>
                </c:pt>
                <c:pt idx="15">
                  <c:v>16</c:v>
                </c:pt>
                <c:pt idx="16">
                  <c:v>16</c:v>
                </c:pt>
                <c:pt idx="17">
                  <c:v>16</c:v>
                </c:pt>
                <c:pt idx="18">
                  <c:v>16</c:v>
                </c:pt>
                <c:pt idx="19">
                  <c:v>16</c:v>
                </c:pt>
                <c:pt idx="20">
                  <c:v>16</c:v>
                </c:pt>
                <c:pt idx="21">
                  <c:v>16</c:v>
                </c:pt>
                <c:pt idx="22">
                  <c:v>16</c:v>
                </c:pt>
                <c:pt idx="23">
                  <c:v>16</c:v>
                </c:pt>
                <c:pt idx="24">
                  <c:v>16</c:v>
                </c:pt>
                <c:pt idx="25">
                  <c:v>16</c:v>
                </c:pt>
                <c:pt idx="26">
                  <c:v>16</c:v>
                </c:pt>
                <c:pt idx="27">
                  <c:v>16</c:v>
                </c:pt>
                <c:pt idx="28">
                  <c:v>16</c:v>
                </c:pt>
                <c:pt idx="29">
                  <c:v>16</c:v>
                </c:pt>
                <c:pt idx="30">
                  <c:v>16</c:v>
                </c:pt>
                <c:pt idx="31">
                  <c:v>16</c:v>
                </c:pt>
                <c:pt idx="32">
                  <c:v>16</c:v>
                </c:pt>
                <c:pt idx="33">
                  <c:v>16</c:v>
                </c:pt>
                <c:pt idx="34">
                  <c:v>16</c:v>
                </c:pt>
                <c:pt idx="35">
                  <c:v>16</c:v>
                </c:pt>
                <c:pt idx="36">
                  <c:v>16</c:v>
                </c:pt>
                <c:pt idx="37">
                  <c:v>16</c:v>
                </c:pt>
                <c:pt idx="38">
                  <c:v>16</c:v>
                </c:pt>
                <c:pt idx="39">
                  <c:v>16</c:v>
                </c:pt>
                <c:pt idx="40">
                  <c:v>16</c:v>
                </c:pt>
                <c:pt idx="41">
                  <c:v>16</c:v>
                </c:pt>
                <c:pt idx="42">
                  <c:v>16</c:v>
                </c:pt>
                <c:pt idx="43">
                  <c:v>16</c:v>
                </c:pt>
                <c:pt idx="44">
                  <c:v>16</c:v>
                </c:pt>
                <c:pt idx="45">
                  <c:v>16</c:v>
                </c:pt>
                <c:pt idx="46">
                  <c:v>16</c:v>
                </c:pt>
                <c:pt idx="47">
                  <c:v>16</c:v>
                </c:pt>
                <c:pt idx="48">
                  <c:v>16</c:v>
                </c:pt>
                <c:pt idx="49">
                  <c:v>16</c:v>
                </c:pt>
                <c:pt idx="50">
                  <c:v>16</c:v>
                </c:pt>
                <c:pt idx="51">
                  <c:v>16</c:v>
                </c:pt>
                <c:pt idx="52">
                  <c:v>16</c:v>
                </c:pt>
                <c:pt idx="53">
                  <c:v>16</c:v>
                </c:pt>
                <c:pt idx="54">
                  <c:v>16</c:v>
                </c:pt>
                <c:pt idx="55">
                  <c:v>16</c:v>
                </c:pt>
                <c:pt idx="56">
                  <c:v>16</c:v>
                </c:pt>
                <c:pt idx="57">
                  <c:v>16</c:v>
                </c:pt>
                <c:pt idx="58">
                  <c:v>16</c:v>
                </c:pt>
                <c:pt idx="59">
                  <c:v>16</c:v>
                </c:pt>
                <c:pt idx="60">
                  <c:v>16</c:v>
                </c:pt>
                <c:pt idx="61">
                  <c:v>16</c:v>
                </c:pt>
                <c:pt idx="62">
                  <c:v>16</c:v>
                </c:pt>
                <c:pt idx="63">
                  <c:v>16</c:v>
                </c:pt>
                <c:pt idx="64">
                  <c:v>16</c:v>
                </c:pt>
                <c:pt idx="65">
                  <c:v>16</c:v>
                </c:pt>
                <c:pt idx="66">
                  <c:v>16</c:v>
                </c:pt>
                <c:pt idx="67">
                  <c:v>16</c:v>
                </c:pt>
                <c:pt idx="68">
                  <c:v>16</c:v>
                </c:pt>
                <c:pt idx="69">
                  <c:v>16</c:v>
                </c:pt>
                <c:pt idx="70">
                  <c:v>16</c:v>
                </c:pt>
                <c:pt idx="71">
                  <c:v>16</c:v>
                </c:pt>
                <c:pt idx="72">
                  <c:v>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3-DA06-44A1-A7B4-FC84D38BFD7F}"/>
            </c:ext>
          </c:extLst>
        </c:ser>
        <c:ser>
          <c:idx val="7"/>
          <c:order val="7"/>
          <c:tx>
            <c:v>Radius S3</c:v>
          </c:tx>
          <c:spPr>
            <a:ln w="15875" cap="rnd">
              <a:solidFill>
                <a:schemeClr val="accent2">
                  <a:lumMod val="75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'HSP Solvent Blends and Chi'!$CY$3:$CY$75</c:f>
              <c:numCache>
                <c:formatCode>General</c:formatCode>
                <c:ptCount val="73"/>
                <c:pt idx="0">
                  <c:v>4.2</c:v>
                </c:pt>
                <c:pt idx="1">
                  <c:v>4.2</c:v>
                </c:pt>
                <c:pt idx="2">
                  <c:v>4.2</c:v>
                </c:pt>
                <c:pt idx="3">
                  <c:v>4.2</c:v>
                </c:pt>
                <c:pt idx="4">
                  <c:v>4.2</c:v>
                </c:pt>
                <c:pt idx="5">
                  <c:v>4.2</c:v>
                </c:pt>
                <c:pt idx="6">
                  <c:v>4.2</c:v>
                </c:pt>
                <c:pt idx="7">
                  <c:v>4.2</c:v>
                </c:pt>
                <c:pt idx="8">
                  <c:v>4.2</c:v>
                </c:pt>
                <c:pt idx="9">
                  <c:v>4.2</c:v>
                </c:pt>
                <c:pt idx="10">
                  <c:v>4.2</c:v>
                </c:pt>
                <c:pt idx="11">
                  <c:v>4.2</c:v>
                </c:pt>
                <c:pt idx="12">
                  <c:v>4.2</c:v>
                </c:pt>
                <c:pt idx="13">
                  <c:v>4.2</c:v>
                </c:pt>
                <c:pt idx="14">
                  <c:v>4.2</c:v>
                </c:pt>
                <c:pt idx="15">
                  <c:v>4.2</c:v>
                </c:pt>
                <c:pt idx="16">
                  <c:v>4.2</c:v>
                </c:pt>
                <c:pt idx="17">
                  <c:v>4.2</c:v>
                </c:pt>
                <c:pt idx="18">
                  <c:v>4.2</c:v>
                </c:pt>
                <c:pt idx="19">
                  <c:v>4.2</c:v>
                </c:pt>
                <c:pt idx="20">
                  <c:v>4.2</c:v>
                </c:pt>
                <c:pt idx="21">
                  <c:v>4.2</c:v>
                </c:pt>
                <c:pt idx="22">
                  <c:v>4.2</c:v>
                </c:pt>
                <c:pt idx="23">
                  <c:v>4.2</c:v>
                </c:pt>
                <c:pt idx="24">
                  <c:v>4.2</c:v>
                </c:pt>
                <c:pt idx="25">
                  <c:v>4.2</c:v>
                </c:pt>
                <c:pt idx="26">
                  <c:v>4.2</c:v>
                </c:pt>
                <c:pt idx="27">
                  <c:v>4.2</c:v>
                </c:pt>
                <c:pt idx="28">
                  <c:v>4.2</c:v>
                </c:pt>
                <c:pt idx="29">
                  <c:v>4.2</c:v>
                </c:pt>
                <c:pt idx="30">
                  <c:v>4.2</c:v>
                </c:pt>
                <c:pt idx="31">
                  <c:v>4.2</c:v>
                </c:pt>
                <c:pt idx="32">
                  <c:v>4.2</c:v>
                </c:pt>
                <c:pt idx="33">
                  <c:v>4.2</c:v>
                </c:pt>
                <c:pt idx="34">
                  <c:v>4.2</c:v>
                </c:pt>
                <c:pt idx="35">
                  <c:v>4.2</c:v>
                </c:pt>
                <c:pt idx="36">
                  <c:v>4.2</c:v>
                </c:pt>
                <c:pt idx="37">
                  <c:v>4.2</c:v>
                </c:pt>
                <c:pt idx="38">
                  <c:v>4.2</c:v>
                </c:pt>
                <c:pt idx="39">
                  <c:v>4.2</c:v>
                </c:pt>
                <c:pt idx="40">
                  <c:v>4.2</c:v>
                </c:pt>
                <c:pt idx="41">
                  <c:v>4.2</c:v>
                </c:pt>
                <c:pt idx="42">
                  <c:v>4.2</c:v>
                </c:pt>
                <c:pt idx="43">
                  <c:v>4.2</c:v>
                </c:pt>
                <c:pt idx="44">
                  <c:v>4.2</c:v>
                </c:pt>
                <c:pt idx="45">
                  <c:v>4.2</c:v>
                </c:pt>
                <c:pt idx="46">
                  <c:v>4.2</c:v>
                </c:pt>
                <c:pt idx="47">
                  <c:v>4.2</c:v>
                </c:pt>
                <c:pt idx="48">
                  <c:v>4.2</c:v>
                </c:pt>
                <c:pt idx="49">
                  <c:v>4.2</c:v>
                </c:pt>
                <c:pt idx="50">
                  <c:v>4.2</c:v>
                </c:pt>
                <c:pt idx="51">
                  <c:v>4.2</c:v>
                </c:pt>
                <c:pt idx="52">
                  <c:v>4.2</c:v>
                </c:pt>
                <c:pt idx="53">
                  <c:v>4.2</c:v>
                </c:pt>
                <c:pt idx="54">
                  <c:v>4.2</c:v>
                </c:pt>
                <c:pt idx="55">
                  <c:v>4.2</c:v>
                </c:pt>
                <c:pt idx="56">
                  <c:v>4.2</c:v>
                </c:pt>
                <c:pt idx="57">
                  <c:v>4.2</c:v>
                </c:pt>
                <c:pt idx="58">
                  <c:v>4.2</c:v>
                </c:pt>
                <c:pt idx="59">
                  <c:v>4.2</c:v>
                </c:pt>
                <c:pt idx="60">
                  <c:v>4.2</c:v>
                </c:pt>
                <c:pt idx="61">
                  <c:v>4.2</c:v>
                </c:pt>
                <c:pt idx="62">
                  <c:v>4.2</c:v>
                </c:pt>
                <c:pt idx="63">
                  <c:v>4.2</c:v>
                </c:pt>
                <c:pt idx="64">
                  <c:v>4.2</c:v>
                </c:pt>
                <c:pt idx="65">
                  <c:v>4.2</c:v>
                </c:pt>
                <c:pt idx="66">
                  <c:v>4.2</c:v>
                </c:pt>
                <c:pt idx="67">
                  <c:v>4.2</c:v>
                </c:pt>
                <c:pt idx="68">
                  <c:v>4.2</c:v>
                </c:pt>
                <c:pt idx="69">
                  <c:v>4.2</c:v>
                </c:pt>
                <c:pt idx="70">
                  <c:v>4.2</c:v>
                </c:pt>
                <c:pt idx="71">
                  <c:v>4.2</c:v>
                </c:pt>
                <c:pt idx="72">
                  <c:v>4.2</c:v>
                </c:pt>
              </c:numCache>
            </c:numRef>
          </c:xVal>
          <c:yVal>
            <c:numRef>
              <c:f>'HSP Solvent Blends and Chi'!$CX$3:$CX$75</c:f>
              <c:numCache>
                <c:formatCode>General</c:formatCode>
                <c:ptCount val="73"/>
                <c:pt idx="0">
                  <c:v>14.8</c:v>
                </c:pt>
                <c:pt idx="1">
                  <c:v>14.8</c:v>
                </c:pt>
                <c:pt idx="2">
                  <c:v>14.8</c:v>
                </c:pt>
                <c:pt idx="3">
                  <c:v>14.8</c:v>
                </c:pt>
                <c:pt idx="4">
                  <c:v>14.8</c:v>
                </c:pt>
                <c:pt idx="5">
                  <c:v>14.8</c:v>
                </c:pt>
                <c:pt idx="6">
                  <c:v>14.8</c:v>
                </c:pt>
                <c:pt idx="7">
                  <c:v>14.8</c:v>
                </c:pt>
                <c:pt idx="8">
                  <c:v>14.8</c:v>
                </c:pt>
                <c:pt idx="9">
                  <c:v>14.8</c:v>
                </c:pt>
                <c:pt idx="10">
                  <c:v>14.8</c:v>
                </c:pt>
                <c:pt idx="11">
                  <c:v>14.8</c:v>
                </c:pt>
                <c:pt idx="12">
                  <c:v>14.8</c:v>
                </c:pt>
                <c:pt idx="13">
                  <c:v>14.8</c:v>
                </c:pt>
                <c:pt idx="14">
                  <c:v>14.8</c:v>
                </c:pt>
                <c:pt idx="15">
                  <c:v>14.8</c:v>
                </c:pt>
                <c:pt idx="16">
                  <c:v>14.8</c:v>
                </c:pt>
                <c:pt idx="17">
                  <c:v>14.8</c:v>
                </c:pt>
                <c:pt idx="18">
                  <c:v>14.8</c:v>
                </c:pt>
                <c:pt idx="19">
                  <c:v>14.8</c:v>
                </c:pt>
                <c:pt idx="20">
                  <c:v>14.8</c:v>
                </c:pt>
                <c:pt idx="21">
                  <c:v>14.8</c:v>
                </c:pt>
                <c:pt idx="22">
                  <c:v>14.8</c:v>
                </c:pt>
                <c:pt idx="23">
                  <c:v>14.8</c:v>
                </c:pt>
                <c:pt idx="24">
                  <c:v>14.8</c:v>
                </c:pt>
                <c:pt idx="25">
                  <c:v>14.8</c:v>
                </c:pt>
                <c:pt idx="26">
                  <c:v>14.8</c:v>
                </c:pt>
                <c:pt idx="27">
                  <c:v>14.8</c:v>
                </c:pt>
                <c:pt idx="28">
                  <c:v>14.8</c:v>
                </c:pt>
                <c:pt idx="29">
                  <c:v>14.8</c:v>
                </c:pt>
                <c:pt idx="30">
                  <c:v>14.8</c:v>
                </c:pt>
                <c:pt idx="31">
                  <c:v>14.8</c:v>
                </c:pt>
                <c:pt idx="32">
                  <c:v>14.8</c:v>
                </c:pt>
                <c:pt idx="33">
                  <c:v>14.8</c:v>
                </c:pt>
                <c:pt idx="34">
                  <c:v>14.8</c:v>
                </c:pt>
                <c:pt idx="35">
                  <c:v>14.8</c:v>
                </c:pt>
                <c:pt idx="36">
                  <c:v>14.8</c:v>
                </c:pt>
                <c:pt idx="37">
                  <c:v>14.8</c:v>
                </c:pt>
                <c:pt idx="38">
                  <c:v>14.8</c:v>
                </c:pt>
                <c:pt idx="39">
                  <c:v>14.8</c:v>
                </c:pt>
                <c:pt idx="40">
                  <c:v>14.8</c:v>
                </c:pt>
                <c:pt idx="41">
                  <c:v>14.8</c:v>
                </c:pt>
                <c:pt idx="42">
                  <c:v>14.8</c:v>
                </c:pt>
                <c:pt idx="43">
                  <c:v>14.8</c:v>
                </c:pt>
                <c:pt idx="44">
                  <c:v>14.8</c:v>
                </c:pt>
                <c:pt idx="45">
                  <c:v>14.8</c:v>
                </c:pt>
                <c:pt idx="46">
                  <c:v>14.8</c:v>
                </c:pt>
                <c:pt idx="47">
                  <c:v>14.8</c:v>
                </c:pt>
                <c:pt idx="48">
                  <c:v>14.8</c:v>
                </c:pt>
                <c:pt idx="49">
                  <c:v>14.8</c:v>
                </c:pt>
                <c:pt idx="50">
                  <c:v>14.8</c:v>
                </c:pt>
                <c:pt idx="51">
                  <c:v>14.8</c:v>
                </c:pt>
                <c:pt idx="52">
                  <c:v>14.8</c:v>
                </c:pt>
                <c:pt idx="53">
                  <c:v>14.8</c:v>
                </c:pt>
                <c:pt idx="54">
                  <c:v>14.8</c:v>
                </c:pt>
                <c:pt idx="55">
                  <c:v>14.8</c:v>
                </c:pt>
                <c:pt idx="56">
                  <c:v>14.8</c:v>
                </c:pt>
                <c:pt idx="57">
                  <c:v>14.8</c:v>
                </c:pt>
                <c:pt idx="58">
                  <c:v>14.8</c:v>
                </c:pt>
                <c:pt idx="59">
                  <c:v>14.8</c:v>
                </c:pt>
                <c:pt idx="60">
                  <c:v>14.8</c:v>
                </c:pt>
                <c:pt idx="61">
                  <c:v>14.8</c:v>
                </c:pt>
                <c:pt idx="62">
                  <c:v>14.8</c:v>
                </c:pt>
                <c:pt idx="63">
                  <c:v>14.8</c:v>
                </c:pt>
                <c:pt idx="64">
                  <c:v>14.8</c:v>
                </c:pt>
                <c:pt idx="65">
                  <c:v>14.8</c:v>
                </c:pt>
                <c:pt idx="66">
                  <c:v>14.8</c:v>
                </c:pt>
                <c:pt idx="67">
                  <c:v>14.8</c:v>
                </c:pt>
                <c:pt idx="68">
                  <c:v>14.8</c:v>
                </c:pt>
                <c:pt idx="69">
                  <c:v>14.8</c:v>
                </c:pt>
                <c:pt idx="70">
                  <c:v>14.8</c:v>
                </c:pt>
                <c:pt idx="71">
                  <c:v>14.8</c:v>
                </c:pt>
                <c:pt idx="72">
                  <c:v>14.8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4-DA06-44A1-A7B4-FC84D38BFD7F}"/>
            </c:ext>
          </c:extLst>
        </c:ser>
        <c:ser>
          <c:idx val="8"/>
          <c:order val="8"/>
          <c:tx>
            <c:v>Radius S4</c:v>
          </c:tx>
          <c:spPr>
            <a:ln w="15875" cap="rnd">
              <a:solidFill>
                <a:schemeClr val="accent5">
                  <a:lumMod val="75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'HSP Solvent Blends and Chi'!$DC$3:$DC$75</c:f>
              <c:numCache>
                <c:formatCode>General</c:formatCode>
                <c:ptCount val="73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6</c:v>
                </c:pt>
                <c:pt idx="21">
                  <c:v>6</c:v>
                </c:pt>
                <c:pt idx="22">
                  <c:v>6</c:v>
                </c:pt>
                <c:pt idx="23">
                  <c:v>6</c:v>
                </c:pt>
                <c:pt idx="24">
                  <c:v>6</c:v>
                </c:pt>
                <c:pt idx="25">
                  <c:v>6</c:v>
                </c:pt>
                <c:pt idx="26">
                  <c:v>6</c:v>
                </c:pt>
                <c:pt idx="27">
                  <c:v>6</c:v>
                </c:pt>
                <c:pt idx="28">
                  <c:v>6</c:v>
                </c:pt>
                <c:pt idx="29">
                  <c:v>6</c:v>
                </c:pt>
                <c:pt idx="30">
                  <c:v>6</c:v>
                </c:pt>
                <c:pt idx="31">
                  <c:v>6</c:v>
                </c:pt>
                <c:pt idx="32">
                  <c:v>6</c:v>
                </c:pt>
                <c:pt idx="33">
                  <c:v>6</c:v>
                </c:pt>
                <c:pt idx="34">
                  <c:v>6</c:v>
                </c:pt>
                <c:pt idx="35">
                  <c:v>6</c:v>
                </c:pt>
                <c:pt idx="36">
                  <c:v>6</c:v>
                </c:pt>
                <c:pt idx="37">
                  <c:v>6</c:v>
                </c:pt>
                <c:pt idx="38">
                  <c:v>6</c:v>
                </c:pt>
                <c:pt idx="39">
                  <c:v>6</c:v>
                </c:pt>
                <c:pt idx="40">
                  <c:v>6</c:v>
                </c:pt>
                <c:pt idx="41">
                  <c:v>6</c:v>
                </c:pt>
                <c:pt idx="42">
                  <c:v>6</c:v>
                </c:pt>
                <c:pt idx="43">
                  <c:v>6</c:v>
                </c:pt>
                <c:pt idx="44">
                  <c:v>6</c:v>
                </c:pt>
                <c:pt idx="45">
                  <c:v>6</c:v>
                </c:pt>
                <c:pt idx="46">
                  <c:v>6</c:v>
                </c:pt>
                <c:pt idx="47">
                  <c:v>6</c:v>
                </c:pt>
                <c:pt idx="48">
                  <c:v>6</c:v>
                </c:pt>
                <c:pt idx="49">
                  <c:v>6</c:v>
                </c:pt>
                <c:pt idx="50">
                  <c:v>6</c:v>
                </c:pt>
                <c:pt idx="51">
                  <c:v>6</c:v>
                </c:pt>
                <c:pt idx="52">
                  <c:v>6</c:v>
                </c:pt>
                <c:pt idx="53">
                  <c:v>6</c:v>
                </c:pt>
                <c:pt idx="54">
                  <c:v>6</c:v>
                </c:pt>
                <c:pt idx="55">
                  <c:v>6</c:v>
                </c:pt>
                <c:pt idx="56">
                  <c:v>6</c:v>
                </c:pt>
                <c:pt idx="57">
                  <c:v>6</c:v>
                </c:pt>
                <c:pt idx="58">
                  <c:v>6</c:v>
                </c:pt>
                <c:pt idx="59">
                  <c:v>6</c:v>
                </c:pt>
                <c:pt idx="60">
                  <c:v>6</c:v>
                </c:pt>
                <c:pt idx="61">
                  <c:v>6</c:v>
                </c:pt>
                <c:pt idx="62">
                  <c:v>6</c:v>
                </c:pt>
                <c:pt idx="63">
                  <c:v>6</c:v>
                </c:pt>
                <c:pt idx="64">
                  <c:v>6</c:v>
                </c:pt>
                <c:pt idx="65">
                  <c:v>6</c:v>
                </c:pt>
                <c:pt idx="66">
                  <c:v>6</c:v>
                </c:pt>
                <c:pt idx="67">
                  <c:v>6</c:v>
                </c:pt>
                <c:pt idx="68">
                  <c:v>6</c:v>
                </c:pt>
                <c:pt idx="69">
                  <c:v>6</c:v>
                </c:pt>
                <c:pt idx="70">
                  <c:v>6</c:v>
                </c:pt>
                <c:pt idx="71">
                  <c:v>6</c:v>
                </c:pt>
                <c:pt idx="72">
                  <c:v>6</c:v>
                </c:pt>
              </c:numCache>
            </c:numRef>
          </c:xVal>
          <c:yVal>
            <c:numRef>
              <c:f>'HSP Solvent Blends and Chi'!$DB$3:$DB$75</c:f>
              <c:numCache>
                <c:formatCode>General</c:formatCode>
                <c:ptCount val="73"/>
                <c:pt idx="0">
                  <c:v>15.9</c:v>
                </c:pt>
                <c:pt idx="1">
                  <c:v>15.9</c:v>
                </c:pt>
                <c:pt idx="2">
                  <c:v>15.9</c:v>
                </c:pt>
                <c:pt idx="3">
                  <c:v>15.9</c:v>
                </c:pt>
                <c:pt idx="4">
                  <c:v>15.9</c:v>
                </c:pt>
                <c:pt idx="5">
                  <c:v>15.9</c:v>
                </c:pt>
                <c:pt idx="6">
                  <c:v>15.9</c:v>
                </c:pt>
                <c:pt idx="7">
                  <c:v>15.9</c:v>
                </c:pt>
                <c:pt idx="8">
                  <c:v>15.9</c:v>
                </c:pt>
                <c:pt idx="9">
                  <c:v>15.9</c:v>
                </c:pt>
                <c:pt idx="10">
                  <c:v>15.9</c:v>
                </c:pt>
                <c:pt idx="11">
                  <c:v>15.9</c:v>
                </c:pt>
                <c:pt idx="12">
                  <c:v>15.9</c:v>
                </c:pt>
                <c:pt idx="13">
                  <c:v>15.9</c:v>
                </c:pt>
                <c:pt idx="14">
                  <c:v>15.9</c:v>
                </c:pt>
                <c:pt idx="15">
                  <c:v>15.9</c:v>
                </c:pt>
                <c:pt idx="16">
                  <c:v>15.9</c:v>
                </c:pt>
                <c:pt idx="17">
                  <c:v>15.9</c:v>
                </c:pt>
                <c:pt idx="18">
                  <c:v>15.9</c:v>
                </c:pt>
                <c:pt idx="19">
                  <c:v>15.9</c:v>
                </c:pt>
                <c:pt idx="20">
                  <c:v>15.9</c:v>
                </c:pt>
                <c:pt idx="21">
                  <c:v>15.9</c:v>
                </c:pt>
                <c:pt idx="22">
                  <c:v>15.9</c:v>
                </c:pt>
                <c:pt idx="23">
                  <c:v>15.9</c:v>
                </c:pt>
                <c:pt idx="24">
                  <c:v>15.9</c:v>
                </c:pt>
                <c:pt idx="25">
                  <c:v>15.9</c:v>
                </c:pt>
                <c:pt idx="26">
                  <c:v>15.9</c:v>
                </c:pt>
                <c:pt idx="27">
                  <c:v>15.9</c:v>
                </c:pt>
                <c:pt idx="28">
                  <c:v>15.9</c:v>
                </c:pt>
                <c:pt idx="29">
                  <c:v>15.9</c:v>
                </c:pt>
                <c:pt idx="30">
                  <c:v>15.9</c:v>
                </c:pt>
                <c:pt idx="31">
                  <c:v>15.9</c:v>
                </c:pt>
                <c:pt idx="32">
                  <c:v>15.9</c:v>
                </c:pt>
                <c:pt idx="33">
                  <c:v>15.9</c:v>
                </c:pt>
                <c:pt idx="34">
                  <c:v>15.9</c:v>
                </c:pt>
                <c:pt idx="35">
                  <c:v>15.9</c:v>
                </c:pt>
                <c:pt idx="36">
                  <c:v>15.9</c:v>
                </c:pt>
                <c:pt idx="37">
                  <c:v>15.9</c:v>
                </c:pt>
                <c:pt idx="38">
                  <c:v>15.9</c:v>
                </c:pt>
                <c:pt idx="39">
                  <c:v>15.9</c:v>
                </c:pt>
                <c:pt idx="40">
                  <c:v>15.9</c:v>
                </c:pt>
                <c:pt idx="41">
                  <c:v>15.9</c:v>
                </c:pt>
                <c:pt idx="42">
                  <c:v>15.9</c:v>
                </c:pt>
                <c:pt idx="43">
                  <c:v>15.9</c:v>
                </c:pt>
                <c:pt idx="44">
                  <c:v>15.9</c:v>
                </c:pt>
                <c:pt idx="45">
                  <c:v>15.9</c:v>
                </c:pt>
                <c:pt idx="46">
                  <c:v>15.9</c:v>
                </c:pt>
                <c:pt idx="47">
                  <c:v>15.9</c:v>
                </c:pt>
                <c:pt idx="48">
                  <c:v>15.9</c:v>
                </c:pt>
                <c:pt idx="49">
                  <c:v>15.9</c:v>
                </c:pt>
                <c:pt idx="50">
                  <c:v>15.9</c:v>
                </c:pt>
                <c:pt idx="51">
                  <c:v>15.9</c:v>
                </c:pt>
                <c:pt idx="52">
                  <c:v>15.9</c:v>
                </c:pt>
                <c:pt idx="53">
                  <c:v>15.9</c:v>
                </c:pt>
                <c:pt idx="54">
                  <c:v>15.9</c:v>
                </c:pt>
                <c:pt idx="55">
                  <c:v>15.9</c:v>
                </c:pt>
                <c:pt idx="56">
                  <c:v>15.9</c:v>
                </c:pt>
                <c:pt idx="57">
                  <c:v>15.9</c:v>
                </c:pt>
                <c:pt idx="58">
                  <c:v>15.9</c:v>
                </c:pt>
                <c:pt idx="59">
                  <c:v>15.9</c:v>
                </c:pt>
                <c:pt idx="60">
                  <c:v>15.9</c:v>
                </c:pt>
                <c:pt idx="61">
                  <c:v>15.9</c:v>
                </c:pt>
                <c:pt idx="62">
                  <c:v>15.9</c:v>
                </c:pt>
                <c:pt idx="63">
                  <c:v>15.9</c:v>
                </c:pt>
                <c:pt idx="64">
                  <c:v>15.9</c:v>
                </c:pt>
                <c:pt idx="65">
                  <c:v>15.9</c:v>
                </c:pt>
                <c:pt idx="66">
                  <c:v>15.9</c:v>
                </c:pt>
                <c:pt idx="67">
                  <c:v>15.9</c:v>
                </c:pt>
                <c:pt idx="68">
                  <c:v>15.9</c:v>
                </c:pt>
                <c:pt idx="69">
                  <c:v>15.9</c:v>
                </c:pt>
                <c:pt idx="70">
                  <c:v>15.9</c:v>
                </c:pt>
                <c:pt idx="71">
                  <c:v>15.9</c:v>
                </c:pt>
                <c:pt idx="72">
                  <c:v>15.9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5-DA06-44A1-A7B4-FC84D38BFD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8874704"/>
        <c:axId val="308875096"/>
      </c:scatterChart>
      <c:valAx>
        <c:axId val="3088747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b="1"/>
                  <a:t>dP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8875096"/>
        <c:crosses val="autoZero"/>
        <c:crossBetween val="midCat"/>
      </c:valAx>
      <c:valAx>
        <c:axId val="308875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b="1"/>
                  <a:t>dD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88747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041616479634886"/>
          <c:y val="5.0925925925925923E-2"/>
          <c:w val="0.86325062762316251"/>
          <c:h val="0.84790867357742772"/>
        </c:manualLayout>
      </c:layout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0.12101827236782016"/>
                  <c:y val="-5.7124958877958029E-2"/>
                </c:manualLayout>
              </c:layout>
              <c:tx>
                <c:rich>
                  <a:bodyPr/>
                  <a:lstStyle/>
                  <a:p>
                    <a:fld id="{2CDAB60A-C6A9-4E86-9D51-651968B699F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863A-4B83-A868-3F75644F2EA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7927C6E9-DE63-422C-B854-853C7189F30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F0C5-4E85-8049-D236B2EBEE45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DFA24620-54AD-44DD-A1C9-477A2FE6F13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F0C5-4E85-8049-D236B2EBEE45}"/>
                </c:ext>
              </c:extLst>
            </c:dLbl>
            <c:dLbl>
              <c:idx val="3"/>
              <c:layout>
                <c:manualLayout>
                  <c:x val="1.3853812569036948E-2"/>
                  <c:y val="0.12785546010889501"/>
                </c:manualLayout>
              </c:layout>
              <c:tx>
                <c:rich>
                  <a:bodyPr/>
                  <a:lstStyle/>
                  <a:p>
                    <a:fld id="{2F62802D-E72E-4A11-B3B2-16807AD05C9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863A-4B83-A868-3F75644F2EA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054502D8-D43E-4C9E-BC88-89B1D8F0C48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F0C5-4E85-8049-D236B2EBEE45}"/>
                </c:ext>
              </c:extLst>
            </c:dLbl>
            <c:dLbl>
              <c:idx val="5"/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7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24D85297-9FB2-42F1-8972-DAC17D13AA9A}" type="CELLRANGE">
                      <a:rPr lang="en-US"/>
                      <a:pPr>
                        <a:defRPr sz="7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863A-4B83-A868-3F75644F2EA0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94C16950-DA11-4FA5-8784-D4CB9CB42D2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863A-4B83-A868-3F75644F2EA0}"/>
                </c:ext>
              </c:extLst>
            </c:dLbl>
            <c:dLbl>
              <c:idx val="7"/>
              <c:layout>
                <c:manualLayout>
                  <c:x val="-0.13201901243996317"/>
                  <c:y val="-6.8984305443188856E-2"/>
                </c:manualLayout>
              </c:layout>
              <c:tx>
                <c:rich>
                  <a:bodyPr/>
                  <a:lstStyle/>
                  <a:p>
                    <a:fld id="{8F591728-1760-43F8-83AC-95333A09083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3802777777777778"/>
                      <c:h val="0.10430555555555554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863A-4B83-A868-3F75644F2EA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'HSP Solvent Blends and Chi'!$C$10:$C$17</c:f>
              <c:numCache>
                <c:formatCode>0.0</c:formatCode>
                <c:ptCount val="8"/>
                <c:pt idx="0">
                  <c:v>15.2</c:v>
                </c:pt>
                <c:pt idx="1">
                  <c:v>16</c:v>
                </c:pt>
                <c:pt idx="2">
                  <c:v>15.6</c:v>
                </c:pt>
                <c:pt idx="3">
                  <c:v>16.3</c:v>
                </c:pt>
                <c:pt idx="4">
                  <c:v>16</c:v>
                </c:pt>
                <c:pt idx="5">
                  <c:v>15.9</c:v>
                </c:pt>
                <c:pt idx="6">
                  <c:v>14.8</c:v>
                </c:pt>
                <c:pt idx="7">
                  <c:v>15.9</c:v>
                </c:pt>
              </c:numCache>
            </c:numRef>
          </c:xVal>
          <c:yVal>
            <c:numRef>
              <c:f>'HSP Solvent Blends and Chi'!$E$10:$E$17</c:f>
              <c:numCache>
                <c:formatCode>0.0</c:formatCode>
                <c:ptCount val="8"/>
                <c:pt idx="0">
                  <c:v>5.0999999999999996</c:v>
                </c:pt>
                <c:pt idx="1">
                  <c:v>5.4</c:v>
                </c:pt>
                <c:pt idx="2">
                  <c:v>6.9</c:v>
                </c:pt>
                <c:pt idx="3">
                  <c:v>13.8</c:v>
                </c:pt>
                <c:pt idx="4">
                  <c:v>2.4</c:v>
                </c:pt>
                <c:pt idx="5">
                  <c:v>9</c:v>
                </c:pt>
                <c:pt idx="6">
                  <c:v>5.8</c:v>
                </c:pt>
                <c:pt idx="7">
                  <c:v>6.6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'HSP Solvent Blends and Chi'!$B$10:$B$17</c15:f>
                <c15:dlblRangeCache>
                  <c:ptCount val="8"/>
                  <c:pt idx="0">
                    <c:v>Vinyl Butyl Ether</c:v>
                  </c:pt>
                  <c:pt idx="1">
                    <c:v>Vinyl Butyl Sulfide</c:v>
                  </c:pt>
                  <c:pt idx="2">
                    <c:v>Vinyl Butyrate</c:v>
                  </c:pt>
                  <c:pt idx="3">
                    <c:v>Vinyl Carbitol</c:v>
                  </c:pt>
                  <c:pt idx="4">
                    <c:v>Vinyl Chloride</c:v>
                  </c:pt>
                  <c:pt idx="5">
                    <c:v>Vinyl Crotonate</c:v>
                  </c:pt>
                  <c:pt idx="6">
                    <c:v>Vinyl Ether</c:v>
                  </c:pt>
                  <c:pt idx="7">
                    <c:v>Vinyl Ethyl Carbitol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9-863A-4B83-A868-3F75644F2EA0}"/>
            </c:ext>
          </c:extLst>
        </c:ser>
        <c:ser>
          <c:idx val="1"/>
          <c:order val="1"/>
          <c:tx>
            <c:v>Reference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0">
                <a:solidFill>
                  <a:srgbClr val="00B050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2.8696468457944818E-3"/>
                  <c:y val="-1.3063335160325228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7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2E7-45DC-A1D6-64D43E6B8B9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'HSP Solvent Blends and Chi'!$C$3</c:f>
              <c:numCache>
                <c:formatCode>General</c:formatCode>
                <c:ptCount val="1"/>
                <c:pt idx="0">
                  <c:v>15.4</c:v>
                </c:pt>
              </c:numCache>
            </c:numRef>
          </c:xVal>
          <c:yVal>
            <c:numRef>
              <c:f>'HSP Solvent Blends and Chi'!$E$3</c:f>
              <c:numCache>
                <c:formatCode>General</c:formatCode>
                <c:ptCount val="1"/>
                <c:pt idx="0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863A-4B83-A868-3F75644F2EA0}"/>
            </c:ext>
          </c:extLst>
        </c:ser>
        <c:ser>
          <c:idx val="2"/>
          <c:order val="2"/>
          <c:tx>
            <c:v>Circle</c:v>
          </c:tx>
          <c:spPr>
            <a:ln w="15875" cap="rnd">
              <a:solidFill>
                <a:srgbClr val="00B050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'HSP Solvent Blends and Chi'!$CO$3:$CO$75</c:f>
              <c:numCache>
                <c:formatCode>General</c:formatCode>
                <c:ptCount val="73"/>
                <c:pt idx="0">
                  <c:v>15.4</c:v>
                </c:pt>
                <c:pt idx="1">
                  <c:v>15.4</c:v>
                </c:pt>
                <c:pt idx="2">
                  <c:v>15.4</c:v>
                </c:pt>
                <c:pt idx="3">
                  <c:v>15.4</c:v>
                </c:pt>
                <c:pt idx="4">
                  <c:v>15.4</c:v>
                </c:pt>
                <c:pt idx="5">
                  <c:v>15.4</c:v>
                </c:pt>
                <c:pt idx="6">
                  <c:v>15.4</c:v>
                </c:pt>
                <c:pt idx="7">
                  <c:v>15.4</c:v>
                </c:pt>
                <c:pt idx="8">
                  <c:v>15.4</c:v>
                </c:pt>
                <c:pt idx="9">
                  <c:v>15.4</c:v>
                </c:pt>
                <c:pt idx="10">
                  <c:v>15.4</c:v>
                </c:pt>
                <c:pt idx="11">
                  <c:v>15.4</c:v>
                </c:pt>
                <c:pt idx="12">
                  <c:v>15.4</c:v>
                </c:pt>
                <c:pt idx="13">
                  <c:v>15.4</c:v>
                </c:pt>
                <c:pt idx="14">
                  <c:v>15.4</c:v>
                </c:pt>
                <c:pt idx="15">
                  <c:v>15.4</c:v>
                </c:pt>
                <c:pt idx="16">
                  <c:v>15.4</c:v>
                </c:pt>
                <c:pt idx="17">
                  <c:v>15.4</c:v>
                </c:pt>
                <c:pt idx="18">
                  <c:v>15.4</c:v>
                </c:pt>
                <c:pt idx="19">
                  <c:v>15.4</c:v>
                </c:pt>
                <c:pt idx="20">
                  <c:v>15.4</c:v>
                </c:pt>
                <c:pt idx="21">
                  <c:v>15.4</c:v>
                </c:pt>
                <c:pt idx="22">
                  <c:v>15.4</c:v>
                </c:pt>
                <c:pt idx="23">
                  <c:v>15.4</c:v>
                </c:pt>
                <c:pt idx="24">
                  <c:v>15.4</c:v>
                </c:pt>
                <c:pt idx="25">
                  <c:v>15.4</c:v>
                </c:pt>
                <c:pt idx="26">
                  <c:v>15.4</c:v>
                </c:pt>
                <c:pt idx="27">
                  <c:v>15.4</c:v>
                </c:pt>
                <c:pt idx="28">
                  <c:v>15.4</c:v>
                </c:pt>
                <c:pt idx="29">
                  <c:v>15.4</c:v>
                </c:pt>
                <c:pt idx="30">
                  <c:v>15.4</c:v>
                </c:pt>
                <c:pt idx="31">
                  <c:v>15.4</c:v>
                </c:pt>
                <c:pt idx="32">
                  <c:v>15.4</c:v>
                </c:pt>
                <c:pt idx="33">
                  <c:v>15.4</c:v>
                </c:pt>
                <c:pt idx="34">
                  <c:v>15.4</c:v>
                </c:pt>
                <c:pt idx="35">
                  <c:v>15.4</c:v>
                </c:pt>
                <c:pt idx="36">
                  <c:v>15.4</c:v>
                </c:pt>
                <c:pt idx="37">
                  <c:v>15.4</c:v>
                </c:pt>
                <c:pt idx="38">
                  <c:v>15.4</c:v>
                </c:pt>
                <c:pt idx="39">
                  <c:v>15.4</c:v>
                </c:pt>
                <c:pt idx="40">
                  <c:v>15.4</c:v>
                </c:pt>
                <c:pt idx="41">
                  <c:v>15.4</c:v>
                </c:pt>
                <c:pt idx="42">
                  <c:v>15.4</c:v>
                </c:pt>
                <c:pt idx="43">
                  <c:v>15.4</c:v>
                </c:pt>
                <c:pt idx="44">
                  <c:v>15.4</c:v>
                </c:pt>
                <c:pt idx="45">
                  <c:v>15.4</c:v>
                </c:pt>
                <c:pt idx="46">
                  <c:v>15.4</c:v>
                </c:pt>
                <c:pt idx="47">
                  <c:v>15.4</c:v>
                </c:pt>
                <c:pt idx="48">
                  <c:v>15.4</c:v>
                </c:pt>
                <c:pt idx="49">
                  <c:v>15.4</c:v>
                </c:pt>
                <c:pt idx="50">
                  <c:v>15.4</c:v>
                </c:pt>
                <c:pt idx="51">
                  <c:v>15.4</c:v>
                </c:pt>
                <c:pt idx="52">
                  <c:v>15.4</c:v>
                </c:pt>
                <c:pt idx="53">
                  <c:v>15.4</c:v>
                </c:pt>
                <c:pt idx="54">
                  <c:v>15.4</c:v>
                </c:pt>
                <c:pt idx="55">
                  <c:v>15.4</c:v>
                </c:pt>
                <c:pt idx="56">
                  <c:v>15.4</c:v>
                </c:pt>
                <c:pt idx="57">
                  <c:v>15.4</c:v>
                </c:pt>
                <c:pt idx="58">
                  <c:v>15.4</c:v>
                </c:pt>
                <c:pt idx="59">
                  <c:v>15.4</c:v>
                </c:pt>
                <c:pt idx="60">
                  <c:v>15.4</c:v>
                </c:pt>
                <c:pt idx="61">
                  <c:v>15.4</c:v>
                </c:pt>
                <c:pt idx="62">
                  <c:v>15.4</c:v>
                </c:pt>
                <c:pt idx="63">
                  <c:v>15.4</c:v>
                </c:pt>
                <c:pt idx="64">
                  <c:v>15.4</c:v>
                </c:pt>
                <c:pt idx="65">
                  <c:v>15.4</c:v>
                </c:pt>
                <c:pt idx="66">
                  <c:v>15.4</c:v>
                </c:pt>
                <c:pt idx="67">
                  <c:v>15.4</c:v>
                </c:pt>
                <c:pt idx="68">
                  <c:v>15.4</c:v>
                </c:pt>
                <c:pt idx="69">
                  <c:v>15.4</c:v>
                </c:pt>
                <c:pt idx="70">
                  <c:v>15.4</c:v>
                </c:pt>
                <c:pt idx="71">
                  <c:v>15.4</c:v>
                </c:pt>
                <c:pt idx="72">
                  <c:v>15.4</c:v>
                </c:pt>
              </c:numCache>
            </c:numRef>
          </c:xVal>
          <c:yVal>
            <c:numRef>
              <c:f>'HSP Solvent Blends and Chi'!$CN$3:$CN$75</c:f>
              <c:numCache>
                <c:formatCode>General</c:formatCode>
                <c:ptCount val="73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8</c:v>
                </c:pt>
                <c:pt idx="7">
                  <c:v>8</c:v>
                </c:pt>
                <c:pt idx="8">
                  <c:v>8</c:v>
                </c:pt>
                <c:pt idx="9">
                  <c:v>8</c:v>
                </c:pt>
                <c:pt idx="10">
                  <c:v>8</c:v>
                </c:pt>
                <c:pt idx="11">
                  <c:v>8</c:v>
                </c:pt>
                <c:pt idx="12">
                  <c:v>8</c:v>
                </c:pt>
                <c:pt idx="13">
                  <c:v>8</c:v>
                </c:pt>
                <c:pt idx="14">
                  <c:v>8</c:v>
                </c:pt>
                <c:pt idx="15">
                  <c:v>8</c:v>
                </c:pt>
                <c:pt idx="16">
                  <c:v>8</c:v>
                </c:pt>
                <c:pt idx="17">
                  <c:v>8</c:v>
                </c:pt>
                <c:pt idx="18">
                  <c:v>8</c:v>
                </c:pt>
                <c:pt idx="19">
                  <c:v>8</c:v>
                </c:pt>
                <c:pt idx="20">
                  <c:v>8</c:v>
                </c:pt>
                <c:pt idx="21">
                  <c:v>8</c:v>
                </c:pt>
                <c:pt idx="22">
                  <c:v>8</c:v>
                </c:pt>
                <c:pt idx="23">
                  <c:v>8</c:v>
                </c:pt>
                <c:pt idx="24">
                  <c:v>8</c:v>
                </c:pt>
                <c:pt idx="25">
                  <c:v>8</c:v>
                </c:pt>
                <c:pt idx="26">
                  <c:v>8</c:v>
                </c:pt>
                <c:pt idx="27">
                  <c:v>8</c:v>
                </c:pt>
                <c:pt idx="28">
                  <c:v>8</c:v>
                </c:pt>
                <c:pt idx="29">
                  <c:v>8</c:v>
                </c:pt>
                <c:pt idx="30">
                  <c:v>8</c:v>
                </c:pt>
                <c:pt idx="31">
                  <c:v>8</c:v>
                </c:pt>
                <c:pt idx="32">
                  <c:v>8</c:v>
                </c:pt>
                <c:pt idx="33">
                  <c:v>8</c:v>
                </c:pt>
                <c:pt idx="34">
                  <c:v>8</c:v>
                </c:pt>
                <c:pt idx="35">
                  <c:v>8</c:v>
                </c:pt>
                <c:pt idx="36">
                  <c:v>8</c:v>
                </c:pt>
                <c:pt idx="37">
                  <c:v>8</c:v>
                </c:pt>
                <c:pt idx="38">
                  <c:v>8</c:v>
                </c:pt>
                <c:pt idx="39">
                  <c:v>8</c:v>
                </c:pt>
                <c:pt idx="40">
                  <c:v>8</c:v>
                </c:pt>
                <c:pt idx="41">
                  <c:v>8</c:v>
                </c:pt>
                <c:pt idx="42">
                  <c:v>8</c:v>
                </c:pt>
                <c:pt idx="43">
                  <c:v>8</c:v>
                </c:pt>
                <c:pt idx="44">
                  <c:v>8</c:v>
                </c:pt>
                <c:pt idx="45">
                  <c:v>8</c:v>
                </c:pt>
                <c:pt idx="46">
                  <c:v>8</c:v>
                </c:pt>
                <c:pt idx="47">
                  <c:v>8</c:v>
                </c:pt>
                <c:pt idx="48">
                  <c:v>8</c:v>
                </c:pt>
                <c:pt idx="49">
                  <c:v>8</c:v>
                </c:pt>
                <c:pt idx="50">
                  <c:v>8</c:v>
                </c:pt>
                <c:pt idx="51">
                  <c:v>8</c:v>
                </c:pt>
                <c:pt idx="52">
                  <c:v>8</c:v>
                </c:pt>
                <c:pt idx="53">
                  <c:v>8</c:v>
                </c:pt>
                <c:pt idx="54">
                  <c:v>8</c:v>
                </c:pt>
                <c:pt idx="55">
                  <c:v>8</c:v>
                </c:pt>
                <c:pt idx="56">
                  <c:v>8</c:v>
                </c:pt>
                <c:pt idx="57">
                  <c:v>8</c:v>
                </c:pt>
                <c:pt idx="58">
                  <c:v>8</c:v>
                </c:pt>
                <c:pt idx="59">
                  <c:v>8</c:v>
                </c:pt>
                <c:pt idx="60">
                  <c:v>8</c:v>
                </c:pt>
                <c:pt idx="61">
                  <c:v>8</c:v>
                </c:pt>
                <c:pt idx="62">
                  <c:v>8</c:v>
                </c:pt>
                <c:pt idx="63">
                  <c:v>8</c:v>
                </c:pt>
                <c:pt idx="64">
                  <c:v>8</c:v>
                </c:pt>
                <c:pt idx="65">
                  <c:v>8</c:v>
                </c:pt>
                <c:pt idx="66">
                  <c:v>8</c:v>
                </c:pt>
                <c:pt idx="67">
                  <c:v>8</c:v>
                </c:pt>
                <c:pt idx="68">
                  <c:v>8</c:v>
                </c:pt>
                <c:pt idx="69">
                  <c:v>8</c:v>
                </c:pt>
                <c:pt idx="70">
                  <c:v>8</c:v>
                </c:pt>
                <c:pt idx="71">
                  <c:v>8</c:v>
                </c:pt>
                <c:pt idx="72">
                  <c:v>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863A-4B83-A868-3F75644F2EA0}"/>
            </c:ext>
          </c:extLst>
        </c:ser>
        <c:ser>
          <c:idx val="3"/>
          <c:order val="3"/>
          <c:tx>
            <c:v>Blend (2 Comp)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0.21437950463359737"/>
                  <c:y val="-3.7403755278126373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7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1060294961131515"/>
                      <c:h val="6.347417270698045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92E7-45DC-A1D6-64D43E6B8B9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'HSP Solvent Blends and Chi'!$BK$13</c:f>
              <c:numCache>
                <c:formatCode>General</c:formatCode>
                <c:ptCount val="1"/>
                <c:pt idx="0">
                  <c:v>16</c:v>
                </c:pt>
              </c:numCache>
            </c:numRef>
          </c:xVal>
          <c:yVal>
            <c:numRef>
              <c:f>'HSP Solvent Blends and Chi'!$BM$13</c:f>
              <c:numCache>
                <c:formatCode>General</c:formatCode>
                <c:ptCount val="1"/>
                <c:pt idx="0">
                  <c:v>5.4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58A-42A1-9413-759821AA774C}"/>
            </c:ext>
          </c:extLst>
        </c:ser>
        <c:ser>
          <c:idx val="4"/>
          <c:order val="4"/>
          <c:tx>
            <c:v>Blend (&gt;2 Comp)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0.12116258895542545"/>
                  <c:y val="7.8604286234740667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7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1861054838932753"/>
                      <c:h val="5.5993421651355173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92E7-45DC-A1D6-64D43E6B8B9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'HSP Solvent Blends and Chi'!$T$30</c:f>
              <c:numCache>
                <c:formatCode>0.00</c:formatCode>
                <c:ptCount val="1"/>
                <c:pt idx="0">
                  <c:v>15.627509481688689</c:v>
                </c:pt>
              </c:numCache>
            </c:numRef>
          </c:xVal>
          <c:yVal>
            <c:numRef>
              <c:f>'HSP Solvent Blends and Chi'!$V$30</c:f>
              <c:numCache>
                <c:formatCode>0.00</c:formatCode>
                <c:ptCount val="1"/>
                <c:pt idx="0">
                  <c:v>6.4018250307429785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392-4EEC-B426-CA7EAC3B4719}"/>
            </c:ext>
          </c:extLst>
        </c:ser>
        <c:ser>
          <c:idx val="5"/>
          <c:order val="5"/>
          <c:tx>
            <c:v>Radius S1</c:v>
          </c:tx>
          <c:spPr>
            <a:ln w="15875" cap="rnd">
              <a:solidFill>
                <a:schemeClr val="accent6">
                  <a:lumMod val="75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'HSP Solvent Blends and Chi'!$CS$3:$CS$75</c:f>
              <c:numCache>
                <c:formatCode>General</c:formatCode>
                <c:ptCount val="73"/>
                <c:pt idx="0">
                  <c:v>16</c:v>
                </c:pt>
                <c:pt idx="1">
                  <c:v>16</c:v>
                </c:pt>
                <c:pt idx="2">
                  <c:v>16</c:v>
                </c:pt>
                <c:pt idx="3">
                  <c:v>16</c:v>
                </c:pt>
                <c:pt idx="4">
                  <c:v>16</c:v>
                </c:pt>
                <c:pt idx="5">
                  <c:v>16</c:v>
                </c:pt>
                <c:pt idx="6">
                  <c:v>16</c:v>
                </c:pt>
                <c:pt idx="7">
                  <c:v>16</c:v>
                </c:pt>
                <c:pt idx="8">
                  <c:v>16</c:v>
                </c:pt>
                <c:pt idx="9">
                  <c:v>16</c:v>
                </c:pt>
                <c:pt idx="10">
                  <c:v>16</c:v>
                </c:pt>
                <c:pt idx="11">
                  <c:v>16</c:v>
                </c:pt>
                <c:pt idx="12">
                  <c:v>16</c:v>
                </c:pt>
                <c:pt idx="13">
                  <c:v>16</c:v>
                </c:pt>
                <c:pt idx="14">
                  <c:v>16</c:v>
                </c:pt>
                <c:pt idx="15">
                  <c:v>16</c:v>
                </c:pt>
                <c:pt idx="16">
                  <c:v>16</c:v>
                </c:pt>
                <c:pt idx="17">
                  <c:v>16</c:v>
                </c:pt>
                <c:pt idx="18">
                  <c:v>16</c:v>
                </c:pt>
                <c:pt idx="19">
                  <c:v>16</c:v>
                </c:pt>
                <c:pt idx="20">
                  <c:v>16</c:v>
                </c:pt>
                <c:pt idx="21">
                  <c:v>16</c:v>
                </c:pt>
                <c:pt idx="22">
                  <c:v>16</c:v>
                </c:pt>
                <c:pt idx="23">
                  <c:v>16</c:v>
                </c:pt>
                <c:pt idx="24">
                  <c:v>16</c:v>
                </c:pt>
                <c:pt idx="25">
                  <c:v>16</c:v>
                </c:pt>
                <c:pt idx="26">
                  <c:v>16</c:v>
                </c:pt>
                <c:pt idx="27">
                  <c:v>16</c:v>
                </c:pt>
                <c:pt idx="28">
                  <c:v>16</c:v>
                </c:pt>
                <c:pt idx="29">
                  <c:v>16</c:v>
                </c:pt>
                <c:pt idx="30">
                  <c:v>16</c:v>
                </c:pt>
                <c:pt idx="31">
                  <c:v>16</c:v>
                </c:pt>
                <c:pt idx="32">
                  <c:v>16</c:v>
                </c:pt>
                <c:pt idx="33">
                  <c:v>16</c:v>
                </c:pt>
                <c:pt idx="34">
                  <c:v>16</c:v>
                </c:pt>
                <c:pt idx="35">
                  <c:v>16</c:v>
                </c:pt>
                <c:pt idx="36">
                  <c:v>16</c:v>
                </c:pt>
                <c:pt idx="37">
                  <c:v>16</c:v>
                </c:pt>
                <c:pt idx="38">
                  <c:v>16</c:v>
                </c:pt>
                <c:pt idx="39">
                  <c:v>16</c:v>
                </c:pt>
                <c:pt idx="40">
                  <c:v>16</c:v>
                </c:pt>
                <c:pt idx="41">
                  <c:v>16</c:v>
                </c:pt>
                <c:pt idx="42">
                  <c:v>16</c:v>
                </c:pt>
                <c:pt idx="43">
                  <c:v>16</c:v>
                </c:pt>
                <c:pt idx="44">
                  <c:v>16</c:v>
                </c:pt>
                <c:pt idx="45">
                  <c:v>16</c:v>
                </c:pt>
                <c:pt idx="46">
                  <c:v>16</c:v>
                </c:pt>
                <c:pt idx="47">
                  <c:v>16</c:v>
                </c:pt>
                <c:pt idx="48">
                  <c:v>16</c:v>
                </c:pt>
                <c:pt idx="49">
                  <c:v>16</c:v>
                </c:pt>
                <c:pt idx="50">
                  <c:v>16</c:v>
                </c:pt>
                <c:pt idx="51">
                  <c:v>16</c:v>
                </c:pt>
                <c:pt idx="52">
                  <c:v>16</c:v>
                </c:pt>
                <c:pt idx="53">
                  <c:v>16</c:v>
                </c:pt>
                <c:pt idx="54">
                  <c:v>16</c:v>
                </c:pt>
                <c:pt idx="55">
                  <c:v>16</c:v>
                </c:pt>
                <c:pt idx="56">
                  <c:v>16</c:v>
                </c:pt>
                <c:pt idx="57">
                  <c:v>16</c:v>
                </c:pt>
                <c:pt idx="58">
                  <c:v>16</c:v>
                </c:pt>
                <c:pt idx="59">
                  <c:v>16</c:v>
                </c:pt>
                <c:pt idx="60">
                  <c:v>16</c:v>
                </c:pt>
                <c:pt idx="61">
                  <c:v>16</c:v>
                </c:pt>
                <c:pt idx="62">
                  <c:v>16</c:v>
                </c:pt>
                <c:pt idx="63">
                  <c:v>16</c:v>
                </c:pt>
                <c:pt idx="64">
                  <c:v>16</c:v>
                </c:pt>
                <c:pt idx="65">
                  <c:v>16</c:v>
                </c:pt>
                <c:pt idx="66">
                  <c:v>16</c:v>
                </c:pt>
                <c:pt idx="67">
                  <c:v>16</c:v>
                </c:pt>
                <c:pt idx="68">
                  <c:v>16</c:v>
                </c:pt>
                <c:pt idx="69">
                  <c:v>16</c:v>
                </c:pt>
                <c:pt idx="70">
                  <c:v>16</c:v>
                </c:pt>
                <c:pt idx="71">
                  <c:v>16</c:v>
                </c:pt>
                <c:pt idx="72">
                  <c:v>16</c:v>
                </c:pt>
              </c:numCache>
            </c:numRef>
          </c:xVal>
          <c:yVal>
            <c:numRef>
              <c:f>'HSP Solvent Blends and Chi'!$CR$3:$CR$75</c:f>
              <c:numCache>
                <c:formatCode>General</c:formatCode>
                <c:ptCount val="73"/>
                <c:pt idx="0">
                  <c:v>5.4</c:v>
                </c:pt>
                <c:pt idx="1">
                  <c:v>5.4</c:v>
                </c:pt>
                <c:pt idx="2">
                  <c:v>5.4</c:v>
                </c:pt>
                <c:pt idx="3">
                  <c:v>5.4</c:v>
                </c:pt>
                <c:pt idx="4">
                  <c:v>5.4</c:v>
                </c:pt>
                <c:pt idx="5">
                  <c:v>5.4</c:v>
                </c:pt>
                <c:pt idx="6">
                  <c:v>5.4</c:v>
                </c:pt>
                <c:pt idx="7">
                  <c:v>5.4</c:v>
                </c:pt>
                <c:pt idx="8">
                  <c:v>5.4</c:v>
                </c:pt>
                <c:pt idx="9">
                  <c:v>5.4</c:v>
                </c:pt>
                <c:pt idx="10">
                  <c:v>5.4</c:v>
                </c:pt>
                <c:pt idx="11">
                  <c:v>5.4</c:v>
                </c:pt>
                <c:pt idx="12">
                  <c:v>5.4</c:v>
                </c:pt>
                <c:pt idx="13">
                  <c:v>5.4</c:v>
                </c:pt>
                <c:pt idx="14">
                  <c:v>5.4</c:v>
                </c:pt>
                <c:pt idx="15">
                  <c:v>5.4</c:v>
                </c:pt>
                <c:pt idx="16">
                  <c:v>5.4</c:v>
                </c:pt>
                <c:pt idx="17">
                  <c:v>5.4</c:v>
                </c:pt>
                <c:pt idx="18">
                  <c:v>5.4</c:v>
                </c:pt>
                <c:pt idx="19">
                  <c:v>5.4</c:v>
                </c:pt>
                <c:pt idx="20">
                  <c:v>5.4</c:v>
                </c:pt>
                <c:pt idx="21">
                  <c:v>5.4</c:v>
                </c:pt>
                <c:pt idx="22">
                  <c:v>5.4</c:v>
                </c:pt>
                <c:pt idx="23">
                  <c:v>5.4</c:v>
                </c:pt>
                <c:pt idx="24">
                  <c:v>5.4</c:v>
                </c:pt>
                <c:pt idx="25">
                  <c:v>5.4</c:v>
                </c:pt>
                <c:pt idx="26">
                  <c:v>5.4</c:v>
                </c:pt>
                <c:pt idx="27">
                  <c:v>5.4</c:v>
                </c:pt>
                <c:pt idx="28">
                  <c:v>5.4</c:v>
                </c:pt>
                <c:pt idx="29">
                  <c:v>5.4</c:v>
                </c:pt>
                <c:pt idx="30">
                  <c:v>5.4</c:v>
                </c:pt>
                <c:pt idx="31">
                  <c:v>5.4</c:v>
                </c:pt>
                <c:pt idx="32">
                  <c:v>5.4</c:v>
                </c:pt>
                <c:pt idx="33">
                  <c:v>5.4</c:v>
                </c:pt>
                <c:pt idx="34">
                  <c:v>5.4</c:v>
                </c:pt>
                <c:pt idx="35">
                  <c:v>5.4</c:v>
                </c:pt>
                <c:pt idx="36">
                  <c:v>5.4</c:v>
                </c:pt>
                <c:pt idx="37">
                  <c:v>5.4</c:v>
                </c:pt>
                <c:pt idx="38">
                  <c:v>5.4</c:v>
                </c:pt>
                <c:pt idx="39">
                  <c:v>5.4</c:v>
                </c:pt>
                <c:pt idx="40">
                  <c:v>5.4</c:v>
                </c:pt>
                <c:pt idx="41">
                  <c:v>5.4</c:v>
                </c:pt>
                <c:pt idx="42">
                  <c:v>5.4</c:v>
                </c:pt>
                <c:pt idx="43">
                  <c:v>5.4</c:v>
                </c:pt>
                <c:pt idx="44">
                  <c:v>5.4</c:v>
                </c:pt>
                <c:pt idx="45">
                  <c:v>5.4</c:v>
                </c:pt>
                <c:pt idx="46">
                  <c:v>5.4</c:v>
                </c:pt>
                <c:pt idx="47">
                  <c:v>5.4</c:v>
                </c:pt>
                <c:pt idx="48">
                  <c:v>5.4</c:v>
                </c:pt>
                <c:pt idx="49">
                  <c:v>5.4</c:v>
                </c:pt>
                <c:pt idx="50">
                  <c:v>5.4</c:v>
                </c:pt>
                <c:pt idx="51">
                  <c:v>5.4</c:v>
                </c:pt>
                <c:pt idx="52">
                  <c:v>5.4</c:v>
                </c:pt>
                <c:pt idx="53">
                  <c:v>5.4</c:v>
                </c:pt>
                <c:pt idx="54">
                  <c:v>5.4</c:v>
                </c:pt>
                <c:pt idx="55">
                  <c:v>5.4</c:v>
                </c:pt>
                <c:pt idx="56">
                  <c:v>5.4</c:v>
                </c:pt>
                <c:pt idx="57">
                  <c:v>5.4</c:v>
                </c:pt>
                <c:pt idx="58">
                  <c:v>5.4</c:v>
                </c:pt>
                <c:pt idx="59">
                  <c:v>5.4</c:v>
                </c:pt>
                <c:pt idx="60">
                  <c:v>5.4</c:v>
                </c:pt>
                <c:pt idx="61">
                  <c:v>5.4</c:v>
                </c:pt>
                <c:pt idx="62">
                  <c:v>5.4</c:v>
                </c:pt>
                <c:pt idx="63">
                  <c:v>5.4</c:v>
                </c:pt>
                <c:pt idx="64">
                  <c:v>5.4</c:v>
                </c:pt>
                <c:pt idx="65">
                  <c:v>5.4</c:v>
                </c:pt>
                <c:pt idx="66">
                  <c:v>5.4</c:v>
                </c:pt>
                <c:pt idx="67">
                  <c:v>5.4</c:v>
                </c:pt>
                <c:pt idx="68">
                  <c:v>5.4</c:v>
                </c:pt>
                <c:pt idx="69">
                  <c:v>5.4</c:v>
                </c:pt>
                <c:pt idx="70">
                  <c:v>5.4</c:v>
                </c:pt>
                <c:pt idx="71">
                  <c:v>5.4</c:v>
                </c:pt>
                <c:pt idx="72">
                  <c:v>5.4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46A-41F5-BB9C-20DF00EB8E9A}"/>
            </c:ext>
          </c:extLst>
        </c:ser>
        <c:ser>
          <c:idx val="6"/>
          <c:order val="6"/>
          <c:tx>
            <c:v>Radius 2</c:v>
          </c:tx>
          <c:spPr>
            <a:ln w="15875" cap="rnd">
              <a:solidFill>
                <a:schemeClr val="accent4">
                  <a:lumMod val="75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'HSP Solvent Blends and Chi'!$CW$3:$CW$75</c:f>
              <c:numCache>
                <c:formatCode>General</c:formatCode>
                <c:ptCount val="73"/>
                <c:pt idx="0">
                  <c:v>16</c:v>
                </c:pt>
                <c:pt idx="1">
                  <c:v>16</c:v>
                </c:pt>
                <c:pt idx="2">
                  <c:v>16</c:v>
                </c:pt>
                <c:pt idx="3">
                  <c:v>16</c:v>
                </c:pt>
                <c:pt idx="4">
                  <c:v>16</c:v>
                </c:pt>
                <c:pt idx="5">
                  <c:v>16</c:v>
                </c:pt>
                <c:pt idx="6">
                  <c:v>16</c:v>
                </c:pt>
                <c:pt idx="7">
                  <c:v>16</c:v>
                </c:pt>
                <c:pt idx="8">
                  <c:v>16</c:v>
                </c:pt>
                <c:pt idx="9">
                  <c:v>16</c:v>
                </c:pt>
                <c:pt idx="10">
                  <c:v>16</c:v>
                </c:pt>
                <c:pt idx="11">
                  <c:v>16</c:v>
                </c:pt>
                <c:pt idx="12">
                  <c:v>16</c:v>
                </c:pt>
                <c:pt idx="13">
                  <c:v>16</c:v>
                </c:pt>
                <c:pt idx="14">
                  <c:v>16</c:v>
                </c:pt>
                <c:pt idx="15">
                  <c:v>16</c:v>
                </c:pt>
                <c:pt idx="16">
                  <c:v>16</c:v>
                </c:pt>
                <c:pt idx="17">
                  <c:v>16</c:v>
                </c:pt>
                <c:pt idx="18">
                  <c:v>16</c:v>
                </c:pt>
                <c:pt idx="19">
                  <c:v>16</c:v>
                </c:pt>
                <c:pt idx="20">
                  <c:v>16</c:v>
                </c:pt>
                <c:pt idx="21">
                  <c:v>16</c:v>
                </c:pt>
                <c:pt idx="22">
                  <c:v>16</c:v>
                </c:pt>
                <c:pt idx="23">
                  <c:v>16</c:v>
                </c:pt>
                <c:pt idx="24">
                  <c:v>16</c:v>
                </c:pt>
                <c:pt idx="25">
                  <c:v>16</c:v>
                </c:pt>
                <c:pt idx="26">
                  <c:v>16</c:v>
                </c:pt>
                <c:pt idx="27">
                  <c:v>16</c:v>
                </c:pt>
                <c:pt idx="28">
                  <c:v>16</c:v>
                </c:pt>
                <c:pt idx="29">
                  <c:v>16</c:v>
                </c:pt>
                <c:pt idx="30">
                  <c:v>16</c:v>
                </c:pt>
                <c:pt idx="31">
                  <c:v>16</c:v>
                </c:pt>
                <c:pt idx="32">
                  <c:v>16</c:v>
                </c:pt>
                <c:pt idx="33">
                  <c:v>16</c:v>
                </c:pt>
                <c:pt idx="34">
                  <c:v>16</c:v>
                </c:pt>
                <c:pt idx="35">
                  <c:v>16</c:v>
                </c:pt>
                <c:pt idx="36">
                  <c:v>16</c:v>
                </c:pt>
                <c:pt idx="37">
                  <c:v>16</c:v>
                </c:pt>
                <c:pt idx="38">
                  <c:v>16</c:v>
                </c:pt>
                <c:pt idx="39">
                  <c:v>16</c:v>
                </c:pt>
                <c:pt idx="40">
                  <c:v>16</c:v>
                </c:pt>
                <c:pt idx="41">
                  <c:v>16</c:v>
                </c:pt>
                <c:pt idx="42">
                  <c:v>16</c:v>
                </c:pt>
                <c:pt idx="43">
                  <c:v>16</c:v>
                </c:pt>
                <c:pt idx="44">
                  <c:v>16</c:v>
                </c:pt>
                <c:pt idx="45">
                  <c:v>16</c:v>
                </c:pt>
                <c:pt idx="46">
                  <c:v>16</c:v>
                </c:pt>
                <c:pt idx="47">
                  <c:v>16</c:v>
                </c:pt>
                <c:pt idx="48">
                  <c:v>16</c:v>
                </c:pt>
                <c:pt idx="49">
                  <c:v>16</c:v>
                </c:pt>
                <c:pt idx="50">
                  <c:v>16</c:v>
                </c:pt>
                <c:pt idx="51">
                  <c:v>16</c:v>
                </c:pt>
                <c:pt idx="52">
                  <c:v>16</c:v>
                </c:pt>
                <c:pt idx="53">
                  <c:v>16</c:v>
                </c:pt>
                <c:pt idx="54">
                  <c:v>16</c:v>
                </c:pt>
                <c:pt idx="55">
                  <c:v>16</c:v>
                </c:pt>
                <c:pt idx="56">
                  <c:v>16</c:v>
                </c:pt>
                <c:pt idx="57">
                  <c:v>16</c:v>
                </c:pt>
                <c:pt idx="58">
                  <c:v>16</c:v>
                </c:pt>
                <c:pt idx="59">
                  <c:v>16</c:v>
                </c:pt>
                <c:pt idx="60">
                  <c:v>16</c:v>
                </c:pt>
                <c:pt idx="61">
                  <c:v>16</c:v>
                </c:pt>
                <c:pt idx="62">
                  <c:v>16</c:v>
                </c:pt>
                <c:pt idx="63">
                  <c:v>16</c:v>
                </c:pt>
                <c:pt idx="64">
                  <c:v>16</c:v>
                </c:pt>
                <c:pt idx="65">
                  <c:v>16</c:v>
                </c:pt>
                <c:pt idx="66">
                  <c:v>16</c:v>
                </c:pt>
                <c:pt idx="67">
                  <c:v>16</c:v>
                </c:pt>
                <c:pt idx="68">
                  <c:v>16</c:v>
                </c:pt>
                <c:pt idx="69">
                  <c:v>16</c:v>
                </c:pt>
                <c:pt idx="70">
                  <c:v>16</c:v>
                </c:pt>
                <c:pt idx="71">
                  <c:v>16</c:v>
                </c:pt>
                <c:pt idx="72">
                  <c:v>16</c:v>
                </c:pt>
              </c:numCache>
            </c:numRef>
          </c:xVal>
          <c:yVal>
            <c:numRef>
              <c:f>'HSP Solvent Blends and Chi'!$CV$3:$CV$75</c:f>
              <c:numCache>
                <c:formatCode>General</c:formatCode>
                <c:ptCount val="73"/>
                <c:pt idx="0">
                  <c:v>2.4</c:v>
                </c:pt>
                <c:pt idx="1">
                  <c:v>2.4</c:v>
                </c:pt>
                <c:pt idx="2">
                  <c:v>2.4</c:v>
                </c:pt>
                <c:pt idx="3">
                  <c:v>2.4</c:v>
                </c:pt>
                <c:pt idx="4">
                  <c:v>2.4</c:v>
                </c:pt>
                <c:pt idx="5">
                  <c:v>2.4</c:v>
                </c:pt>
                <c:pt idx="6">
                  <c:v>2.4</c:v>
                </c:pt>
                <c:pt idx="7">
                  <c:v>2.4</c:v>
                </c:pt>
                <c:pt idx="8">
                  <c:v>2.4</c:v>
                </c:pt>
                <c:pt idx="9">
                  <c:v>2.4</c:v>
                </c:pt>
                <c:pt idx="10">
                  <c:v>2.4</c:v>
                </c:pt>
                <c:pt idx="11">
                  <c:v>2.4</c:v>
                </c:pt>
                <c:pt idx="12">
                  <c:v>2.4</c:v>
                </c:pt>
                <c:pt idx="13">
                  <c:v>2.4</c:v>
                </c:pt>
                <c:pt idx="14">
                  <c:v>2.4</c:v>
                </c:pt>
                <c:pt idx="15">
                  <c:v>2.4</c:v>
                </c:pt>
                <c:pt idx="16">
                  <c:v>2.4</c:v>
                </c:pt>
                <c:pt idx="17">
                  <c:v>2.4</c:v>
                </c:pt>
                <c:pt idx="18">
                  <c:v>2.4</c:v>
                </c:pt>
                <c:pt idx="19">
                  <c:v>2.4</c:v>
                </c:pt>
                <c:pt idx="20">
                  <c:v>2.4</c:v>
                </c:pt>
                <c:pt idx="21">
                  <c:v>2.4</c:v>
                </c:pt>
                <c:pt idx="22">
                  <c:v>2.4</c:v>
                </c:pt>
                <c:pt idx="23">
                  <c:v>2.4</c:v>
                </c:pt>
                <c:pt idx="24">
                  <c:v>2.4</c:v>
                </c:pt>
                <c:pt idx="25">
                  <c:v>2.4</c:v>
                </c:pt>
                <c:pt idx="26">
                  <c:v>2.4</c:v>
                </c:pt>
                <c:pt idx="27">
                  <c:v>2.4</c:v>
                </c:pt>
                <c:pt idx="28">
                  <c:v>2.4</c:v>
                </c:pt>
                <c:pt idx="29">
                  <c:v>2.4</c:v>
                </c:pt>
                <c:pt idx="30">
                  <c:v>2.4</c:v>
                </c:pt>
                <c:pt idx="31">
                  <c:v>2.4</c:v>
                </c:pt>
                <c:pt idx="32">
                  <c:v>2.4</c:v>
                </c:pt>
                <c:pt idx="33">
                  <c:v>2.4</c:v>
                </c:pt>
                <c:pt idx="34">
                  <c:v>2.4</c:v>
                </c:pt>
                <c:pt idx="35">
                  <c:v>2.4</c:v>
                </c:pt>
                <c:pt idx="36">
                  <c:v>2.4</c:v>
                </c:pt>
                <c:pt idx="37">
                  <c:v>2.4</c:v>
                </c:pt>
                <c:pt idx="38">
                  <c:v>2.4</c:v>
                </c:pt>
                <c:pt idx="39">
                  <c:v>2.4</c:v>
                </c:pt>
                <c:pt idx="40">
                  <c:v>2.4</c:v>
                </c:pt>
                <c:pt idx="41">
                  <c:v>2.4</c:v>
                </c:pt>
                <c:pt idx="42">
                  <c:v>2.4</c:v>
                </c:pt>
                <c:pt idx="43">
                  <c:v>2.4</c:v>
                </c:pt>
                <c:pt idx="44">
                  <c:v>2.4</c:v>
                </c:pt>
                <c:pt idx="45">
                  <c:v>2.4</c:v>
                </c:pt>
                <c:pt idx="46">
                  <c:v>2.4</c:v>
                </c:pt>
                <c:pt idx="47">
                  <c:v>2.4</c:v>
                </c:pt>
                <c:pt idx="48">
                  <c:v>2.4</c:v>
                </c:pt>
                <c:pt idx="49">
                  <c:v>2.4</c:v>
                </c:pt>
                <c:pt idx="50">
                  <c:v>2.4</c:v>
                </c:pt>
                <c:pt idx="51">
                  <c:v>2.4</c:v>
                </c:pt>
                <c:pt idx="52">
                  <c:v>2.4</c:v>
                </c:pt>
                <c:pt idx="53">
                  <c:v>2.4</c:v>
                </c:pt>
                <c:pt idx="54">
                  <c:v>2.4</c:v>
                </c:pt>
                <c:pt idx="55">
                  <c:v>2.4</c:v>
                </c:pt>
                <c:pt idx="56">
                  <c:v>2.4</c:v>
                </c:pt>
                <c:pt idx="57">
                  <c:v>2.4</c:v>
                </c:pt>
                <c:pt idx="58">
                  <c:v>2.4</c:v>
                </c:pt>
                <c:pt idx="59">
                  <c:v>2.4</c:v>
                </c:pt>
                <c:pt idx="60">
                  <c:v>2.4</c:v>
                </c:pt>
                <c:pt idx="61">
                  <c:v>2.4</c:v>
                </c:pt>
                <c:pt idx="62">
                  <c:v>2.4</c:v>
                </c:pt>
                <c:pt idx="63">
                  <c:v>2.4</c:v>
                </c:pt>
                <c:pt idx="64">
                  <c:v>2.4</c:v>
                </c:pt>
                <c:pt idx="65">
                  <c:v>2.4</c:v>
                </c:pt>
                <c:pt idx="66">
                  <c:v>2.4</c:v>
                </c:pt>
                <c:pt idx="67">
                  <c:v>2.4</c:v>
                </c:pt>
                <c:pt idx="68">
                  <c:v>2.4</c:v>
                </c:pt>
                <c:pt idx="69">
                  <c:v>2.4</c:v>
                </c:pt>
                <c:pt idx="70">
                  <c:v>2.4</c:v>
                </c:pt>
                <c:pt idx="71">
                  <c:v>2.4</c:v>
                </c:pt>
                <c:pt idx="72">
                  <c:v>2.4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46A-41F5-BB9C-20DF00EB8E9A}"/>
            </c:ext>
          </c:extLst>
        </c:ser>
        <c:ser>
          <c:idx val="7"/>
          <c:order val="7"/>
          <c:tx>
            <c:v>Radius S3</c:v>
          </c:tx>
          <c:spPr>
            <a:ln w="15875" cap="rnd">
              <a:solidFill>
                <a:schemeClr val="accent2">
                  <a:lumMod val="75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'HSP Solvent Blends and Chi'!$DA$3:$DA$75</c:f>
              <c:numCache>
                <c:formatCode>General</c:formatCode>
                <c:ptCount val="73"/>
                <c:pt idx="0">
                  <c:v>14.8</c:v>
                </c:pt>
                <c:pt idx="1">
                  <c:v>14.8</c:v>
                </c:pt>
                <c:pt idx="2">
                  <c:v>14.8</c:v>
                </c:pt>
                <c:pt idx="3">
                  <c:v>14.8</c:v>
                </c:pt>
                <c:pt idx="4">
                  <c:v>14.8</c:v>
                </c:pt>
                <c:pt idx="5">
                  <c:v>14.8</c:v>
                </c:pt>
                <c:pt idx="6">
                  <c:v>14.8</c:v>
                </c:pt>
                <c:pt idx="7">
                  <c:v>14.8</c:v>
                </c:pt>
                <c:pt idx="8">
                  <c:v>14.8</c:v>
                </c:pt>
                <c:pt idx="9">
                  <c:v>14.8</c:v>
                </c:pt>
                <c:pt idx="10">
                  <c:v>14.8</c:v>
                </c:pt>
                <c:pt idx="11">
                  <c:v>14.8</c:v>
                </c:pt>
                <c:pt idx="12">
                  <c:v>14.8</c:v>
                </c:pt>
                <c:pt idx="13">
                  <c:v>14.8</c:v>
                </c:pt>
                <c:pt idx="14">
                  <c:v>14.8</c:v>
                </c:pt>
                <c:pt idx="15">
                  <c:v>14.8</c:v>
                </c:pt>
                <c:pt idx="16">
                  <c:v>14.8</c:v>
                </c:pt>
                <c:pt idx="17">
                  <c:v>14.8</c:v>
                </c:pt>
                <c:pt idx="18">
                  <c:v>14.8</c:v>
                </c:pt>
                <c:pt idx="19">
                  <c:v>14.8</c:v>
                </c:pt>
                <c:pt idx="20">
                  <c:v>14.8</c:v>
                </c:pt>
                <c:pt idx="21">
                  <c:v>14.8</c:v>
                </c:pt>
                <c:pt idx="22">
                  <c:v>14.8</c:v>
                </c:pt>
                <c:pt idx="23">
                  <c:v>14.8</c:v>
                </c:pt>
                <c:pt idx="24">
                  <c:v>14.8</c:v>
                </c:pt>
                <c:pt idx="25">
                  <c:v>14.8</c:v>
                </c:pt>
                <c:pt idx="26">
                  <c:v>14.8</c:v>
                </c:pt>
                <c:pt idx="27">
                  <c:v>14.8</c:v>
                </c:pt>
                <c:pt idx="28">
                  <c:v>14.8</c:v>
                </c:pt>
                <c:pt idx="29">
                  <c:v>14.8</c:v>
                </c:pt>
                <c:pt idx="30">
                  <c:v>14.8</c:v>
                </c:pt>
                <c:pt idx="31">
                  <c:v>14.8</c:v>
                </c:pt>
                <c:pt idx="32">
                  <c:v>14.8</c:v>
                </c:pt>
                <c:pt idx="33">
                  <c:v>14.8</c:v>
                </c:pt>
                <c:pt idx="34">
                  <c:v>14.8</c:v>
                </c:pt>
                <c:pt idx="35">
                  <c:v>14.8</c:v>
                </c:pt>
                <c:pt idx="36">
                  <c:v>14.8</c:v>
                </c:pt>
                <c:pt idx="37">
                  <c:v>14.8</c:v>
                </c:pt>
                <c:pt idx="38">
                  <c:v>14.8</c:v>
                </c:pt>
                <c:pt idx="39">
                  <c:v>14.8</c:v>
                </c:pt>
                <c:pt idx="40">
                  <c:v>14.8</c:v>
                </c:pt>
                <c:pt idx="41">
                  <c:v>14.8</c:v>
                </c:pt>
                <c:pt idx="42">
                  <c:v>14.8</c:v>
                </c:pt>
                <c:pt idx="43">
                  <c:v>14.8</c:v>
                </c:pt>
                <c:pt idx="44">
                  <c:v>14.8</c:v>
                </c:pt>
                <c:pt idx="45">
                  <c:v>14.8</c:v>
                </c:pt>
                <c:pt idx="46">
                  <c:v>14.8</c:v>
                </c:pt>
                <c:pt idx="47">
                  <c:v>14.8</c:v>
                </c:pt>
                <c:pt idx="48">
                  <c:v>14.8</c:v>
                </c:pt>
                <c:pt idx="49">
                  <c:v>14.8</c:v>
                </c:pt>
                <c:pt idx="50">
                  <c:v>14.8</c:v>
                </c:pt>
                <c:pt idx="51">
                  <c:v>14.8</c:v>
                </c:pt>
                <c:pt idx="52">
                  <c:v>14.8</c:v>
                </c:pt>
                <c:pt idx="53">
                  <c:v>14.8</c:v>
                </c:pt>
                <c:pt idx="54">
                  <c:v>14.8</c:v>
                </c:pt>
                <c:pt idx="55">
                  <c:v>14.8</c:v>
                </c:pt>
                <c:pt idx="56">
                  <c:v>14.8</c:v>
                </c:pt>
                <c:pt idx="57">
                  <c:v>14.8</c:v>
                </c:pt>
                <c:pt idx="58">
                  <c:v>14.8</c:v>
                </c:pt>
                <c:pt idx="59">
                  <c:v>14.8</c:v>
                </c:pt>
                <c:pt idx="60">
                  <c:v>14.8</c:v>
                </c:pt>
                <c:pt idx="61">
                  <c:v>14.8</c:v>
                </c:pt>
                <c:pt idx="62">
                  <c:v>14.8</c:v>
                </c:pt>
                <c:pt idx="63">
                  <c:v>14.8</c:v>
                </c:pt>
                <c:pt idx="64">
                  <c:v>14.8</c:v>
                </c:pt>
                <c:pt idx="65">
                  <c:v>14.8</c:v>
                </c:pt>
                <c:pt idx="66">
                  <c:v>14.8</c:v>
                </c:pt>
                <c:pt idx="67">
                  <c:v>14.8</c:v>
                </c:pt>
                <c:pt idx="68">
                  <c:v>14.8</c:v>
                </c:pt>
                <c:pt idx="69">
                  <c:v>14.8</c:v>
                </c:pt>
                <c:pt idx="70">
                  <c:v>14.8</c:v>
                </c:pt>
                <c:pt idx="71">
                  <c:v>14.8</c:v>
                </c:pt>
                <c:pt idx="72">
                  <c:v>14.8</c:v>
                </c:pt>
              </c:numCache>
            </c:numRef>
          </c:xVal>
          <c:yVal>
            <c:numRef>
              <c:f>'HSP Solvent Blends and Chi'!$CZ$3:$CZ$75</c:f>
              <c:numCache>
                <c:formatCode>General</c:formatCode>
                <c:ptCount val="73"/>
                <c:pt idx="0">
                  <c:v>5.8</c:v>
                </c:pt>
                <c:pt idx="1">
                  <c:v>5.8</c:v>
                </c:pt>
                <c:pt idx="2">
                  <c:v>5.8</c:v>
                </c:pt>
                <c:pt idx="3">
                  <c:v>5.8</c:v>
                </c:pt>
                <c:pt idx="4">
                  <c:v>5.8</c:v>
                </c:pt>
                <c:pt idx="5">
                  <c:v>5.8</c:v>
                </c:pt>
                <c:pt idx="6">
                  <c:v>5.8</c:v>
                </c:pt>
                <c:pt idx="7">
                  <c:v>5.8</c:v>
                </c:pt>
                <c:pt idx="8">
                  <c:v>5.8</c:v>
                </c:pt>
                <c:pt idx="9">
                  <c:v>5.8</c:v>
                </c:pt>
                <c:pt idx="10">
                  <c:v>5.8</c:v>
                </c:pt>
                <c:pt idx="11">
                  <c:v>5.8</c:v>
                </c:pt>
                <c:pt idx="12">
                  <c:v>5.8</c:v>
                </c:pt>
                <c:pt idx="13">
                  <c:v>5.8</c:v>
                </c:pt>
                <c:pt idx="14">
                  <c:v>5.8</c:v>
                </c:pt>
                <c:pt idx="15">
                  <c:v>5.8</c:v>
                </c:pt>
                <c:pt idx="16">
                  <c:v>5.8</c:v>
                </c:pt>
                <c:pt idx="17">
                  <c:v>5.8</c:v>
                </c:pt>
                <c:pt idx="18">
                  <c:v>5.8</c:v>
                </c:pt>
                <c:pt idx="19">
                  <c:v>5.8</c:v>
                </c:pt>
                <c:pt idx="20">
                  <c:v>5.8</c:v>
                </c:pt>
                <c:pt idx="21">
                  <c:v>5.8</c:v>
                </c:pt>
                <c:pt idx="22">
                  <c:v>5.8</c:v>
                </c:pt>
                <c:pt idx="23">
                  <c:v>5.8</c:v>
                </c:pt>
                <c:pt idx="24">
                  <c:v>5.8</c:v>
                </c:pt>
                <c:pt idx="25">
                  <c:v>5.8</c:v>
                </c:pt>
                <c:pt idx="26">
                  <c:v>5.8</c:v>
                </c:pt>
                <c:pt idx="27">
                  <c:v>5.8</c:v>
                </c:pt>
                <c:pt idx="28">
                  <c:v>5.8</c:v>
                </c:pt>
                <c:pt idx="29">
                  <c:v>5.8</c:v>
                </c:pt>
                <c:pt idx="30">
                  <c:v>5.8</c:v>
                </c:pt>
                <c:pt idx="31">
                  <c:v>5.8</c:v>
                </c:pt>
                <c:pt idx="32">
                  <c:v>5.8</c:v>
                </c:pt>
                <c:pt idx="33">
                  <c:v>5.8</c:v>
                </c:pt>
                <c:pt idx="34">
                  <c:v>5.8</c:v>
                </c:pt>
                <c:pt idx="35">
                  <c:v>5.8</c:v>
                </c:pt>
                <c:pt idx="36">
                  <c:v>5.8</c:v>
                </c:pt>
                <c:pt idx="37">
                  <c:v>5.8</c:v>
                </c:pt>
                <c:pt idx="38">
                  <c:v>5.8</c:v>
                </c:pt>
                <c:pt idx="39">
                  <c:v>5.8</c:v>
                </c:pt>
                <c:pt idx="40">
                  <c:v>5.8</c:v>
                </c:pt>
                <c:pt idx="41">
                  <c:v>5.8</c:v>
                </c:pt>
                <c:pt idx="42">
                  <c:v>5.8</c:v>
                </c:pt>
                <c:pt idx="43">
                  <c:v>5.8</c:v>
                </c:pt>
                <c:pt idx="44">
                  <c:v>5.8</c:v>
                </c:pt>
                <c:pt idx="45">
                  <c:v>5.8</c:v>
                </c:pt>
                <c:pt idx="46">
                  <c:v>5.8</c:v>
                </c:pt>
                <c:pt idx="47">
                  <c:v>5.8</c:v>
                </c:pt>
                <c:pt idx="48">
                  <c:v>5.8</c:v>
                </c:pt>
                <c:pt idx="49">
                  <c:v>5.8</c:v>
                </c:pt>
                <c:pt idx="50">
                  <c:v>5.8</c:v>
                </c:pt>
                <c:pt idx="51">
                  <c:v>5.8</c:v>
                </c:pt>
                <c:pt idx="52">
                  <c:v>5.8</c:v>
                </c:pt>
                <c:pt idx="53">
                  <c:v>5.8</c:v>
                </c:pt>
                <c:pt idx="54">
                  <c:v>5.8</c:v>
                </c:pt>
                <c:pt idx="55">
                  <c:v>5.8</c:v>
                </c:pt>
                <c:pt idx="56">
                  <c:v>5.8</c:v>
                </c:pt>
                <c:pt idx="57">
                  <c:v>5.8</c:v>
                </c:pt>
                <c:pt idx="58">
                  <c:v>5.8</c:v>
                </c:pt>
                <c:pt idx="59">
                  <c:v>5.8</c:v>
                </c:pt>
                <c:pt idx="60">
                  <c:v>5.8</c:v>
                </c:pt>
                <c:pt idx="61">
                  <c:v>5.8</c:v>
                </c:pt>
                <c:pt idx="62">
                  <c:v>5.8</c:v>
                </c:pt>
                <c:pt idx="63">
                  <c:v>5.8</c:v>
                </c:pt>
                <c:pt idx="64">
                  <c:v>5.8</c:v>
                </c:pt>
                <c:pt idx="65">
                  <c:v>5.8</c:v>
                </c:pt>
                <c:pt idx="66">
                  <c:v>5.8</c:v>
                </c:pt>
                <c:pt idx="67">
                  <c:v>5.8</c:v>
                </c:pt>
                <c:pt idx="68">
                  <c:v>5.8</c:v>
                </c:pt>
                <c:pt idx="69">
                  <c:v>5.8</c:v>
                </c:pt>
                <c:pt idx="70">
                  <c:v>5.8</c:v>
                </c:pt>
                <c:pt idx="71">
                  <c:v>5.8</c:v>
                </c:pt>
                <c:pt idx="72">
                  <c:v>5.8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746A-41F5-BB9C-20DF00EB8E9A}"/>
            </c:ext>
          </c:extLst>
        </c:ser>
        <c:ser>
          <c:idx val="8"/>
          <c:order val="8"/>
          <c:tx>
            <c:v>Radius S4</c:v>
          </c:tx>
          <c:spPr>
            <a:ln w="15875" cap="rnd">
              <a:solidFill>
                <a:schemeClr val="accent5">
                  <a:lumMod val="75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'HSP Solvent Blends and Chi'!$DE$3:$DE$75</c:f>
              <c:numCache>
                <c:formatCode>General</c:formatCode>
                <c:ptCount val="73"/>
                <c:pt idx="0">
                  <c:v>15.9</c:v>
                </c:pt>
                <c:pt idx="1">
                  <c:v>15.9</c:v>
                </c:pt>
                <c:pt idx="2">
                  <c:v>15.9</c:v>
                </c:pt>
                <c:pt idx="3">
                  <c:v>15.9</c:v>
                </c:pt>
                <c:pt idx="4">
                  <c:v>15.9</c:v>
                </c:pt>
                <c:pt idx="5">
                  <c:v>15.9</c:v>
                </c:pt>
                <c:pt idx="6">
                  <c:v>15.9</c:v>
                </c:pt>
                <c:pt idx="7">
                  <c:v>15.9</c:v>
                </c:pt>
                <c:pt idx="8">
                  <c:v>15.9</c:v>
                </c:pt>
                <c:pt idx="9">
                  <c:v>15.9</c:v>
                </c:pt>
                <c:pt idx="10">
                  <c:v>15.9</c:v>
                </c:pt>
                <c:pt idx="11">
                  <c:v>15.9</c:v>
                </c:pt>
                <c:pt idx="12">
                  <c:v>15.9</c:v>
                </c:pt>
                <c:pt idx="13">
                  <c:v>15.9</c:v>
                </c:pt>
                <c:pt idx="14">
                  <c:v>15.9</c:v>
                </c:pt>
                <c:pt idx="15">
                  <c:v>15.9</c:v>
                </c:pt>
                <c:pt idx="16">
                  <c:v>15.9</c:v>
                </c:pt>
                <c:pt idx="17">
                  <c:v>15.9</c:v>
                </c:pt>
                <c:pt idx="18">
                  <c:v>15.9</c:v>
                </c:pt>
                <c:pt idx="19">
                  <c:v>15.9</c:v>
                </c:pt>
                <c:pt idx="20">
                  <c:v>15.9</c:v>
                </c:pt>
                <c:pt idx="21">
                  <c:v>15.9</c:v>
                </c:pt>
                <c:pt idx="22">
                  <c:v>15.9</c:v>
                </c:pt>
                <c:pt idx="23">
                  <c:v>15.9</c:v>
                </c:pt>
                <c:pt idx="24">
                  <c:v>15.9</c:v>
                </c:pt>
                <c:pt idx="25">
                  <c:v>15.9</c:v>
                </c:pt>
                <c:pt idx="26">
                  <c:v>15.9</c:v>
                </c:pt>
                <c:pt idx="27">
                  <c:v>15.9</c:v>
                </c:pt>
                <c:pt idx="28">
                  <c:v>15.9</c:v>
                </c:pt>
                <c:pt idx="29">
                  <c:v>15.9</c:v>
                </c:pt>
                <c:pt idx="30">
                  <c:v>15.9</c:v>
                </c:pt>
                <c:pt idx="31">
                  <c:v>15.9</c:v>
                </c:pt>
                <c:pt idx="32">
                  <c:v>15.9</c:v>
                </c:pt>
                <c:pt idx="33">
                  <c:v>15.9</c:v>
                </c:pt>
                <c:pt idx="34">
                  <c:v>15.9</c:v>
                </c:pt>
                <c:pt idx="35">
                  <c:v>15.9</c:v>
                </c:pt>
                <c:pt idx="36">
                  <c:v>15.9</c:v>
                </c:pt>
                <c:pt idx="37">
                  <c:v>15.9</c:v>
                </c:pt>
                <c:pt idx="38">
                  <c:v>15.9</c:v>
                </c:pt>
                <c:pt idx="39">
                  <c:v>15.9</c:v>
                </c:pt>
                <c:pt idx="40">
                  <c:v>15.9</c:v>
                </c:pt>
                <c:pt idx="41">
                  <c:v>15.9</c:v>
                </c:pt>
                <c:pt idx="42">
                  <c:v>15.9</c:v>
                </c:pt>
                <c:pt idx="43">
                  <c:v>15.9</c:v>
                </c:pt>
                <c:pt idx="44">
                  <c:v>15.9</c:v>
                </c:pt>
                <c:pt idx="45">
                  <c:v>15.9</c:v>
                </c:pt>
                <c:pt idx="46">
                  <c:v>15.9</c:v>
                </c:pt>
                <c:pt idx="47">
                  <c:v>15.9</c:v>
                </c:pt>
                <c:pt idx="48">
                  <c:v>15.9</c:v>
                </c:pt>
                <c:pt idx="49">
                  <c:v>15.9</c:v>
                </c:pt>
                <c:pt idx="50">
                  <c:v>15.9</c:v>
                </c:pt>
                <c:pt idx="51">
                  <c:v>15.9</c:v>
                </c:pt>
                <c:pt idx="52">
                  <c:v>15.9</c:v>
                </c:pt>
                <c:pt idx="53">
                  <c:v>15.9</c:v>
                </c:pt>
                <c:pt idx="54">
                  <c:v>15.9</c:v>
                </c:pt>
                <c:pt idx="55">
                  <c:v>15.9</c:v>
                </c:pt>
                <c:pt idx="56">
                  <c:v>15.9</c:v>
                </c:pt>
                <c:pt idx="57">
                  <c:v>15.9</c:v>
                </c:pt>
                <c:pt idx="58">
                  <c:v>15.9</c:v>
                </c:pt>
                <c:pt idx="59">
                  <c:v>15.9</c:v>
                </c:pt>
                <c:pt idx="60">
                  <c:v>15.9</c:v>
                </c:pt>
                <c:pt idx="61">
                  <c:v>15.9</c:v>
                </c:pt>
                <c:pt idx="62">
                  <c:v>15.9</c:v>
                </c:pt>
                <c:pt idx="63">
                  <c:v>15.9</c:v>
                </c:pt>
                <c:pt idx="64">
                  <c:v>15.9</c:v>
                </c:pt>
                <c:pt idx="65">
                  <c:v>15.9</c:v>
                </c:pt>
                <c:pt idx="66">
                  <c:v>15.9</c:v>
                </c:pt>
                <c:pt idx="67">
                  <c:v>15.9</c:v>
                </c:pt>
                <c:pt idx="68">
                  <c:v>15.9</c:v>
                </c:pt>
                <c:pt idx="69">
                  <c:v>15.9</c:v>
                </c:pt>
                <c:pt idx="70">
                  <c:v>15.9</c:v>
                </c:pt>
                <c:pt idx="71">
                  <c:v>15.9</c:v>
                </c:pt>
                <c:pt idx="72">
                  <c:v>15.9</c:v>
                </c:pt>
              </c:numCache>
            </c:numRef>
          </c:xVal>
          <c:yVal>
            <c:numRef>
              <c:f>'HSP Solvent Blends and Chi'!$DD$3:$DD$75</c:f>
              <c:numCache>
                <c:formatCode>General</c:formatCode>
                <c:ptCount val="73"/>
                <c:pt idx="0">
                  <c:v>6.6</c:v>
                </c:pt>
                <c:pt idx="1">
                  <c:v>6.6</c:v>
                </c:pt>
                <c:pt idx="2">
                  <c:v>6.6</c:v>
                </c:pt>
                <c:pt idx="3">
                  <c:v>6.6</c:v>
                </c:pt>
                <c:pt idx="4">
                  <c:v>6.6</c:v>
                </c:pt>
                <c:pt idx="5">
                  <c:v>6.6</c:v>
                </c:pt>
                <c:pt idx="6">
                  <c:v>6.6</c:v>
                </c:pt>
                <c:pt idx="7">
                  <c:v>6.6</c:v>
                </c:pt>
                <c:pt idx="8">
                  <c:v>6.6</c:v>
                </c:pt>
                <c:pt idx="9">
                  <c:v>6.6</c:v>
                </c:pt>
                <c:pt idx="10">
                  <c:v>6.6</c:v>
                </c:pt>
                <c:pt idx="11">
                  <c:v>6.6</c:v>
                </c:pt>
                <c:pt idx="12">
                  <c:v>6.6</c:v>
                </c:pt>
                <c:pt idx="13">
                  <c:v>6.6</c:v>
                </c:pt>
                <c:pt idx="14">
                  <c:v>6.6</c:v>
                </c:pt>
                <c:pt idx="15">
                  <c:v>6.6</c:v>
                </c:pt>
                <c:pt idx="16">
                  <c:v>6.6</c:v>
                </c:pt>
                <c:pt idx="17">
                  <c:v>6.6</c:v>
                </c:pt>
                <c:pt idx="18">
                  <c:v>6.6</c:v>
                </c:pt>
                <c:pt idx="19">
                  <c:v>6.6</c:v>
                </c:pt>
                <c:pt idx="20">
                  <c:v>6.6</c:v>
                </c:pt>
                <c:pt idx="21">
                  <c:v>6.6</c:v>
                </c:pt>
                <c:pt idx="22">
                  <c:v>6.6</c:v>
                </c:pt>
                <c:pt idx="23">
                  <c:v>6.6</c:v>
                </c:pt>
                <c:pt idx="24">
                  <c:v>6.6</c:v>
                </c:pt>
                <c:pt idx="25">
                  <c:v>6.6</c:v>
                </c:pt>
                <c:pt idx="26">
                  <c:v>6.6</c:v>
                </c:pt>
                <c:pt idx="27">
                  <c:v>6.6</c:v>
                </c:pt>
                <c:pt idx="28">
                  <c:v>6.6</c:v>
                </c:pt>
                <c:pt idx="29">
                  <c:v>6.6</c:v>
                </c:pt>
                <c:pt idx="30">
                  <c:v>6.6</c:v>
                </c:pt>
                <c:pt idx="31">
                  <c:v>6.6</c:v>
                </c:pt>
                <c:pt idx="32">
                  <c:v>6.6</c:v>
                </c:pt>
                <c:pt idx="33">
                  <c:v>6.6</c:v>
                </c:pt>
                <c:pt idx="34">
                  <c:v>6.6</c:v>
                </c:pt>
                <c:pt idx="35">
                  <c:v>6.6</c:v>
                </c:pt>
                <c:pt idx="36">
                  <c:v>6.6</c:v>
                </c:pt>
                <c:pt idx="37">
                  <c:v>6.6</c:v>
                </c:pt>
                <c:pt idx="38">
                  <c:v>6.6</c:v>
                </c:pt>
                <c:pt idx="39">
                  <c:v>6.6</c:v>
                </c:pt>
                <c:pt idx="40">
                  <c:v>6.6</c:v>
                </c:pt>
                <c:pt idx="41">
                  <c:v>6.6</c:v>
                </c:pt>
                <c:pt idx="42">
                  <c:v>6.6</c:v>
                </c:pt>
                <c:pt idx="43">
                  <c:v>6.6</c:v>
                </c:pt>
                <c:pt idx="44">
                  <c:v>6.6</c:v>
                </c:pt>
                <c:pt idx="45">
                  <c:v>6.6</c:v>
                </c:pt>
                <c:pt idx="46">
                  <c:v>6.6</c:v>
                </c:pt>
                <c:pt idx="47">
                  <c:v>6.6</c:v>
                </c:pt>
                <c:pt idx="48">
                  <c:v>6.6</c:v>
                </c:pt>
                <c:pt idx="49">
                  <c:v>6.6</c:v>
                </c:pt>
                <c:pt idx="50">
                  <c:v>6.6</c:v>
                </c:pt>
                <c:pt idx="51">
                  <c:v>6.6</c:v>
                </c:pt>
                <c:pt idx="52">
                  <c:v>6.6</c:v>
                </c:pt>
                <c:pt idx="53">
                  <c:v>6.6</c:v>
                </c:pt>
                <c:pt idx="54">
                  <c:v>6.6</c:v>
                </c:pt>
                <c:pt idx="55">
                  <c:v>6.6</c:v>
                </c:pt>
                <c:pt idx="56">
                  <c:v>6.6</c:v>
                </c:pt>
                <c:pt idx="57">
                  <c:v>6.6</c:v>
                </c:pt>
                <c:pt idx="58">
                  <c:v>6.6</c:v>
                </c:pt>
                <c:pt idx="59">
                  <c:v>6.6</c:v>
                </c:pt>
                <c:pt idx="60">
                  <c:v>6.6</c:v>
                </c:pt>
                <c:pt idx="61">
                  <c:v>6.6</c:v>
                </c:pt>
                <c:pt idx="62">
                  <c:v>6.6</c:v>
                </c:pt>
                <c:pt idx="63">
                  <c:v>6.6</c:v>
                </c:pt>
                <c:pt idx="64">
                  <c:v>6.6</c:v>
                </c:pt>
                <c:pt idx="65">
                  <c:v>6.6</c:v>
                </c:pt>
                <c:pt idx="66">
                  <c:v>6.6</c:v>
                </c:pt>
                <c:pt idx="67">
                  <c:v>6.6</c:v>
                </c:pt>
                <c:pt idx="68">
                  <c:v>6.6</c:v>
                </c:pt>
                <c:pt idx="69">
                  <c:v>6.6</c:v>
                </c:pt>
                <c:pt idx="70">
                  <c:v>6.6</c:v>
                </c:pt>
                <c:pt idx="71">
                  <c:v>6.6</c:v>
                </c:pt>
                <c:pt idx="72">
                  <c:v>6.6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746A-41F5-BB9C-20DF00EB8E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8875880"/>
        <c:axId val="308876272"/>
      </c:scatterChart>
      <c:valAx>
        <c:axId val="3088758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b="1"/>
                  <a:t>dD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8876272"/>
        <c:crosses val="autoZero"/>
        <c:crossBetween val="midCat"/>
      </c:valAx>
      <c:valAx>
        <c:axId val="308876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b="1"/>
                  <a:t>dH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8875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0109882861264492E-2"/>
          <c:y val="4.4018522074984523E-2"/>
          <c:w val="0.93615353036589521"/>
          <c:h val="0.87682444572477225"/>
        </c:manualLayout>
      </c:layout>
      <c:scatterChart>
        <c:scatterStyle val="lineMarker"/>
        <c:varyColors val="0"/>
        <c:ser>
          <c:idx val="0"/>
          <c:order val="0"/>
          <c:tx>
            <c:strRef>
              <c:f>'Find a similar substance'!$C$10</c:f>
              <c:strCache>
                <c:ptCount val="1"/>
                <c:pt idx="0">
                  <c:v>Solvents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354-4354-9C2C-16CCFE05F74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A8C46DA5-CAC9-42EB-B34C-BB81E9DFA43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0354-4354-9C2C-16CCFE05F74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5956C3A4-8216-4645-A3C5-31515CB63F4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C6C0-45E2-BAE3-5F4A0051E70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261DD0AD-C52A-4A23-8877-962A3F7AA05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C6C0-45E2-BAE3-5F4A0051E70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E04A2268-0173-4694-AA5D-5441AA92925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C6C0-45E2-BAE3-5F4A0051E700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F4EF89E5-1C5E-4460-8DD6-9070FC0F42B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C6C0-45E2-BAE3-5F4A0051E700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3939E638-8B0C-458A-B76F-612631B3374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C6C0-45E2-BAE3-5F4A0051E700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41F6B767-E2A0-499E-A04A-F833CE26011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C6C0-45E2-BAE3-5F4A0051E700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87D14D66-CAC0-4896-AC25-0D931520902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C6C0-45E2-BAE3-5F4A0051E700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0C797C57-9968-466A-A9ED-C90005A7224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C6C0-45E2-BAE3-5F4A0051E700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10A6E999-D94A-4626-8394-97BFC5FA067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C6C0-45E2-BAE3-5F4A0051E700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EAFBCE6B-B1CD-4700-BF52-9B252D432A6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C6C0-45E2-BAE3-5F4A0051E700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C8BC777E-43F2-485F-B135-E51D4F160E2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C6C0-45E2-BAE3-5F4A0051E700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C17D8341-8E3E-4E5F-A910-13C3ACAB090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C6C0-45E2-BAE3-5F4A0051E700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17A427A2-AE4B-4E7F-9608-0DCFEF195EB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C6C0-45E2-BAE3-5F4A0051E700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BCCC49BF-0262-4DBF-A657-5B02C6F28CE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C6C0-45E2-BAE3-5F4A0051E700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97074C02-8D63-4708-B14A-A85604331E5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C6C0-45E2-BAE3-5F4A0051E700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8941B5CD-64D1-4407-9A1A-88FEA8F32B3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C6C0-45E2-BAE3-5F4A0051E700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791833C3-84E6-4530-ABE3-59C718718B3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C6C0-45E2-BAE3-5F4A0051E700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C4755EED-4758-4E5A-809E-9A697548652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C6C0-45E2-BAE3-5F4A0051E700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46430FF5-CB29-4121-8E19-D2B560021FA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C6C0-45E2-BAE3-5F4A0051E700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E2D19D9C-8C12-4472-94C1-3458C6A9637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C6C0-45E2-BAE3-5F4A0051E700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D000968C-690E-4F90-B652-B20D2E6D1C6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C6C0-45E2-BAE3-5F4A0051E700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BEBC566D-7C14-45B4-A157-C3B113E94CF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C6C0-45E2-BAE3-5F4A0051E700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AB5D336D-C0B4-4E4B-9D41-7BA7A1310FA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C6C0-45E2-BAE3-5F4A0051E700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B3565BE1-38C5-4AEA-9C79-372875AACF9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C6C0-45E2-BAE3-5F4A0051E700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DB68B74A-A560-437A-B843-81817714387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C6C0-45E2-BAE3-5F4A0051E700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61C1C38C-C6E0-4ED0-B087-D3A48F1E128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C6C0-45E2-BAE3-5F4A0051E700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D185BF09-BC37-42A3-82C3-E068DD88EB1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C6C0-45E2-BAE3-5F4A0051E700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34DB59AC-E160-4A9E-A9FD-87C79A03FB1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C6C0-45E2-BAE3-5F4A0051E700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fld id="{73433D06-72DF-4C22-A471-CBFABAC3A60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C6C0-45E2-BAE3-5F4A0051E700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fld id="{56D14A66-038B-4295-99F3-619904F16B9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C6C0-45E2-BAE3-5F4A0051E700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fld id="{D4B98EB1-B36C-4332-AA27-524CF56CE6E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C6C0-45E2-BAE3-5F4A0051E700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fld id="{93E6EA92-1822-4F0E-BAD2-723FA3AD22B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C6C0-45E2-BAE3-5F4A0051E700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fld id="{0072BDB4-67DC-496B-AB91-4484956D7E4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C6C0-45E2-BAE3-5F4A0051E700}"/>
                </c:ext>
              </c:extLst>
            </c:dLbl>
            <c:dLbl>
              <c:idx val="35"/>
              <c:layout>
                <c:manualLayout>
                  <c:x val="1.9252034492237391E-3"/>
                  <c:y val="-2.6241856216866231E-2"/>
                </c:manualLayout>
              </c:layout>
              <c:tx>
                <c:rich>
                  <a:bodyPr/>
                  <a:lstStyle/>
                  <a:p>
                    <a:fld id="{B996D060-1E1B-4A83-83F8-5B511DD617E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1-B91B-49DE-8416-365F7EE6D3E4}"/>
                </c:ext>
              </c:extLst>
            </c:dLbl>
            <c:dLbl>
              <c:idx val="36"/>
              <c:layout>
                <c:manualLayout>
                  <c:x val="-1.320653102429109E-2"/>
                  <c:y val="-7.9093876737418328E-2"/>
                </c:manualLayout>
              </c:layout>
              <c:tx>
                <c:rich>
                  <a:bodyPr/>
                  <a:lstStyle/>
                  <a:p>
                    <a:fld id="{8945C7D6-1A46-4626-8860-F72F9EB5B18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2-B91B-49DE-8416-365F7EE6D3E4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fld id="{5D5254FC-DE86-48DB-BBB5-3218A8C4657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C6C0-45E2-BAE3-5F4A0051E700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fld id="{78C47129-F208-4984-B256-724BE0D5E49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C6C0-45E2-BAE3-5F4A0051E700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fld id="{F56A2294-AED8-41F5-BB28-B375D70001C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C6C0-45E2-BAE3-5F4A0051E700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fld id="{FD6AD914-9AA8-4BD4-B969-B0D9CFA2157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C6C0-45E2-BAE3-5F4A0051E700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fld id="{281AC47C-0375-4734-97E0-3E2C23AD3F5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C6C0-45E2-BAE3-5F4A0051E700}"/>
                </c:ext>
              </c:extLst>
            </c:dLbl>
            <c:dLbl>
              <c:idx val="42"/>
              <c:tx>
                <c:rich>
                  <a:bodyPr/>
                  <a:lstStyle/>
                  <a:p>
                    <a:fld id="{61CCB2A2-8C27-4342-ADCD-9451E9A0301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C6C0-45E2-BAE3-5F4A0051E700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fld id="{79AA5259-441E-4FDC-92C5-C2655632D1E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C6C0-45E2-BAE3-5F4A0051E700}"/>
                </c:ext>
              </c:extLst>
            </c:dLbl>
            <c:dLbl>
              <c:idx val="44"/>
              <c:tx>
                <c:rich>
                  <a:bodyPr/>
                  <a:lstStyle/>
                  <a:p>
                    <a:fld id="{D9D01F01-5391-473E-99F9-B3346EC28BB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C6C0-45E2-BAE3-5F4A0051E700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fld id="{43B4D368-CCF1-49AB-9080-EEFC7E4CCB3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C6C0-45E2-BAE3-5F4A0051E700}"/>
                </c:ext>
              </c:extLst>
            </c:dLbl>
            <c:dLbl>
              <c:idx val="46"/>
              <c:tx>
                <c:rich>
                  <a:bodyPr/>
                  <a:lstStyle/>
                  <a:p>
                    <a:fld id="{0304C0BD-CA03-4783-8043-B3BE65F3ABA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C6C0-45E2-BAE3-5F4A0051E700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fld id="{63ECAFF4-07EA-408D-BAE6-622B7F401E6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C6C0-45E2-BAE3-5F4A0051E700}"/>
                </c:ext>
              </c:extLst>
            </c:dLbl>
            <c:dLbl>
              <c:idx val="48"/>
              <c:tx>
                <c:rich>
                  <a:bodyPr/>
                  <a:lstStyle/>
                  <a:p>
                    <a:fld id="{73A4E1FE-06D0-426C-9C37-83C412C5D08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C6C0-45E2-BAE3-5F4A0051E700}"/>
                </c:ext>
              </c:extLst>
            </c:dLbl>
            <c:dLbl>
              <c:idx val="49"/>
              <c:tx>
                <c:rich>
                  <a:bodyPr/>
                  <a:lstStyle/>
                  <a:p>
                    <a:fld id="{4F29928B-F288-4E0F-8A41-9D73D299570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C6C0-45E2-BAE3-5F4A0051E700}"/>
                </c:ext>
              </c:extLst>
            </c:dLbl>
            <c:dLbl>
              <c:idx val="50"/>
              <c:tx>
                <c:rich>
                  <a:bodyPr/>
                  <a:lstStyle/>
                  <a:p>
                    <a:fld id="{3D51BB12-09C1-4131-8598-BDE50DE1368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C6C0-45E2-BAE3-5F4A0051E700}"/>
                </c:ext>
              </c:extLst>
            </c:dLbl>
            <c:dLbl>
              <c:idx val="51"/>
              <c:tx>
                <c:rich>
                  <a:bodyPr/>
                  <a:lstStyle/>
                  <a:p>
                    <a:fld id="{14AF32B6-9FDA-4D01-B1D8-5D94AA8D506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C6C0-45E2-BAE3-5F4A0051E700}"/>
                </c:ext>
              </c:extLst>
            </c:dLbl>
            <c:dLbl>
              <c:idx val="52"/>
              <c:layout>
                <c:manualLayout>
                  <c:x val="-0.13329760023533452"/>
                  <c:y val="-4.4781835297346473E-2"/>
                </c:manualLayout>
              </c:layout>
              <c:tx>
                <c:rich>
                  <a:bodyPr/>
                  <a:lstStyle/>
                  <a:p>
                    <a:fld id="{7A67A928-8465-4F77-BFC6-E3D311D2BC6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2-B91B-49DE-8416-365F7EE6D3E4}"/>
                </c:ext>
              </c:extLst>
            </c:dLbl>
            <c:dLbl>
              <c:idx val="53"/>
              <c:tx>
                <c:rich>
                  <a:bodyPr/>
                  <a:lstStyle/>
                  <a:p>
                    <a:fld id="{BF3AF1F4-9F8A-4992-842E-3A881AA4830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C6C0-45E2-BAE3-5F4A0051E700}"/>
                </c:ext>
              </c:extLst>
            </c:dLbl>
            <c:dLbl>
              <c:idx val="54"/>
              <c:tx>
                <c:rich>
                  <a:bodyPr/>
                  <a:lstStyle/>
                  <a:p>
                    <a:fld id="{C1CE6547-54E8-499D-BE22-7E5879133A5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C6C0-45E2-BAE3-5F4A0051E700}"/>
                </c:ext>
              </c:extLst>
            </c:dLbl>
            <c:dLbl>
              <c:idx val="55"/>
              <c:tx>
                <c:rich>
                  <a:bodyPr/>
                  <a:lstStyle/>
                  <a:p>
                    <a:fld id="{AC165B07-04B8-46E5-9EFC-8F420FEDD59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C6C0-45E2-BAE3-5F4A0051E700}"/>
                </c:ext>
              </c:extLst>
            </c:dLbl>
            <c:dLbl>
              <c:idx val="56"/>
              <c:tx>
                <c:rich>
                  <a:bodyPr/>
                  <a:lstStyle/>
                  <a:p>
                    <a:fld id="{4290DF58-AC10-4D4C-AD40-E2373D65C89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C6C0-45E2-BAE3-5F4A0051E70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'Find a similar substance'!$E$11:$E$67</c:f>
              <c:numCache>
                <c:formatCode>General</c:formatCode>
                <c:ptCount val="57"/>
                <c:pt idx="0">
                  <c:v>8.6999999999999993</c:v>
                </c:pt>
                <c:pt idx="1">
                  <c:v>9.4</c:v>
                </c:pt>
                <c:pt idx="2">
                  <c:v>7.9</c:v>
                </c:pt>
                <c:pt idx="3">
                  <c:v>8.5</c:v>
                </c:pt>
                <c:pt idx="4">
                  <c:v>9.1</c:v>
                </c:pt>
                <c:pt idx="5">
                  <c:v>8</c:v>
                </c:pt>
                <c:pt idx="6">
                  <c:v>7.9</c:v>
                </c:pt>
                <c:pt idx="7">
                  <c:v>9.6</c:v>
                </c:pt>
                <c:pt idx="8">
                  <c:v>9.3000000000000007</c:v>
                </c:pt>
                <c:pt idx="9">
                  <c:v>8.1</c:v>
                </c:pt>
                <c:pt idx="10">
                  <c:v>8</c:v>
                </c:pt>
                <c:pt idx="11">
                  <c:v>9</c:v>
                </c:pt>
                <c:pt idx="12">
                  <c:v>9.6</c:v>
                </c:pt>
                <c:pt idx="13">
                  <c:v>7.7</c:v>
                </c:pt>
                <c:pt idx="14">
                  <c:v>8</c:v>
                </c:pt>
                <c:pt idx="15">
                  <c:v>10</c:v>
                </c:pt>
                <c:pt idx="16">
                  <c:v>7.3</c:v>
                </c:pt>
                <c:pt idx="17">
                  <c:v>10</c:v>
                </c:pt>
                <c:pt idx="18">
                  <c:v>10</c:v>
                </c:pt>
                <c:pt idx="19">
                  <c:v>7.6</c:v>
                </c:pt>
                <c:pt idx="20">
                  <c:v>7.2</c:v>
                </c:pt>
                <c:pt idx="21">
                  <c:v>8.4</c:v>
                </c:pt>
                <c:pt idx="22">
                  <c:v>7.6</c:v>
                </c:pt>
                <c:pt idx="23">
                  <c:v>7.7</c:v>
                </c:pt>
                <c:pt idx="24">
                  <c:v>8.6</c:v>
                </c:pt>
                <c:pt idx="25">
                  <c:v>7.4</c:v>
                </c:pt>
                <c:pt idx="26">
                  <c:v>9.5</c:v>
                </c:pt>
                <c:pt idx="27">
                  <c:v>8</c:v>
                </c:pt>
                <c:pt idx="28">
                  <c:v>8.9</c:v>
                </c:pt>
                <c:pt idx="29">
                  <c:v>10.3</c:v>
                </c:pt>
                <c:pt idx="30">
                  <c:v>10.6</c:v>
                </c:pt>
                <c:pt idx="31">
                  <c:v>9.1999999999999993</c:v>
                </c:pt>
                <c:pt idx="32">
                  <c:v>7.8</c:v>
                </c:pt>
                <c:pt idx="33">
                  <c:v>7.6</c:v>
                </c:pt>
                <c:pt idx="34">
                  <c:v>7.6</c:v>
                </c:pt>
                <c:pt idx="35">
                  <c:v>7.6</c:v>
                </c:pt>
                <c:pt idx="36">
                  <c:v>7</c:v>
                </c:pt>
                <c:pt idx="37">
                  <c:v>7.8</c:v>
                </c:pt>
                <c:pt idx="38">
                  <c:v>9</c:v>
                </c:pt>
                <c:pt idx="39">
                  <c:v>10</c:v>
                </c:pt>
                <c:pt idx="40">
                  <c:v>7.1</c:v>
                </c:pt>
                <c:pt idx="41">
                  <c:v>7.7</c:v>
                </c:pt>
                <c:pt idx="42">
                  <c:v>8</c:v>
                </c:pt>
                <c:pt idx="43">
                  <c:v>9.4</c:v>
                </c:pt>
                <c:pt idx="44">
                  <c:v>8.5</c:v>
                </c:pt>
                <c:pt idx="45">
                  <c:v>7.2</c:v>
                </c:pt>
                <c:pt idx="46">
                  <c:v>8</c:v>
                </c:pt>
                <c:pt idx="47">
                  <c:v>10.5</c:v>
                </c:pt>
                <c:pt idx="48">
                  <c:v>10.5</c:v>
                </c:pt>
                <c:pt idx="49">
                  <c:v>10.5</c:v>
                </c:pt>
                <c:pt idx="50">
                  <c:v>10.5</c:v>
                </c:pt>
                <c:pt idx="51">
                  <c:v>7.8</c:v>
                </c:pt>
                <c:pt idx="52">
                  <c:v>7.8</c:v>
                </c:pt>
                <c:pt idx="53">
                  <c:v>7.2</c:v>
                </c:pt>
                <c:pt idx="54">
                  <c:v>6.7</c:v>
                </c:pt>
                <c:pt idx="55">
                  <c:v>9.4</c:v>
                </c:pt>
                <c:pt idx="56">
                  <c:v>9.9</c:v>
                </c:pt>
              </c:numCache>
            </c:numRef>
          </c:xVal>
          <c:yVal>
            <c:numRef>
              <c:f>'Find a similar substance'!$F$11:$F$67</c:f>
              <c:numCache>
                <c:formatCode>General</c:formatCode>
                <c:ptCount val="57"/>
                <c:pt idx="0">
                  <c:v>5</c:v>
                </c:pt>
                <c:pt idx="1">
                  <c:v>4.8</c:v>
                </c:pt>
                <c:pt idx="2">
                  <c:v>4.8</c:v>
                </c:pt>
                <c:pt idx="3">
                  <c:v>5.7</c:v>
                </c:pt>
                <c:pt idx="4">
                  <c:v>4.2</c:v>
                </c:pt>
                <c:pt idx="5">
                  <c:v>5</c:v>
                </c:pt>
                <c:pt idx="6">
                  <c:v>4.5999999999999996</c:v>
                </c:pt>
                <c:pt idx="7">
                  <c:v>5.5</c:v>
                </c:pt>
                <c:pt idx="8">
                  <c:v>5.9</c:v>
                </c:pt>
                <c:pt idx="9">
                  <c:v>4.4000000000000004</c:v>
                </c:pt>
                <c:pt idx="10">
                  <c:v>4.0999999999999996</c:v>
                </c:pt>
                <c:pt idx="11">
                  <c:v>5.0999999999999996</c:v>
                </c:pt>
                <c:pt idx="12">
                  <c:v>4.5</c:v>
                </c:pt>
                <c:pt idx="13">
                  <c:v>4.4000000000000004</c:v>
                </c:pt>
                <c:pt idx="14">
                  <c:v>5.5</c:v>
                </c:pt>
                <c:pt idx="15">
                  <c:v>5.4</c:v>
                </c:pt>
                <c:pt idx="16">
                  <c:v>4.9000000000000004</c:v>
                </c:pt>
                <c:pt idx="17">
                  <c:v>5</c:v>
                </c:pt>
                <c:pt idx="18">
                  <c:v>5.7</c:v>
                </c:pt>
                <c:pt idx="19">
                  <c:v>5.4</c:v>
                </c:pt>
                <c:pt idx="20">
                  <c:v>5</c:v>
                </c:pt>
                <c:pt idx="21">
                  <c:v>5.3</c:v>
                </c:pt>
                <c:pt idx="22">
                  <c:v>4.7</c:v>
                </c:pt>
                <c:pt idx="23">
                  <c:v>4.4000000000000004</c:v>
                </c:pt>
                <c:pt idx="24">
                  <c:v>6.7</c:v>
                </c:pt>
                <c:pt idx="25">
                  <c:v>6.1</c:v>
                </c:pt>
                <c:pt idx="26">
                  <c:v>5.4</c:v>
                </c:pt>
                <c:pt idx="27">
                  <c:v>6.7</c:v>
                </c:pt>
                <c:pt idx="28">
                  <c:v>5.5</c:v>
                </c:pt>
                <c:pt idx="29">
                  <c:v>5.3</c:v>
                </c:pt>
                <c:pt idx="30">
                  <c:v>5.2</c:v>
                </c:pt>
                <c:pt idx="31">
                  <c:v>5.5</c:v>
                </c:pt>
                <c:pt idx="32">
                  <c:v>3.3</c:v>
                </c:pt>
                <c:pt idx="33">
                  <c:v>4.9000000000000004</c:v>
                </c:pt>
                <c:pt idx="34">
                  <c:v>3.6</c:v>
                </c:pt>
                <c:pt idx="35">
                  <c:v>4.7</c:v>
                </c:pt>
                <c:pt idx="36">
                  <c:v>6</c:v>
                </c:pt>
                <c:pt idx="37">
                  <c:v>3.5</c:v>
                </c:pt>
                <c:pt idx="38">
                  <c:v>7</c:v>
                </c:pt>
                <c:pt idx="39">
                  <c:v>6.2</c:v>
                </c:pt>
                <c:pt idx="40">
                  <c:v>4.2</c:v>
                </c:pt>
                <c:pt idx="41">
                  <c:v>5.3</c:v>
                </c:pt>
                <c:pt idx="42">
                  <c:v>3.2</c:v>
                </c:pt>
                <c:pt idx="43">
                  <c:v>5.8</c:v>
                </c:pt>
                <c:pt idx="44">
                  <c:v>7</c:v>
                </c:pt>
                <c:pt idx="45">
                  <c:v>5.9</c:v>
                </c:pt>
                <c:pt idx="46">
                  <c:v>4.7</c:v>
                </c:pt>
                <c:pt idx="47">
                  <c:v>6</c:v>
                </c:pt>
                <c:pt idx="48">
                  <c:v>6.1</c:v>
                </c:pt>
                <c:pt idx="49">
                  <c:v>6.1</c:v>
                </c:pt>
                <c:pt idx="50">
                  <c:v>6.1</c:v>
                </c:pt>
                <c:pt idx="51">
                  <c:v>3</c:v>
                </c:pt>
                <c:pt idx="52">
                  <c:v>4.7</c:v>
                </c:pt>
                <c:pt idx="53">
                  <c:v>3.4</c:v>
                </c:pt>
                <c:pt idx="54">
                  <c:v>5.8</c:v>
                </c:pt>
                <c:pt idx="55">
                  <c:v>6.4</c:v>
                </c:pt>
                <c:pt idx="56">
                  <c:v>5.6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'Find a similar substance'!$C$11:$C$67</c15:f>
                <c15:dlblRangeCache>
                  <c:ptCount val="57"/>
                  <c:pt idx="0">
                    <c:v>Rhodiasolv IRIS / Dimethyl 2-Methylglutarate</c:v>
                  </c:pt>
                  <c:pt idx="1">
                    <c:v>Butyrylchloride</c:v>
                  </c:pt>
                  <c:pt idx="2">
                    <c:v>1-Bromopropane</c:v>
                  </c:pt>
                  <c:pt idx="3">
                    <c:v>Glycidyl Methacrylate</c:v>
                  </c:pt>
                  <c:pt idx="4">
                    <c:v>1,4-Butandiol Diacrylate</c:v>
                  </c:pt>
                  <c:pt idx="5">
                    <c:v>Isophorone</c:v>
                  </c:pt>
                  <c:pt idx="6">
                    <c:v>2-Chloroethyl Ethyl Ether</c:v>
                  </c:pt>
                  <c:pt idx="7">
                    <c:v>Chloroacetone</c:v>
                  </c:pt>
                  <c:pt idx="8">
                    <c:v>Vinyl Pyrrolidone</c:v>
                  </c:pt>
                  <c:pt idx="9">
                    <c:v>l-Menthone</c:v>
                  </c:pt>
                  <c:pt idx="10">
                    <c:v>Cyclodecanone</c:v>
                  </c:pt>
                  <c:pt idx="11">
                    <c:v>Methyl Ethyl Ketone (MEK)</c:v>
                  </c:pt>
                  <c:pt idx="12">
                    <c:v>Cyclooctanone</c:v>
                  </c:pt>
                  <c:pt idx="13">
                    <c:v>2-Bromobutane</c:v>
                  </c:pt>
                  <c:pt idx="14">
                    <c:v>2-Ethyl Croton Aldehyde</c:v>
                  </c:pt>
                  <c:pt idx="15">
                    <c:v>Oxetane (Trimethylene Oxide)</c:v>
                  </c:pt>
                  <c:pt idx="16">
                    <c:v>Allyl Bromide (3-Bromoprene)</c:v>
                  </c:pt>
                  <c:pt idx="17">
                    <c:v>Polyethylene oxide (PEO)</c:v>
                  </c:pt>
                  <c:pt idx="18">
                    <c:v>Di-Isopropyl Methyl Phosphonate</c:v>
                  </c:pt>
                  <c:pt idx="19">
                    <c:v>1,1-Dichloroacetone</c:v>
                  </c:pt>
                  <c:pt idx="20">
                    <c:v>Mesityl Oxide</c:v>
                  </c:pt>
                  <c:pt idx="21">
                    <c:v>Hexanal</c:v>
                  </c:pt>
                  <c:pt idx="22">
                    <c:v>Methyl n-Propyl Ketone</c:v>
                  </c:pt>
                  <c:pt idx="23">
                    <c:v>Dibutyl Ketone</c:v>
                  </c:pt>
                  <c:pt idx="24">
                    <c:v>1,2-Epoxy-2-Propene</c:v>
                  </c:pt>
                  <c:pt idx="25">
                    <c:v>Trichloroacetonitrile</c:v>
                  </c:pt>
                  <c:pt idx="26">
                    <c:v>Methacrylonitrile</c:v>
                  </c:pt>
                  <c:pt idx="27">
                    <c:v>4-Chloro-1,2-Butadiene</c:v>
                  </c:pt>
                  <c:pt idx="28">
                    <c:v>Pulegone</c:v>
                  </c:pt>
                  <c:pt idx="29">
                    <c:v>Propionylchloride</c:v>
                  </c:pt>
                  <c:pt idx="30">
                    <c:v>Acetylbromide</c:v>
                  </c:pt>
                  <c:pt idx="31">
                    <c:v>Chloroacetylchloride</c:v>
                  </c:pt>
                  <c:pt idx="32">
                    <c:v>Dichloroethylene (Trans)</c:v>
                  </c:pt>
                  <c:pt idx="33">
                    <c:v>Dipropyl Ketone</c:v>
                  </c:pt>
                  <c:pt idx="34">
                    <c:v>Dihexyl Phthalate</c:v>
                  </c:pt>
                  <c:pt idx="35">
                    <c:v>Diethyl Ketone</c:v>
                  </c:pt>
                  <c:pt idx="36">
                    <c:v>Vinyl S-Ethyl Mercapto Ethyl Ether</c:v>
                  </c:pt>
                  <c:pt idx="37">
                    <c:v>1,1-Dichloropropane</c:v>
                  </c:pt>
                  <c:pt idx="38">
                    <c:v>Polypropylene oxide (PPO)</c:v>
                  </c:pt>
                  <c:pt idx="39">
                    <c:v>Acetylacetone</c:v>
                  </c:pt>
                  <c:pt idx="40">
                    <c:v>1-Chloro-2-Methyl Propene</c:v>
                  </c:pt>
                  <c:pt idx="41">
                    <c:v>Methyl Iodide</c:v>
                  </c:pt>
                  <c:pt idx="42">
                    <c:v>1,2-Dichloroethylene (Cis)</c:v>
                  </c:pt>
                  <c:pt idx="43">
                    <c:v>Pentanal (Valeraldehyde)</c:v>
                  </c:pt>
                  <c:pt idx="44">
                    <c:v>Bromomethyl Methyl Ether</c:v>
                  </c:pt>
                  <c:pt idx="45">
                    <c:v>Vinyl Acetate</c:v>
                  </c:pt>
                  <c:pt idx="46">
                    <c:v>Vinyl Propionate</c:v>
                  </c:pt>
                  <c:pt idx="47">
                    <c:v>1,2-Dichlorovinyl Ethyl Ether</c:v>
                  </c:pt>
                  <c:pt idx="48">
                    <c:v>Di-n-Butyl Sulfoxide</c:v>
                  </c:pt>
                  <c:pt idx="49">
                    <c:v>Di-Isobutyl Sulfoxide</c:v>
                  </c:pt>
                  <c:pt idx="50">
                    <c:v>Isobutyl Sulfoxide</c:v>
                  </c:pt>
                  <c:pt idx="51">
                    <c:v>1,1-Dichloroethane</c:v>
                  </c:pt>
                  <c:pt idx="52">
                    <c:v>2-Methyl Cyclohexanone</c:v>
                  </c:pt>
                  <c:pt idx="53">
                    <c:v>Di-Isoheptyl Phthalate</c:v>
                  </c:pt>
                  <c:pt idx="54">
                    <c:v>Vinyl 2-Chloro Ethyl Ether</c:v>
                  </c:pt>
                  <c:pt idx="55">
                    <c:v>Dichloroacetonitrile</c:v>
                  </c:pt>
                  <c:pt idx="56">
                    <c:v>Bromoacetylene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0354-4354-9C2C-16CCFE05F746}"/>
            </c:ext>
          </c:extLst>
        </c:ser>
        <c:ser>
          <c:idx val="1"/>
          <c:order val="1"/>
          <c:tx>
            <c:v>Reference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'Find a similar substance'!$E$5</c:f>
              <c:numCache>
                <c:formatCode>General</c:formatCode>
                <c:ptCount val="1"/>
                <c:pt idx="0">
                  <c:v>8.6999999999999993</c:v>
                </c:pt>
              </c:numCache>
            </c:numRef>
          </c:xVal>
          <c:yVal>
            <c:numRef>
              <c:f>'Find a similar substance'!$F$5</c:f>
              <c:numCache>
                <c:formatCode>General</c:formatCode>
                <c:ptCount val="1"/>
                <c:pt idx="0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0354-4354-9C2C-16CCFE05F74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308878232"/>
        <c:axId val="308878624"/>
      </c:scatterChart>
      <c:valAx>
        <c:axId val="3088782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sz="1100" b="1"/>
                  <a:t>dP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8878624"/>
        <c:crosses val="autoZero"/>
        <c:crossBetween val="midCat"/>
      </c:valAx>
      <c:valAx>
        <c:axId val="30887862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sz="1100" b="1"/>
                  <a:t>dH</a:t>
                </a:r>
              </a:p>
            </c:rich>
          </c:tx>
          <c:layout>
            <c:manualLayout>
              <c:xMode val="edge"/>
              <c:yMode val="edge"/>
              <c:x val="8.9467264781231924E-3"/>
              <c:y val="0.4609033933271160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88782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6.9203361546980244E-2"/>
          <c:y val="6.5117470072338533E-3"/>
          <c:w val="0.1432011925690998"/>
          <c:h val="5.533380843043506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4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image" Target="../media/image3.pn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4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chart" Target="../charts/chart10.xml"/><Relationship Id="rId1" Type="http://schemas.openxmlformats.org/officeDocument/2006/relationships/image" Target="../media/image6.pn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593911</xdr:colOff>
      <xdr:row>0</xdr:row>
      <xdr:rowOff>22411</xdr:rowOff>
    </xdr:from>
    <xdr:to>
      <xdr:col>21</xdr:col>
      <xdr:colOff>22971</xdr:colOff>
      <xdr:row>26</xdr:row>
      <xdr:rowOff>100852</xdr:rowOff>
    </xdr:to>
    <xdr:graphicFrame macro="">
      <xdr:nvGraphicFramePr>
        <xdr:cNvPr id="8" name="Gráfico 2">
          <a:extLst>
            <a:ext uri="{FF2B5EF4-FFF2-40B4-BE49-F238E27FC236}">
              <a16:creationId xmlns:a16="http://schemas.microsoft.com/office/drawing/2014/main" id="{3B824655-EDD4-48C8-B53C-4C7ECDEA61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21</xdr:col>
      <xdr:colOff>81643</xdr:colOff>
      <xdr:row>27</xdr:row>
      <xdr:rowOff>0</xdr:rowOff>
    </xdr:from>
    <xdr:to>
      <xdr:col>29</xdr:col>
      <xdr:colOff>398012</xdr:colOff>
      <xdr:row>55</xdr:row>
      <xdr:rowOff>123119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EDDEA93-F185-450F-B5FE-13E5961D72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519072" y="5334000"/>
          <a:ext cx="5419048" cy="5647619"/>
        </a:xfrm>
        <a:prstGeom prst="rect">
          <a:avLst/>
        </a:prstGeom>
      </xdr:spPr>
    </xdr:pic>
    <xdr:clientData/>
  </xdr:twoCellAnchor>
  <xdr:twoCellAnchor>
    <xdr:from>
      <xdr:col>21</xdr:col>
      <xdr:colOff>95250</xdr:colOff>
      <xdr:row>0</xdr:row>
      <xdr:rowOff>27213</xdr:rowOff>
    </xdr:from>
    <xdr:to>
      <xdr:col>29</xdr:col>
      <xdr:colOff>381000</xdr:colOff>
      <xdr:row>26</xdr:row>
      <xdr:rowOff>105654</xdr:rowOff>
    </xdr:to>
    <xdr:graphicFrame macro="">
      <xdr:nvGraphicFramePr>
        <xdr:cNvPr id="6" name="Gráfico 2">
          <a:extLst>
            <a:ext uri="{FF2B5EF4-FFF2-40B4-BE49-F238E27FC236}">
              <a16:creationId xmlns:a16="http://schemas.microsoft.com/office/drawing/2014/main" id="{71B7E376-F601-4284-B09F-B36400D21C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598714</xdr:colOff>
      <xdr:row>26</xdr:row>
      <xdr:rowOff>176893</xdr:rowOff>
    </xdr:from>
    <xdr:to>
      <xdr:col>21</xdr:col>
      <xdr:colOff>40820</xdr:colOff>
      <xdr:row>52</xdr:row>
      <xdr:rowOff>64834</xdr:rowOff>
    </xdr:to>
    <xdr:graphicFrame macro="">
      <xdr:nvGraphicFramePr>
        <xdr:cNvPr id="7" name="Gráfico 2">
          <a:extLst>
            <a:ext uri="{FF2B5EF4-FFF2-40B4-BE49-F238E27FC236}">
              <a16:creationId xmlns:a16="http://schemas.microsoft.com/office/drawing/2014/main" id="{FA852BB2-3881-4026-B68D-8938E9B5B9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427223</xdr:colOff>
      <xdr:row>0</xdr:row>
      <xdr:rowOff>93848</xdr:rowOff>
    </xdr:from>
    <xdr:to>
      <xdr:col>26</xdr:col>
      <xdr:colOff>714374</xdr:colOff>
      <xdr:row>26</xdr:row>
      <xdr:rowOff>119062</xdr:rowOff>
    </xdr:to>
    <xdr:graphicFrame macro="">
      <xdr:nvGraphicFramePr>
        <xdr:cNvPr id="2" name="Gráfico 2">
          <a:extLst>
            <a:ext uri="{FF2B5EF4-FFF2-40B4-BE49-F238E27FC236}">
              <a16:creationId xmlns:a16="http://schemas.microsoft.com/office/drawing/2014/main" id="{961C67FF-2714-48D2-B292-59F459FD8C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415318</xdr:colOff>
      <xdr:row>26</xdr:row>
      <xdr:rowOff>218516</xdr:rowOff>
    </xdr:from>
    <xdr:to>
      <xdr:col>26</xdr:col>
      <xdr:colOff>713534</xdr:colOff>
      <xdr:row>48</xdr:row>
      <xdr:rowOff>61634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34BC46F-6550-4368-98F7-43BF972234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27</xdr:col>
      <xdr:colOff>43423</xdr:colOff>
      <xdr:row>0</xdr:row>
      <xdr:rowOff>81942</xdr:rowOff>
    </xdr:from>
    <xdr:to>
      <xdr:col>35</xdr:col>
      <xdr:colOff>572058</xdr:colOff>
      <xdr:row>26</xdr:row>
      <xdr:rowOff>178592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4E564E4-925B-4CE4-A7E3-FCA83CD05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27</xdr:col>
      <xdr:colOff>95250</xdr:colOff>
      <xdr:row>26</xdr:row>
      <xdr:rowOff>299357</xdr:rowOff>
    </xdr:from>
    <xdr:to>
      <xdr:col>36</xdr:col>
      <xdr:colOff>12928</xdr:colOff>
      <xdr:row>55</xdr:row>
      <xdr:rowOff>89095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05CB370-9976-4A32-AA0D-F2D47AEC4A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164300" y="4890407"/>
          <a:ext cx="5404079" cy="569523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118358</xdr:colOff>
      <xdr:row>18</xdr:row>
      <xdr:rowOff>38099</xdr:rowOff>
    </xdr:from>
    <xdr:to>
      <xdr:col>23</xdr:col>
      <xdr:colOff>485773</xdr:colOff>
      <xdr:row>19</xdr:row>
      <xdr:rowOff>164754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663283" y="3686174"/>
          <a:ext cx="1081791" cy="326679"/>
        </a:xfrm>
        <a:prstGeom prst="rect">
          <a:avLst/>
        </a:prstGeom>
      </xdr:spPr>
    </xdr:pic>
    <xdr:clientData/>
  </xdr:twoCellAnchor>
  <xdr:twoCellAnchor>
    <xdr:from>
      <xdr:col>0</xdr:col>
      <xdr:colOff>177773</xdr:colOff>
      <xdr:row>34</xdr:row>
      <xdr:rowOff>93818</xdr:rowOff>
    </xdr:from>
    <xdr:to>
      <xdr:col>2</xdr:col>
      <xdr:colOff>332974</xdr:colOff>
      <xdr:row>52</xdr:row>
      <xdr:rowOff>59225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299357</xdr:colOff>
      <xdr:row>34</xdr:row>
      <xdr:rowOff>104047</xdr:rowOff>
    </xdr:from>
    <xdr:to>
      <xdr:col>18</xdr:col>
      <xdr:colOff>1184623</xdr:colOff>
      <xdr:row>52</xdr:row>
      <xdr:rowOff>80835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A38935D2-BBFA-4B11-8D3F-DD5C0DAB1F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389005</xdr:colOff>
      <xdr:row>34</xdr:row>
      <xdr:rowOff>92842</xdr:rowOff>
    </xdr:from>
    <xdr:to>
      <xdr:col>13</xdr:col>
      <xdr:colOff>220916</xdr:colOff>
      <xdr:row>52</xdr:row>
      <xdr:rowOff>59223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6BD98E4E-9FAE-4944-91E0-4123AFF0D4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27</xdr:col>
      <xdr:colOff>33619</xdr:colOff>
      <xdr:row>0</xdr:row>
      <xdr:rowOff>0</xdr:rowOff>
    </xdr:from>
    <xdr:to>
      <xdr:col>37</xdr:col>
      <xdr:colOff>529786</xdr:colOff>
      <xdr:row>20</xdr:row>
      <xdr:rowOff>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DAE2D25-912C-478A-ABD7-6C6DA27D10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0865354" y="0"/>
          <a:ext cx="3667431" cy="3866029"/>
        </a:xfrm>
        <a:prstGeom prst="rect">
          <a:avLst/>
        </a:prstGeom>
      </xdr:spPr>
    </xdr:pic>
    <xdr:clientData/>
  </xdr:twoCellAnchor>
  <xdr:twoCellAnchor editAs="oneCell">
    <xdr:from>
      <xdr:col>27</xdr:col>
      <xdr:colOff>68035</xdr:colOff>
      <xdr:row>20</xdr:row>
      <xdr:rowOff>81643</xdr:rowOff>
    </xdr:from>
    <xdr:to>
      <xdr:col>37</xdr:col>
      <xdr:colOff>713770</xdr:colOff>
      <xdr:row>41</xdr:row>
      <xdr:rowOff>74768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94A5ED98-DDBC-4DC0-8D99-9848AA9684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1077464" y="3959679"/>
          <a:ext cx="3775377" cy="400723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89866</xdr:colOff>
      <xdr:row>7</xdr:row>
      <xdr:rowOff>165653</xdr:rowOff>
    </xdr:from>
    <xdr:to>
      <xdr:col>7</xdr:col>
      <xdr:colOff>270818</xdr:colOff>
      <xdr:row>9</xdr:row>
      <xdr:rowOff>3701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85991" y="1518203"/>
          <a:ext cx="180952" cy="219048"/>
        </a:xfrm>
        <a:prstGeom prst="rect">
          <a:avLst/>
        </a:prstGeom>
      </xdr:spPr>
    </xdr:pic>
    <xdr:clientData/>
  </xdr:twoCellAnchor>
  <xdr:twoCellAnchor>
    <xdr:from>
      <xdr:col>9</xdr:col>
      <xdr:colOff>57151</xdr:colOff>
      <xdr:row>6</xdr:row>
      <xdr:rowOff>180975</xdr:rowOff>
    </xdr:from>
    <xdr:to>
      <xdr:col>21</xdr:col>
      <xdr:colOff>676275</xdr:colOff>
      <xdr:row>37</xdr:row>
      <xdr:rowOff>123825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107675</xdr:colOff>
      <xdr:row>5</xdr:row>
      <xdr:rowOff>149088</xdr:rowOff>
    </xdr:from>
    <xdr:to>
      <xdr:col>7</xdr:col>
      <xdr:colOff>279104</xdr:colOff>
      <xdr:row>6</xdr:row>
      <xdr:rowOff>177636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205871" y="1109871"/>
          <a:ext cx="171429" cy="219048"/>
        </a:xfrm>
        <a:prstGeom prst="rect">
          <a:avLst/>
        </a:prstGeom>
      </xdr:spPr>
    </xdr:pic>
    <xdr:clientData/>
  </xdr:twoCellAnchor>
  <xdr:twoCellAnchor editAs="oneCell">
    <xdr:from>
      <xdr:col>7</xdr:col>
      <xdr:colOff>99391</xdr:colOff>
      <xdr:row>6</xdr:row>
      <xdr:rowOff>157369</xdr:rowOff>
    </xdr:from>
    <xdr:to>
      <xdr:col>7</xdr:col>
      <xdr:colOff>261296</xdr:colOff>
      <xdr:row>8</xdr:row>
      <xdr:rowOff>4940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197587" y="1308652"/>
          <a:ext cx="161905" cy="22857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ozzettogroup-my.sharepoint.com/personal/rmurcia_asutex_com/Documents/Escritorio/HSP_Calculations%20(version%202Esf%20-%20Betal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SP Sphere"/>
      <sheetName val="HSP Solvent Blends and Chi"/>
      <sheetName val="Buscar alternativas a un solven"/>
      <sheetName val="Chemicals"/>
      <sheetName val="Disolventes para screening"/>
      <sheetName val="Trigonal Plot"/>
      <sheetName val="HSP Calcs"/>
      <sheetName val="HSP_Calculations (version 2Esf "/>
    </sheetNames>
    <sheetDataSet>
      <sheetData sheetId="0">
        <row r="3">
          <cell r="C3">
            <v>17.779426968618488</v>
          </cell>
        </row>
      </sheetData>
      <sheetData sheetId="1">
        <row r="20">
          <cell r="R20">
            <v>7.2484178273606696</v>
          </cell>
          <cell r="S20">
            <v>25</v>
          </cell>
          <cell r="T20" t="str">
            <v>No MVol</v>
          </cell>
          <cell r="U20">
            <v>2474.645</v>
          </cell>
        </row>
      </sheetData>
      <sheetData sheetId="2" refreshError="1"/>
      <sheetData sheetId="3"/>
      <sheetData sheetId="4" refreshError="1"/>
      <sheetData sheetId="5" refreshError="1"/>
      <sheetData sheetId="6" refreshError="1"/>
      <sheetData sheetId="7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1:H1269" totalsRowShown="0" headerRowDxfId="136" dataDxfId="135" tableBorderDxfId="134">
  <autoFilter ref="A1:H1269" xr:uid="{00000000-0009-0000-0100-000001000000}"/>
  <tableColumns count="8">
    <tableColumn id="2" xr3:uid="{00000000-0010-0000-0000-000002000000}" name="CAS" dataDxfId="133"/>
    <tableColumn id="1" xr3:uid="{00000000-0010-0000-0000-000001000000}" name="Chemical" dataDxfId="132"/>
    <tableColumn id="3" xr3:uid="{00000000-0010-0000-0000-000003000000}" name="dD" dataDxfId="131"/>
    <tableColumn id="4" xr3:uid="{00000000-0010-0000-0000-000004000000}" name="dP" dataDxfId="130"/>
    <tableColumn id="5" xr3:uid="{00000000-0010-0000-0000-000005000000}" name="dH" dataDxfId="129"/>
    <tableColumn id="10" xr3:uid="{00000000-0010-0000-0000-00000A000000}" name="Vmol" dataDxfId="128">
      <calculatedColumnFormula>IFERROR(VLOOKUP(B2,Tabla2[],5,FALSE),"")</calculatedColumnFormula>
    </tableColumn>
    <tableColumn id="6" xr3:uid="{00000000-0010-0000-0000-000006000000}" name="Distance" dataDxfId="127">
      <calculatedColumnFormula>SQRT(4*(Tabla1[[#This Row],[dD]]-'Find a similar substance'!$D$5)^2+('Find a similar substance'!$E$5-Tabla1[[#This Row],[dP]])^2+(Tabla1[[#This Row],[dH]]-'Find a similar substance'!$F$5)^2)</calculatedColumnFormula>
    </tableColumn>
    <tableColumn id="8" xr3:uid="{00000000-0010-0000-0000-000008000000}" name="Radius" dataDxfId="126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2" displayName="Tabla2" ref="L1:P87" totalsRowShown="0" headerRowDxfId="125" dataDxfId="124">
  <autoFilter ref="L1:P87" xr:uid="{00000000-0009-0000-0100-000002000000}"/>
  <tableColumns count="5">
    <tableColumn id="1" xr3:uid="{00000000-0010-0000-0100-000001000000}" name="Solvents" dataDxfId="123"/>
    <tableColumn id="2" xr3:uid="{00000000-0010-0000-0100-000002000000}" name="dD" dataDxfId="122"/>
    <tableColumn id="3" xr3:uid="{00000000-0010-0000-0100-000003000000}" name="dP" dataDxfId="121"/>
    <tableColumn id="4" xr3:uid="{00000000-0010-0000-0100-000004000000}" name="dH" dataDxfId="120"/>
    <tableColumn id="5" xr3:uid="{00000000-0010-0000-0100-000005000000}" name="MVol" dataDxfId="11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Tabla4" displayName="Tabla4" ref="A15:J37" totalsRowShown="0" headerRowDxfId="118" dataDxfId="117">
  <tableColumns count="10">
    <tableColumn id="1" xr3:uid="{00000000-0010-0000-0200-000001000000}" name="CAS" dataDxfId="116"/>
    <tableColumn id="2" xr3:uid="{00000000-0010-0000-0200-000002000000}" name="Solvents" dataDxfId="115">
      <calculatedColumnFormula>VLOOKUP(Tabla4[[#This Row],[CAS]],Tabla1[],2,FALSE)</calculatedColumnFormula>
    </tableColumn>
    <tableColumn id="3" xr3:uid="{00000000-0010-0000-0200-000003000000}" name="dD" dataDxfId="114">
      <calculatedColumnFormula>VLOOKUP(Tabla4[[#This Row],[CAS]],Tabla1[],3,FALSE)</calculatedColumnFormula>
    </tableColumn>
    <tableColumn id="4" xr3:uid="{00000000-0010-0000-0200-000004000000}" name="dP" dataDxfId="113">
      <calculatedColumnFormula>VLOOKUP(Tabla4[[#This Row],[CAS]],Tabla1[],4,FALSE)</calculatedColumnFormula>
    </tableColumn>
    <tableColumn id="5" xr3:uid="{00000000-0010-0000-0200-000005000000}" name="dH" dataDxfId="112">
      <calculatedColumnFormula>VLOOKUP(Tabla4[[#This Row],[CAS]],Tabla1[],5,FALSE)</calculatedColumnFormula>
    </tableColumn>
    <tableColumn id="6" xr3:uid="{00000000-0010-0000-0200-000006000000}" name="MVol" dataDxfId="111">
      <calculatedColumnFormula>VLOOKUP(Tabla4[[#This Row],[CAS]],Tabla1[],6,FALSE)</calculatedColumnFormula>
    </tableColumn>
    <tableColumn id="7" xr3:uid="{00000000-0010-0000-0200-000007000000}" name="WI / WO" dataDxfId="110">
      <calculatedColumnFormula>IF(L16=1,IF(J16&lt;=1,"","WO"),IF(L16&lt;&gt;"",IF(J16&gt;1,"","WI"),""))</calculatedColumnFormula>
    </tableColumn>
    <tableColumn id="8" xr3:uid="{00000000-0010-0000-0200-000008000000}" name="AUX" dataDxfId="109">
      <calculatedColumnFormula>ISNUMBER(SEARCH("w",Tabla4[[#This Row],[WI / WO]]))</calculatedColumnFormula>
    </tableColumn>
    <tableColumn id="10" xr3:uid="{00000000-0010-0000-0200-00000A000000}" name="AUX2" dataDxfId="108">
      <calculatedColumnFormula>L16</calculatedColumnFormula>
    </tableColumn>
    <tableColumn id="9" xr3:uid="{00000000-0010-0000-0200-000009000000}" name="RED" dataDxfId="107">
      <calculatedColumnFormula>IF(L16&lt;&gt;"",M16/R_,"")</calculatedColumnFormula>
    </tableColumn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3000000}" name="Tabla9" displayName="Tabla9" ref="AT2:AY75" totalsRowShown="0" headerRowDxfId="106" dataDxfId="105">
  <autoFilter ref="AT2:AY75" xr:uid="{00000000-0009-0000-0100-000009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00000000-0010-0000-0300-000001000000}" name="Angle º" dataDxfId="104"/>
    <tableColumn id="2" xr3:uid="{00000000-0010-0000-0300-000002000000}" name="Rad" dataDxfId="103">
      <calculatedColumnFormula>RADIANS(Tabla9[[#This Row],[Angle º]])</calculatedColumnFormula>
    </tableColumn>
    <tableColumn id="3" xr3:uid="{00000000-0010-0000-0300-000003000000}" name="dD (y)" dataDxfId="102">
      <calculatedColumnFormula>$F$3*SIN(AU3)+ dD</calculatedColumnFormula>
    </tableColumn>
    <tableColumn id="4" xr3:uid="{00000000-0010-0000-0300-000004000000}" name="dP (x)" dataDxfId="101">
      <calculatedColumnFormula>$F$3*COS(AU3)+ dP</calculatedColumnFormula>
    </tableColumn>
    <tableColumn id="5" xr3:uid="{00000000-0010-0000-0300-000005000000}" name="dH (y)" dataDxfId="100">
      <calculatedColumnFormula>$F$3*SIN(AU3)+  dH</calculatedColumnFormula>
    </tableColumn>
    <tableColumn id="6" xr3:uid="{00000000-0010-0000-0300-000006000000}" name="dD (x)" dataDxfId="99">
      <calculatedColumnFormula>$F$3*COS(AU3)+ dD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4000000}" name="Tabla48" displayName="Tabla48" ref="A18:K67" totalsRowShown="0" headerRowDxfId="98" dataDxfId="97">
  <tableColumns count="11">
    <tableColumn id="1" xr3:uid="{00000000-0010-0000-0400-000001000000}" name="CAS" dataDxfId="96"/>
    <tableColumn id="2" xr3:uid="{00000000-0010-0000-0400-000002000000}" name="Solvents" dataDxfId="95">
      <calculatedColumnFormula>VLOOKUP(Tabla48[[#This Row],[CAS]],Tabla1[],2,FALSE)</calculatedColumnFormula>
    </tableColumn>
    <tableColumn id="3" xr3:uid="{00000000-0010-0000-0400-000003000000}" name="dD" dataDxfId="94">
      <calculatedColumnFormula>VLOOKUP(Tabla48[[#This Row],[CAS]],Tabla1[],3,FALSE)</calculatedColumnFormula>
    </tableColumn>
    <tableColumn id="4" xr3:uid="{00000000-0010-0000-0400-000004000000}" name="dP" dataDxfId="93">
      <calculatedColumnFormula>VLOOKUP(Tabla48[[#This Row],[CAS]],Tabla1[],4,FALSE)</calculatedColumnFormula>
    </tableColumn>
    <tableColumn id="5" xr3:uid="{00000000-0010-0000-0400-000005000000}" name="dH" dataDxfId="92">
      <calculatedColumnFormula>VLOOKUP(Tabla48[[#This Row],[CAS]],Tabla1[],5,FALSE)</calculatedColumnFormula>
    </tableColumn>
    <tableColumn id="6" xr3:uid="{00000000-0010-0000-0400-000006000000}" name="MVol" dataDxfId="91">
      <calculatedColumnFormula>VLOOKUP(Tabla48[[#This Row],[CAS]],Tabla1[],6,FALSE)</calculatedColumnFormula>
    </tableColumn>
    <tableColumn id="7" xr3:uid="{00000000-0010-0000-0400-000007000000}" name="WI/WO" dataDxfId="90">
      <calculatedColumnFormula>IF(L19=1,IF(OR(J19&lt;=1,K19&lt;=1),"","WO"),IF(L19=0,IF(OR(J19&lt;1,K19&lt;1),"WI",""),""))</calculatedColumnFormula>
    </tableColumn>
    <tableColumn id="8" xr3:uid="{00000000-0010-0000-0400-000008000000}" name="AUX" dataDxfId="89">
      <calculatedColumnFormula>ISNUMBER(SEARCH("w",Tabla48[[#This Row],[WI/WO]]))</calculatedColumnFormula>
    </tableColumn>
    <tableColumn id="12" xr3:uid="{00000000-0010-0000-0400-00000C000000}" name="AUX2" dataDxfId="88">
      <calculatedColumnFormula>L19</calculatedColumnFormula>
    </tableColumn>
    <tableColumn id="9" xr3:uid="{00000000-0010-0000-0400-000009000000}" name="RED" dataDxfId="87">
      <calculatedColumnFormula>IF(L19&lt;&gt;"",M19/R_,"")</calculatedColumnFormula>
    </tableColumn>
    <tableColumn id="10" xr3:uid="{00000000-0010-0000-0400-00000A000000}" name="RED 2" dataDxfId="86">
      <calculatedColumnFormula>IF(L19&lt;&gt;"",O19/$F$4,"")</calculatedColumnFormula>
    </tableColumn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5000000}" name="Tabla911" displayName="Tabla911" ref="AT2:BC75" totalsRowShown="0" headerRowDxfId="85" dataDxfId="84">
  <autoFilter ref="AT2:BC75" xr:uid="{00000000-0009-0000-0100-00000A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00000000-0010-0000-0500-000001000000}" name="Angle º" dataDxfId="83"/>
    <tableColumn id="2" xr3:uid="{00000000-0010-0000-0500-000002000000}" name="Rad" dataDxfId="82">
      <calculatedColumnFormula>RADIANS(Tabla911[[#This Row],[Angle º]])</calculatedColumnFormula>
    </tableColumn>
    <tableColumn id="3" xr3:uid="{00000000-0010-0000-0500-000003000000}" name="dD (y)" dataDxfId="81">
      <calculatedColumnFormula>$F$3*SIN(AU3)+ dD</calculatedColumnFormula>
    </tableColumn>
    <tableColumn id="4" xr3:uid="{00000000-0010-0000-0500-000004000000}" name="dP (x)" dataDxfId="80">
      <calculatedColumnFormula>$F$3*COS(AU3)+ dP</calculatedColumnFormula>
    </tableColumn>
    <tableColumn id="5" xr3:uid="{00000000-0010-0000-0500-000005000000}" name="dH (y)" dataDxfId="79">
      <calculatedColumnFormula>$F$3*SIN(AU3)+  dH</calculatedColumnFormula>
    </tableColumn>
    <tableColumn id="6" xr3:uid="{00000000-0010-0000-0500-000006000000}" name="dD (x)" dataDxfId="78">
      <calculatedColumnFormula>$F$3*COS(AU3)+ dD</calculatedColumnFormula>
    </tableColumn>
    <tableColumn id="7" xr3:uid="{00000000-0010-0000-0500-000007000000}" name="dD (y)2" dataDxfId="77">
      <calculatedColumnFormula>$F$4*SIN(AU3)+ $C$4</calculatedColumnFormula>
    </tableColumn>
    <tableColumn id="8" xr3:uid="{00000000-0010-0000-0500-000008000000}" name="dP (x)3" dataDxfId="76">
      <calculatedColumnFormula>$F$4*COS(AU3)+ $D$4</calculatedColumnFormula>
    </tableColumn>
    <tableColumn id="9" xr3:uid="{00000000-0010-0000-0500-000009000000}" name="dH (y)4" dataDxfId="75">
      <calculatedColumnFormula>$F$4*SIN(AU3)+  $E$4</calculatedColumnFormula>
    </tableColumn>
    <tableColumn id="10" xr3:uid="{00000000-0010-0000-0500-00000A000000}" name="dD (x)5" dataDxfId="74">
      <calculatedColumnFormula>$F$4*COS(AU3)+ $C$4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6000000}" name="Tabla8" displayName="Tabla8" ref="A9:O17" totalsRowShown="0" headerRowDxfId="73" dataDxfId="71" headerRowBorderDxfId="72">
  <tableColumns count="15">
    <tableColumn id="5" xr3:uid="{00000000-0010-0000-0600-000005000000}" name="CAS" dataDxfId="70"/>
    <tableColumn id="6" xr3:uid="{00000000-0010-0000-0600-000006000000}" name="Solvents" dataDxfId="69" dataCellStyle="Normal">
      <calculatedColumnFormula>VLOOKUP(Tabla8[[#This Row],[CAS]],Tabla1[],2,FALSE)</calculatedColumnFormula>
    </tableColumn>
    <tableColumn id="7" xr3:uid="{00000000-0010-0000-0600-000007000000}" name="dD" dataDxfId="68" dataCellStyle="Normal">
      <calculatedColumnFormula>VLOOKUP(Tabla8[[#This Row],[CAS]],Tabla1[],3,FALSE)</calculatedColumnFormula>
    </tableColumn>
    <tableColumn id="8" xr3:uid="{00000000-0010-0000-0600-000008000000}" name="dP" dataDxfId="67" dataCellStyle="Normal">
      <calculatedColumnFormula>VLOOKUP(Tabla8[[#This Row],[CAS]],Tabla1[],4,FALSE)</calculatedColumnFormula>
    </tableColumn>
    <tableColumn id="9" xr3:uid="{00000000-0010-0000-0600-000009000000}" name="dH" dataDxfId="66" dataCellStyle="Normal">
      <calculatedColumnFormula>VLOOKUP(Tabla8[[#This Row],[CAS]],Tabla1[],5,FALSE)</calculatedColumnFormula>
    </tableColumn>
    <tableColumn id="10" xr3:uid="{00000000-0010-0000-0600-00000A000000}" name="MVol" dataDxfId="65" dataCellStyle="Normal">
      <calculatedColumnFormula>VLOOKUP(Tabla8[[#This Row],[CAS]],Tabla1[],6,FALSE)</calculatedColumnFormula>
    </tableColumn>
    <tableColumn id="14" xr3:uid="{00000000-0010-0000-0600-00000E000000}" name="Distance" dataDxfId="64">
      <calculatedColumnFormula>SQRT(4*  (dD-Tabla8[[#This Row],[dD]])^2    +   (dP-Tabla8[[#This Row],[dP]])^2   +    (dH-Tabla8[[#This Row],[dH]])^2)</calculatedColumnFormula>
    </tableColumn>
    <tableColumn id="1" xr3:uid="{00000000-0010-0000-0600-000001000000}" name="%" dataDxfId="63"/>
    <tableColumn id="2" xr3:uid="{00000000-0010-0000-0600-000002000000}" name="Partial dD" dataDxfId="62" dataCellStyle="Normal">
      <calculatedColumnFormula>IF(Tabla8[[#This Row],[%]]&lt;&gt;"",Tabla8[[#This Row],[%]]/100*Tabla8[[#This Row],[dD]],"")</calculatedColumnFormula>
    </tableColumn>
    <tableColumn id="3" xr3:uid="{00000000-0010-0000-0600-000003000000}" name="Partial dP" dataDxfId="61" dataCellStyle="Normal">
      <calculatedColumnFormula>IF(Tabla8[[#This Row],[%]]&lt;&gt;"",Tabla8[[#This Row],[%]]/100*Tabla8[[#This Row],[dP]],"")</calculatedColumnFormula>
    </tableColumn>
    <tableColumn id="4" xr3:uid="{00000000-0010-0000-0600-000004000000}" name="Partial dH" dataDxfId="60" dataCellStyle="Normal">
      <calculatedColumnFormula>IF(Tabla8[[#This Row],[%]]&lt;&gt;"",Tabla8[[#This Row],[%]]/100*Tabla8[[#This Row],[dH]],"")</calculatedColumnFormula>
    </tableColumn>
    <tableColumn id="12" xr3:uid="{00000000-0010-0000-0600-00000C000000}" name="Radius" dataDxfId="59">
      <calculatedColumnFormula>VLOOKUP(Tabla8[[#This Row],[CAS]],Tabla1[],8,FALSE)</calculatedColumnFormula>
    </tableColumn>
    <tableColumn id="15" xr3:uid="{00000000-0010-0000-0600-00000F000000}" name="Sphere Overlap" dataDxfId="58">
      <calculatedColumnFormula>IF((Tabla8[[#This Row],[Radius]])=0, "No Radius", SQRT(Tabla8[[#This Row],[Distance]]^2)-(Tabla8[[#This Row],[Radius]]+ R_))</calculatedColumnFormula>
    </tableColumn>
    <tableColumn id="11" xr3:uid="{00000000-0010-0000-0600-00000B000000}" name="Selec. Solvent" dataDxfId="57"/>
    <tableColumn id="13" xr3:uid="{00000000-0010-0000-0600-00000D000000}" name="Best Mixutre" dataDxfId="56">
      <calculatedColumnFormula>IFERROR(_xlfn.XLOOKUP(Tabla8[[#This Row],[Selec. Solvent]], Tabla12[Nº],Tabla12[% Total]), "-")</calculatedColumnFormula>
    </tableColumn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7000000}" name="Tabla5" displayName="Tabla5" ref="R6:X17" totalsRowShown="0" headerRowDxfId="55" dataDxfId="53" headerRowBorderDxfId="54" tableBorderDxfId="52">
  <autoFilter ref="R6:X17" xr:uid="{00000000-0009-0000-0100-000005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00000000-0010-0000-0700-000001000000}" name="S1 (%)" dataDxfId="51"/>
    <tableColumn id="2" xr3:uid="{00000000-0010-0000-0700-000002000000}" name="S2 (%)" dataDxfId="50">
      <calculatedColumnFormula>100-R7</calculatedColumnFormula>
    </tableColumn>
    <tableColumn id="3" xr3:uid="{00000000-0010-0000-0700-000003000000}" name="dD" dataDxfId="49">
      <calculatedColumnFormula>($R7*T$3+$S7*T$4)/100</calculatedColumnFormula>
    </tableColumn>
    <tableColumn id="4" xr3:uid="{00000000-0010-0000-0700-000004000000}" name="dP" dataDxfId="48">
      <calculatedColumnFormula>($R7*U$3+$S7*U$4)/100</calculatedColumnFormula>
    </tableColumn>
    <tableColumn id="5" xr3:uid="{00000000-0010-0000-0700-000005000000}" name="dH" dataDxfId="47">
      <calculatedColumnFormula>($R7*V$3+$S7*V$4)/100</calculatedColumnFormula>
    </tableColumn>
    <tableColumn id="6" xr3:uid="{00000000-0010-0000-0700-000006000000}" name="Distance" dataDxfId="46">
      <calculatedColumnFormula>SQRT(4*(T7-dD)^2+(U7-dP)^2+(V7-dH)^2)</calculatedColumnFormula>
    </tableColumn>
    <tableColumn id="7" xr3:uid="{00000000-0010-0000-0700-000007000000}" name="RED" dataDxfId="45">
      <calculatedColumnFormula>IFERROR(W7/R_, "No data in R")</calculatedColumnFormula>
    </tableColumn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8000000}" name="Tabla3" displayName="Tabla3" ref="CJ2:DE75" totalsRowShown="0" headerRowDxfId="44" dataDxfId="43">
  <autoFilter ref="CJ2:DE75" xr:uid="{00000000-0009-0000-0100-000003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</autoFilter>
  <tableColumns count="22">
    <tableColumn id="1" xr3:uid="{00000000-0010-0000-0800-000001000000}" name="Angle º" dataDxfId="42"/>
    <tableColumn id="2" xr3:uid="{00000000-0010-0000-0800-000002000000}" name="Rad" dataDxfId="41">
      <calculatedColumnFormula>RADIANS(Tabla3[[#This Row],[Angle º]])</calculatedColumnFormula>
    </tableColumn>
    <tableColumn id="3" xr3:uid="{00000000-0010-0000-0800-000003000000}" name="dD (y)" dataDxfId="40">
      <calculatedColumnFormula>$F$3*SIN(CK3)+ dD</calculatedColumnFormula>
    </tableColumn>
    <tableColumn id="4" xr3:uid="{00000000-0010-0000-0800-000004000000}" name="dP (x)" dataDxfId="39">
      <calculatedColumnFormula>$F$3*COS(CK3)+ dP</calculatedColumnFormula>
    </tableColumn>
    <tableColumn id="5" xr3:uid="{00000000-0010-0000-0800-000005000000}" name="dH (y)" dataDxfId="38">
      <calculatedColumnFormula>$F$3*SIN(CK3)+  dH</calculatedColumnFormula>
    </tableColumn>
    <tableColumn id="6" xr3:uid="{00000000-0010-0000-0800-000006000000}" name="dD (x)" dataDxfId="37">
      <calculatedColumnFormula>$F$3*COS(CK3)+ dD</calculatedColumnFormula>
    </tableColumn>
    <tableColumn id="7" xr3:uid="{00000000-0010-0000-0800-000007000000}" name="dD (y)2" dataDxfId="36">
      <calculatedColumnFormula xml:space="preserve"> (_xlfn.XLOOKUP(1,Tabla8[Selec. Solvent],Tabla8[Radius]))*SIN(CK3)+ _xlfn.XLOOKUP(1,Tabla8[Selec. Solvent],Tabla8[dD])</calculatedColumnFormula>
    </tableColumn>
    <tableColumn id="8" xr3:uid="{00000000-0010-0000-0800-000008000000}" name="dP (x)3" dataDxfId="35">
      <calculatedColumnFormula xml:space="preserve"> _xlfn.XLOOKUP(1,Tabla8[Selec. Solvent],Tabla8[Radius])*COS(CK3)+ _xlfn.XLOOKUP(1,Tabla8[Selec. Solvent],Tabla8[dP])</calculatedColumnFormula>
    </tableColumn>
    <tableColumn id="9" xr3:uid="{00000000-0010-0000-0800-000009000000}" name="dH (y)4" dataDxfId="34">
      <calculatedColumnFormula xml:space="preserve"> _xlfn.XLOOKUP(1,Tabla8[Selec. Solvent],Tabla8[Radius])*SIN(CK3)+  _xlfn.XLOOKUP(1,Tabla8[Selec. Solvent],Tabla8[dH])</calculatedColumnFormula>
    </tableColumn>
    <tableColumn id="10" xr3:uid="{00000000-0010-0000-0800-00000A000000}" name="dD (x)5" dataDxfId="33">
      <calculatedColumnFormula xml:space="preserve">  _xlfn.XLOOKUP(1,Tabla8[Selec. Solvent],Tabla8[Radius])*COS(CK3)+ _xlfn.XLOOKUP(1,Tabla8[Selec. Solvent],Tabla8[dD])</calculatedColumnFormula>
    </tableColumn>
    <tableColumn id="11" xr3:uid="{00000000-0010-0000-0800-00000B000000}" name="dD (y)22" dataDxfId="32">
      <calculatedColumnFormula xml:space="preserve"> (_xlfn.XLOOKUP(2,Tabla8[Selec. Solvent],Tabla8[Radius]))*SIN(CK3)+ _xlfn.XLOOKUP(2,Tabla8[Selec. Solvent],Tabla8[dD])</calculatedColumnFormula>
    </tableColumn>
    <tableColumn id="12" xr3:uid="{00000000-0010-0000-0800-00000C000000}" name="dP (x)33" dataDxfId="31">
      <calculatedColumnFormula xml:space="preserve"> _xlfn.XLOOKUP(2,Tabla8[Selec. Solvent],Tabla8[Radius])*COS(CK3)+ _xlfn.XLOOKUP(2,Tabla8[Selec. Solvent],Tabla8[dP])</calculatedColumnFormula>
    </tableColumn>
    <tableColumn id="13" xr3:uid="{00000000-0010-0000-0800-00000D000000}" name="dH (y)44" dataDxfId="30">
      <calculatedColumnFormula xml:space="preserve"> _xlfn.XLOOKUP(2,Tabla8[Selec. Solvent],Tabla8[Radius])*SIN(CK3)+  _xlfn.XLOOKUP(2,Tabla8[Selec. Solvent],Tabla8[dH])</calculatedColumnFormula>
    </tableColumn>
    <tableColumn id="14" xr3:uid="{00000000-0010-0000-0800-00000E000000}" name="dD (x)55" dataDxfId="29">
      <calculatedColumnFormula xml:space="preserve">  _xlfn.XLOOKUP(2,Tabla8[Selec. Solvent],Tabla8[Radius])*COS(CK3)+ _xlfn.XLOOKUP(2,Tabla8[Selec. Solvent],Tabla8[dD])</calculatedColumnFormula>
    </tableColumn>
    <tableColumn id="15" xr3:uid="{00000000-0010-0000-0800-00000F000000}" name="dD (y)222" dataDxfId="28">
      <calculatedColumnFormula xml:space="preserve"> (_xlfn.XLOOKUP(3,Tabla8[Selec. Solvent],Tabla8[Radius]))*SIN(CK3)+ _xlfn.XLOOKUP(3,Tabla8[Selec. Solvent],Tabla8[dD])</calculatedColumnFormula>
    </tableColumn>
    <tableColumn id="16" xr3:uid="{00000000-0010-0000-0800-000010000000}" name="dP (x)333" dataDxfId="27">
      <calculatedColumnFormula xml:space="preserve"> _xlfn.XLOOKUP(3,Tabla8[Selec. Solvent],Tabla8[Radius])*COS(CK3)+ _xlfn.XLOOKUP(3,Tabla8[Selec. Solvent],Tabla8[dP])</calculatedColumnFormula>
    </tableColumn>
    <tableColumn id="17" xr3:uid="{00000000-0010-0000-0800-000011000000}" name="dH (y)444" dataDxfId="26">
      <calculatedColumnFormula xml:space="preserve"> _xlfn.XLOOKUP(3,Tabla8[Selec. Solvent],Tabla8[Radius])*SIN(CK3)+  _xlfn.XLOOKUP(3,Tabla8[Selec. Solvent],Tabla8[dH])</calculatedColumnFormula>
    </tableColumn>
    <tableColumn id="18" xr3:uid="{00000000-0010-0000-0800-000012000000}" name="dD (x)555" dataDxfId="25">
      <calculatedColumnFormula xml:space="preserve">  _xlfn.XLOOKUP(,Tabla8[Selec. Solvent],Tabla8[Radius])*COS(CK3)+ _xlfn.XLOOKUP(3,Tabla8[Selec. Solvent],Tabla8[dD])</calculatedColumnFormula>
    </tableColumn>
    <tableColumn id="19" xr3:uid="{00000000-0010-0000-0800-000013000000}" name="dD (y)2222" dataDxfId="24">
      <calculatedColumnFormula xml:space="preserve"> (_xlfn.XLOOKUP(4,Tabla8[Selec. Solvent],Tabla8[Radius]))*SIN(CK3)+ _xlfn.XLOOKUP(4,Tabla8[Selec. Solvent],Tabla8[dD])</calculatedColumnFormula>
    </tableColumn>
    <tableColumn id="20" xr3:uid="{00000000-0010-0000-0800-000014000000}" name="dP (x)3333" dataDxfId="23">
      <calculatedColumnFormula xml:space="preserve"> _xlfn.XLOOKUP(4,Tabla8[Selec. Solvent],Tabla8[Radius])*COS(CK3)+ _xlfn.XLOOKUP(4,Tabla8[Selec. Solvent],Tabla8[dP])</calculatedColumnFormula>
    </tableColumn>
    <tableColumn id="21" xr3:uid="{00000000-0010-0000-0800-000015000000}" name="dH (y)4444" dataDxfId="22">
      <calculatedColumnFormula xml:space="preserve"> _xlfn.XLOOKUP(4,Tabla8[Selec. Solvent],Tabla8[Radius])*SIN(CK3)+  _xlfn.XLOOKUP(4,Tabla8[Selec. Solvent],Tabla8[dH])</calculatedColumnFormula>
    </tableColumn>
    <tableColumn id="22" xr3:uid="{00000000-0010-0000-0800-000016000000}" name="dD (x)5555" dataDxfId="21">
      <calculatedColumnFormula xml:space="preserve">  _xlfn.XLOOKUP(4,Tabla8[Selec. Solvent],Tabla8[Radius])*COS(CK3)+ _xlfn.XLOOKUP(4,Tabla8[Selec. Solvent],Tabla8[dD])</calculatedColumnFormula>
    </tableColumn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9000000}" name="Tabla12" displayName="Tabla12" ref="R24:AA28" totalsRowShown="0" headerRowDxfId="20" dataDxfId="19">
  <autoFilter ref="R24:AA28" xr:uid="{00000000-0009-0000-0100-00000C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00000000-0010-0000-0900-000001000000}" name="Nº" dataDxfId="18"/>
    <tableColumn id="2" xr3:uid="{00000000-0010-0000-0900-000002000000}" name="Solvent" dataDxfId="17">
      <calculatedColumnFormula>_xlfn.XLOOKUP(Tabla12[[#This Row],[Nº]], Tabla8[Selec. Solvent],Tabla8[Solvents], "Select Solvent",0 )</calculatedColumnFormula>
    </tableColumn>
    <tableColumn id="3" xr3:uid="{00000000-0010-0000-0900-000003000000}" name="dD" dataDxfId="16">
      <calculatedColumnFormula>IFERROR( (_xlfn.XLOOKUP(Tabla12[[#This Row],[Nº]], Tabla8[Selec. Solvent],Tabla8[dD], "Select Solvent",0 ))*Tabla12[[#This Row],[% Total]], "")</calculatedColumnFormula>
    </tableColumn>
    <tableColumn id="4" xr3:uid="{00000000-0010-0000-0900-000004000000}" name="dP" dataDxfId="15">
      <calculatedColumnFormula xml:space="preserve"> IFERROR((_xlfn.XLOOKUP(Tabla12[[#This Row],[Nº]],Tabla8[Selec. Solvent],Tabla8[dP], "Select Solvent",0 )) * Tabla12[[#This Row],[% Total]], "")</calculatedColumnFormula>
    </tableColumn>
    <tableColumn id="5" xr3:uid="{00000000-0010-0000-0900-000005000000}" name="dH" dataDxfId="14">
      <calculatedColumnFormula>IFERROR((_xlfn.XLOOKUP(Tabla12[[#This Row],[Nº]],Tabla8[Selec. Solvent],Tabla8[dH], "Select Solvent",0 )) * Tabla12[[#This Row],[% Total]], "")</calculatedColumnFormula>
    </tableColumn>
    <tableColumn id="6" xr3:uid="{00000000-0010-0000-0900-000006000000}" name="% Min" dataDxfId="13"/>
    <tableColumn id="7" xr3:uid="{00000000-0010-0000-0900-000007000000}" name="% Max" dataDxfId="12"/>
    <tableColumn id="8" xr3:uid="{00000000-0010-0000-0900-000008000000}" name="% Total" dataDxfId="11"/>
    <tableColumn id="9" xr3:uid="{00000000-0010-0000-0900-000009000000}" name="Price (Unit)" dataDxfId="10"/>
    <tableColumn id="10" xr3:uid="{00000000-0010-0000-0900-00000A000000}" name="Price" dataDxfId="9">
      <calculatedColumnFormula>Tabla12[[#This Row],[Price (Unit)]]*Tabla12[[#This Row],[% Total]]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teven@stevenabbott.co.uk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6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7" Type="http://schemas.openxmlformats.org/officeDocument/2006/relationships/table" Target="../tables/table10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9.xml"/><Relationship Id="rId5" Type="http://schemas.openxmlformats.org/officeDocument/2006/relationships/table" Target="../tables/table8.xml"/><Relationship Id="rId4" Type="http://schemas.openxmlformats.org/officeDocument/2006/relationships/table" Target="../tables/table7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7"/>
  <sheetViews>
    <sheetView zoomScaleNormal="100" workbookViewId="0">
      <selection activeCell="G24" sqref="G24"/>
    </sheetView>
  </sheetViews>
  <sheetFormatPr defaultColWidth="9.140625" defaultRowHeight="15" x14ac:dyDescent="0.25"/>
  <sheetData>
    <row r="2" spans="2:2" x14ac:dyDescent="0.25">
      <c r="B2" t="s">
        <v>123</v>
      </c>
    </row>
    <row r="4" spans="2:2" x14ac:dyDescent="0.25">
      <c r="B4" t="s">
        <v>124</v>
      </c>
    </row>
    <row r="6" spans="2:2" x14ac:dyDescent="0.25">
      <c r="B6" t="s">
        <v>121</v>
      </c>
    </row>
    <row r="7" spans="2:2" x14ac:dyDescent="0.25">
      <c r="B7" s="1" t="s">
        <v>122</v>
      </c>
    </row>
  </sheetData>
  <hyperlinks>
    <hyperlink ref="B7" r:id="rId1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269"/>
  <sheetViews>
    <sheetView showGridLines="0" tabSelected="1" topLeftCell="B1" zoomScale="110" zoomScaleNormal="110" workbookViewId="0">
      <pane ySplit="1" topLeftCell="A26" activePane="bottomLeft" state="frozen"/>
      <selection pane="bottomLeft" activeCell="L34" sqref="L34"/>
    </sheetView>
  </sheetViews>
  <sheetFormatPr defaultColWidth="11.42578125" defaultRowHeight="15" x14ac:dyDescent="0.25"/>
  <cols>
    <col min="1" max="1" width="30.42578125" style="2" bestFit="1" customWidth="1"/>
    <col min="2" max="2" width="65.5703125" style="2" bestFit="1" customWidth="1"/>
    <col min="3" max="4" width="11.42578125" style="2"/>
    <col min="5" max="5" width="11.85546875" style="2" bestFit="1" customWidth="1"/>
    <col min="6" max="6" width="10.28515625" style="2" customWidth="1"/>
    <col min="7" max="7" width="15.42578125" style="2" hidden="1" customWidth="1"/>
    <col min="8" max="8" width="11.42578125" style="2" bestFit="1" customWidth="1"/>
    <col min="9" max="11" width="11.42578125" style="2" customWidth="1"/>
    <col min="12" max="12" width="41" style="2" customWidth="1"/>
    <col min="13" max="16" width="11.42578125" style="2" customWidth="1"/>
    <col min="17" max="16384" width="11.42578125" style="2"/>
  </cols>
  <sheetData>
    <row r="1" spans="1:16" x14ac:dyDescent="0.25">
      <c r="A1" s="2" t="s">
        <v>2452</v>
      </c>
      <c r="B1" s="2" t="s">
        <v>2453</v>
      </c>
      <c r="C1" s="2" t="s">
        <v>96</v>
      </c>
      <c r="D1" s="2" t="s">
        <v>97</v>
      </c>
      <c r="E1" s="2" t="s">
        <v>98</v>
      </c>
      <c r="F1" s="9" t="s">
        <v>2454</v>
      </c>
      <c r="G1" s="2" t="s">
        <v>5</v>
      </c>
      <c r="H1" s="2" t="s">
        <v>2482</v>
      </c>
      <c r="L1" s="3" t="s">
        <v>3</v>
      </c>
      <c r="M1" s="3" t="s">
        <v>96</v>
      </c>
      <c r="N1" s="3" t="s">
        <v>97</v>
      </c>
      <c r="O1" s="3" t="s">
        <v>98</v>
      </c>
      <c r="P1" s="3" t="s">
        <v>4</v>
      </c>
    </row>
    <row r="2" spans="1:16" ht="13.5" customHeight="1" x14ac:dyDescent="0.25">
      <c r="A2" s="2" t="s">
        <v>126</v>
      </c>
      <c r="B2" s="2" t="s">
        <v>125</v>
      </c>
      <c r="C2" s="2">
        <v>18</v>
      </c>
      <c r="D2" s="2">
        <v>4.4000000000000004</v>
      </c>
      <c r="E2" s="2">
        <v>4.2</v>
      </c>
      <c r="F2" s="2" t="str">
        <f>IFERROR(VLOOKUP(B2,Tabla2[],5,FALSE),"")</f>
        <v/>
      </c>
      <c r="G2" s="2">
        <f>SQRT(4*(Tabla1[[#This Row],[dD]]-'Find a similar substance'!$D$5)^2+('Find a similar substance'!$E$5-Tabla1[[#This Row],[dP]])^2+(Tabla1[[#This Row],[dH]]-'Find a similar substance'!$F$5)^2)</f>
        <v>5.1932648690395116</v>
      </c>
      <c r="L2" s="2" t="s">
        <v>6</v>
      </c>
      <c r="M2" s="2">
        <v>15.5</v>
      </c>
      <c r="N2" s="2">
        <v>10.4</v>
      </c>
      <c r="O2" s="2">
        <v>7</v>
      </c>
      <c r="P2" s="2">
        <v>73.8</v>
      </c>
    </row>
    <row r="3" spans="1:16" x14ac:dyDescent="0.25">
      <c r="A3" s="2" t="s">
        <v>128</v>
      </c>
      <c r="B3" s="2" t="s">
        <v>127</v>
      </c>
      <c r="C3" s="2">
        <v>16.8</v>
      </c>
      <c r="D3" s="2">
        <v>4.3</v>
      </c>
      <c r="E3" s="2">
        <v>2</v>
      </c>
      <c r="F3" s="2" t="str">
        <f>IFERROR(VLOOKUP(B3,Tabla2[],5,FALSE),"")</f>
        <v/>
      </c>
      <c r="G3" s="2">
        <f>SQRT(4*(Tabla1[[#This Row],[dD]]-'Find a similar substance'!$D$5)^2+('Find a similar substance'!$E$5-Tabla1[[#This Row],[dP]])^2+(Tabla1[[#This Row],[dH]]-'Find a similar substance'!$F$5)^2)</f>
        <v>5.3404119691274747</v>
      </c>
      <c r="L3" s="2" t="s">
        <v>7</v>
      </c>
      <c r="M3" s="2">
        <v>15.3</v>
      </c>
      <c r="N3" s="2">
        <v>18</v>
      </c>
      <c r="O3" s="2">
        <v>6.1</v>
      </c>
      <c r="P3" s="2">
        <v>52.9</v>
      </c>
    </row>
    <row r="4" spans="1:16" x14ac:dyDescent="0.25">
      <c r="A4" s="2" t="s">
        <v>130</v>
      </c>
      <c r="B4" s="2" t="s">
        <v>129</v>
      </c>
      <c r="C4" s="2">
        <v>14.6</v>
      </c>
      <c r="D4" s="2">
        <v>10</v>
      </c>
      <c r="E4" s="2">
        <v>0</v>
      </c>
      <c r="F4" s="2" t="str">
        <f>IFERROR(VLOOKUP(B4,Tabla2[],5,FALSE),"")</f>
        <v/>
      </c>
      <c r="G4" s="2">
        <f>SQRT(4*(Tabla1[[#This Row],[dD]]-'Find a similar substance'!$D$5)^2+('Find a similar substance'!$E$5-Tabla1[[#This Row],[dP]])^2+(Tabla1[[#This Row],[dH]]-'Find a similar substance'!$F$5)^2)</f>
        <v>6.5337584895678553</v>
      </c>
      <c r="L4" s="2" t="s">
        <v>8</v>
      </c>
      <c r="M4" s="2">
        <v>15.8</v>
      </c>
      <c r="N4" s="2">
        <v>3.3</v>
      </c>
      <c r="O4" s="2">
        <v>6.1</v>
      </c>
      <c r="P4" s="2">
        <v>148</v>
      </c>
    </row>
    <row r="5" spans="1:16" x14ac:dyDescent="0.25">
      <c r="A5" s="2" t="s">
        <v>132</v>
      </c>
      <c r="B5" s="2" t="s">
        <v>131</v>
      </c>
      <c r="C5" s="2">
        <v>21</v>
      </c>
      <c r="D5" s="2">
        <v>7</v>
      </c>
      <c r="E5" s="2">
        <v>8.1999999999999993</v>
      </c>
      <c r="F5" s="2" t="str">
        <f>IFERROR(VLOOKUP(B5,Tabla2[],5,FALSE),"")</f>
        <v/>
      </c>
      <c r="G5" s="2">
        <f>SQRT(4*(Tabla1[[#This Row],[dD]]-'Find a similar substance'!$D$5)^2+('Find a similar substance'!$E$5-Tabla1[[#This Row],[dP]])^2+(Tabla1[[#This Row],[dH]]-'Find a similar substance'!$F$5)^2)</f>
        <v>9.5168272023821014</v>
      </c>
      <c r="L5" s="2" t="s">
        <v>9</v>
      </c>
      <c r="M5" s="2">
        <v>15.9</v>
      </c>
      <c r="N5" s="2">
        <v>5.9</v>
      </c>
      <c r="O5" s="2">
        <v>13.9</v>
      </c>
      <c r="P5" s="2">
        <v>108.6</v>
      </c>
    </row>
    <row r="6" spans="1:16" x14ac:dyDescent="0.25">
      <c r="A6" s="2" t="s">
        <v>134</v>
      </c>
      <c r="B6" s="2" t="s">
        <v>133</v>
      </c>
      <c r="C6" s="2">
        <v>18.8</v>
      </c>
      <c r="D6" s="2">
        <v>5.0999999999999996</v>
      </c>
      <c r="E6" s="2">
        <v>5.3</v>
      </c>
      <c r="F6" s="2" t="str">
        <f>IFERROR(VLOOKUP(B6,Tabla2[],5,FALSE),"")</f>
        <v/>
      </c>
      <c r="G6" s="2">
        <f>SQRT(4*(Tabla1[[#This Row],[dD]]-'Find a similar substance'!$D$5)^2+('Find a similar substance'!$E$5-Tabla1[[#This Row],[dP]])^2+(Tabla1[[#This Row],[dH]]-'Find a similar substance'!$F$5)^2)</f>
        <v>5.6929781309961127</v>
      </c>
      <c r="L6" s="2" t="s">
        <v>88</v>
      </c>
      <c r="M6" s="2">
        <v>18.399999999999999</v>
      </c>
      <c r="N6" s="2">
        <v>0</v>
      </c>
      <c r="O6" s="2">
        <v>2</v>
      </c>
      <c r="P6" s="2">
        <v>52.9</v>
      </c>
    </row>
    <row r="7" spans="1:16" x14ac:dyDescent="0.25">
      <c r="A7" s="2" t="s">
        <v>136</v>
      </c>
      <c r="B7" s="2" t="s">
        <v>135</v>
      </c>
      <c r="C7" s="2">
        <v>17.899999999999999</v>
      </c>
      <c r="D7" s="2">
        <v>6.7</v>
      </c>
      <c r="E7" s="2">
        <v>3.3</v>
      </c>
      <c r="F7" s="2" t="str">
        <f>IFERROR(VLOOKUP(B7,Tabla2[],5,FALSE),"")</f>
        <v/>
      </c>
      <c r="G7" s="2">
        <f>SQRT(4*(Tabla1[[#This Row],[dD]]-'Find a similar substance'!$D$5)^2+('Find a similar substance'!$E$5-Tabla1[[#This Row],[dP]])^2+(Tabla1[[#This Row],[dH]]-'Find a similar substance'!$F$5)^2)</f>
        <v>3.6945906403822288</v>
      </c>
      <c r="L7" s="2" t="s">
        <v>10</v>
      </c>
      <c r="M7" s="2">
        <v>18.399999999999999</v>
      </c>
      <c r="N7" s="2">
        <v>6.3</v>
      </c>
      <c r="O7" s="2">
        <v>13.7</v>
      </c>
      <c r="P7" s="2">
        <v>103.8</v>
      </c>
    </row>
    <row r="8" spans="1:16" x14ac:dyDescent="0.25">
      <c r="A8" s="2" t="s">
        <v>138</v>
      </c>
      <c r="B8" s="2" t="s">
        <v>137</v>
      </c>
      <c r="C8" s="2">
        <v>18.3</v>
      </c>
      <c r="D8" s="2">
        <v>9.4</v>
      </c>
      <c r="E8" s="2">
        <v>8</v>
      </c>
      <c r="F8" s="2" t="str">
        <f>IFERROR(VLOOKUP(B8,Tabla2[],5,FALSE),"")</f>
        <v/>
      </c>
      <c r="G8" s="2">
        <f>SQRT(4*(Tabla1[[#This Row],[dD]]-'Find a similar substance'!$D$5)^2+('Find a similar substance'!$E$5-Tabla1[[#This Row],[dP]])^2+(Tabla1[[#This Row],[dH]]-'Find a similar substance'!$F$5)^2)</f>
        <v>4.5880278987817835</v>
      </c>
      <c r="L8" s="2" t="s">
        <v>11</v>
      </c>
      <c r="M8" s="2">
        <v>20</v>
      </c>
      <c r="N8" s="2">
        <v>5.0999999999999996</v>
      </c>
      <c r="O8" s="2">
        <v>5.2</v>
      </c>
      <c r="P8" s="2">
        <v>190.3</v>
      </c>
    </row>
    <row r="9" spans="1:16" x14ac:dyDescent="0.25">
      <c r="A9" s="2" t="s">
        <v>140</v>
      </c>
      <c r="B9" s="2" t="s">
        <v>139</v>
      </c>
      <c r="C9" s="2">
        <v>17.7</v>
      </c>
      <c r="D9" s="2">
        <v>15.7</v>
      </c>
      <c r="E9" s="2">
        <v>3.4</v>
      </c>
      <c r="F9" s="2" t="str">
        <f>IFERROR(VLOOKUP(B9,Tabla2[],5,FALSE),"")</f>
        <v/>
      </c>
      <c r="G9" s="2">
        <f>SQRT(4*(Tabla1[[#This Row],[dD]]-'Find a similar substance'!$D$5)^2+('Find a similar substance'!$E$5-Tabla1[[#This Row],[dP]])^2+(Tabla1[[#This Row],[dH]]-'Find a similar substance'!$F$5)^2)</f>
        <v>7.5099933422074336</v>
      </c>
      <c r="L9" s="2" t="s">
        <v>12</v>
      </c>
      <c r="M9" s="2">
        <v>16</v>
      </c>
      <c r="N9" s="2">
        <v>5.7</v>
      </c>
      <c r="O9" s="2">
        <v>15.8</v>
      </c>
      <c r="P9" s="2">
        <v>92</v>
      </c>
    </row>
    <row r="10" spans="1:16" x14ac:dyDescent="0.25">
      <c r="A10" s="2" t="s">
        <v>142</v>
      </c>
      <c r="B10" s="2" t="s">
        <v>141</v>
      </c>
      <c r="C10" s="2">
        <v>18.2</v>
      </c>
      <c r="D10" s="2">
        <v>5.3</v>
      </c>
      <c r="E10" s="2">
        <v>6.8</v>
      </c>
      <c r="F10" s="2" t="str">
        <f>IFERROR(VLOOKUP(B10,Tabla2[],5,FALSE),"")</f>
        <v/>
      </c>
      <c r="G10" s="2">
        <f>SQRT(4*(Tabla1[[#This Row],[dD]]-'Find a similar substance'!$D$5)^2+('Find a similar substance'!$E$5-Tabla1[[#This Row],[dP]])^2+(Tabla1[[#This Row],[dH]]-'Find a similar substance'!$F$5)^2)</f>
        <v>5.003998401278718</v>
      </c>
      <c r="L10" s="2" t="s">
        <v>13</v>
      </c>
      <c r="M10" s="2">
        <v>15.8</v>
      </c>
      <c r="N10" s="2">
        <v>5.7</v>
      </c>
      <c r="O10" s="2">
        <v>14.5</v>
      </c>
      <c r="P10" s="2">
        <v>92</v>
      </c>
    </row>
    <row r="11" spans="1:16" x14ac:dyDescent="0.25">
      <c r="A11" s="2" t="s">
        <v>144</v>
      </c>
      <c r="B11" s="2" t="s">
        <v>143</v>
      </c>
      <c r="C11" s="2">
        <v>14.7</v>
      </c>
      <c r="D11" s="2">
        <v>1.6</v>
      </c>
      <c r="E11" s="2">
        <v>0</v>
      </c>
      <c r="F11" s="2" t="str">
        <f>IFERROR(VLOOKUP(B11,Tabla2[],5,FALSE),"")</f>
        <v/>
      </c>
      <c r="G11" s="2">
        <f>SQRT(4*(Tabla1[[#This Row],[dD]]-'Find a similar substance'!$D$5)^2+('Find a similar substance'!$E$5-Tabla1[[#This Row],[dP]])^2+(Tabla1[[#This Row],[dH]]-'Find a similar substance'!$F$5)^2)</f>
        <v>9.4789239895675941</v>
      </c>
      <c r="L11" s="2" t="s">
        <v>14</v>
      </c>
      <c r="M11" s="2">
        <v>15.8</v>
      </c>
      <c r="N11" s="2">
        <v>3.7</v>
      </c>
      <c r="O11" s="2">
        <v>6.3</v>
      </c>
      <c r="P11" s="2">
        <v>132.6</v>
      </c>
    </row>
    <row r="12" spans="1:16" x14ac:dyDescent="0.25">
      <c r="A12" s="2" t="s">
        <v>146</v>
      </c>
      <c r="B12" s="2" t="s">
        <v>145</v>
      </c>
      <c r="C12" s="2">
        <v>15</v>
      </c>
      <c r="D12" s="2">
        <v>7.1</v>
      </c>
      <c r="E12" s="2">
        <v>6.8</v>
      </c>
      <c r="F12" s="2" t="str">
        <f>IFERROR(VLOOKUP(B12,Tabla2[],5,FALSE),"")</f>
        <v/>
      </c>
      <c r="G12" s="2">
        <f>SQRT(4*(Tabla1[[#This Row],[dD]]-'Find a similar substance'!$D$5)^2+('Find a similar substance'!$E$5-Tabla1[[#This Row],[dP]])^2+(Tabla1[[#This Row],[dH]]-'Find a similar substance'!$F$5)^2)</f>
        <v>4.0049968789001591</v>
      </c>
      <c r="L12" s="2" t="s">
        <v>15</v>
      </c>
      <c r="M12" s="2">
        <v>15</v>
      </c>
      <c r="N12" s="2">
        <v>3.7</v>
      </c>
      <c r="O12" s="2">
        <v>6</v>
      </c>
      <c r="P12" s="2">
        <v>134.80000000000001</v>
      </c>
    </row>
    <row r="13" spans="1:16" x14ac:dyDescent="0.25">
      <c r="A13" s="2" t="s">
        <v>148</v>
      </c>
      <c r="B13" s="2" t="s">
        <v>147</v>
      </c>
      <c r="C13" s="2">
        <v>15.4</v>
      </c>
      <c r="D13" s="2">
        <v>5.0999999999999996</v>
      </c>
      <c r="E13" s="2">
        <v>4.8</v>
      </c>
      <c r="F13" s="2" t="str">
        <f>IFERROR(VLOOKUP(B13,Tabla2[],5,FALSE),"")</f>
        <v/>
      </c>
      <c r="G13" s="2">
        <f>SQRT(4*(Tabla1[[#This Row],[dD]]-'Find a similar substance'!$D$5)^2+('Find a similar substance'!$E$5-Tabla1[[#This Row],[dP]])^2+(Tabla1[[#This Row],[dH]]-'Find a similar substance'!$F$5)^2)</f>
        <v>4.331281565541544</v>
      </c>
      <c r="L13" s="2" t="s">
        <v>16</v>
      </c>
      <c r="M13" s="2">
        <v>15.2</v>
      </c>
      <c r="N13" s="2">
        <v>5.0999999999999996</v>
      </c>
      <c r="O13" s="2">
        <v>14.7</v>
      </c>
      <c r="P13" s="2">
        <v>96</v>
      </c>
    </row>
    <row r="14" spans="1:16" x14ac:dyDescent="0.25">
      <c r="A14" s="2" t="s">
        <v>150</v>
      </c>
      <c r="B14" s="2" t="s">
        <v>149</v>
      </c>
      <c r="C14" s="2">
        <v>18.5</v>
      </c>
      <c r="D14" s="2">
        <v>8.4</v>
      </c>
      <c r="E14" s="2">
        <v>8.8000000000000007</v>
      </c>
      <c r="F14" s="2" t="str">
        <f>IFERROR(VLOOKUP(B14,Tabla2[],5,FALSE),"")</f>
        <v/>
      </c>
      <c r="G14" s="2">
        <f>SQRT(4*(Tabla1[[#This Row],[dD]]-'Find a similar substance'!$D$5)^2+('Find a similar substance'!$E$5-Tabla1[[#This Row],[dP]])^2+(Tabla1[[#This Row],[dH]]-'Find a similar substance'!$F$5)^2)</f>
        <v>5.3823786563191547</v>
      </c>
      <c r="L14" s="2" t="s">
        <v>17</v>
      </c>
      <c r="M14" s="2">
        <v>18.3</v>
      </c>
      <c r="N14" s="2">
        <v>5.6</v>
      </c>
      <c r="O14" s="2">
        <v>5.5</v>
      </c>
      <c r="P14" s="2">
        <v>178.1</v>
      </c>
    </row>
    <row r="15" spans="1:16" x14ac:dyDescent="0.25">
      <c r="A15" s="2" t="s">
        <v>152</v>
      </c>
      <c r="B15" s="2" t="s">
        <v>151</v>
      </c>
      <c r="C15" s="2">
        <v>16.2</v>
      </c>
      <c r="D15" s="2">
        <v>4.8</v>
      </c>
      <c r="E15" s="2">
        <v>7</v>
      </c>
      <c r="F15" s="2" t="str">
        <f>IFERROR(VLOOKUP(B15,Tabla2[],5,FALSE),"")</f>
        <v/>
      </c>
      <c r="G15" s="2">
        <f>SQRT(4*(Tabla1[[#This Row],[dD]]-'Find a similar substance'!$D$5)^2+('Find a similar substance'!$E$5-Tabla1[[#This Row],[dP]])^2+(Tabla1[[#This Row],[dH]]-'Find a similar substance'!$F$5)^2)</f>
        <v>4.4553338819890929</v>
      </c>
      <c r="L15" s="2" t="s">
        <v>18</v>
      </c>
      <c r="M15" s="2">
        <v>16</v>
      </c>
      <c r="N15" s="2">
        <v>4.0999999999999996</v>
      </c>
      <c r="O15" s="2">
        <v>8.1999999999999993</v>
      </c>
      <c r="P15" s="2">
        <v>208.2</v>
      </c>
    </row>
    <row r="16" spans="1:16" x14ac:dyDescent="0.25">
      <c r="A16" s="2" t="s">
        <v>154</v>
      </c>
      <c r="B16" s="2" t="s">
        <v>153</v>
      </c>
      <c r="C16" s="2">
        <v>16.8</v>
      </c>
      <c r="D16" s="2">
        <v>12.1</v>
      </c>
      <c r="E16" s="2">
        <v>4.3</v>
      </c>
      <c r="F16" s="2" t="str">
        <f>IFERROR(VLOOKUP(B16,Tabla2[],5,FALSE),"")</f>
        <v/>
      </c>
      <c r="G16" s="2">
        <f>SQRT(4*(Tabla1[[#This Row],[dD]]-'Find a similar substance'!$D$5)^2+('Find a similar substance'!$E$5-Tabla1[[#This Row],[dP]])^2+(Tabla1[[#This Row],[dH]]-'Find a similar substance'!$F$5)^2)</f>
        <v>3.4942810419312296</v>
      </c>
      <c r="L16" s="2" t="s">
        <v>19</v>
      </c>
      <c r="M16" s="2">
        <v>15.3</v>
      </c>
      <c r="N16" s="2">
        <v>7.5</v>
      </c>
      <c r="O16" s="2">
        <v>6.8</v>
      </c>
      <c r="P16" s="2">
        <v>171.2</v>
      </c>
    </row>
    <row r="17" spans="1:16" x14ac:dyDescent="0.25">
      <c r="A17" s="2" t="s">
        <v>156</v>
      </c>
      <c r="B17" s="2" t="s">
        <v>155</v>
      </c>
      <c r="C17" s="2">
        <v>17.100000000000001</v>
      </c>
      <c r="D17" s="2">
        <v>7.6</v>
      </c>
      <c r="E17" s="2">
        <v>5.4</v>
      </c>
      <c r="F17" s="2" t="str">
        <f>IFERROR(VLOOKUP(B17,Tabla2[],5,FALSE),"")</f>
        <v/>
      </c>
      <c r="G17" s="2">
        <f>SQRT(4*(Tabla1[[#This Row],[dD]]-'Find a similar substance'!$D$5)^2+('Find a similar substance'!$E$5-Tabla1[[#This Row],[dP]])^2+(Tabla1[[#This Row],[dH]]-'Find a similar substance'!$F$5)^2)</f>
        <v>1.5394804318340649</v>
      </c>
      <c r="L17" s="2" t="s">
        <v>20</v>
      </c>
      <c r="M17" s="2">
        <v>15.7</v>
      </c>
      <c r="N17" s="2">
        <v>5.5</v>
      </c>
      <c r="O17" s="2">
        <v>5.9</v>
      </c>
      <c r="P17" s="2">
        <v>149.30000000000001</v>
      </c>
    </row>
    <row r="18" spans="1:16" x14ac:dyDescent="0.25">
      <c r="A18" s="2" t="s">
        <v>158</v>
      </c>
      <c r="B18" s="2" t="s">
        <v>157</v>
      </c>
      <c r="C18" s="2">
        <v>16.5</v>
      </c>
      <c r="D18" s="2">
        <v>7.8</v>
      </c>
      <c r="E18" s="2">
        <v>3</v>
      </c>
      <c r="F18" s="2" t="str">
        <f>IFERROR(VLOOKUP(B18,Tabla2[],5,FALSE),"")</f>
        <v/>
      </c>
      <c r="G18" s="2">
        <f>SQRT(4*(Tabla1[[#This Row],[dD]]-'Find a similar substance'!$D$5)^2+('Find a similar substance'!$E$5-Tabla1[[#This Row],[dP]])^2+(Tabla1[[#This Row],[dH]]-'Find a similar substance'!$F$5)^2)</f>
        <v>2.2022715545545242</v>
      </c>
      <c r="L18" s="2" t="s">
        <v>21</v>
      </c>
      <c r="M18" s="2">
        <v>19.7</v>
      </c>
      <c r="N18" s="2">
        <v>15</v>
      </c>
      <c r="O18" s="2">
        <v>7.4</v>
      </c>
      <c r="P18" s="2">
        <v>110.8</v>
      </c>
    </row>
    <row r="19" spans="1:16" x14ac:dyDescent="0.25">
      <c r="A19" s="2" t="s">
        <v>160</v>
      </c>
      <c r="B19" s="2" t="s">
        <v>159</v>
      </c>
      <c r="C19" s="2">
        <v>16.399999999999999</v>
      </c>
      <c r="D19" s="2">
        <v>5.2</v>
      </c>
      <c r="E19" s="2">
        <v>2.4</v>
      </c>
      <c r="F19" s="2" t="str">
        <f>IFERROR(VLOOKUP(B19,Tabla2[],5,FALSE),"")</f>
        <v/>
      </c>
      <c r="G19" s="2">
        <f>SQRT(4*(Tabla1[[#This Row],[dD]]-'Find a similar substance'!$D$5)^2+('Find a similar substance'!$E$5-Tabla1[[#This Row],[dP]])^2+(Tabla1[[#This Row],[dH]]-'Find a similar substance'!$F$5)^2)</f>
        <v>4.3783558557979267</v>
      </c>
      <c r="L19" s="2" t="s">
        <v>89</v>
      </c>
      <c r="M19" s="2">
        <v>17.8</v>
      </c>
      <c r="N19" s="2">
        <v>3.1</v>
      </c>
      <c r="O19" s="2">
        <v>5.7</v>
      </c>
      <c r="P19" s="2">
        <v>80.5</v>
      </c>
    </row>
    <row r="20" spans="1:16" x14ac:dyDescent="0.25">
      <c r="A20" s="2" t="s">
        <v>162</v>
      </c>
      <c r="B20" s="2" t="s">
        <v>161</v>
      </c>
      <c r="C20" s="2">
        <v>16.100000000000001</v>
      </c>
      <c r="D20" s="2">
        <v>7.8</v>
      </c>
      <c r="E20" s="2">
        <v>3.5</v>
      </c>
      <c r="F20" s="2" t="str">
        <f>IFERROR(VLOOKUP(B20,Tabla2[],5,FALSE),"")</f>
        <v/>
      </c>
      <c r="G20" s="2">
        <f>SQRT(4*(Tabla1[[#This Row],[dD]]-'Find a similar substance'!$D$5)^2+('Find a similar substance'!$E$5-Tabla1[[#This Row],[dP]])^2+(Tabla1[[#This Row],[dH]]-'Find a similar substance'!$F$5)^2)</f>
        <v>2.0149441679609881</v>
      </c>
      <c r="L20" s="2" t="s">
        <v>91</v>
      </c>
      <c r="M20" s="2">
        <v>18.5</v>
      </c>
      <c r="N20" s="2">
        <v>6.5</v>
      </c>
      <c r="O20" s="2">
        <v>13.7</v>
      </c>
      <c r="P20" s="2">
        <v>105</v>
      </c>
    </row>
    <row r="21" spans="1:16" x14ac:dyDescent="0.25">
      <c r="A21" s="2" t="s">
        <v>164</v>
      </c>
      <c r="B21" s="2" t="s">
        <v>163</v>
      </c>
      <c r="C21" s="2">
        <v>16.899999999999999</v>
      </c>
      <c r="D21" s="2">
        <v>6.7</v>
      </c>
      <c r="E21" s="2">
        <v>2.9</v>
      </c>
      <c r="F21" s="2" t="str">
        <f>IFERROR(VLOOKUP(B21,Tabla2[],5,FALSE),"")</f>
        <v/>
      </c>
      <c r="G21" s="2">
        <f>SQRT(4*(Tabla1[[#This Row],[dD]]-'Find a similar substance'!$D$5)^2+('Find a similar substance'!$E$5-Tabla1[[#This Row],[dP]])^2+(Tabla1[[#This Row],[dH]]-'Find a similar substance'!$F$5)^2)</f>
        <v>2.9614185789921676</v>
      </c>
      <c r="L21" s="2" t="s">
        <v>22</v>
      </c>
      <c r="M21" s="2">
        <v>16.8</v>
      </c>
      <c r="N21" s="2">
        <v>0</v>
      </c>
      <c r="O21" s="2">
        <v>0.2</v>
      </c>
      <c r="P21" s="2">
        <v>108.9</v>
      </c>
    </row>
    <row r="22" spans="1:16" x14ac:dyDescent="0.25">
      <c r="A22" s="2" t="s">
        <v>166</v>
      </c>
      <c r="B22" s="2" t="s">
        <v>165</v>
      </c>
      <c r="C22" s="2">
        <v>15.4</v>
      </c>
      <c r="D22" s="2">
        <v>4.9000000000000004</v>
      </c>
      <c r="E22" s="2">
        <v>4.5999999999999996</v>
      </c>
      <c r="F22" s="2" t="str">
        <f>IFERROR(VLOOKUP(B22,Tabla2[],5,FALSE),"")</f>
        <v/>
      </c>
      <c r="G22" s="2">
        <f>SQRT(4*(Tabla1[[#This Row],[dD]]-'Find a similar substance'!$D$5)^2+('Find a similar substance'!$E$5-Tabla1[[#This Row],[dP]])^2+(Tabla1[[#This Row],[dH]]-'Find a similar substance'!$F$5)^2)</f>
        <v>4.512205669071391</v>
      </c>
      <c r="L22" s="2" t="s">
        <v>23</v>
      </c>
      <c r="M22" s="2">
        <v>17.399999999999999</v>
      </c>
      <c r="N22" s="2">
        <v>4.0999999999999996</v>
      </c>
      <c r="O22" s="2">
        <v>13.5</v>
      </c>
      <c r="P22" s="2">
        <v>105.7</v>
      </c>
    </row>
    <row r="23" spans="1:16" x14ac:dyDescent="0.25">
      <c r="A23" s="2" t="s">
        <v>168</v>
      </c>
      <c r="B23" s="2" t="s">
        <v>167</v>
      </c>
      <c r="C23" s="2">
        <v>15</v>
      </c>
      <c r="D23" s="2">
        <v>3.4</v>
      </c>
      <c r="E23" s="2">
        <v>4</v>
      </c>
      <c r="F23" s="2" t="str">
        <f>IFERROR(VLOOKUP(B23,Tabla2[],5,FALSE),"")</f>
        <v/>
      </c>
      <c r="G23" s="2">
        <f>SQRT(4*(Tabla1[[#This Row],[dD]]-'Find a similar substance'!$D$5)^2+('Find a similar substance'!$E$5-Tabla1[[#This Row],[dP]])^2+(Tabla1[[#This Row],[dH]]-'Find a similar substance'!$F$5)^2)</f>
        <v>6.2713634881100617</v>
      </c>
      <c r="L23" s="2" t="s">
        <v>24</v>
      </c>
      <c r="M23" s="2">
        <v>17.8</v>
      </c>
      <c r="N23" s="2">
        <v>8.4</v>
      </c>
      <c r="O23" s="2">
        <v>5.0999999999999996</v>
      </c>
      <c r="P23" s="2">
        <v>104.2</v>
      </c>
    </row>
    <row r="24" spans="1:16" x14ac:dyDescent="0.25">
      <c r="A24" s="2" t="s">
        <v>170</v>
      </c>
      <c r="B24" s="2" t="s">
        <v>169</v>
      </c>
      <c r="C24" s="2">
        <v>14.9</v>
      </c>
      <c r="D24" s="2">
        <v>9.3000000000000007</v>
      </c>
      <c r="E24" s="2">
        <v>2.9</v>
      </c>
      <c r="F24" s="2" t="str">
        <f>IFERROR(VLOOKUP(B24,Tabla2[],5,FALSE),"")</f>
        <v/>
      </c>
      <c r="G24" s="2">
        <f>SQRT(4*(Tabla1[[#This Row],[dD]]-'Find a similar substance'!$D$5)^2+('Find a similar substance'!$E$5-Tabla1[[#This Row],[dP]])^2+(Tabla1[[#This Row],[dH]]-'Find a similar substance'!$F$5)^2)</f>
        <v>4.0410394702353525</v>
      </c>
      <c r="L24" s="2" t="s">
        <v>25</v>
      </c>
      <c r="M24" s="2">
        <v>16</v>
      </c>
      <c r="N24" s="2">
        <v>3.7</v>
      </c>
      <c r="O24" s="2">
        <v>4.0999999999999996</v>
      </c>
      <c r="P24" s="2">
        <v>177.4</v>
      </c>
    </row>
    <row r="25" spans="1:16" x14ac:dyDescent="0.25">
      <c r="A25" s="2" t="s">
        <v>172</v>
      </c>
      <c r="B25" s="2" t="s">
        <v>171</v>
      </c>
      <c r="C25" s="2">
        <v>15</v>
      </c>
      <c r="D25" s="2">
        <v>5.7</v>
      </c>
      <c r="E25" s="2">
        <v>3.6</v>
      </c>
      <c r="F25" s="2" t="str">
        <f>IFERROR(VLOOKUP(B25,Tabla2[],5,FALSE),"")</f>
        <v/>
      </c>
      <c r="G25" s="2">
        <f>SQRT(4*(Tabla1[[#This Row],[dD]]-'Find a similar substance'!$D$5)^2+('Find a similar substance'!$E$5-Tabla1[[#This Row],[dP]])^2+(Tabla1[[#This Row],[dH]]-'Find a similar substance'!$F$5)^2)</f>
        <v>4.6043457732885367</v>
      </c>
      <c r="L25" s="2" t="s">
        <v>26</v>
      </c>
      <c r="M25" s="2">
        <v>15.8</v>
      </c>
      <c r="N25" s="2">
        <v>8.1999999999999993</v>
      </c>
      <c r="O25" s="2">
        <v>10.8</v>
      </c>
      <c r="P25" s="2">
        <v>124.3</v>
      </c>
    </row>
    <row r="26" spans="1:16" x14ac:dyDescent="0.25">
      <c r="A26" s="2" t="s">
        <v>174</v>
      </c>
      <c r="B26" s="2" t="s">
        <v>173</v>
      </c>
      <c r="C26" s="2">
        <v>15.1</v>
      </c>
      <c r="D26" s="2">
        <v>4.9000000000000004</v>
      </c>
      <c r="E26" s="2">
        <v>4.9000000000000004</v>
      </c>
      <c r="F26" s="2" t="str">
        <f>IFERROR(VLOOKUP(B26,Tabla2[],5,FALSE),"")</f>
        <v/>
      </c>
      <c r="G26" s="2">
        <f>SQRT(4*(Tabla1[[#This Row],[dD]]-'Find a similar substance'!$D$5)^2+('Find a similar substance'!$E$5-Tabla1[[#This Row],[dP]])^2+(Tabla1[[#This Row],[dH]]-'Find a similar substance'!$F$5)^2)</f>
        <v>4.842520005121302</v>
      </c>
      <c r="L26" s="2" t="s">
        <v>90</v>
      </c>
      <c r="M26" s="2">
        <v>14.5</v>
      </c>
      <c r="N26" s="2">
        <v>2.9</v>
      </c>
      <c r="O26" s="2">
        <v>4.5999999999999996</v>
      </c>
      <c r="P26" s="2">
        <v>104.7</v>
      </c>
    </row>
    <row r="27" spans="1:16" x14ac:dyDescent="0.25">
      <c r="A27" s="2" t="s">
        <v>176</v>
      </c>
      <c r="B27" s="2" t="s">
        <v>175</v>
      </c>
      <c r="C27" s="2">
        <v>15.3</v>
      </c>
      <c r="D27" s="2">
        <v>5.9</v>
      </c>
      <c r="E27" s="2">
        <v>11</v>
      </c>
      <c r="F27" s="2" t="str">
        <f>IFERROR(VLOOKUP(B27,Tabla2[],5,FALSE),"")</f>
        <v/>
      </c>
      <c r="G27" s="2">
        <f>SQRT(4*(Tabla1[[#This Row],[dD]]-'Find a similar substance'!$D$5)^2+('Find a similar substance'!$E$5-Tabla1[[#This Row],[dP]])^2+(Tabla1[[#This Row],[dH]]-'Find a similar substance'!$F$5)^2)</f>
        <v>7.1133676975114959</v>
      </c>
      <c r="L27" s="2" t="s">
        <v>27</v>
      </c>
      <c r="M27" s="2">
        <v>16</v>
      </c>
      <c r="N27" s="2">
        <v>7</v>
      </c>
      <c r="O27" s="2">
        <v>10.6</v>
      </c>
      <c r="P27" s="2">
        <v>170.4</v>
      </c>
    </row>
    <row r="28" spans="1:16" x14ac:dyDescent="0.25">
      <c r="A28" s="2" t="s">
        <v>178</v>
      </c>
      <c r="B28" s="2" t="s">
        <v>177</v>
      </c>
      <c r="C28" s="2">
        <v>18.8</v>
      </c>
      <c r="D28" s="2">
        <v>0.5</v>
      </c>
      <c r="E28" s="2">
        <v>0.5</v>
      </c>
      <c r="F28" s="2" t="str">
        <f>IFERROR(VLOOKUP(B28,Tabla2[],5,FALSE),"")</f>
        <v/>
      </c>
      <c r="G28" s="2">
        <f>SQRT(4*(Tabla1[[#This Row],[dD]]-'Find a similar substance'!$D$5)^2+('Find a similar substance'!$E$5-Tabla1[[#This Row],[dP]])^2+(Tabla1[[#This Row],[dH]]-'Find a similar substance'!$F$5)^2)</f>
        <v>10.336827366266691</v>
      </c>
      <c r="L28" s="2" t="s">
        <v>28</v>
      </c>
      <c r="M28" s="2">
        <v>16.100000000000001</v>
      </c>
      <c r="N28" s="2">
        <v>0</v>
      </c>
      <c r="O28" s="2">
        <v>1.1000000000000001</v>
      </c>
      <c r="P28" s="2">
        <v>140</v>
      </c>
    </row>
    <row r="29" spans="1:16" x14ac:dyDescent="0.25">
      <c r="A29" s="2" t="s">
        <v>180</v>
      </c>
      <c r="B29" s="2" t="s">
        <v>179</v>
      </c>
      <c r="C29" s="2">
        <v>18.600000000000001</v>
      </c>
      <c r="D29" s="2">
        <v>0.5</v>
      </c>
      <c r="E29" s="2">
        <v>0.5</v>
      </c>
      <c r="F29" s="2" t="str">
        <f>IFERROR(VLOOKUP(B29,Tabla2[],5,FALSE),"")</f>
        <v/>
      </c>
      <c r="G29" s="2">
        <f>SQRT(4*(Tabla1[[#This Row],[dD]]-'Find a similar substance'!$D$5)^2+('Find a similar substance'!$E$5-Tabla1[[#This Row],[dP]])^2+(Tabla1[[#This Row],[dH]]-'Find a similar substance'!$F$5)^2)</f>
        <v>10.173003489628812</v>
      </c>
      <c r="L29" s="2" t="s">
        <v>29</v>
      </c>
      <c r="M29" s="2">
        <v>18.399999999999999</v>
      </c>
      <c r="N29" s="2">
        <v>16.399999999999999</v>
      </c>
      <c r="O29" s="2">
        <v>10.199999999999999</v>
      </c>
      <c r="P29" s="2">
        <v>71.3</v>
      </c>
    </row>
    <row r="30" spans="1:16" x14ac:dyDescent="0.25">
      <c r="A30" s="2" t="s">
        <v>182</v>
      </c>
      <c r="B30" s="2" t="s">
        <v>181</v>
      </c>
      <c r="C30" s="2">
        <v>18.7</v>
      </c>
      <c r="D30" s="2">
        <v>15.6</v>
      </c>
      <c r="E30" s="2">
        <v>12.4</v>
      </c>
      <c r="F30" s="2" t="str">
        <f>IFERROR(VLOOKUP(B30,Tabla2[],5,FALSE),"")</f>
        <v/>
      </c>
      <c r="G30" s="2">
        <f>SQRT(4*(Tabla1[[#This Row],[dD]]-'Find a similar substance'!$D$5)^2+('Find a similar substance'!$E$5-Tabla1[[#This Row],[dP]])^2+(Tabla1[[#This Row],[dH]]-'Find a similar substance'!$F$5)^2)</f>
        <v>10.954907576059233</v>
      </c>
      <c r="L30" s="2" t="s">
        <v>30</v>
      </c>
      <c r="M30" s="2">
        <v>17.5</v>
      </c>
      <c r="N30" s="2">
        <v>1.8</v>
      </c>
      <c r="O30" s="2">
        <v>9</v>
      </c>
      <c r="P30" s="2">
        <v>85.7</v>
      </c>
    </row>
    <row r="31" spans="1:16" x14ac:dyDescent="0.25">
      <c r="A31" s="2" t="s">
        <v>184</v>
      </c>
      <c r="B31" s="2" t="s">
        <v>183</v>
      </c>
      <c r="C31" s="2">
        <v>20.7</v>
      </c>
      <c r="D31" s="2">
        <v>8.8000000000000007</v>
      </c>
      <c r="E31" s="2">
        <v>15</v>
      </c>
      <c r="F31" s="2" t="str">
        <f>IFERROR(VLOOKUP(B31,Tabla2[],5,FALSE),"")</f>
        <v/>
      </c>
      <c r="G31" s="2">
        <f>SQRT(4*(Tabla1[[#This Row],[dD]]-'Find a similar substance'!$D$5)^2+('Find a similar substance'!$E$5-Tabla1[[#This Row],[dP]])^2+(Tabla1[[#This Row],[dH]]-'Find a similar substance'!$F$5)^2)</f>
        <v>12.93251715637756</v>
      </c>
      <c r="L31" s="2" t="s">
        <v>31</v>
      </c>
      <c r="M31" s="2">
        <v>18.100000000000001</v>
      </c>
      <c r="N31" s="2">
        <v>6.6</v>
      </c>
      <c r="O31" s="2">
        <v>9.3000000000000007</v>
      </c>
      <c r="P31" s="2">
        <v>69.900000000000006</v>
      </c>
    </row>
    <row r="32" spans="1:16" x14ac:dyDescent="0.25">
      <c r="A32" s="2" t="s">
        <v>186</v>
      </c>
      <c r="B32" s="2" t="s">
        <v>185</v>
      </c>
      <c r="C32" s="2">
        <v>17.8</v>
      </c>
      <c r="D32" s="2">
        <v>7.8</v>
      </c>
      <c r="E32" s="2">
        <v>3.4</v>
      </c>
      <c r="F32" s="2" t="str">
        <f>IFERROR(VLOOKUP(B32,Tabla2[],5,FALSE),"")</f>
        <v/>
      </c>
      <c r="G32" s="2">
        <f>SQRT(4*(Tabla1[[#This Row],[dD]]-'Find a similar substance'!$D$5)^2+('Find a similar substance'!$E$5-Tabla1[[#This Row],[dP]])^2+(Tabla1[[#This Row],[dH]]-'Find a similar substance'!$F$5)^2)</f>
        <v>3.0215889859476244</v>
      </c>
      <c r="L32" s="2" t="s">
        <v>32</v>
      </c>
      <c r="M32" s="2">
        <v>16.5</v>
      </c>
      <c r="N32" s="2">
        <v>10.6</v>
      </c>
      <c r="O32" s="2">
        <v>17.7</v>
      </c>
      <c r="P32" s="2">
        <v>131.80000000000001</v>
      </c>
    </row>
    <row r="33" spans="1:16" x14ac:dyDescent="0.25">
      <c r="A33" s="2" t="s">
        <v>188</v>
      </c>
      <c r="B33" s="2" t="s">
        <v>187</v>
      </c>
      <c r="C33" s="2">
        <v>17.8</v>
      </c>
      <c r="D33" s="2">
        <v>12.3</v>
      </c>
      <c r="E33" s="2">
        <v>3.4</v>
      </c>
      <c r="F33" s="2" t="str">
        <f>IFERROR(VLOOKUP(B33,Tabla2[],5,FALSE),"")</f>
        <v/>
      </c>
      <c r="G33" s="2">
        <f>SQRT(4*(Tabla1[[#This Row],[dD]]-'Find a similar substance'!$D$5)^2+('Find a similar substance'!$E$5-Tabla1[[#This Row],[dP]])^2+(Tabla1[[#This Row],[dH]]-'Find a similar substance'!$F$5)^2)</f>
        <v>4.6130250378683186</v>
      </c>
      <c r="L33" s="2" t="s">
        <v>33</v>
      </c>
      <c r="M33" s="2">
        <v>15.5</v>
      </c>
      <c r="N33" s="2">
        <v>5.7</v>
      </c>
      <c r="O33" s="2">
        <v>11.2</v>
      </c>
      <c r="P33" s="2">
        <v>156.1</v>
      </c>
    </row>
    <row r="34" spans="1:16" x14ac:dyDescent="0.25">
      <c r="A34" s="2" t="s">
        <v>190</v>
      </c>
      <c r="B34" s="2" t="s">
        <v>189</v>
      </c>
      <c r="C34" s="2">
        <v>21.2</v>
      </c>
      <c r="D34" s="2">
        <v>10.7</v>
      </c>
      <c r="E34" s="2">
        <v>3.4</v>
      </c>
      <c r="F34" s="2" t="str">
        <f>IFERROR(VLOOKUP(B34,Tabla2[],5,FALSE),"")</f>
        <v/>
      </c>
      <c r="G34" s="2">
        <f>SQRT(4*(Tabla1[[#This Row],[dD]]-'Find a similar substance'!$D$5)^2+('Find a similar substance'!$E$5-Tabla1[[#This Row],[dP]])^2+(Tabla1[[#This Row],[dH]]-'Find a similar substance'!$F$5)^2)</f>
        <v>9.549869109050654</v>
      </c>
      <c r="L34" s="2" t="s">
        <v>34</v>
      </c>
      <c r="M34" s="2">
        <v>15.7</v>
      </c>
      <c r="N34" s="2">
        <v>6.5</v>
      </c>
      <c r="O34" s="2">
        <v>10</v>
      </c>
      <c r="P34" s="2">
        <v>211.2</v>
      </c>
    </row>
    <row r="35" spans="1:16" x14ac:dyDescent="0.25">
      <c r="A35" s="2" t="s">
        <v>192</v>
      </c>
      <c r="B35" s="2" t="s">
        <v>191</v>
      </c>
      <c r="C35" s="2">
        <v>20.2</v>
      </c>
      <c r="D35" s="2">
        <v>4.2</v>
      </c>
      <c r="E35" s="2">
        <v>3.2</v>
      </c>
      <c r="F35" s="2" t="str">
        <f>IFERROR(VLOOKUP(B35,Tabla2[],5,FALSE),"")</f>
        <v/>
      </c>
      <c r="G35" s="2">
        <f>SQRT(4*(Tabla1[[#This Row],[dD]]-'Find a similar substance'!$D$5)^2+('Find a similar substance'!$E$5-Tabla1[[#This Row],[dP]])^2+(Tabla1[[#This Row],[dH]]-'Find a similar substance'!$F$5)^2)</f>
        <v>8.6792856848936548</v>
      </c>
      <c r="L35" s="2" t="s">
        <v>35</v>
      </c>
      <c r="M35" s="2">
        <v>15.8</v>
      </c>
      <c r="N35" s="2">
        <v>8.8000000000000007</v>
      </c>
      <c r="O35" s="2">
        <v>19.399999999999999</v>
      </c>
      <c r="P35" s="2">
        <v>58.6</v>
      </c>
    </row>
    <row r="36" spans="1:16" x14ac:dyDescent="0.25">
      <c r="A36" s="2" t="s">
        <v>194</v>
      </c>
      <c r="B36" s="2" t="s">
        <v>193</v>
      </c>
      <c r="C36" s="2">
        <v>15</v>
      </c>
      <c r="D36" s="2">
        <v>1.7</v>
      </c>
      <c r="E36" s="2">
        <v>6.2</v>
      </c>
      <c r="F36" s="2" t="str">
        <f>IFERROR(VLOOKUP(B36,Tabla2[],5,FALSE),"")</f>
        <v/>
      </c>
      <c r="G36" s="2">
        <f>SQRT(4*(Tabla1[[#This Row],[dD]]-'Find a similar substance'!$D$5)^2+('Find a similar substance'!$E$5-Tabla1[[#This Row],[dP]])^2+(Tabla1[[#This Row],[dH]]-'Find a similar substance'!$F$5)^2)</f>
        <v>7.789736837660179</v>
      </c>
      <c r="L36" s="2" t="s">
        <v>36</v>
      </c>
      <c r="M36" s="2">
        <v>15.8</v>
      </c>
      <c r="N36" s="2">
        <v>5.3</v>
      </c>
      <c r="O36" s="2">
        <v>7.2</v>
      </c>
      <c r="P36" s="2">
        <v>98.6</v>
      </c>
    </row>
    <row r="37" spans="1:16" x14ac:dyDescent="0.25">
      <c r="A37" s="2">
        <v>408590</v>
      </c>
      <c r="B37" s="2" t="s">
        <v>195</v>
      </c>
      <c r="C37" s="2">
        <v>17.2</v>
      </c>
      <c r="D37" s="2">
        <v>6.6</v>
      </c>
      <c r="E37" s="2">
        <v>2.2999999999999998</v>
      </c>
      <c r="F37" s="2" t="str">
        <f>IFERROR(VLOOKUP(B37,Tabla2[],5,FALSE),"")</f>
        <v/>
      </c>
      <c r="G37" s="2">
        <f>SQRT(4*(Tabla1[[#This Row],[dD]]-'Find a similar substance'!$D$5)^2+('Find a similar substance'!$E$5-Tabla1[[#This Row],[dP]])^2+(Tabla1[[#This Row],[dH]]-'Find a similar substance'!$F$5)^2)</f>
        <v>3.6249137920783703</v>
      </c>
      <c r="L37" s="2" t="s">
        <v>37</v>
      </c>
      <c r="M37" s="2">
        <v>17.8</v>
      </c>
      <c r="N37" s="2">
        <v>0.6</v>
      </c>
      <c r="O37" s="2">
        <v>1.4</v>
      </c>
      <c r="P37" s="2">
        <v>122.8</v>
      </c>
    </row>
    <row r="38" spans="1:16" x14ac:dyDescent="0.25">
      <c r="A38" s="2" t="s">
        <v>197</v>
      </c>
      <c r="B38" s="2" t="s">
        <v>196</v>
      </c>
      <c r="C38" s="2">
        <v>17.399999999999999</v>
      </c>
      <c r="D38" s="2">
        <v>9.8000000000000007</v>
      </c>
      <c r="E38" s="2">
        <v>18.3</v>
      </c>
      <c r="F38" s="2" t="str">
        <f>IFERROR(VLOOKUP(B38,Tabla2[],5,FALSE),"")</f>
        <v/>
      </c>
      <c r="G38" s="2">
        <f>SQRT(4*(Tabla1[[#This Row],[dD]]-'Find a similar substance'!$D$5)^2+('Find a similar substance'!$E$5-Tabla1[[#This Row],[dP]])^2+(Tabla1[[#This Row],[dH]]-'Find a similar substance'!$F$5)^2)</f>
        <v>13.440982106974177</v>
      </c>
      <c r="L38" s="2" t="s">
        <v>38</v>
      </c>
      <c r="M38" s="2">
        <v>16</v>
      </c>
      <c r="N38" s="2">
        <v>7.6</v>
      </c>
      <c r="O38" s="2">
        <v>12.5</v>
      </c>
      <c r="P38" s="2">
        <v>115</v>
      </c>
    </row>
    <row r="39" spans="1:16" x14ac:dyDescent="0.25">
      <c r="A39" s="2" t="s">
        <v>199</v>
      </c>
      <c r="B39" s="2" t="s">
        <v>198</v>
      </c>
      <c r="C39" s="2">
        <v>18.600000000000001</v>
      </c>
      <c r="D39" s="2">
        <v>10.3</v>
      </c>
      <c r="E39" s="2">
        <v>8</v>
      </c>
      <c r="F39" s="2" t="str">
        <f>IFERROR(VLOOKUP(B39,Tabla2[],5,FALSE),"")</f>
        <v/>
      </c>
      <c r="G39" s="2">
        <f>SQRT(4*(Tabla1[[#This Row],[dD]]-'Find a similar substance'!$D$5)^2+('Find a similar substance'!$E$5-Tabla1[[#This Row],[dP]])^2+(Tabla1[[#This Row],[dH]]-'Find a similar substance'!$F$5)^2)</f>
        <v>5.2497618993626753</v>
      </c>
      <c r="L39" s="2" t="s">
        <v>39</v>
      </c>
      <c r="M39" s="2">
        <v>18</v>
      </c>
      <c r="N39" s="2">
        <v>21.7</v>
      </c>
      <c r="O39" s="2">
        <v>5.0999999999999996</v>
      </c>
      <c r="P39" s="2">
        <v>66</v>
      </c>
    </row>
    <row r="40" spans="1:16" x14ac:dyDescent="0.25">
      <c r="A40" s="2" t="s">
        <v>201</v>
      </c>
      <c r="B40" s="2" t="s">
        <v>200</v>
      </c>
      <c r="C40" s="2">
        <v>17</v>
      </c>
      <c r="D40" s="2">
        <v>4.9000000000000004</v>
      </c>
      <c r="E40" s="2">
        <v>3</v>
      </c>
      <c r="F40" s="2" t="str">
        <f>IFERROR(VLOOKUP(B40,Tabla2[],5,FALSE),"")</f>
        <v/>
      </c>
      <c r="G40" s="2">
        <f>SQRT(4*(Tabla1[[#This Row],[dD]]-'Find a similar substance'!$D$5)^2+('Find a similar substance'!$E$5-Tabla1[[#This Row],[dP]])^2+(Tabla1[[#This Row],[dH]]-'Find a similar substance'!$F$5)^2)</f>
        <v>4.3680659335683094</v>
      </c>
      <c r="L40" s="2" t="s">
        <v>40</v>
      </c>
      <c r="M40" s="2">
        <v>17</v>
      </c>
      <c r="N40" s="2">
        <v>11</v>
      </c>
      <c r="O40" s="2">
        <v>26</v>
      </c>
      <c r="P40" s="2">
        <v>55.9</v>
      </c>
    </row>
    <row r="41" spans="1:16" x14ac:dyDescent="0.25">
      <c r="A41" s="2" t="s">
        <v>203</v>
      </c>
      <c r="B41" s="2" t="s">
        <v>202</v>
      </c>
      <c r="C41" s="2">
        <v>17</v>
      </c>
      <c r="D41" s="2">
        <v>8</v>
      </c>
      <c r="E41" s="2">
        <v>3.2</v>
      </c>
      <c r="F41" s="2" t="str">
        <f>IFERROR(VLOOKUP(B41,Tabla2[],5,FALSE),"")</f>
        <v/>
      </c>
      <c r="G41" s="2">
        <f>SQRT(4*(Tabla1[[#This Row],[dD]]-'Find a similar substance'!$D$5)^2+('Find a similar substance'!$E$5-Tabla1[[#This Row],[dP]])^2+(Tabla1[[#This Row],[dH]]-'Find a similar substance'!$F$5)^2)</f>
        <v>2.0904544960366858</v>
      </c>
      <c r="L41" s="2" t="s">
        <v>41</v>
      </c>
      <c r="M41" s="2">
        <v>16</v>
      </c>
      <c r="N41" s="2">
        <v>5.0999999999999996</v>
      </c>
      <c r="O41" s="2">
        <v>12.3</v>
      </c>
      <c r="P41" s="2">
        <v>132</v>
      </c>
    </row>
    <row r="42" spans="1:16" x14ac:dyDescent="0.25">
      <c r="A42" s="2" t="s">
        <v>205</v>
      </c>
      <c r="B42" s="2" t="s">
        <v>204</v>
      </c>
      <c r="C42" s="2">
        <v>17.3</v>
      </c>
      <c r="D42" s="2">
        <v>7.1</v>
      </c>
      <c r="E42" s="2">
        <v>2.9</v>
      </c>
      <c r="F42" s="2" t="str">
        <f>IFERROR(VLOOKUP(B42,Tabla2[],5,FALSE),"")</f>
        <v/>
      </c>
      <c r="G42" s="2">
        <f>SQRT(4*(Tabla1[[#This Row],[dD]]-'Find a similar substance'!$D$5)^2+('Find a similar substance'!$E$5-Tabla1[[#This Row],[dP]])^2+(Tabla1[[#This Row],[dH]]-'Find a similar substance'!$F$5)^2)</f>
        <v>2.988310559496786</v>
      </c>
      <c r="L42" s="2" t="s">
        <v>42</v>
      </c>
      <c r="M42" s="2">
        <v>16</v>
      </c>
      <c r="N42" s="2">
        <v>8.1999999999999993</v>
      </c>
      <c r="O42" s="2">
        <v>15</v>
      </c>
      <c r="P42" s="2">
        <v>79.3</v>
      </c>
    </row>
    <row r="43" spans="1:16" x14ac:dyDescent="0.25">
      <c r="A43" s="2" t="s">
        <v>207</v>
      </c>
      <c r="B43" s="2" t="s">
        <v>206</v>
      </c>
      <c r="C43" s="2">
        <v>17</v>
      </c>
      <c r="D43" s="2">
        <v>8.5</v>
      </c>
      <c r="E43" s="2">
        <v>2.9</v>
      </c>
      <c r="F43" s="2" t="str">
        <f>IFERROR(VLOOKUP(B43,Tabla2[],5,FALSE),"")</f>
        <v/>
      </c>
      <c r="G43" s="2">
        <f>SQRT(4*(Tabla1[[#This Row],[dD]]-'Find a similar substance'!$D$5)^2+('Find a similar substance'!$E$5-Tabla1[[#This Row],[dP]])^2+(Tabla1[[#This Row],[dH]]-'Find a similar substance'!$F$5)^2)</f>
        <v>2.2561028345356946</v>
      </c>
      <c r="L43" s="2" t="s">
        <v>43</v>
      </c>
      <c r="M43" s="2">
        <v>18</v>
      </c>
      <c r="N43" s="2">
        <v>16.600000000000001</v>
      </c>
      <c r="O43" s="2">
        <v>7.4</v>
      </c>
      <c r="P43" s="2">
        <v>76.5</v>
      </c>
    </row>
    <row r="44" spans="1:16" x14ac:dyDescent="0.25">
      <c r="A44" s="2" t="s">
        <v>209</v>
      </c>
      <c r="B44" s="2" t="s">
        <v>208</v>
      </c>
      <c r="C44" s="2">
        <v>12.6</v>
      </c>
      <c r="D44" s="2">
        <v>1.8</v>
      </c>
      <c r="E44" s="2">
        <v>0</v>
      </c>
      <c r="F44" s="2" t="str">
        <f>IFERROR(VLOOKUP(B44,Tabla2[],5,FALSE),"")</f>
        <v/>
      </c>
      <c r="G44" s="2">
        <f>SQRT(4*(Tabla1[[#This Row],[dD]]-'Find a similar substance'!$D$5)^2+('Find a similar substance'!$E$5-Tabla1[[#This Row],[dP]])^2+(Tabla1[[#This Row],[dH]]-'Find a similar substance'!$F$5)^2)</f>
        <v>11.68802806293688</v>
      </c>
      <c r="L44" s="2" t="s">
        <v>44</v>
      </c>
      <c r="M44" s="2">
        <v>17.899999999999999</v>
      </c>
      <c r="N44" s="2">
        <v>25.5</v>
      </c>
      <c r="O44" s="2">
        <v>17.399999999999999</v>
      </c>
      <c r="P44" s="2">
        <v>83.2</v>
      </c>
    </row>
    <row r="45" spans="1:16" x14ac:dyDescent="0.25">
      <c r="A45" s="2" t="s">
        <v>211</v>
      </c>
      <c r="B45" s="2" t="s">
        <v>210</v>
      </c>
      <c r="C45" s="2">
        <v>16.899999999999999</v>
      </c>
      <c r="D45" s="2">
        <v>10.5</v>
      </c>
      <c r="E45" s="2">
        <v>6</v>
      </c>
      <c r="F45" s="2" t="str">
        <f>IFERROR(VLOOKUP(B45,Tabla2[],5,FALSE),"")</f>
        <v/>
      </c>
      <c r="G45" s="2">
        <f>SQRT(4*(Tabla1[[#This Row],[dD]]-'Find a similar substance'!$D$5)^2+('Find a similar substance'!$E$5-Tabla1[[#This Row],[dP]])^2+(Tabla1[[#This Row],[dH]]-'Find a similar substance'!$F$5)^2)</f>
        <v>2.1447610589527208</v>
      </c>
      <c r="L45" s="2" t="s">
        <v>45</v>
      </c>
      <c r="M45" s="2">
        <v>15.3</v>
      </c>
      <c r="N45" s="2">
        <v>0</v>
      </c>
      <c r="O45" s="2">
        <v>0</v>
      </c>
      <c r="P45" s="2">
        <v>147</v>
      </c>
    </row>
    <row r="46" spans="1:16" x14ac:dyDescent="0.25">
      <c r="A46" s="2" t="s">
        <v>213</v>
      </c>
      <c r="B46" s="2" t="s">
        <v>212</v>
      </c>
      <c r="C46" s="2">
        <v>17.7</v>
      </c>
      <c r="D46" s="2">
        <v>0.1</v>
      </c>
      <c r="E46" s="2">
        <v>1</v>
      </c>
      <c r="F46" s="2" t="str">
        <f>IFERROR(VLOOKUP(B46,Tabla2[],5,FALSE),"")</f>
        <v/>
      </c>
      <c r="G46" s="2">
        <f>SQRT(4*(Tabla1[[#This Row],[dD]]-'Find a similar substance'!$D$5)^2+('Find a similar substance'!$E$5-Tabla1[[#This Row],[dP]])^2+(Tabla1[[#This Row],[dH]]-'Find a similar substance'!$F$5)^2)</f>
        <v>9.7365291557104658</v>
      </c>
      <c r="L46" s="2" t="s">
        <v>46</v>
      </c>
      <c r="M46" s="2">
        <v>14.9</v>
      </c>
      <c r="N46" s="2">
        <v>0</v>
      </c>
      <c r="O46" s="2">
        <v>0</v>
      </c>
      <c r="P46" s="2">
        <v>131.4</v>
      </c>
    </row>
    <row r="47" spans="1:16" x14ac:dyDescent="0.25">
      <c r="A47" s="2" t="s">
        <v>215</v>
      </c>
      <c r="B47" s="2" t="s">
        <v>214</v>
      </c>
      <c r="C47" s="2">
        <v>20</v>
      </c>
      <c r="D47" s="2">
        <v>11.3</v>
      </c>
      <c r="E47" s="2">
        <v>21.8</v>
      </c>
      <c r="F47" s="2" t="str">
        <f>IFERROR(VLOOKUP(B47,Tabla2[],5,FALSE),"")</f>
        <v/>
      </c>
      <c r="G47" s="2">
        <f>SQRT(4*(Tabla1[[#This Row],[dD]]-'Find a similar substance'!$D$5)^2+('Find a similar substance'!$E$5-Tabla1[[#This Row],[dP]])^2+(Tabla1[[#This Row],[dH]]-'Find a similar substance'!$F$5)^2)</f>
        <v>18.309560344257314</v>
      </c>
      <c r="L47" s="2" t="s">
        <v>47</v>
      </c>
      <c r="M47" s="2">
        <v>15.1</v>
      </c>
      <c r="N47" s="2">
        <v>5.7</v>
      </c>
      <c r="O47" s="2">
        <v>15.9</v>
      </c>
      <c r="P47" s="2">
        <v>92.9</v>
      </c>
    </row>
    <row r="48" spans="1:16" x14ac:dyDescent="0.25">
      <c r="A48" s="2" t="s">
        <v>217</v>
      </c>
      <c r="B48" s="2" t="s">
        <v>216</v>
      </c>
      <c r="C48" s="2">
        <v>19.2</v>
      </c>
      <c r="D48" s="2">
        <v>4.4000000000000004</v>
      </c>
      <c r="E48" s="2">
        <v>9.4</v>
      </c>
      <c r="F48" s="2" t="str">
        <f>IFERROR(VLOOKUP(B48,Tabla2[],5,FALSE),"")</f>
        <v/>
      </c>
      <c r="G48" s="2">
        <f>SQRT(4*(Tabla1[[#This Row],[dD]]-'Find a similar substance'!$D$5)^2+('Find a similar substance'!$E$5-Tabla1[[#This Row],[dP]])^2+(Tabla1[[#This Row],[dH]]-'Find a similar substance'!$F$5)^2)</f>
        <v>8.0554329492585275</v>
      </c>
      <c r="L48" s="2" t="s">
        <v>48</v>
      </c>
      <c r="M48" s="2">
        <v>15.1</v>
      </c>
      <c r="N48" s="2">
        <v>2.8</v>
      </c>
      <c r="O48" s="2">
        <v>5.8</v>
      </c>
      <c r="P48" s="2">
        <v>169.8</v>
      </c>
    </row>
    <row r="49" spans="1:16" x14ac:dyDescent="0.25">
      <c r="A49" s="2" t="s">
        <v>219</v>
      </c>
      <c r="B49" s="2" t="s">
        <v>218</v>
      </c>
      <c r="C49" s="2">
        <v>20.6</v>
      </c>
      <c r="D49" s="2">
        <v>11.6</v>
      </c>
      <c r="E49" s="2">
        <v>3.9</v>
      </c>
      <c r="F49" s="2" t="str">
        <f>IFERROR(VLOOKUP(B49,Tabla2[],5,FALSE),"")</f>
        <v/>
      </c>
      <c r="G49" s="2">
        <f>SQRT(4*(Tabla1[[#This Row],[dD]]-'Find a similar substance'!$D$5)^2+('Find a similar substance'!$E$5-Tabla1[[#This Row],[dP]])^2+(Tabla1[[#This Row],[dH]]-'Find a similar substance'!$F$5)^2)</f>
        <v>8.5802097876450549</v>
      </c>
      <c r="L49" s="2" t="s">
        <v>49</v>
      </c>
      <c r="M49" s="2">
        <v>15.3</v>
      </c>
      <c r="N49" s="2">
        <v>3.1</v>
      </c>
      <c r="O49" s="2">
        <v>7</v>
      </c>
      <c r="P49" s="2">
        <v>150.19999999999999</v>
      </c>
    </row>
    <row r="50" spans="1:16" x14ac:dyDescent="0.25">
      <c r="A50" s="2" t="s">
        <v>221</v>
      </c>
      <c r="B50" s="2" t="s">
        <v>220</v>
      </c>
      <c r="C50" s="2">
        <v>16.5</v>
      </c>
      <c r="D50" s="2">
        <v>8.6</v>
      </c>
      <c r="E50" s="2">
        <v>6.7</v>
      </c>
      <c r="F50" s="2" t="str">
        <f>IFERROR(VLOOKUP(B50,Tabla2[],5,FALSE),"")</f>
        <v/>
      </c>
      <c r="G50" s="2">
        <f>SQRT(4*(Tabla1[[#This Row],[dD]]-'Find a similar substance'!$D$5)^2+('Find a similar substance'!$E$5-Tabla1[[#This Row],[dP]])^2+(Tabla1[[#This Row],[dH]]-'Find a similar substance'!$F$5)^2)</f>
        <v>1.7146428199482251</v>
      </c>
      <c r="L50" s="2" t="s">
        <v>50</v>
      </c>
      <c r="M50" s="2">
        <v>15.8</v>
      </c>
      <c r="N50" s="2">
        <v>5.2</v>
      </c>
      <c r="O50" s="2">
        <v>13.3</v>
      </c>
      <c r="P50" s="2">
        <v>109.3</v>
      </c>
    </row>
    <row r="51" spans="1:16" x14ac:dyDescent="0.25">
      <c r="A51" s="2" t="s">
        <v>223</v>
      </c>
      <c r="B51" s="2" t="s">
        <v>222</v>
      </c>
      <c r="C51" s="2">
        <v>17.899999999999999</v>
      </c>
      <c r="D51" s="2">
        <v>7.2</v>
      </c>
      <c r="E51" s="2">
        <v>8.6999999999999993</v>
      </c>
      <c r="F51" s="2" t="str">
        <f>IFERROR(VLOOKUP(B51,Tabla2[],5,FALSE),"")</f>
        <v/>
      </c>
      <c r="G51" s="2">
        <f>SQRT(4*(Tabla1[[#This Row],[dD]]-'Find a similar substance'!$D$5)^2+('Find a similar substance'!$E$5-Tabla1[[#This Row],[dP]])^2+(Tabla1[[#This Row],[dH]]-'Find a similar substance'!$F$5)^2)</f>
        <v>4.7644516998286344</v>
      </c>
      <c r="L51" s="2" t="s">
        <v>51</v>
      </c>
      <c r="M51" s="2">
        <v>14.9</v>
      </c>
      <c r="N51" s="2">
        <v>4.5</v>
      </c>
      <c r="O51" s="2">
        <v>8.1999999999999993</v>
      </c>
      <c r="P51" s="2">
        <v>117.1</v>
      </c>
    </row>
    <row r="52" spans="1:16" x14ac:dyDescent="0.25">
      <c r="A52" s="5" t="s">
        <v>225</v>
      </c>
      <c r="B52" s="2" t="s">
        <v>224</v>
      </c>
      <c r="C52" s="2">
        <v>19</v>
      </c>
      <c r="D52" s="2">
        <v>6.7</v>
      </c>
      <c r="E52" s="2">
        <v>5.9</v>
      </c>
      <c r="F52" s="2" t="str">
        <f>IFERROR(VLOOKUP(B52,Tabla2[],5,FALSE),"")</f>
        <v/>
      </c>
      <c r="G52" s="2">
        <f>SQRT(4*(Tabla1[[#This Row],[dD]]-'Find a similar substance'!$D$5)^2+('Find a similar substance'!$E$5-Tabla1[[#This Row],[dP]])^2+(Tabla1[[#This Row],[dH]]-'Find a similar substance'!$F$5)^2)</f>
        <v>5.2773099207835017</v>
      </c>
      <c r="L52" s="2" t="s">
        <v>95</v>
      </c>
      <c r="M52" s="2">
        <v>15.1</v>
      </c>
      <c r="N52" s="2">
        <v>3.2</v>
      </c>
      <c r="O52" s="2">
        <v>3.2</v>
      </c>
      <c r="P52" s="2">
        <v>141.80000000000001</v>
      </c>
    </row>
    <row r="53" spans="1:16" x14ac:dyDescent="0.25">
      <c r="A53" s="2" t="s">
        <v>227</v>
      </c>
      <c r="B53" s="2" t="s">
        <v>226</v>
      </c>
      <c r="C53" s="2">
        <v>15.3</v>
      </c>
      <c r="D53" s="2">
        <v>3</v>
      </c>
      <c r="E53" s="2">
        <v>6.8</v>
      </c>
      <c r="F53" s="2" t="str">
        <f>IFERROR(VLOOKUP(B53,Tabla2[],5,FALSE),"")</f>
        <v/>
      </c>
      <c r="G53" s="2">
        <f>SQRT(4*(Tabla1[[#This Row],[dD]]-'Find a similar substance'!$D$5)^2+('Find a similar substance'!$E$5-Tabla1[[#This Row],[dP]])^2+(Tabla1[[#This Row],[dH]]-'Find a similar substance'!$F$5)^2)</f>
        <v>6.5184353950929053</v>
      </c>
      <c r="L53" s="2" t="s">
        <v>52</v>
      </c>
      <c r="M53" s="2">
        <v>17</v>
      </c>
      <c r="N53" s="2">
        <v>8</v>
      </c>
      <c r="O53" s="2">
        <v>5</v>
      </c>
      <c r="P53" s="2">
        <v>150.30000000000001</v>
      </c>
    </row>
    <row r="54" spans="1:16" x14ac:dyDescent="0.25">
      <c r="A54" s="2" t="s">
        <v>229</v>
      </c>
      <c r="B54" s="2" t="s">
        <v>228</v>
      </c>
      <c r="C54" s="2">
        <v>18.7</v>
      </c>
      <c r="D54" s="2">
        <v>9.1999999999999993</v>
      </c>
      <c r="E54" s="2">
        <v>8.6</v>
      </c>
      <c r="F54" s="2" t="str">
        <f>IFERROR(VLOOKUP(B54,Tabla2[],5,FALSE),"")</f>
        <v/>
      </c>
      <c r="G54" s="2">
        <f>SQRT(4*(Tabla1[[#This Row],[dD]]-'Find a similar substance'!$D$5)^2+('Find a similar substance'!$E$5-Tabla1[[#This Row],[dP]])^2+(Tabla1[[#This Row],[dH]]-'Find a similar substance'!$F$5)^2)</f>
        <v>5.5542776307995227</v>
      </c>
      <c r="L54" s="2" t="s">
        <v>53</v>
      </c>
      <c r="M54" s="2">
        <v>17.2</v>
      </c>
      <c r="N54" s="2">
        <v>1.8</v>
      </c>
      <c r="O54" s="2">
        <v>4.3</v>
      </c>
      <c r="P54" s="2">
        <v>162.9</v>
      </c>
    </row>
    <row r="55" spans="1:16" x14ac:dyDescent="0.25">
      <c r="A55" s="2" t="s">
        <v>231</v>
      </c>
      <c r="B55" s="2" t="s">
        <v>230</v>
      </c>
      <c r="C55" s="2">
        <v>18.600000000000001</v>
      </c>
      <c r="D55" s="2">
        <v>8.1</v>
      </c>
      <c r="E55" s="2">
        <v>20.3</v>
      </c>
      <c r="F55" s="2" t="str">
        <f>IFERROR(VLOOKUP(B55,Tabla2[],5,FALSE),"")</f>
        <v/>
      </c>
      <c r="G55" s="2">
        <f>SQRT(4*(Tabla1[[#This Row],[dD]]-'Find a similar substance'!$D$5)^2+('Find a similar substance'!$E$5-Tabla1[[#This Row],[dP]])^2+(Tabla1[[#This Row],[dH]]-'Find a similar substance'!$F$5)^2)</f>
        <v>15.82561215245717</v>
      </c>
      <c r="L55" s="2" t="s">
        <v>54</v>
      </c>
      <c r="M55" s="2">
        <v>14.7</v>
      </c>
      <c r="N55" s="2">
        <v>12.3</v>
      </c>
      <c r="O55" s="2">
        <v>22.3</v>
      </c>
      <c r="P55" s="2">
        <v>40.6</v>
      </c>
    </row>
    <row r="56" spans="1:16" x14ac:dyDescent="0.25">
      <c r="A56" s="2" t="s">
        <v>233</v>
      </c>
      <c r="B56" s="2" t="s">
        <v>232</v>
      </c>
      <c r="C56" s="2">
        <v>17</v>
      </c>
      <c r="D56" s="2">
        <v>6.8</v>
      </c>
      <c r="E56" s="2">
        <v>0</v>
      </c>
      <c r="F56" s="2" t="str">
        <f>IFERROR(VLOOKUP(B56,Tabla2[],5,FALSE),"")</f>
        <v/>
      </c>
      <c r="G56" s="2">
        <f>SQRT(4*(Tabla1[[#This Row],[dD]]-'Find a similar substance'!$D$5)^2+('Find a similar substance'!$E$5-Tabla1[[#This Row],[dP]])^2+(Tabla1[[#This Row],[dH]]-'Find a similar substance'!$F$5)^2)</f>
        <v>5.4083269131959835</v>
      </c>
      <c r="L56" s="2" t="s">
        <v>55</v>
      </c>
      <c r="M56" s="2">
        <v>15.5</v>
      </c>
      <c r="N56" s="2">
        <v>7.2</v>
      </c>
      <c r="O56" s="2">
        <v>7.6</v>
      </c>
      <c r="P56" s="2">
        <v>79.8</v>
      </c>
    </row>
    <row r="57" spans="1:16" x14ac:dyDescent="0.25">
      <c r="A57" s="2" t="s">
        <v>235</v>
      </c>
      <c r="B57" s="2" t="s">
        <v>234</v>
      </c>
      <c r="C57" s="2">
        <v>14.8</v>
      </c>
      <c r="D57" s="2">
        <v>2.8</v>
      </c>
      <c r="E57" s="2">
        <v>5.6</v>
      </c>
      <c r="F57" s="2" t="str">
        <f>IFERROR(VLOOKUP(B57,Tabla2[],5,FALSE),"")</f>
        <v/>
      </c>
      <c r="G57" s="2">
        <f>SQRT(4*(Tabla1[[#This Row],[dD]]-'Find a similar substance'!$D$5)^2+('Find a similar substance'!$E$5-Tabla1[[#This Row],[dP]])^2+(Tabla1[[#This Row],[dH]]-'Find a similar substance'!$F$5)^2)</f>
        <v>6.9375788283809792</v>
      </c>
      <c r="L57" s="2" t="s">
        <v>56</v>
      </c>
      <c r="M57" s="2">
        <v>16.2</v>
      </c>
      <c r="N57" s="2">
        <v>7.8</v>
      </c>
      <c r="O57" s="2">
        <v>12.6</v>
      </c>
      <c r="P57" s="2">
        <v>118.2</v>
      </c>
    </row>
    <row r="58" spans="1:16" x14ac:dyDescent="0.25">
      <c r="A58" s="2" t="s">
        <v>237</v>
      </c>
      <c r="B58" s="2" t="s">
        <v>236</v>
      </c>
      <c r="C58" s="2">
        <v>17</v>
      </c>
      <c r="D58" s="2">
        <v>10.7</v>
      </c>
      <c r="E58" s="2">
        <v>2.8</v>
      </c>
      <c r="F58" s="2" t="str">
        <f>IFERROR(VLOOKUP(B58,Tabla2[],5,FALSE),"")</f>
        <v/>
      </c>
      <c r="G58" s="2">
        <f>SQRT(4*(Tabla1[[#This Row],[dD]]-'Find a similar substance'!$D$5)^2+('Find a similar substance'!$E$5-Tabla1[[#This Row],[dP]])^2+(Tabla1[[#This Row],[dH]]-'Find a similar substance'!$F$5)^2)</f>
        <v>3.0789608636681298</v>
      </c>
      <c r="L58" s="2" t="s">
        <v>57</v>
      </c>
      <c r="M58" s="2">
        <v>16</v>
      </c>
      <c r="N58" s="2">
        <v>8.1999999999999993</v>
      </c>
      <c r="O58" s="2">
        <v>15</v>
      </c>
      <c r="P58" s="2">
        <v>79.3</v>
      </c>
    </row>
    <row r="59" spans="1:16" x14ac:dyDescent="0.25">
      <c r="A59" s="2" t="s">
        <v>239</v>
      </c>
      <c r="B59" s="2" t="s">
        <v>238</v>
      </c>
      <c r="C59" s="2">
        <v>15.6</v>
      </c>
      <c r="D59" s="2">
        <v>8.5</v>
      </c>
      <c r="E59" s="2">
        <v>2</v>
      </c>
      <c r="F59" s="2" t="str">
        <f>IFERROR(VLOOKUP(B59,Tabla2[],5,FALSE),"")</f>
        <v/>
      </c>
      <c r="G59" s="2">
        <f>SQRT(4*(Tabla1[[#This Row],[dD]]-'Find a similar substance'!$D$5)^2+('Find a similar substance'!$E$5-Tabla1[[#This Row],[dP]])^2+(Tabla1[[#This Row],[dH]]-'Find a similar substance'!$F$5)^2)</f>
        <v>3.6110940170535595</v>
      </c>
      <c r="L59" s="2" t="s">
        <v>58</v>
      </c>
      <c r="M59" s="2">
        <v>16</v>
      </c>
      <c r="N59" s="2">
        <v>0</v>
      </c>
      <c r="O59" s="2">
        <v>1</v>
      </c>
      <c r="P59" s="2">
        <v>128.19999999999999</v>
      </c>
    </row>
    <row r="60" spans="1:16" x14ac:dyDescent="0.25">
      <c r="A60" s="2" t="s">
        <v>241</v>
      </c>
      <c r="B60" s="2" t="s">
        <v>240</v>
      </c>
      <c r="C60" s="2">
        <v>16.5</v>
      </c>
      <c r="D60" s="2">
        <v>8.1</v>
      </c>
      <c r="E60" s="2">
        <v>20.9</v>
      </c>
      <c r="F60" s="2" t="str">
        <f>IFERROR(VLOOKUP(B60,Tabla2[],5,FALSE),"")</f>
        <v/>
      </c>
      <c r="G60" s="2">
        <f>SQRT(4*(Tabla1[[#This Row],[dD]]-'Find a similar substance'!$D$5)^2+('Find a similar substance'!$E$5-Tabla1[[#This Row],[dP]])^2+(Tabla1[[#This Row],[dH]]-'Find a similar substance'!$F$5)^2)</f>
        <v>15.912573644762809</v>
      </c>
      <c r="L60" s="2" t="s">
        <v>59</v>
      </c>
      <c r="M60" s="2">
        <v>16</v>
      </c>
      <c r="N60" s="2">
        <v>9</v>
      </c>
      <c r="O60" s="2">
        <v>5.0999999999999996</v>
      </c>
      <c r="P60" s="2">
        <v>90.2</v>
      </c>
    </row>
    <row r="61" spans="1:16" x14ac:dyDescent="0.25">
      <c r="A61" s="2" t="s">
        <v>243</v>
      </c>
      <c r="B61" s="2" t="s">
        <v>242</v>
      </c>
      <c r="C61" s="2">
        <v>18</v>
      </c>
      <c r="D61" s="2">
        <v>8.1999999999999993</v>
      </c>
      <c r="E61" s="2">
        <v>3</v>
      </c>
      <c r="F61" s="2" t="str">
        <f>IFERROR(VLOOKUP(B61,Tabla2[],5,FALSE),"")</f>
        <v/>
      </c>
      <c r="G61" s="2">
        <f>SQRT(4*(Tabla1[[#This Row],[dD]]-'Find a similar substance'!$D$5)^2+('Find a similar substance'!$E$5-Tabla1[[#This Row],[dP]])^2+(Tabla1[[#This Row],[dH]]-'Find a similar substance'!$F$5)^2)</f>
        <v>3.4770677301427395</v>
      </c>
      <c r="L61" s="2" t="s">
        <v>60</v>
      </c>
      <c r="M61" s="2">
        <v>16</v>
      </c>
      <c r="N61" s="2">
        <v>5.7</v>
      </c>
      <c r="O61" s="2">
        <v>4.0999999999999996</v>
      </c>
      <c r="P61" s="2">
        <v>141.30000000000001</v>
      </c>
    </row>
    <row r="62" spans="1:16" x14ac:dyDescent="0.25">
      <c r="A62" s="2" t="s">
        <v>245</v>
      </c>
      <c r="B62" s="2" t="s">
        <v>244</v>
      </c>
      <c r="C62" s="2">
        <v>16.899999999999999</v>
      </c>
      <c r="D62" s="2">
        <v>7.8</v>
      </c>
      <c r="E62" s="2">
        <v>2.7</v>
      </c>
      <c r="F62" s="2" t="str">
        <f>IFERROR(VLOOKUP(B62,Tabla2[],5,FALSE),"")</f>
        <v/>
      </c>
      <c r="G62" s="2">
        <f>SQRT(4*(Tabla1[[#This Row],[dD]]-'Find a similar substance'!$D$5)^2+('Find a similar substance'!$E$5-Tabla1[[#This Row],[dP]])^2+(Tabla1[[#This Row],[dH]]-'Find a similar substance'!$F$5)^2)</f>
        <v>2.5416530054277651</v>
      </c>
      <c r="L62" s="2" t="s">
        <v>61</v>
      </c>
      <c r="M62" s="2">
        <v>15.4</v>
      </c>
      <c r="N62" s="2">
        <v>3.3</v>
      </c>
      <c r="O62" s="2">
        <v>12.3</v>
      </c>
      <c r="P62" s="2">
        <v>127.2</v>
      </c>
    </row>
    <row r="63" spans="1:16" x14ac:dyDescent="0.25">
      <c r="A63" s="2">
        <v>134536</v>
      </c>
      <c r="B63" s="2" t="s">
        <v>246</v>
      </c>
      <c r="C63" s="2">
        <v>19.399999999999999</v>
      </c>
      <c r="D63" s="2">
        <v>9.1</v>
      </c>
      <c r="E63" s="2">
        <v>2.7</v>
      </c>
      <c r="F63" s="2" t="str">
        <f>IFERROR(VLOOKUP(B63,Tabla2[],5,FALSE),"")</f>
        <v/>
      </c>
      <c r="G63" s="2">
        <f>SQRT(4*(Tabla1[[#This Row],[dD]]-'Find a similar substance'!$D$5)^2+('Find a similar substance'!$E$5-Tabla1[[#This Row],[dP]])^2+(Tabla1[[#This Row],[dH]]-'Find a similar substance'!$F$5)^2)</f>
        <v>6.0671245248469994</v>
      </c>
      <c r="L63" s="2" t="s">
        <v>62</v>
      </c>
      <c r="M63" s="2">
        <v>15.3</v>
      </c>
      <c r="N63" s="2">
        <v>6.1</v>
      </c>
      <c r="O63" s="2">
        <v>4.0999999999999996</v>
      </c>
      <c r="P63" s="2">
        <v>125.8</v>
      </c>
    </row>
    <row r="64" spans="1:16" x14ac:dyDescent="0.25">
      <c r="A64" s="2" t="s">
        <v>248</v>
      </c>
      <c r="B64" s="2" t="s">
        <v>247</v>
      </c>
      <c r="C64" s="2">
        <v>17.5</v>
      </c>
      <c r="D64" s="2">
        <v>9.9</v>
      </c>
      <c r="E64" s="2">
        <v>14.6</v>
      </c>
      <c r="F64" s="2" t="str">
        <f>IFERROR(VLOOKUP(B64,Tabla2[],5,FALSE),"")</f>
        <v/>
      </c>
      <c r="G64" s="2">
        <f>SQRT(4*(Tabla1[[#This Row],[dD]]-'Find a similar substance'!$D$5)^2+('Find a similar substance'!$E$5-Tabla1[[#This Row],[dP]])^2+(Tabla1[[#This Row],[dH]]-'Find a similar substance'!$F$5)^2)</f>
        <v>9.8407316801140343</v>
      </c>
      <c r="L64" s="2" t="s">
        <v>63</v>
      </c>
      <c r="M64" s="2">
        <v>16.2</v>
      </c>
      <c r="N64" s="2">
        <v>3.8</v>
      </c>
      <c r="O64" s="2">
        <v>4.5</v>
      </c>
      <c r="P64" s="2">
        <v>340.7</v>
      </c>
    </row>
    <row r="65" spans="1:16" x14ac:dyDescent="0.25">
      <c r="A65" s="2" t="s">
        <v>250</v>
      </c>
      <c r="B65" s="2" t="s">
        <v>249</v>
      </c>
      <c r="C65" s="2">
        <v>15.6</v>
      </c>
      <c r="D65" s="2">
        <v>5.5</v>
      </c>
      <c r="E65" s="2">
        <v>5.2</v>
      </c>
      <c r="F65" s="2" t="str">
        <f>IFERROR(VLOOKUP(B65,Tabla2[],5,FALSE),"")</f>
        <v/>
      </c>
      <c r="G65" s="2">
        <f>SQRT(4*(Tabla1[[#This Row],[dD]]-'Find a similar substance'!$D$5)^2+('Find a similar substance'!$E$5-Tabla1[[#This Row],[dP]])^2+(Tabla1[[#This Row],[dH]]-'Find a similar substance'!$F$5)^2)</f>
        <v>3.7788887255382382</v>
      </c>
      <c r="L65" s="2" t="s">
        <v>64</v>
      </c>
      <c r="M65" s="2">
        <v>16</v>
      </c>
      <c r="N65" s="2">
        <v>7.6</v>
      </c>
      <c r="O65" s="2">
        <v>4.7</v>
      </c>
      <c r="P65" s="2">
        <v>107.3</v>
      </c>
    </row>
    <row r="66" spans="1:16" x14ac:dyDescent="0.25">
      <c r="A66" s="2" t="s">
        <v>251</v>
      </c>
      <c r="B66" s="2" t="s">
        <v>31</v>
      </c>
      <c r="C66" s="2">
        <v>18.100000000000001</v>
      </c>
      <c r="D66" s="2">
        <v>6.6</v>
      </c>
      <c r="E66" s="2">
        <v>9.3000000000000007</v>
      </c>
      <c r="F66" s="2">
        <f>IFERROR(VLOOKUP(B66,Tabla2[],5,FALSE),"")</f>
        <v>69.900000000000006</v>
      </c>
      <c r="G66" s="2">
        <f>SQRT(4*(Tabla1[[#This Row],[dD]]-'Find a similar substance'!$D$5)^2+('Find a similar substance'!$E$5-Tabla1[[#This Row],[dP]])^2+(Tabla1[[#This Row],[dH]]-'Find a similar substance'!$F$5)^2)</f>
        <v>5.6480084985771759</v>
      </c>
      <c r="L66" s="2" t="s">
        <v>65</v>
      </c>
      <c r="M66" s="2">
        <v>18</v>
      </c>
      <c r="N66" s="2">
        <v>12.3</v>
      </c>
      <c r="O66" s="2">
        <v>7.2</v>
      </c>
      <c r="P66" s="2">
        <v>96.6</v>
      </c>
    </row>
    <row r="67" spans="1:16" x14ac:dyDescent="0.25">
      <c r="A67" s="2" t="s">
        <v>253</v>
      </c>
      <c r="B67" s="2" t="s">
        <v>252</v>
      </c>
      <c r="C67" s="2">
        <v>15</v>
      </c>
      <c r="D67" s="2">
        <v>2.5</v>
      </c>
      <c r="E67" s="2">
        <v>4</v>
      </c>
      <c r="F67" s="2" t="str">
        <f>IFERROR(VLOOKUP(B67,Tabla2[],5,FALSE),"")</f>
        <v/>
      </c>
      <c r="G67" s="2">
        <f>SQRT(4*(Tabla1[[#This Row],[dD]]-'Find a similar substance'!$D$5)^2+('Find a similar substance'!$E$5-Tabla1[[#This Row],[dP]])^2+(Tabla1[[#This Row],[dH]]-'Find a similar substance'!$F$5)^2)</f>
        <v>7.0484040746824386</v>
      </c>
      <c r="L67" s="2" t="s">
        <v>66</v>
      </c>
      <c r="M67" s="2">
        <v>17</v>
      </c>
      <c r="N67" s="2">
        <v>7.3</v>
      </c>
      <c r="O67" s="2">
        <v>7.1</v>
      </c>
      <c r="P67" s="2">
        <v>64.400000000000006</v>
      </c>
    </row>
    <row r="68" spans="1:16" x14ac:dyDescent="0.25">
      <c r="A68" s="2" t="s">
        <v>255</v>
      </c>
      <c r="B68" s="2" t="s">
        <v>254</v>
      </c>
      <c r="C68" s="2">
        <v>18.399999999999999</v>
      </c>
      <c r="D68" s="2">
        <v>16</v>
      </c>
      <c r="E68" s="2">
        <v>9</v>
      </c>
      <c r="F68" s="2" t="str">
        <f>IFERROR(VLOOKUP(B68,Tabla2[],5,FALSE),"")</f>
        <v/>
      </c>
      <c r="G68" s="2">
        <f>SQRT(4*(Tabla1[[#This Row],[dD]]-'Find a similar substance'!$D$5)^2+('Find a similar substance'!$E$5-Tabla1[[#This Row],[dP]])^2+(Tabla1[[#This Row],[dH]]-'Find a similar substance'!$F$5)^2)</f>
        <v>9.0691785736085251</v>
      </c>
      <c r="L68" s="2" t="s">
        <v>67</v>
      </c>
      <c r="M68" s="2">
        <v>16.8</v>
      </c>
      <c r="N68" s="2">
        <v>11.5</v>
      </c>
      <c r="O68" s="2">
        <v>10.199999999999999</v>
      </c>
      <c r="P68" s="2">
        <v>93</v>
      </c>
    </row>
    <row r="69" spans="1:16" x14ac:dyDescent="0.25">
      <c r="A69" s="2" t="s">
        <v>257</v>
      </c>
      <c r="B69" s="2" t="s">
        <v>256</v>
      </c>
      <c r="C69" s="2">
        <v>16.8</v>
      </c>
      <c r="D69" s="2">
        <v>13.5</v>
      </c>
      <c r="E69" s="2">
        <v>23.2</v>
      </c>
      <c r="F69" s="2" t="str">
        <f>IFERROR(VLOOKUP(B69,Tabla2[],5,FALSE),"")</f>
        <v/>
      </c>
      <c r="G69" s="2">
        <f>SQRT(4*(Tabla1[[#This Row],[dD]]-'Find a similar substance'!$D$5)^2+('Find a similar substance'!$E$5-Tabla1[[#This Row],[dP]])^2+(Tabla1[[#This Row],[dH]]-'Find a similar substance'!$F$5)^2)</f>
        <v>18.826576959181931</v>
      </c>
      <c r="L69" s="2" t="s">
        <v>68</v>
      </c>
      <c r="M69" s="2">
        <v>17.399999999999999</v>
      </c>
      <c r="N69" s="2">
        <v>13.7</v>
      </c>
      <c r="O69" s="2">
        <v>11.3</v>
      </c>
      <c r="P69" s="2">
        <v>77.400000000000006</v>
      </c>
    </row>
    <row r="70" spans="1:16" x14ac:dyDescent="0.25">
      <c r="A70" s="2" t="s">
        <v>259</v>
      </c>
      <c r="B70" s="2" t="s">
        <v>258</v>
      </c>
      <c r="C70" s="2">
        <v>16.8</v>
      </c>
      <c r="D70" s="2">
        <v>9.1</v>
      </c>
      <c r="E70" s="2">
        <v>4.2</v>
      </c>
      <c r="F70" s="2" t="str">
        <f>IFERROR(VLOOKUP(B70,Tabla2[],5,FALSE),"")</f>
        <v/>
      </c>
      <c r="G70" s="2">
        <f>SQRT(4*(Tabla1[[#This Row],[dD]]-'Find a similar substance'!$D$5)^2+('Find a similar substance'!$E$5-Tabla1[[#This Row],[dP]])^2+(Tabla1[[#This Row],[dH]]-'Find a similar substance'!$F$5)^2)</f>
        <v>0.97979589711327064</v>
      </c>
      <c r="L70" s="2" t="s">
        <v>69</v>
      </c>
      <c r="M70" s="2">
        <v>16.600000000000001</v>
      </c>
      <c r="N70" s="2">
        <v>12.3</v>
      </c>
      <c r="O70" s="2">
        <v>5.5</v>
      </c>
      <c r="P70" s="2">
        <v>89.5</v>
      </c>
    </row>
    <row r="71" spans="1:16" x14ac:dyDescent="0.25">
      <c r="A71" s="2" t="s">
        <v>261</v>
      </c>
      <c r="B71" s="2" t="s">
        <v>260</v>
      </c>
      <c r="C71" s="2">
        <v>16.600000000000001</v>
      </c>
      <c r="D71" s="2">
        <v>11</v>
      </c>
      <c r="E71" s="2">
        <v>20.9</v>
      </c>
      <c r="F71" s="2" t="str">
        <f>IFERROR(VLOOKUP(B71,Tabla2[],5,FALSE),"")</f>
        <v/>
      </c>
      <c r="G71" s="2">
        <f>SQRT(4*(Tabla1[[#This Row],[dD]]-'Find a similar substance'!$D$5)^2+('Find a similar substance'!$E$5-Tabla1[[#This Row],[dP]])^2+(Tabla1[[#This Row],[dH]]-'Find a similar substance'!$F$5)^2)</f>
        <v>16.065490966665163</v>
      </c>
      <c r="L71" s="2" t="s">
        <v>70</v>
      </c>
      <c r="M71" s="2">
        <v>17.8</v>
      </c>
      <c r="N71" s="2">
        <v>5.7</v>
      </c>
      <c r="O71" s="2">
        <v>14.3</v>
      </c>
      <c r="P71" s="2">
        <v>124.7</v>
      </c>
    </row>
    <row r="72" spans="1:16" x14ac:dyDescent="0.25">
      <c r="A72" s="2" t="s">
        <v>263</v>
      </c>
      <c r="B72" s="2" t="s">
        <v>262</v>
      </c>
      <c r="C72" s="2">
        <v>17.8</v>
      </c>
      <c r="D72" s="2">
        <v>7.6</v>
      </c>
      <c r="E72" s="2">
        <v>2</v>
      </c>
      <c r="F72" s="2" t="str">
        <f>IFERROR(VLOOKUP(B72,Tabla2[],5,FALSE),"")</f>
        <v/>
      </c>
      <c r="G72" s="2">
        <f>SQRT(4*(Tabla1[[#This Row],[dD]]-'Find a similar substance'!$D$5)^2+('Find a similar substance'!$E$5-Tabla1[[#This Row],[dP]])^2+(Tabla1[[#This Row],[dH]]-'Find a similar substance'!$F$5)^2)</f>
        <v>3.9962482405376161</v>
      </c>
      <c r="L72" s="2" t="s">
        <v>71</v>
      </c>
      <c r="M72" s="2">
        <v>15.8</v>
      </c>
      <c r="N72" s="2">
        <v>6.1</v>
      </c>
      <c r="O72" s="2">
        <v>16.399999999999999</v>
      </c>
      <c r="P72" s="2">
        <v>76.900000000000006</v>
      </c>
    </row>
    <row r="73" spans="1:16" x14ac:dyDescent="0.25">
      <c r="A73" s="2" t="s">
        <v>265</v>
      </c>
      <c r="B73" s="2" t="s">
        <v>264</v>
      </c>
      <c r="C73" s="2">
        <v>18.3</v>
      </c>
      <c r="D73" s="2">
        <v>7.7</v>
      </c>
      <c r="E73" s="2">
        <v>2.8</v>
      </c>
      <c r="F73" s="2" t="str">
        <f>IFERROR(VLOOKUP(B73,Tabla2[],5,FALSE),"")</f>
        <v/>
      </c>
      <c r="G73" s="2">
        <f>SQRT(4*(Tabla1[[#This Row],[dD]]-'Find a similar substance'!$D$5)^2+('Find a similar substance'!$E$5-Tabla1[[#This Row],[dP]])^2+(Tabla1[[#This Row],[dH]]-'Find a similar substance'!$F$5)^2)</f>
        <v>4.1713307229228409</v>
      </c>
      <c r="L73" s="2" t="s">
        <v>72</v>
      </c>
      <c r="M73" s="2">
        <v>16</v>
      </c>
      <c r="N73" s="2">
        <v>6.8</v>
      </c>
      <c r="O73" s="2">
        <v>17.399999999999999</v>
      </c>
      <c r="P73" s="2">
        <v>75.099999999999994</v>
      </c>
    </row>
    <row r="74" spans="1:16" x14ac:dyDescent="0.25">
      <c r="A74" s="2" t="s">
        <v>267</v>
      </c>
      <c r="B74" s="2" t="s">
        <v>266</v>
      </c>
      <c r="C74" s="2">
        <v>21</v>
      </c>
      <c r="D74" s="2">
        <v>10.199999999999999</v>
      </c>
      <c r="E74" s="2">
        <v>27.2</v>
      </c>
      <c r="F74" s="2" t="str">
        <f>IFERROR(VLOOKUP(B74,Tabla2[],5,FALSE),"")</f>
        <v/>
      </c>
      <c r="G74" s="2">
        <f>SQRT(4*(Tabla1[[#This Row],[dD]]-'Find a similar substance'!$D$5)^2+('Find a similar substance'!$E$5-Tabla1[[#This Row],[dP]])^2+(Tabla1[[#This Row],[dH]]-'Find a similar substance'!$F$5)^2)</f>
        <v>23.927599127367543</v>
      </c>
      <c r="L74" s="2" t="s">
        <v>73</v>
      </c>
      <c r="M74" s="2">
        <v>15.3</v>
      </c>
      <c r="N74" s="2">
        <v>4.3</v>
      </c>
      <c r="O74" s="2">
        <v>7.6</v>
      </c>
      <c r="P74" s="2">
        <v>115.8</v>
      </c>
    </row>
    <row r="75" spans="1:16" x14ac:dyDescent="0.25">
      <c r="A75" s="2" t="s">
        <v>268</v>
      </c>
      <c r="B75" s="2" t="s">
        <v>30</v>
      </c>
      <c r="C75" s="2">
        <v>17.5</v>
      </c>
      <c r="D75" s="2">
        <v>1.8</v>
      </c>
      <c r="E75" s="2">
        <v>9</v>
      </c>
      <c r="F75" s="2">
        <f>IFERROR(VLOOKUP(B75,Tabla2[],5,FALSE),"")</f>
        <v>85.7</v>
      </c>
      <c r="G75" s="2">
        <f>SQRT(4*(Tabla1[[#This Row],[dD]]-'Find a similar substance'!$D$5)^2+('Find a similar substance'!$E$5-Tabla1[[#This Row],[dP]])^2+(Tabla1[[#This Row],[dH]]-'Find a similar substance'!$F$5)^2)</f>
        <v>8.1761849294154292</v>
      </c>
      <c r="L75" s="2" t="s">
        <v>74</v>
      </c>
      <c r="M75" s="2">
        <v>15.5</v>
      </c>
      <c r="N75" s="2">
        <v>5.6</v>
      </c>
      <c r="O75" s="2">
        <v>5.7</v>
      </c>
      <c r="P75" s="2">
        <v>132.5</v>
      </c>
    </row>
    <row r="76" spans="1:16" x14ac:dyDescent="0.25">
      <c r="A76" s="2" t="s">
        <v>268</v>
      </c>
      <c r="B76" s="2" t="s">
        <v>269</v>
      </c>
      <c r="C76" s="2">
        <v>17.100000000000001</v>
      </c>
      <c r="D76" s="2">
        <v>6.8</v>
      </c>
      <c r="E76" s="2">
        <v>7.8</v>
      </c>
      <c r="F76" s="2" t="str">
        <f>IFERROR(VLOOKUP(B76,Tabla2[],5,FALSE),"")</f>
        <v/>
      </c>
      <c r="G76" s="2">
        <f>SQRT(4*(Tabla1[[#This Row],[dD]]-'Find a similar substance'!$D$5)^2+('Find a similar substance'!$E$5-Tabla1[[#This Row],[dP]])^2+(Tabla1[[#This Row],[dH]]-'Find a similar substance'!$F$5)^2)</f>
        <v>3.5284557528754696</v>
      </c>
      <c r="L76" s="2" t="s">
        <v>75</v>
      </c>
      <c r="M76" s="2">
        <v>20</v>
      </c>
      <c r="N76" s="2">
        <v>18</v>
      </c>
      <c r="O76" s="2">
        <v>4.0999999999999996</v>
      </c>
      <c r="P76" s="2">
        <v>85.2</v>
      </c>
    </row>
    <row r="77" spans="1:16" x14ac:dyDescent="0.25">
      <c r="A77" s="2" t="s">
        <v>271</v>
      </c>
      <c r="B77" s="2" t="s">
        <v>270</v>
      </c>
      <c r="C77" s="2">
        <v>19</v>
      </c>
      <c r="D77" s="2">
        <v>6.6</v>
      </c>
      <c r="E77" s="2">
        <v>7.7</v>
      </c>
      <c r="F77" s="2" t="str">
        <f>IFERROR(VLOOKUP(B77,Tabla2[],5,FALSE),"")</f>
        <v/>
      </c>
      <c r="G77" s="2">
        <f>SQRT(4*(Tabla1[[#This Row],[dD]]-'Find a similar substance'!$D$5)^2+('Find a similar substance'!$E$5-Tabla1[[#This Row],[dP]])^2+(Tabla1[[#This Row],[dH]]-'Find a similar substance'!$F$5)^2)</f>
        <v>5.8940648113165484</v>
      </c>
      <c r="L77" s="2" t="s">
        <v>76</v>
      </c>
      <c r="M77" s="2">
        <v>15.3</v>
      </c>
      <c r="N77" s="2">
        <v>4.5</v>
      </c>
      <c r="O77" s="2">
        <v>9.1999999999999993</v>
      </c>
      <c r="P77" s="2">
        <v>132</v>
      </c>
    </row>
    <row r="78" spans="1:16" x14ac:dyDescent="0.25">
      <c r="A78" s="2" t="s">
        <v>273</v>
      </c>
      <c r="B78" s="2" t="s">
        <v>272</v>
      </c>
      <c r="C78" s="2">
        <v>18</v>
      </c>
      <c r="D78" s="2">
        <v>7.8</v>
      </c>
      <c r="E78" s="2">
        <v>1.5</v>
      </c>
      <c r="F78" s="2" t="str">
        <f>IFERROR(VLOOKUP(B78,Tabla2[],5,FALSE),"")</f>
        <v/>
      </c>
      <c r="G78" s="2">
        <f>SQRT(4*(Tabla1[[#This Row],[dD]]-'Find a similar substance'!$D$5)^2+('Find a similar substance'!$E$5-Tabla1[[#This Row],[dP]])^2+(Tabla1[[#This Row],[dH]]-'Find a similar substance'!$F$5)^2)</f>
        <v>4.5716517802649825</v>
      </c>
      <c r="L78" s="2" t="s">
        <v>77</v>
      </c>
      <c r="M78" s="2">
        <v>15.6</v>
      </c>
      <c r="N78" s="2">
        <v>6.3</v>
      </c>
      <c r="O78" s="2">
        <v>7.7</v>
      </c>
      <c r="P78" s="2">
        <v>155.1</v>
      </c>
    </row>
    <row r="79" spans="1:16" x14ac:dyDescent="0.25">
      <c r="A79" s="2" t="s">
        <v>275</v>
      </c>
      <c r="B79" s="2" t="s">
        <v>274</v>
      </c>
      <c r="C79" s="2">
        <v>16.7</v>
      </c>
      <c r="D79" s="2">
        <v>4.5999999999999996</v>
      </c>
      <c r="E79" s="2">
        <v>3.4</v>
      </c>
      <c r="F79" s="2" t="str">
        <f>IFERROR(VLOOKUP(B79,Tabla2[],5,FALSE),"")</f>
        <v/>
      </c>
      <c r="G79" s="2">
        <f>SQRT(4*(Tabla1[[#This Row],[dD]]-'Find a similar substance'!$D$5)^2+('Find a similar substance'!$E$5-Tabla1[[#This Row],[dP]])^2+(Tabla1[[#This Row],[dH]]-'Find a similar substance'!$F$5)^2)</f>
        <v>4.4056781543821373</v>
      </c>
      <c r="L79" s="2" t="s">
        <v>78</v>
      </c>
      <c r="M79" s="2">
        <v>15.6</v>
      </c>
      <c r="N79" s="2">
        <v>6.3</v>
      </c>
      <c r="O79" s="2">
        <v>11.6</v>
      </c>
      <c r="P79" s="2">
        <v>98.2</v>
      </c>
    </row>
    <row r="80" spans="1:16" x14ac:dyDescent="0.25">
      <c r="A80" s="2" t="s">
        <v>277</v>
      </c>
      <c r="B80" s="2" t="s">
        <v>276</v>
      </c>
      <c r="C80" s="2">
        <v>15.7</v>
      </c>
      <c r="D80" s="2">
        <v>7</v>
      </c>
      <c r="E80" s="2">
        <v>15.1</v>
      </c>
      <c r="F80" s="2" t="str">
        <f>IFERROR(VLOOKUP(B80,Tabla2[],5,FALSE),"")</f>
        <v/>
      </c>
      <c r="G80" s="2">
        <f>SQRT(4*(Tabla1[[#This Row],[dD]]-'Find a similar substance'!$D$5)^2+('Find a similar substance'!$E$5-Tabla1[[#This Row],[dP]])^2+(Tabla1[[#This Row],[dH]]-'Find a similar substance'!$F$5)^2)</f>
        <v>10.399038417084533</v>
      </c>
      <c r="L80" s="2" t="s">
        <v>79</v>
      </c>
      <c r="M80" s="2">
        <v>15.6</v>
      </c>
      <c r="N80" s="2">
        <v>5.6</v>
      </c>
      <c r="O80" s="2">
        <v>9.8000000000000007</v>
      </c>
      <c r="P80" s="2">
        <v>137.1</v>
      </c>
    </row>
    <row r="81" spans="1:16" x14ac:dyDescent="0.25">
      <c r="A81" s="2" t="s">
        <v>279</v>
      </c>
      <c r="B81" s="2" t="s">
        <v>278</v>
      </c>
      <c r="C81" s="2">
        <v>16.100000000000001</v>
      </c>
      <c r="D81" s="2">
        <v>4.4000000000000004</v>
      </c>
      <c r="E81" s="2">
        <v>8.3000000000000007</v>
      </c>
      <c r="F81" s="2" t="str">
        <f>IFERROR(VLOOKUP(B81,Tabla2[],5,FALSE),"")</f>
        <v/>
      </c>
      <c r="G81" s="2">
        <f>SQRT(4*(Tabla1[[#This Row],[dD]]-'Find a similar substance'!$D$5)^2+('Find a similar substance'!$E$5-Tabla1[[#This Row],[dP]])^2+(Tabla1[[#This Row],[dH]]-'Find a similar substance'!$F$5)^2)</f>
        <v>5.5118055118082676</v>
      </c>
      <c r="L81" s="2" t="s">
        <v>80</v>
      </c>
      <c r="M81" s="2">
        <v>17.399999999999999</v>
      </c>
      <c r="N81" s="2">
        <v>5.3</v>
      </c>
      <c r="O81" s="2">
        <v>11.5</v>
      </c>
      <c r="P81" s="2">
        <v>143.19999999999999</v>
      </c>
    </row>
    <row r="82" spans="1:16" x14ac:dyDescent="0.25">
      <c r="A82" s="2" t="s">
        <v>281</v>
      </c>
      <c r="B82" s="2" t="s">
        <v>280</v>
      </c>
      <c r="C82" s="2">
        <v>17</v>
      </c>
      <c r="D82" s="2">
        <v>6.3</v>
      </c>
      <c r="E82" s="2">
        <v>13.6</v>
      </c>
      <c r="F82" s="2" t="str">
        <f>IFERROR(VLOOKUP(B82,Tabla2[],5,FALSE),"")</f>
        <v/>
      </c>
      <c r="G82" s="2">
        <f>SQRT(4*(Tabla1[[#This Row],[dD]]-'Find a similar substance'!$D$5)^2+('Find a similar substance'!$E$5-Tabla1[[#This Row],[dP]])^2+(Tabla1[[#This Row],[dH]]-'Find a similar substance'!$F$5)^2)</f>
        <v>8.9643739324059872</v>
      </c>
      <c r="L82" s="2" t="s">
        <v>81</v>
      </c>
      <c r="M82" s="2">
        <v>15</v>
      </c>
      <c r="N82" s="2">
        <v>3.7</v>
      </c>
      <c r="O82" s="2">
        <v>7.6</v>
      </c>
      <c r="P82" s="2">
        <v>134</v>
      </c>
    </row>
    <row r="83" spans="1:16" x14ac:dyDescent="0.25">
      <c r="A83" s="2" t="s">
        <v>283</v>
      </c>
      <c r="B83" s="2" t="s">
        <v>282</v>
      </c>
      <c r="C83" s="2">
        <v>16.3</v>
      </c>
      <c r="D83" s="2">
        <v>6.4</v>
      </c>
      <c r="E83" s="2">
        <v>5</v>
      </c>
      <c r="F83" s="2" t="str">
        <f>IFERROR(VLOOKUP(B83,Tabla2[],5,FALSE),"")</f>
        <v/>
      </c>
      <c r="G83" s="2">
        <f>SQRT(4*(Tabla1[[#This Row],[dD]]-'Find a similar substance'!$D$5)^2+('Find a similar substance'!$E$5-Tabla1[[#This Row],[dP]])^2+(Tabla1[[#This Row],[dH]]-'Find a similar substance'!$F$5)^2)</f>
        <v>2.3769728648009418</v>
      </c>
      <c r="L83" s="2" t="s">
        <v>82</v>
      </c>
      <c r="M83" s="2">
        <v>18</v>
      </c>
      <c r="N83" s="2">
        <v>18</v>
      </c>
      <c r="O83" s="2">
        <v>9.9</v>
      </c>
      <c r="P83" s="2">
        <v>95.3</v>
      </c>
    </row>
    <row r="84" spans="1:16" x14ac:dyDescent="0.25">
      <c r="A84" s="2" t="s">
        <v>285</v>
      </c>
      <c r="B84" s="2" t="s">
        <v>284</v>
      </c>
      <c r="C84" s="2">
        <v>19.5</v>
      </c>
      <c r="D84" s="2">
        <v>7.7</v>
      </c>
      <c r="E84" s="2">
        <v>5.3</v>
      </c>
      <c r="F84" s="2" t="str">
        <f>IFERROR(VLOOKUP(B84,Tabla2[],5,FALSE),"")</f>
        <v/>
      </c>
      <c r="G84" s="2">
        <f>SQRT(4*(Tabla1[[#This Row],[dD]]-'Find a similar substance'!$D$5)^2+('Find a similar substance'!$E$5-Tabla1[[#This Row],[dP]])^2+(Tabla1[[#This Row],[dH]]-'Find a similar substance'!$F$5)^2)</f>
        <v>5.8932164392630249</v>
      </c>
      <c r="L84" s="2" t="s">
        <v>83</v>
      </c>
      <c r="M84" s="2">
        <v>16.8</v>
      </c>
      <c r="N84" s="2">
        <v>5.7</v>
      </c>
      <c r="O84" s="2">
        <v>8</v>
      </c>
      <c r="P84" s="2">
        <v>81.900000000000006</v>
      </c>
    </row>
    <row r="85" spans="1:16" x14ac:dyDescent="0.25">
      <c r="A85" s="2" t="s">
        <v>287</v>
      </c>
      <c r="B85" s="2" t="s">
        <v>286</v>
      </c>
      <c r="C85" s="2">
        <v>20.6</v>
      </c>
      <c r="D85" s="2">
        <v>3.1</v>
      </c>
      <c r="E85" s="2">
        <v>4.0999999999999996</v>
      </c>
      <c r="F85" s="2" t="str">
        <f>IFERROR(VLOOKUP(B85,Tabla2[],5,FALSE),"")</f>
        <v/>
      </c>
      <c r="G85" s="2">
        <f>SQRT(4*(Tabla1[[#This Row],[dD]]-'Find a similar substance'!$D$5)^2+('Find a similar substance'!$E$5-Tabla1[[#This Row],[dP]])^2+(Tabla1[[#This Row],[dH]]-'Find a similar substance'!$F$5)^2)</f>
        <v>9.8066304100848019</v>
      </c>
      <c r="L85" s="2" t="s">
        <v>84</v>
      </c>
      <c r="M85" s="2">
        <v>17.8</v>
      </c>
      <c r="N85" s="2">
        <v>8.1999999999999993</v>
      </c>
      <c r="O85" s="2">
        <v>12.9</v>
      </c>
      <c r="P85" s="2">
        <v>97.4</v>
      </c>
    </row>
    <row r="86" spans="1:16" x14ac:dyDescent="0.25">
      <c r="A86" s="2" t="s">
        <v>289</v>
      </c>
      <c r="B86" s="2" t="s">
        <v>288</v>
      </c>
      <c r="C86" s="2">
        <v>16.399999999999999</v>
      </c>
      <c r="D86" s="2">
        <v>7.9</v>
      </c>
      <c r="E86" s="2">
        <v>4.8</v>
      </c>
      <c r="F86" s="2" t="str">
        <f>IFERROR(VLOOKUP(B86,Tabla2[],5,FALSE),"")</f>
        <v/>
      </c>
      <c r="G86" s="2">
        <f>SQRT(4*(Tabla1[[#This Row],[dD]]-'Find a similar substance'!$D$5)^2+('Find a similar substance'!$E$5-Tabla1[[#This Row],[dP]])^2+(Tabla1[[#This Row],[dH]]-'Find a similar substance'!$F$5)^2)</f>
        <v>0.91651513899116965</v>
      </c>
      <c r="L86" s="2" t="s">
        <v>85</v>
      </c>
      <c r="M86" s="2">
        <v>18</v>
      </c>
      <c r="N86" s="2">
        <v>1.4</v>
      </c>
      <c r="O86" s="2">
        <v>2</v>
      </c>
      <c r="P86" s="2">
        <v>106.6</v>
      </c>
    </row>
    <row r="87" spans="1:16" x14ac:dyDescent="0.25">
      <c r="A87" s="2" t="s">
        <v>291</v>
      </c>
      <c r="B87" s="2" t="s">
        <v>290</v>
      </c>
      <c r="C87" s="2">
        <v>16.3</v>
      </c>
      <c r="D87" s="2">
        <v>5.3</v>
      </c>
      <c r="E87" s="2">
        <v>4.5</v>
      </c>
      <c r="F87" s="2" t="str">
        <f>IFERROR(VLOOKUP(B87,Tabla2[],5,FALSE),"")</f>
        <v/>
      </c>
      <c r="G87" s="2">
        <f>SQRT(4*(Tabla1[[#This Row],[dD]]-'Find a similar substance'!$D$5)^2+('Find a similar substance'!$E$5-Tabla1[[#This Row],[dP]])^2+(Tabla1[[#This Row],[dH]]-'Find a similar substance'!$F$5)^2)</f>
        <v>3.4885527085024814</v>
      </c>
      <c r="L87" s="2" t="s">
        <v>86</v>
      </c>
      <c r="M87" s="2">
        <v>17.600000000000001</v>
      </c>
      <c r="N87" s="2">
        <v>1</v>
      </c>
      <c r="O87" s="2">
        <v>3.1</v>
      </c>
      <c r="P87" s="2">
        <v>123.9</v>
      </c>
    </row>
    <row r="88" spans="1:16" x14ac:dyDescent="0.25">
      <c r="A88" s="2" t="s">
        <v>292</v>
      </c>
      <c r="B88" s="2" t="s">
        <v>12</v>
      </c>
      <c r="C88" s="2">
        <v>16</v>
      </c>
      <c r="D88" s="2">
        <v>5.7</v>
      </c>
      <c r="E88" s="2">
        <v>15.8</v>
      </c>
      <c r="F88" s="2">
        <f>IFERROR(VLOOKUP(B88,Tabla2[],5,FALSE),"")</f>
        <v>92</v>
      </c>
      <c r="G88" s="2">
        <f>SQRT(4*(Tabla1[[#This Row],[dD]]-'Find a similar substance'!$D$5)^2+('Find a similar substance'!$E$5-Tabla1[[#This Row],[dP]])^2+(Tabla1[[#This Row],[dH]]-'Find a similar substance'!$F$5)^2)</f>
        <v>11.272976536833562</v>
      </c>
    </row>
    <row r="89" spans="1:16" x14ac:dyDescent="0.25">
      <c r="A89" s="2" t="s">
        <v>294</v>
      </c>
      <c r="B89" s="2" t="s">
        <v>293</v>
      </c>
      <c r="C89" s="2">
        <v>13.2</v>
      </c>
      <c r="D89" s="2">
        <v>1.3</v>
      </c>
      <c r="E89" s="2">
        <v>3.9</v>
      </c>
      <c r="F89" s="2" t="str">
        <f>IFERROR(VLOOKUP(B89,Tabla2[],5,FALSE),"")</f>
        <v/>
      </c>
      <c r="G89" s="2">
        <f>SQRT(4*(Tabla1[[#This Row],[dD]]-'Find a similar substance'!$D$5)^2+('Find a similar substance'!$E$5-Tabla1[[#This Row],[dP]])^2+(Tabla1[[#This Row],[dH]]-'Find a similar substance'!$F$5)^2)</f>
        <v>10.10989614189978</v>
      </c>
    </row>
    <row r="90" spans="1:16" x14ac:dyDescent="0.25">
      <c r="A90" s="2" t="s">
        <v>296</v>
      </c>
      <c r="B90" s="2" t="s">
        <v>295</v>
      </c>
      <c r="C90" s="2">
        <v>15.1</v>
      </c>
      <c r="D90" s="2">
        <v>5.3</v>
      </c>
      <c r="E90" s="2">
        <v>5.2</v>
      </c>
      <c r="F90" s="2" t="str">
        <f>IFERROR(VLOOKUP(B90,Tabla2[],5,FALSE),"")</f>
        <v/>
      </c>
      <c r="G90" s="2">
        <f>SQRT(4*(Tabla1[[#This Row],[dD]]-'Find a similar substance'!$D$5)^2+('Find a similar substance'!$E$5-Tabla1[[#This Row],[dP]])^2+(Tabla1[[#This Row],[dH]]-'Find a similar substance'!$F$5)^2)</f>
        <v>4.5387222871640889</v>
      </c>
    </row>
    <row r="91" spans="1:16" x14ac:dyDescent="0.25">
      <c r="A91" s="2" t="s">
        <v>298</v>
      </c>
      <c r="B91" s="2" t="s">
        <v>297</v>
      </c>
      <c r="C91" s="2">
        <v>16</v>
      </c>
      <c r="D91" s="2">
        <v>6.9</v>
      </c>
      <c r="E91" s="2">
        <v>1.9</v>
      </c>
      <c r="F91" s="2" t="str">
        <f>IFERROR(VLOOKUP(B91,Tabla2[],5,FALSE),"")</f>
        <v/>
      </c>
      <c r="G91" s="2">
        <f>SQRT(4*(Tabla1[[#This Row],[dD]]-'Find a similar substance'!$D$5)^2+('Find a similar substance'!$E$5-Tabla1[[#This Row],[dP]])^2+(Tabla1[[#This Row],[dH]]-'Find a similar substance'!$F$5)^2)</f>
        <v>3.7802116342871606</v>
      </c>
    </row>
    <row r="92" spans="1:16" x14ac:dyDescent="0.25">
      <c r="A92" s="2" t="s">
        <v>300</v>
      </c>
      <c r="B92" s="2" t="s">
        <v>299</v>
      </c>
      <c r="C92" s="2">
        <v>16.8</v>
      </c>
      <c r="D92" s="2">
        <v>6.5</v>
      </c>
      <c r="E92" s="2">
        <v>5.7</v>
      </c>
      <c r="F92" s="2" t="str">
        <f>IFERROR(VLOOKUP(B92,Tabla2[],5,FALSE),"")</f>
        <v/>
      </c>
      <c r="G92" s="2">
        <f>SQRT(4*(Tabla1[[#This Row],[dD]]-'Find a similar substance'!$D$5)^2+('Find a similar substance'!$E$5-Tabla1[[#This Row],[dP]])^2+(Tabla1[[#This Row],[dH]]-'Find a similar substance'!$F$5)^2)</f>
        <v>2.3430749027719955</v>
      </c>
    </row>
    <row r="93" spans="1:16" x14ac:dyDescent="0.25">
      <c r="A93" s="2" t="s">
        <v>302</v>
      </c>
      <c r="B93" s="2" t="s">
        <v>301</v>
      </c>
      <c r="C93" s="2">
        <v>16</v>
      </c>
      <c r="D93" s="2">
        <v>6.9</v>
      </c>
      <c r="E93" s="2">
        <v>4</v>
      </c>
      <c r="F93" s="2" t="str">
        <f>IFERROR(VLOOKUP(B93,Tabla2[],5,FALSE),"")</f>
        <v/>
      </c>
      <c r="G93" s="2">
        <f>SQRT(4*(Tabla1[[#This Row],[dD]]-'Find a similar substance'!$D$5)^2+('Find a similar substance'!$E$5-Tabla1[[#This Row],[dP]])^2+(Tabla1[[#This Row],[dH]]-'Find a similar substance'!$F$5)^2)</f>
        <v>2.3832750575625976</v>
      </c>
    </row>
    <row r="94" spans="1:16" x14ac:dyDescent="0.25">
      <c r="A94" s="2" t="s">
        <v>304</v>
      </c>
      <c r="B94" s="2" t="s">
        <v>303</v>
      </c>
      <c r="C94" s="2">
        <v>16.8</v>
      </c>
      <c r="D94" s="2">
        <v>13.5</v>
      </c>
      <c r="E94" s="2">
        <v>4.7</v>
      </c>
      <c r="F94" s="2" t="str">
        <f>IFERROR(VLOOKUP(B94,Tabla2[],5,FALSE),"")</f>
        <v/>
      </c>
      <c r="G94" s="2">
        <f>SQRT(4*(Tabla1[[#This Row],[dD]]-'Find a similar substance'!$D$5)^2+('Find a similar substance'!$E$5-Tabla1[[#This Row],[dP]])^2+(Tabla1[[#This Row],[dH]]-'Find a similar substance'!$F$5)^2)</f>
        <v>4.8259714048054621</v>
      </c>
    </row>
    <row r="95" spans="1:16" x14ac:dyDescent="0.25">
      <c r="A95" s="2" t="s">
        <v>306</v>
      </c>
      <c r="B95" s="2" t="s">
        <v>305</v>
      </c>
      <c r="C95" s="2">
        <v>16.8</v>
      </c>
      <c r="D95" s="2">
        <v>13</v>
      </c>
      <c r="E95" s="2">
        <v>4.5</v>
      </c>
      <c r="F95" s="2" t="str">
        <f>IFERROR(VLOOKUP(B95,Tabla2[],5,FALSE),"")</f>
        <v/>
      </c>
      <c r="G95" s="2">
        <f>SQRT(4*(Tabla1[[#This Row],[dD]]-'Find a similar substance'!$D$5)^2+('Find a similar substance'!$E$5-Tabla1[[#This Row],[dP]])^2+(Tabla1[[#This Row],[dH]]-'Find a similar substance'!$F$5)^2)</f>
        <v>4.3474130238568325</v>
      </c>
    </row>
    <row r="96" spans="1:16" x14ac:dyDescent="0.25">
      <c r="A96" s="2" t="s">
        <v>308</v>
      </c>
      <c r="B96" s="2" t="s">
        <v>307</v>
      </c>
      <c r="C96" s="2">
        <v>16.2</v>
      </c>
      <c r="D96" s="2">
        <v>7.7</v>
      </c>
      <c r="E96" s="2">
        <v>2</v>
      </c>
      <c r="F96" s="2" t="str">
        <f>IFERROR(VLOOKUP(B96,Tabla2[],5,FALSE),"")</f>
        <v/>
      </c>
      <c r="G96" s="2">
        <f>SQRT(4*(Tabla1[[#This Row],[dD]]-'Find a similar substance'!$D$5)^2+('Find a similar substance'!$E$5-Tabla1[[#This Row],[dP]])^2+(Tabla1[[#This Row],[dH]]-'Find a similar substance'!$F$5)^2)</f>
        <v>3.2619012860600187</v>
      </c>
    </row>
    <row r="97" spans="1:7" x14ac:dyDescent="0.25">
      <c r="A97" s="2" t="s">
        <v>310</v>
      </c>
      <c r="B97" s="2" t="s">
        <v>309</v>
      </c>
      <c r="C97" s="2">
        <v>19.2</v>
      </c>
      <c r="D97" s="2">
        <v>8.1</v>
      </c>
      <c r="E97" s="2">
        <v>4.4000000000000004</v>
      </c>
      <c r="F97" s="2" t="str">
        <f>IFERROR(VLOOKUP(B97,Tabla2[],5,FALSE),"")</f>
        <v/>
      </c>
      <c r="G97" s="2">
        <f>SQRT(4*(Tabla1[[#This Row],[dD]]-'Find a similar substance'!$D$5)^2+('Find a similar substance'!$E$5-Tabla1[[#This Row],[dP]])^2+(Tabla1[[#This Row],[dH]]-'Find a similar substance'!$F$5)^2)</f>
        <v>5.2687759489277921</v>
      </c>
    </row>
    <row r="98" spans="1:7" x14ac:dyDescent="0.25">
      <c r="A98" s="2" t="s">
        <v>312</v>
      </c>
      <c r="B98" s="2" t="s">
        <v>311</v>
      </c>
      <c r="C98" s="2">
        <v>18.899999999999999</v>
      </c>
      <c r="D98" s="2">
        <v>4.9000000000000004</v>
      </c>
      <c r="E98" s="2">
        <v>2.2000000000000002</v>
      </c>
      <c r="F98" s="2" t="str">
        <f>IFERROR(VLOOKUP(B98,Tabla2[],5,FALSE),"")</f>
        <v/>
      </c>
      <c r="G98" s="2">
        <f>SQRT(4*(Tabla1[[#This Row],[dD]]-'Find a similar substance'!$D$5)^2+('Find a similar substance'!$E$5-Tabla1[[#This Row],[dP]])^2+(Tabla1[[#This Row],[dH]]-'Find a similar substance'!$F$5)^2)</f>
        <v>6.5909028213136276</v>
      </c>
    </row>
    <row r="99" spans="1:7" x14ac:dyDescent="0.25">
      <c r="A99" s="2" t="s">
        <v>314</v>
      </c>
      <c r="B99" s="2" t="s">
        <v>313</v>
      </c>
      <c r="C99" s="2">
        <v>16.100000000000001</v>
      </c>
      <c r="D99" s="2">
        <v>7.1</v>
      </c>
      <c r="E99" s="2">
        <v>4.2</v>
      </c>
      <c r="F99" s="2" t="str">
        <f>IFERROR(VLOOKUP(B99,Tabla2[],5,FALSE),"")</f>
        <v/>
      </c>
      <c r="G99" s="2">
        <f>SQRT(4*(Tabla1[[#This Row],[dD]]-'Find a similar substance'!$D$5)^2+('Find a similar substance'!$E$5-Tabla1[[#This Row],[dP]])^2+(Tabla1[[#This Row],[dH]]-'Find a similar substance'!$F$5)^2)</f>
        <v>2.0493901531919194</v>
      </c>
    </row>
    <row r="100" spans="1:7" x14ac:dyDescent="0.25">
      <c r="A100" s="2" t="s">
        <v>316</v>
      </c>
      <c r="B100" s="2" t="s">
        <v>315</v>
      </c>
      <c r="C100" s="2">
        <v>19.3</v>
      </c>
      <c r="D100" s="2">
        <v>6.3</v>
      </c>
      <c r="E100" s="2">
        <v>4.4000000000000004</v>
      </c>
      <c r="F100" s="2" t="str">
        <f>IFERROR(VLOOKUP(B100,Tabla2[],5,FALSE),"")</f>
        <v/>
      </c>
      <c r="G100" s="2">
        <f>SQRT(4*(Tabla1[[#This Row],[dD]]-'Find a similar substance'!$D$5)^2+('Find a similar substance'!$E$5-Tabla1[[#This Row],[dP]])^2+(Tabla1[[#This Row],[dH]]-'Find a similar substance'!$F$5)^2)</f>
        <v>5.9396969619669973</v>
      </c>
    </row>
    <row r="101" spans="1:7" x14ac:dyDescent="0.25">
      <c r="A101" s="2" t="s">
        <v>318</v>
      </c>
      <c r="B101" s="2" t="s">
        <v>317</v>
      </c>
      <c r="C101" s="2">
        <v>16.2</v>
      </c>
      <c r="D101" s="2">
        <v>5.5</v>
      </c>
      <c r="E101" s="2">
        <v>2</v>
      </c>
      <c r="F101" s="2" t="str">
        <f>IFERROR(VLOOKUP(B101,Tabla2[],5,FALSE),"")</f>
        <v/>
      </c>
      <c r="G101" s="2">
        <f>SQRT(4*(Tabla1[[#This Row],[dD]]-'Find a similar substance'!$D$5)^2+('Find a similar substance'!$E$5-Tabla1[[#This Row],[dP]])^2+(Tabla1[[#This Row],[dH]]-'Find a similar substance'!$F$5)^2)</f>
        <v>4.4586993619215907</v>
      </c>
    </row>
    <row r="102" spans="1:7" x14ac:dyDescent="0.25">
      <c r="A102" s="2" t="s">
        <v>320</v>
      </c>
      <c r="B102" s="2" t="s">
        <v>319</v>
      </c>
      <c r="C102" s="2">
        <v>16.100000000000001</v>
      </c>
      <c r="D102" s="2">
        <v>6.2</v>
      </c>
      <c r="E102" s="2">
        <v>1.7</v>
      </c>
      <c r="F102" s="2" t="str">
        <f>IFERROR(VLOOKUP(B102,Tabla2[],5,FALSE),"")</f>
        <v/>
      </c>
      <c r="G102" s="2">
        <f>SQRT(4*(Tabla1[[#This Row],[dD]]-'Find a similar substance'!$D$5)^2+('Find a similar substance'!$E$5-Tabla1[[#This Row],[dP]])^2+(Tabla1[[#This Row],[dH]]-'Find a similar substance'!$F$5)^2)</f>
        <v>4.2591078878093702</v>
      </c>
    </row>
    <row r="103" spans="1:7" x14ac:dyDescent="0.25">
      <c r="A103" s="2" t="s">
        <v>322</v>
      </c>
      <c r="B103" s="2" t="s">
        <v>321</v>
      </c>
      <c r="C103" s="2">
        <v>20.5</v>
      </c>
      <c r="D103" s="2">
        <v>4.9000000000000004</v>
      </c>
      <c r="E103" s="2">
        <v>2.5</v>
      </c>
      <c r="F103" s="2" t="str">
        <f>IFERROR(VLOOKUP(B103,Tabla2[],5,FALSE),"")</f>
        <v/>
      </c>
      <c r="G103" s="2">
        <f>SQRT(4*(Tabla1[[#This Row],[dD]]-'Find a similar substance'!$D$5)^2+('Find a similar substance'!$E$5-Tabla1[[#This Row],[dP]])^2+(Tabla1[[#This Row],[dH]]-'Find a similar substance'!$F$5)^2)</f>
        <v>9.0293964360858556</v>
      </c>
    </row>
    <row r="104" spans="1:7" x14ac:dyDescent="0.25">
      <c r="A104" s="2" t="s">
        <v>324</v>
      </c>
      <c r="B104" s="2" t="s">
        <v>323</v>
      </c>
      <c r="C104" s="2">
        <v>15.3</v>
      </c>
      <c r="D104" s="2">
        <v>6.9</v>
      </c>
      <c r="E104" s="2">
        <v>2.2000000000000002</v>
      </c>
      <c r="F104" s="2" t="str">
        <f>IFERROR(VLOOKUP(B104,Tabla2[],5,FALSE),"")</f>
        <v/>
      </c>
      <c r="G104" s="2">
        <f>SQRT(4*(Tabla1[[#This Row],[dD]]-'Find a similar substance'!$D$5)^2+('Find a similar substance'!$E$5-Tabla1[[#This Row],[dP]])^2+(Tabla1[[#This Row],[dH]]-'Find a similar substance'!$F$5)^2)</f>
        <v>4.2237424163885757</v>
      </c>
    </row>
    <row r="105" spans="1:7" x14ac:dyDescent="0.25">
      <c r="A105" s="2" t="s">
        <v>326</v>
      </c>
      <c r="B105" s="2" t="s">
        <v>325</v>
      </c>
      <c r="C105" s="2">
        <v>16</v>
      </c>
      <c r="D105" s="2">
        <v>4.7</v>
      </c>
      <c r="E105" s="2">
        <v>10.5</v>
      </c>
      <c r="F105" s="2" t="str">
        <f>IFERROR(VLOOKUP(B105,Tabla2[],5,FALSE),"")</f>
        <v/>
      </c>
      <c r="G105" s="2">
        <f>SQRT(4*(Tabla1[[#This Row],[dD]]-'Find a similar substance'!$D$5)^2+('Find a similar substance'!$E$5-Tabla1[[#This Row],[dP]])^2+(Tabla1[[#This Row],[dH]]-'Find a similar substance'!$F$5)^2)</f>
        <v>6.9057946682478182</v>
      </c>
    </row>
    <row r="106" spans="1:7" x14ac:dyDescent="0.25">
      <c r="A106" s="2" t="s">
        <v>328</v>
      </c>
      <c r="B106" s="2" t="s">
        <v>327</v>
      </c>
      <c r="C106" s="2">
        <v>15.6</v>
      </c>
      <c r="D106" s="2">
        <v>1</v>
      </c>
      <c r="E106" s="2">
        <v>2.2000000000000002</v>
      </c>
      <c r="F106" s="2" t="str">
        <f>IFERROR(VLOOKUP(B106,Tabla2[],5,FALSE),"")</f>
        <v/>
      </c>
      <c r="G106" s="2">
        <f>SQRT(4*(Tabla1[[#This Row],[dD]]-'Find a similar substance'!$D$5)^2+('Find a similar substance'!$E$5-Tabla1[[#This Row],[dP]])^2+(Tabla1[[#This Row],[dH]]-'Find a similar substance'!$F$5)^2)</f>
        <v>8.4338603260903025</v>
      </c>
    </row>
    <row r="107" spans="1:7" x14ac:dyDescent="0.25">
      <c r="A107" s="2" t="s">
        <v>330</v>
      </c>
      <c r="B107" s="2" t="s">
        <v>329</v>
      </c>
      <c r="C107" s="2">
        <v>15.4</v>
      </c>
      <c r="D107" s="2">
        <v>6.3</v>
      </c>
      <c r="E107" s="2">
        <v>6</v>
      </c>
      <c r="F107" s="2" t="str">
        <f>IFERROR(VLOOKUP(B107,Tabla2[],5,FALSE),"")</f>
        <v/>
      </c>
      <c r="G107" s="2">
        <f>SQRT(4*(Tabla1[[#This Row],[dD]]-'Find a similar substance'!$D$5)^2+('Find a similar substance'!$E$5-Tabla1[[#This Row],[dP]])^2+(Tabla1[[#This Row],[dH]]-'Find a similar substance'!$F$5)^2)</f>
        <v>3.5383612025908273</v>
      </c>
    </row>
    <row r="108" spans="1:7" x14ac:dyDescent="0.25">
      <c r="A108" s="2" t="s">
        <v>332</v>
      </c>
      <c r="B108" s="2" t="s">
        <v>331</v>
      </c>
      <c r="C108" s="2">
        <v>15.3</v>
      </c>
      <c r="D108" s="2">
        <v>4.2</v>
      </c>
      <c r="E108" s="2">
        <v>4.5999999999999996</v>
      </c>
      <c r="F108" s="2" t="str">
        <f>IFERROR(VLOOKUP(B108,Tabla2[],5,FALSE),"")</f>
        <v/>
      </c>
      <c r="G108" s="2">
        <f>SQRT(4*(Tabla1[[#This Row],[dD]]-'Find a similar substance'!$D$5)^2+('Find a similar substance'!$E$5-Tabla1[[#This Row],[dP]])^2+(Tabla1[[#This Row],[dH]]-'Find a similar substance'!$F$5)^2)</f>
        <v>5.2124850119688597</v>
      </c>
    </row>
    <row r="109" spans="1:7" x14ac:dyDescent="0.25">
      <c r="A109" s="2" t="s">
        <v>334</v>
      </c>
      <c r="B109" s="2" t="s">
        <v>333</v>
      </c>
      <c r="C109" s="2">
        <v>16</v>
      </c>
      <c r="D109" s="2">
        <v>8.6999999999999993</v>
      </c>
      <c r="E109" s="2">
        <v>13</v>
      </c>
      <c r="F109" s="2" t="str">
        <f>IFERROR(VLOOKUP(B109,Tabla2[],5,FALSE),"")</f>
        <v/>
      </c>
      <c r="G109" s="2">
        <f>SQRT(4*(Tabla1[[#This Row],[dD]]-'Find a similar substance'!$D$5)^2+('Find a similar substance'!$E$5-Tabla1[[#This Row],[dP]])^2+(Tabla1[[#This Row],[dH]]-'Find a similar substance'!$F$5)^2)</f>
        <v>8.0894993664626753</v>
      </c>
    </row>
    <row r="110" spans="1:7" x14ac:dyDescent="0.25">
      <c r="A110" s="2" t="s">
        <v>336</v>
      </c>
      <c r="B110" s="2" t="s">
        <v>335</v>
      </c>
      <c r="C110" s="2">
        <v>14.1</v>
      </c>
      <c r="D110" s="2">
        <v>15.4</v>
      </c>
      <c r="E110" s="2">
        <v>5.7</v>
      </c>
      <c r="F110" s="2" t="str">
        <f>IFERROR(VLOOKUP(B110,Tabla2[],5,FALSE),"")</f>
        <v/>
      </c>
      <c r="G110" s="2">
        <f>SQRT(4*(Tabla1[[#This Row],[dD]]-'Find a similar substance'!$D$5)^2+('Find a similar substance'!$E$5-Tabla1[[#This Row],[dP]])^2+(Tabla1[[#This Row],[dH]]-'Find a similar substance'!$F$5)^2)</f>
        <v>8.3892788724657397</v>
      </c>
    </row>
    <row r="111" spans="1:7" x14ac:dyDescent="0.25">
      <c r="A111" s="2" t="s">
        <v>338</v>
      </c>
      <c r="B111" s="2" t="s">
        <v>337</v>
      </c>
      <c r="C111" s="2">
        <v>16</v>
      </c>
      <c r="D111" s="2">
        <v>5.3</v>
      </c>
      <c r="E111" s="2">
        <v>11.7</v>
      </c>
      <c r="F111" s="2" t="str">
        <f>IFERROR(VLOOKUP(B111,Tabla2[],5,FALSE),"")</f>
        <v/>
      </c>
      <c r="G111" s="2">
        <f>SQRT(4*(Tabla1[[#This Row],[dD]]-'Find a similar substance'!$D$5)^2+('Find a similar substance'!$E$5-Tabla1[[#This Row],[dP]])^2+(Tabla1[[#This Row],[dH]]-'Find a similar substance'!$F$5)^2)</f>
        <v>7.6085478246509037</v>
      </c>
    </row>
    <row r="112" spans="1:7" x14ac:dyDescent="0.25">
      <c r="A112" s="2" t="s">
        <v>340</v>
      </c>
      <c r="B112" s="2" t="s">
        <v>339</v>
      </c>
      <c r="C112" s="2">
        <v>15</v>
      </c>
      <c r="D112" s="2">
        <v>1.1000000000000001</v>
      </c>
      <c r="E112" s="2">
        <v>2.6</v>
      </c>
      <c r="F112" s="2" t="str">
        <f>IFERROR(VLOOKUP(B112,Tabla2[],5,FALSE),"")</f>
        <v/>
      </c>
      <c r="G112" s="2">
        <f>SQRT(4*(Tabla1[[#This Row],[dD]]-'Find a similar substance'!$D$5)^2+('Find a similar substance'!$E$5-Tabla1[[#This Row],[dP]])^2+(Tabla1[[#This Row],[dH]]-'Find a similar substance'!$F$5)^2)</f>
        <v>8.5883642214335563</v>
      </c>
    </row>
    <row r="113" spans="1:7" x14ac:dyDescent="0.25">
      <c r="A113" s="2" t="s">
        <v>342</v>
      </c>
      <c r="B113" s="2" t="s">
        <v>341</v>
      </c>
      <c r="C113" s="2">
        <v>15.9</v>
      </c>
      <c r="D113" s="2">
        <v>5.8</v>
      </c>
      <c r="E113" s="2">
        <v>12.5</v>
      </c>
      <c r="F113" s="2" t="str">
        <f>IFERROR(VLOOKUP(B113,Tabla2[],5,FALSE),"")</f>
        <v/>
      </c>
      <c r="G113" s="2">
        <f>SQRT(4*(Tabla1[[#This Row],[dD]]-'Find a similar substance'!$D$5)^2+('Find a similar substance'!$E$5-Tabla1[[#This Row],[dP]])^2+(Tabla1[[#This Row],[dH]]-'Find a similar substance'!$F$5)^2)</f>
        <v>8.1621075709647446</v>
      </c>
    </row>
    <row r="114" spans="1:7" x14ac:dyDescent="0.25">
      <c r="A114" s="2" t="s">
        <v>344</v>
      </c>
      <c r="B114" s="2" t="s">
        <v>343</v>
      </c>
      <c r="C114" s="2">
        <v>14.7</v>
      </c>
      <c r="D114" s="2">
        <v>1.1000000000000001</v>
      </c>
      <c r="E114" s="2">
        <v>3</v>
      </c>
      <c r="F114" s="2" t="str">
        <f>IFERROR(VLOOKUP(B114,Tabla2[],5,FALSE),"")</f>
        <v/>
      </c>
      <c r="G114" s="2">
        <f>SQRT(4*(Tabla1[[#This Row],[dD]]-'Find a similar substance'!$D$5)^2+('Find a similar substance'!$E$5-Tabla1[[#This Row],[dP]])^2+(Tabla1[[#This Row],[dH]]-'Find a similar substance'!$F$5)^2)</f>
        <v>8.7292611371180797</v>
      </c>
    </row>
    <row r="115" spans="1:7" x14ac:dyDescent="0.25">
      <c r="A115" s="2" t="s">
        <v>346</v>
      </c>
      <c r="B115" s="2" t="s">
        <v>345</v>
      </c>
      <c r="C115" s="2">
        <v>15.5</v>
      </c>
      <c r="D115" s="2">
        <v>8.3000000000000007</v>
      </c>
      <c r="E115" s="2">
        <v>5.4</v>
      </c>
      <c r="F115" s="2" t="str">
        <f>IFERROR(VLOOKUP(B115,Tabla2[],5,FALSE),"")</f>
        <v/>
      </c>
      <c r="G115" s="2">
        <f>SQRT(4*(Tabla1[[#This Row],[dD]]-'Find a similar substance'!$D$5)^2+('Find a similar substance'!$E$5-Tabla1[[#This Row],[dP]])^2+(Tabla1[[#This Row],[dH]]-'Find a similar substance'!$F$5)^2)</f>
        <v>2.2715633383201119</v>
      </c>
    </row>
    <row r="116" spans="1:7" x14ac:dyDescent="0.25">
      <c r="A116" s="2" t="s">
        <v>348</v>
      </c>
      <c r="B116" s="2" t="s">
        <v>347</v>
      </c>
      <c r="C116" s="2">
        <v>19.600000000000001</v>
      </c>
      <c r="D116" s="2">
        <v>12.7</v>
      </c>
      <c r="E116" s="2">
        <v>5.5</v>
      </c>
      <c r="F116" s="2" t="str">
        <f>IFERROR(VLOOKUP(B116,Tabla2[],5,FALSE),"")</f>
        <v/>
      </c>
      <c r="G116" s="2">
        <f>SQRT(4*(Tabla1[[#This Row],[dD]]-'Find a similar substance'!$D$5)^2+('Find a similar substance'!$E$5-Tabla1[[#This Row],[dP]])^2+(Tabla1[[#This Row],[dH]]-'Find a similar substance'!$F$5)^2)</f>
        <v>7.2284161474004804</v>
      </c>
    </row>
    <row r="117" spans="1:7" x14ac:dyDescent="0.25">
      <c r="A117" s="2" t="s">
        <v>350</v>
      </c>
      <c r="B117" s="2" t="s">
        <v>349</v>
      </c>
      <c r="C117" s="2">
        <v>17.100000000000001</v>
      </c>
      <c r="D117" s="2">
        <v>4</v>
      </c>
      <c r="E117" s="2">
        <v>12</v>
      </c>
      <c r="F117" s="2" t="str">
        <f>IFERROR(VLOOKUP(B117,Tabla2[],5,FALSE),"")</f>
        <v/>
      </c>
      <c r="G117" s="2">
        <f>SQRT(4*(Tabla1[[#This Row],[dD]]-'Find a similar substance'!$D$5)^2+('Find a similar substance'!$E$5-Tabla1[[#This Row],[dP]])^2+(Tabla1[[#This Row],[dH]]-'Find a similar substance'!$F$5)^2)</f>
        <v>8.490583018850943</v>
      </c>
    </row>
    <row r="118" spans="1:7" x14ac:dyDescent="0.25">
      <c r="A118" s="2" t="s">
        <v>352</v>
      </c>
      <c r="B118" s="2" t="s">
        <v>351</v>
      </c>
      <c r="C118" s="2">
        <v>19.7</v>
      </c>
      <c r="D118" s="2">
        <v>15.6</v>
      </c>
      <c r="E118" s="2">
        <v>11.2</v>
      </c>
      <c r="F118" s="2" t="str">
        <f>IFERROR(VLOOKUP(B118,Tabla2[],5,FALSE),"")</f>
        <v/>
      </c>
      <c r="G118" s="2">
        <f>SQRT(4*(Tabla1[[#This Row],[dD]]-'Find a similar substance'!$D$5)^2+('Find a similar substance'!$E$5-Tabla1[[#This Row],[dP]])^2+(Tabla1[[#This Row],[dH]]-'Find a similar substance'!$F$5)^2)</f>
        <v>11.157508682497181</v>
      </c>
    </row>
    <row r="119" spans="1:7" x14ac:dyDescent="0.25">
      <c r="A119" s="2" t="s">
        <v>354</v>
      </c>
      <c r="B119" s="2" t="s">
        <v>353</v>
      </c>
      <c r="C119" s="2">
        <v>19.7</v>
      </c>
      <c r="D119" s="2">
        <v>0.8</v>
      </c>
      <c r="E119" s="2">
        <v>4.7</v>
      </c>
      <c r="F119" s="2" t="str">
        <f>IFERROR(VLOOKUP(B119,Tabla2[],5,FALSE),"")</f>
        <v/>
      </c>
      <c r="G119" s="2">
        <f>SQRT(4*(Tabla1[[#This Row],[dD]]-'Find a similar substance'!$D$5)^2+('Find a similar substance'!$E$5-Tabla1[[#This Row],[dP]])^2+(Tabla1[[#This Row],[dH]]-'Find a similar substance'!$F$5)^2)</f>
        <v>10.046890066085124</v>
      </c>
    </row>
    <row r="120" spans="1:7" x14ac:dyDescent="0.25">
      <c r="A120" s="2" t="s">
        <v>356</v>
      </c>
      <c r="B120" s="2" t="s">
        <v>355</v>
      </c>
      <c r="C120" s="2">
        <v>14.8</v>
      </c>
      <c r="D120" s="2">
        <v>4.2</v>
      </c>
      <c r="E120" s="2">
        <v>5.6</v>
      </c>
      <c r="F120" s="2" t="str">
        <f>IFERROR(VLOOKUP(B120,Tabla2[],5,FALSE),"")</f>
        <v/>
      </c>
      <c r="G120" s="2">
        <f>SQRT(4*(Tabla1[[#This Row],[dD]]-'Find a similar substance'!$D$5)^2+('Find a similar substance'!$E$5-Tabla1[[#This Row],[dP]])^2+(Tabla1[[#This Row],[dH]]-'Find a similar substance'!$F$5)^2)</f>
        <v>5.7939623747483902</v>
      </c>
    </row>
    <row r="121" spans="1:7" x14ac:dyDescent="0.25">
      <c r="A121" s="2" t="s">
        <v>358</v>
      </c>
      <c r="B121" s="2" t="s">
        <v>357</v>
      </c>
      <c r="C121" s="2">
        <v>19.7</v>
      </c>
      <c r="D121" s="2">
        <v>6.3</v>
      </c>
      <c r="E121" s="2">
        <v>12.3</v>
      </c>
      <c r="F121" s="2" t="str">
        <f>IFERROR(VLOOKUP(B121,Tabla2[],5,FALSE),"")</f>
        <v/>
      </c>
      <c r="G121" s="2">
        <f>SQRT(4*(Tabla1[[#This Row],[dD]]-'Find a similar substance'!$D$5)^2+('Find a similar substance'!$E$5-Tabla1[[#This Row],[dP]])^2+(Tabla1[[#This Row],[dH]]-'Find a similar substance'!$F$5)^2)</f>
        <v>9.8737024463977008</v>
      </c>
    </row>
    <row r="122" spans="1:7" x14ac:dyDescent="0.25">
      <c r="A122" s="2" t="s">
        <v>359</v>
      </c>
      <c r="B122" s="2" t="s">
        <v>69</v>
      </c>
      <c r="C122" s="2">
        <v>16.600000000000001</v>
      </c>
      <c r="D122" s="2">
        <v>12.3</v>
      </c>
      <c r="E122" s="2">
        <v>5.5</v>
      </c>
      <c r="F122" s="2">
        <f>IFERROR(VLOOKUP(B122,Tabla2[],5,FALSE),"")</f>
        <v>89.5</v>
      </c>
      <c r="G122" s="2">
        <f>SQRT(4*(Tabla1[[#This Row],[dD]]-'Find a similar substance'!$D$5)^2+('Find a similar substance'!$E$5-Tabla1[[#This Row],[dP]])^2+(Tabla1[[#This Row],[dH]]-'Find a similar substance'!$F$5)^2)</f>
        <v>3.6345563690772509</v>
      </c>
    </row>
    <row r="123" spans="1:7" x14ac:dyDescent="0.25">
      <c r="A123" s="2" t="s">
        <v>361</v>
      </c>
      <c r="B123" s="2" t="s">
        <v>360</v>
      </c>
      <c r="C123" s="2">
        <v>16</v>
      </c>
      <c r="D123" s="2">
        <v>4.8</v>
      </c>
      <c r="E123" s="2">
        <v>11</v>
      </c>
      <c r="F123" s="2" t="str">
        <f>IFERROR(VLOOKUP(B123,Tabla2[],5,FALSE),"")</f>
        <v/>
      </c>
      <c r="G123" s="2">
        <f>SQRT(4*(Tabla1[[#This Row],[dD]]-'Find a similar substance'!$D$5)^2+('Find a similar substance'!$E$5-Tabla1[[#This Row],[dP]])^2+(Tabla1[[#This Row],[dH]]-'Find a similar substance'!$F$5)^2)</f>
        <v>7.2560319734686951</v>
      </c>
    </row>
    <row r="124" spans="1:7" x14ac:dyDescent="0.25">
      <c r="A124" s="2" t="s">
        <v>363</v>
      </c>
      <c r="B124" s="2" t="s">
        <v>362</v>
      </c>
      <c r="C124" s="2">
        <v>15.4</v>
      </c>
      <c r="D124" s="2">
        <v>1</v>
      </c>
      <c r="E124" s="2">
        <v>2.2000000000000002</v>
      </c>
      <c r="F124" s="2" t="str">
        <f>IFERROR(VLOOKUP(B124,Tabla2[],5,FALSE),"")</f>
        <v/>
      </c>
      <c r="G124" s="2">
        <f>SQRT(4*(Tabla1[[#This Row],[dD]]-'Find a similar substance'!$D$5)^2+('Find a similar substance'!$E$5-Tabla1[[#This Row],[dP]])^2+(Tabla1[[#This Row],[dH]]-'Find a similar substance'!$F$5)^2)</f>
        <v>8.5375640553965972</v>
      </c>
    </row>
    <row r="125" spans="1:7" x14ac:dyDescent="0.25">
      <c r="A125" s="2" t="s">
        <v>365</v>
      </c>
      <c r="B125" s="2" t="s">
        <v>364</v>
      </c>
      <c r="C125" s="2">
        <v>16</v>
      </c>
      <c r="D125" s="2">
        <v>5</v>
      </c>
      <c r="E125" s="2">
        <v>11.2</v>
      </c>
      <c r="F125" s="2" t="str">
        <f>IFERROR(VLOOKUP(B125,Tabla2[],5,FALSE),"")</f>
        <v/>
      </c>
      <c r="G125" s="2">
        <f>SQRT(4*(Tabla1[[#This Row],[dD]]-'Find a similar substance'!$D$5)^2+('Find a similar substance'!$E$5-Tabla1[[#This Row],[dP]])^2+(Tabla1[[#This Row],[dH]]-'Find a similar substance'!$F$5)^2)</f>
        <v>7.3191529564560946</v>
      </c>
    </row>
    <row r="126" spans="1:7" x14ac:dyDescent="0.25">
      <c r="A126" s="2" t="s">
        <v>367</v>
      </c>
      <c r="B126" s="2" t="s">
        <v>366</v>
      </c>
      <c r="C126" s="2">
        <v>15.3</v>
      </c>
      <c r="D126" s="2">
        <v>1</v>
      </c>
      <c r="E126" s="2">
        <v>2.4</v>
      </c>
      <c r="F126" s="2" t="str">
        <f>IFERROR(VLOOKUP(B126,Tabla2[],5,FALSE),"")</f>
        <v/>
      </c>
      <c r="G126" s="2">
        <f>SQRT(4*(Tabla1[[#This Row],[dD]]-'Find a similar substance'!$D$5)^2+('Find a similar substance'!$E$5-Tabla1[[#This Row],[dP]])^2+(Tabla1[[#This Row],[dH]]-'Find a similar substance'!$F$5)^2)</f>
        <v>8.5328775919967352</v>
      </c>
    </row>
    <row r="127" spans="1:7" x14ac:dyDescent="0.25">
      <c r="A127" s="2" t="s">
        <v>369</v>
      </c>
      <c r="B127" s="2" t="s">
        <v>368</v>
      </c>
      <c r="C127" s="2">
        <v>15.9</v>
      </c>
      <c r="D127" s="2">
        <v>5.9</v>
      </c>
      <c r="E127" s="2">
        <v>13.9</v>
      </c>
      <c r="F127" s="2" t="str">
        <f>IFERROR(VLOOKUP(B127,Tabla2[],5,FALSE),"")</f>
        <v/>
      </c>
      <c r="G127" s="2">
        <f>SQRT(4*(Tabla1[[#This Row],[dD]]-'Find a similar substance'!$D$5)^2+('Find a similar substance'!$E$5-Tabla1[[#This Row],[dP]])^2+(Tabla1[[#This Row],[dH]]-'Find a similar substance'!$F$5)^2)</f>
        <v>9.4345111161098334</v>
      </c>
    </row>
    <row r="128" spans="1:7" x14ac:dyDescent="0.25">
      <c r="A128" s="2" t="s">
        <v>371</v>
      </c>
      <c r="B128" s="2" t="s">
        <v>370</v>
      </c>
      <c r="C128" s="2">
        <v>13.9</v>
      </c>
      <c r="D128" s="2">
        <v>1.4</v>
      </c>
      <c r="E128" s="2">
        <v>3.8</v>
      </c>
      <c r="F128" s="2" t="str">
        <f>IFERROR(VLOOKUP(B128,Tabla2[],5,FALSE),"")</f>
        <v/>
      </c>
      <c r="G128" s="2">
        <f>SQRT(4*(Tabla1[[#This Row],[dD]]-'Find a similar substance'!$D$5)^2+('Find a similar substance'!$E$5-Tabla1[[#This Row],[dP]])^2+(Tabla1[[#This Row],[dH]]-'Find a similar substance'!$F$5)^2)</f>
        <v>9.159148432032314</v>
      </c>
    </row>
    <row r="129" spans="1:7" x14ac:dyDescent="0.25">
      <c r="A129" s="2" t="s">
        <v>373</v>
      </c>
      <c r="B129" s="2" t="s">
        <v>372</v>
      </c>
      <c r="C129" s="2">
        <v>16.100000000000001</v>
      </c>
      <c r="D129" s="2">
        <v>5.8</v>
      </c>
      <c r="E129" s="2">
        <v>5.7</v>
      </c>
      <c r="F129" s="2" t="str">
        <f>IFERROR(VLOOKUP(B129,Tabla2[],5,FALSE),"")</f>
        <v/>
      </c>
      <c r="G129" s="2">
        <f>SQRT(4*(Tabla1[[#This Row],[dD]]-'Find a similar substance'!$D$5)^2+('Find a similar substance'!$E$5-Tabla1[[#This Row],[dP]])^2+(Tabla1[[#This Row],[dH]]-'Find a similar substance'!$F$5)^2)</f>
        <v>3.146426544510454</v>
      </c>
    </row>
    <row r="130" spans="1:7" x14ac:dyDescent="0.25">
      <c r="A130" s="2" t="s">
        <v>374</v>
      </c>
      <c r="B130" s="2" t="s">
        <v>72</v>
      </c>
      <c r="C130" s="2">
        <v>16</v>
      </c>
      <c r="D130" s="2">
        <v>6.8</v>
      </c>
      <c r="E130" s="2">
        <v>17.399999999999999</v>
      </c>
      <c r="F130" s="2">
        <f>IFERROR(VLOOKUP(B130,Tabla2[],5,FALSE),"")</f>
        <v>75.099999999999994</v>
      </c>
      <c r="G130" s="2">
        <f>SQRT(4*(Tabla1[[#This Row],[dD]]-'Find a similar substance'!$D$5)^2+('Find a similar substance'!$E$5-Tabla1[[#This Row],[dP]])^2+(Tabla1[[#This Row],[dH]]-'Find a similar substance'!$F$5)^2)</f>
        <v>12.601983970788091</v>
      </c>
    </row>
    <row r="131" spans="1:7" x14ac:dyDescent="0.25">
      <c r="A131" s="2" t="s">
        <v>376</v>
      </c>
      <c r="B131" s="2" t="s">
        <v>375</v>
      </c>
      <c r="C131" s="2">
        <v>16.100000000000001</v>
      </c>
      <c r="D131" s="2">
        <v>0.5</v>
      </c>
      <c r="E131" s="2">
        <v>1.9</v>
      </c>
      <c r="F131" s="2" t="str">
        <f>IFERROR(VLOOKUP(B131,Tabla2[],5,FALSE),"")</f>
        <v/>
      </c>
      <c r="G131" s="2">
        <f>SQRT(4*(Tabla1[[#This Row],[dD]]-'Find a similar substance'!$D$5)^2+('Find a similar substance'!$E$5-Tabla1[[#This Row],[dP]])^2+(Tabla1[[#This Row],[dH]]-'Find a similar substance'!$F$5)^2)</f>
        <v>8.8232647019116452</v>
      </c>
    </row>
    <row r="132" spans="1:7" x14ac:dyDescent="0.25">
      <c r="A132" s="2" t="s">
        <v>378</v>
      </c>
      <c r="B132" s="2" t="s">
        <v>377</v>
      </c>
      <c r="C132" s="2">
        <v>21</v>
      </c>
      <c r="D132" s="2">
        <v>8.1999999999999993</v>
      </c>
      <c r="E132" s="2">
        <v>8.4</v>
      </c>
      <c r="F132" s="2" t="str">
        <f>IFERROR(VLOOKUP(B132,Tabla2[],5,FALSE),"")</f>
        <v/>
      </c>
      <c r="G132" s="2">
        <f>SQRT(4*(Tabla1[[#This Row],[dD]]-'Find a similar substance'!$D$5)^2+('Find a similar substance'!$E$5-Tabla1[[#This Row],[dP]])^2+(Tabla1[[#This Row],[dH]]-'Find a similar substance'!$F$5)^2)</f>
        <v>9.447221813845589</v>
      </c>
    </row>
    <row r="133" spans="1:7" x14ac:dyDescent="0.25">
      <c r="A133" s="2" t="s">
        <v>380</v>
      </c>
      <c r="B133" s="2" t="s">
        <v>379</v>
      </c>
      <c r="C133" s="2">
        <v>15.4</v>
      </c>
      <c r="D133" s="2">
        <v>8.3000000000000007</v>
      </c>
      <c r="E133" s="2">
        <v>16.399999999999999</v>
      </c>
      <c r="F133" s="2" t="str">
        <f>IFERROR(VLOOKUP(B133,Tabla2[],5,FALSE),"")</f>
        <v/>
      </c>
      <c r="G133" s="2">
        <f>SQRT(4*(Tabla1[[#This Row],[dD]]-'Find a similar substance'!$D$5)^2+('Find a similar substance'!$E$5-Tabla1[[#This Row],[dP]])^2+(Tabla1[[#This Row],[dH]]-'Find a similar substance'!$F$5)^2)</f>
        <v>11.656757696718243</v>
      </c>
    </row>
    <row r="134" spans="1:7" x14ac:dyDescent="0.25">
      <c r="A134" s="2" t="s">
        <v>382</v>
      </c>
      <c r="B134" s="2" t="s">
        <v>381</v>
      </c>
      <c r="C134" s="2">
        <v>15.1</v>
      </c>
      <c r="D134" s="2">
        <v>6.1</v>
      </c>
      <c r="E134" s="2">
        <v>9.8000000000000007</v>
      </c>
      <c r="F134" s="2" t="str">
        <f>IFERROR(VLOOKUP(B134,Tabla2[],5,FALSE),"")</f>
        <v/>
      </c>
      <c r="G134" s="2">
        <f>SQRT(4*(Tabla1[[#This Row],[dD]]-'Find a similar substance'!$D$5)^2+('Find a similar substance'!$E$5-Tabla1[[#This Row],[dP]])^2+(Tabla1[[#This Row],[dH]]-'Find a similar substance'!$F$5)^2)</f>
        <v>6.2289646009589772</v>
      </c>
    </row>
    <row r="135" spans="1:7" x14ac:dyDescent="0.25">
      <c r="A135" s="2" t="s">
        <v>384</v>
      </c>
      <c r="B135" s="2" t="s">
        <v>383</v>
      </c>
      <c r="C135" s="2">
        <v>14.1</v>
      </c>
      <c r="D135" s="2">
        <v>0</v>
      </c>
      <c r="E135" s="2">
        <v>0</v>
      </c>
      <c r="F135" s="2" t="str">
        <f>IFERROR(VLOOKUP(B135,Tabla2[],5,FALSE),"")</f>
        <v/>
      </c>
      <c r="G135" s="2">
        <f>SQRT(4*(Tabla1[[#This Row],[dD]]-'Find a similar substance'!$D$5)^2+('Find a similar substance'!$E$5-Tabla1[[#This Row],[dP]])^2+(Tabla1[[#This Row],[dH]]-'Find a similar substance'!$F$5)^2)</f>
        <v>11.211155159036915</v>
      </c>
    </row>
    <row r="136" spans="1:7" x14ac:dyDescent="0.25">
      <c r="A136" s="2" t="s">
        <v>386</v>
      </c>
      <c r="B136" s="2" t="s">
        <v>385</v>
      </c>
      <c r="C136" s="2">
        <v>19.5</v>
      </c>
      <c r="D136" s="2">
        <v>14</v>
      </c>
      <c r="E136" s="2">
        <v>6.3</v>
      </c>
      <c r="F136" s="2" t="str">
        <f>IFERROR(VLOOKUP(B136,Tabla2[],5,FALSE),"")</f>
        <v/>
      </c>
      <c r="G136" s="2">
        <f>SQRT(4*(Tabla1[[#This Row],[dD]]-'Find a similar substance'!$D$5)^2+('Find a similar substance'!$E$5-Tabla1[[#This Row],[dP]])^2+(Tabla1[[#This Row],[dH]]-'Find a similar substance'!$F$5)^2)</f>
        <v>7.963667496825817</v>
      </c>
    </row>
    <row r="137" spans="1:7" x14ac:dyDescent="0.25">
      <c r="A137" s="2" t="s">
        <v>388</v>
      </c>
      <c r="B137" s="2" t="s">
        <v>387</v>
      </c>
      <c r="C137" s="2">
        <v>15.6</v>
      </c>
      <c r="D137" s="2">
        <v>6.5</v>
      </c>
      <c r="E137" s="2">
        <v>13.5</v>
      </c>
      <c r="F137" s="2" t="str">
        <f>IFERROR(VLOOKUP(B137,Tabla2[],5,FALSE),"")</f>
        <v/>
      </c>
      <c r="G137" s="2">
        <f>SQRT(4*(Tabla1[[#This Row],[dD]]-'Find a similar substance'!$D$5)^2+('Find a similar substance'!$E$5-Tabla1[[#This Row],[dP]])^2+(Tabla1[[#This Row],[dH]]-'Find a similar substance'!$F$5)^2)</f>
        <v>9.004998611882181</v>
      </c>
    </row>
    <row r="138" spans="1:7" x14ac:dyDescent="0.25">
      <c r="A138" s="2" t="s">
        <v>390</v>
      </c>
      <c r="B138" s="2" t="s">
        <v>389</v>
      </c>
      <c r="C138" s="2">
        <v>19.5</v>
      </c>
      <c r="D138" s="2">
        <v>7.7</v>
      </c>
      <c r="E138" s="2">
        <v>3.5</v>
      </c>
      <c r="F138" s="2" t="str">
        <f>IFERROR(VLOOKUP(B138,Tabla2[],5,FALSE),"")</f>
        <v/>
      </c>
      <c r="G138" s="2">
        <f>SQRT(4*(Tabla1[[#This Row],[dD]]-'Find a similar substance'!$D$5)^2+('Find a similar substance'!$E$5-Tabla1[[#This Row],[dP]])^2+(Tabla1[[#This Row],[dH]]-'Find a similar substance'!$F$5)^2)</f>
        <v>6.0737138556240833</v>
      </c>
    </row>
    <row r="139" spans="1:7" x14ac:dyDescent="0.25">
      <c r="A139" s="2" t="s">
        <v>392</v>
      </c>
      <c r="B139" s="2" t="s">
        <v>391</v>
      </c>
      <c r="C139" s="2">
        <v>18.7</v>
      </c>
      <c r="D139" s="2">
        <v>5.0999999999999996</v>
      </c>
      <c r="E139" s="2">
        <v>5.7</v>
      </c>
      <c r="F139" s="2" t="str">
        <f>IFERROR(VLOOKUP(B139,Tabla2[],5,FALSE),"")</f>
        <v/>
      </c>
      <c r="G139" s="2">
        <f>SQRT(4*(Tabla1[[#This Row],[dD]]-'Find a similar substance'!$D$5)^2+('Find a similar substance'!$E$5-Tabla1[[#This Row],[dP]])^2+(Tabla1[[#This Row],[dH]]-'Find a similar substance'!$F$5)^2)</f>
        <v>5.5758407437802564</v>
      </c>
    </row>
    <row r="140" spans="1:7" x14ac:dyDescent="0.25">
      <c r="A140" s="2" t="s">
        <v>394</v>
      </c>
      <c r="B140" s="2" t="s">
        <v>393</v>
      </c>
      <c r="C140" s="2">
        <v>16.2</v>
      </c>
      <c r="D140" s="2">
        <v>6.6</v>
      </c>
      <c r="E140" s="2">
        <v>16.8</v>
      </c>
      <c r="F140" s="2" t="str">
        <f>IFERROR(VLOOKUP(B140,Tabla2[],5,FALSE),"")</f>
        <v/>
      </c>
      <c r="G140" s="2">
        <f>SQRT(4*(Tabla1[[#This Row],[dD]]-'Find a similar substance'!$D$5)^2+('Find a similar substance'!$E$5-Tabla1[[#This Row],[dP]])^2+(Tabla1[[#This Row],[dH]]-'Find a similar substance'!$F$5)^2)</f>
        <v>12.012077255828819</v>
      </c>
    </row>
    <row r="141" spans="1:7" x14ac:dyDescent="0.25">
      <c r="A141" s="2" t="s">
        <v>396</v>
      </c>
      <c r="B141" s="2" t="s">
        <v>395</v>
      </c>
      <c r="C141" s="2">
        <v>18</v>
      </c>
      <c r="D141" s="2">
        <v>16.8</v>
      </c>
      <c r="E141" s="2">
        <v>3.1</v>
      </c>
      <c r="F141" s="2" t="str">
        <f>IFERROR(VLOOKUP(B141,Tabla2[],5,FALSE),"")</f>
        <v/>
      </c>
      <c r="G141" s="2">
        <f>SQRT(4*(Tabla1[[#This Row],[dD]]-'Find a similar substance'!$D$5)^2+('Find a similar substance'!$E$5-Tabla1[[#This Row],[dP]])^2+(Tabla1[[#This Row],[dH]]-'Find a similar substance'!$F$5)^2)</f>
        <v>8.7783825389418979</v>
      </c>
    </row>
    <row r="142" spans="1:7" x14ac:dyDescent="0.25">
      <c r="A142" s="2" t="s">
        <v>398</v>
      </c>
      <c r="B142" s="2" t="s">
        <v>397</v>
      </c>
      <c r="C142" s="2">
        <v>17.7</v>
      </c>
      <c r="D142" s="2">
        <v>11.8</v>
      </c>
      <c r="E142" s="2">
        <v>6.4</v>
      </c>
      <c r="F142" s="2" t="str">
        <f>IFERROR(VLOOKUP(B142,Tabla2[],5,FALSE),"")</f>
        <v/>
      </c>
      <c r="G142" s="2">
        <f>SQRT(4*(Tabla1[[#This Row],[dD]]-'Find a similar substance'!$D$5)^2+('Find a similar substance'!$E$5-Tabla1[[#This Row],[dP]])^2+(Tabla1[[#This Row],[dH]]-'Find a similar substance'!$F$5)^2)</f>
        <v>4.0509258201058174</v>
      </c>
    </row>
    <row r="143" spans="1:7" x14ac:dyDescent="0.25">
      <c r="A143" s="2" t="s">
        <v>400</v>
      </c>
      <c r="B143" s="2" t="s">
        <v>399</v>
      </c>
      <c r="C143" s="2">
        <v>17.100000000000001</v>
      </c>
      <c r="D143" s="2">
        <v>2.2999999999999998</v>
      </c>
      <c r="E143" s="2">
        <v>2.8</v>
      </c>
      <c r="F143" s="2" t="str">
        <f>IFERROR(VLOOKUP(B143,Tabla2[],5,FALSE),"")</f>
        <v/>
      </c>
      <c r="G143" s="2">
        <f>SQRT(4*(Tabla1[[#This Row],[dD]]-'Find a similar substance'!$D$5)^2+('Find a similar substance'!$E$5-Tabla1[[#This Row],[dP]])^2+(Tabla1[[#This Row],[dH]]-'Find a similar substance'!$F$5)^2)</f>
        <v>6.8410525505948279</v>
      </c>
    </row>
    <row r="144" spans="1:7" x14ac:dyDescent="0.25">
      <c r="A144" s="2" t="s">
        <v>402</v>
      </c>
      <c r="B144" s="2" t="s">
        <v>401</v>
      </c>
      <c r="C144" s="2">
        <v>19.7</v>
      </c>
      <c r="D144" s="2">
        <v>12.6</v>
      </c>
      <c r="E144" s="2">
        <v>4.4000000000000004</v>
      </c>
      <c r="F144" s="2" t="str">
        <f>IFERROR(VLOOKUP(B144,Tabla2[],5,FALSE),"")</f>
        <v/>
      </c>
      <c r="G144" s="2">
        <f>SQRT(4*(Tabla1[[#This Row],[dD]]-'Find a similar substance'!$D$5)^2+('Find a similar substance'!$E$5-Tabla1[[#This Row],[dP]])^2+(Tabla1[[#This Row],[dH]]-'Find a similar substance'!$F$5)^2)</f>
        <v>7.3491496106692473</v>
      </c>
    </row>
    <row r="145" spans="1:7" x14ac:dyDescent="0.25">
      <c r="A145" s="2" t="s">
        <v>404</v>
      </c>
      <c r="B145" s="2" t="s">
        <v>403</v>
      </c>
      <c r="C145" s="2">
        <v>17.5</v>
      </c>
      <c r="D145" s="2">
        <v>9.1999999999999993</v>
      </c>
      <c r="E145" s="2">
        <v>14.6</v>
      </c>
      <c r="F145" s="2" t="str">
        <f>IFERROR(VLOOKUP(B145,Tabla2[],5,FALSE),"")</f>
        <v/>
      </c>
      <c r="G145" s="2">
        <f>SQRT(4*(Tabla1[[#This Row],[dD]]-'Find a similar substance'!$D$5)^2+('Find a similar substance'!$E$5-Tabla1[[#This Row],[dP]])^2+(Tabla1[[#This Row],[dH]]-'Find a similar substance'!$F$5)^2)</f>
        <v>9.7800817992489204</v>
      </c>
    </row>
    <row r="146" spans="1:7" x14ac:dyDescent="0.25">
      <c r="A146" s="2" t="s">
        <v>406</v>
      </c>
      <c r="B146" s="2" t="s">
        <v>405</v>
      </c>
      <c r="C146" s="2">
        <v>16.2</v>
      </c>
      <c r="D146" s="2">
        <v>7.8</v>
      </c>
      <c r="E146" s="2">
        <v>3</v>
      </c>
      <c r="F146" s="2" t="str">
        <f>IFERROR(VLOOKUP(B146,Tabla2[],5,FALSE),"")</f>
        <v/>
      </c>
      <c r="G146" s="2">
        <f>SQRT(4*(Tabla1[[#This Row],[dD]]-'Find a similar substance'!$D$5)^2+('Find a similar substance'!$E$5-Tabla1[[#This Row],[dP]])^2+(Tabla1[[#This Row],[dH]]-'Find a similar substance'!$F$5)^2)</f>
        <v>2.3345235059857519</v>
      </c>
    </row>
    <row r="147" spans="1:7" x14ac:dyDescent="0.25">
      <c r="A147" s="2" t="s">
        <v>408</v>
      </c>
      <c r="B147" s="2" t="s">
        <v>407</v>
      </c>
      <c r="C147" s="2">
        <v>21</v>
      </c>
      <c r="D147" s="2">
        <v>4.5</v>
      </c>
      <c r="E147" s="2">
        <v>9.1</v>
      </c>
      <c r="F147" s="2" t="str">
        <f>IFERROR(VLOOKUP(B147,Tabla2[],5,FALSE),"")</f>
        <v/>
      </c>
      <c r="G147" s="2">
        <f>SQRT(4*(Tabla1[[#This Row],[dD]]-'Find a similar substance'!$D$5)^2+('Find a similar substance'!$E$5-Tabla1[[#This Row],[dP]])^2+(Tabla1[[#This Row],[dH]]-'Find a similar substance'!$F$5)^2)</f>
        <v>10.577806956075534</v>
      </c>
    </row>
    <row r="148" spans="1:7" x14ac:dyDescent="0.25">
      <c r="A148" s="2" t="s">
        <v>410</v>
      </c>
      <c r="B148" s="2" t="s">
        <v>409</v>
      </c>
      <c r="C148" s="2">
        <v>20.6</v>
      </c>
      <c r="D148" s="2">
        <v>10.199999999999999</v>
      </c>
      <c r="E148" s="2">
        <v>14.1</v>
      </c>
      <c r="F148" s="2" t="str">
        <f>IFERROR(VLOOKUP(B148,Tabla2[],5,FALSE),"")</f>
        <v/>
      </c>
      <c r="G148" s="2">
        <f>SQRT(4*(Tabla1[[#This Row],[dD]]-'Find a similar substance'!$D$5)^2+('Find a similar substance'!$E$5-Tabla1[[#This Row],[dP]])^2+(Tabla1[[#This Row],[dH]]-'Find a similar substance'!$F$5)^2)</f>
        <v>12.209013064126028</v>
      </c>
    </row>
    <row r="149" spans="1:7" x14ac:dyDescent="0.25">
      <c r="A149" s="2" t="s">
        <v>412</v>
      </c>
      <c r="B149" s="2" t="s">
        <v>411</v>
      </c>
      <c r="C149" s="2">
        <v>21</v>
      </c>
      <c r="D149" s="2">
        <v>3.9</v>
      </c>
      <c r="E149" s="2">
        <v>7</v>
      </c>
      <c r="F149" s="2" t="str">
        <f>IFERROR(VLOOKUP(B149,Tabla2[],5,FALSE),"")</f>
        <v/>
      </c>
      <c r="G149" s="2">
        <f>SQRT(4*(Tabla1[[#This Row],[dD]]-'Find a similar substance'!$D$5)^2+('Find a similar substance'!$E$5-Tabla1[[#This Row],[dP]])^2+(Tabla1[[#This Row],[dH]]-'Find a similar substance'!$F$5)^2)</f>
        <v>10.221545871344507</v>
      </c>
    </row>
    <row r="150" spans="1:7" x14ac:dyDescent="0.25">
      <c r="A150" s="2" t="s">
        <v>414</v>
      </c>
      <c r="B150" s="2" t="s">
        <v>413</v>
      </c>
      <c r="C150" s="2">
        <v>20.3</v>
      </c>
      <c r="D150" s="2">
        <v>5.0999999999999996</v>
      </c>
      <c r="E150" s="2">
        <v>10.8</v>
      </c>
      <c r="F150" s="2" t="str">
        <f>IFERROR(VLOOKUP(B150,Tabla2[],5,FALSE),"")</f>
        <v/>
      </c>
      <c r="G150" s="2">
        <f>SQRT(4*(Tabla1[[#This Row],[dD]]-'Find a similar substance'!$D$5)^2+('Find a similar substance'!$E$5-Tabla1[[#This Row],[dP]])^2+(Tabla1[[#This Row],[dH]]-'Find a similar substance'!$F$5)^2)</f>
        <v>10.067770358922575</v>
      </c>
    </row>
    <row r="151" spans="1:7" x14ac:dyDescent="0.25">
      <c r="A151" s="2" t="s">
        <v>416</v>
      </c>
      <c r="B151" s="2" t="s">
        <v>415</v>
      </c>
      <c r="C151" s="2">
        <v>19.899999999999999</v>
      </c>
      <c r="D151" s="2">
        <v>7.2</v>
      </c>
      <c r="E151" s="2">
        <v>4.2</v>
      </c>
      <c r="F151" s="2" t="str">
        <f>IFERROR(VLOOKUP(B151,Tabla2[],5,FALSE),"")</f>
        <v/>
      </c>
      <c r="G151" s="2">
        <f>SQRT(4*(Tabla1[[#This Row],[dD]]-'Find a similar substance'!$D$5)^2+('Find a similar substance'!$E$5-Tabla1[[#This Row],[dP]])^2+(Tabla1[[#This Row],[dH]]-'Find a similar substance'!$F$5)^2)</f>
        <v>6.8154236845554896</v>
      </c>
    </row>
    <row r="152" spans="1:7" x14ac:dyDescent="0.25">
      <c r="A152" s="2" t="s">
        <v>418</v>
      </c>
      <c r="B152" s="2" t="s">
        <v>417</v>
      </c>
      <c r="C152" s="2">
        <v>19.899999999999999</v>
      </c>
      <c r="D152" s="2">
        <v>7.6</v>
      </c>
      <c r="E152" s="2">
        <v>3.7</v>
      </c>
      <c r="F152" s="2" t="str">
        <f>IFERROR(VLOOKUP(B152,Tabla2[],5,FALSE),"")</f>
        <v/>
      </c>
      <c r="G152" s="2">
        <f>SQRT(4*(Tabla1[[#This Row],[dD]]-'Find a similar substance'!$D$5)^2+('Find a similar substance'!$E$5-Tabla1[[#This Row],[dP]])^2+(Tabla1[[#This Row],[dH]]-'Find a similar substance'!$F$5)^2)</f>
        <v>6.8161572751807835</v>
      </c>
    </row>
    <row r="153" spans="1:7" x14ac:dyDescent="0.25">
      <c r="A153" s="2" t="s">
        <v>420</v>
      </c>
      <c r="B153" s="2" t="s">
        <v>419</v>
      </c>
      <c r="C153" s="2">
        <v>20.9</v>
      </c>
      <c r="D153" s="2">
        <v>6.2</v>
      </c>
      <c r="E153" s="2">
        <v>10</v>
      </c>
      <c r="F153" s="2" t="str">
        <f>IFERROR(VLOOKUP(B153,Tabla2[],5,FALSE),"")</f>
        <v/>
      </c>
      <c r="G153" s="2">
        <f>SQRT(4*(Tabla1[[#This Row],[dD]]-'Find a similar substance'!$D$5)^2+('Find a similar substance'!$E$5-Tabla1[[#This Row],[dP]])^2+(Tabla1[[#This Row],[dH]]-'Find a similar substance'!$F$5)^2)</f>
        <v>10.257192598367251</v>
      </c>
    </row>
    <row r="154" spans="1:7" x14ac:dyDescent="0.25">
      <c r="A154" s="2" t="s">
        <v>422</v>
      </c>
      <c r="B154" s="2" t="s">
        <v>421</v>
      </c>
      <c r="C154" s="2">
        <v>19.7</v>
      </c>
      <c r="D154" s="2">
        <v>8.8000000000000007</v>
      </c>
      <c r="E154" s="2">
        <v>5.4</v>
      </c>
      <c r="F154" s="2" t="str">
        <f>IFERROR(VLOOKUP(B154,Tabla2[],5,FALSE),"")</f>
        <v/>
      </c>
      <c r="G154" s="2">
        <f>SQRT(4*(Tabla1[[#This Row],[dD]]-'Find a similar substance'!$D$5)^2+('Find a similar substance'!$E$5-Tabla1[[#This Row],[dP]])^2+(Tabla1[[#This Row],[dH]]-'Find a similar substance'!$F$5)^2)</f>
        <v>6.2136945531623899</v>
      </c>
    </row>
    <row r="155" spans="1:7" x14ac:dyDescent="0.25">
      <c r="A155" s="2" t="s">
        <v>424</v>
      </c>
      <c r="B155" s="2" t="s">
        <v>423</v>
      </c>
      <c r="C155" s="2">
        <v>20.399999999999999</v>
      </c>
      <c r="D155" s="2">
        <v>8.6999999999999993</v>
      </c>
      <c r="E155" s="2">
        <v>4.2</v>
      </c>
      <c r="F155" s="2" t="str">
        <f>IFERROR(VLOOKUP(B155,Tabla2[],5,FALSE),"")</f>
        <v/>
      </c>
      <c r="G155" s="2">
        <f>SQRT(4*(Tabla1[[#This Row],[dD]]-'Find a similar substance'!$D$5)^2+('Find a similar substance'!$E$5-Tabla1[[#This Row],[dP]])^2+(Tabla1[[#This Row],[dH]]-'Find a similar substance'!$F$5)^2)</f>
        <v>7.6419892698171141</v>
      </c>
    </row>
    <row r="156" spans="1:7" x14ac:dyDescent="0.25">
      <c r="A156" s="2" t="s">
        <v>426</v>
      </c>
      <c r="B156" s="2" t="s">
        <v>425</v>
      </c>
      <c r="C156" s="2">
        <v>20</v>
      </c>
      <c r="D156" s="2">
        <v>7.2</v>
      </c>
      <c r="E156" s="2">
        <v>13.1</v>
      </c>
      <c r="F156" s="2" t="str">
        <f>IFERROR(VLOOKUP(B156,Tabla2[],5,FALSE),"")</f>
        <v/>
      </c>
      <c r="G156" s="2">
        <f>SQRT(4*(Tabla1[[#This Row],[dD]]-'Find a similar substance'!$D$5)^2+('Find a similar substance'!$E$5-Tabla1[[#This Row],[dP]])^2+(Tabla1[[#This Row],[dH]]-'Find a similar substance'!$F$5)^2)</f>
        <v>10.681760154581264</v>
      </c>
    </row>
    <row r="157" spans="1:7" x14ac:dyDescent="0.25">
      <c r="A157" s="2" t="s">
        <v>428</v>
      </c>
      <c r="B157" s="2" t="s">
        <v>427</v>
      </c>
      <c r="C157" s="2">
        <v>19.399999999999999</v>
      </c>
      <c r="D157" s="2">
        <v>11</v>
      </c>
      <c r="E157" s="2">
        <v>3.7</v>
      </c>
      <c r="F157" s="2" t="str">
        <f>IFERROR(VLOOKUP(B157,Tabla2[],5,FALSE),"")</f>
        <v/>
      </c>
      <c r="G157" s="2">
        <f>SQRT(4*(Tabla1[[#This Row],[dD]]-'Find a similar substance'!$D$5)^2+('Find a similar substance'!$E$5-Tabla1[[#This Row],[dP]])^2+(Tabla1[[#This Row],[dH]]-'Find a similar substance'!$F$5)^2)</f>
        <v>6.1919302321650829</v>
      </c>
    </row>
    <row r="158" spans="1:7" x14ac:dyDescent="0.25">
      <c r="A158" s="2" t="s">
        <v>430</v>
      </c>
      <c r="B158" s="2" t="s">
        <v>429</v>
      </c>
      <c r="C158" s="2">
        <v>19.2</v>
      </c>
      <c r="D158" s="2">
        <v>5.2</v>
      </c>
      <c r="E158" s="2">
        <v>8.6999999999999993</v>
      </c>
      <c r="F158" s="2" t="str">
        <f>IFERROR(VLOOKUP(B158,Tabla2[],5,FALSE),"")</f>
        <v/>
      </c>
      <c r="G158" s="2">
        <f>SQRT(4*(Tabla1[[#This Row],[dD]]-'Find a similar substance'!$D$5)^2+('Find a similar substance'!$E$5-Tabla1[[#This Row],[dP]])^2+(Tabla1[[#This Row],[dH]]-'Find a similar substance'!$F$5)^2)</f>
        <v>7.2787361540311339</v>
      </c>
    </row>
    <row r="159" spans="1:7" x14ac:dyDescent="0.25">
      <c r="A159" s="2" t="s">
        <v>432</v>
      </c>
      <c r="B159" s="2" t="s">
        <v>431</v>
      </c>
      <c r="C159" s="2">
        <v>20</v>
      </c>
      <c r="D159" s="2">
        <v>13.1</v>
      </c>
      <c r="E159" s="2">
        <v>4.9000000000000004</v>
      </c>
      <c r="F159" s="2" t="str">
        <f>IFERROR(VLOOKUP(B159,Tabla2[],5,FALSE),"")</f>
        <v/>
      </c>
      <c r="G159" s="2">
        <f>SQRT(4*(Tabla1[[#This Row],[dD]]-'Find a similar substance'!$D$5)^2+('Find a similar substance'!$E$5-Tabla1[[#This Row],[dP]])^2+(Tabla1[[#This Row],[dH]]-'Find a similar substance'!$F$5)^2)</f>
        <v>8.0999999999999979</v>
      </c>
    </row>
    <row r="160" spans="1:7" x14ac:dyDescent="0.25">
      <c r="A160" s="2" t="s">
        <v>434</v>
      </c>
      <c r="B160" s="2" t="s">
        <v>433</v>
      </c>
      <c r="C160" s="2">
        <v>20</v>
      </c>
      <c r="D160" s="2">
        <v>4.7</v>
      </c>
      <c r="E160" s="2">
        <v>2.4</v>
      </c>
      <c r="F160" s="2" t="str">
        <f>IFERROR(VLOOKUP(B160,Tabla2[],5,FALSE),"")</f>
        <v/>
      </c>
      <c r="G160" s="2">
        <f>SQRT(4*(Tabla1[[#This Row],[dD]]-'Find a similar substance'!$D$5)^2+('Find a similar substance'!$E$5-Tabla1[[#This Row],[dP]])^2+(Tabla1[[#This Row],[dH]]-'Find a similar substance'!$F$5)^2)</f>
        <v>8.3066238629180731</v>
      </c>
    </row>
    <row r="161" spans="1:7" x14ac:dyDescent="0.25">
      <c r="A161" s="2" t="s">
        <v>436</v>
      </c>
      <c r="B161" s="2" t="s">
        <v>435</v>
      </c>
      <c r="C161" s="2">
        <v>20</v>
      </c>
      <c r="D161" s="2">
        <v>6.3</v>
      </c>
      <c r="E161" s="2">
        <v>12.1</v>
      </c>
      <c r="F161" s="2" t="str">
        <f>IFERROR(VLOOKUP(B161,Tabla2[],5,FALSE),"")</f>
        <v/>
      </c>
      <c r="G161" s="2">
        <f>SQRT(4*(Tabla1[[#This Row],[dD]]-'Find a similar substance'!$D$5)^2+('Find a similar substance'!$E$5-Tabla1[[#This Row],[dP]])^2+(Tabla1[[#This Row],[dH]]-'Find a similar substance'!$F$5)^2)</f>
        <v>10.119782606360669</v>
      </c>
    </row>
    <row r="162" spans="1:7" x14ac:dyDescent="0.25">
      <c r="A162" s="2" t="s">
        <v>438</v>
      </c>
      <c r="B162" s="2" t="s">
        <v>437</v>
      </c>
      <c r="C162" s="2">
        <v>16.600000000000001</v>
      </c>
      <c r="D162" s="2">
        <v>6.4</v>
      </c>
      <c r="E162" s="2">
        <v>7.3</v>
      </c>
      <c r="F162" s="2" t="str">
        <f>IFERROR(VLOOKUP(B162,Tabla2[],5,FALSE),"")</f>
        <v/>
      </c>
      <c r="G162" s="2">
        <f>SQRT(4*(Tabla1[[#This Row],[dD]]-'Find a similar substance'!$D$5)^2+('Find a similar substance'!$E$5-Tabla1[[#This Row],[dP]])^2+(Tabla1[[#This Row],[dH]]-'Find a similar substance'!$F$5)^2)</f>
        <v>3.252691193458118</v>
      </c>
    </row>
    <row r="163" spans="1:7" x14ac:dyDescent="0.25">
      <c r="A163" s="2" t="s">
        <v>440</v>
      </c>
      <c r="B163" s="2" t="s">
        <v>439</v>
      </c>
      <c r="C163" s="2">
        <v>16.8</v>
      </c>
      <c r="D163" s="2">
        <v>7.2</v>
      </c>
      <c r="E163" s="2">
        <v>8.1999999999999993</v>
      </c>
      <c r="F163" s="2" t="str">
        <f>IFERROR(VLOOKUP(B163,Tabla2[],5,FALSE),"")</f>
        <v/>
      </c>
      <c r="G163" s="2">
        <f>SQRT(4*(Tabla1[[#This Row],[dD]]-'Find a similar substance'!$D$5)^2+('Find a similar substance'!$E$5-Tabla1[[#This Row],[dP]])^2+(Tabla1[[#This Row],[dH]]-'Find a similar substance'!$F$5)^2)</f>
        <v>3.5566838487557466</v>
      </c>
    </row>
    <row r="164" spans="1:7" x14ac:dyDescent="0.25">
      <c r="A164" s="2" t="s">
        <v>442</v>
      </c>
      <c r="B164" s="2" t="s">
        <v>441</v>
      </c>
      <c r="C164" s="2">
        <v>18.3</v>
      </c>
      <c r="D164" s="2">
        <v>7.6</v>
      </c>
      <c r="E164" s="2">
        <v>6.8</v>
      </c>
      <c r="F164" s="2" t="str">
        <f>IFERROR(VLOOKUP(B164,Tabla2[],5,FALSE),"")</f>
        <v/>
      </c>
      <c r="G164" s="2">
        <f>SQRT(4*(Tabla1[[#This Row],[dD]]-'Find a similar substance'!$D$5)^2+('Find a similar substance'!$E$5-Tabla1[[#This Row],[dP]])^2+(Tabla1[[#This Row],[dH]]-'Find a similar substance'!$F$5)^2)</f>
        <v>4.0012498047485101</v>
      </c>
    </row>
    <row r="165" spans="1:7" x14ac:dyDescent="0.25">
      <c r="A165" s="2" t="s">
        <v>444</v>
      </c>
      <c r="B165" s="2" t="s">
        <v>443</v>
      </c>
      <c r="C165" s="2">
        <v>17.899999999999999</v>
      </c>
      <c r="D165" s="2">
        <v>8.5</v>
      </c>
      <c r="E165" s="2">
        <v>18.899999999999999</v>
      </c>
      <c r="F165" s="2" t="str">
        <f>IFERROR(VLOOKUP(B165,Tabla2[],5,FALSE),"")</f>
        <v/>
      </c>
      <c r="G165" s="2">
        <f>SQRT(4*(Tabla1[[#This Row],[dD]]-'Find a similar substance'!$D$5)^2+('Find a similar substance'!$E$5-Tabla1[[#This Row],[dP]])^2+(Tabla1[[#This Row],[dH]]-'Find a similar substance'!$F$5)^2)</f>
        <v>14.142489172702234</v>
      </c>
    </row>
    <row r="166" spans="1:7" x14ac:dyDescent="0.25">
      <c r="A166" s="2" t="s">
        <v>446</v>
      </c>
      <c r="B166" s="2" t="s">
        <v>445</v>
      </c>
      <c r="C166" s="2">
        <v>20.5</v>
      </c>
      <c r="D166" s="2">
        <v>11.7</v>
      </c>
      <c r="E166" s="2">
        <v>14.2</v>
      </c>
      <c r="F166" s="2" t="str">
        <f>IFERROR(VLOOKUP(B166,Tabla2[],5,FALSE),"")</f>
        <v/>
      </c>
      <c r="G166" s="2">
        <f>SQRT(4*(Tabla1[[#This Row],[dD]]-'Find a similar substance'!$D$5)^2+('Find a similar substance'!$E$5-Tabla1[[#This Row],[dP]])^2+(Tabla1[[#This Row],[dH]]-'Find a similar substance'!$F$5)^2)</f>
        <v>12.428998350631476</v>
      </c>
    </row>
    <row r="167" spans="1:7" x14ac:dyDescent="0.25">
      <c r="A167" s="2" t="s">
        <v>448</v>
      </c>
      <c r="B167" s="2" t="s">
        <v>447</v>
      </c>
      <c r="C167" s="2">
        <v>19.8</v>
      </c>
      <c r="D167" s="2">
        <v>8.4</v>
      </c>
      <c r="E167" s="2">
        <v>6.5</v>
      </c>
      <c r="F167" s="2" t="str">
        <f>IFERROR(VLOOKUP(B167,Tabla2[],5,FALSE),"")</f>
        <v/>
      </c>
      <c r="G167" s="2">
        <f>SQRT(4*(Tabla1[[#This Row],[dD]]-'Find a similar substance'!$D$5)^2+('Find a similar substance'!$E$5-Tabla1[[#This Row],[dP]])^2+(Tabla1[[#This Row],[dH]]-'Find a similar substance'!$F$5)^2)</f>
        <v>6.5802735505448382</v>
      </c>
    </row>
    <row r="168" spans="1:7" x14ac:dyDescent="0.25">
      <c r="A168" s="2" t="s">
        <v>450</v>
      </c>
      <c r="B168" s="2" t="s">
        <v>449</v>
      </c>
      <c r="C168" s="2">
        <v>20.100000000000001</v>
      </c>
      <c r="D168" s="2">
        <v>7.5</v>
      </c>
      <c r="E168" s="2">
        <v>10.9</v>
      </c>
      <c r="F168" s="2" t="str">
        <f>IFERROR(VLOOKUP(B168,Tabla2[],5,FALSE),"")</f>
        <v/>
      </c>
      <c r="G168" s="2">
        <f>SQRT(4*(Tabla1[[#This Row],[dD]]-'Find a similar substance'!$D$5)^2+('Find a similar substance'!$E$5-Tabla1[[#This Row],[dP]])^2+(Tabla1[[#This Row],[dH]]-'Find a similar substance'!$F$5)^2)</f>
        <v>9.2330926563096938</v>
      </c>
    </row>
    <row r="169" spans="1:7" x14ac:dyDescent="0.25">
      <c r="A169" s="2" t="s">
        <v>452</v>
      </c>
      <c r="B169" s="2" t="s">
        <v>451</v>
      </c>
      <c r="C169" s="2">
        <v>18.8</v>
      </c>
      <c r="D169" s="2">
        <v>11.2</v>
      </c>
      <c r="E169" s="2">
        <v>3.2</v>
      </c>
      <c r="F169" s="2" t="str">
        <f>IFERROR(VLOOKUP(B169,Tabla2[],5,FALSE),"")</f>
        <v/>
      </c>
      <c r="G169" s="2">
        <f>SQRT(4*(Tabla1[[#This Row],[dD]]-'Find a similar substance'!$D$5)^2+('Find a similar substance'!$E$5-Tabla1[[#This Row],[dP]])^2+(Tabla1[[#This Row],[dH]]-'Find a similar substance'!$F$5)^2)</f>
        <v>5.3712196007983133</v>
      </c>
    </row>
    <row r="170" spans="1:7" x14ac:dyDescent="0.25">
      <c r="A170" s="2" t="s">
        <v>454</v>
      </c>
      <c r="B170" s="2" t="s">
        <v>453</v>
      </c>
      <c r="C170" s="2">
        <v>19.3</v>
      </c>
      <c r="D170" s="2">
        <v>7.6</v>
      </c>
      <c r="E170" s="2">
        <v>13.7</v>
      </c>
      <c r="F170" s="2" t="str">
        <f>IFERROR(VLOOKUP(B170,Tabla2[],5,FALSE),"")</f>
        <v/>
      </c>
      <c r="G170" s="2">
        <f>SQRT(4*(Tabla1[[#This Row],[dD]]-'Find a similar substance'!$D$5)^2+('Find a similar substance'!$E$5-Tabla1[[#This Row],[dP]])^2+(Tabla1[[#This Row],[dH]]-'Find a similar substance'!$F$5)^2)</f>
        <v>10.298543586352391</v>
      </c>
    </row>
    <row r="171" spans="1:7" x14ac:dyDescent="0.25">
      <c r="A171" s="2" t="s">
        <v>456</v>
      </c>
      <c r="B171" s="2" t="s">
        <v>455</v>
      </c>
      <c r="C171" s="2">
        <v>19.100000000000001</v>
      </c>
      <c r="D171" s="2">
        <v>4.9000000000000004</v>
      </c>
      <c r="E171" s="2">
        <v>12.9</v>
      </c>
      <c r="F171" s="2" t="str">
        <f>IFERROR(VLOOKUP(B171,Tabla2[],5,FALSE),"")</f>
        <v/>
      </c>
      <c r="G171" s="2">
        <f>SQRT(4*(Tabla1[[#This Row],[dD]]-'Find a similar substance'!$D$5)^2+('Find a similar substance'!$E$5-Tabla1[[#This Row],[dP]])^2+(Tabla1[[#This Row],[dH]]-'Find a similar substance'!$F$5)^2)</f>
        <v>10.092076099594175</v>
      </c>
    </row>
    <row r="172" spans="1:7" x14ac:dyDescent="0.25">
      <c r="A172" s="2" t="s">
        <v>458</v>
      </c>
      <c r="B172" s="2" t="s">
        <v>457</v>
      </c>
      <c r="C172" s="2">
        <v>15.7</v>
      </c>
      <c r="D172" s="2">
        <v>5.8</v>
      </c>
      <c r="E172" s="2">
        <v>12</v>
      </c>
      <c r="F172" s="2" t="str">
        <f>IFERROR(VLOOKUP(B172,Tabla2[],5,FALSE),"")</f>
        <v/>
      </c>
      <c r="G172" s="2">
        <f>SQRT(4*(Tabla1[[#This Row],[dD]]-'Find a similar substance'!$D$5)^2+('Find a similar substance'!$E$5-Tabla1[[#This Row],[dP]])^2+(Tabla1[[#This Row],[dH]]-'Find a similar substance'!$F$5)^2)</f>
        <v>7.787810988975016</v>
      </c>
    </row>
    <row r="173" spans="1:7" x14ac:dyDescent="0.25">
      <c r="A173" s="2" t="s">
        <v>460</v>
      </c>
      <c r="B173" s="2" t="s">
        <v>459</v>
      </c>
      <c r="C173" s="2">
        <v>19.100000000000001</v>
      </c>
      <c r="D173" s="2">
        <v>12.2</v>
      </c>
      <c r="E173" s="2">
        <v>9.3000000000000007</v>
      </c>
      <c r="F173" s="2" t="str">
        <f>IFERROR(VLOOKUP(B173,Tabla2[],5,FALSE),"")</f>
        <v/>
      </c>
      <c r="G173" s="2">
        <f>SQRT(4*(Tabla1[[#This Row],[dD]]-'Find a similar substance'!$D$5)^2+('Find a similar substance'!$E$5-Tabla1[[#This Row],[dP]])^2+(Tabla1[[#This Row],[dH]]-'Find a similar substance'!$F$5)^2)</f>
        <v>7.4659225819720367</v>
      </c>
    </row>
    <row r="174" spans="1:7" x14ac:dyDescent="0.25">
      <c r="A174" s="2" t="s">
        <v>462</v>
      </c>
      <c r="B174" s="2" t="s">
        <v>461</v>
      </c>
      <c r="C174" s="2">
        <v>20.399999999999999</v>
      </c>
      <c r="D174" s="2">
        <v>8.1</v>
      </c>
      <c r="E174" s="2">
        <v>12.2</v>
      </c>
      <c r="F174" s="2" t="str">
        <f>IFERROR(VLOOKUP(B174,Tabla2[],5,FALSE),"")</f>
        <v/>
      </c>
      <c r="G174" s="2">
        <f>SQRT(4*(Tabla1[[#This Row],[dD]]-'Find a similar substance'!$D$5)^2+('Find a similar substance'!$E$5-Tabla1[[#This Row],[dP]])^2+(Tabla1[[#This Row],[dH]]-'Find a similar substance'!$F$5)^2)</f>
        <v>10.486181383134658</v>
      </c>
    </row>
    <row r="175" spans="1:7" x14ac:dyDescent="0.25">
      <c r="A175" s="2" t="s">
        <v>464</v>
      </c>
      <c r="B175" s="2" t="s">
        <v>463</v>
      </c>
      <c r="C175" s="2">
        <v>17.100000000000001</v>
      </c>
      <c r="D175" s="2">
        <v>9.9</v>
      </c>
      <c r="E175" s="2">
        <v>16.2</v>
      </c>
      <c r="F175" s="2" t="str">
        <f>IFERROR(VLOOKUP(B175,Tabla2[],5,FALSE),"")</f>
        <v/>
      </c>
      <c r="G175" s="2">
        <f>SQRT(4*(Tabla1[[#This Row],[dD]]-'Find a similar substance'!$D$5)^2+('Find a similar substance'!$E$5-Tabla1[[#This Row],[dP]])^2+(Tabla1[[#This Row],[dH]]-'Find a similar substance'!$F$5)^2)</f>
        <v>11.308403954581742</v>
      </c>
    </row>
    <row r="176" spans="1:7" x14ac:dyDescent="0.25">
      <c r="A176" s="2" t="s">
        <v>466</v>
      </c>
      <c r="B176" s="2" t="s">
        <v>465</v>
      </c>
      <c r="C176" s="2">
        <v>16.100000000000001</v>
      </c>
      <c r="D176" s="2">
        <v>6</v>
      </c>
      <c r="E176" s="2">
        <v>4.9000000000000004</v>
      </c>
      <c r="F176" s="2" t="str">
        <f>IFERROR(VLOOKUP(B176,Tabla2[],5,FALSE),"")</f>
        <v/>
      </c>
      <c r="G176" s="2">
        <f>SQRT(4*(Tabla1[[#This Row],[dD]]-'Find a similar substance'!$D$5)^2+('Find a similar substance'!$E$5-Tabla1[[#This Row],[dP]])^2+(Tabla1[[#This Row],[dH]]-'Find a similar substance'!$F$5)^2)</f>
        <v>2.8809720581775857</v>
      </c>
    </row>
    <row r="177" spans="1:7" x14ac:dyDescent="0.25">
      <c r="A177" s="2" t="s">
        <v>468</v>
      </c>
      <c r="B177" s="2" t="s">
        <v>467</v>
      </c>
      <c r="C177" s="2">
        <v>16.3</v>
      </c>
      <c r="D177" s="2">
        <v>7.7</v>
      </c>
      <c r="E177" s="2">
        <v>4.4000000000000004</v>
      </c>
      <c r="F177" s="2" t="str">
        <f>IFERROR(VLOOKUP(B177,Tabla2[],5,FALSE),"")</f>
        <v/>
      </c>
      <c r="G177" s="2">
        <f>SQRT(4*(Tabla1[[#This Row],[dD]]-'Find a similar substance'!$D$5)^2+('Find a similar substance'!$E$5-Tabla1[[#This Row],[dP]])^2+(Tabla1[[#This Row],[dH]]-'Find a similar substance'!$F$5)^2)</f>
        <v>1.3114877048603999</v>
      </c>
    </row>
    <row r="178" spans="1:7" x14ac:dyDescent="0.25">
      <c r="A178" s="2" t="s">
        <v>470</v>
      </c>
      <c r="B178" s="2" t="s">
        <v>469</v>
      </c>
      <c r="C178" s="2">
        <v>15.5</v>
      </c>
      <c r="D178" s="2">
        <v>8.3000000000000007</v>
      </c>
      <c r="E178" s="2">
        <v>4.7</v>
      </c>
      <c r="F178" s="2" t="str">
        <f>IFERROR(VLOOKUP(B178,Tabla2[],5,FALSE),"")</f>
        <v/>
      </c>
      <c r="G178" s="2">
        <f>SQRT(4*(Tabla1[[#This Row],[dD]]-'Find a similar substance'!$D$5)^2+('Find a similar substance'!$E$5-Tabla1[[#This Row],[dP]])^2+(Tabla1[[#This Row],[dH]]-'Find a similar substance'!$F$5)^2)</f>
        <v>2.2561028345356982</v>
      </c>
    </row>
    <row r="179" spans="1:7" x14ac:dyDescent="0.25">
      <c r="A179" s="2" t="s">
        <v>472</v>
      </c>
      <c r="B179" s="2" t="s">
        <v>471</v>
      </c>
      <c r="C179" s="2">
        <v>20.100000000000001</v>
      </c>
      <c r="D179" s="2">
        <v>5.2</v>
      </c>
      <c r="E179" s="2">
        <v>4.5999999999999996</v>
      </c>
      <c r="F179" s="2" t="str">
        <f>IFERROR(VLOOKUP(B179,Tabla2[],5,FALSE),"")</f>
        <v/>
      </c>
      <c r="G179" s="2">
        <f>SQRT(4*(Tabla1[[#This Row],[dD]]-'Find a similar substance'!$D$5)^2+('Find a similar substance'!$E$5-Tabla1[[#This Row],[dP]])^2+(Tabla1[[#This Row],[dH]]-'Find a similar substance'!$F$5)^2)</f>
        <v>7.836453279386026</v>
      </c>
    </row>
    <row r="180" spans="1:7" x14ac:dyDescent="0.25">
      <c r="A180" s="2" t="s">
        <v>473</v>
      </c>
      <c r="B180" s="2" t="s">
        <v>13</v>
      </c>
      <c r="C180" s="2">
        <v>15.8</v>
      </c>
      <c r="D180" s="2">
        <v>5.7</v>
      </c>
      <c r="E180" s="2">
        <v>14.5</v>
      </c>
      <c r="F180" s="2">
        <f>IFERROR(VLOOKUP(B180,Tabla2[],5,FALSE),"")</f>
        <v>92</v>
      </c>
      <c r="G180" s="2">
        <f>SQRT(4*(Tabla1[[#This Row],[dD]]-'Find a similar substance'!$D$5)^2+('Find a similar substance'!$E$5-Tabla1[[#This Row],[dP]])^2+(Tabla1[[#This Row],[dH]]-'Find a similar substance'!$F$5)^2)</f>
        <v>10.090094152187085</v>
      </c>
    </row>
    <row r="181" spans="1:7" x14ac:dyDescent="0.25">
      <c r="A181" s="2" t="s">
        <v>475</v>
      </c>
      <c r="B181" s="2" t="s">
        <v>474</v>
      </c>
      <c r="C181" s="2">
        <v>14.7</v>
      </c>
      <c r="D181" s="2">
        <v>1.3</v>
      </c>
      <c r="E181" s="2">
        <v>4.0999999999999996</v>
      </c>
      <c r="F181" s="2" t="str">
        <f>IFERROR(VLOOKUP(B181,Tabla2[],5,FALSE),"")</f>
        <v/>
      </c>
      <c r="G181" s="2">
        <f>SQRT(4*(Tabla1[[#This Row],[dD]]-'Find a similar substance'!$D$5)^2+('Find a similar substance'!$E$5-Tabla1[[#This Row],[dP]])^2+(Tabla1[[#This Row],[dH]]-'Find a similar substance'!$F$5)^2)</f>
        <v>8.3671978583035802</v>
      </c>
    </row>
    <row r="182" spans="1:7" x14ac:dyDescent="0.25">
      <c r="A182" s="2" t="s">
        <v>477</v>
      </c>
      <c r="B182" s="2" t="s">
        <v>476</v>
      </c>
      <c r="C182" s="2">
        <v>14.6</v>
      </c>
      <c r="D182" s="2">
        <v>0</v>
      </c>
      <c r="E182" s="2">
        <v>2.9</v>
      </c>
      <c r="F182" s="2" t="str">
        <f>IFERROR(VLOOKUP(B182,Tabla2[],5,FALSE),"")</f>
        <v/>
      </c>
      <c r="G182" s="2">
        <f>SQRT(4*(Tabla1[[#This Row],[dD]]-'Find a similar substance'!$D$5)^2+('Find a similar substance'!$E$5-Tabla1[[#This Row],[dP]])^2+(Tabla1[[#This Row],[dH]]-'Find a similar substance'!$F$5)^2)</f>
        <v>9.803060746521977</v>
      </c>
    </row>
    <row r="183" spans="1:7" x14ac:dyDescent="0.25">
      <c r="A183" s="2" t="s">
        <v>479</v>
      </c>
      <c r="B183" s="2" t="s">
        <v>478</v>
      </c>
      <c r="C183" s="2">
        <v>15.2</v>
      </c>
      <c r="D183" s="2">
        <v>3.4</v>
      </c>
      <c r="E183" s="2">
        <v>5</v>
      </c>
      <c r="F183" s="2" t="str">
        <f>IFERROR(VLOOKUP(B183,Tabla2[],5,FALSE),"")</f>
        <v/>
      </c>
      <c r="G183" s="2">
        <f>SQRT(4*(Tabla1[[#This Row],[dD]]-'Find a similar substance'!$D$5)^2+('Find a similar substance'!$E$5-Tabla1[[#This Row],[dP]])^2+(Tabla1[[#This Row],[dH]]-'Find a similar substance'!$F$5)^2)</f>
        <v>5.9941638282582845</v>
      </c>
    </row>
    <row r="184" spans="1:7" x14ac:dyDescent="0.25">
      <c r="A184" s="2" t="s">
        <v>481</v>
      </c>
      <c r="B184" s="2" t="s">
        <v>480</v>
      </c>
      <c r="C184" s="2">
        <v>15.3</v>
      </c>
      <c r="D184" s="2">
        <v>4.4000000000000004</v>
      </c>
      <c r="E184" s="2">
        <v>4.3</v>
      </c>
      <c r="F184" s="2" t="str">
        <f>IFERROR(VLOOKUP(B184,Tabla2[],5,FALSE),"")</f>
        <v/>
      </c>
      <c r="G184" s="2">
        <f>SQRT(4*(Tabla1[[#This Row],[dD]]-'Find a similar substance'!$D$5)^2+('Find a similar substance'!$E$5-Tabla1[[#This Row],[dP]])^2+(Tabla1[[#This Row],[dH]]-'Find a similar substance'!$F$5)^2)</f>
        <v>5.0734603575863293</v>
      </c>
    </row>
    <row r="185" spans="1:7" x14ac:dyDescent="0.25">
      <c r="A185" s="2" t="s">
        <v>483</v>
      </c>
      <c r="B185" s="2" t="s">
        <v>482</v>
      </c>
      <c r="C185" s="2">
        <v>15.2</v>
      </c>
      <c r="D185" s="2">
        <v>16.2</v>
      </c>
      <c r="E185" s="2">
        <v>8</v>
      </c>
      <c r="F185" s="2" t="str">
        <f>IFERROR(VLOOKUP(B185,Tabla2[],5,FALSE),"")</f>
        <v/>
      </c>
      <c r="G185" s="2">
        <f>SQRT(4*(Tabla1[[#This Row],[dD]]-'Find a similar substance'!$D$5)^2+('Find a similar substance'!$E$5-Tabla1[[#This Row],[dP]])^2+(Tabla1[[#This Row],[dH]]-'Find a similar substance'!$F$5)^2)</f>
        <v>8.5492689745966004</v>
      </c>
    </row>
    <row r="186" spans="1:7" x14ac:dyDescent="0.25">
      <c r="A186" s="2" t="s">
        <v>485</v>
      </c>
      <c r="B186" s="2" t="s">
        <v>484</v>
      </c>
      <c r="C186" s="2">
        <v>17.100000000000001</v>
      </c>
      <c r="D186" s="2">
        <v>10.199999999999999</v>
      </c>
      <c r="E186" s="2">
        <v>16.399999999999999</v>
      </c>
      <c r="F186" s="2" t="str">
        <f>IFERROR(VLOOKUP(B186,Tabla2[],5,FALSE),"")</f>
        <v/>
      </c>
      <c r="G186" s="2">
        <f>SQRT(4*(Tabla1[[#This Row],[dD]]-'Find a similar substance'!$D$5)^2+('Find a similar substance'!$E$5-Tabla1[[#This Row],[dP]])^2+(Tabla1[[#This Row],[dH]]-'Find a similar substance'!$F$5)^2)</f>
        <v>11.541663658242687</v>
      </c>
    </row>
    <row r="187" spans="1:7" x14ac:dyDescent="0.25">
      <c r="A187" s="2" t="s">
        <v>487</v>
      </c>
      <c r="B187" s="2" t="s">
        <v>486</v>
      </c>
      <c r="C187" s="2">
        <v>15.5</v>
      </c>
      <c r="D187" s="2">
        <v>6.7</v>
      </c>
      <c r="E187" s="2">
        <v>2.2000000000000002</v>
      </c>
      <c r="F187" s="2" t="str">
        <f>IFERROR(VLOOKUP(B187,Tabla2[],5,FALSE),"")</f>
        <v/>
      </c>
      <c r="G187" s="2">
        <f>SQRT(4*(Tabla1[[#This Row],[dD]]-'Find a similar substance'!$D$5)^2+('Find a similar substance'!$E$5-Tabla1[[#This Row],[dP]])^2+(Tabla1[[#This Row],[dH]]-'Find a similar substance'!$F$5)^2)</f>
        <v>4.0841155713324282</v>
      </c>
    </row>
    <row r="188" spans="1:7" x14ac:dyDescent="0.25">
      <c r="A188" s="2" t="s">
        <v>489</v>
      </c>
      <c r="B188" s="2" t="s">
        <v>488</v>
      </c>
      <c r="C188" s="2">
        <v>15.6</v>
      </c>
      <c r="D188" s="2">
        <v>7.6</v>
      </c>
      <c r="E188" s="2">
        <v>2</v>
      </c>
      <c r="F188" s="2" t="str">
        <f>IFERROR(VLOOKUP(B188,Tabla2[],5,FALSE),"")</f>
        <v/>
      </c>
      <c r="G188" s="2">
        <f>SQRT(4*(Tabla1[[#This Row],[dD]]-'Find a similar substance'!$D$5)^2+('Find a similar substance'!$E$5-Tabla1[[#This Row],[dP]])^2+(Tabla1[[#This Row],[dH]]-'Find a similar substance'!$F$5)^2)</f>
        <v>3.7696153649941544</v>
      </c>
    </row>
    <row r="189" spans="1:7" x14ac:dyDescent="0.25">
      <c r="A189" s="2" t="s">
        <v>491</v>
      </c>
      <c r="B189" s="2" t="s">
        <v>490</v>
      </c>
      <c r="C189" s="2">
        <v>19.7</v>
      </c>
      <c r="D189" s="2">
        <v>7.4</v>
      </c>
      <c r="E189" s="2">
        <v>8.9</v>
      </c>
      <c r="F189" s="2" t="str">
        <f>IFERROR(VLOOKUP(B189,Tabla2[],5,FALSE),"")</f>
        <v/>
      </c>
      <c r="G189" s="2">
        <f>SQRT(4*(Tabla1[[#This Row],[dD]]-'Find a similar substance'!$D$5)^2+('Find a similar substance'!$E$5-Tabla1[[#This Row],[dP]])^2+(Tabla1[[#This Row],[dH]]-'Find a similar substance'!$F$5)^2)</f>
        <v>7.4390859653589123</v>
      </c>
    </row>
    <row r="190" spans="1:7" x14ac:dyDescent="0.25">
      <c r="A190" s="2" t="s">
        <v>493</v>
      </c>
      <c r="B190" s="2" t="s">
        <v>492</v>
      </c>
      <c r="C190" s="2">
        <v>19</v>
      </c>
      <c r="D190" s="2">
        <v>7.7</v>
      </c>
      <c r="E190" s="2">
        <v>13.1</v>
      </c>
      <c r="F190" s="2" t="str">
        <f>IFERROR(VLOOKUP(B190,Tabla2[],5,FALSE),"")</f>
        <v/>
      </c>
      <c r="G190" s="2">
        <f>SQRT(4*(Tabla1[[#This Row],[dD]]-'Find a similar substance'!$D$5)^2+('Find a similar substance'!$E$5-Tabla1[[#This Row],[dP]])^2+(Tabla1[[#This Row],[dH]]-'Find a similar substance'!$F$5)^2)</f>
        <v>9.4683683916501682</v>
      </c>
    </row>
    <row r="191" spans="1:7" x14ac:dyDescent="0.25">
      <c r="A191" s="2" t="s">
        <v>495</v>
      </c>
      <c r="B191" s="2" t="s">
        <v>494</v>
      </c>
      <c r="C191" s="2">
        <v>17.600000000000001</v>
      </c>
      <c r="D191" s="2">
        <v>12.4</v>
      </c>
      <c r="E191" s="2">
        <v>12.8</v>
      </c>
      <c r="F191" s="2" t="str">
        <f>IFERROR(VLOOKUP(B191,Tabla2[],5,FALSE),"")</f>
        <v/>
      </c>
      <c r="G191" s="2">
        <f>SQRT(4*(Tabla1[[#This Row],[dD]]-'Find a similar substance'!$D$5)^2+('Find a similar substance'!$E$5-Tabla1[[#This Row],[dP]])^2+(Tabla1[[#This Row],[dH]]-'Find a similar substance'!$F$5)^2)</f>
        <v>8.8617154095581299</v>
      </c>
    </row>
    <row r="192" spans="1:7" x14ac:dyDescent="0.25">
      <c r="A192" s="2" t="s">
        <v>497</v>
      </c>
      <c r="B192" s="2" t="s">
        <v>496</v>
      </c>
      <c r="C192" s="2">
        <v>16.7</v>
      </c>
      <c r="D192" s="2">
        <v>7.3</v>
      </c>
      <c r="E192" s="2">
        <v>8.8000000000000007</v>
      </c>
      <c r="F192" s="2" t="str">
        <f>IFERROR(VLOOKUP(B192,Tabla2[],5,FALSE),"")</f>
        <v/>
      </c>
      <c r="G192" s="2">
        <f>SQRT(4*(Tabla1[[#This Row],[dD]]-'Find a similar substance'!$D$5)^2+('Find a similar substance'!$E$5-Tabla1[[#This Row],[dP]])^2+(Tabla1[[#This Row],[dH]]-'Find a similar substance'!$F$5)^2)</f>
        <v>4.054626986542659</v>
      </c>
    </row>
    <row r="193" spans="1:7" x14ac:dyDescent="0.25">
      <c r="A193" s="2" t="s">
        <v>499</v>
      </c>
      <c r="B193" s="2" t="s">
        <v>498</v>
      </c>
      <c r="C193" s="2">
        <v>15.8</v>
      </c>
      <c r="D193" s="2">
        <v>7.6</v>
      </c>
      <c r="E193" s="2">
        <v>2</v>
      </c>
      <c r="F193" s="2" t="str">
        <f>IFERROR(VLOOKUP(B193,Tabla2[],5,FALSE),"")</f>
        <v/>
      </c>
      <c r="G193" s="2">
        <f>SQRT(4*(Tabla1[[#This Row],[dD]]-'Find a similar substance'!$D$5)^2+('Find a similar substance'!$E$5-Tabla1[[#This Row],[dP]])^2+(Tabla1[[#This Row],[dH]]-'Find a similar substance'!$F$5)^2)</f>
        <v>3.5735136770411278</v>
      </c>
    </row>
    <row r="194" spans="1:7" x14ac:dyDescent="0.25">
      <c r="A194" s="2" t="s">
        <v>501</v>
      </c>
      <c r="B194" s="2" t="s">
        <v>500</v>
      </c>
      <c r="C194" s="2">
        <v>18.5</v>
      </c>
      <c r="D194" s="2">
        <v>13</v>
      </c>
      <c r="E194" s="2">
        <v>5.0999999999999996</v>
      </c>
      <c r="F194" s="2" t="str">
        <f>IFERROR(VLOOKUP(B194,Tabla2[],5,FALSE),"")</f>
        <v/>
      </c>
      <c r="G194" s="2">
        <f>SQRT(4*(Tabla1[[#This Row],[dD]]-'Find a similar substance'!$D$5)^2+('Find a similar substance'!$E$5-Tabla1[[#This Row],[dP]])^2+(Tabla1[[#This Row],[dH]]-'Find a similar substance'!$F$5)^2)</f>
        <v>5.7393379409126961</v>
      </c>
    </row>
    <row r="195" spans="1:7" x14ac:dyDescent="0.25">
      <c r="A195" s="2" t="s">
        <v>503</v>
      </c>
      <c r="B195" s="2" t="s">
        <v>502</v>
      </c>
      <c r="C195" s="2">
        <v>16.7</v>
      </c>
      <c r="D195" s="2">
        <v>9.6</v>
      </c>
      <c r="E195" s="2">
        <v>8.8000000000000007</v>
      </c>
      <c r="F195" s="2" t="str">
        <f>IFERROR(VLOOKUP(B195,Tabla2[],5,FALSE),"")</f>
        <v/>
      </c>
      <c r="G195" s="2">
        <f>SQRT(4*(Tabla1[[#This Row],[dD]]-'Find a similar substance'!$D$5)^2+('Find a similar substance'!$E$5-Tabla1[[#This Row],[dP]])^2+(Tabla1[[#This Row],[dH]]-'Find a similar substance'!$F$5)^2)</f>
        <v>3.9102429592034311</v>
      </c>
    </row>
    <row r="196" spans="1:7" x14ac:dyDescent="0.25">
      <c r="A196" s="2" t="s">
        <v>505</v>
      </c>
      <c r="B196" s="2" t="s">
        <v>504</v>
      </c>
      <c r="C196" s="2">
        <v>19.3</v>
      </c>
      <c r="D196" s="2">
        <v>6.3</v>
      </c>
      <c r="E196" s="2">
        <v>2.2000000000000002</v>
      </c>
      <c r="F196" s="2" t="str">
        <f>IFERROR(VLOOKUP(B196,Tabla2[],5,FALSE),"")</f>
        <v/>
      </c>
      <c r="G196" s="2">
        <f>SQRT(4*(Tabla1[[#This Row],[dD]]-'Find a similar substance'!$D$5)^2+('Find a similar substance'!$E$5-Tabla1[[#This Row],[dP]])^2+(Tabla1[[#This Row],[dH]]-'Find a similar substance'!$F$5)^2)</f>
        <v>6.5391130897087244</v>
      </c>
    </row>
    <row r="197" spans="1:7" x14ac:dyDescent="0.25">
      <c r="A197" s="2" t="s">
        <v>507</v>
      </c>
      <c r="B197" s="2" t="s">
        <v>506</v>
      </c>
      <c r="C197" s="2">
        <v>16.3</v>
      </c>
      <c r="D197" s="2">
        <v>7.9</v>
      </c>
      <c r="E197" s="2">
        <v>4.5999999999999996</v>
      </c>
      <c r="F197" s="2" t="str">
        <f>IFERROR(VLOOKUP(B197,Tabla2[],5,FALSE),"")</f>
        <v/>
      </c>
      <c r="G197" s="2">
        <f>SQRT(4*(Tabla1[[#This Row],[dD]]-'Find a similar substance'!$D$5)^2+('Find a similar substance'!$E$5-Tabla1[[#This Row],[dP]])^2+(Tabla1[[#This Row],[dH]]-'Find a similar substance'!$F$5)^2)</f>
        <v>1.077032961426901</v>
      </c>
    </row>
    <row r="198" spans="1:7" x14ac:dyDescent="0.25">
      <c r="A198" s="2" t="s">
        <v>509</v>
      </c>
      <c r="B198" s="2" t="s">
        <v>508</v>
      </c>
      <c r="C198" s="2">
        <v>17.2</v>
      </c>
      <c r="D198" s="2">
        <v>5</v>
      </c>
      <c r="E198" s="2">
        <v>6.1</v>
      </c>
      <c r="F198" s="2" t="str">
        <f>IFERROR(VLOOKUP(B198,Tabla2[],5,FALSE),"")</f>
        <v/>
      </c>
      <c r="G198" s="2">
        <f>SQRT(4*(Tabla1[[#This Row],[dD]]-'Find a similar substance'!$D$5)^2+('Find a similar substance'!$E$5-Tabla1[[#This Row],[dP]])^2+(Tabla1[[#This Row],[dH]]-'Find a similar substance'!$F$5)^2)</f>
        <v>4.0422765862815453</v>
      </c>
    </row>
    <row r="199" spans="1:7" x14ac:dyDescent="0.25">
      <c r="A199" s="2" t="s">
        <v>511</v>
      </c>
      <c r="B199" s="2" t="s">
        <v>510</v>
      </c>
      <c r="C199" s="2">
        <v>19</v>
      </c>
      <c r="D199" s="2">
        <v>5.5</v>
      </c>
      <c r="E199" s="2">
        <v>13.9</v>
      </c>
      <c r="F199" s="2" t="str">
        <f>IFERROR(VLOOKUP(B199,Tabla2[],5,FALSE),"")</f>
        <v/>
      </c>
      <c r="G199" s="2">
        <f>SQRT(4*(Tabla1[[#This Row],[dD]]-'Find a similar substance'!$D$5)^2+('Find a similar substance'!$E$5-Tabla1[[#This Row],[dP]])^2+(Tabla1[[#This Row],[dH]]-'Find a similar substance'!$F$5)^2)</f>
        <v>10.606130302801299</v>
      </c>
    </row>
    <row r="200" spans="1:7" x14ac:dyDescent="0.25">
      <c r="A200" s="2" t="s">
        <v>513</v>
      </c>
      <c r="B200" s="2" t="s">
        <v>512</v>
      </c>
      <c r="C200" s="2">
        <v>17.100000000000001</v>
      </c>
      <c r="D200" s="2">
        <v>12.9</v>
      </c>
      <c r="E200" s="2">
        <v>8.1</v>
      </c>
      <c r="F200" s="2" t="str">
        <f>IFERROR(VLOOKUP(B200,Tabla2[],5,FALSE),"")</f>
        <v/>
      </c>
      <c r="G200" s="2">
        <f>SQRT(4*(Tabla1[[#This Row],[dD]]-'Find a similar substance'!$D$5)^2+('Find a similar substance'!$E$5-Tabla1[[#This Row],[dP]])^2+(Tabla1[[#This Row],[dH]]-'Find a similar substance'!$F$5)^2)</f>
        <v>5.315072906367325</v>
      </c>
    </row>
    <row r="201" spans="1:7" x14ac:dyDescent="0.25">
      <c r="A201" s="2" t="s">
        <v>515</v>
      </c>
      <c r="B201" s="2" t="s">
        <v>514</v>
      </c>
      <c r="C201" s="2">
        <v>19.100000000000001</v>
      </c>
      <c r="D201" s="2">
        <v>9.4</v>
      </c>
      <c r="E201" s="2">
        <v>12.4</v>
      </c>
      <c r="F201" s="2" t="str">
        <f>IFERROR(VLOOKUP(B201,Tabla2[],5,FALSE),"")</f>
        <v/>
      </c>
      <c r="G201" s="2">
        <f>SQRT(4*(Tabla1[[#This Row],[dD]]-'Find a similar substance'!$D$5)^2+('Find a similar substance'!$E$5-Tabla1[[#This Row],[dP]])^2+(Tabla1[[#This Row],[dH]]-'Find a similar substance'!$F$5)^2)</f>
        <v>8.9582364335844584</v>
      </c>
    </row>
    <row r="202" spans="1:7" x14ac:dyDescent="0.25">
      <c r="A202" s="2" t="s">
        <v>517</v>
      </c>
      <c r="B202" s="2" t="s">
        <v>516</v>
      </c>
      <c r="C202" s="2">
        <v>19.2</v>
      </c>
      <c r="D202" s="2">
        <v>6.2</v>
      </c>
      <c r="E202" s="2">
        <v>8</v>
      </c>
      <c r="F202" s="2" t="str">
        <f>IFERROR(VLOOKUP(B202,Tabla2[],5,FALSE),"")</f>
        <v/>
      </c>
      <c r="G202" s="2">
        <f>SQRT(4*(Tabla1[[#This Row],[dD]]-'Find a similar substance'!$D$5)^2+('Find a similar substance'!$E$5-Tabla1[[#This Row],[dP]])^2+(Tabla1[[#This Row],[dH]]-'Find a similar substance'!$F$5)^2)</f>
        <v>6.5030761951556393</v>
      </c>
    </row>
    <row r="203" spans="1:7" x14ac:dyDescent="0.25">
      <c r="A203" s="2" t="s">
        <v>519</v>
      </c>
      <c r="B203" s="2" t="s">
        <v>518</v>
      </c>
      <c r="C203" s="2">
        <v>18.100000000000001</v>
      </c>
      <c r="D203" s="2">
        <v>7.6</v>
      </c>
      <c r="E203" s="2">
        <v>15.6</v>
      </c>
      <c r="F203" s="2" t="str">
        <f>IFERROR(VLOOKUP(B203,Tabla2[],5,FALSE),"")</f>
        <v/>
      </c>
      <c r="G203" s="2">
        <f>SQRT(4*(Tabla1[[#This Row],[dD]]-'Find a similar substance'!$D$5)^2+('Find a similar substance'!$E$5-Tabla1[[#This Row],[dP]])^2+(Tabla1[[#This Row],[dH]]-'Find a similar substance'!$F$5)^2)</f>
        <v>11.071133636624571</v>
      </c>
    </row>
    <row r="204" spans="1:7" x14ac:dyDescent="0.25">
      <c r="A204" s="2" t="s">
        <v>521</v>
      </c>
      <c r="B204" s="2" t="s">
        <v>520</v>
      </c>
      <c r="C204" s="2">
        <v>15.8</v>
      </c>
      <c r="D204" s="2">
        <v>3.9</v>
      </c>
      <c r="E204" s="2">
        <v>10</v>
      </c>
      <c r="F204" s="2" t="str">
        <f>IFERROR(VLOOKUP(B204,Tabla2[],5,FALSE),"")</f>
        <v/>
      </c>
      <c r="G204" s="2">
        <f>SQRT(4*(Tabla1[[#This Row],[dD]]-'Find a similar substance'!$D$5)^2+('Find a similar substance'!$E$5-Tabla1[[#This Row],[dP]])^2+(Tabla1[[#This Row],[dH]]-'Find a similar substance'!$F$5)^2)</f>
        <v>7.1133676975114959</v>
      </c>
    </row>
    <row r="205" spans="1:7" x14ac:dyDescent="0.25">
      <c r="A205" s="2" t="s">
        <v>523</v>
      </c>
      <c r="B205" s="2" t="s">
        <v>522</v>
      </c>
      <c r="C205" s="2">
        <v>16.100000000000001</v>
      </c>
      <c r="D205" s="2">
        <v>8</v>
      </c>
      <c r="E205" s="2">
        <v>5.5</v>
      </c>
      <c r="F205" s="2" t="str">
        <f>IFERROR(VLOOKUP(B205,Tabla2[],5,FALSE),"")</f>
        <v/>
      </c>
      <c r="G205" s="2">
        <f>SQRT(4*(Tabla1[[#This Row],[dD]]-'Find a similar substance'!$D$5)^2+('Find a similar substance'!$E$5-Tabla1[[#This Row],[dP]])^2+(Tabla1[[#This Row],[dH]]-'Find a similar substance'!$F$5)^2)</f>
        <v>1.3190905958272916</v>
      </c>
    </row>
    <row r="206" spans="1:7" x14ac:dyDescent="0.25">
      <c r="A206" s="2" t="s">
        <v>525</v>
      </c>
      <c r="B206" s="2" t="s">
        <v>524</v>
      </c>
      <c r="C206" s="2">
        <v>15.8</v>
      </c>
      <c r="D206" s="2">
        <v>2.9</v>
      </c>
      <c r="E206" s="2">
        <v>5.0999999999999996</v>
      </c>
      <c r="F206" s="2" t="str">
        <f>IFERROR(VLOOKUP(B206,Tabla2[],5,FALSE),"")</f>
        <v/>
      </c>
      <c r="G206" s="2">
        <f>SQRT(4*(Tabla1[[#This Row],[dD]]-'Find a similar substance'!$D$5)^2+('Find a similar substance'!$E$5-Tabla1[[#This Row],[dP]])^2+(Tabla1[[#This Row],[dH]]-'Find a similar substance'!$F$5)^2)</f>
        <v>6.0174745533321525</v>
      </c>
    </row>
    <row r="207" spans="1:7" x14ac:dyDescent="0.25">
      <c r="A207" s="2" t="s">
        <v>527</v>
      </c>
      <c r="B207" s="2" t="s">
        <v>526</v>
      </c>
      <c r="C207" s="2">
        <v>15.3</v>
      </c>
      <c r="D207" s="2">
        <v>4.3</v>
      </c>
      <c r="E207" s="2">
        <v>3</v>
      </c>
      <c r="F207" s="2" t="str">
        <f>IFERROR(VLOOKUP(B207,Tabla2[],5,FALSE),"")</f>
        <v/>
      </c>
      <c r="G207" s="2">
        <f>SQRT(4*(Tabla1[[#This Row],[dD]]-'Find a similar substance'!$D$5)^2+('Find a similar substance'!$E$5-Tabla1[[#This Row],[dP]])^2+(Tabla1[[#This Row],[dH]]-'Find a similar substance'!$F$5)^2)</f>
        <v>5.4881690936048981</v>
      </c>
    </row>
    <row r="208" spans="1:7" x14ac:dyDescent="0.25">
      <c r="A208" s="2" t="s">
        <v>529</v>
      </c>
      <c r="B208" s="2" t="s">
        <v>528</v>
      </c>
      <c r="C208" s="2">
        <v>17.3</v>
      </c>
      <c r="D208" s="2">
        <v>6.2</v>
      </c>
      <c r="E208" s="2">
        <v>6.8</v>
      </c>
      <c r="F208" s="2" t="str">
        <f>IFERROR(VLOOKUP(B208,Tabla2[],5,FALSE),"")</f>
        <v/>
      </c>
      <c r="G208" s="2">
        <f>SQRT(4*(Tabla1[[#This Row],[dD]]-'Find a similar substance'!$D$5)^2+('Find a similar substance'!$E$5-Tabla1[[#This Row],[dP]])^2+(Tabla1[[#This Row],[dH]]-'Find a similar substance'!$F$5)^2)</f>
        <v>3.3837848631377252</v>
      </c>
    </row>
    <row r="209" spans="1:7" x14ac:dyDescent="0.25">
      <c r="A209" s="2" t="s">
        <v>531</v>
      </c>
      <c r="B209" s="2" t="s">
        <v>530</v>
      </c>
      <c r="C209" s="2">
        <v>15.3</v>
      </c>
      <c r="D209" s="2">
        <v>1.6</v>
      </c>
      <c r="E209" s="2">
        <v>3.8</v>
      </c>
      <c r="F209" s="2" t="str">
        <f>IFERROR(VLOOKUP(B209,Tabla2[],5,FALSE),"")</f>
        <v/>
      </c>
      <c r="G209" s="2">
        <f>SQRT(4*(Tabla1[[#This Row],[dD]]-'Find a similar substance'!$D$5)^2+('Find a similar substance'!$E$5-Tabla1[[#This Row],[dP]])^2+(Tabla1[[#This Row],[dH]]-'Find a similar substance'!$F$5)^2)</f>
        <v>7.6557168181692825</v>
      </c>
    </row>
    <row r="210" spans="1:7" x14ac:dyDescent="0.25">
      <c r="A210" s="2" t="s">
        <v>533</v>
      </c>
      <c r="B210" s="2" t="s">
        <v>532</v>
      </c>
      <c r="C210" s="2">
        <v>15.8</v>
      </c>
      <c r="D210" s="2">
        <v>4.3</v>
      </c>
      <c r="E210" s="2">
        <v>13.5</v>
      </c>
      <c r="F210" s="2" t="str">
        <f>IFERROR(VLOOKUP(B210,Tabla2[],5,FALSE),"")</f>
        <v/>
      </c>
      <c r="G210" s="2">
        <f>SQRT(4*(Tabla1[[#This Row],[dD]]-'Find a similar substance'!$D$5)^2+('Find a similar substance'!$E$5-Tabla1[[#This Row],[dP]])^2+(Tabla1[[#This Row],[dH]]-'Find a similar substance'!$F$5)^2)</f>
        <v>9.7041228351665048</v>
      </c>
    </row>
    <row r="211" spans="1:7" x14ac:dyDescent="0.25">
      <c r="A211" s="2" t="s">
        <v>535</v>
      </c>
      <c r="B211" s="2" t="s">
        <v>534</v>
      </c>
      <c r="C211" s="2">
        <v>14.9</v>
      </c>
      <c r="D211" s="2">
        <v>1.7</v>
      </c>
      <c r="E211" s="2">
        <v>3.5</v>
      </c>
      <c r="F211" s="2" t="str">
        <f>IFERROR(VLOOKUP(B211,Tabla2[],5,FALSE),"")</f>
        <v/>
      </c>
      <c r="G211" s="2">
        <f>SQRT(4*(Tabla1[[#This Row],[dD]]-'Find a similar substance'!$D$5)^2+('Find a similar substance'!$E$5-Tabla1[[#This Row],[dP]])^2+(Tabla1[[#This Row],[dH]]-'Find a similar substance'!$F$5)^2)</f>
        <v>7.9252760204298252</v>
      </c>
    </row>
    <row r="212" spans="1:7" x14ac:dyDescent="0.25">
      <c r="A212" s="2" t="s">
        <v>537</v>
      </c>
      <c r="B212" s="2" t="s">
        <v>536</v>
      </c>
      <c r="C212" s="2">
        <v>15.9</v>
      </c>
      <c r="D212" s="2">
        <v>3.3</v>
      </c>
      <c r="E212" s="2">
        <v>11.8</v>
      </c>
      <c r="F212" s="2" t="str">
        <f>IFERROR(VLOOKUP(B212,Tabla2[],5,FALSE),"")</f>
        <v/>
      </c>
      <c r="G212" s="2">
        <f>SQRT(4*(Tabla1[[#This Row],[dD]]-'Find a similar substance'!$D$5)^2+('Find a similar substance'!$E$5-Tabla1[[#This Row],[dP]])^2+(Tabla1[[#This Row],[dH]]-'Find a similar substance'!$F$5)^2)</f>
        <v>8.7954533709184091</v>
      </c>
    </row>
    <row r="213" spans="1:7" x14ac:dyDescent="0.25">
      <c r="A213" s="2" t="s">
        <v>539</v>
      </c>
      <c r="B213" s="2" t="s">
        <v>538</v>
      </c>
      <c r="C213" s="2">
        <v>15.7</v>
      </c>
      <c r="D213" s="2">
        <v>4.2</v>
      </c>
      <c r="E213" s="2">
        <v>6.1</v>
      </c>
      <c r="F213" s="2" t="str">
        <f>IFERROR(VLOOKUP(B213,Tabla2[],5,FALSE),"")</f>
        <v/>
      </c>
      <c r="G213" s="2">
        <f>SQRT(4*(Tabla1[[#This Row],[dD]]-'Find a similar substance'!$D$5)^2+('Find a similar substance'!$E$5-Tabla1[[#This Row],[dP]])^2+(Tabla1[[#This Row],[dH]]-'Find a similar substance'!$F$5)^2)</f>
        <v>4.9699094559156718</v>
      </c>
    </row>
    <row r="214" spans="1:7" x14ac:dyDescent="0.25">
      <c r="A214" s="2" t="s">
        <v>541</v>
      </c>
      <c r="B214" s="2" t="s">
        <v>540</v>
      </c>
      <c r="C214" s="2">
        <v>18.399999999999999</v>
      </c>
      <c r="D214" s="2">
        <v>15</v>
      </c>
      <c r="E214" s="2">
        <v>8.1999999999999993</v>
      </c>
      <c r="F214" s="2" t="str">
        <f>IFERROR(VLOOKUP(B214,Tabla2[],5,FALSE),"")</f>
        <v/>
      </c>
      <c r="G214" s="2">
        <f>SQRT(4*(Tabla1[[#This Row],[dD]]-'Find a similar substance'!$D$5)^2+('Find a similar substance'!$E$5-Tabla1[[#This Row],[dP]])^2+(Tabla1[[#This Row],[dH]]-'Find a similar substance'!$F$5)^2)</f>
        <v>7.9303215571627339</v>
      </c>
    </row>
    <row r="215" spans="1:7" x14ac:dyDescent="0.25">
      <c r="A215" s="2" t="s">
        <v>543</v>
      </c>
      <c r="B215" s="2" t="s">
        <v>542</v>
      </c>
      <c r="C215" s="2">
        <v>15.7</v>
      </c>
      <c r="D215" s="2">
        <v>5.4</v>
      </c>
      <c r="E215" s="2">
        <v>11.7</v>
      </c>
      <c r="F215" s="2" t="str">
        <f>IFERROR(VLOOKUP(B215,Tabla2[],5,FALSE),"")</f>
        <v/>
      </c>
      <c r="G215" s="2">
        <f>SQRT(4*(Tabla1[[#This Row],[dD]]-'Find a similar substance'!$D$5)^2+('Find a similar substance'!$E$5-Tabla1[[#This Row],[dP]])^2+(Tabla1[[#This Row],[dH]]-'Find a similar substance'!$F$5)^2)</f>
        <v>7.6824475266675272</v>
      </c>
    </row>
    <row r="216" spans="1:7" x14ac:dyDescent="0.25">
      <c r="A216" s="2" t="s">
        <v>545</v>
      </c>
      <c r="B216" s="2" t="s">
        <v>544</v>
      </c>
      <c r="C216" s="2">
        <v>17.2</v>
      </c>
      <c r="D216" s="2">
        <v>6.6</v>
      </c>
      <c r="E216" s="2">
        <v>6</v>
      </c>
      <c r="F216" s="2" t="str">
        <f>IFERROR(VLOOKUP(B216,Tabla2[],5,FALSE),"")</f>
        <v/>
      </c>
      <c r="G216" s="2">
        <f>SQRT(4*(Tabla1[[#This Row],[dD]]-'Find a similar substance'!$D$5)^2+('Find a similar substance'!$E$5-Tabla1[[#This Row],[dP]])^2+(Tabla1[[#This Row],[dH]]-'Find a similar substance'!$F$5)^2)</f>
        <v>2.617250465660478</v>
      </c>
    </row>
    <row r="217" spans="1:7" x14ac:dyDescent="0.25">
      <c r="A217" s="2" t="s">
        <v>547</v>
      </c>
      <c r="B217" s="2" t="s">
        <v>546</v>
      </c>
      <c r="C217" s="2">
        <v>17.8</v>
      </c>
      <c r="D217" s="2">
        <v>8.4</v>
      </c>
      <c r="E217" s="2">
        <v>7.7</v>
      </c>
      <c r="F217" s="2" t="str">
        <f>IFERROR(VLOOKUP(B217,Tabla2[],5,FALSE),"")</f>
        <v/>
      </c>
      <c r="G217" s="2">
        <f>SQRT(4*(Tabla1[[#This Row],[dD]]-'Find a similar substance'!$D$5)^2+('Find a similar substance'!$E$5-Tabla1[[#This Row],[dP]])^2+(Tabla1[[#This Row],[dH]]-'Find a similar substance'!$F$5)^2)</f>
        <v>3.6249137920783707</v>
      </c>
    </row>
    <row r="218" spans="1:7" x14ac:dyDescent="0.25">
      <c r="A218" s="2" t="s">
        <v>549</v>
      </c>
      <c r="B218" s="2" t="s">
        <v>548</v>
      </c>
      <c r="C218" s="2">
        <v>16.8</v>
      </c>
      <c r="D218" s="2">
        <v>5.2</v>
      </c>
      <c r="E218" s="2">
        <v>12.4</v>
      </c>
      <c r="F218" s="2" t="str">
        <f>IFERROR(VLOOKUP(B218,Tabla2[],5,FALSE),"")</f>
        <v/>
      </c>
      <c r="G218" s="2">
        <f>SQRT(4*(Tabla1[[#This Row],[dD]]-'Find a similar substance'!$D$5)^2+('Find a similar substance'!$E$5-Tabla1[[#This Row],[dP]])^2+(Tabla1[[#This Row],[dH]]-'Find a similar substance'!$F$5)^2)</f>
        <v>8.1957305958651432</v>
      </c>
    </row>
    <row r="219" spans="1:7" x14ac:dyDescent="0.25">
      <c r="A219" s="2" t="s">
        <v>551</v>
      </c>
      <c r="B219" s="2" t="s">
        <v>550</v>
      </c>
      <c r="C219" s="2">
        <v>17.100000000000001</v>
      </c>
      <c r="D219" s="2">
        <v>6.5</v>
      </c>
      <c r="E219" s="2">
        <v>12.5</v>
      </c>
      <c r="F219" s="2" t="str">
        <f>IFERROR(VLOOKUP(B219,Tabla2[],5,FALSE),"")</f>
        <v/>
      </c>
      <c r="G219" s="2">
        <f>SQRT(4*(Tabla1[[#This Row],[dD]]-'Find a similar substance'!$D$5)^2+('Find a similar substance'!$E$5-Tabla1[[#This Row],[dP]])^2+(Tabla1[[#This Row],[dH]]-'Find a similar substance'!$F$5)^2)</f>
        <v>7.8797208072367635</v>
      </c>
    </row>
    <row r="220" spans="1:7" x14ac:dyDescent="0.25">
      <c r="A220" s="2" t="s">
        <v>553</v>
      </c>
      <c r="B220" s="2" t="s">
        <v>552</v>
      </c>
      <c r="C220" s="2">
        <v>17.600000000000001</v>
      </c>
      <c r="D220" s="2">
        <v>7.8</v>
      </c>
      <c r="E220" s="2">
        <v>4.7</v>
      </c>
      <c r="F220" s="2" t="str">
        <f>IFERROR(VLOOKUP(B220,Tabla2[],5,FALSE),"")</f>
        <v/>
      </c>
      <c r="G220" s="2">
        <f>SQRT(4*(Tabla1[[#This Row],[dD]]-'Find a similar substance'!$D$5)^2+('Find a similar substance'!$E$5-Tabla1[[#This Row],[dP]])^2+(Tabla1[[#This Row],[dH]]-'Find a similar substance'!$F$5)^2)</f>
        <v>2.2135943621178651</v>
      </c>
    </row>
    <row r="221" spans="1:7" x14ac:dyDescent="0.25">
      <c r="A221" s="2" t="s">
        <v>555</v>
      </c>
      <c r="B221" s="2" t="s">
        <v>554</v>
      </c>
      <c r="C221" s="2">
        <v>18.3</v>
      </c>
      <c r="D221" s="2">
        <v>12.3</v>
      </c>
      <c r="E221" s="2">
        <v>10.5</v>
      </c>
      <c r="F221" s="2" t="str">
        <f>IFERROR(VLOOKUP(B221,Tabla2[],5,FALSE),"")</f>
        <v/>
      </c>
      <c r="G221" s="2">
        <f>SQRT(4*(Tabla1[[#This Row],[dD]]-'Find a similar substance'!$D$5)^2+('Find a similar substance'!$E$5-Tabla1[[#This Row],[dP]])^2+(Tabla1[[#This Row],[dH]]-'Find a similar substance'!$F$5)^2)</f>
        <v>7.4006756448313551</v>
      </c>
    </row>
    <row r="222" spans="1:7" x14ac:dyDescent="0.25">
      <c r="A222" s="2" t="s">
        <v>557</v>
      </c>
      <c r="B222" s="2" t="s">
        <v>556</v>
      </c>
      <c r="C222" s="2">
        <v>16.899999999999999</v>
      </c>
      <c r="D222" s="2">
        <v>5</v>
      </c>
      <c r="E222" s="2">
        <v>4.3</v>
      </c>
      <c r="F222" s="2" t="str">
        <f>IFERROR(VLOOKUP(B222,Tabla2[],5,FALSE),"")</f>
        <v/>
      </c>
      <c r="G222" s="2">
        <f>SQRT(4*(Tabla1[[#This Row],[dD]]-'Find a similar substance'!$D$5)^2+('Find a similar substance'!$E$5-Tabla1[[#This Row],[dP]])^2+(Tabla1[[#This Row],[dH]]-'Find a similar substance'!$F$5)^2)</f>
        <v>3.8131351929875219</v>
      </c>
    </row>
    <row r="223" spans="1:7" x14ac:dyDescent="0.25">
      <c r="A223" s="2" t="s">
        <v>559</v>
      </c>
      <c r="B223" s="2" t="s">
        <v>558</v>
      </c>
      <c r="C223" s="2">
        <v>17.3</v>
      </c>
      <c r="D223" s="2">
        <v>4.8</v>
      </c>
      <c r="E223" s="2">
        <v>5.8</v>
      </c>
      <c r="F223" s="2" t="str">
        <f>IFERROR(VLOOKUP(B223,Tabla2[],5,FALSE),"")</f>
        <v/>
      </c>
      <c r="G223" s="2">
        <f>SQRT(4*(Tabla1[[#This Row],[dD]]-'Find a similar substance'!$D$5)^2+('Find a similar substance'!$E$5-Tabla1[[#This Row],[dP]])^2+(Tabla1[[#This Row],[dH]]-'Find a similar substance'!$F$5)^2)</f>
        <v>4.2201895692018372</v>
      </c>
    </row>
    <row r="224" spans="1:7" x14ac:dyDescent="0.25">
      <c r="A224" s="2" t="s">
        <v>561</v>
      </c>
      <c r="B224" s="2" t="s">
        <v>560</v>
      </c>
      <c r="C224" s="2">
        <v>16</v>
      </c>
      <c r="D224" s="2">
        <v>5.0999999999999996</v>
      </c>
      <c r="E224" s="2">
        <v>14.3</v>
      </c>
      <c r="F224" s="2" t="str">
        <f>IFERROR(VLOOKUP(B224,Tabla2[],5,FALSE),"")</f>
        <v/>
      </c>
      <c r="G224" s="2">
        <f>SQRT(4*(Tabla1[[#This Row],[dD]]-'Find a similar substance'!$D$5)^2+('Find a similar substance'!$E$5-Tabla1[[#This Row],[dP]])^2+(Tabla1[[#This Row],[dH]]-'Find a similar substance'!$F$5)^2)</f>
        <v>10.044401425669925</v>
      </c>
    </row>
    <row r="225" spans="1:7" x14ac:dyDescent="0.25">
      <c r="A225" s="2" t="s">
        <v>563</v>
      </c>
      <c r="B225" s="2" t="s">
        <v>562</v>
      </c>
      <c r="C225" s="2">
        <v>14.5</v>
      </c>
      <c r="D225" s="2">
        <v>1.8</v>
      </c>
      <c r="E225" s="2">
        <v>1.3</v>
      </c>
      <c r="F225" s="2" t="str">
        <f>IFERROR(VLOOKUP(B225,Tabla2[],5,FALSE),"")</f>
        <v/>
      </c>
      <c r="G225" s="2">
        <f>SQRT(4*(Tabla1[[#This Row],[dD]]-'Find a similar substance'!$D$5)^2+('Find a similar substance'!$E$5-Tabla1[[#This Row],[dP]])^2+(Tabla1[[#This Row],[dH]]-'Find a similar substance'!$F$5)^2)</f>
        <v>8.8848185124964711</v>
      </c>
    </row>
    <row r="226" spans="1:7" x14ac:dyDescent="0.25">
      <c r="A226" s="2" t="s">
        <v>565</v>
      </c>
      <c r="B226" s="2" t="s">
        <v>564</v>
      </c>
      <c r="C226" s="2">
        <v>17.100000000000001</v>
      </c>
      <c r="D226" s="2">
        <v>10.6</v>
      </c>
      <c r="E226" s="2">
        <v>7.3</v>
      </c>
      <c r="F226" s="2" t="str">
        <f>IFERROR(VLOOKUP(B226,Tabla2[],5,FALSE),"")</f>
        <v/>
      </c>
      <c r="G226" s="2">
        <f>SQRT(4*(Tabla1[[#This Row],[dD]]-'Find a similar substance'!$D$5)^2+('Find a similar substance'!$E$5-Tabla1[[#This Row],[dP]])^2+(Tabla1[[#This Row],[dH]]-'Find a similar substance'!$F$5)^2)</f>
        <v>3.1464265445104549</v>
      </c>
    </row>
    <row r="227" spans="1:7" x14ac:dyDescent="0.25">
      <c r="A227" s="2" t="s">
        <v>567</v>
      </c>
      <c r="B227" s="2" t="s">
        <v>566</v>
      </c>
      <c r="C227" s="2">
        <v>15.8</v>
      </c>
      <c r="D227" s="2">
        <v>4.9000000000000004</v>
      </c>
      <c r="E227" s="2">
        <v>13.5</v>
      </c>
      <c r="F227" s="2" t="str">
        <f>IFERROR(VLOOKUP(B227,Tabla2[],5,FALSE),"")</f>
        <v/>
      </c>
      <c r="G227" s="2">
        <f>SQRT(4*(Tabla1[[#This Row],[dD]]-'Find a similar substance'!$D$5)^2+('Find a similar substance'!$E$5-Tabla1[[#This Row],[dP]])^2+(Tabla1[[#This Row],[dH]]-'Find a similar substance'!$F$5)^2)</f>
        <v>9.4472218138455926</v>
      </c>
    </row>
    <row r="228" spans="1:7" x14ac:dyDescent="0.25">
      <c r="A228" s="2" t="s">
        <v>569</v>
      </c>
      <c r="B228" s="2" t="s">
        <v>568</v>
      </c>
      <c r="C228" s="2">
        <v>15.3</v>
      </c>
      <c r="D228" s="2">
        <v>6.1</v>
      </c>
      <c r="E228" s="2">
        <v>13.3</v>
      </c>
      <c r="F228" s="2" t="str">
        <f>IFERROR(VLOOKUP(B228,Tabla2[],5,FALSE),"")</f>
        <v/>
      </c>
      <c r="G228" s="2">
        <f>SQRT(4*(Tabla1[[#This Row],[dD]]-'Find a similar substance'!$D$5)^2+('Find a similar substance'!$E$5-Tabla1[[#This Row],[dP]])^2+(Tabla1[[#This Row],[dH]]-'Find a similar substance'!$F$5)^2)</f>
        <v>9.0779953734290935</v>
      </c>
    </row>
    <row r="229" spans="1:7" x14ac:dyDescent="0.25">
      <c r="A229" s="2" t="s">
        <v>571</v>
      </c>
      <c r="B229" s="2" t="s">
        <v>570</v>
      </c>
      <c r="C229" s="2">
        <v>14.7</v>
      </c>
      <c r="D229" s="2">
        <v>2</v>
      </c>
      <c r="E229" s="2">
        <v>2.9</v>
      </c>
      <c r="F229" s="2" t="str">
        <f>IFERROR(VLOOKUP(B229,Tabla2[],5,FALSE),"")</f>
        <v/>
      </c>
      <c r="G229" s="2">
        <f>SQRT(4*(Tabla1[[#This Row],[dD]]-'Find a similar substance'!$D$5)^2+('Find a similar substance'!$E$5-Tabla1[[#This Row],[dP]])^2+(Tabla1[[#This Row],[dH]]-'Find a similar substance'!$F$5)^2)</f>
        <v>7.9837334624848308</v>
      </c>
    </row>
    <row r="230" spans="1:7" x14ac:dyDescent="0.25">
      <c r="A230" s="2" t="s">
        <v>573</v>
      </c>
      <c r="B230" s="2" t="s">
        <v>572</v>
      </c>
      <c r="C230" s="2">
        <v>17.3</v>
      </c>
      <c r="D230" s="2">
        <v>2.8</v>
      </c>
      <c r="E230" s="2">
        <v>7.4</v>
      </c>
      <c r="F230" s="2" t="str">
        <f>IFERROR(VLOOKUP(B230,Tabla2[],5,FALSE),"")</f>
        <v/>
      </c>
      <c r="G230" s="2">
        <f>SQRT(4*(Tabla1[[#This Row],[dD]]-'Find a similar substance'!$D$5)^2+('Find a similar substance'!$E$5-Tabla1[[#This Row],[dP]])^2+(Tabla1[[#This Row],[dH]]-'Find a similar substance'!$F$5)^2)</f>
        <v>6.5215028942721469</v>
      </c>
    </row>
    <row r="231" spans="1:7" x14ac:dyDescent="0.25">
      <c r="A231" s="2" t="s">
        <v>575</v>
      </c>
      <c r="B231" s="2" t="s">
        <v>574</v>
      </c>
      <c r="C231" s="2">
        <v>16.100000000000001</v>
      </c>
      <c r="D231" s="2">
        <v>13.7</v>
      </c>
      <c r="E231" s="2">
        <v>15.4</v>
      </c>
      <c r="F231" s="2" t="str">
        <f>IFERROR(VLOOKUP(B231,Tabla2[],5,FALSE),"")</f>
        <v/>
      </c>
      <c r="G231" s="2">
        <f>SQRT(4*(Tabla1[[#This Row],[dD]]-'Find a similar substance'!$D$5)^2+('Find a similar substance'!$E$5-Tabla1[[#This Row],[dP]])^2+(Tabla1[[#This Row],[dH]]-'Find a similar substance'!$F$5)^2)</f>
        <v>11.582745788456208</v>
      </c>
    </row>
    <row r="232" spans="1:7" x14ac:dyDescent="0.25">
      <c r="A232" s="2" t="s">
        <v>577</v>
      </c>
      <c r="B232" s="2" t="s">
        <v>576</v>
      </c>
      <c r="C232" s="2">
        <v>16.2</v>
      </c>
      <c r="D232" s="2">
        <v>12.1</v>
      </c>
      <c r="E232" s="2">
        <v>4.0999999999999996</v>
      </c>
      <c r="F232" s="2" t="str">
        <f>IFERROR(VLOOKUP(B232,Tabla2[],5,FALSE),"")</f>
        <v/>
      </c>
      <c r="G232" s="2">
        <f>SQRT(4*(Tabla1[[#This Row],[dD]]-'Find a similar substance'!$D$5)^2+('Find a similar substance'!$E$5-Tabla1[[#This Row],[dP]])^2+(Tabla1[[#This Row],[dH]]-'Find a similar substance'!$F$5)^2)</f>
        <v>3.6069377593742882</v>
      </c>
    </row>
    <row r="233" spans="1:7" x14ac:dyDescent="0.25">
      <c r="A233" s="2" t="s">
        <v>579</v>
      </c>
      <c r="B233" s="2" t="s">
        <v>578</v>
      </c>
      <c r="C233" s="2">
        <v>19.7</v>
      </c>
      <c r="D233" s="2">
        <v>16.2</v>
      </c>
      <c r="E233" s="2">
        <v>8.1999999999999993</v>
      </c>
      <c r="F233" s="2" t="str">
        <f>IFERROR(VLOOKUP(B233,Tabla2[],5,FALSE),"")</f>
        <v/>
      </c>
      <c r="G233" s="2">
        <f>SQRT(4*(Tabla1[[#This Row],[dD]]-'Find a similar substance'!$D$5)^2+('Find a similar substance'!$E$5-Tabla1[[#This Row],[dP]])^2+(Tabla1[[#This Row],[dH]]-'Find a similar substance'!$F$5)^2)</f>
        <v>10.243534546239395</v>
      </c>
    </row>
    <row r="234" spans="1:7" x14ac:dyDescent="0.25">
      <c r="A234" s="2" t="s">
        <v>581</v>
      </c>
      <c r="B234" s="2" t="s">
        <v>580</v>
      </c>
      <c r="C234" s="2">
        <v>16.100000000000001</v>
      </c>
      <c r="D234" s="2">
        <v>4.9000000000000004</v>
      </c>
      <c r="E234" s="2">
        <v>11</v>
      </c>
      <c r="F234" s="2" t="str">
        <f>IFERROR(VLOOKUP(B234,Tabla2[],5,FALSE),"")</f>
        <v/>
      </c>
      <c r="G234" s="2">
        <f>SQRT(4*(Tabla1[[#This Row],[dD]]-'Find a similar substance'!$D$5)^2+('Find a similar substance'!$E$5-Tabla1[[#This Row],[dP]])^2+(Tabla1[[#This Row],[dH]]-'Find a similar substance'!$F$5)^2)</f>
        <v>7.1721684308164422</v>
      </c>
    </row>
    <row r="235" spans="1:7" x14ac:dyDescent="0.25">
      <c r="A235" s="2" t="s">
        <v>583</v>
      </c>
      <c r="B235" s="2" t="s">
        <v>582</v>
      </c>
      <c r="C235" s="2">
        <v>17.5</v>
      </c>
      <c r="D235" s="2">
        <v>15.6</v>
      </c>
      <c r="E235" s="2">
        <v>11.2</v>
      </c>
      <c r="F235" s="2" t="str">
        <f>IFERROR(VLOOKUP(B235,Tabla2[],5,FALSE),"")</f>
        <v/>
      </c>
      <c r="G235" s="2">
        <f>SQRT(4*(Tabla1[[#This Row],[dD]]-'Find a similar substance'!$D$5)^2+('Find a similar substance'!$E$5-Tabla1[[#This Row],[dP]])^2+(Tabla1[[#This Row],[dH]]-'Find a similar substance'!$F$5)^2)</f>
        <v>9.4493386011932063</v>
      </c>
    </row>
    <row r="236" spans="1:7" x14ac:dyDescent="0.25">
      <c r="A236" s="2" t="s">
        <v>585</v>
      </c>
      <c r="B236" s="2" t="s">
        <v>584</v>
      </c>
      <c r="C236" s="2">
        <v>15.6</v>
      </c>
      <c r="D236" s="2">
        <v>6.4</v>
      </c>
      <c r="E236" s="2">
        <v>13.3</v>
      </c>
      <c r="F236" s="2" t="str">
        <f>IFERROR(VLOOKUP(B236,Tabla2[],5,FALSE),"")</f>
        <v/>
      </c>
      <c r="G236" s="2">
        <f>SQRT(4*(Tabla1[[#This Row],[dD]]-'Find a similar substance'!$D$5)^2+('Find a similar substance'!$E$5-Tabla1[[#This Row],[dP]])^2+(Tabla1[[#This Row],[dH]]-'Find a similar substance'!$F$5)^2)</f>
        <v>8.8419454872782399</v>
      </c>
    </row>
    <row r="237" spans="1:7" x14ac:dyDescent="0.25">
      <c r="A237" s="2" t="s">
        <v>586</v>
      </c>
      <c r="B237" s="2" t="s">
        <v>70</v>
      </c>
      <c r="C237" s="2">
        <v>17.8</v>
      </c>
      <c r="D237" s="2">
        <v>5.7</v>
      </c>
      <c r="E237" s="2">
        <v>14.3</v>
      </c>
      <c r="F237" s="2">
        <f>IFERROR(VLOOKUP(B237,Tabla2[],5,FALSE),"")</f>
        <v>124.7</v>
      </c>
      <c r="G237" s="2">
        <f>SQRT(4*(Tabla1[[#This Row],[dD]]-'Find a similar substance'!$D$5)^2+('Find a similar substance'!$E$5-Tabla1[[#This Row],[dP]])^2+(Tabla1[[#This Row],[dH]]-'Find a similar substance'!$F$5)^2)</f>
        <v>10.062305898749054</v>
      </c>
    </row>
    <row r="238" spans="1:7" x14ac:dyDescent="0.25">
      <c r="A238" s="2" t="s">
        <v>588</v>
      </c>
      <c r="B238" s="2" t="s">
        <v>587</v>
      </c>
      <c r="C238" s="2">
        <v>18.3</v>
      </c>
      <c r="D238" s="2">
        <v>5.6</v>
      </c>
      <c r="E238" s="2">
        <v>11.2</v>
      </c>
      <c r="F238" s="2" t="str">
        <f>IFERROR(VLOOKUP(B238,Tabla2[],5,FALSE),"")</f>
        <v/>
      </c>
      <c r="G238" s="2">
        <f>SQRT(4*(Tabla1[[#This Row],[dD]]-'Find a similar substance'!$D$5)^2+('Find a similar substance'!$E$5-Tabla1[[#This Row],[dP]])^2+(Tabla1[[#This Row],[dH]]-'Find a similar substance'!$F$5)^2)</f>
        <v>7.7207512587830456</v>
      </c>
    </row>
    <row r="239" spans="1:7" x14ac:dyDescent="0.25">
      <c r="A239" s="2" t="s">
        <v>590</v>
      </c>
      <c r="B239" s="2" t="s">
        <v>589</v>
      </c>
      <c r="C239" s="2">
        <v>16.899999999999999</v>
      </c>
      <c r="D239" s="2">
        <v>1.8</v>
      </c>
      <c r="E239" s="2">
        <v>3.1</v>
      </c>
      <c r="F239" s="2" t="str">
        <f>IFERROR(VLOOKUP(B239,Tabla2[],5,FALSE),"")</f>
        <v/>
      </c>
      <c r="G239" s="2">
        <f>SQRT(4*(Tabla1[[#This Row],[dD]]-'Find a similar substance'!$D$5)^2+('Find a similar substance'!$E$5-Tabla1[[#This Row],[dP]])^2+(Tabla1[[#This Row],[dH]]-'Find a similar substance'!$F$5)^2)</f>
        <v>7.1819217483901889</v>
      </c>
    </row>
    <row r="240" spans="1:7" x14ac:dyDescent="0.25">
      <c r="A240" s="2" t="s">
        <v>592</v>
      </c>
      <c r="B240" s="2" t="s">
        <v>591</v>
      </c>
      <c r="C240" s="2">
        <v>16.3</v>
      </c>
      <c r="D240" s="2">
        <v>6.8</v>
      </c>
      <c r="E240" s="2">
        <v>6.5</v>
      </c>
      <c r="F240" s="2" t="str">
        <f>IFERROR(VLOOKUP(B240,Tabla2[],5,FALSE),"")</f>
        <v/>
      </c>
      <c r="G240" s="2">
        <f>SQRT(4*(Tabla1[[#This Row],[dD]]-'Find a similar substance'!$D$5)^2+('Find a similar substance'!$E$5-Tabla1[[#This Row],[dP]])^2+(Tabla1[[#This Row],[dH]]-'Find a similar substance'!$F$5)^2)</f>
        <v>2.4939927826679851</v>
      </c>
    </row>
    <row r="241" spans="1:7" x14ac:dyDescent="0.25">
      <c r="A241" s="2" t="s">
        <v>593</v>
      </c>
      <c r="B241" s="2" t="s">
        <v>2562</v>
      </c>
      <c r="C241" s="2">
        <v>15.8</v>
      </c>
      <c r="D241" s="2">
        <v>6.1</v>
      </c>
      <c r="E241" s="2">
        <v>16.399999999999999</v>
      </c>
      <c r="F241" s="2" t="str">
        <f>IFERROR(VLOOKUP(B241,Tabla2[],5,FALSE),"")</f>
        <v/>
      </c>
      <c r="G241" s="2">
        <f>SQRT(4*(Tabla1[[#This Row],[dD]]-'Find a similar substance'!$D$5)^2+('Find a similar substance'!$E$5-Tabla1[[#This Row],[dP]])^2+(Tabla1[[#This Row],[dH]]-'Find a similar substance'!$F$5)^2)</f>
        <v>11.801694793545543</v>
      </c>
    </row>
    <row r="242" spans="1:7" x14ac:dyDescent="0.25">
      <c r="A242" s="2" t="s">
        <v>595</v>
      </c>
      <c r="B242" s="2" t="s">
        <v>594</v>
      </c>
      <c r="C242" s="2">
        <v>16.100000000000001</v>
      </c>
      <c r="D242" s="2">
        <v>8.6999999999999993</v>
      </c>
      <c r="E242" s="2">
        <v>18.8</v>
      </c>
      <c r="F242" s="2" t="str">
        <f>IFERROR(VLOOKUP(B242,Tabla2[],5,FALSE),"")</f>
        <v/>
      </c>
      <c r="G242" s="2">
        <f>SQRT(4*(Tabla1[[#This Row],[dD]]-'Find a similar substance'!$D$5)^2+('Find a similar substance'!$E$5-Tabla1[[#This Row],[dP]])^2+(Tabla1[[#This Row],[dH]]-'Find a similar substance'!$F$5)^2)</f>
        <v>13.836184445142383</v>
      </c>
    </row>
    <row r="243" spans="1:7" x14ac:dyDescent="0.25">
      <c r="A243" s="2" t="s">
        <v>597</v>
      </c>
      <c r="B243" s="2" t="s">
        <v>596</v>
      </c>
      <c r="C243" s="2">
        <v>18.2</v>
      </c>
      <c r="D243" s="2">
        <v>12</v>
      </c>
      <c r="E243" s="2">
        <v>9</v>
      </c>
      <c r="F243" s="2" t="str">
        <f>IFERROR(VLOOKUP(B243,Tabla2[],5,FALSE),"")</f>
        <v/>
      </c>
      <c r="G243" s="2">
        <f>SQRT(4*(Tabla1[[#This Row],[dD]]-'Find a similar substance'!$D$5)^2+('Find a similar substance'!$E$5-Tabla1[[#This Row],[dP]])^2+(Tabla1[[#This Row],[dH]]-'Find a similar substance'!$F$5)^2)</f>
        <v>6.0934390946328483</v>
      </c>
    </row>
    <row r="244" spans="1:7" x14ac:dyDescent="0.25">
      <c r="A244" s="2" t="s">
        <v>599</v>
      </c>
      <c r="B244" s="2" t="s">
        <v>598</v>
      </c>
      <c r="C244" s="2">
        <v>17.3</v>
      </c>
      <c r="D244" s="2">
        <v>3.7</v>
      </c>
      <c r="E244" s="2">
        <v>10.5</v>
      </c>
      <c r="F244" s="2" t="str">
        <f>IFERROR(VLOOKUP(B244,Tabla2[],5,FALSE),"")</f>
        <v/>
      </c>
      <c r="G244" s="2">
        <f>SQRT(4*(Tabla1[[#This Row],[dD]]-'Find a similar substance'!$D$5)^2+('Find a similar substance'!$E$5-Tabla1[[#This Row],[dP]])^2+(Tabla1[[#This Row],[dH]]-'Find a similar substance'!$F$5)^2)</f>
        <v>7.5637292389402724</v>
      </c>
    </row>
    <row r="245" spans="1:7" x14ac:dyDescent="0.25">
      <c r="A245" s="2" t="s">
        <v>601</v>
      </c>
      <c r="B245" s="2" t="s">
        <v>600</v>
      </c>
      <c r="C245" s="2">
        <v>16.2</v>
      </c>
      <c r="D245" s="2">
        <v>5.9</v>
      </c>
      <c r="E245" s="2">
        <v>5.3</v>
      </c>
      <c r="F245" s="2" t="str">
        <f>IFERROR(VLOOKUP(B245,Tabla2[],5,FALSE),"")</f>
        <v/>
      </c>
      <c r="G245" s="2">
        <f>SQRT(4*(Tabla1[[#This Row],[dD]]-'Find a similar substance'!$D$5)^2+('Find a similar substance'!$E$5-Tabla1[[#This Row],[dP]])^2+(Tabla1[[#This Row],[dH]]-'Find a similar substance'!$F$5)^2)</f>
        <v>2.9274562336608896</v>
      </c>
    </row>
    <row r="246" spans="1:7" x14ac:dyDescent="0.25">
      <c r="A246" s="2" t="s">
        <v>603</v>
      </c>
      <c r="B246" s="2" t="s">
        <v>602</v>
      </c>
      <c r="C246" s="2">
        <v>19.399999999999999</v>
      </c>
      <c r="D246" s="2">
        <v>5.8</v>
      </c>
      <c r="E246" s="2">
        <v>9.4</v>
      </c>
      <c r="F246" s="2" t="str">
        <f>IFERROR(VLOOKUP(B246,Tabla2[],5,FALSE),"")</f>
        <v/>
      </c>
      <c r="G246" s="2">
        <f>SQRT(4*(Tabla1[[#This Row],[dD]]-'Find a similar substance'!$D$5)^2+('Find a similar substance'!$E$5-Tabla1[[#This Row],[dP]])^2+(Tabla1[[#This Row],[dH]]-'Find a similar substance'!$F$5)^2)</f>
        <v>7.6896033707857745</v>
      </c>
    </row>
    <row r="247" spans="1:7" x14ac:dyDescent="0.25">
      <c r="A247" s="2" t="s">
        <v>605</v>
      </c>
      <c r="B247" s="2" t="s">
        <v>604</v>
      </c>
      <c r="C247" s="2">
        <v>18.600000000000001</v>
      </c>
      <c r="D247" s="2">
        <v>1</v>
      </c>
      <c r="E247" s="2">
        <v>3.8</v>
      </c>
      <c r="F247" s="2" t="str">
        <f>IFERROR(VLOOKUP(B247,Tabla2[],5,FALSE),"")</f>
        <v/>
      </c>
      <c r="G247" s="2">
        <f>SQRT(4*(Tabla1[[#This Row],[dD]]-'Find a similar substance'!$D$5)^2+('Find a similar substance'!$E$5-Tabla1[[#This Row],[dP]])^2+(Tabla1[[#This Row],[dH]]-'Find a similar substance'!$F$5)^2)</f>
        <v>8.7595661993046203</v>
      </c>
    </row>
    <row r="248" spans="1:7" x14ac:dyDescent="0.25">
      <c r="A248" s="2" t="s">
        <v>607</v>
      </c>
      <c r="B248" s="2" t="s">
        <v>606</v>
      </c>
      <c r="C248" s="2">
        <v>17.7</v>
      </c>
      <c r="D248" s="2">
        <v>15.5</v>
      </c>
      <c r="E248" s="2">
        <v>3.4</v>
      </c>
      <c r="F248" s="2" t="str">
        <f>IFERROR(VLOOKUP(B248,Tabla2[],5,FALSE),"")</f>
        <v/>
      </c>
      <c r="G248" s="2">
        <f>SQRT(4*(Tabla1[[#This Row],[dD]]-'Find a similar substance'!$D$5)^2+('Find a similar substance'!$E$5-Tabla1[[#This Row],[dP]])^2+(Tabla1[[#This Row],[dH]]-'Find a similar substance'!$F$5)^2)</f>
        <v>7.3239333694402209</v>
      </c>
    </row>
    <row r="249" spans="1:7" x14ac:dyDescent="0.25">
      <c r="A249" s="2" t="s">
        <v>609</v>
      </c>
      <c r="B249" s="2" t="s">
        <v>608</v>
      </c>
      <c r="C249" s="2">
        <v>20</v>
      </c>
      <c r="D249" s="2">
        <v>4.7</v>
      </c>
      <c r="E249" s="2">
        <v>2.4</v>
      </c>
      <c r="F249" s="2" t="str">
        <f>IFERROR(VLOOKUP(B249,Tabla2[],5,FALSE),"")</f>
        <v/>
      </c>
      <c r="G249" s="2">
        <f>SQRT(4*(Tabla1[[#This Row],[dD]]-'Find a similar substance'!$D$5)^2+('Find a similar substance'!$E$5-Tabla1[[#This Row],[dP]])^2+(Tabla1[[#This Row],[dH]]-'Find a similar substance'!$F$5)^2)</f>
        <v>8.3066238629180731</v>
      </c>
    </row>
    <row r="250" spans="1:7" x14ac:dyDescent="0.25">
      <c r="A250" s="2" t="s">
        <v>611</v>
      </c>
      <c r="B250" s="2" t="s">
        <v>610</v>
      </c>
      <c r="C250" s="2">
        <v>20.100000000000001</v>
      </c>
      <c r="D250" s="2">
        <v>7.2</v>
      </c>
      <c r="E250" s="2">
        <v>4.0999999999999996</v>
      </c>
      <c r="F250" s="2" t="str">
        <f>IFERROR(VLOOKUP(B250,Tabla2[],5,FALSE),"")</f>
        <v/>
      </c>
      <c r="G250" s="2">
        <f>SQRT(4*(Tabla1[[#This Row],[dD]]-'Find a similar substance'!$D$5)^2+('Find a similar substance'!$E$5-Tabla1[[#This Row],[dP]])^2+(Tabla1[[#This Row],[dH]]-'Find a similar substance'!$F$5)^2)</f>
        <v>7.2152616030189787</v>
      </c>
    </row>
    <row r="251" spans="1:7" x14ac:dyDescent="0.25">
      <c r="A251" s="2" t="s">
        <v>613</v>
      </c>
      <c r="B251" s="2" t="s">
        <v>612</v>
      </c>
      <c r="C251" s="2">
        <v>20.5</v>
      </c>
      <c r="D251" s="2">
        <v>10.8</v>
      </c>
      <c r="E251" s="2">
        <v>4.4000000000000004</v>
      </c>
      <c r="F251" s="2" t="str">
        <f>IFERROR(VLOOKUP(B251,Tabla2[],5,FALSE),"")</f>
        <v/>
      </c>
      <c r="G251" s="2">
        <f>SQRT(4*(Tabla1[[#This Row],[dD]]-'Find a similar substance'!$D$5)^2+('Find a similar substance'!$E$5-Tabla1[[#This Row],[dP]])^2+(Tabla1[[#This Row],[dH]]-'Find a similar substance'!$F$5)^2)</f>
        <v>8.0999999999999979</v>
      </c>
    </row>
    <row r="252" spans="1:7" x14ac:dyDescent="0.25">
      <c r="A252" s="2" t="s">
        <v>615</v>
      </c>
      <c r="B252" s="2" t="s">
        <v>614</v>
      </c>
      <c r="C252" s="2">
        <v>19.8</v>
      </c>
      <c r="D252" s="2">
        <v>9.8000000000000007</v>
      </c>
      <c r="E252" s="2">
        <v>2.5</v>
      </c>
      <c r="F252" s="2" t="str">
        <f>IFERROR(VLOOKUP(B252,Tabla2[],5,FALSE),"")</f>
        <v/>
      </c>
      <c r="G252" s="2">
        <f>SQRT(4*(Tabla1[[#This Row],[dD]]-'Find a similar substance'!$D$5)^2+('Find a similar substance'!$E$5-Tabla1[[#This Row],[dP]])^2+(Tabla1[[#This Row],[dH]]-'Find a similar substance'!$F$5)^2)</f>
        <v>6.95844810284592</v>
      </c>
    </row>
    <row r="253" spans="1:7" x14ac:dyDescent="0.25">
      <c r="A253" s="2" t="s">
        <v>617</v>
      </c>
      <c r="B253" s="2" t="s">
        <v>616</v>
      </c>
      <c r="C253" s="2">
        <v>19.2</v>
      </c>
      <c r="D253" s="2">
        <v>6</v>
      </c>
      <c r="E253" s="2">
        <v>13.4</v>
      </c>
      <c r="F253" s="2" t="str">
        <f>IFERROR(VLOOKUP(B253,Tabla2[],5,FALSE),"")</f>
        <v/>
      </c>
      <c r="G253" s="2">
        <f>SQRT(4*(Tabla1[[#This Row],[dD]]-'Find a similar substance'!$D$5)^2+('Find a similar substance'!$E$5-Tabla1[[#This Row],[dP]])^2+(Tabla1[[#This Row],[dH]]-'Find a similar substance'!$F$5)^2)</f>
        <v>10.241581909060727</v>
      </c>
    </row>
    <row r="254" spans="1:7" x14ac:dyDescent="0.25">
      <c r="A254" s="2" t="s">
        <v>619</v>
      </c>
      <c r="B254" s="2" t="s">
        <v>618</v>
      </c>
      <c r="C254" s="2">
        <v>19.5</v>
      </c>
      <c r="D254" s="2">
        <v>12.8</v>
      </c>
      <c r="E254" s="2">
        <v>14.3</v>
      </c>
      <c r="F254" s="2" t="str">
        <f>IFERROR(VLOOKUP(B254,Tabla2[],5,FALSE),"")</f>
        <v/>
      </c>
      <c r="G254" s="2">
        <f>SQRT(4*(Tabla1[[#This Row],[dD]]-'Find a similar substance'!$D$5)^2+('Find a similar substance'!$E$5-Tabla1[[#This Row],[dP]])^2+(Tabla1[[#This Row],[dH]]-'Find a similar substance'!$F$5)^2)</f>
        <v>11.702136557056578</v>
      </c>
    </row>
    <row r="255" spans="1:7" x14ac:dyDescent="0.25">
      <c r="A255" s="2" t="s">
        <v>621</v>
      </c>
      <c r="B255" s="2" t="s">
        <v>620</v>
      </c>
      <c r="C255" s="2">
        <v>16.600000000000001</v>
      </c>
      <c r="D255" s="2">
        <v>7.7</v>
      </c>
      <c r="E255" s="2">
        <v>7.4</v>
      </c>
      <c r="F255" s="2" t="str">
        <f>IFERROR(VLOOKUP(B255,Tabla2[],5,FALSE),"")</f>
        <v/>
      </c>
      <c r="G255" s="2">
        <f>SQRT(4*(Tabla1[[#This Row],[dD]]-'Find a similar substance'!$D$5)^2+('Find a similar substance'!$E$5-Tabla1[[#This Row],[dP]])^2+(Tabla1[[#This Row],[dH]]-'Find a similar substance'!$F$5)^2)</f>
        <v>2.6</v>
      </c>
    </row>
    <row r="256" spans="1:7" x14ac:dyDescent="0.25">
      <c r="A256" s="2" t="s">
        <v>623</v>
      </c>
      <c r="B256" s="2" t="s">
        <v>622</v>
      </c>
      <c r="C256" s="2">
        <v>18.8</v>
      </c>
      <c r="D256" s="2">
        <v>11.2</v>
      </c>
      <c r="E256" s="2">
        <v>3.2</v>
      </c>
      <c r="F256" s="2" t="str">
        <f>IFERROR(VLOOKUP(B256,Tabla2[],5,FALSE),"")</f>
        <v/>
      </c>
      <c r="G256" s="2">
        <f>SQRT(4*(Tabla1[[#This Row],[dD]]-'Find a similar substance'!$D$5)^2+('Find a similar substance'!$E$5-Tabla1[[#This Row],[dP]])^2+(Tabla1[[#This Row],[dH]]-'Find a similar substance'!$F$5)^2)</f>
        <v>5.3712196007983133</v>
      </c>
    </row>
    <row r="257" spans="1:7" x14ac:dyDescent="0.25">
      <c r="A257" s="2" t="s">
        <v>625</v>
      </c>
      <c r="B257" s="2" t="s">
        <v>624</v>
      </c>
      <c r="C257" s="2">
        <v>19.5</v>
      </c>
      <c r="D257" s="2">
        <v>12.9</v>
      </c>
      <c r="E257" s="2">
        <v>14.4</v>
      </c>
      <c r="F257" s="2" t="str">
        <f>IFERROR(VLOOKUP(B257,Tabla2[],5,FALSE),"")</f>
        <v/>
      </c>
      <c r="G257" s="2">
        <f>SQRT(4*(Tabla1[[#This Row],[dD]]-'Find a similar substance'!$D$5)^2+('Find a similar substance'!$E$5-Tabla1[[#This Row],[dP]])^2+(Tabla1[[#This Row],[dH]]-'Find a similar substance'!$F$5)^2)</f>
        <v>11.816936997377958</v>
      </c>
    </row>
    <row r="258" spans="1:7" x14ac:dyDescent="0.25">
      <c r="A258" s="2" t="s">
        <v>627</v>
      </c>
      <c r="B258" s="2" t="s">
        <v>626</v>
      </c>
      <c r="C258" s="2">
        <v>16.8</v>
      </c>
      <c r="D258" s="2">
        <v>7.7</v>
      </c>
      <c r="E258" s="2">
        <v>13.4</v>
      </c>
      <c r="F258" s="2" t="str">
        <f>IFERROR(VLOOKUP(B258,Tabla2[],5,FALSE),"")</f>
        <v/>
      </c>
      <c r="G258" s="2">
        <f>SQRT(4*(Tabla1[[#This Row],[dD]]-'Find a similar substance'!$D$5)^2+('Find a similar substance'!$E$5-Tabla1[[#This Row],[dP]])^2+(Tabla1[[#This Row],[dH]]-'Find a similar substance'!$F$5)^2)</f>
        <v>8.4687661438960511</v>
      </c>
    </row>
    <row r="259" spans="1:7" x14ac:dyDescent="0.25">
      <c r="A259" s="2" t="s">
        <v>629</v>
      </c>
      <c r="B259" s="2" t="s">
        <v>628</v>
      </c>
      <c r="C259" s="2">
        <v>18.100000000000001</v>
      </c>
      <c r="D259" s="2">
        <v>6.5</v>
      </c>
      <c r="E259" s="2">
        <v>5.3</v>
      </c>
      <c r="F259" s="2" t="str">
        <f>IFERROR(VLOOKUP(B259,Tabla2[],5,FALSE),"")</f>
        <v/>
      </c>
      <c r="G259" s="2">
        <f>SQRT(4*(Tabla1[[#This Row],[dD]]-'Find a similar substance'!$D$5)^2+('Find a similar substance'!$E$5-Tabla1[[#This Row],[dP]])^2+(Tabla1[[#This Row],[dH]]-'Find a similar substance'!$F$5)^2)</f>
        <v>3.7322915213043042</v>
      </c>
    </row>
    <row r="260" spans="1:7" x14ac:dyDescent="0.25">
      <c r="A260" s="2" t="s">
        <v>631</v>
      </c>
      <c r="B260" s="2" t="s">
        <v>630</v>
      </c>
      <c r="C260" s="2">
        <v>16.2</v>
      </c>
      <c r="D260" s="2">
        <v>14.3</v>
      </c>
      <c r="E260" s="2">
        <v>5.6</v>
      </c>
      <c r="F260" s="2" t="str">
        <f>IFERROR(VLOOKUP(B260,Tabla2[],5,FALSE),"")</f>
        <v/>
      </c>
      <c r="G260" s="2">
        <f>SQRT(4*(Tabla1[[#This Row],[dD]]-'Find a similar substance'!$D$5)^2+('Find a similar substance'!$E$5-Tabla1[[#This Row],[dP]])^2+(Tabla1[[#This Row],[dH]]-'Find a similar substance'!$F$5)^2)</f>
        <v>5.6885850613311586</v>
      </c>
    </row>
    <row r="261" spans="1:7" x14ac:dyDescent="0.25">
      <c r="A261" s="2" t="s">
        <v>633</v>
      </c>
      <c r="B261" s="2" t="s">
        <v>632</v>
      </c>
      <c r="C261" s="2">
        <v>15.9</v>
      </c>
      <c r="D261" s="2">
        <v>5.5</v>
      </c>
      <c r="E261" s="2">
        <v>10.6</v>
      </c>
      <c r="F261" s="2" t="str">
        <f>IFERROR(VLOOKUP(B261,Tabla2[],5,FALSE),"")</f>
        <v/>
      </c>
      <c r="G261" s="2">
        <f>SQRT(4*(Tabla1[[#This Row],[dD]]-'Find a similar substance'!$D$5)^2+('Find a similar substance'!$E$5-Tabla1[[#This Row],[dP]])^2+(Tabla1[[#This Row],[dH]]-'Find a similar substance'!$F$5)^2)</f>
        <v>6.6</v>
      </c>
    </row>
    <row r="262" spans="1:7" x14ac:dyDescent="0.25">
      <c r="A262" s="2" t="s">
        <v>635</v>
      </c>
      <c r="B262" s="2" t="s">
        <v>634</v>
      </c>
      <c r="C262" s="2">
        <v>17.2</v>
      </c>
      <c r="D262" s="2">
        <v>10.3</v>
      </c>
      <c r="E262" s="2">
        <v>16.5</v>
      </c>
      <c r="F262" s="2" t="str">
        <f>IFERROR(VLOOKUP(B262,Tabla2[],5,FALSE),"")</f>
        <v/>
      </c>
      <c r="G262" s="2">
        <f>SQRT(4*(Tabla1[[#This Row],[dD]]-'Find a similar substance'!$D$5)^2+('Find a similar substance'!$E$5-Tabla1[[#This Row],[dP]])^2+(Tabla1[[#This Row],[dH]]-'Find a similar substance'!$F$5)^2)</f>
        <v>11.672617529928752</v>
      </c>
    </row>
    <row r="263" spans="1:7" x14ac:dyDescent="0.25">
      <c r="A263" s="2" t="s">
        <v>637</v>
      </c>
      <c r="B263" s="2" t="s">
        <v>636</v>
      </c>
      <c r="C263" s="2">
        <v>17.5</v>
      </c>
      <c r="D263" s="2">
        <v>5.7</v>
      </c>
      <c r="E263" s="2">
        <v>14.7</v>
      </c>
      <c r="F263" s="2" t="str">
        <f>IFERROR(VLOOKUP(B263,Tabla2[],5,FALSE),"")</f>
        <v/>
      </c>
      <c r="G263" s="2">
        <f>SQRT(4*(Tabla1[[#This Row],[dD]]-'Find a similar substance'!$D$5)^2+('Find a similar substance'!$E$5-Tabla1[[#This Row],[dP]])^2+(Tabla1[[#This Row],[dH]]-'Find a similar substance'!$F$5)^2)</f>
        <v>10.311643903859363</v>
      </c>
    </row>
    <row r="264" spans="1:7" x14ac:dyDescent="0.25">
      <c r="A264" s="2" t="s">
        <v>639</v>
      </c>
      <c r="B264" s="2" t="s">
        <v>638</v>
      </c>
      <c r="C264" s="2">
        <v>16.2</v>
      </c>
      <c r="D264" s="2">
        <v>5.6</v>
      </c>
      <c r="E264" s="2">
        <v>2</v>
      </c>
      <c r="F264" s="2" t="str">
        <f>IFERROR(VLOOKUP(B264,Tabla2[],5,FALSE),"")</f>
        <v/>
      </c>
      <c r="G264" s="2">
        <f>SQRT(4*(Tabla1[[#This Row],[dD]]-'Find a similar substance'!$D$5)^2+('Find a similar substance'!$E$5-Tabla1[[#This Row],[dP]])^2+(Tabla1[[#This Row],[dH]]-'Find a similar substance'!$F$5)^2)</f>
        <v>4.3874821936960613</v>
      </c>
    </row>
    <row r="265" spans="1:7" x14ac:dyDescent="0.25">
      <c r="A265" s="2" t="s">
        <v>641</v>
      </c>
      <c r="B265" s="2" t="s">
        <v>640</v>
      </c>
      <c r="C265" s="2">
        <v>19.899999999999999</v>
      </c>
      <c r="D265" s="2">
        <v>9.3000000000000007</v>
      </c>
      <c r="E265" s="2">
        <v>2.6</v>
      </c>
      <c r="F265" s="2" t="str">
        <f>IFERROR(VLOOKUP(B265,Tabla2[],5,FALSE),"")</f>
        <v/>
      </c>
      <c r="G265" s="2">
        <f>SQRT(4*(Tabla1[[#This Row],[dD]]-'Find a similar substance'!$D$5)^2+('Find a similar substance'!$E$5-Tabla1[[#This Row],[dP]])^2+(Tabla1[[#This Row],[dH]]-'Find a similar substance'!$F$5)^2)</f>
        <v>7.0484040746824324</v>
      </c>
    </row>
    <row r="266" spans="1:7" x14ac:dyDescent="0.25">
      <c r="A266" s="2" t="s">
        <v>643</v>
      </c>
      <c r="B266" s="2" t="s">
        <v>642</v>
      </c>
      <c r="C266" s="2">
        <v>17</v>
      </c>
      <c r="D266" s="2">
        <v>13.3</v>
      </c>
      <c r="E266" s="2">
        <v>8.1999999999999993</v>
      </c>
      <c r="F266" s="2" t="str">
        <f>IFERROR(VLOOKUP(B266,Tabla2[],5,FALSE),"")</f>
        <v/>
      </c>
      <c r="G266" s="2">
        <f>SQRT(4*(Tabla1[[#This Row],[dD]]-'Find a similar substance'!$D$5)^2+('Find a similar substance'!$E$5-Tabla1[[#This Row],[dP]])^2+(Tabla1[[#This Row],[dH]]-'Find a similar substance'!$F$5)^2)</f>
        <v>5.6603886792339626</v>
      </c>
    </row>
    <row r="267" spans="1:7" x14ac:dyDescent="0.25">
      <c r="A267" s="2" t="s">
        <v>645</v>
      </c>
      <c r="B267" s="2" t="s">
        <v>644</v>
      </c>
      <c r="C267" s="2">
        <v>17.3</v>
      </c>
      <c r="D267" s="2">
        <v>15.9</v>
      </c>
      <c r="E267" s="2">
        <v>6.1</v>
      </c>
      <c r="F267" s="2" t="str">
        <f>IFERROR(VLOOKUP(B267,Tabla2[],5,FALSE),"")</f>
        <v/>
      </c>
      <c r="G267" s="2">
        <f>SQRT(4*(Tabla1[[#This Row],[dD]]-'Find a similar substance'!$D$5)^2+('Find a similar substance'!$E$5-Tabla1[[#This Row],[dP]])^2+(Tabla1[[#This Row],[dH]]-'Find a similar substance'!$F$5)^2)</f>
        <v>7.4168726563154648</v>
      </c>
    </row>
    <row r="268" spans="1:7" x14ac:dyDescent="0.25">
      <c r="A268" s="2" t="s">
        <v>647</v>
      </c>
      <c r="B268" s="2" t="s">
        <v>646</v>
      </c>
      <c r="C268" s="2">
        <v>16.7</v>
      </c>
      <c r="D268" s="2">
        <v>7.4</v>
      </c>
      <c r="E268" s="2">
        <v>2.2999999999999998</v>
      </c>
      <c r="F268" s="2" t="str">
        <f>IFERROR(VLOOKUP(B268,Tabla2[],5,FALSE),"")</f>
        <v/>
      </c>
      <c r="G268" s="2">
        <f>SQRT(4*(Tabla1[[#This Row],[dD]]-'Find a similar substance'!$D$5)^2+('Find a similar substance'!$E$5-Tabla1[[#This Row],[dP]])^2+(Tabla1[[#This Row],[dH]]-'Find a similar substance'!$F$5)^2)</f>
        <v>3.0033314835362406</v>
      </c>
    </row>
    <row r="269" spans="1:7" x14ac:dyDescent="0.25">
      <c r="A269" s="2" t="s">
        <v>649</v>
      </c>
      <c r="B269" s="2" t="s">
        <v>648</v>
      </c>
      <c r="C269" s="2">
        <v>16</v>
      </c>
      <c r="D269" s="2">
        <v>8.8000000000000007</v>
      </c>
      <c r="E269" s="2">
        <v>7.4</v>
      </c>
      <c r="F269" s="2" t="str">
        <f>IFERROR(VLOOKUP(B269,Tabla2[],5,FALSE),"")</f>
        <v/>
      </c>
      <c r="G269" s="2">
        <f>SQRT(4*(Tabla1[[#This Row],[dD]]-'Find a similar substance'!$D$5)^2+('Find a similar substance'!$E$5-Tabla1[[#This Row],[dP]])^2+(Tabla1[[#This Row],[dH]]-'Find a similar substance'!$F$5)^2)</f>
        <v>2.6851443164195121</v>
      </c>
    </row>
    <row r="270" spans="1:7" x14ac:dyDescent="0.25">
      <c r="A270" s="2" t="s">
        <v>651</v>
      </c>
      <c r="B270" s="2" t="s">
        <v>650</v>
      </c>
      <c r="C270" s="2">
        <v>15.9</v>
      </c>
      <c r="D270" s="2">
        <v>5.4</v>
      </c>
      <c r="E270" s="2">
        <v>11.7</v>
      </c>
      <c r="F270" s="2" t="str">
        <f>IFERROR(VLOOKUP(B270,Tabla2[],5,FALSE),"")</f>
        <v/>
      </c>
      <c r="G270" s="2">
        <f>SQRT(4*(Tabla1[[#This Row],[dD]]-'Find a similar substance'!$D$5)^2+('Find a similar substance'!$E$5-Tabla1[[#This Row],[dP]])^2+(Tabla1[[#This Row],[dH]]-'Find a similar substance'!$F$5)^2)</f>
        <v>7.5986840966051483</v>
      </c>
    </row>
    <row r="271" spans="1:7" x14ac:dyDescent="0.25">
      <c r="A271" s="2" t="s">
        <v>653</v>
      </c>
      <c r="B271" s="2" t="s">
        <v>652</v>
      </c>
      <c r="C271" s="2">
        <v>18.899999999999999</v>
      </c>
      <c r="D271" s="2">
        <v>9.4</v>
      </c>
      <c r="E271" s="2">
        <v>16.3</v>
      </c>
      <c r="F271" s="2" t="str">
        <f>IFERROR(VLOOKUP(B271,Tabla2[],5,FALSE),"")</f>
        <v/>
      </c>
      <c r="G271" s="2">
        <f>SQRT(4*(Tabla1[[#This Row],[dD]]-'Find a similar substance'!$D$5)^2+('Find a similar substance'!$E$5-Tabla1[[#This Row],[dP]])^2+(Tabla1[[#This Row],[dH]]-'Find a similar substance'!$F$5)^2)</f>
        <v>12.2204746225341</v>
      </c>
    </row>
    <row r="272" spans="1:7" x14ac:dyDescent="0.25">
      <c r="A272" s="2" t="s">
        <v>655</v>
      </c>
      <c r="B272" s="2" t="s">
        <v>654</v>
      </c>
      <c r="C272" s="2">
        <v>15.3</v>
      </c>
      <c r="D272" s="2">
        <v>5.4</v>
      </c>
      <c r="E272" s="2">
        <v>13.6</v>
      </c>
      <c r="F272" s="2" t="str">
        <f>IFERROR(VLOOKUP(B272,Tabla2[],5,FALSE),"")</f>
        <v/>
      </c>
      <c r="G272" s="2">
        <f>SQRT(4*(Tabla1[[#This Row],[dD]]-'Find a similar substance'!$D$5)^2+('Find a similar substance'!$E$5-Tabla1[[#This Row],[dP]])^2+(Tabla1[[#This Row],[dH]]-'Find a similar substance'!$F$5)^2)</f>
        <v>9.5713112999212395</v>
      </c>
    </row>
    <row r="273" spans="1:7" x14ac:dyDescent="0.25">
      <c r="A273" s="2" t="s">
        <v>657</v>
      </c>
      <c r="B273" s="2" t="s">
        <v>656</v>
      </c>
      <c r="C273" s="2">
        <v>15.3</v>
      </c>
      <c r="D273" s="2">
        <v>4.0999999999999996</v>
      </c>
      <c r="E273" s="2">
        <v>8.1</v>
      </c>
      <c r="F273" s="2" t="str">
        <f>IFERROR(VLOOKUP(B273,Tabla2[],5,FALSE),"")</f>
        <v/>
      </c>
      <c r="G273" s="2">
        <f>SQRT(4*(Tabla1[[#This Row],[dD]]-'Find a similar substance'!$D$5)^2+('Find a similar substance'!$E$5-Tabla1[[#This Row],[dP]])^2+(Tabla1[[#This Row],[dH]]-'Find a similar substance'!$F$5)^2)</f>
        <v>6.126173356998641</v>
      </c>
    </row>
    <row r="274" spans="1:7" x14ac:dyDescent="0.25">
      <c r="A274" s="2" t="s">
        <v>659</v>
      </c>
      <c r="B274" s="2" t="s">
        <v>658</v>
      </c>
      <c r="C274" s="2">
        <v>16</v>
      </c>
      <c r="D274" s="2">
        <v>6.3</v>
      </c>
      <c r="E274" s="2">
        <v>12.9</v>
      </c>
      <c r="F274" s="2" t="str">
        <f>IFERROR(VLOOKUP(B274,Tabla2[],5,FALSE),"")</f>
        <v/>
      </c>
      <c r="G274" s="2">
        <f>SQRT(4*(Tabla1[[#This Row],[dD]]-'Find a similar substance'!$D$5)^2+('Find a similar substance'!$E$5-Tabla1[[#This Row],[dP]])^2+(Tabla1[[#This Row],[dH]]-'Find a similar substance'!$F$5)^2)</f>
        <v>8.3432607534464616</v>
      </c>
    </row>
    <row r="275" spans="1:7" x14ac:dyDescent="0.25">
      <c r="A275" s="2" t="s">
        <v>661</v>
      </c>
      <c r="B275" s="2" t="s">
        <v>660</v>
      </c>
      <c r="C275" s="2">
        <v>16.600000000000001</v>
      </c>
      <c r="D275" s="2">
        <v>14.4</v>
      </c>
      <c r="E275" s="2">
        <v>7.8</v>
      </c>
      <c r="F275" s="2" t="str">
        <f>IFERROR(VLOOKUP(B275,Tabla2[],5,FALSE),"")</f>
        <v/>
      </c>
      <c r="G275" s="2">
        <f>SQRT(4*(Tabla1[[#This Row],[dD]]-'Find a similar substance'!$D$5)^2+('Find a similar substance'!$E$5-Tabla1[[#This Row],[dP]])^2+(Tabla1[[#This Row],[dH]]-'Find a similar substance'!$F$5)^2)</f>
        <v>6.3505905237229712</v>
      </c>
    </row>
    <row r="276" spans="1:7" x14ac:dyDescent="0.25">
      <c r="A276" s="2" t="s">
        <v>663</v>
      </c>
      <c r="B276" s="2" t="s">
        <v>662</v>
      </c>
      <c r="C276" s="2">
        <v>16</v>
      </c>
      <c r="D276" s="2">
        <v>6</v>
      </c>
      <c r="E276" s="2">
        <v>15.5</v>
      </c>
      <c r="F276" s="2" t="str">
        <f>IFERROR(VLOOKUP(B276,Tabla2[],5,FALSE),"")</f>
        <v/>
      </c>
      <c r="G276" s="2">
        <f>SQRT(4*(Tabla1[[#This Row],[dD]]-'Find a similar substance'!$D$5)^2+('Find a similar substance'!$E$5-Tabla1[[#This Row],[dP]])^2+(Tabla1[[#This Row],[dH]]-'Find a similar substance'!$F$5)^2)</f>
        <v>10.907795377618706</v>
      </c>
    </row>
    <row r="277" spans="1:7" x14ac:dyDescent="0.25">
      <c r="A277" s="2" t="s">
        <v>665</v>
      </c>
      <c r="B277" s="2" t="s">
        <v>664</v>
      </c>
      <c r="C277" s="2">
        <v>17.2</v>
      </c>
      <c r="D277" s="2">
        <v>6.4</v>
      </c>
      <c r="E277" s="2">
        <v>12.5</v>
      </c>
      <c r="F277" s="2" t="str">
        <f>IFERROR(VLOOKUP(B277,Tabla2[],5,FALSE),"")</f>
        <v/>
      </c>
      <c r="G277" s="2">
        <f>SQRT(4*(Tabla1[[#This Row],[dD]]-'Find a similar substance'!$D$5)^2+('Find a similar substance'!$E$5-Tabla1[[#This Row],[dP]])^2+(Tabla1[[#This Row],[dH]]-'Find a similar substance'!$F$5)^2)</f>
        <v>7.9359939516105973</v>
      </c>
    </row>
    <row r="278" spans="1:7" x14ac:dyDescent="0.25">
      <c r="A278" s="2" t="s">
        <v>667</v>
      </c>
      <c r="B278" s="2" t="s">
        <v>666</v>
      </c>
      <c r="C278" s="2">
        <v>17.7</v>
      </c>
      <c r="D278" s="2">
        <v>7.7</v>
      </c>
      <c r="E278" s="2">
        <v>4.7</v>
      </c>
      <c r="F278" s="2" t="str">
        <f>IFERROR(VLOOKUP(B278,Tabla2[],5,FALSE),"")</f>
        <v/>
      </c>
      <c r="G278" s="2">
        <f>SQRT(4*(Tabla1[[#This Row],[dD]]-'Find a similar substance'!$D$5)^2+('Find a similar substance'!$E$5-Tabla1[[#This Row],[dP]])^2+(Tabla1[[#This Row],[dH]]-'Find a similar substance'!$F$5)^2)</f>
        <v>2.43515913237718</v>
      </c>
    </row>
    <row r="279" spans="1:7" x14ac:dyDescent="0.25">
      <c r="A279" s="2" t="s">
        <v>669</v>
      </c>
      <c r="B279" s="2" t="s">
        <v>668</v>
      </c>
      <c r="C279" s="2">
        <v>19.399999999999999</v>
      </c>
      <c r="D279" s="2">
        <v>14.8</v>
      </c>
      <c r="E279" s="2">
        <v>11.8</v>
      </c>
      <c r="F279" s="2" t="str">
        <f>IFERROR(VLOOKUP(B279,Tabla2[],5,FALSE),"")</f>
        <v/>
      </c>
      <c r="G279" s="2">
        <f>SQRT(4*(Tabla1[[#This Row],[dD]]-'Find a similar substance'!$D$5)^2+('Find a similar substance'!$E$5-Tabla1[[#This Row],[dP]])^2+(Tabla1[[#This Row],[dH]]-'Find a similar substance'!$F$5)^2)</f>
        <v>10.71494283699171</v>
      </c>
    </row>
    <row r="280" spans="1:7" x14ac:dyDescent="0.25">
      <c r="A280" s="2" t="s">
        <v>671</v>
      </c>
      <c r="B280" s="2" t="s">
        <v>670</v>
      </c>
      <c r="C280" s="2">
        <v>15.1</v>
      </c>
      <c r="D280" s="2">
        <v>2.5</v>
      </c>
      <c r="E280" s="2">
        <v>4.5</v>
      </c>
      <c r="F280" s="2" t="str">
        <f>IFERROR(VLOOKUP(B280,Tabla2[],5,FALSE),"")</f>
        <v/>
      </c>
      <c r="G280" s="2">
        <f>SQRT(4*(Tabla1[[#This Row],[dD]]-'Find a similar substance'!$D$5)^2+('Find a similar substance'!$E$5-Tabla1[[#This Row],[dP]])^2+(Tabla1[[#This Row],[dH]]-'Find a similar substance'!$F$5)^2)</f>
        <v>6.90579466824782</v>
      </c>
    </row>
    <row r="281" spans="1:7" x14ac:dyDescent="0.25">
      <c r="A281" s="2" t="s">
        <v>673</v>
      </c>
      <c r="B281" s="2" t="s">
        <v>672</v>
      </c>
      <c r="C281" s="2">
        <v>14</v>
      </c>
      <c r="D281" s="2">
        <v>1.4</v>
      </c>
      <c r="E281" s="2">
        <v>3.8</v>
      </c>
      <c r="F281" s="2" t="str">
        <f>IFERROR(VLOOKUP(B281,Tabla2[],5,FALSE),"")</f>
        <v/>
      </c>
      <c r="G281" s="2">
        <f>SQRT(4*(Tabla1[[#This Row],[dD]]-'Find a similar substance'!$D$5)^2+('Find a similar substance'!$E$5-Tabla1[[#This Row],[dP]])^2+(Tabla1[[#This Row],[dH]]-'Find a similar substance'!$F$5)^2)</f>
        <v>9.0426765949026411</v>
      </c>
    </row>
    <row r="282" spans="1:7" x14ac:dyDescent="0.25">
      <c r="A282" s="2" t="s">
        <v>675</v>
      </c>
      <c r="B282" s="2" t="s">
        <v>674</v>
      </c>
      <c r="C282" s="2">
        <v>15.6</v>
      </c>
      <c r="D282" s="2">
        <v>5.2</v>
      </c>
      <c r="E282" s="2">
        <v>13.4</v>
      </c>
      <c r="F282" s="2" t="str">
        <f>IFERROR(VLOOKUP(B282,Tabla2[],5,FALSE),"")</f>
        <v/>
      </c>
      <c r="G282" s="2">
        <f>SQRT(4*(Tabla1[[#This Row],[dD]]-'Find a similar substance'!$D$5)^2+('Find a similar substance'!$E$5-Tabla1[[#This Row],[dP]])^2+(Tabla1[[#This Row],[dH]]-'Find a similar substance'!$F$5)^2)</f>
        <v>9.3171884171138242</v>
      </c>
    </row>
    <row r="283" spans="1:7" x14ac:dyDescent="0.25">
      <c r="A283" s="2" t="s">
        <v>677</v>
      </c>
      <c r="B283" s="2" t="s">
        <v>676</v>
      </c>
      <c r="C283" s="2">
        <v>15.3</v>
      </c>
      <c r="D283" s="2">
        <v>3.8</v>
      </c>
      <c r="E283" s="2">
        <v>7.7</v>
      </c>
      <c r="F283" s="2" t="str">
        <f>IFERROR(VLOOKUP(B283,Tabla2[],5,FALSE),"")</f>
        <v/>
      </c>
      <c r="G283" s="2">
        <f>SQRT(4*(Tabla1[[#This Row],[dD]]-'Find a similar substance'!$D$5)^2+('Find a similar substance'!$E$5-Tabla1[[#This Row],[dP]])^2+(Tabla1[[#This Row],[dH]]-'Find a similar substance'!$F$5)^2)</f>
        <v>6.1692787260748725</v>
      </c>
    </row>
    <row r="284" spans="1:7" x14ac:dyDescent="0.25">
      <c r="A284" s="2" t="s">
        <v>679</v>
      </c>
      <c r="B284" s="2" t="s">
        <v>678</v>
      </c>
      <c r="C284" s="2">
        <v>17.399999999999999</v>
      </c>
      <c r="D284" s="2">
        <v>0.1</v>
      </c>
      <c r="E284" s="2">
        <v>1</v>
      </c>
      <c r="F284" s="2" t="str">
        <f>IFERROR(VLOOKUP(B284,Tabla2[],5,FALSE),"")</f>
        <v/>
      </c>
      <c r="G284" s="2">
        <f>SQRT(4*(Tabla1[[#This Row],[dD]]-'Find a similar substance'!$D$5)^2+('Find a similar substance'!$E$5-Tabla1[[#This Row],[dP]])^2+(Tabla1[[#This Row],[dH]]-'Find a similar substance'!$F$5)^2)</f>
        <v>9.6187317251288373</v>
      </c>
    </row>
    <row r="285" spans="1:7" x14ac:dyDescent="0.25">
      <c r="A285" s="2" t="s">
        <v>681</v>
      </c>
      <c r="B285" s="2" t="s">
        <v>680</v>
      </c>
      <c r="C285" s="2">
        <v>21.4</v>
      </c>
      <c r="D285" s="2">
        <v>17.7</v>
      </c>
      <c r="E285" s="2">
        <v>10.6</v>
      </c>
      <c r="F285" s="2" t="str">
        <f>IFERROR(VLOOKUP(B285,Tabla2[],5,FALSE),"")</f>
        <v/>
      </c>
      <c r="G285" s="2">
        <f>SQRT(4*(Tabla1[[#This Row],[dD]]-'Find a similar substance'!$D$5)^2+('Find a similar substance'!$E$5-Tabla1[[#This Row],[dP]])^2+(Tabla1[[#This Row],[dH]]-'Find a similar substance'!$F$5)^2)</f>
        <v>14.3010489125798</v>
      </c>
    </row>
    <row r="286" spans="1:7" x14ac:dyDescent="0.25">
      <c r="A286" s="2" t="s">
        <v>683</v>
      </c>
      <c r="B286" s="2" t="s">
        <v>682</v>
      </c>
      <c r="C286" s="2">
        <v>19.5</v>
      </c>
      <c r="D286" s="2">
        <v>4.0999999999999996</v>
      </c>
      <c r="E286" s="2">
        <v>1.7</v>
      </c>
      <c r="F286" s="2" t="str">
        <f>IFERROR(VLOOKUP(B286,Tabla2[],5,FALSE),"")</f>
        <v/>
      </c>
      <c r="G286" s="2">
        <f>SQRT(4*(Tabla1[[#This Row],[dD]]-'Find a similar substance'!$D$5)^2+('Find a similar substance'!$E$5-Tabla1[[#This Row],[dP]])^2+(Tabla1[[#This Row],[dH]]-'Find a similar substance'!$F$5)^2)</f>
        <v>8.104936767180849</v>
      </c>
    </row>
    <row r="287" spans="1:7" x14ac:dyDescent="0.25">
      <c r="A287" s="2" t="s">
        <v>685</v>
      </c>
      <c r="B287" s="2" t="s">
        <v>684</v>
      </c>
      <c r="C287" s="2">
        <v>18.8</v>
      </c>
      <c r="D287" s="2">
        <v>6.1</v>
      </c>
      <c r="E287" s="2">
        <v>3.5</v>
      </c>
      <c r="F287" s="2" t="str">
        <f>IFERROR(VLOOKUP(B287,Tabla2[],5,FALSE),"")</f>
        <v/>
      </c>
      <c r="G287" s="2">
        <f>SQRT(4*(Tabla1[[#This Row],[dD]]-'Find a similar substance'!$D$5)^2+('Find a similar substance'!$E$5-Tabla1[[#This Row],[dP]])^2+(Tabla1[[#This Row],[dH]]-'Find a similar substance'!$F$5)^2)</f>
        <v>5.3263495942343093</v>
      </c>
    </row>
    <row r="288" spans="1:7" x14ac:dyDescent="0.25">
      <c r="A288" s="2" t="s">
        <v>687</v>
      </c>
      <c r="B288" s="2" t="s">
        <v>686</v>
      </c>
      <c r="C288" s="2">
        <v>20.399999999999999</v>
      </c>
      <c r="D288" s="2">
        <v>16.100000000000001</v>
      </c>
      <c r="E288" s="2">
        <v>12.9</v>
      </c>
      <c r="F288" s="2" t="str">
        <f>IFERROR(VLOOKUP(B288,Tabla2[],5,FALSE),"")</f>
        <v/>
      </c>
      <c r="G288" s="2">
        <f>SQRT(4*(Tabla1[[#This Row],[dD]]-'Find a similar substance'!$D$5)^2+('Find a similar substance'!$E$5-Tabla1[[#This Row],[dP]])^2+(Tabla1[[#This Row],[dH]]-'Find a similar substance'!$F$5)^2)</f>
        <v>13.226110539383827</v>
      </c>
    </row>
    <row r="289" spans="1:7" x14ac:dyDescent="0.25">
      <c r="A289" s="2" t="s">
        <v>689</v>
      </c>
      <c r="B289" s="2" t="s">
        <v>688</v>
      </c>
      <c r="C289" s="2">
        <v>17</v>
      </c>
      <c r="D289" s="2">
        <v>6.5</v>
      </c>
      <c r="E289" s="2">
        <v>4.7</v>
      </c>
      <c r="F289" s="2" t="str">
        <f>IFERROR(VLOOKUP(B289,Tabla2[],5,FALSE),"")</f>
        <v/>
      </c>
      <c r="G289" s="2">
        <f>SQRT(4*(Tabla1[[#This Row],[dD]]-'Find a similar substance'!$D$5)^2+('Find a similar substance'!$E$5-Tabla1[[#This Row],[dP]])^2+(Tabla1[[#This Row],[dH]]-'Find a similar substance'!$F$5)^2)</f>
        <v>2.3600847442411879</v>
      </c>
    </row>
    <row r="290" spans="1:7" x14ac:dyDescent="0.25">
      <c r="A290" s="2" t="s">
        <v>691</v>
      </c>
      <c r="B290" s="2" t="s">
        <v>690</v>
      </c>
      <c r="C290" s="2">
        <v>16.5</v>
      </c>
      <c r="D290" s="2">
        <v>6</v>
      </c>
      <c r="E290" s="2">
        <v>4.5</v>
      </c>
      <c r="F290" s="2" t="str">
        <f>IFERROR(VLOOKUP(B290,Tabla2[],5,FALSE),"")</f>
        <v/>
      </c>
      <c r="G290" s="2">
        <f>SQRT(4*(Tabla1[[#This Row],[dD]]-'Find a similar substance'!$D$5)^2+('Find a similar substance'!$E$5-Tabla1[[#This Row],[dP]])^2+(Tabla1[[#This Row],[dH]]-'Find a similar substance'!$F$5)^2)</f>
        <v>2.7531799795872405</v>
      </c>
    </row>
    <row r="291" spans="1:7" x14ac:dyDescent="0.25">
      <c r="A291" s="2" t="s">
        <v>693</v>
      </c>
      <c r="B291" s="2" t="s">
        <v>692</v>
      </c>
      <c r="C291" s="2">
        <v>16.600000000000001</v>
      </c>
      <c r="D291" s="2">
        <v>8</v>
      </c>
      <c r="E291" s="2">
        <v>6.7</v>
      </c>
      <c r="F291" s="2" t="str">
        <f>IFERROR(VLOOKUP(B291,Tabla2[],5,FALSE),"")</f>
        <v/>
      </c>
      <c r="G291" s="2">
        <f>SQRT(4*(Tabla1[[#This Row],[dD]]-'Find a similar substance'!$D$5)^2+('Find a similar substance'!$E$5-Tabla1[[#This Row],[dP]])^2+(Tabla1[[#This Row],[dH]]-'Find a similar substance'!$F$5)^2)</f>
        <v>1.8384776310850235</v>
      </c>
    </row>
    <row r="292" spans="1:7" x14ac:dyDescent="0.25">
      <c r="A292" s="2" t="s">
        <v>695</v>
      </c>
      <c r="B292" s="2" t="s">
        <v>694</v>
      </c>
      <c r="C292" s="2">
        <v>19.899999999999999</v>
      </c>
      <c r="D292" s="2">
        <v>11.8</v>
      </c>
      <c r="E292" s="2">
        <v>3.8</v>
      </c>
      <c r="F292" s="2" t="str">
        <f>IFERROR(VLOOKUP(B292,Tabla2[],5,FALSE),"")</f>
        <v/>
      </c>
      <c r="G292" s="2">
        <f>SQRT(4*(Tabla1[[#This Row],[dD]]-'Find a similar substance'!$D$5)^2+('Find a similar substance'!$E$5-Tabla1[[#This Row],[dP]])^2+(Tabla1[[#This Row],[dH]]-'Find a similar substance'!$F$5)^2)</f>
        <v>7.3898579147369219</v>
      </c>
    </row>
    <row r="293" spans="1:7" x14ac:dyDescent="0.25">
      <c r="A293" s="2" t="s">
        <v>697</v>
      </c>
      <c r="B293" s="2" t="s">
        <v>696</v>
      </c>
      <c r="C293" s="2">
        <v>19.600000000000001</v>
      </c>
      <c r="D293" s="2">
        <v>7.8</v>
      </c>
      <c r="E293" s="2">
        <v>6.7</v>
      </c>
      <c r="F293" s="2" t="str">
        <f>IFERROR(VLOOKUP(B293,Tabla2[],5,FALSE),"")</f>
        <v/>
      </c>
      <c r="G293" s="2">
        <f>SQRT(4*(Tabla1[[#This Row],[dD]]-'Find a similar substance'!$D$5)^2+('Find a similar substance'!$E$5-Tabla1[[#This Row],[dP]])^2+(Tabla1[[#This Row],[dH]]-'Find a similar substance'!$F$5)^2)</f>
        <v>6.3007936008093459</v>
      </c>
    </row>
    <row r="294" spans="1:7" x14ac:dyDescent="0.25">
      <c r="A294" s="2" t="s">
        <v>699</v>
      </c>
      <c r="B294" s="2" t="s">
        <v>698</v>
      </c>
      <c r="C294" s="2">
        <v>19.899999999999999</v>
      </c>
      <c r="D294" s="2">
        <v>7.2</v>
      </c>
      <c r="E294" s="2">
        <v>5.6</v>
      </c>
      <c r="F294" s="2" t="str">
        <f>IFERROR(VLOOKUP(B294,Tabla2[],5,FALSE),"")</f>
        <v/>
      </c>
      <c r="G294" s="2">
        <f>SQRT(4*(Tabla1[[#This Row],[dD]]-'Find a similar substance'!$D$5)^2+('Find a similar substance'!$E$5-Tabla1[[#This Row],[dP]])^2+(Tabla1[[#This Row],[dH]]-'Find a similar substance'!$F$5)^2)</f>
        <v>6.7948509917436688</v>
      </c>
    </row>
    <row r="295" spans="1:7" x14ac:dyDescent="0.25">
      <c r="A295" s="2" t="s">
        <v>701</v>
      </c>
      <c r="B295" s="2" t="s">
        <v>700</v>
      </c>
      <c r="C295" s="2">
        <v>19.5</v>
      </c>
      <c r="D295" s="2">
        <v>8</v>
      </c>
      <c r="E295" s="2">
        <v>4.0999999999999996</v>
      </c>
      <c r="F295" s="2" t="str">
        <f>IFERROR(VLOOKUP(B295,Tabla2[],5,FALSE),"")</f>
        <v/>
      </c>
      <c r="G295" s="2">
        <f>SQRT(4*(Tabla1[[#This Row],[dD]]-'Find a similar substance'!$D$5)^2+('Find a similar substance'!$E$5-Tabla1[[#This Row],[dP]])^2+(Tabla1[[#This Row],[dH]]-'Find a similar substance'!$F$5)^2)</f>
        <v>5.9110066824526575</v>
      </c>
    </row>
    <row r="296" spans="1:7" x14ac:dyDescent="0.25">
      <c r="A296" s="2" t="s">
        <v>703</v>
      </c>
      <c r="B296" s="2" t="s">
        <v>702</v>
      </c>
      <c r="C296" s="2">
        <v>20.3</v>
      </c>
      <c r="D296" s="2">
        <v>5.5</v>
      </c>
      <c r="E296" s="2">
        <v>3.5</v>
      </c>
      <c r="F296" s="2" t="str">
        <f>IFERROR(VLOOKUP(B296,Tabla2[],5,FALSE),"")</f>
        <v/>
      </c>
      <c r="G296" s="2">
        <f>SQRT(4*(Tabla1[[#This Row],[dD]]-'Find a similar substance'!$D$5)^2+('Find a similar substance'!$E$5-Tabla1[[#This Row],[dP]])^2+(Tabla1[[#This Row],[dH]]-'Find a similar substance'!$F$5)^2)</f>
        <v>8.2006097334283616</v>
      </c>
    </row>
    <row r="297" spans="1:7" x14ac:dyDescent="0.25">
      <c r="A297" s="2" t="s">
        <v>705</v>
      </c>
      <c r="B297" s="2" t="s">
        <v>704</v>
      </c>
      <c r="C297" s="2">
        <v>19.600000000000001</v>
      </c>
      <c r="D297" s="2">
        <v>7.5</v>
      </c>
      <c r="E297" s="2">
        <v>13</v>
      </c>
      <c r="F297" s="2" t="str">
        <f>IFERROR(VLOOKUP(B297,Tabla2[],5,FALSE),"")</f>
        <v/>
      </c>
      <c r="G297" s="2">
        <f>SQRT(4*(Tabla1[[#This Row],[dD]]-'Find a similar substance'!$D$5)^2+('Find a similar substance'!$E$5-Tabla1[[#This Row],[dP]])^2+(Tabla1[[#This Row],[dH]]-'Find a similar substance'!$F$5)^2)</f>
        <v>10.071742649611338</v>
      </c>
    </row>
    <row r="298" spans="1:7" x14ac:dyDescent="0.25">
      <c r="A298" s="2" t="s">
        <v>707</v>
      </c>
      <c r="B298" s="2" t="s">
        <v>706</v>
      </c>
      <c r="C298" s="2">
        <v>20.8</v>
      </c>
      <c r="D298" s="2">
        <v>8.6</v>
      </c>
      <c r="E298" s="2">
        <v>10.6</v>
      </c>
      <c r="F298" s="2" t="str">
        <f>IFERROR(VLOOKUP(B298,Tabla2[],5,FALSE),"")</f>
        <v/>
      </c>
      <c r="G298" s="2">
        <f>SQRT(4*(Tabla1[[#This Row],[dD]]-'Find a similar substance'!$D$5)^2+('Find a similar substance'!$E$5-Tabla1[[#This Row],[dP]])^2+(Tabla1[[#This Row],[dH]]-'Find a similar substance'!$F$5)^2)</f>
        <v>10.096038827183659</v>
      </c>
    </row>
    <row r="299" spans="1:7" x14ac:dyDescent="0.25">
      <c r="A299" s="2" t="s">
        <v>709</v>
      </c>
      <c r="B299" s="2" t="s">
        <v>708</v>
      </c>
      <c r="C299" s="2">
        <v>18.8</v>
      </c>
      <c r="D299" s="2">
        <v>10.3</v>
      </c>
      <c r="E299" s="2">
        <v>6.4</v>
      </c>
      <c r="F299" s="2" t="str">
        <f>IFERROR(VLOOKUP(B299,Tabla2[],5,FALSE),"")</f>
        <v/>
      </c>
      <c r="G299" s="2">
        <f>SQRT(4*(Tabla1[[#This Row],[dD]]-'Find a similar substance'!$D$5)^2+('Find a similar substance'!$E$5-Tabla1[[#This Row],[dP]])^2+(Tabla1[[#This Row],[dH]]-'Find a similar substance'!$F$5)^2)</f>
        <v>4.8867166891482459</v>
      </c>
    </row>
    <row r="300" spans="1:7" x14ac:dyDescent="0.25">
      <c r="A300" s="2" t="s">
        <v>711</v>
      </c>
      <c r="B300" s="2" t="s">
        <v>710</v>
      </c>
      <c r="C300" s="2">
        <v>17.7</v>
      </c>
      <c r="D300" s="2">
        <v>5</v>
      </c>
      <c r="E300" s="2">
        <v>6.6</v>
      </c>
      <c r="F300" s="2" t="str">
        <f>IFERROR(VLOOKUP(B300,Tabla2[],5,FALSE),"")</f>
        <v/>
      </c>
      <c r="G300" s="2">
        <f>SQRT(4*(Tabla1[[#This Row],[dD]]-'Find a similar substance'!$D$5)^2+('Find a similar substance'!$E$5-Tabla1[[#This Row],[dP]])^2+(Tabla1[[#This Row],[dH]]-'Find a similar substance'!$F$5)^2)</f>
        <v>4.5923850012820111</v>
      </c>
    </row>
    <row r="301" spans="1:7" x14ac:dyDescent="0.25">
      <c r="A301" s="2" t="s">
        <v>713</v>
      </c>
      <c r="B301" s="2" t="s">
        <v>712</v>
      </c>
      <c r="C301" s="2">
        <v>18.3</v>
      </c>
      <c r="D301" s="2">
        <v>5.2</v>
      </c>
      <c r="E301" s="2">
        <v>12.6</v>
      </c>
      <c r="F301" s="2" t="str">
        <f>IFERROR(VLOOKUP(B301,Tabla2[],5,FALSE),"")</f>
        <v/>
      </c>
      <c r="G301" s="2">
        <f>SQRT(4*(Tabla1[[#This Row],[dD]]-'Find a similar substance'!$D$5)^2+('Find a similar substance'!$E$5-Tabla1[[#This Row],[dP]])^2+(Tabla1[[#This Row],[dH]]-'Find a similar substance'!$F$5)^2)</f>
        <v>9.0316111519484714</v>
      </c>
    </row>
    <row r="302" spans="1:7" x14ac:dyDescent="0.25">
      <c r="A302" s="2" t="s">
        <v>715</v>
      </c>
      <c r="B302" s="2" t="s">
        <v>714</v>
      </c>
      <c r="C302" s="2">
        <v>17.5</v>
      </c>
      <c r="D302" s="2">
        <v>9.8000000000000007</v>
      </c>
      <c r="E302" s="2">
        <v>3</v>
      </c>
      <c r="F302" s="2" t="str">
        <f>IFERROR(VLOOKUP(B302,Tabla2[],5,FALSE),"")</f>
        <v/>
      </c>
      <c r="G302" s="2">
        <f>SQRT(4*(Tabla1[[#This Row],[dD]]-'Find a similar substance'!$D$5)^2+('Find a similar substance'!$E$5-Tabla1[[#This Row],[dP]])^2+(Tabla1[[#This Row],[dH]]-'Find a similar substance'!$F$5)^2)</f>
        <v>2.9068883707497251</v>
      </c>
    </row>
    <row r="303" spans="1:7" x14ac:dyDescent="0.25">
      <c r="A303" s="2" t="s">
        <v>717</v>
      </c>
      <c r="B303" s="2" t="s">
        <v>716</v>
      </c>
      <c r="C303" s="2">
        <v>19.399999999999999</v>
      </c>
      <c r="D303" s="2">
        <v>7.2</v>
      </c>
      <c r="E303" s="2">
        <v>3.7</v>
      </c>
      <c r="F303" s="2" t="str">
        <f>IFERROR(VLOOKUP(B303,Tabla2[],5,FALSE),"")</f>
        <v/>
      </c>
      <c r="G303" s="2">
        <f>SQRT(4*(Tabla1[[#This Row],[dD]]-'Find a similar substance'!$D$5)^2+('Find a similar substance'!$E$5-Tabla1[[#This Row],[dP]])^2+(Tabla1[[#This Row],[dH]]-'Find a similar substance'!$F$5)^2)</f>
        <v>5.9413803110051733</v>
      </c>
    </row>
    <row r="304" spans="1:7" x14ac:dyDescent="0.25">
      <c r="A304" s="2" t="s">
        <v>719</v>
      </c>
      <c r="B304" s="2" t="s">
        <v>718</v>
      </c>
      <c r="C304" s="2">
        <v>19.600000000000001</v>
      </c>
      <c r="D304" s="2">
        <v>7.1</v>
      </c>
      <c r="E304" s="2">
        <v>3.5</v>
      </c>
      <c r="F304" s="2" t="str">
        <f>IFERROR(VLOOKUP(B304,Tabla2[],5,FALSE),"")</f>
        <v/>
      </c>
      <c r="G304" s="2">
        <f>SQRT(4*(Tabla1[[#This Row],[dD]]-'Find a similar substance'!$D$5)^2+('Find a similar substance'!$E$5-Tabla1[[#This Row],[dP]])^2+(Tabla1[[#This Row],[dH]]-'Find a similar substance'!$F$5)^2)</f>
        <v>6.3882705014737757</v>
      </c>
    </row>
    <row r="305" spans="1:7" x14ac:dyDescent="0.25">
      <c r="A305" s="2" t="s">
        <v>721</v>
      </c>
      <c r="B305" s="2" t="s">
        <v>720</v>
      </c>
      <c r="C305" s="2">
        <v>19.399999999999999</v>
      </c>
      <c r="D305" s="2">
        <v>15.2</v>
      </c>
      <c r="E305" s="2">
        <v>14.5</v>
      </c>
      <c r="F305" s="2" t="str">
        <f>IFERROR(VLOOKUP(B305,Tabla2[],5,FALSE),"")</f>
        <v/>
      </c>
      <c r="G305" s="2">
        <f>SQRT(4*(Tabla1[[#This Row],[dD]]-'Find a similar substance'!$D$5)^2+('Find a similar substance'!$E$5-Tabla1[[#This Row],[dP]])^2+(Tabla1[[#This Row],[dH]]-'Find a similar substance'!$F$5)^2)</f>
        <v>12.800781226159595</v>
      </c>
    </row>
    <row r="306" spans="1:7" x14ac:dyDescent="0.25">
      <c r="A306" s="2" t="s">
        <v>723</v>
      </c>
      <c r="B306" s="2" t="s">
        <v>722</v>
      </c>
      <c r="C306" s="2">
        <v>19.100000000000001</v>
      </c>
      <c r="D306" s="2">
        <v>6.7</v>
      </c>
      <c r="E306" s="2">
        <v>15.9</v>
      </c>
      <c r="F306" s="2" t="str">
        <f>IFERROR(VLOOKUP(B306,Tabla2[],5,FALSE),"")</f>
        <v/>
      </c>
      <c r="G306" s="2">
        <f>SQRT(4*(Tabla1[[#This Row],[dD]]-'Find a similar substance'!$D$5)^2+('Find a similar substance'!$E$5-Tabla1[[#This Row],[dP]])^2+(Tabla1[[#This Row],[dH]]-'Find a similar substance'!$F$5)^2)</f>
        <v>12.157713600837948</v>
      </c>
    </row>
    <row r="307" spans="1:7" x14ac:dyDescent="0.25">
      <c r="A307" s="2" t="s">
        <v>725</v>
      </c>
      <c r="B307" s="2" t="s">
        <v>724</v>
      </c>
      <c r="C307" s="2">
        <v>17.399999999999999</v>
      </c>
      <c r="D307" s="2">
        <v>6.3</v>
      </c>
      <c r="E307" s="2">
        <v>6.2</v>
      </c>
      <c r="F307" s="2" t="str">
        <f>IFERROR(VLOOKUP(B307,Tabla2[],5,FALSE),"")</f>
        <v/>
      </c>
      <c r="G307" s="2">
        <f>SQRT(4*(Tabla1[[#This Row],[dD]]-'Find a similar substance'!$D$5)^2+('Find a similar substance'!$E$5-Tabla1[[#This Row],[dP]])^2+(Tabla1[[#This Row],[dH]]-'Find a similar substance'!$F$5)^2)</f>
        <v>3.1240998703626586</v>
      </c>
    </row>
    <row r="308" spans="1:7" x14ac:dyDescent="0.25">
      <c r="A308" s="2" t="s">
        <v>727</v>
      </c>
      <c r="B308" s="2" t="s">
        <v>726</v>
      </c>
      <c r="C308" s="2">
        <v>18.899999999999999</v>
      </c>
      <c r="D308" s="2">
        <v>11.2</v>
      </c>
      <c r="E308" s="2">
        <v>7</v>
      </c>
      <c r="F308" s="2" t="str">
        <f>IFERROR(VLOOKUP(B308,Tabla2[],5,FALSE),"")</f>
        <v/>
      </c>
      <c r="G308" s="2">
        <f>SQRT(4*(Tabla1[[#This Row],[dD]]-'Find a similar substance'!$D$5)^2+('Find a similar substance'!$E$5-Tabla1[[#This Row],[dP]])^2+(Tabla1[[#This Row],[dH]]-'Find a similar substance'!$F$5)^2)</f>
        <v>5.6044625076808163</v>
      </c>
    </row>
    <row r="309" spans="1:7" x14ac:dyDescent="0.25">
      <c r="A309" s="2" t="s">
        <v>729</v>
      </c>
      <c r="B309" s="2" t="s">
        <v>728</v>
      </c>
      <c r="C309" s="2">
        <v>19.399999999999999</v>
      </c>
      <c r="D309" s="2">
        <v>16.7</v>
      </c>
      <c r="E309" s="2">
        <v>5.4</v>
      </c>
      <c r="F309" s="2" t="str">
        <f>IFERROR(VLOOKUP(B309,Tabla2[],5,FALSE),"")</f>
        <v/>
      </c>
      <c r="G309" s="2">
        <f>SQRT(4*(Tabla1[[#This Row],[dD]]-'Find a similar substance'!$D$5)^2+('Find a similar substance'!$E$5-Tabla1[[#This Row],[dP]])^2+(Tabla1[[#This Row],[dH]]-'Find a similar substance'!$F$5)^2)</f>
        <v>9.7734333782964899</v>
      </c>
    </row>
    <row r="310" spans="1:7" x14ac:dyDescent="0.25">
      <c r="A310" s="2" t="s">
        <v>731</v>
      </c>
      <c r="B310" s="2" t="s">
        <v>730</v>
      </c>
      <c r="C310" s="2">
        <v>17.2</v>
      </c>
      <c r="D310" s="2">
        <v>6.3</v>
      </c>
      <c r="E310" s="2">
        <v>12.5</v>
      </c>
      <c r="F310" s="2" t="str">
        <f>IFERROR(VLOOKUP(B310,Tabla2[],5,FALSE),"")</f>
        <v/>
      </c>
      <c r="G310" s="2">
        <f>SQRT(4*(Tabla1[[#This Row],[dD]]-'Find a similar substance'!$D$5)^2+('Find a similar substance'!$E$5-Tabla1[[#This Row],[dP]])^2+(Tabla1[[#This Row],[dH]]-'Find a similar substance'!$F$5)^2)</f>
        <v>7.9655508284110512</v>
      </c>
    </row>
    <row r="311" spans="1:7" x14ac:dyDescent="0.25">
      <c r="A311" s="2" t="s">
        <v>733</v>
      </c>
      <c r="B311" s="2" t="s">
        <v>732</v>
      </c>
      <c r="C311" s="2">
        <v>20</v>
      </c>
      <c r="D311" s="2">
        <v>14.5</v>
      </c>
      <c r="E311" s="2">
        <v>14.2</v>
      </c>
      <c r="F311" s="2" t="str">
        <f>IFERROR(VLOOKUP(B311,Tabla2[],5,FALSE),"")</f>
        <v/>
      </c>
      <c r="G311" s="2">
        <f>SQRT(4*(Tabla1[[#This Row],[dD]]-'Find a similar substance'!$D$5)^2+('Find a similar substance'!$E$5-Tabla1[[#This Row],[dP]])^2+(Tabla1[[#This Row],[dH]]-'Find a similar substance'!$F$5)^2)</f>
        <v>12.826534995859168</v>
      </c>
    </row>
    <row r="312" spans="1:7" x14ac:dyDescent="0.25">
      <c r="A312" s="2" t="s">
        <v>735</v>
      </c>
      <c r="B312" s="2" t="s">
        <v>734</v>
      </c>
      <c r="C312" s="2">
        <v>15.5</v>
      </c>
      <c r="D312" s="2">
        <v>8.1</v>
      </c>
      <c r="E312" s="2">
        <v>6.8</v>
      </c>
      <c r="F312" s="2" t="str">
        <f>IFERROR(VLOOKUP(B312,Tabla2[],5,FALSE),"")</f>
        <v/>
      </c>
      <c r="G312" s="2">
        <f>SQRT(4*(Tabla1[[#This Row],[dD]]-'Find a similar substance'!$D$5)^2+('Find a similar substance'!$E$5-Tabla1[[#This Row],[dP]])^2+(Tabla1[[#This Row],[dH]]-'Find a similar substance'!$F$5)^2)</f>
        <v>2.9051678092667919</v>
      </c>
    </row>
    <row r="313" spans="1:7" x14ac:dyDescent="0.25">
      <c r="A313" s="2" t="s">
        <v>737</v>
      </c>
      <c r="B313" s="2" t="s">
        <v>736</v>
      </c>
      <c r="C313" s="2">
        <v>18.100000000000001</v>
      </c>
      <c r="D313" s="2">
        <v>7.2</v>
      </c>
      <c r="E313" s="2">
        <v>6.8</v>
      </c>
      <c r="F313" s="2" t="str">
        <f>IFERROR(VLOOKUP(B313,Tabla2[],5,FALSE),"")</f>
        <v/>
      </c>
      <c r="G313" s="2">
        <f>SQRT(4*(Tabla1[[#This Row],[dD]]-'Find a similar substance'!$D$5)^2+('Find a similar substance'!$E$5-Tabla1[[#This Row],[dP]])^2+(Tabla1[[#This Row],[dH]]-'Find a similar substance'!$F$5)^2)</f>
        <v>3.8065732621348554</v>
      </c>
    </row>
    <row r="314" spans="1:7" x14ac:dyDescent="0.25">
      <c r="A314" s="2" t="s">
        <v>739</v>
      </c>
      <c r="B314" s="2" t="s">
        <v>738</v>
      </c>
      <c r="C314" s="2">
        <v>19.5</v>
      </c>
      <c r="D314" s="2">
        <v>8.8000000000000007</v>
      </c>
      <c r="E314" s="2">
        <v>17.899999999999999</v>
      </c>
      <c r="F314" s="2" t="str">
        <f>IFERROR(VLOOKUP(B314,Tabla2[],5,FALSE),"")</f>
        <v/>
      </c>
      <c r="G314" s="2">
        <f>SQRT(4*(Tabla1[[#This Row],[dD]]-'Find a similar substance'!$D$5)^2+('Find a similar substance'!$E$5-Tabla1[[#This Row],[dP]])^2+(Tabla1[[#This Row],[dH]]-'Find a similar substance'!$F$5)^2)</f>
        <v>14.144256784999342</v>
      </c>
    </row>
    <row r="315" spans="1:7" x14ac:dyDescent="0.25">
      <c r="A315" s="2">
        <v>1055767</v>
      </c>
      <c r="B315" s="2" t="s">
        <v>740</v>
      </c>
      <c r="C315" s="2">
        <v>19.5</v>
      </c>
      <c r="D315" s="2">
        <v>8.1</v>
      </c>
      <c r="E315" s="2">
        <v>17.7</v>
      </c>
      <c r="F315" s="2" t="str">
        <f>IFERROR(VLOOKUP(B315,Tabla2[],5,FALSE),"")</f>
        <v/>
      </c>
      <c r="G315" s="2">
        <f>SQRT(4*(Tabla1[[#This Row],[dD]]-'Find a similar substance'!$D$5)^2+('Find a similar substance'!$E$5-Tabla1[[#This Row],[dP]])^2+(Tabla1[[#This Row],[dH]]-'Find a similar substance'!$F$5)^2)</f>
        <v>13.974619851716897</v>
      </c>
    </row>
    <row r="316" spans="1:7" x14ac:dyDescent="0.25">
      <c r="A316" s="2" t="s">
        <v>633</v>
      </c>
      <c r="B316" s="2" t="s">
        <v>741</v>
      </c>
      <c r="C316" s="2">
        <v>19.5</v>
      </c>
      <c r="D316" s="2">
        <v>9.3000000000000007</v>
      </c>
      <c r="E316" s="2">
        <v>7.8</v>
      </c>
      <c r="F316" s="2" t="str">
        <f>IFERROR(VLOOKUP(B316,Tabla2[],5,FALSE),"")</f>
        <v/>
      </c>
      <c r="G316" s="2">
        <f>SQRT(4*(Tabla1[[#This Row],[dD]]-'Find a similar substance'!$D$5)^2+('Find a similar substance'!$E$5-Tabla1[[#This Row],[dP]])^2+(Tabla1[[#This Row],[dH]]-'Find a similar substance'!$F$5)^2)</f>
        <v>6.4683846515184884</v>
      </c>
    </row>
    <row r="317" spans="1:7" x14ac:dyDescent="0.25">
      <c r="A317" s="2" t="s">
        <v>633</v>
      </c>
      <c r="B317" s="2" t="s">
        <v>742</v>
      </c>
      <c r="C317" s="2">
        <v>19.5</v>
      </c>
      <c r="D317" s="2">
        <v>8.3000000000000007</v>
      </c>
      <c r="E317" s="2">
        <v>10.6</v>
      </c>
      <c r="F317" s="2" t="str">
        <f>IFERROR(VLOOKUP(B317,Tabla2[],5,FALSE),"")</f>
        <v/>
      </c>
      <c r="G317" s="2">
        <f>SQRT(4*(Tabla1[[#This Row],[dD]]-'Find a similar substance'!$D$5)^2+('Find a similar substance'!$E$5-Tabla1[[#This Row],[dP]])^2+(Tabla1[[#This Row],[dH]]-'Find a similar substance'!$F$5)^2)</f>
        <v>8.0721744282442227</v>
      </c>
    </row>
    <row r="318" spans="1:7" x14ac:dyDescent="0.25">
      <c r="A318" s="2" t="s">
        <v>744</v>
      </c>
      <c r="B318" s="2" t="s">
        <v>743</v>
      </c>
      <c r="C318" s="2">
        <v>20</v>
      </c>
      <c r="D318" s="2">
        <v>6</v>
      </c>
      <c r="E318" s="2">
        <v>4.9000000000000004</v>
      </c>
      <c r="F318" s="2" t="str">
        <f>IFERROR(VLOOKUP(B318,Tabla2[],5,FALSE),"")</f>
        <v/>
      </c>
      <c r="G318" s="2">
        <f>SQRT(4*(Tabla1[[#This Row],[dD]]-'Find a similar substance'!$D$5)^2+('Find a similar substance'!$E$5-Tabla1[[#This Row],[dP]])^2+(Tabla1[[#This Row],[dH]]-'Find a similar substance'!$F$5)^2)</f>
        <v>7.3171032519706838</v>
      </c>
    </row>
    <row r="319" spans="1:7" x14ac:dyDescent="0.25">
      <c r="A319" s="2" t="s">
        <v>746</v>
      </c>
      <c r="B319" s="2" t="s">
        <v>745</v>
      </c>
      <c r="C319" s="2">
        <v>20.3</v>
      </c>
      <c r="D319" s="2">
        <v>9.6</v>
      </c>
      <c r="E319" s="2">
        <v>3.8</v>
      </c>
      <c r="F319" s="2" t="str">
        <f>IFERROR(VLOOKUP(B319,Tabla2[],5,FALSE),"")</f>
        <v/>
      </c>
      <c r="G319" s="2">
        <f>SQRT(4*(Tabla1[[#This Row],[dD]]-'Find a similar substance'!$D$5)^2+('Find a similar substance'!$E$5-Tabla1[[#This Row],[dP]])^2+(Tabla1[[#This Row],[dH]]-'Find a similar substance'!$F$5)^2)</f>
        <v>7.5504966724050657</v>
      </c>
    </row>
    <row r="320" spans="1:7" x14ac:dyDescent="0.25">
      <c r="A320" s="2" t="s">
        <v>748</v>
      </c>
      <c r="B320" s="2" t="s">
        <v>747</v>
      </c>
      <c r="C320" s="2">
        <v>20.3</v>
      </c>
      <c r="D320" s="2">
        <v>7.6</v>
      </c>
      <c r="E320" s="2">
        <v>4.8</v>
      </c>
      <c r="F320" s="2" t="str">
        <f>IFERROR(VLOOKUP(B320,Tabla2[],5,FALSE),"")</f>
        <v/>
      </c>
      <c r="G320" s="2">
        <f>SQRT(4*(Tabla1[[#This Row],[dD]]-'Find a similar substance'!$D$5)^2+('Find a similar substance'!$E$5-Tabla1[[#This Row],[dP]])^2+(Tabla1[[#This Row],[dH]]-'Find a similar substance'!$F$5)^2)</f>
        <v>7.4839828968270616</v>
      </c>
    </row>
    <row r="321" spans="1:7" x14ac:dyDescent="0.25">
      <c r="A321" s="2" t="s">
        <v>750</v>
      </c>
      <c r="B321" s="2" t="s">
        <v>749</v>
      </c>
      <c r="C321" s="2">
        <v>20.3</v>
      </c>
      <c r="D321" s="2">
        <v>17.100000000000001</v>
      </c>
      <c r="E321" s="2">
        <v>4.8</v>
      </c>
      <c r="F321" s="2" t="str">
        <f>IFERROR(VLOOKUP(B321,Tabla2[],5,FALSE),"")</f>
        <v/>
      </c>
      <c r="G321" s="2">
        <f>SQRT(4*(Tabla1[[#This Row],[dD]]-'Find a similar substance'!$D$5)^2+('Find a similar substance'!$E$5-Tabla1[[#This Row],[dP]])^2+(Tabla1[[#This Row],[dH]]-'Find a similar substance'!$F$5)^2)</f>
        <v>11.196428001822724</v>
      </c>
    </row>
    <row r="322" spans="1:7" x14ac:dyDescent="0.25">
      <c r="A322" s="2" t="s">
        <v>752</v>
      </c>
      <c r="B322" s="2" t="s">
        <v>751</v>
      </c>
      <c r="C322" s="2">
        <v>18.5</v>
      </c>
      <c r="D322" s="2">
        <v>2.4</v>
      </c>
      <c r="E322" s="2">
        <v>2.4</v>
      </c>
      <c r="F322" s="2" t="str">
        <f>IFERROR(VLOOKUP(B322,Tabla2[],5,FALSE),"")</f>
        <v/>
      </c>
      <c r="G322" s="2">
        <f>SQRT(4*(Tabla1[[#This Row],[dD]]-'Find a similar substance'!$D$5)^2+('Find a similar substance'!$E$5-Tabla1[[#This Row],[dP]])^2+(Tabla1[[#This Row],[dH]]-'Find a similar substance'!$F$5)^2)</f>
        <v>7.8032044699597582</v>
      </c>
    </row>
    <row r="323" spans="1:7" x14ac:dyDescent="0.25">
      <c r="A323" s="2" t="s">
        <v>754</v>
      </c>
      <c r="B323" s="2" t="s">
        <v>753</v>
      </c>
      <c r="C323" s="2">
        <v>14.7</v>
      </c>
      <c r="D323" s="2">
        <v>12.5</v>
      </c>
      <c r="E323" s="2">
        <v>7.9</v>
      </c>
      <c r="F323" s="2" t="str">
        <f>IFERROR(VLOOKUP(B323,Tabla2[],5,FALSE),"")</f>
        <v/>
      </c>
      <c r="G323" s="2">
        <f>SQRT(4*(Tabla1[[#This Row],[dD]]-'Find a similar substance'!$D$5)^2+('Find a similar substance'!$E$5-Tabla1[[#This Row],[dP]])^2+(Tabla1[[#This Row],[dH]]-'Find a similar substance'!$F$5)^2)</f>
        <v>6.106553856308814</v>
      </c>
    </row>
    <row r="324" spans="1:7" x14ac:dyDescent="0.25">
      <c r="A324" s="2" t="s">
        <v>756</v>
      </c>
      <c r="B324" s="2" t="s">
        <v>755</v>
      </c>
      <c r="C324" s="2">
        <v>16.3</v>
      </c>
      <c r="D324" s="2">
        <v>4</v>
      </c>
      <c r="E324" s="2">
        <v>20.2</v>
      </c>
      <c r="F324" s="2" t="str">
        <f>IFERROR(VLOOKUP(B324,Tabla2[],5,FALSE),"")</f>
        <v/>
      </c>
      <c r="G324" s="2">
        <f>SQRT(4*(Tabla1[[#This Row],[dD]]-'Find a similar substance'!$D$5)^2+('Find a similar substance'!$E$5-Tabla1[[#This Row],[dP]])^2+(Tabla1[[#This Row],[dH]]-'Find a similar substance'!$F$5)^2)</f>
        <v>15.921369287847073</v>
      </c>
    </row>
    <row r="325" spans="1:7" x14ac:dyDescent="0.25">
      <c r="A325" s="2" t="s">
        <v>758</v>
      </c>
      <c r="B325" s="2" t="s">
        <v>757</v>
      </c>
      <c r="C325" s="2">
        <v>17.3</v>
      </c>
      <c r="D325" s="2">
        <v>18.7</v>
      </c>
      <c r="E325" s="2">
        <v>19.3</v>
      </c>
      <c r="F325" s="2" t="str">
        <f>IFERROR(VLOOKUP(B325,Tabla2[],5,FALSE),"")</f>
        <v/>
      </c>
      <c r="G325" s="2">
        <f>SQRT(4*(Tabla1[[#This Row],[dD]]-'Find a similar substance'!$D$5)^2+('Find a similar substance'!$E$5-Tabla1[[#This Row],[dP]])^2+(Tabla1[[#This Row],[dH]]-'Find a similar substance'!$F$5)^2)</f>
        <v>17.505713353074189</v>
      </c>
    </row>
    <row r="326" spans="1:7" x14ac:dyDescent="0.25">
      <c r="A326" s="2" t="s">
        <v>760</v>
      </c>
      <c r="B326" s="2" t="s">
        <v>759</v>
      </c>
      <c r="C326" s="2">
        <v>20.6</v>
      </c>
      <c r="D326" s="2">
        <v>14.4</v>
      </c>
      <c r="E326" s="2">
        <v>13.5</v>
      </c>
      <c r="F326" s="2" t="str">
        <f>IFERROR(VLOOKUP(B326,Tabla2[],5,FALSE),"")</f>
        <v/>
      </c>
      <c r="G326" s="2">
        <f>SQRT(4*(Tabla1[[#This Row],[dD]]-'Find a similar substance'!$D$5)^2+('Find a similar substance'!$E$5-Tabla1[[#This Row],[dP]])^2+(Tabla1[[#This Row],[dH]]-'Find a similar substance'!$F$5)^2)</f>
        <v>12.989996150884727</v>
      </c>
    </row>
    <row r="327" spans="1:7" x14ac:dyDescent="0.25">
      <c r="A327" s="2" t="s">
        <v>762</v>
      </c>
      <c r="B327" s="2" t="s">
        <v>761</v>
      </c>
      <c r="C327" s="2">
        <v>14.5</v>
      </c>
      <c r="D327" s="2">
        <v>8</v>
      </c>
      <c r="E327" s="2">
        <v>13.5</v>
      </c>
      <c r="F327" s="2" t="str">
        <f>IFERROR(VLOOKUP(B327,Tabla2[],5,FALSE),"")</f>
        <v/>
      </c>
      <c r="G327" s="2">
        <f>SQRT(4*(Tabla1[[#This Row],[dD]]-'Find a similar substance'!$D$5)^2+('Find a similar substance'!$E$5-Tabla1[[#This Row],[dP]])^2+(Tabla1[[#This Row],[dH]]-'Find a similar substance'!$F$5)^2)</f>
        <v>9.5068396431201059</v>
      </c>
    </row>
    <row r="328" spans="1:7" x14ac:dyDescent="0.25">
      <c r="A328" s="2" t="s">
        <v>764</v>
      </c>
      <c r="B328" s="2" t="s">
        <v>763</v>
      </c>
      <c r="C328" s="2">
        <v>16</v>
      </c>
      <c r="D328" s="2">
        <v>11.7</v>
      </c>
      <c r="E328" s="2">
        <v>10.199999999999999</v>
      </c>
      <c r="F328" s="2" t="str">
        <f>IFERROR(VLOOKUP(B328,Tabla2[],5,FALSE),"")</f>
        <v/>
      </c>
      <c r="G328" s="2">
        <f>SQRT(4*(Tabla1[[#This Row],[dD]]-'Find a similar substance'!$D$5)^2+('Find a similar substance'!$E$5-Tabla1[[#This Row],[dP]])^2+(Tabla1[[#This Row],[dH]]-'Find a similar substance'!$F$5)^2)</f>
        <v>6.1220911460055865</v>
      </c>
    </row>
    <row r="329" spans="1:7" x14ac:dyDescent="0.25">
      <c r="A329" s="2" t="s">
        <v>765</v>
      </c>
      <c r="B329" s="2" t="s">
        <v>6</v>
      </c>
      <c r="C329" s="2">
        <v>15.5</v>
      </c>
      <c r="D329" s="2">
        <v>10.4</v>
      </c>
      <c r="E329" s="2">
        <v>7</v>
      </c>
      <c r="F329" s="2">
        <f>IFERROR(VLOOKUP(B329,Tabla2[],5,FALSE),"")</f>
        <v>73.8</v>
      </c>
      <c r="G329" s="2">
        <f>SQRT(4*(Tabla1[[#This Row],[dD]]-'Find a similar substance'!$D$5)^2+('Find a similar substance'!$E$5-Tabla1[[#This Row],[dP]])^2+(Tabla1[[#This Row],[dH]]-'Find a similar substance'!$F$5)^2)</f>
        <v>3.4249087579087441</v>
      </c>
    </row>
    <row r="330" spans="1:7" x14ac:dyDescent="0.25">
      <c r="A330" s="2" t="s">
        <v>767</v>
      </c>
      <c r="B330" s="2" t="s">
        <v>766</v>
      </c>
      <c r="C330" s="2">
        <v>16.600000000000001</v>
      </c>
      <c r="D330" s="2">
        <v>12.2</v>
      </c>
      <c r="E330" s="2">
        <v>15.5</v>
      </c>
      <c r="F330" s="2" t="str">
        <f>IFERROR(VLOOKUP(B330,Tabla2[],5,FALSE),"")</f>
        <v/>
      </c>
      <c r="G330" s="2">
        <f>SQRT(4*(Tabla1[[#This Row],[dD]]-'Find a similar substance'!$D$5)^2+('Find a similar substance'!$E$5-Tabla1[[#This Row],[dP]])^2+(Tabla1[[#This Row],[dH]]-'Find a similar substance'!$F$5)^2)</f>
        <v>11.067971810589327</v>
      </c>
    </row>
    <row r="331" spans="1:7" x14ac:dyDescent="0.25">
      <c r="A331" s="2" t="s">
        <v>769</v>
      </c>
      <c r="B331" s="2" t="s">
        <v>768</v>
      </c>
      <c r="C331" s="2">
        <v>14.7</v>
      </c>
      <c r="D331" s="2">
        <v>4.5999999999999996</v>
      </c>
      <c r="E331" s="2">
        <v>4.5999999999999996</v>
      </c>
      <c r="F331" s="2" t="str">
        <f>IFERROR(VLOOKUP(B331,Tabla2[],5,FALSE),"")</f>
        <v/>
      </c>
      <c r="G331" s="2">
        <f>SQRT(4*(Tabla1[[#This Row],[dD]]-'Find a similar substance'!$D$5)^2+('Find a similar substance'!$E$5-Tabla1[[#This Row],[dP]])^2+(Tabla1[[#This Row],[dH]]-'Find a similar substance'!$F$5)^2)</f>
        <v>5.6044625076808243</v>
      </c>
    </row>
    <row r="332" spans="1:7" x14ac:dyDescent="0.25">
      <c r="A332" s="2" t="s">
        <v>770</v>
      </c>
      <c r="B332" s="2" t="s">
        <v>7</v>
      </c>
      <c r="C332" s="2">
        <v>15.3</v>
      </c>
      <c r="D332" s="2">
        <v>18</v>
      </c>
      <c r="E332" s="2">
        <v>6.1</v>
      </c>
      <c r="F332" s="2">
        <f>IFERROR(VLOOKUP(B332,Tabla2[],5,FALSE),"")</f>
        <v>52.9</v>
      </c>
      <c r="G332" s="2">
        <f>SQRT(4*(Tabla1[[#This Row],[dD]]-'Find a similar substance'!$D$5)^2+('Find a similar substance'!$E$5-Tabla1[[#This Row],[dP]])^2+(Tabla1[[#This Row],[dH]]-'Find a similar substance'!$F$5)^2)</f>
        <v>9.7190534518542506</v>
      </c>
    </row>
    <row r="333" spans="1:7" x14ac:dyDescent="0.25">
      <c r="A333" s="2" t="s">
        <v>772</v>
      </c>
      <c r="B333" s="2" t="s">
        <v>771</v>
      </c>
      <c r="C333" s="2">
        <v>18.8</v>
      </c>
      <c r="D333" s="2">
        <v>9</v>
      </c>
      <c r="E333" s="2">
        <v>4</v>
      </c>
      <c r="F333" s="2" t="str">
        <f>IFERROR(VLOOKUP(B333,Tabla2[],5,FALSE),"")</f>
        <v/>
      </c>
      <c r="G333" s="2">
        <f>SQRT(4*(Tabla1[[#This Row],[dD]]-'Find a similar substance'!$D$5)^2+('Find a similar substance'!$E$5-Tabla1[[#This Row],[dP]])^2+(Tabla1[[#This Row],[dH]]-'Find a similar substance'!$F$5)^2)</f>
        <v>4.5221676218380038</v>
      </c>
    </row>
    <row r="334" spans="1:7" x14ac:dyDescent="0.25">
      <c r="A334" s="2" t="s">
        <v>774</v>
      </c>
      <c r="B334" s="2" t="s">
        <v>773</v>
      </c>
      <c r="C334" s="2">
        <v>16.3</v>
      </c>
      <c r="D334" s="2">
        <v>3.7</v>
      </c>
      <c r="E334" s="2">
        <v>10.9</v>
      </c>
      <c r="F334" s="2" t="str">
        <f>IFERROR(VLOOKUP(B334,Tabla2[],5,FALSE),"")</f>
        <v/>
      </c>
      <c r="G334" s="2">
        <f>SQRT(4*(Tabla1[[#This Row],[dD]]-'Find a similar substance'!$D$5)^2+('Find a similar substance'!$E$5-Tabla1[[#This Row],[dP]])^2+(Tabla1[[#This Row],[dH]]-'Find a similar substance'!$F$5)^2)</f>
        <v>7.7569323833587722</v>
      </c>
    </row>
    <row r="335" spans="1:7" x14ac:dyDescent="0.25">
      <c r="A335" s="2" t="s">
        <v>776</v>
      </c>
      <c r="B335" s="2" t="s">
        <v>775</v>
      </c>
      <c r="C335" s="2">
        <v>19</v>
      </c>
      <c r="D335" s="2">
        <v>6.9</v>
      </c>
      <c r="E335" s="2">
        <v>9.6999999999999993</v>
      </c>
      <c r="F335" s="2" t="str">
        <f>IFERROR(VLOOKUP(B335,Tabla2[],5,FALSE),"")</f>
        <v/>
      </c>
      <c r="G335" s="2">
        <f>SQRT(4*(Tabla1[[#This Row],[dD]]-'Find a similar substance'!$D$5)^2+('Find a similar substance'!$E$5-Tabla1[[#This Row],[dP]])^2+(Tabla1[[#This Row],[dH]]-'Find a similar substance'!$F$5)^2)</f>
        <v>6.9548544197560282</v>
      </c>
    </row>
    <row r="336" spans="1:7" x14ac:dyDescent="0.25">
      <c r="A336" s="2" t="s">
        <v>778</v>
      </c>
      <c r="B336" s="2" t="s">
        <v>777</v>
      </c>
      <c r="C336" s="2">
        <v>16.600000000000001</v>
      </c>
      <c r="D336" s="2">
        <v>3.5</v>
      </c>
      <c r="E336" s="2">
        <v>8.6</v>
      </c>
      <c r="F336" s="2" t="str">
        <f>IFERROR(VLOOKUP(B336,Tabla2[],5,FALSE),"")</f>
        <v/>
      </c>
      <c r="G336" s="2">
        <f>SQRT(4*(Tabla1[[#This Row],[dD]]-'Find a similar substance'!$D$5)^2+('Find a similar substance'!$E$5-Tabla1[[#This Row],[dP]])^2+(Tabla1[[#This Row],[dH]]-'Find a similar substance'!$F$5)^2)</f>
        <v>6.3245553203367573</v>
      </c>
    </row>
    <row r="337" spans="1:7" x14ac:dyDescent="0.25">
      <c r="A337" s="2" t="s">
        <v>780</v>
      </c>
      <c r="B337" s="2" t="s">
        <v>779</v>
      </c>
      <c r="C337" s="2">
        <v>16.100000000000001</v>
      </c>
      <c r="D337" s="2">
        <v>10</v>
      </c>
      <c r="E337" s="2">
        <v>6.2</v>
      </c>
      <c r="F337" s="2" t="str">
        <f>IFERROR(VLOOKUP(B337,Tabla2[],5,FALSE),"")</f>
        <v/>
      </c>
      <c r="G337" s="2">
        <f>SQRT(4*(Tabla1[[#This Row],[dD]]-'Find a similar substance'!$D$5)^2+('Find a similar substance'!$E$5-Tabla1[[#This Row],[dP]])^2+(Tabla1[[#This Row],[dH]]-'Find a similar substance'!$F$5)^2)</f>
        <v>2.0322401432901582</v>
      </c>
    </row>
    <row r="338" spans="1:7" x14ac:dyDescent="0.25">
      <c r="A338" s="2" t="s">
        <v>782</v>
      </c>
      <c r="B338" s="2" t="s">
        <v>781</v>
      </c>
      <c r="C338" s="2">
        <v>16.7</v>
      </c>
      <c r="D338" s="2">
        <v>10.6</v>
      </c>
      <c r="E338" s="2">
        <v>5.2</v>
      </c>
      <c r="F338" s="2" t="str">
        <f>IFERROR(VLOOKUP(B338,Tabla2[],5,FALSE),"")</f>
        <v/>
      </c>
      <c r="G338" s="2">
        <f>SQRT(4*(Tabla1[[#This Row],[dD]]-'Find a similar substance'!$D$5)^2+('Find a similar substance'!$E$5-Tabla1[[#This Row],[dP]])^2+(Tabla1[[#This Row],[dH]]-'Find a similar substance'!$F$5)^2)</f>
        <v>1.9209372712298545</v>
      </c>
    </row>
    <row r="339" spans="1:7" x14ac:dyDescent="0.25">
      <c r="A339" s="2" t="s">
        <v>784</v>
      </c>
      <c r="B339" s="2" t="s">
        <v>783</v>
      </c>
      <c r="C339" s="2">
        <v>16.2</v>
      </c>
      <c r="D339" s="2">
        <v>11.2</v>
      </c>
      <c r="E339" s="2">
        <v>5.8</v>
      </c>
      <c r="F339" s="2" t="str">
        <f>IFERROR(VLOOKUP(B339,Tabla2[],5,FALSE),"")</f>
        <v/>
      </c>
      <c r="G339" s="2">
        <f>SQRT(4*(Tabla1[[#This Row],[dD]]-'Find a similar substance'!$D$5)^2+('Find a similar substance'!$E$5-Tabla1[[#This Row],[dP]])^2+(Tabla1[[#This Row],[dH]]-'Find a similar substance'!$F$5)^2)</f>
        <v>2.74408454680245</v>
      </c>
    </row>
    <row r="340" spans="1:7" x14ac:dyDescent="0.25">
      <c r="A340" s="2" t="s">
        <v>786</v>
      </c>
      <c r="B340" s="2" t="s">
        <v>785</v>
      </c>
      <c r="C340" s="2">
        <v>14.4</v>
      </c>
      <c r="D340" s="2">
        <v>4.2</v>
      </c>
      <c r="E340" s="2">
        <v>11.9</v>
      </c>
      <c r="F340" s="2" t="str">
        <f>IFERROR(VLOOKUP(B340,Tabla2[],5,FALSE),"")</f>
        <v/>
      </c>
      <c r="G340" s="2">
        <f>SQRT(4*(Tabla1[[#This Row],[dD]]-'Find a similar substance'!$D$5)^2+('Find a similar substance'!$E$5-Tabla1[[#This Row],[dP]])^2+(Tabla1[[#This Row],[dH]]-'Find a similar substance'!$F$5)^2)</f>
        <v>9.339164844888435</v>
      </c>
    </row>
    <row r="341" spans="1:7" x14ac:dyDescent="0.25">
      <c r="A341" s="2" t="s">
        <v>788</v>
      </c>
      <c r="B341" s="2" t="s">
        <v>787</v>
      </c>
      <c r="C341" s="2">
        <v>14.7</v>
      </c>
      <c r="D341" s="2">
        <v>14</v>
      </c>
      <c r="E341" s="2">
        <v>5.7</v>
      </c>
      <c r="F341" s="2" t="str">
        <f>IFERROR(VLOOKUP(B341,Tabla2[],5,FALSE),"")</f>
        <v/>
      </c>
      <c r="G341" s="2">
        <f>SQRT(4*(Tabla1[[#This Row],[dD]]-'Find a similar substance'!$D$5)^2+('Find a similar substance'!$E$5-Tabla1[[#This Row],[dP]])^2+(Tabla1[[#This Row],[dH]]-'Find a similar substance'!$F$5)^2)</f>
        <v>6.5589633327226373</v>
      </c>
    </row>
    <row r="342" spans="1:7" x14ac:dyDescent="0.25">
      <c r="A342" s="2" t="s">
        <v>790</v>
      </c>
      <c r="B342" s="2" t="s">
        <v>789</v>
      </c>
      <c r="C342" s="2">
        <v>20</v>
      </c>
      <c r="D342" s="2">
        <v>5.9</v>
      </c>
      <c r="E342" s="2">
        <v>2</v>
      </c>
      <c r="F342" s="2" t="str">
        <f>IFERROR(VLOOKUP(B342,Tabla2[],5,FALSE),"")</f>
        <v/>
      </c>
      <c r="G342" s="2">
        <f>SQRT(4*(Tabla1[[#This Row],[dD]]-'Find a similar substance'!$D$5)^2+('Find a similar substance'!$E$5-Tabla1[[#This Row],[dP]])^2+(Tabla1[[#This Row],[dH]]-'Find a similar substance'!$F$5)^2)</f>
        <v>7.9422918606659092</v>
      </c>
    </row>
    <row r="343" spans="1:7" x14ac:dyDescent="0.25">
      <c r="A343" s="2" t="s">
        <v>792</v>
      </c>
      <c r="B343" s="2" t="s">
        <v>791</v>
      </c>
      <c r="C343" s="2">
        <v>15.5</v>
      </c>
      <c r="D343" s="2">
        <v>10</v>
      </c>
      <c r="E343" s="2">
        <v>8.6</v>
      </c>
      <c r="F343" s="2" t="str">
        <f>IFERROR(VLOOKUP(B343,Tabla2[],5,FALSE),"")</f>
        <v/>
      </c>
      <c r="G343" s="2">
        <f>SQRT(4*(Tabla1[[#This Row],[dD]]-'Find a similar substance'!$D$5)^2+('Find a similar substance'!$E$5-Tabla1[[#This Row],[dP]])^2+(Tabla1[[#This Row],[dH]]-'Find a similar substance'!$F$5)^2)</f>
        <v>4.4147480109288244</v>
      </c>
    </row>
    <row r="344" spans="1:7" x14ac:dyDescent="0.25">
      <c r="A344" s="2" t="s">
        <v>794</v>
      </c>
      <c r="B344" s="2" t="s">
        <v>793</v>
      </c>
      <c r="C344" s="2">
        <v>15.8</v>
      </c>
      <c r="D344" s="2">
        <v>12.1</v>
      </c>
      <c r="E344" s="2">
        <v>12.8</v>
      </c>
      <c r="F344" s="2" t="str">
        <f>IFERROR(VLOOKUP(B344,Tabla2[],5,FALSE),"")</f>
        <v/>
      </c>
      <c r="G344" s="2">
        <f>SQRT(4*(Tabla1[[#This Row],[dD]]-'Find a similar substance'!$D$5)^2+('Find a similar substance'!$E$5-Tabla1[[#This Row],[dP]])^2+(Tabla1[[#This Row],[dH]]-'Find a similar substance'!$F$5)^2)</f>
        <v>8.6579443287653461</v>
      </c>
    </row>
    <row r="345" spans="1:7" x14ac:dyDescent="0.25">
      <c r="A345" s="2" t="s">
        <v>796</v>
      </c>
      <c r="B345" s="2" t="s">
        <v>795</v>
      </c>
      <c r="C345" s="2">
        <v>16.600000000000001</v>
      </c>
      <c r="D345" s="2">
        <v>6.4</v>
      </c>
      <c r="E345" s="2">
        <v>10</v>
      </c>
      <c r="F345" s="2" t="str">
        <f>IFERROR(VLOOKUP(B345,Tabla2[],5,FALSE),"")</f>
        <v/>
      </c>
      <c r="G345" s="2">
        <f>SQRT(4*(Tabla1[[#This Row],[dD]]-'Find a similar substance'!$D$5)^2+('Find a similar substance'!$E$5-Tabla1[[#This Row],[dP]])^2+(Tabla1[[#This Row],[dH]]-'Find a similar substance'!$F$5)^2)</f>
        <v>5.5036351623268045</v>
      </c>
    </row>
    <row r="346" spans="1:7" x14ac:dyDescent="0.25">
      <c r="A346" s="2" t="s">
        <v>798</v>
      </c>
      <c r="B346" s="2" t="s">
        <v>797</v>
      </c>
      <c r="C346" s="2">
        <v>16</v>
      </c>
      <c r="D346" s="2">
        <v>12.8</v>
      </c>
      <c r="E346" s="2">
        <v>6.8</v>
      </c>
      <c r="F346" s="2" t="str">
        <f>IFERROR(VLOOKUP(B346,Tabla2[],5,FALSE),"")</f>
        <v/>
      </c>
      <c r="G346" s="2">
        <f>SQRT(4*(Tabla1[[#This Row],[dD]]-'Find a similar substance'!$D$5)^2+('Find a similar substance'!$E$5-Tabla1[[#This Row],[dP]])^2+(Tabla1[[#This Row],[dH]]-'Find a similar substance'!$F$5)^2)</f>
        <v>4.6357307945997057</v>
      </c>
    </row>
    <row r="347" spans="1:7" x14ac:dyDescent="0.25">
      <c r="A347" s="2" t="s">
        <v>800</v>
      </c>
      <c r="B347" s="2" t="s">
        <v>799</v>
      </c>
      <c r="C347" s="2">
        <v>16.2</v>
      </c>
      <c r="D347" s="2">
        <v>11.6</v>
      </c>
      <c r="E347" s="2">
        <v>5.4</v>
      </c>
      <c r="F347" s="2" t="str">
        <f>IFERROR(VLOOKUP(B347,Tabla2[],5,FALSE),"")</f>
        <v/>
      </c>
      <c r="G347" s="2">
        <f>SQRT(4*(Tabla1[[#This Row],[dD]]-'Find a similar substance'!$D$5)^2+('Find a similar substance'!$E$5-Tabla1[[#This Row],[dP]])^2+(Tabla1[[#This Row],[dH]]-'Find a similar substance'!$F$5)^2)</f>
        <v>3.0347981810987048</v>
      </c>
    </row>
    <row r="348" spans="1:7" x14ac:dyDescent="0.25">
      <c r="A348" s="2" t="s">
        <v>802</v>
      </c>
      <c r="B348" s="2" t="s">
        <v>801</v>
      </c>
      <c r="C348" s="2">
        <v>20</v>
      </c>
      <c r="D348" s="2">
        <v>16</v>
      </c>
      <c r="E348" s="2">
        <v>14.9</v>
      </c>
      <c r="F348" s="2" t="str">
        <f>IFERROR(VLOOKUP(B348,Tabla2[],5,FALSE),"")</f>
        <v/>
      </c>
      <c r="G348" s="2">
        <f>SQRT(4*(Tabla1[[#This Row],[dD]]-'Find a similar substance'!$D$5)^2+('Find a similar substance'!$E$5-Tabla1[[#This Row],[dP]])^2+(Tabla1[[#This Row],[dH]]-'Find a similar substance'!$F$5)^2)</f>
        <v>14.054892386638894</v>
      </c>
    </row>
    <row r="349" spans="1:7" x14ac:dyDescent="0.25">
      <c r="A349" s="2" t="s">
        <v>804</v>
      </c>
      <c r="B349" s="2" t="s">
        <v>803</v>
      </c>
      <c r="C349" s="2">
        <v>17.100000000000001</v>
      </c>
      <c r="D349" s="2">
        <v>10</v>
      </c>
      <c r="E349" s="2">
        <v>16.3</v>
      </c>
      <c r="F349" s="2" t="str">
        <f>IFERROR(VLOOKUP(B349,Tabla2[],5,FALSE),"")</f>
        <v/>
      </c>
      <c r="G349" s="2">
        <f>SQRT(4*(Tabla1[[#This Row],[dD]]-'Find a similar substance'!$D$5)^2+('Find a similar substance'!$E$5-Tabla1[[#This Row],[dP]])^2+(Tabla1[[#This Row],[dH]]-'Find a similar substance'!$F$5)^2)</f>
        <v>11.418406193510547</v>
      </c>
    </row>
    <row r="350" spans="1:7" x14ac:dyDescent="0.25">
      <c r="A350" s="2" t="s">
        <v>806</v>
      </c>
      <c r="B350" s="2" t="s">
        <v>805</v>
      </c>
      <c r="C350" s="2">
        <v>18</v>
      </c>
      <c r="D350" s="2">
        <v>12</v>
      </c>
      <c r="E350" s="2">
        <v>36</v>
      </c>
      <c r="F350" s="2" t="str">
        <f>IFERROR(VLOOKUP(B350,Tabla2[],5,FALSE),"")</f>
        <v/>
      </c>
      <c r="G350" s="2">
        <f>SQRT(4*(Tabla1[[#This Row],[dD]]-'Find a similar substance'!$D$5)^2+('Find a similar substance'!$E$5-Tabla1[[#This Row],[dP]])^2+(Tabla1[[#This Row],[dH]]-'Find a similar substance'!$F$5)^2)</f>
        <v>31.300638971113674</v>
      </c>
    </row>
    <row r="351" spans="1:7" x14ac:dyDescent="0.25">
      <c r="A351" s="2" t="s">
        <v>808</v>
      </c>
      <c r="B351" s="2" t="s">
        <v>807</v>
      </c>
      <c r="C351" s="2">
        <v>20.5</v>
      </c>
      <c r="D351" s="2">
        <v>8.6999999999999993</v>
      </c>
      <c r="E351" s="2">
        <v>19.899999999999999</v>
      </c>
      <c r="F351" s="2" t="str">
        <f>IFERROR(VLOOKUP(B351,Tabla2[],5,FALSE),"")</f>
        <v/>
      </c>
      <c r="G351" s="2">
        <f>SQRT(4*(Tabla1[[#This Row],[dD]]-'Find a similar substance'!$D$5)^2+('Find a similar substance'!$E$5-Tabla1[[#This Row],[dP]])^2+(Tabla1[[#This Row],[dH]]-'Find a similar substance'!$F$5)^2)</f>
        <v>16.818144963104579</v>
      </c>
    </row>
    <row r="352" spans="1:7" x14ac:dyDescent="0.25">
      <c r="A352" s="2" t="s">
        <v>810</v>
      </c>
      <c r="B352" s="2" t="s">
        <v>809</v>
      </c>
      <c r="C352" s="2">
        <v>15.7</v>
      </c>
      <c r="D352" s="2">
        <v>4.5</v>
      </c>
      <c r="E352" s="2">
        <v>8</v>
      </c>
      <c r="F352" s="2" t="str">
        <f>IFERROR(VLOOKUP(B352,Tabla2[],5,FALSE),"")</f>
        <v/>
      </c>
      <c r="G352" s="2">
        <f>SQRT(4*(Tabla1[[#This Row],[dD]]-'Find a similar substance'!$D$5)^2+('Find a similar substance'!$E$5-Tabla1[[#This Row],[dP]])^2+(Tabla1[[#This Row],[dH]]-'Find a similar substance'!$F$5)^2)</f>
        <v>5.4662601474865804</v>
      </c>
    </row>
    <row r="353" spans="1:7" x14ac:dyDescent="0.25">
      <c r="A353" s="2" t="s">
        <v>812</v>
      </c>
      <c r="B353" s="2" t="s">
        <v>811</v>
      </c>
      <c r="C353" s="2">
        <v>16.7</v>
      </c>
      <c r="D353" s="2">
        <v>4.7</v>
      </c>
      <c r="E353" s="2">
        <v>11.3</v>
      </c>
      <c r="F353" s="2" t="str">
        <f>IFERROR(VLOOKUP(B353,Tabla2[],5,FALSE),"")</f>
        <v/>
      </c>
      <c r="G353" s="2">
        <f>SQRT(4*(Tabla1[[#This Row],[dD]]-'Find a similar substance'!$D$5)^2+('Find a similar substance'!$E$5-Tabla1[[#This Row],[dP]])^2+(Tabla1[[#This Row],[dH]]-'Find a similar substance'!$F$5)^2)</f>
        <v>7.4652528423356168</v>
      </c>
    </row>
    <row r="354" spans="1:7" x14ac:dyDescent="0.25">
      <c r="A354" s="2" t="s">
        <v>814</v>
      </c>
      <c r="B354" s="2" t="s">
        <v>813</v>
      </c>
      <c r="C354" s="2">
        <v>15.9</v>
      </c>
      <c r="D354" s="2">
        <v>6.9</v>
      </c>
      <c r="E354" s="2">
        <v>8.6</v>
      </c>
      <c r="F354" s="2" t="str">
        <f>IFERROR(VLOOKUP(B354,Tabla2[],5,FALSE),"")</f>
        <v/>
      </c>
      <c r="G354" s="2">
        <f>SQRT(4*(Tabla1[[#This Row],[dD]]-'Find a similar substance'!$D$5)^2+('Find a similar substance'!$E$5-Tabla1[[#This Row],[dP]])^2+(Tabla1[[#This Row],[dH]]-'Find a similar substance'!$F$5)^2)</f>
        <v>4.2614551505325036</v>
      </c>
    </row>
    <row r="355" spans="1:7" x14ac:dyDescent="0.25">
      <c r="A355" s="2" t="s">
        <v>816</v>
      </c>
      <c r="B355" s="2" t="s">
        <v>815</v>
      </c>
      <c r="C355" s="2">
        <v>16.2</v>
      </c>
      <c r="D355" s="2">
        <v>10.8</v>
      </c>
      <c r="E355" s="2">
        <v>16.8</v>
      </c>
      <c r="F355" s="2" t="str">
        <f>IFERROR(VLOOKUP(B355,Tabla2[],5,FALSE),"")</f>
        <v/>
      </c>
      <c r="G355" s="2">
        <f>SQRT(4*(Tabla1[[#This Row],[dD]]-'Find a similar substance'!$D$5)^2+('Find a similar substance'!$E$5-Tabla1[[#This Row],[dP]])^2+(Tabla1[[#This Row],[dH]]-'Find a similar substance'!$F$5)^2)</f>
        <v>12.012077255828819</v>
      </c>
    </row>
    <row r="356" spans="1:7" x14ac:dyDescent="0.25">
      <c r="A356" s="2" t="s">
        <v>818</v>
      </c>
      <c r="B356" s="2" t="s">
        <v>817</v>
      </c>
      <c r="C356" s="2">
        <v>15.5</v>
      </c>
      <c r="D356" s="2">
        <v>5.7</v>
      </c>
      <c r="E356" s="2">
        <v>10.6</v>
      </c>
      <c r="F356" s="2" t="str">
        <f>IFERROR(VLOOKUP(B356,Tabla2[],5,FALSE),"")</f>
        <v/>
      </c>
      <c r="G356" s="2">
        <f>SQRT(4*(Tabla1[[#This Row],[dD]]-'Find a similar substance'!$D$5)^2+('Find a similar substance'!$E$5-Tabla1[[#This Row],[dP]])^2+(Tabla1[[#This Row],[dH]]-'Find a similar substance'!$F$5)^2)</f>
        <v>6.7230945255886443</v>
      </c>
    </row>
    <row r="357" spans="1:7" x14ac:dyDescent="0.25">
      <c r="A357" s="2" t="s">
        <v>820</v>
      </c>
      <c r="B357" s="2" t="s">
        <v>819</v>
      </c>
      <c r="C357" s="2">
        <v>16.5</v>
      </c>
      <c r="D357" s="2">
        <v>7.3</v>
      </c>
      <c r="E357" s="2">
        <v>4.9000000000000004</v>
      </c>
      <c r="F357" s="2" t="str">
        <f>IFERROR(VLOOKUP(B357,Tabla2[],5,FALSE),"")</f>
        <v/>
      </c>
      <c r="G357" s="2">
        <f>SQRT(4*(Tabla1[[#This Row],[dD]]-'Find a similar substance'!$D$5)^2+('Find a similar substance'!$E$5-Tabla1[[#This Row],[dP]])^2+(Tabla1[[#This Row],[dH]]-'Find a similar substance'!$F$5)^2)</f>
        <v>1.4177446878757822</v>
      </c>
    </row>
    <row r="358" spans="1:7" x14ac:dyDescent="0.25">
      <c r="A358" s="2" t="s">
        <v>822</v>
      </c>
      <c r="B358" s="2" t="s">
        <v>821</v>
      </c>
      <c r="C358" s="2">
        <v>17</v>
      </c>
      <c r="D358" s="2">
        <v>6.2</v>
      </c>
      <c r="E358" s="2">
        <v>2.2999999999999998</v>
      </c>
      <c r="F358" s="2" t="str">
        <f>IFERROR(VLOOKUP(B358,Tabla2[],5,FALSE),"")</f>
        <v/>
      </c>
      <c r="G358" s="2">
        <f>SQRT(4*(Tabla1[[#This Row],[dD]]-'Find a similar substance'!$D$5)^2+('Find a similar substance'!$E$5-Tabla1[[#This Row],[dP]])^2+(Tabla1[[#This Row],[dH]]-'Find a similar substance'!$F$5)^2)</f>
        <v>3.7656340767525451</v>
      </c>
    </row>
    <row r="359" spans="1:7" x14ac:dyDescent="0.25">
      <c r="A359" s="2" t="s">
        <v>631</v>
      </c>
      <c r="B359" s="2" t="s">
        <v>823</v>
      </c>
      <c r="C359" s="2">
        <v>16</v>
      </c>
      <c r="D359" s="2">
        <v>14.3</v>
      </c>
      <c r="E359" s="2">
        <v>5.6</v>
      </c>
      <c r="F359" s="2" t="str">
        <f>IFERROR(VLOOKUP(B359,Tabla2[],5,FALSE),"")</f>
        <v/>
      </c>
      <c r="G359" s="2">
        <f>SQRT(4*(Tabla1[[#This Row],[dD]]-'Find a similar substance'!$D$5)^2+('Find a similar substance'!$E$5-Tabla1[[#This Row],[dP]])^2+(Tabla1[[#This Row],[dH]]-'Find a similar substance'!$F$5)^2)</f>
        <v>5.7584720195551897</v>
      </c>
    </row>
    <row r="360" spans="1:7" x14ac:dyDescent="0.25">
      <c r="A360" s="2" t="s">
        <v>825</v>
      </c>
      <c r="B360" s="2" t="s">
        <v>824</v>
      </c>
      <c r="C360" s="2">
        <v>15</v>
      </c>
      <c r="D360" s="2">
        <v>4.8</v>
      </c>
      <c r="E360" s="2">
        <v>5.0999999999999996</v>
      </c>
      <c r="F360" s="2" t="str">
        <f>IFERROR(VLOOKUP(B360,Tabla2[],5,FALSE),"")</f>
        <v/>
      </c>
      <c r="G360" s="2">
        <f>SQRT(4*(Tabla1[[#This Row],[dD]]-'Find a similar substance'!$D$5)^2+('Find a similar substance'!$E$5-Tabla1[[#This Row],[dP]])^2+(Tabla1[[#This Row],[dH]]-'Find a similar substance'!$F$5)^2)</f>
        <v>5.0457903246171467</v>
      </c>
    </row>
    <row r="361" spans="1:7" x14ac:dyDescent="0.25">
      <c r="A361" s="2" t="s">
        <v>827</v>
      </c>
      <c r="B361" s="2" t="s">
        <v>826</v>
      </c>
      <c r="C361" s="2">
        <v>14.9</v>
      </c>
      <c r="D361" s="2">
        <v>6.4</v>
      </c>
      <c r="E361" s="2">
        <v>1</v>
      </c>
      <c r="F361" s="2" t="str">
        <f>IFERROR(VLOOKUP(B361,Tabla2[],5,FALSE),"")</f>
        <v/>
      </c>
      <c r="G361" s="2">
        <f>SQRT(4*(Tabla1[[#This Row],[dD]]-'Find a similar substance'!$D$5)^2+('Find a similar substance'!$E$5-Tabla1[[#This Row],[dP]])^2+(Tabla1[[#This Row],[dH]]-'Find a similar substance'!$F$5)^2)</f>
        <v>5.7314919523628411</v>
      </c>
    </row>
    <row r="362" spans="1:7" x14ac:dyDescent="0.25">
      <c r="A362" s="2" t="s">
        <v>829</v>
      </c>
      <c r="B362" s="2" t="s">
        <v>828</v>
      </c>
      <c r="C362" s="2">
        <v>15.7</v>
      </c>
      <c r="D362" s="2">
        <v>5.4</v>
      </c>
      <c r="E362" s="2">
        <v>8.8000000000000007</v>
      </c>
      <c r="F362" s="2" t="str">
        <f>IFERROR(VLOOKUP(B362,Tabla2[],5,FALSE),"")</f>
        <v/>
      </c>
      <c r="G362" s="2">
        <f>SQRT(4*(Tabla1[[#This Row],[dD]]-'Find a similar substance'!$D$5)^2+('Find a similar substance'!$E$5-Tabla1[[#This Row],[dP]])^2+(Tabla1[[#This Row],[dH]]-'Find a similar substance'!$F$5)^2)</f>
        <v>5.3450912059571083</v>
      </c>
    </row>
    <row r="363" spans="1:7" x14ac:dyDescent="0.25">
      <c r="A363" s="2" t="s">
        <v>831</v>
      </c>
      <c r="B363" s="2" t="s">
        <v>830</v>
      </c>
      <c r="C363" s="2">
        <v>18.3</v>
      </c>
      <c r="D363" s="2">
        <v>6.4</v>
      </c>
      <c r="E363" s="2">
        <v>3.3</v>
      </c>
      <c r="F363" s="2" t="str">
        <f>IFERROR(VLOOKUP(B363,Tabla2[],5,FALSE),"")</f>
        <v/>
      </c>
      <c r="G363" s="2">
        <f>SQRT(4*(Tabla1[[#This Row],[dD]]-'Find a similar substance'!$D$5)^2+('Find a similar substance'!$E$5-Tabla1[[#This Row],[dP]])^2+(Tabla1[[#This Row],[dH]]-'Find a similar substance'!$F$5)^2)</f>
        <v>4.4429719783046107</v>
      </c>
    </row>
    <row r="364" spans="1:7" x14ac:dyDescent="0.25">
      <c r="A364" s="2" t="s">
        <v>833</v>
      </c>
      <c r="B364" s="2" t="s">
        <v>832</v>
      </c>
      <c r="C364" s="2">
        <v>16.100000000000001</v>
      </c>
      <c r="D364" s="2">
        <v>13</v>
      </c>
      <c r="E364" s="2">
        <v>5.4</v>
      </c>
      <c r="F364" s="2" t="str">
        <f>IFERROR(VLOOKUP(B364,Tabla2[],5,FALSE),"")</f>
        <v/>
      </c>
      <c r="G364" s="2">
        <f>SQRT(4*(Tabla1[[#This Row],[dD]]-'Find a similar substance'!$D$5)^2+('Find a similar substance'!$E$5-Tabla1[[#This Row],[dP]])^2+(Tabla1[[#This Row],[dH]]-'Find a similar substance'!$F$5)^2)</f>
        <v>4.4328320518603013</v>
      </c>
    </row>
    <row r="365" spans="1:7" x14ac:dyDescent="0.25">
      <c r="A365" s="2" t="s">
        <v>835</v>
      </c>
      <c r="B365" s="2" t="s">
        <v>834</v>
      </c>
      <c r="C365" s="2">
        <v>15</v>
      </c>
      <c r="D365" s="2">
        <v>4.0999999999999996</v>
      </c>
      <c r="E365" s="2">
        <v>7.1</v>
      </c>
      <c r="F365" s="2" t="str">
        <f>IFERROR(VLOOKUP(B365,Tabla2[],5,FALSE),"")</f>
        <v/>
      </c>
      <c r="G365" s="2">
        <f>SQRT(4*(Tabla1[[#This Row],[dD]]-'Find a similar substance'!$D$5)^2+('Find a similar substance'!$E$5-Tabla1[[#This Row],[dP]])^2+(Tabla1[[#This Row],[dH]]-'Find a similar substance'!$F$5)^2)</f>
        <v>5.984145720150873</v>
      </c>
    </row>
    <row r="366" spans="1:7" x14ac:dyDescent="0.25">
      <c r="A366" s="2" t="s">
        <v>837</v>
      </c>
      <c r="B366" s="2" t="s">
        <v>836</v>
      </c>
      <c r="C366" s="2">
        <v>17</v>
      </c>
      <c r="D366" s="2">
        <v>11.3</v>
      </c>
      <c r="E366" s="2">
        <v>8.5</v>
      </c>
      <c r="F366" s="2" t="str">
        <f>IFERROR(VLOOKUP(B366,Tabla2[],5,FALSE),"")</f>
        <v/>
      </c>
      <c r="G366" s="2">
        <f>SQRT(4*(Tabla1[[#This Row],[dD]]-'Find a similar substance'!$D$5)^2+('Find a similar substance'!$E$5-Tabla1[[#This Row],[dP]])^2+(Tabla1[[#This Row],[dH]]-'Find a similar substance'!$F$5)^2)</f>
        <v>4.4328320518603004</v>
      </c>
    </row>
    <row r="367" spans="1:7" x14ac:dyDescent="0.25">
      <c r="A367" s="2" t="s">
        <v>839</v>
      </c>
      <c r="B367" s="2" t="s">
        <v>838</v>
      </c>
      <c r="C367" s="2">
        <v>16.399999999999999</v>
      </c>
      <c r="D367" s="2">
        <v>6.2</v>
      </c>
      <c r="E367" s="2">
        <v>7.9</v>
      </c>
      <c r="F367" s="2" t="str">
        <f>IFERROR(VLOOKUP(B367,Tabla2[],5,FALSE),"")</f>
        <v/>
      </c>
      <c r="G367" s="2">
        <f>SQRT(4*(Tabla1[[#This Row],[dD]]-'Find a similar substance'!$D$5)^2+('Find a similar substance'!$E$5-Tabla1[[#This Row],[dP]])^2+(Tabla1[[#This Row],[dH]]-'Find a similar substance'!$F$5)^2)</f>
        <v>3.8496753109840318</v>
      </c>
    </row>
    <row r="368" spans="1:7" x14ac:dyDescent="0.25">
      <c r="A368" s="2" t="s">
        <v>841</v>
      </c>
      <c r="B368" s="2" t="s">
        <v>840</v>
      </c>
      <c r="C368" s="2">
        <v>15.2</v>
      </c>
      <c r="D368" s="2">
        <v>4.0999999999999996</v>
      </c>
      <c r="E368" s="2">
        <v>7.5</v>
      </c>
      <c r="F368" s="2" t="str">
        <f>IFERROR(VLOOKUP(B368,Tabla2[],5,FALSE),"")</f>
        <v/>
      </c>
      <c r="G368" s="2">
        <f>SQRT(4*(Tabla1[[#This Row],[dD]]-'Find a similar substance'!$D$5)^2+('Find a similar substance'!$E$5-Tabla1[[#This Row],[dP]])^2+(Tabla1[[#This Row],[dH]]-'Find a similar substance'!$F$5)^2)</f>
        <v>5.9371710435189602</v>
      </c>
    </row>
    <row r="369" spans="1:7" x14ac:dyDescent="0.25">
      <c r="A369" s="2" t="s">
        <v>843</v>
      </c>
      <c r="B369" s="2" t="s">
        <v>842</v>
      </c>
      <c r="C369" s="2">
        <v>15</v>
      </c>
      <c r="D369" s="2">
        <v>4.3</v>
      </c>
      <c r="E369" s="2">
        <v>5.9</v>
      </c>
      <c r="F369" s="2" t="str">
        <f>IFERROR(VLOOKUP(B369,Tabla2[],5,FALSE),"")</f>
        <v/>
      </c>
      <c r="G369" s="2">
        <f>SQRT(4*(Tabla1[[#This Row],[dD]]-'Find a similar substance'!$D$5)^2+('Find a similar substance'!$E$5-Tabla1[[#This Row],[dP]])^2+(Tabla1[[#This Row],[dH]]-'Find a similar substance'!$F$5)^2)</f>
        <v>5.5145262715848959</v>
      </c>
    </row>
    <row r="370" spans="1:7" x14ac:dyDescent="0.25">
      <c r="A370" s="2" t="s">
        <v>845</v>
      </c>
      <c r="B370" s="2" t="s">
        <v>844</v>
      </c>
      <c r="C370" s="2">
        <v>16.3</v>
      </c>
      <c r="D370" s="2">
        <v>11.2</v>
      </c>
      <c r="E370" s="2">
        <v>5</v>
      </c>
      <c r="F370" s="2" t="str">
        <f>IFERROR(VLOOKUP(B370,Tabla2[],5,FALSE),"")</f>
        <v/>
      </c>
      <c r="G370" s="2">
        <f>SQRT(4*(Tabla1[[#This Row],[dD]]-'Find a similar substance'!$D$5)^2+('Find a similar substance'!$E$5-Tabla1[[#This Row],[dP]])^2+(Tabla1[[#This Row],[dH]]-'Find a similar substance'!$F$5)^2)</f>
        <v>2.5709920264364885</v>
      </c>
    </row>
    <row r="371" spans="1:7" x14ac:dyDescent="0.25">
      <c r="A371" s="2" t="s">
        <v>847</v>
      </c>
      <c r="B371" s="2" t="s">
        <v>846</v>
      </c>
      <c r="C371" s="2">
        <v>17.5</v>
      </c>
      <c r="D371" s="2">
        <v>8.8000000000000007</v>
      </c>
      <c r="E371" s="2">
        <v>0</v>
      </c>
      <c r="F371" s="2" t="str">
        <f>IFERROR(VLOOKUP(B371,Tabla2[],5,FALSE),"")</f>
        <v/>
      </c>
      <c r="G371" s="2">
        <f>SQRT(4*(Tabla1[[#This Row],[dD]]-'Find a similar substance'!$D$5)^2+('Find a similar substance'!$E$5-Tabla1[[#This Row],[dP]])^2+(Tabla1[[#This Row],[dH]]-'Find a similar substance'!$F$5)^2)</f>
        <v>5.3150729063673241</v>
      </c>
    </row>
    <row r="372" spans="1:7" x14ac:dyDescent="0.25">
      <c r="A372" s="2" t="s">
        <v>849</v>
      </c>
      <c r="B372" s="2" t="s">
        <v>848</v>
      </c>
      <c r="C372" s="2">
        <v>13.7</v>
      </c>
      <c r="D372" s="2">
        <v>16.7</v>
      </c>
      <c r="E372" s="2">
        <v>18.8</v>
      </c>
      <c r="F372" s="2" t="str">
        <f>IFERROR(VLOOKUP(B372,Tabla2[],5,FALSE),"")</f>
        <v/>
      </c>
      <c r="G372" s="2">
        <f>SQRT(4*(Tabla1[[#This Row],[dD]]-'Find a similar substance'!$D$5)^2+('Find a similar substance'!$E$5-Tabla1[[#This Row],[dP]])^2+(Tabla1[[#This Row],[dH]]-'Find a similar substance'!$F$5)^2)</f>
        <v>16.972919607421701</v>
      </c>
    </row>
    <row r="373" spans="1:7" x14ac:dyDescent="0.25">
      <c r="A373" s="2" t="s">
        <v>851</v>
      </c>
      <c r="B373" s="2" t="s">
        <v>850</v>
      </c>
      <c r="C373" s="2">
        <v>17.5</v>
      </c>
      <c r="D373" s="2">
        <v>4.3</v>
      </c>
      <c r="E373" s="2">
        <v>6.3</v>
      </c>
      <c r="F373" s="2" t="str">
        <f>IFERROR(VLOOKUP(B373,Tabla2[],5,FALSE),"")</f>
        <v/>
      </c>
      <c r="G373" s="2">
        <f>SQRT(4*(Tabla1[[#This Row],[dD]]-'Find a similar substance'!$D$5)^2+('Find a similar substance'!$E$5-Tabla1[[#This Row],[dP]])^2+(Tabla1[[#This Row],[dH]]-'Find a similar substance'!$F$5)^2)</f>
        <v>4.928488612140641</v>
      </c>
    </row>
    <row r="374" spans="1:7" x14ac:dyDescent="0.25">
      <c r="A374" s="2" t="s">
        <v>853</v>
      </c>
      <c r="B374" s="2" t="s">
        <v>852</v>
      </c>
      <c r="C374" s="2">
        <v>15.8</v>
      </c>
      <c r="D374" s="2">
        <v>3.3</v>
      </c>
      <c r="E374" s="2">
        <v>6.1</v>
      </c>
      <c r="F374" s="2" t="str">
        <f>IFERROR(VLOOKUP(B374,Tabla2[],5,FALSE),"")</f>
        <v/>
      </c>
      <c r="G374" s="2">
        <f>SQRT(4*(Tabla1[[#This Row],[dD]]-'Find a similar substance'!$D$5)^2+('Find a similar substance'!$E$5-Tabla1[[#This Row],[dP]])^2+(Tabla1[[#This Row],[dH]]-'Find a similar substance'!$F$5)^2)</f>
        <v>5.7384666941614286</v>
      </c>
    </row>
    <row r="375" spans="1:7" x14ac:dyDescent="0.25">
      <c r="A375" s="2" t="s">
        <v>855</v>
      </c>
      <c r="B375" s="2" t="s">
        <v>854</v>
      </c>
      <c r="C375" s="2">
        <v>18.5</v>
      </c>
      <c r="D375" s="2">
        <v>4.3</v>
      </c>
      <c r="E375" s="2">
        <v>6</v>
      </c>
      <c r="F375" s="2" t="str">
        <f>IFERROR(VLOOKUP(B375,Tabla2[],5,FALSE),"")</f>
        <v/>
      </c>
      <c r="G375" s="2">
        <f>SQRT(4*(Tabla1[[#This Row],[dD]]-'Find a similar substance'!$D$5)^2+('Find a similar substance'!$E$5-Tabla1[[#This Row],[dP]])^2+(Tabla1[[#This Row],[dH]]-'Find a similar substance'!$F$5)^2)</f>
        <v>5.8991524815010479</v>
      </c>
    </row>
    <row r="376" spans="1:7" x14ac:dyDescent="0.25">
      <c r="A376" s="2" t="s">
        <v>857</v>
      </c>
      <c r="B376" s="2" t="s">
        <v>856</v>
      </c>
      <c r="C376" s="2">
        <v>20.100000000000001</v>
      </c>
      <c r="D376" s="2">
        <v>5.8</v>
      </c>
      <c r="E376" s="2">
        <v>11.2</v>
      </c>
      <c r="F376" s="2" t="str">
        <f>IFERROR(VLOOKUP(B376,Tabla2[],5,FALSE),"")</f>
        <v/>
      </c>
      <c r="G376" s="2">
        <f>SQRT(4*(Tabla1[[#This Row],[dD]]-'Find a similar substance'!$D$5)^2+('Find a similar substance'!$E$5-Tabla1[[#This Row],[dP]])^2+(Tabla1[[#This Row],[dH]]-'Find a similar substance'!$F$5)^2)</f>
        <v>9.7903013232484319</v>
      </c>
    </row>
    <row r="377" spans="1:7" x14ac:dyDescent="0.25">
      <c r="A377" s="2" t="s">
        <v>859</v>
      </c>
      <c r="B377" s="2" t="s">
        <v>858</v>
      </c>
      <c r="C377" s="2">
        <v>19.399999999999999</v>
      </c>
      <c r="D377" s="2">
        <v>11.9</v>
      </c>
      <c r="E377" s="2">
        <v>8.3000000000000007</v>
      </c>
      <c r="F377" s="2" t="str">
        <f>IFERROR(VLOOKUP(B377,Tabla2[],5,FALSE),"")</f>
        <v/>
      </c>
      <c r="G377" s="2">
        <f>SQRT(4*(Tabla1[[#This Row],[dD]]-'Find a similar substance'!$D$5)^2+('Find a similar substance'!$E$5-Tabla1[[#This Row],[dP]])^2+(Tabla1[[#This Row],[dH]]-'Find a similar substance'!$F$5)^2)</f>
        <v>7.2449982746719792</v>
      </c>
    </row>
    <row r="378" spans="1:7" x14ac:dyDescent="0.25">
      <c r="A378" s="2" t="s">
        <v>861</v>
      </c>
      <c r="B378" s="2" t="s">
        <v>860</v>
      </c>
      <c r="C378" s="2">
        <v>19.5</v>
      </c>
      <c r="D378" s="2">
        <v>5.4</v>
      </c>
      <c r="E378" s="2">
        <v>11.4</v>
      </c>
      <c r="F378" s="2" t="str">
        <f>IFERROR(VLOOKUP(B378,Tabla2[],5,FALSE),"")</f>
        <v/>
      </c>
      <c r="G378" s="2">
        <f>SQRT(4*(Tabla1[[#This Row],[dD]]-'Find a similar substance'!$D$5)^2+('Find a similar substance'!$E$5-Tabla1[[#This Row],[dP]])^2+(Tabla1[[#This Row],[dH]]-'Find a similar substance'!$F$5)^2)</f>
        <v>9.2460802505710475</v>
      </c>
    </row>
    <row r="379" spans="1:7" x14ac:dyDescent="0.25">
      <c r="A379" s="2" t="s">
        <v>863</v>
      </c>
      <c r="B379" s="2" t="s">
        <v>862</v>
      </c>
      <c r="C379" s="2">
        <v>17.8</v>
      </c>
      <c r="D379" s="2">
        <v>4.4000000000000004</v>
      </c>
      <c r="E379" s="2">
        <v>6.9</v>
      </c>
      <c r="F379" s="2" t="str">
        <f>IFERROR(VLOOKUP(B379,Tabla2[],5,FALSE),"")</f>
        <v/>
      </c>
      <c r="G379" s="2">
        <f>SQRT(4*(Tabla1[[#This Row],[dD]]-'Find a similar substance'!$D$5)^2+('Find a similar substance'!$E$5-Tabla1[[#This Row],[dP]])^2+(Tabla1[[#This Row],[dH]]-'Find a similar substance'!$F$5)^2)</f>
        <v>5.2782572881586578</v>
      </c>
    </row>
    <row r="380" spans="1:7" x14ac:dyDescent="0.25">
      <c r="A380" s="2" t="s">
        <v>865</v>
      </c>
      <c r="B380" s="2" t="s">
        <v>864</v>
      </c>
      <c r="C380" s="2">
        <v>18</v>
      </c>
      <c r="D380" s="2">
        <v>11.7</v>
      </c>
      <c r="E380" s="2">
        <v>25.5</v>
      </c>
      <c r="F380" s="2" t="str">
        <f>IFERROR(VLOOKUP(B380,Tabla2[],5,FALSE),"")</f>
        <v/>
      </c>
      <c r="G380" s="2">
        <f>SQRT(4*(Tabla1[[#This Row],[dD]]-'Find a similar substance'!$D$5)^2+('Find a similar substance'!$E$5-Tabla1[[#This Row],[dP]])^2+(Tabla1[[#This Row],[dH]]-'Find a similar substance'!$F$5)^2)</f>
        <v>20.906697491473874</v>
      </c>
    </row>
    <row r="381" spans="1:7" x14ac:dyDescent="0.25">
      <c r="A381" s="2" t="s">
        <v>867</v>
      </c>
      <c r="B381" s="2" t="s">
        <v>866</v>
      </c>
      <c r="C381" s="2">
        <v>15.9</v>
      </c>
      <c r="D381" s="2">
        <v>8.9</v>
      </c>
      <c r="E381" s="2">
        <v>12.9</v>
      </c>
      <c r="F381" s="2" t="str">
        <f>IFERROR(VLOOKUP(B381,Tabla2[],5,FALSE),"")</f>
        <v/>
      </c>
      <c r="G381" s="2">
        <f>SQRT(4*(Tabla1[[#This Row],[dD]]-'Find a similar substance'!$D$5)^2+('Find a similar substance'!$E$5-Tabla1[[#This Row],[dP]])^2+(Tabla1[[#This Row],[dH]]-'Find a similar substance'!$F$5)^2)</f>
        <v>8.0255840908933234</v>
      </c>
    </row>
    <row r="382" spans="1:7" x14ac:dyDescent="0.25">
      <c r="A382" s="2" t="s">
        <v>869</v>
      </c>
      <c r="B382" s="2" t="s">
        <v>868</v>
      </c>
      <c r="C382" s="2">
        <v>19</v>
      </c>
      <c r="D382" s="2">
        <v>7.6</v>
      </c>
      <c r="E382" s="2">
        <v>2.4</v>
      </c>
      <c r="F382" s="2" t="str">
        <f>IFERROR(VLOOKUP(B382,Tabla2[],5,FALSE),"")</f>
        <v/>
      </c>
      <c r="G382" s="2">
        <f>SQRT(4*(Tabla1[[#This Row],[dD]]-'Find a similar substance'!$D$5)^2+('Find a similar substance'!$E$5-Tabla1[[#This Row],[dP]])^2+(Tabla1[[#This Row],[dH]]-'Find a similar substance'!$F$5)^2)</f>
        <v>5.5686623169303395</v>
      </c>
    </row>
    <row r="383" spans="1:7" x14ac:dyDescent="0.25">
      <c r="A383" s="2" t="s">
        <v>871</v>
      </c>
      <c r="B383" s="2" t="s">
        <v>870</v>
      </c>
      <c r="C383" s="2">
        <v>19.399999999999999</v>
      </c>
      <c r="D383" s="2">
        <v>7.4</v>
      </c>
      <c r="E383" s="2">
        <v>5.3</v>
      </c>
      <c r="F383" s="2" t="str">
        <f>IFERROR(VLOOKUP(B383,Tabla2[],5,FALSE),"")</f>
        <v/>
      </c>
      <c r="G383" s="2">
        <f>SQRT(4*(Tabla1[[#This Row],[dD]]-'Find a similar substance'!$D$5)^2+('Find a similar substance'!$E$5-Tabla1[[#This Row],[dP]])^2+(Tabla1[[#This Row],[dH]]-'Find a similar substance'!$F$5)^2)</f>
        <v>5.7567351858496965</v>
      </c>
    </row>
    <row r="384" spans="1:7" x14ac:dyDescent="0.25">
      <c r="A384" s="2" t="s">
        <v>873</v>
      </c>
      <c r="B384" s="2" t="s">
        <v>872</v>
      </c>
      <c r="C384" s="2">
        <v>21.2</v>
      </c>
      <c r="D384" s="2">
        <v>14.7</v>
      </c>
      <c r="E384" s="2">
        <v>11.2</v>
      </c>
      <c r="F384" s="2" t="str">
        <f>IFERROR(VLOOKUP(B384,Tabla2[],5,FALSE),"")</f>
        <v/>
      </c>
      <c r="G384" s="2">
        <f>SQRT(4*(Tabla1[[#This Row],[dD]]-'Find a similar substance'!$D$5)^2+('Find a similar substance'!$E$5-Tabla1[[#This Row],[dP]])^2+(Tabla1[[#This Row],[dH]]-'Find a similar substance'!$F$5)^2)</f>
        <v>12.612692020342045</v>
      </c>
    </row>
    <row r="385" spans="1:7" x14ac:dyDescent="0.25">
      <c r="A385" s="2" t="s">
        <v>874</v>
      </c>
      <c r="B385" s="2" t="s">
        <v>88</v>
      </c>
      <c r="C385" s="2">
        <v>18.399999999999999</v>
      </c>
      <c r="D385" s="2">
        <v>0</v>
      </c>
      <c r="E385" s="2">
        <v>2</v>
      </c>
      <c r="F385" s="2">
        <f>IFERROR(VLOOKUP(B385,Tabla2[],5,FALSE),"")</f>
        <v>52.9</v>
      </c>
      <c r="G385" s="2">
        <f>SQRT(4*(Tabla1[[#This Row],[dD]]-'Find a similar substance'!$D$5)^2+('Find a similar substance'!$E$5-Tabla1[[#This Row],[dP]])^2+(Tabla1[[#This Row],[dH]]-'Find a similar substance'!$F$5)^2)</f>
        <v>9.8818014552003604</v>
      </c>
    </row>
    <row r="386" spans="1:7" x14ac:dyDescent="0.25">
      <c r="A386" s="2" t="s">
        <v>876</v>
      </c>
      <c r="B386" s="2" t="s">
        <v>875</v>
      </c>
      <c r="C386" s="2">
        <v>20.6</v>
      </c>
      <c r="D386" s="2">
        <v>14.9</v>
      </c>
      <c r="E386" s="2">
        <v>11</v>
      </c>
      <c r="F386" s="2" t="str">
        <f>IFERROR(VLOOKUP(B386,Tabla2[],5,FALSE),"")</f>
        <v/>
      </c>
      <c r="G386" s="2">
        <f>SQRT(4*(Tabla1[[#This Row],[dD]]-'Find a similar substance'!$D$5)^2+('Find a similar substance'!$E$5-Tabla1[[#This Row],[dP]])^2+(Tabla1[[#This Row],[dH]]-'Find a similar substance'!$F$5)^2)</f>
        <v>11.766052864066182</v>
      </c>
    </row>
    <row r="387" spans="1:7" x14ac:dyDescent="0.25">
      <c r="A387" s="2" t="s">
        <v>878</v>
      </c>
      <c r="B387" s="2" t="s">
        <v>877</v>
      </c>
      <c r="C387" s="2">
        <v>20.6</v>
      </c>
      <c r="D387" s="2">
        <v>11.5</v>
      </c>
      <c r="E387" s="2">
        <v>8.8000000000000007</v>
      </c>
      <c r="F387" s="2" t="str">
        <f>IFERROR(VLOOKUP(B387,Tabla2[],5,FALSE),"")</f>
        <v/>
      </c>
      <c r="G387" s="2">
        <f>SQRT(4*(Tabla1[[#This Row],[dD]]-'Find a similar substance'!$D$5)^2+('Find a similar substance'!$E$5-Tabla1[[#This Row],[dP]])^2+(Tabla1[[#This Row],[dH]]-'Find a similar substance'!$F$5)^2)</f>
        <v>9.2887028157864968</v>
      </c>
    </row>
    <row r="388" spans="1:7" x14ac:dyDescent="0.25">
      <c r="A388" s="2" t="s">
        <v>880</v>
      </c>
      <c r="B388" s="2" t="s">
        <v>879</v>
      </c>
      <c r="C388" s="2">
        <v>20</v>
      </c>
      <c r="D388" s="2">
        <v>6.9</v>
      </c>
      <c r="E388" s="2">
        <v>10.8</v>
      </c>
      <c r="F388" s="2" t="str">
        <f>IFERROR(VLOOKUP(B388,Tabla2[],5,FALSE),"")</f>
        <v/>
      </c>
      <c r="G388" s="2">
        <f>SQRT(4*(Tabla1[[#This Row],[dD]]-'Find a similar substance'!$D$5)^2+('Find a similar substance'!$E$5-Tabla1[[#This Row],[dP]])^2+(Tabla1[[#This Row],[dH]]-'Find a similar substance'!$F$5)^2)</f>
        <v>9.1170170560331822</v>
      </c>
    </row>
    <row r="389" spans="1:7" x14ac:dyDescent="0.25">
      <c r="A389" s="2" t="s">
        <v>882</v>
      </c>
      <c r="B389" s="2" t="s">
        <v>881</v>
      </c>
      <c r="C389" s="2">
        <v>19.899999999999999</v>
      </c>
      <c r="D389" s="2">
        <v>9.6999999999999993</v>
      </c>
      <c r="E389" s="2">
        <v>10.7</v>
      </c>
      <c r="F389" s="2" t="str">
        <f>IFERROR(VLOOKUP(B389,Tabla2[],5,FALSE),"")</f>
        <v/>
      </c>
      <c r="G389" s="2">
        <f>SQRT(4*(Tabla1[[#This Row],[dD]]-'Find a similar substance'!$D$5)^2+('Find a similar substance'!$E$5-Tabla1[[#This Row],[dP]])^2+(Tabla1[[#This Row],[dH]]-'Find a similar substance'!$F$5)^2)</f>
        <v>8.7778129394513709</v>
      </c>
    </row>
    <row r="390" spans="1:7" x14ac:dyDescent="0.25">
      <c r="A390" s="2" t="s">
        <v>884</v>
      </c>
      <c r="B390" s="2" t="s">
        <v>883</v>
      </c>
      <c r="C390" s="2">
        <v>18.8</v>
      </c>
      <c r="D390" s="2">
        <v>12</v>
      </c>
      <c r="E390" s="2">
        <v>3.3</v>
      </c>
      <c r="F390" s="2" t="str">
        <f>IFERROR(VLOOKUP(B390,Tabla2[],5,FALSE),"")</f>
        <v/>
      </c>
      <c r="G390" s="2">
        <f>SQRT(4*(Tabla1[[#This Row],[dD]]-'Find a similar substance'!$D$5)^2+('Find a similar substance'!$E$5-Tabla1[[#This Row],[dP]])^2+(Tabla1[[#This Row],[dH]]-'Find a similar substance'!$F$5)^2)</f>
        <v>5.7567351858497009</v>
      </c>
    </row>
    <row r="391" spans="1:7" x14ac:dyDescent="0.25">
      <c r="A391" s="2" t="s">
        <v>886</v>
      </c>
      <c r="B391" s="2" t="s">
        <v>885</v>
      </c>
      <c r="C391" s="2">
        <v>19.5</v>
      </c>
      <c r="D391" s="2">
        <v>7.2</v>
      </c>
      <c r="E391" s="2">
        <v>5.0999999999999996</v>
      </c>
      <c r="F391" s="2" t="str">
        <f>IFERROR(VLOOKUP(B391,Tabla2[],5,FALSE),"")</f>
        <v/>
      </c>
      <c r="G391" s="2">
        <f>SQRT(4*(Tabla1[[#This Row],[dD]]-'Find a similar substance'!$D$5)^2+('Find a similar substance'!$E$5-Tabla1[[#This Row],[dP]])^2+(Tabla1[[#This Row],[dH]]-'Find a similar substance'!$F$5)^2)</f>
        <v>5.9916608715780937</v>
      </c>
    </row>
    <row r="392" spans="1:7" x14ac:dyDescent="0.25">
      <c r="A392" s="2" t="s">
        <v>888</v>
      </c>
      <c r="B392" s="2" t="s">
        <v>887</v>
      </c>
      <c r="C392" s="2">
        <v>20.6</v>
      </c>
      <c r="D392" s="2">
        <v>5.2</v>
      </c>
      <c r="E392" s="2">
        <v>8.4</v>
      </c>
      <c r="F392" s="2" t="str">
        <f>IFERROR(VLOOKUP(B392,Tabla2[],5,FALSE),"")</f>
        <v/>
      </c>
      <c r="G392" s="2">
        <f>SQRT(4*(Tabla1[[#This Row],[dD]]-'Find a similar substance'!$D$5)^2+('Find a similar substance'!$E$5-Tabla1[[#This Row],[dP]])^2+(Tabla1[[#This Row],[dH]]-'Find a similar substance'!$F$5)^2)</f>
        <v>9.3706990134141002</v>
      </c>
    </row>
    <row r="393" spans="1:7" x14ac:dyDescent="0.25">
      <c r="A393" s="2" t="s">
        <v>890</v>
      </c>
      <c r="B393" s="2" t="s">
        <v>889</v>
      </c>
      <c r="C393" s="2">
        <v>19.399999999999999</v>
      </c>
      <c r="D393" s="2">
        <v>3.2</v>
      </c>
      <c r="E393" s="2">
        <v>3.2</v>
      </c>
      <c r="F393" s="2" t="str">
        <f>IFERROR(VLOOKUP(B393,Tabla2[],5,FALSE),"")</f>
        <v/>
      </c>
      <c r="G393" s="2">
        <f>SQRT(4*(Tabla1[[#This Row],[dD]]-'Find a similar substance'!$D$5)^2+('Find a similar substance'!$E$5-Tabla1[[#This Row],[dP]])^2+(Tabla1[[#This Row],[dH]]-'Find a similar substance'!$F$5)^2)</f>
        <v>8.0529497701152906</v>
      </c>
    </row>
    <row r="394" spans="1:7" x14ac:dyDescent="0.25">
      <c r="A394" s="2" t="s">
        <v>892</v>
      </c>
      <c r="B394" s="2" t="s">
        <v>891</v>
      </c>
      <c r="C394" s="2">
        <v>19.3</v>
      </c>
      <c r="D394" s="2">
        <v>6.8</v>
      </c>
      <c r="E394" s="2">
        <v>4.5</v>
      </c>
      <c r="F394" s="2" t="str">
        <f>IFERROR(VLOOKUP(B394,Tabla2[],5,FALSE),"")</f>
        <v/>
      </c>
      <c r="G394" s="2">
        <f>SQRT(4*(Tabla1[[#This Row],[dD]]-'Find a similar substance'!$D$5)^2+('Find a similar substance'!$E$5-Tabla1[[#This Row],[dP]])^2+(Tabla1[[#This Row],[dH]]-'Find a similar substance'!$F$5)^2)</f>
        <v>5.746303159423455</v>
      </c>
    </row>
    <row r="395" spans="1:7" x14ac:dyDescent="0.25">
      <c r="A395" s="2" t="s">
        <v>894</v>
      </c>
      <c r="B395" s="2" t="s">
        <v>893</v>
      </c>
      <c r="C395" s="2">
        <v>18.3</v>
      </c>
      <c r="D395" s="2">
        <v>5.7</v>
      </c>
      <c r="E395" s="2">
        <v>6</v>
      </c>
      <c r="F395" s="2" t="str">
        <f>IFERROR(VLOOKUP(B395,Tabla2[],5,FALSE),"")</f>
        <v/>
      </c>
      <c r="G395" s="2">
        <f>SQRT(4*(Tabla1[[#This Row],[dD]]-'Find a similar substance'!$D$5)^2+('Find a similar substance'!$E$5-Tabla1[[#This Row],[dP]])^2+(Tabla1[[#This Row],[dH]]-'Find a similar substance'!$F$5)^2)</f>
        <v>4.6432747064975581</v>
      </c>
    </row>
    <row r="396" spans="1:7" x14ac:dyDescent="0.25">
      <c r="A396" s="2" t="s">
        <v>895</v>
      </c>
      <c r="B396" s="2" t="s">
        <v>10</v>
      </c>
      <c r="C396" s="2">
        <v>18.399999999999999</v>
      </c>
      <c r="D396" s="2">
        <v>6.3</v>
      </c>
      <c r="E396" s="2">
        <v>13.7</v>
      </c>
      <c r="F396" s="2">
        <f>IFERROR(VLOOKUP(B396,Tabla2[],5,FALSE),"")</f>
        <v>103.8</v>
      </c>
      <c r="G396" s="2">
        <f>SQRT(4*(Tabla1[[#This Row],[dD]]-'Find a similar substance'!$D$5)^2+('Find a similar substance'!$E$5-Tabla1[[#This Row],[dP]])^2+(Tabla1[[#This Row],[dH]]-'Find a similar substance'!$F$5)^2)</f>
        <v>9.7164808444209854</v>
      </c>
    </row>
    <row r="397" spans="1:7" x14ac:dyDescent="0.25">
      <c r="A397" s="2" t="s">
        <v>897</v>
      </c>
      <c r="B397" s="2" t="s">
        <v>896</v>
      </c>
      <c r="C397" s="2">
        <v>19</v>
      </c>
      <c r="D397" s="2">
        <v>4.5999999999999996</v>
      </c>
      <c r="E397" s="2">
        <v>9.4</v>
      </c>
      <c r="F397" s="2" t="str">
        <f>IFERROR(VLOOKUP(B397,Tabla2[],5,FALSE),"")</f>
        <v/>
      </c>
      <c r="G397" s="2">
        <f>SQRT(4*(Tabla1[[#This Row],[dD]]-'Find a similar substance'!$D$5)^2+('Find a similar substance'!$E$5-Tabla1[[#This Row],[dP]])^2+(Tabla1[[#This Row],[dH]]-'Find a similar substance'!$F$5)^2)</f>
        <v>7.694803441284253</v>
      </c>
    </row>
    <row r="398" spans="1:7" x14ac:dyDescent="0.25">
      <c r="A398" s="2" t="s">
        <v>898</v>
      </c>
      <c r="B398" s="2" t="s">
        <v>11</v>
      </c>
      <c r="C398" s="2">
        <v>20</v>
      </c>
      <c r="D398" s="2">
        <v>5.0999999999999996</v>
      </c>
      <c r="E398" s="2">
        <v>5.2</v>
      </c>
      <c r="F398" s="2">
        <f>IFERROR(VLOOKUP(B398,Tabla2[],5,FALSE),"")</f>
        <v>190.3</v>
      </c>
      <c r="G398" s="2">
        <f>SQRT(4*(Tabla1[[#This Row],[dD]]-'Find a similar substance'!$D$5)^2+('Find a similar substance'!$E$5-Tabla1[[#This Row],[dP]])^2+(Tabla1[[#This Row],[dH]]-'Find a similar substance'!$F$5)^2)</f>
        <v>7.6967525619575401</v>
      </c>
    </row>
    <row r="399" spans="1:7" x14ac:dyDescent="0.25">
      <c r="A399" s="2" t="s">
        <v>900</v>
      </c>
      <c r="B399" s="2" t="s">
        <v>899</v>
      </c>
      <c r="C399" s="2">
        <v>19</v>
      </c>
      <c r="D399" s="2">
        <v>11.2</v>
      </c>
      <c r="E399" s="2">
        <v>3.1</v>
      </c>
      <c r="F399" s="2" t="str">
        <f>IFERROR(VLOOKUP(B399,Tabla2[],5,FALSE),"")</f>
        <v/>
      </c>
      <c r="G399" s="2">
        <f>SQRT(4*(Tabla1[[#This Row],[dD]]-'Find a similar substance'!$D$5)^2+('Find a similar substance'!$E$5-Tabla1[[#This Row],[dP]])^2+(Tabla1[[#This Row],[dH]]-'Find a similar substance'!$F$5)^2)</f>
        <v>5.7358521598799923</v>
      </c>
    </row>
    <row r="400" spans="1:7" x14ac:dyDescent="0.25">
      <c r="A400" s="2" t="s">
        <v>902</v>
      </c>
      <c r="B400" s="2" t="s">
        <v>901</v>
      </c>
      <c r="C400" s="2">
        <v>18.8</v>
      </c>
      <c r="D400" s="2">
        <v>7.1</v>
      </c>
      <c r="E400" s="2">
        <v>2.6</v>
      </c>
      <c r="F400" s="2" t="str">
        <f>IFERROR(VLOOKUP(B400,Tabla2[],5,FALSE),"")</f>
        <v/>
      </c>
      <c r="G400" s="2">
        <f>SQRT(4*(Tabla1[[#This Row],[dD]]-'Find a similar substance'!$D$5)^2+('Find a similar substance'!$E$5-Tabla1[[#This Row],[dP]])^2+(Tabla1[[#This Row],[dH]]-'Find a similar substance'!$F$5)^2)</f>
        <v>5.2611785751863609</v>
      </c>
    </row>
    <row r="401" spans="1:7" x14ac:dyDescent="0.25">
      <c r="A401" s="2" t="s">
        <v>904</v>
      </c>
      <c r="B401" s="2" t="s">
        <v>903</v>
      </c>
      <c r="C401" s="2">
        <v>18.399999999999999</v>
      </c>
      <c r="D401" s="2">
        <v>3.8</v>
      </c>
      <c r="E401" s="2">
        <v>3.8</v>
      </c>
      <c r="F401" s="2" t="str">
        <f>IFERROR(VLOOKUP(B401,Tabla2[],5,FALSE),"")</f>
        <v/>
      </c>
      <c r="G401" s="2">
        <f>SQRT(4*(Tabla1[[#This Row],[dD]]-'Find a similar substance'!$D$5)^2+('Find a similar substance'!$E$5-Tabla1[[#This Row],[dP]])^2+(Tabla1[[#This Row],[dH]]-'Find a similar substance'!$F$5)^2)</f>
        <v>6.197580172938463</v>
      </c>
    </row>
    <row r="402" spans="1:7" x14ac:dyDescent="0.25">
      <c r="A402" s="2" t="s">
        <v>906</v>
      </c>
      <c r="B402" s="2" t="s">
        <v>905</v>
      </c>
      <c r="C402" s="2">
        <v>16.8</v>
      </c>
      <c r="D402" s="2">
        <v>4.0999999999999996</v>
      </c>
      <c r="E402" s="2">
        <v>4.0999999999999996</v>
      </c>
      <c r="F402" s="2" t="str">
        <f>IFERROR(VLOOKUP(B402,Tabla2[],5,FALSE),"")</f>
        <v/>
      </c>
      <c r="G402" s="2">
        <f>SQRT(4*(Tabla1[[#This Row],[dD]]-'Find a similar substance'!$D$5)^2+('Find a similar substance'!$E$5-Tabla1[[#This Row],[dP]])^2+(Tabla1[[#This Row],[dH]]-'Find a similar substance'!$F$5)^2)</f>
        <v>4.7042533945356304</v>
      </c>
    </row>
    <row r="403" spans="1:7" x14ac:dyDescent="0.25">
      <c r="A403" s="2" t="s">
        <v>908</v>
      </c>
      <c r="B403" s="2" t="s">
        <v>907</v>
      </c>
      <c r="C403" s="2">
        <v>17</v>
      </c>
      <c r="D403" s="2">
        <v>0</v>
      </c>
      <c r="E403" s="2">
        <v>0</v>
      </c>
      <c r="F403" s="2" t="str">
        <f>IFERROR(VLOOKUP(B403,Tabla2[],5,FALSE),"")</f>
        <v/>
      </c>
      <c r="G403" s="2">
        <f>SQRT(4*(Tabla1[[#This Row],[dD]]-'Find a similar substance'!$D$5)^2+('Find a similar substance'!$E$5-Tabla1[[#This Row],[dP]])^2+(Tabla1[[#This Row],[dH]]-'Find a similar substance'!$F$5)^2)</f>
        <v>10.06628034578811</v>
      </c>
    </row>
    <row r="404" spans="1:7" x14ac:dyDescent="0.25">
      <c r="A404" s="2" t="s">
        <v>910</v>
      </c>
      <c r="B404" s="2" t="s">
        <v>909</v>
      </c>
      <c r="C404" s="2">
        <v>19.7</v>
      </c>
      <c r="D404" s="2">
        <v>1</v>
      </c>
      <c r="E404" s="2">
        <v>2</v>
      </c>
      <c r="F404" s="2" t="str">
        <f>IFERROR(VLOOKUP(B404,Tabla2[],5,FALSE),"")</f>
        <v/>
      </c>
      <c r="G404" s="2">
        <f>SQRT(4*(Tabla1[[#This Row],[dD]]-'Find a similar substance'!$D$5)^2+('Find a similar substance'!$E$5-Tabla1[[#This Row],[dP]])^2+(Tabla1[[#This Row],[dH]]-'Find a similar substance'!$F$5)^2)</f>
        <v>10.331021246711282</v>
      </c>
    </row>
    <row r="405" spans="1:7" x14ac:dyDescent="0.25">
      <c r="A405" s="2" t="s">
        <v>912</v>
      </c>
      <c r="B405" s="2" t="s">
        <v>911</v>
      </c>
      <c r="C405" s="2">
        <v>17.2</v>
      </c>
      <c r="D405" s="2">
        <v>8.1999999999999993</v>
      </c>
      <c r="E405" s="2">
        <v>7.6</v>
      </c>
      <c r="F405" s="2" t="str">
        <f>IFERROR(VLOOKUP(B405,Tabla2[],5,FALSE),"")</f>
        <v/>
      </c>
      <c r="G405" s="2">
        <f>SQRT(4*(Tabla1[[#This Row],[dD]]-'Find a similar substance'!$D$5)^2+('Find a similar substance'!$E$5-Tabla1[[#This Row],[dP]])^2+(Tabla1[[#This Row],[dH]]-'Find a similar substance'!$F$5)^2)</f>
        <v>2.9068883707497246</v>
      </c>
    </row>
    <row r="406" spans="1:7" x14ac:dyDescent="0.25">
      <c r="A406" s="2" t="s">
        <v>914</v>
      </c>
      <c r="B406" s="2" t="s">
        <v>913</v>
      </c>
      <c r="C406" s="2">
        <v>19.600000000000001</v>
      </c>
      <c r="D406" s="2">
        <v>3.1</v>
      </c>
      <c r="E406" s="2">
        <v>5.0999999999999996</v>
      </c>
      <c r="F406" s="2" t="str">
        <f>IFERROR(VLOOKUP(B406,Tabla2[],5,FALSE),"")</f>
        <v/>
      </c>
      <c r="G406" s="2">
        <f>SQRT(4*(Tabla1[[#This Row],[dD]]-'Find a similar substance'!$D$5)^2+('Find a similar substance'!$E$5-Tabla1[[#This Row],[dP]])^2+(Tabla1[[#This Row],[dH]]-'Find a similar substance'!$F$5)^2)</f>
        <v>8.2079230015881617</v>
      </c>
    </row>
    <row r="407" spans="1:7" x14ac:dyDescent="0.25">
      <c r="A407" s="2" t="s">
        <v>916</v>
      </c>
      <c r="B407" s="2" t="s">
        <v>915</v>
      </c>
      <c r="C407" s="2">
        <v>19.2</v>
      </c>
      <c r="D407" s="2">
        <v>5.9</v>
      </c>
      <c r="E407" s="2">
        <v>13.8</v>
      </c>
      <c r="F407" s="2" t="str">
        <f>IFERROR(VLOOKUP(B407,Tabla2[],5,FALSE),"")</f>
        <v/>
      </c>
      <c r="G407" s="2">
        <f>SQRT(4*(Tabla1[[#This Row],[dD]]-'Find a similar substance'!$D$5)^2+('Find a similar substance'!$E$5-Tabla1[[#This Row],[dP]])^2+(Tabla1[[#This Row],[dH]]-'Find a similar substance'!$F$5)^2)</f>
        <v>10.598113039593414</v>
      </c>
    </row>
    <row r="408" spans="1:7" x14ac:dyDescent="0.25">
      <c r="A408" s="2" t="s">
        <v>918</v>
      </c>
      <c r="B408" s="2" t="s">
        <v>917</v>
      </c>
      <c r="C408" s="2">
        <v>20</v>
      </c>
      <c r="D408" s="2">
        <v>14.6</v>
      </c>
      <c r="E408" s="2">
        <v>16.3</v>
      </c>
      <c r="F408" s="2" t="str">
        <f>IFERROR(VLOOKUP(B408,Tabla2[],5,FALSE),"")</f>
        <v/>
      </c>
      <c r="G408" s="2">
        <f>SQRT(4*(Tabla1[[#This Row],[dD]]-'Find a similar substance'!$D$5)^2+('Find a similar substance'!$E$5-Tabla1[[#This Row],[dP]])^2+(Tabla1[[#This Row],[dH]]-'Find a similar substance'!$F$5)^2)</f>
        <v>14.447837208385204</v>
      </c>
    </row>
    <row r="409" spans="1:7" x14ac:dyDescent="0.25">
      <c r="A409" s="2" t="s">
        <v>920</v>
      </c>
      <c r="B409" s="2" t="s">
        <v>919</v>
      </c>
      <c r="C409" s="2">
        <v>20</v>
      </c>
      <c r="D409" s="2">
        <v>14.6</v>
      </c>
      <c r="E409" s="2">
        <v>18.8</v>
      </c>
      <c r="F409" s="2" t="str">
        <f>IFERROR(VLOOKUP(B409,Tabla2[],5,FALSE),"")</f>
        <v/>
      </c>
      <c r="G409" s="2">
        <f>SQRT(4*(Tabla1[[#This Row],[dD]]-'Find a similar substance'!$D$5)^2+('Find a similar substance'!$E$5-Tabla1[[#This Row],[dP]])^2+(Tabla1[[#This Row],[dH]]-'Find a similar substance'!$F$5)^2)</f>
        <v>16.476953601925327</v>
      </c>
    </row>
    <row r="410" spans="1:7" x14ac:dyDescent="0.25">
      <c r="A410" s="2" t="s">
        <v>922</v>
      </c>
      <c r="B410" s="2" t="s">
        <v>921</v>
      </c>
      <c r="C410" s="2">
        <v>17</v>
      </c>
      <c r="D410" s="2">
        <v>10.199999999999999</v>
      </c>
      <c r="E410" s="2">
        <v>6.9</v>
      </c>
      <c r="F410" s="2" t="str">
        <f>IFERROR(VLOOKUP(B410,Tabla2[],5,FALSE),"")</f>
        <v/>
      </c>
      <c r="G410" s="2">
        <f>SQRT(4*(Tabla1[[#This Row],[dD]]-'Find a similar substance'!$D$5)^2+('Find a similar substance'!$E$5-Tabla1[[#This Row],[dP]])^2+(Tabla1[[#This Row],[dH]]-'Find a similar substance'!$F$5)^2)</f>
        <v>2.5495097567963918</v>
      </c>
    </row>
    <row r="411" spans="1:7" x14ac:dyDescent="0.25">
      <c r="A411" s="2" t="s">
        <v>924</v>
      </c>
      <c r="B411" s="2" t="s">
        <v>923</v>
      </c>
      <c r="C411" s="2">
        <v>16.600000000000001</v>
      </c>
      <c r="D411" s="2">
        <v>2.5</v>
      </c>
      <c r="E411" s="2">
        <v>0</v>
      </c>
      <c r="F411" s="2" t="str">
        <f>IFERROR(VLOOKUP(B411,Tabla2[],5,FALSE),"")</f>
        <v/>
      </c>
      <c r="G411" s="2">
        <f>SQRT(4*(Tabla1[[#This Row],[dD]]-'Find a similar substance'!$D$5)^2+('Find a similar substance'!$E$5-Tabla1[[#This Row],[dP]])^2+(Tabla1[[#This Row],[dH]]-'Find a similar substance'!$F$5)^2)</f>
        <v>7.96492310069595</v>
      </c>
    </row>
    <row r="412" spans="1:7" x14ac:dyDescent="0.25">
      <c r="A412" s="2" t="s">
        <v>926</v>
      </c>
      <c r="B412" s="2" t="s">
        <v>925</v>
      </c>
      <c r="C412" s="2">
        <v>18.2</v>
      </c>
      <c r="D412" s="2">
        <v>14.9</v>
      </c>
      <c r="E412" s="2">
        <v>0</v>
      </c>
      <c r="F412" s="2" t="str">
        <f>IFERROR(VLOOKUP(B412,Tabla2[],5,FALSE),"")</f>
        <v/>
      </c>
      <c r="G412" s="2">
        <f>SQRT(4*(Tabla1[[#This Row],[dD]]-'Find a similar substance'!$D$5)^2+('Find a similar substance'!$E$5-Tabla1[[#This Row],[dP]])^2+(Tabla1[[#This Row],[dH]]-'Find a similar substance'!$F$5)^2)</f>
        <v>8.5837054935499726</v>
      </c>
    </row>
    <row r="413" spans="1:7" x14ac:dyDescent="0.25">
      <c r="A413" s="2" t="s">
        <v>928</v>
      </c>
      <c r="B413" s="2" t="s">
        <v>927</v>
      </c>
      <c r="C413" s="2">
        <v>15.7</v>
      </c>
      <c r="D413" s="2">
        <v>9.9</v>
      </c>
      <c r="E413" s="2">
        <v>5.6</v>
      </c>
      <c r="F413" s="2" t="str">
        <f>IFERROR(VLOOKUP(B413,Tabla2[],5,FALSE),"")</f>
        <v/>
      </c>
      <c r="G413" s="2">
        <f>SQRT(4*(Tabla1[[#This Row],[dD]]-'Find a similar substance'!$D$5)^2+('Find a similar substance'!$E$5-Tabla1[[#This Row],[dP]])^2+(Tabla1[[#This Row],[dH]]-'Find a similar substance'!$F$5)^2)</f>
        <v>2.2449944320643684</v>
      </c>
    </row>
    <row r="414" spans="1:7" x14ac:dyDescent="0.25">
      <c r="A414" s="2" t="s">
        <v>930</v>
      </c>
      <c r="B414" s="2" t="s">
        <v>929</v>
      </c>
      <c r="C414" s="2">
        <v>19.2</v>
      </c>
      <c r="D414" s="2">
        <v>5.5</v>
      </c>
      <c r="E414" s="2">
        <v>4.0999999999999996</v>
      </c>
      <c r="F414" s="2" t="str">
        <f>IFERROR(VLOOKUP(B414,Tabla2[],5,FALSE),"")</f>
        <v/>
      </c>
      <c r="G414" s="2">
        <f>SQRT(4*(Tabla1[[#This Row],[dD]]-'Find a similar substance'!$D$5)^2+('Find a similar substance'!$E$5-Tabla1[[#This Row],[dP]])^2+(Tabla1[[#This Row],[dH]]-'Find a similar substance'!$F$5)^2)</f>
        <v>6.1717096496837858</v>
      </c>
    </row>
    <row r="415" spans="1:7" x14ac:dyDescent="0.25">
      <c r="A415" s="2" t="s">
        <v>932</v>
      </c>
      <c r="B415" s="2" t="s">
        <v>931</v>
      </c>
      <c r="C415" s="2">
        <v>17.3</v>
      </c>
      <c r="D415" s="2">
        <v>5.7</v>
      </c>
      <c r="E415" s="2">
        <v>3.5</v>
      </c>
      <c r="F415" s="2" t="str">
        <f>IFERROR(VLOOKUP(B415,Tabla2[],5,FALSE),"")</f>
        <v/>
      </c>
      <c r="G415" s="2">
        <f>SQRT(4*(Tabla1[[#This Row],[dD]]-'Find a similar substance'!$D$5)^2+('Find a similar substance'!$E$5-Tabla1[[#This Row],[dP]])^2+(Tabla1[[#This Row],[dH]]-'Find a similar substance'!$F$5)^2)</f>
        <v>3.6345563690772482</v>
      </c>
    </row>
    <row r="416" spans="1:7" x14ac:dyDescent="0.25">
      <c r="A416" s="2" t="s">
        <v>934</v>
      </c>
      <c r="B416" s="2" t="s">
        <v>933</v>
      </c>
      <c r="C416" s="2">
        <v>15.9</v>
      </c>
      <c r="D416" s="2">
        <v>6.3</v>
      </c>
      <c r="E416" s="2">
        <v>5.4</v>
      </c>
      <c r="F416" s="2" t="str">
        <f>IFERROR(VLOOKUP(B416,Tabla2[],5,FALSE),"")</f>
        <v/>
      </c>
      <c r="G416" s="2">
        <f>SQRT(4*(Tabla1[[#This Row],[dD]]-'Find a similar substance'!$D$5)^2+('Find a similar substance'!$E$5-Tabla1[[#This Row],[dP]])^2+(Tabla1[[#This Row],[dH]]-'Find a similar substance'!$F$5)^2)</f>
        <v>2.8071337695236407</v>
      </c>
    </row>
    <row r="417" spans="1:7" x14ac:dyDescent="0.25">
      <c r="A417" s="2" t="s">
        <v>936</v>
      </c>
      <c r="B417" s="2" t="s">
        <v>935</v>
      </c>
      <c r="C417" s="2">
        <v>20</v>
      </c>
      <c r="D417" s="2">
        <v>5</v>
      </c>
      <c r="E417" s="2">
        <v>7</v>
      </c>
      <c r="F417" s="2" t="str">
        <f>IFERROR(VLOOKUP(B417,Tabla2[],5,FALSE),"")</f>
        <v/>
      </c>
      <c r="G417" s="2">
        <f>SQRT(4*(Tabla1[[#This Row],[dD]]-'Find a similar substance'!$D$5)^2+('Find a similar substance'!$E$5-Tabla1[[#This Row],[dP]])^2+(Tabla1[[#This Row],[dH]]-'Find a similar substance'!$F$5)^2)</f>
        <v>7.9956238030562661</v>
      </c>
    </row>
    <row r="418" spans="1:7" x14ac:dyDescent="0.25">
      <c r="A418" s="2" t="s">
        <v>938</v>
      </c>
      <c r="B418" s="2" t="s">
        <v>937</v>
      </c>
      <c r="C418" s="2">
        <v>16.899999999999999</v>
      </c>
      <c r="D418" s="2">
        <v>8.5</v>
      </c>
      <c r="E418" s="2">
        <v>7</v>
      </c>
      <c r="F418" s="2" t="str">
        <f>IFERROR(VLOOKUP(B418,Tabla2[],5,FALSE),"")</f>
        <v/>
      </c>
      <c r="G418" s="2">
        <f>SQRT(4*(Tabla1[[#This Row],[dD]]-'Find a similar substance'!$D$5)^2+('Find a similar substance'!$E$5-Tabla1[[#This Row],[dP]])^2+(Tabla1[[#This Row],[dH]]-'Find a similar substance'!$F$5)^2)</f>
        <v>2.0976176963403015</v>
      </c>
    </row>
    <row r="419" spans="1:7" x14ac:dyDescent="0.25">
      <c r="A419" s="2" t="s">
        <v>940</v>
      </c>
      <c r="B419" s="2" t="s">
        <v>939</v>
      </c>
      <c r="C419" s="2">
        <v>16.899999999999999</v>
      </c>
      <c r="D419" s="2">
        <v>6.4</v>
      </c>
      <c r="E419" s="2">
        <v>4.7</v>
      </c>
      <c r="F419" s="2" t="str">
        <f>IFERROR(VLOOKUP(B419,Tabla2[],5,FALSE),"")</f>
        <v/>
      </c>
      <c r="G419" s="2">
        <f>SQRT(4*(Tabla1[[#This Row],[dD]]-'Find a similar substance'!$D$5)^2+('Find a similar substance'!$E$5-Tabla1[[#This Row],[dP]])^2+(Tabla1[[#This Row],[dH]]-'Find a similar substance'!$F$5)^2)</f>
        <v>2.3958297101421855</v>
      </c>
    </row>
    <row r="420" spans="1:7" x14ac:dyDescent="0.25">
      <c r="A420" s="2" t="s">
        <v>942</v>
      </c>
      <c r="B420" s="2" t="s">
        <v>941</v>
      </c>
      <c r="C420" s="2">
        <v>18.3</v>
      </c>
      <c r="D420" s="2">
        <v>0.8</v>
      </c>
      <c r="E420" s="2">
        <v>0</v>
      </c>
      <c r="F420" s="2" t="str">
        <f>IFERROR(VLOOKUP(B420,Tabla2[],5,FALSE),"")</f>
        <v/>
      </c>
      <c r="G420" s="2">
        <f>SQRT(4*(Tabla1[[#This Row],[dD]]-'Find a similar substance'!$D$5)^2+('Find a similar substance'!$E$5-Tabla1[[#This Row],[dP]])^2+(Tabla1[[#This Row],[dH]]-'Find a similar substance'!$F$5)^2)</f>
        <v>9.948366700117159</v>
      </c>
    </row>
    <row r="421" spans="1:7" x14ac:dyDescent="0.25">
      <c r="A421" s="2" t="s">
        <v>942</v>
      </c>
      <c r="B421" s="2" t="s">
        <v>943</v>
      </c>
      <c r="C421" s="2">
        <v>18.3</v>
      </c>
      <c r="D421" s="2">
        <v>8.1</v>
      </c>
      <c r="E421" s="2">
        <v>6</v>
      </c>
      <c r="F421" s="2" t="str">
        <f>IFERROR(VLOOKUP(B421,Tabla2[],5,FALSE),"")</f>
        <v/>
      </c>
      <c r="G421" s="2">
        <f>SQRT(4*(Tabla1[[#This Row],[dD]]-'Find a similar substance'!$D$5)^2+('Find a similar substance'!$E$5-Tabla1[[#This Row],[dP]])^2+(Tabla1[[#This Row],[dH]]-'Find a similar substance'!$F$5)^2)</f>
        <v>3.5944401511222841</v>
      </c>
    </row>
    <row r="422" spans="1:7" x14ac:dyDescent="0.25">
      <c r="A422" s="2" t="s">
        <v>942</v>
      </c>
      <c r="B422" s="2" t="s">
        <v>944</v>
      </c>
      <c r="C422" s="2">
        <v>18.3</v>
      </c>
      <c r="D422" s="2">
        <v>8.1</v>
      </c>
      <c r="E422" s="2">
        <v>0</v>
      </c>
      <c r="F422" s="2" t="str">
        <f>IFERROR(VLOOKUP(B422,Tabla2[],5,FALSE),"")</f>
        <v/>
      </c>
      <c r="G422" s="2">
        <f>SQRT(4*(Tabla1[[#This Row],[dD]]-'Find a similar substance'!$D$5)^2+('Find a similar substance'!$E$5-Tabla1[[#This Row],[dP]])^2+(Tabla1[[#This Row],[dH]]-'Find a similar substance'!$F$5)^2)</f>
        <v>6.0761830123853233</v>
      </c>
    </row>
    <row r="423" spans="1:7" x14ac:dyDescent="0.25">
      <c r="A423" s="2" t="s">
        <v>946</v>
      </c>
      <c r="B423" s="2" t="s">
        <v>945</v>
      </c>
      <c r="C423" s="2">
        <v>14.3</v>
      </c>
      <c r="D423" s="2">
        <v>2.4</v>
      </c>
      <c r="E423" s="2">
        <v>0</v>
      </c>
      <c r="F423" s="2" t="str">
        <f>IFERROR(VLOOKUP(B423,Tabla2[],5,FALSE),"")</f>
        <v/>
      </c>
      <c r="G423" s="2">
        <f>SQRT(4*(Tabla1[[#This Row],[dD]]-'Find a similar substance'!$D$5)^2+('Find a similar substance'!$E$5-Tabla1[[#This Row],[dP]])^2+(Tabla1[[#This Row],[dH]]-'Find a similar substance'!$F$5)^2)</f>
        <v>9.2655275079188009</v>
      </c>
    </row>
    <row r="424" spans="1:7" x14ac:dyDescent="0.25">
      <c r="A424" s="2" t="s">
        <v>948</v>
      </c>
      <c r="B424" s="2" t="s">
        <v>947</v>
      </c>
      <c r="C424" s="2">
        <v>16.2</v>
      </c>
      <c r="D424" s="2">
        <v>11.7</v>
      </c>
      <c r="E424" s="2">
        <v>5.2</v>
      </c>
      <c r="F424" s="2" t="str">
        <f>IFERROR(VLOOKUP(B424,Tabla2[],5,FALSE),"")</f>
        <v/>
      </c>
      <c r="G424" s="2">
        <f>SQRT(4*(Tabla1[[#This Row],[dD]]-'Find a similar substance'!$D$5)^2+('Find a similar substance'!$E$5-Tabla1[[#This Row],[dP]])^2+(Tabla1[[#This Row],[dH]]-'Find a similar substance'!$F$5)^2)</f>
        <v>3.1112698372208105</v>
      </c>
    </row>
    <row r="425" spans="1:7" x14ac:dyDescent="0.25">
      <c r="A425" s="2" t="s">
        <v>950</v>
      </c>
      <c r="B425" s="2" t="s">
        <v>949</v>
      </c>
      <c r="C425" s="2">
        <v>18.3</v>
      </c>
      <c r="D425" s="2">
        <v>14.4</v>
      </c>
      <c r="E425" s="2">
        <v>6.2</v>
      </c>
      <c r="F425" s="2" t="str">
        <f>IFERROR(VLOOKUP(B425,Tabla2[],5,FALSE),"")</f>
        <v/>
      </c>
      <c r="G425" s="2">
        <f>SQRT(4*(Tabla1[[#This Row],[dD]]-'Find a similar substance'!$D$5)^2+('Find a similar substance'!$E$5-Tabla1[[#This Row],[dP]])^2+(Tabla1[[#This Row],[dH]]-'Find a similar substance'!$F$5)^2)</f>
        <v>6.7446274915668987</v>
      </c>
    </row>
    <row r="426" spans="1:7" x14ac:dyDescent="0.25">
      <c r="A426" s="2" t="s">
        <v>952</v>
      </c>
      <c r="B426" s="2" t="s">
        <v>951</v>
      </c>
      <c r="C426" s="2">
        <v>15.7</v>
      </c>
      <c r="D426" s="2">
        <v>5.0999999999999996</v>
      </c>
      <c r="E426" s="2">
        <v>6.8</v>
      </c>
      <c r="F426" s="2" t="str">
        <f>IFERROR(VLOOKUP(B426,Tabla2[],5,FALSE),"")</f>
        <v/>
      </c>
      <c r="G426" s="2">
        <f>SQRT(4*(Tabla1[[#This Row],[dD]]-'Find a similar substance'!$D$5)^2+('Find a similar substance'!$E$5-Tabla1[[#This Row],[dP]])^2+(Tabla1[[#This Row],[dH]]-'Find a similar substance'!$F$5)^2)</f>
        <v>4.4090815370097216</v>
      </c>
    </row>
    <row r="427" spans="1:7" x14ac:dyDescent="0.25">
      <c r="A427" s="2" t="s">
        <v>954</v>
      </c>
      <c r="B427" s="2" t="s">
        <v>953</v>
      </c>
      <c r="C427" s="2">
        <v>14.1</v>
      </c>
      <c r="D427" s="2">
        <v>0</v>
      </c>
      <c r="E427" s="2">
        <v>0</v>
      </c>
      <c r="F427" s="2" t="str">
        <f>IFERROR(VLOOKUP(B427,Tabla2[],5,FALSE),"")</f>
        <v/>
      </c>
      <c r="G427" s="2">
        <f>SQRT(4*(Tabla1[[#This Row],[dD]]-'Find a similar substance'!$D$5)^2+('Find a similar substance'!$E$5-Tabla1[[#This Row],[dP]])^2+(Tabla1[[#This Row],[dH]]-'Find a similar substance'!$F$5)^2)</f>
        <v>11.211155159036915</v>
      </c>
    </row>
    <row r="428" spans="1:7" x14ac:dyDescent="0.25">
      <c r="A428" s="2" t="s">
        <v>956</v>
      </c>
      <c r="B428" s="2" t="s">
        <v>955</v>
      </c>
      <c r="C428" s="2">
        <v>15.5</v>
      </c>
      <c r="D428" s="2">
        <v>6.5</v>
      </c>
      <c r="E428" s="2">
        <v>10.199999999999999</v>
      </c>
      <c r="F428" s="2" t="str">
        <f>IFERROR(VLOOKUP(B428,Tabla2[],5,FALSE),"")</f>
        <v/>
      </c>
      <c r="G428" s="2">
        <f>SQRT(4*(Tabla1[[#This Row],[dD]]-'Find a similar substance'!$D$5)^2+('Find a similar substance'!$E$5-Tabla1[[#This Row],[dP]])^2+(Tabla1[[#This Row],[dH]]-'Find a similar substance'!$F$5)^2)</f>
        <v>6.059702963017247</v>
      </c>
    </row>
    <row r="429" spans="1:7" x14ac:dyDescent="0.25">
      <c r="A429" s="2" t="s">
        <v>957</v>
      </c>
      <c r="B429" s="2" t="s">
        <v>17</v>
      </c>
      <c r="C429" s="2">
        <v>18.3</v>
      </c>
      <c r="D429" s="2">
        <v>5.6</v>
      </c>
      <c r="E429" s="2">
        <v>5.5</v>
      </c>
      <c r="F429" s="2">
        <f>IFERROR(VLOOKUP(B429,Tabla2[],5,FALSE),"")</f>
        <v>178.1</v>
      </c>
      <c r="G429" s="2">
        <f>SQRT(4*(Tabla1[[#This Row],[dD]]-'Find a similar substance'!$D$5)^2+('Find a similar substance'!$E$5-Tabla1[[#This Row],[dP]])^2+(Tabla1[[#This Row],[dH]]-'Find a similar substance'!$F$5)^2)</f>
        <v>4.6281745861624524</v>
      </c>
    </row>
    <row r="430" spans="1:7" x14ac:dyDescent="0.25">
      <c r="A430" s="2" t="s">
        <v>959</v>
      </c>
      <c r="B430" s="2" t="s">
        <v>958</v>
      </c>
      <c r="C430" s="2">
        <v>15.7</v>
      </c>
      <c r="D430" s="2">
        <v>6.5</v>
      </c>
      <c r="E430" s="2">
        <v>9.1999999999999993</v>
      </c>
      <c r="F430" s="2" t="str">
        <f>IFERROR(VLOOKUP(B430,Tabla2[],5,FALSE),"")</f>
        <v/>
      </c>
      <c r="G430" s="2">
        <f>SQRT(4*(Tabla1[[#This Row],[dD]]-'Find a similar substance'!$D$5)^2+('Find a similar substance'!$E$5-Tabla1[[#This Row],[dP]])^2+(Tabla1[[#This Row],[dH]]-'Find a similar substance'!$F$5)^2)</f>
        <v>5.0714889332423869</v>
      </c>
    </row>
    <row r="431" spans="1:7" x14ac:dyDescent="0.25">
      <c r="A431" s="2" t="s">
        <v>961</v>
      </c>
      <c r="B431" s="2" t="s">
        <v>960</v>
      </c>
      <c r="C431" s="2">
        <v>14.8</v>
      </c>
      <c r="D431" s="2">
        <v>5.3</v>
      </c>
      <c r="E431" s="2">
        <v>5</v>
      </c>
      <c r="F431" s="2" t="str">
        <f>IFERROR(VLOOKUP(B431,Tabla2[],5,FALSE),"")</f>
        <v/>
      </c>
      <c r="G431" s="2">
        <f>SQRT(4*(Tabla1[[#This Row],[dD]]-'Find a similar substance'!$D$5)^2+('Find a similar substance'!$E$5-Tabla1[[#This Row],[dP]])^2+(Tabla1[[#This Row],[dH]]-'Find a similar substance'!$F$5)^2)</f>
        <v>4.9517673612559792</v>
      </c>
    </row>
    <row r="432" spans="1:7" x14ac:dyDescent="0.25">
      <c r="A432" s="2" t="s">
        <v>963</v>
      </c>
      <c r="B432" s="2" t="s">
        <v>962</v>
      </c>
      <c r="C432" s="2">
        <v>15.8</v>
      </c>
      <c r="D432" s="2">
        <v>6.5</v>
      </c>
      <c r="E432" s="2">
        <v>10.199999999999999</v>
      </c>
      <c r="F432" s="2" t="str">
        <f>IFERROR(VLOOKUP(B432,Tabla2[],5,FALSE),"")</f>
        <v/>
      </c>
      <c r="G432" s="2">
        <f>SQRT(4*(Tabla1[[#This Row],[dD]]-'Find a similar substance'!$D$5)^2+('Find a similar substance'!$E$5-Tabla1[[#This Row],[dP]])^2+(Tabla1[[#This Row],[dH]]-'Find a similar substance'!$F$5)^2)</f>
        <v>5.8685603004484834</v>
      </c>
    </row>
    <row r="433" spans="1:7" x14ac:dyDescent="0.25">
      <c r="A433" s="2" t="s">
        <v>965</v>
      </c>
      <c r="B433" s="2" t="s">
        <v>964</v>
      </c>
      <c r="C433" s="2">
        <v>16.3</v>
      </c>
      <c r="D433" s="2">
        <v>3.7</v>
      </c>
      <c r="E433" s="2">
        <v>4.2</v>
      </c>
      <c r="F433" s="2" t="str">
        <f>IFERROR(VLOOKUP(B433,Tabla2[],5,FALSE),"")</f>
        <v/>
      </c>
      <c r="G433" s="2">
        <f>SQRT(4*(Tabla1[[#This Row],[dD]]-'Find a similar substance'!$D$5)^2+('Find a similar substance'!$E$5-Tabla1[[#This Row],[dP]])^2+(Tabla1[[#This Row],[dH]]-'Find a similar substance'!$F$5)^2)</f>
        <v>5.0990195135927845</v>
      </c>
    </row>
    <row r="434" spans="1:7" x14ac:dyDescent="0.25">
      <c r="A434" s="2" t="s">
        <v>967</v>
      </c>
      <c r="B434" s="2" t="s">
        <v>966</v>
      </c>
      <c r="C434" s="2">
        <v>14.5</v>
      </c>
      <c r="D434" s="2">
        <v>3.7</v>
      </c>
      <c r="E434" s="2">
        <v>3.5</v>
      </c>
      <c r="F434" s="2" t="str">
        <f>IFERROR(VLOOKUP(B434,Tabla2[],5,FALSE),"")</f>
        <v/>
      </c>
      <c r="G434" s="2">
        <f>SQRT(4*(Tabla1[[#This Row],[dD]]-'Find a similar substance'!$D$5)^2+('Find a similar substance'!$E$5-Tabla1[[#This Row],[dP]])^2+(Tabla1[[#This Row],[dH]]-'Find a similar substance'!$F$5)^2)</f>
        <v>6.7000000000000011</v>
      </c>
    </row>
    <row r="435" spans="1:7" x14ac:dyDescent="0.25">
      <c r="A435" s="2" t="s">
        <v>633</v>
      </c>
      <c r="B435" s="2" t="s">
        <v>968</v>
      </c>
      <c r="C435" s="2">
        <v>16.100000000000001</v>
      </c>
      <c r="D435" s="2">
        <v>2.5</v>
      </c>
      <c r="E435" s="2">
        <v>5.7</v>
      </c>
      <c r="F435" s="2" t="str">
        <f>IFERROR(VLOOKUP(B435,Tabla2[],5,FALSE),"")</f>
        <v/>
      </c>
      <c r="G435" s="2">
        <f>SQRT(4*(Tabla1[[#This Row],[dD]]-'Find a similar substance'!$D$5)^2+('Find a similar substance'!$E$5-Tabla1[[#This Row],[dP]])^2+(Tabla1[[#This Row],[dH]]-'Find a similar substance'!$F$5)^2)</f>
        <v>6.3190189111918311</v>
      </c>
    </row>
    <row r="436" spans="1:7" x14ac:dyDescent="0.25">
      <c r="A436" s="2" t="s">
        <v>970</v>
      </c>
      <c r="B436" s="2" t="s">
        <v>969</v>
      </c>
      <c r="C436" s="2">
        <v>16.3</v>
      </c>
      <c r="D436" s="2">
        <v>6.2</v>
      </c>
      <c r="E436" s="2">
        <v>5.9</v>
      </c>
      <c r="F436" s="2" t="str">
        <f>IFERROR(VLOOKUP(B436,Tabla2[],5,FALSE),"")</f>
        <v/>
      </c>
      <c r="G436" s="2">
        <f>SQRT(4*(Tabla1[[#This Row],[dD]]-'Find a similar substance'!$D$5)^2+('Find a similar substance'!$E$5-Tabla1[[#This Row],[dP]])^2+(Tabla1[[#This Row],[dH]]-'Find a similar substance'!$F$5)^2)</f>
        <v>2.7239676943752467</v>
      </c>
    </row>
    <row r="437" spans="1:7" x14ac:dyDescent="0.25">
      <c r="A437" s="2" t="s">
        <v>972</v>
      </c>
      <c r="B437" s="2" t="s">
        <v>971</v>
      </c>
      <c r="C437" s="2">
        <v>15.6</v>
      </c>
      <c r="D437" s="2">
        <v>10.1</v>
      </c>
      <c r="E437" s="2">
        <v>6.2</v>
      </c>
      <c r="F437" s="2" t="str">
        <f>IFERROR(VLOOKUP(B437,Tabla2[],5,FALSE),"")</f>
        <v/>
      </c>
      <c r="G437" s="2">
        <f>SQRT(4*(Tabla1[[#This Row],[dD]]-'Find a similar substance'!$D$5)^2+('Find a similar substance'!$E$5-Tabla1[[#This Row],[dP]])^2+(Tabla1[[#This Row],[dH]]-'Find a similar substance'!$F$5)^2)</f>
        <v>2.7202941017470916</v>
      </c>
    </row>
    <row r="438" spans="1:7" x14ac:dyDescent="0.25">
      <c r="A438" s="2" t="s">
        <v>974</v>
      </c>
      <c r="B438" s="2" t="s">
        <v>973</v>
      </c>
      <c r="C438" s="2">
        <v>15.7</v>
      </c>
      <c r="D438" s="2">
        <v>4.8</v>
      </c>
      <c r="E438" s="2">
        <v>12</v>
      </c>
      <c r="F438" s="2" t="str">
        <f>IFERROR(VLOOKUP(B438,Tabla2[],5,FALSE),"")</f>
        <v/>
      </c>
      <c r="G438" s="2">
        <f>SQRT(4*(Tabla1[[#This Row],[dD]]-'Find a similar substance'!$D$5)^2+('Find a similar substance'!$E$5-Tabla1[[#This Row],[dP]])^2+(Tabla1[[#This Row],[dH]]-'Find a similar substance'!$F$5)^2)</f>
        <v>8.2127948957708679</v>
      </c>
    </row>
    <row r="439" spans="1:7" x14ac:dyDescent="0.25">
      <c r="A439" s="2" t="s">
        <v>976</v>
      </c>
      <c r="B439" s="2" t="s">
        <v>975</v>
      </c>
      <c r="C439" s="2">
        <v>15.8</v>
      </c>
      <c r="D439" s="2">
        <v>10.3</v>
      </c>
      <c r="E439" s="2">
        <v>4.5</v>
      </c>
      <c r="F439" s="2" t="str">
        <f>IFERROR(VLOOKUP(B439,Tabla2[],5,FALSE),"")</f>
        <v/>
      </c>
      <c r="G439" s="2">
        <f>SQRT(4*(Tabla1[[#This Row],[dD]]-'Find a similar substance'!$D$5)^2+('Find a similar substance'!$E$5-Tabla1[[#This Row],[dP]])^2+(Tabla1[[#This Row],[dH]]-'Find a similar substance'!$F$5)^2)</f>
        <v>2.3173260452512956</v>
      </c>
    </row>
    <row r="440" spans="1:7" x14ac:dyDescent="0.25">
      <c r="A440" s="2" t="s">
        <v>978</v>
      </c>
      <c r="B440" s="2" t="s">
        <v>977</v>
      </c>
      <c r="C440" s="2">
        <v>15.3</v>
      </c>
      <c r="D440" s="2">
        <v>12.4</v>
      </c>
      <c r="E440" s="2">
        <v>5.0999999999999996</v>
      </c>
      <c r="F440" s="2" t="str">
        <f>IFERROR(VLOOKUP(B440,Tabla2[],5,FALSE),"")</f>
        <v/>
      </c>
      <c r="G440" s="2">
        <f>SQRT(4*(Tabla1[[#This Row],[dD]]-'Find a similar substance'!$D$5)^2+('Find a similar substance'!$E$5-Tabla1[[#This Row],[dP]])^2+(Tabla1[[#This Row],[dH]]-'Find a similar substance'!$F$5)^2)</f>
        <v>4.5232731511594588</v>
      </c>
    </row>
    <row r="441" spans="1:7" x14ac:dyDescent="0.25">
      <c r="A441" s="2" t="s">
        <v>980</v>
      </c>
      <c r="B441" s="2" t="s">
        <v>979</v>
      </c>
      <c r="C441" s="2">
        <v>16.8</v>
      </c>
      <c r="D441" s="2">
        <v>9.4</v>
      </c>
      <c r="E441" s="2">
        <v>4.8</v>
      </c>
      <c r="F441" s="2" t="str">
        <f>IFERROR(VLOOKUP(B441,Tabla2[],5,FALSE),"")</f>
        <v/>
      </c>
      <c r="G441" s="2">
        <f>SQRT(4*(Tabla1[[#This Row],[dD]]-'Find a similar substance'!$D$5)^2+('Find a similar substance'!$E$5-Tabla1[[#This Row],[dP]])^2+(Tabla1[[#This Row],[dH]]-'Find a similar substance'!$F$5)^2)</f>
        <v>0.83066238629180777</v>
      </c>
    </row>
    <row r="442" spans="1:7" x14ac:dyDescent="0.25">
      <c r="A442" s="2" t="s">
        <v>982</v>
      </c>
      <c r="B442" s="2" t="s">
        <v>981</v>
      </c>
      <c r="C442" s="2">
        <v>19.5</v>
      </c>
      <c r="D442" s="2">
        <v>10.1</v>
      </c>
      <c r="E442" s="2">
        <v>13</v>
      </c>
      <c r="F442" s="2" t="str">
        <f>IFERROR(VLOOKUP(B442,Tabla2[],5,FALSE),"")</f>
        <v/>
      </c>
      <c r="G442" s="2">
        <f>SQRT(4*(Tabla1[[#This Row],[dD]]-'Find a similar substance'!$D$5)^2+('Find a similar substance'!$E$5-Tabla1[[#This Row],[dP]])^2+(Tabla1[[#This Row],[dH]]-'Find a similar substance'!$F$5)^2)</f>
        <v>9.9799799598997172</v>
      </c>
    </row>
    <row r="443" spans="1:7" x14ac:dyDescent="0.25">
      <c r="A443" s="2" t="s">
        <v>984</v>
      </c>
      <c r="B443" s="2" t="s">
        <v>983</v>
      </c>
      <c r="C443" s="2">
        <v>16.399999999999999</v>
      </c>
      <c r="D443" s="2">
        <v>1.8</v>
      </c>
      <c r="E443" s="2">
        <v>3.1</v>
      </c>
      <c r="F443" s="2" t="str">
        <f>IFERROR(VLOOKUP(B443,Tabla2[],5,FALSE),"")</f>
        <v/>
      </c>
      <c r="G443" s="2">
        <f>SQRT(4*(Tabla1[[#This Row],[dD]]-'Find a similar substance'!$D$5)^2+('Find a similar substance'!$E$5-Tabla1[[#This Row],[dP]])^2+(Tabla1[[#This Row],[dH]]-'Find a similar substance'!$F$5)^2)</f>
        <v>7.1679843749829697</v>
      </c>
    </row>
    <row r="444" spans="1:7" x14ac:dyDescent="0.25">
      <c r="A444" s="2" t="s">
        <v>985</v>
      </c>
      <c r="B444" s="2" t="s">
        <v>21</v>
      </c>
      <c r="C444" s="2">
        <v>18</v>
      </c>
      <c r="D444" s="2">
        <v>15</v>
      </c>
      <c r="E444" s="2">
        <v>7.4</v>
      </c>
      <c r="F444" s="2">
        <f>IFERROR(VLOOKUP(B444,Tabla2[],5,FALSE),"")</f>
        <v>110.8</v>
      </c>
      <c r="G444" s="2">
        <f>SQRT(4*(Tabla1[[#This Row],[dD]]-'Find a similar substance'!$D$5)^2+('Find a similar substance'!$E$5-Tabla1[[#This Row],[dP]])^2+(Tabla1[[#This Row],[dH]]-'Find a similar substance'!$F$5)^2)</f>
        <v>7.3</v>
      </c>
    </row>
    <row r="445" spans="1:7" x14ac:dyDescent="0.25">
      <c r="A445" s="2" t="s">
        <v>987</v>
      </c>
      <c r="B445" s="2" t="s">
        <v>986</v>
      </c>
      <c r="C445" s="2">
        <v>21.7</v>
      </c>
      <c r="D445" s="2">
        <v>6.4</v>
      </c>
      <c r="E445" s="2">
        <v>6.2</v>
      </c>
      <c r="F445" s="2" t="str">
        <f>IFERROR(VLOOKUP(B445,Tabla2[],5,FALSE),"")</f>
        <v/>
      </c>
      <c r="G445" s="2">
        <f>SQRT(4*(Tabla1[[#This Row],[dD]]-'Find a similar substance'!$D$5)^2+('Find a similar substance'!$E$5-Tabla1[[#This Row],[dP]])^2+(Tabla1[[#This Row],[dH]]-'Find a similar substance'!$F$5)^2)</f>
        <v>10.52473277570504</v>
      </c>
    </row>
    <row r="446" spans="1:7" x14ac:dyDescent="0.25">
      <c r="A446" s="2" t="s">
        <v>989</v>
      </c>
      <c r="B446" s="2" t="s">
        <v>988</v>
      </c>
      <c r="C446" s="2">
        <v>15.7</v>
      </c>
      <c r="D446" s="2">
        <v>6.3</v>
      </c>
      <c r="E446" s="2">
        <v>5.7</v>
      </c>
      <c r="F446" s="2" t="str">
        <f>IFERROR(VLOOKUP(B446,Tabla2[],5,FALSE),"")</f>
        <v/>
      </c>
      <c r="G446" s="2">
        <f>SQRT(4*(Tabla1[[#This Row],[dD]]-'Find a similar substance'!$D$5)^2+('Find a similar substance'!$E$5-Tabla1[[#This Row],[dP]])^2+(Tabla1[[#This Row],[dH]]-'Find a similar substance'!$F$5)^2)</f>
        <v>3.0805843601498748</v>
      </c>
    </row>
    <row r="447" spans="1:7" x14ac:dyDescent="0.25">
      <c r="A447" s="2" t="s">
        <v>991</v>
      </c>
      <c r="B447" s="2" t="s">
        <v>990</v>
      </c>
      <c r="C447" s="2">
        <v>20.2</v>
      </c>
      <c r="D447" s="2">
        <v>0</v>
      </c>
      <c r="E447" s="2">
        <v>0.6</v>
      </c>
      <c r="F447" s="2" t="str">
        <f>IFERROR(VLOOKUP(B447,Tabla2[],5,FALSE),"")</f>
        <v/>
      </c>
      <c r="G447" s="2">
        <f>SQRT(4*(Tabla1[[#This Row],[dD]]-'Find a similar substance'!$D$5)^2+('Find a similar substance'!$E$5-Tabla1[[#This Row],[dP]])^2+(Tabla1[[#This Row],[dH]]-'Find a similar substance'!$F$5)^2)</f>
        <v>12.119818480488886</v>
      </c>
    </row>
    <row r="448" spans="1:7" x14ac:dyDescent="0.25">
      <c r="A448" s="2" t="s">
        <v>991</v>
      </c>
      <c r="B448" s="2" t="s">
        <v>992</v>
      </c>
      <c r="C448" s="2">
        <v>19.899999999999999</v>
      </c>
      <c r="D448" s="2">
        <v>5.8</v>
      </c>
      <c r="E448" s="2">
        <v>0.6</v>
      </c>
      <c r="F448" s="2" t="str">
        <f>IFERROR(VLOOKUP(B448,Tabla2[],5,FALSE),"")</f>
        <v/>
      </c>
      <c r="G448" s="2">
        <f>SQRT(4*(Tabla1[[#This Row],[dD]]-'Find a similar substance'!$D$5)^2+('Find a similar substance'!$E$5-Tabla1[[#This Row],[dP]])^2+(Tabla1[[#This Row],[dH]]-'Find a similar substance'!$F$5)^2)</f>
        <v>8.4457089696484289</v>
      </c>
    </row>
    <row r="449" spans="1:7" x14ac:dyDescent="0.25">
      <c r="A449" s="2" t="s">
        <v>994</v>
      </c>
      <c r="B449" s="2" t="s">
        <v>993</v>
      </c>
      <c r="C449" s="2">
        <v>17.8</v>
      </c>
      <c r="D449" s="2">
        <v>0</v>
      </c>
      <c r="E449" s="2">
        <v>0.6</v>
      </c>
      <c r="F449" s="2" t="str">
        <f>IFERROR(VLOOKUP(B449,Tabla2[],5,FALSE),"")</f>
        <v/>
      </c>
      <c r="G449" s="2">
        <f>SQRT(4*(Tabla1[[#This Row],[dD]]-'Find a similar substance'!$D$5)^2+('Find a similar substance'!$E$5-Tabla1[[#This Row],[dP]])^2+(Tabla1[[#This Row],[dH]]-'Find a similar substance'!$F$5)^2)</f>
        <v>10.040418317978588</v>
      </c>
    </row>
    <row r="450" spans="1:7" x14ac:dyDescent="0.25">
      <c r="A450" s="2" t="s">
        <v>994</v>
      </c>
      <c r="B450" s="2" t="s">
        <v>995</v>
      </c>
      <c r="C450" s="2">
        <v>16.100000000000001</v>
      </c>
      <c r="D450" s="2">
        <v>8.3000000000000007</v>
      </c>
      <c r="E450" s="2">
        <v>0</v>
      </c>
      <c r="F450" s="2" t="str">
        <f>IFERROR(VLOOKUP(B450,Tabla2[],5,FALSE),"")</f>
        <v/>
      </c>
      <c r="G450" s="2">
        <f>SQRT(4*(Tabla1[[#This Row],[dD]]-'Find a similar substance'!$D$5)^2+('Find a similar substance'!$E$5-Tabla1[[#This Row],[dP]])^2+(Tabla1[[#This Row],[dH]]-'Find a similar substance'!$F$5)^2)</f>
        <v>5.1146847410177685</v>
      </c>
    </row>
    <row r="451" spans="1:7" x14ac:dyDescent="0.25">
      <c r="A451" s="2" t="s">
        <v>997</v>
      </c>
      <c r="B451" s="2" t="s">
        <v>996</v>
      </c>
      <c r="C451" s="2">
        <v>15</v>
      </c>
      <c r="D451" s="2">
        <v>6.3</v>
      </c>
      <c r="E451" s="2">
        <v>8</v>
      </c>
      <c r="F451" s="2" t="str">
        <f>IFERROR(VLOOKUP(B451,Tabla2[],5,FALSE),"")</f>
        <v/>
      </c>
      <c r="G451" s="2">
        <f>SQRT(4*(Tabla1[[#This Row],[dD]]-'Find a similar substance'!$D$5)^2+('Find a similar substance'!$E$5-Tabla1[[#This Row],[dP]])^2+(Tabla1[[#This Row],[dH]]-'Find a similar substance'!$F$5)^2)</f>
        <v>5.0000000000000018</v>
      </c>
    </row>
    <row r="452" spans="1:7" x14ac:dyDescent="0.25">
      <c r="A452" s="2" t="s">
        <v>999</v>
      </c>
      <c r="B452" s="2" t="s">
        <v>998</v>
      </c>
      <c r="C452" s="2">
        <v>17.399999999999999</v>
      </c>
      <c r="D452" s="2">
        <v>3.7</v>
      </c>
      <c r="E452" s="2">
        <v>0</v>
      </c>
      <c r="F452" s="2" t="str">
        <f>IFERROR(VLOOKUP(B452,Tabla2[],5,FALSE),"")</f>
        <v/>
      </c>
      <c r="G452" s="2">
        <f>SQRT(4*(Tabla1[[#This Row],[dD]]-'Find a similar substance'!$D$5)^2+('Find a similar substance'!$E$5-Tabla1[[#This Row],[dP]])^2+(Tabla1[[#This Row],[dH]]-'Find a similar substance'!$F$5)^2)</f>
        <v>7.2498275841567414</v>
      </c>
    </row>
    <row r="453" spans="1:7" x14ac:dyDescent="0.25">
      <c r="A453" s="2" t="s">
        <v>1001</v>
      </c>
      <c r="B453" s="2" t="s">
        <v>1000</v>
      </c>
      <c r="C453" s="2">
        <v>15.9</v>
      </c>
      <c r="D453" s="2">
        <v>4.5999999999999996</v>
      </c>
      <c r="E453" s="2">
        <v>12</v>
      </c>
      <c r="F453" s="2" t="str">
        <f>IFERROR(VLOOKUP(B453,Tabla2[],5,FALSE),"")</f>
        <v/>
      </c>
      <c r="G453" s="2">
        <f>SQRT(4*(Tabla1[[#This Row],[dD]]-'Find a similar substance'!$D$5)^2+('Find a similar substance'!$E$5-Tabla1[[#This Row],[dP]])^2+(Tabla1[[#This Row],[dH]]-'Find a similar substance'!$F$5)^2)</f>
        <v>8.2322536404073468</v>
      </c>
    </row>
    <row r="454" spans="1:7" x14ac:dyDescent="0.25">
      <c r="A454" s="2" t="s">
        <v>1003</v>
      </c>
      <c r="B454" s="2" t="s">
        <v>1002</v>
      </c>
      <c r="C454" s="2">
        <v>16.399999999999999</v>
      </c>
      <c r="D454" s="2">
        <v>3.7</v>
      </c>
      <c r="E454" s="2">
        <v>8.1</v>
      </c>
      <c r="F454" s="2" t="str">
        <f>IFERROR(VLOOKUP(B454,Tabla2[],5,FALSE),"")</f>
        <v/>
      </c>
      <c r="G454" s="2">
        <f>SQRT(4*(Tabla1[[#This Row],[dD]]-'Find a similar substance'!$D$5)^2+('Find a similar substance'!$E$5-Tabla1[[#This Row],[dP]])^2+(Tabla1[[#This Row],[dH]]-'Find a similar substance'!$F$5)^2)</f>
        <v>5.8966091951222266</v>
      </c>
    </row>
    <row r="455" spans="1:7" x14ac:dyDescent="0.25">
      <c r="A455" s="2" t="s">
        <v>1005</v>
      </c>
      <c r="B455" s="2" t="s">
        <v>1004</v>
      </c>
      <c r="C455" s="2">
        <v>17.2</v>
      </c>
      <c r="D455" s="2">
        <v>7.4</v>
      </c>
      <c r="E455" s="2">
        <v>7.6</v>
      </c>
      <c r="F455" s="2" t="str">
        <f>IFERROR(VLOOKUP(B455,Tabla2[],5,FALSE),"")</f>
        <v/>
      </c>
      <c r="G455" s="2">
        <f>SQRT(4*(Tabla1[[#This Row],[dD]]-'Find a similar substance'!$D$5)^2+('Find a similar substance'!$E$5-Tabla1[[#This Row],[dP]])^2+(Tabla1[[#This Row],[dH]]-'Find a similar substance'!$F$5)^2)</f>
        <v>3.1448370387032751</v>
      </c>
    </row>
    <row r="456" spans="1:7" x14ac:dyDescent="0.25">
      <c r="A456" s="2" t="s">
        <v>1007</v>
      </c>
      <c r="B456" s="2" t="s">
        <v>1006</v>
      </c>
      <c r="C456" s="2">
        <v>17.3</v>
      </c>
      <c r="D456" s="2">
        <v>10</v>
      </c>
      <c r="E456" s="2">
        <v>0</v>
      </c>
      <c r="F456" s="2" t="str">
        <f>IFERROR(VLOOKUP(B456,Tabla2[],5,FALSE),"")</f>
        <v/>
      </c>
      <c r="G456" s="2">
        <f>SQRT(4*(Tabla1[[#This Row],[dD]]-'Find a similar substance'!$D$5)^2+('Find a similar substance'!$E$5-Tabla1[[#This Row],[dP]])^2+(Tabla1[[#This Row],[dH]]-'Find a similar substance'!$F$5)^2)</f>
        <v>5.3525694764290543</v>
      </c>
    </row>
    <row r="457" spans="1:7" x14ac:dyDescent="0.25">
      <c r="A457" s="2" t="s">
        <v>1009</v>
      </c>
      <c r="B457" s="2" t="s">
        <v>1008</v>
      </c>
      <c r="C457" s="2">
        <v>16.2</v>
      </c>
      <c r="D457" s="2">
        <v>14</v>
      </c>
      <c r="E457" s="2">
        <v>9</v>
      </c>
      <c r="F457" s="2" t="str">
        <f>IFERROR(VLOOKUP(B457,Tabla2[],5,FALSE),"")</f>
        <v/>
      </c>
      <c r="G457" s="2">
        <f>SQRT(4*(Tabla1[[#This Row],[dD]]-'Find a similar substance'!$D$5)^2+('Find a similar substance'!$E$5-Tabla1[[#This Row],[dP]])^2+(Tabla1[[#This Row],[dH]]-'Find a similar substance'!$F$5)^2)</f>
        <v>6.6880490428823878</v>
      </c>
    </row>
    <row r="458" spans="1:7" x14ac:dyDescent="0.25">
      <c r="A458" s="2" t="s">
        <v>1011</v>
      </c>
      <c r="B458" s="2" t="s">
        <v>1010</v>
      </c>
      <c r="C458" s="2">
        <v>17.7</v>
      </c>
      <c r="D458" s="2">
        <v>10.4</v>
      </c>
      <c r="E458" s="2">
        <v>12.3</v>
      </c>
      <c r="F458" s="2" t="str">
        <f>IFERROR(VLOOKUP(B458,Tabla2[],5,FALSE),"")</f>
        <v/>
      </c>
      <c r="G458" s="2">
        <f>SQRT(4*(Tabla1[[#This Row],[dD]]-'Find a similar substance'!$D$5)^2+('Find a similar substance'!$E$5-Tabla1[[#This Row],[dP]])^2+(Tabla1[[#This Row],[dH]]-'Find a similar substance'!$F$5)^2)</f>
        <v>7.811529939774922</v>
      </c>
    </row>
    <row r="459" spans="1:7" x14ac:dyDescent="0.25">
      <c r="A459" s="2" t="s">
        <v>1013</v>
      </c>
      <c r="B459" s="2" t="s">
        <v>1012</v>
      </c>
      <c r="C459" s="2">
        <v>20.399999999999999</v>
      </c>
      <c r="D459" s="2">
        <v>17.3</v>
      </c>
      <c r="E459" s="2">
        <v>11.5</v>
      </c>
      <c r="F459" s="2" t="str">
        <f>IFERROR(VLOOKUP(B459,Tabla2[],5,FALSE),"")</f>
        <v/>
      </c>
      <c r="G459" s="2">
        <f>SQRT(4*(Tabla1[[#This Row],[dD]]-'Find a similar substance'!$D$5)^2+('Find a similar substance'!$E$5-Tabla1[[#This Row],[dP]])^2+(Tabla1[[#This Row],[dH]]-'Find a similar substance'!$F$5)^2)</f>
        <v>13.189768762188363</v>
      </c>
    </row>
    <row r="460" spans="1:7" x14ac:dyDescent="0.25">
      <c r="A460" s="2" t="s">
        <v>1015</v>
      </c>
      <c r="B460" s="2" t="s">
        <v>1014</v>
      </c>
      <c r="C460" s="2">
        <v>16.8</v>
      </c>
      <c r="D460" s="2">
        <v>9.6</v>
      </c>
      <c r="E460" s="2">
        <v>5.5</v>
      </c>
      <c r="F460" s="2" t="str">
        <f>IFERROR(VLOOKUP(B460,Tabla2[],5,FALSE),"")</f>
        <v/>
      </c>
      <c r="G460" s="2">
        <f>SQRT(4*(Tabla1[[#This Row],[dD]]-'Find a similar substance'!$D$5)^2+('Find a similar substance'!$E$5-Tabla1[[#This Row],[dP]])^2+(Tabla1[[#This Row],[dH]]-'Find a similar substance'!$F$5)^2)</f>
        <v>1.1045361017187258</v>
      </c>
    </row>
    <row r="461" spans="1:7" x14ac:dyDescent="0.25">
      <c r="A461" s="2" t="s">
        <v>1017</v>
      </c>
      <c r="B461" s="2" t="s">
        <v>1016</v>
      </c>
      <c r="C461" s="2">
        <v>17.399999999999999</v>
      </c>
      <c r="D461" s="2">
        <v>13.6</v>
      </c>
      <c r="E461" s="2">
        <v>2</v>
      </c>
      <c r="F461" s="2" t="str">
        <f>IFERROR(VLOOKUP(B461,Tabla2[],5,FALSE),"")</f>
        <v/>
      </c>
      <c r="G461" s="2">
        <f>SQRT(4*(Tabla1[[#This Row],[dD]]-'Find a similar substance'!$D$5)^2+('Find a similar substance'!$E$5-Tabla1[[#This Row],[dP]])^2+(Tabla1[[#This Row],[dH]]-'Find a similar substance'!$F$5)^2)</f>
        <v>5.9640590204993771</v>
      </c>
    </row>
    <row r="462" spans="1:7" x14ac:dyDescent="0.25">
      <c r="A462" s="2" t="s">
        <v>1019</v>
      </c>
      <c r="B462" s="2" t="s">
        <v>1018</v>
      </c>
      <c r="C462" s="2">
        <v>17.5</v>
      </c>
      <c r="D462" s="2">
        <v>9.1999999999999993</v>
      </c>
      <c r="E462" s="2">
        <v>5.5</v>
      </c>
      <c r="F462" s="2" t="str">
        <f>IFERROR(VLOOKUP(B462,Tabla2[],5,FALSE),"")</f>
        <v/>
      </c>
      <c r="G462" s="2">
        <f>SQRT(4*(Tabla1[[#This Row],[dD]]-'Find a similar substance'!$D$5)^2+('Find a similar substance'!$E$5-Tabla1[[#This Row],[dP]])^2+(Tabla1[[#This Row],[dH]]-'Find a similar substance'!$F$5)^2)</f>
        <v>1.9339079605813689</v>
      </c>
    </row>
    <row r="463" spans="1:7" x14ac:dyDescent="0.25">
      <c r="A463" s="2" t="s">
        <v>1021</v>
      </c>
      <c r="B463" s="2" t="s">
        <v>1020</v>
      </c>
      <c r="C463" s="2">
        <v>16.2</v>
      </c>
      <c r="D463" s="2">
        <v>2.1</v>
      </c>
      <c r="E463" s="2">
        <v>2.5</v>
      </c>
      <c r="F463" s="2" t="str">
        <f>IFERROR(VLOOKUP(B463,Tabla2[],5,FALSE),"")</f>
        <v/>
      </c>
      <c r="G463" s="2">
        <f>SQRT(4*(Tabla1[[#This Row],[dD]]-'Find a similar substance'!$D$5)^2+('Find a similar substance'!$E$5-Tabla1[[#This Row],[dP]])^2+(Tabla1[[#This Row],[dH]]-'Find a similar substance'!$F$5)^2)</f>
        <v>7.1028163428319058</v>
      </c>
    </row>
    <row r="464" spans="1:7" x14ac:dyDescent="0.25">
      <c r="A464" s="2" t="s">
        <v>1023</v>
      </c>
      <c r="B464" s="2" t="s">
        <v>1022</v>
      </c>
      <c r="C464" s="2">
        <v>19</v>
      </c>
      <c r="D464" s="2">
        <v>4.3</v>
      </c>
      <c r="E464" s="2">
        <v>2</v>
      </c>
      <c r="F464" s="2" t="str">
        <f>IFERROR(VLOOKUP(B464,Tabla2[],5,FALSE),"")</f>
        <v/>
      </c>
      <c r="G464" s="2">
        <f>SQRT(4*(Tabla1[[#This Row],[dD]]-'Find a similar substance'!$D$5)^2+('Find a similar substance'!$E$5-Tabla1[[#This Row],[dP]])^2+(Tabla1[[#This Row],[dH]]-'Find a similar substance'!$F$5)^2)</f>
        <v>7.1693793315739658</v>
      </c>
    </row>
    <row r="465" spans="1:7" x14ac:dyDescent="0.25">
      <c r="A465" s="2" t="s">
        <v>1025</v>
      </c>
      <c r="B465" s="2" t="s">
        <v>1024</v>
      </c>
      <c r="C465" s="2">
        <v>17.600000000000001</v>
      </c>
      <c r="D465" s="2">
        <v>7.2</v>
      </c>
      <c r="E465" s="2">
        <v>2.2000000000000002</v>
      </c>
      <c r="F465" s="2" t="str">
        <f>IFERROR(VLOOKUP(B465,Tabla2[],5,FALSE),"")</f>
        <v/>
      </c>
      <c r="G465" s="2">
        <f>SQRT(4*(Tabla1[[#This Row],[dD]]-'Find a similar substance'!$D$5)^2+('Find a similar substance'!$E$5-Tabla1[[#This Row],[dP]])^2+(Tabla1[[#This Row],[dH]]-'Find a similar substance'!$F$5)^2)</f>
        <v>3.7536648758246915</v>
      </c>
    </row>
    <row r="466" spans="1:7" x14ac:dyDescent="0.25">
      <c r="A466" s="2" t="s">
        <v>1027</v>
      </c>
      <c r="B466" s="2" t="s">
        <v>1026</v>
      </c>
      <c r="C466" s="2">
        <v>12.3</v>
      </c>
      <c r="D466" s="2">
        <v>6.3</v>
      </c>
      <c r="E466" s="2">
        <v>5.7</v>
      </c>
      <c r="F466" s="2" t="str">
        <f>IFERROR(VLOOKUP(B466,Tabla2[],5,FALSE),"")</f>
        <v/>
      </c>
      <c r="G466" s="2">
        <f>SQRT(4*(Tabla1[[#This Row],[dD]]-'Find a similar substance'!$D$5)^2+('Find a similar substance'!$E$5-Tabla1[[#This Row],[dP]])^2+(Tabla1[[#This Row],[dH]]-'Find a similar substance'!$F$5)^2)</f>
        <v>8.9560035730229597</v>
      </c>
    </row>
    <row r="467" spans="1:7" x14ac:dyDescent="0.25">
      <c r="A467" s="2" t="s">
        <v>1028</v>
      </c>
      <c r="B467" s="2" t="s">
        <v>89</v>
      </c>
      <c r="C467" s="2">
        <v>17.8</v>
      </c>
      <c r="D467" s="2">
        <v>3.1</v>
      </c>
      <c r="E467" s="2">
        <v>5.7</v>
      </c>
      <c r="F467" s="2">
        <f>IFERROR(VLOOKUP(B467,Tabla2[],5,FALSE),"")</f>
        <v>80.5</v>
      </c>
      <c r="G467" s="2">
        <f>SQRT(4*(Tabla1[[#This Row],[dD]]-'Find a similar substance'!$D$5)^2+('Find a similar substance'!$E$5-Tabla1[[#This Row],[dP]])^2+(Tabla1[[#This Row],[dH]]-'Find a similar substance'!$F$5)^2)</f>
        <v>6.1326992425847848</v>
      </c>
    </row>
    <row r="468" spans="1:7" x14ac:dyDescent="0.25">
      <c r="A468" s="2" t="s">
        <v>1030</v>
      </c>
      <c r="B468" s="2" t="s">
        <v>1029</v>
      </c>
      <c r="C468" s="2">
        <v>16.600000000000001</v>
      </c>
      <c r="D468" s="2">
        <v>6.4</v>
      </c>
      <c r="E468" s="2">
        <v>2</v>
      </c>
      <c r="F468" s="2" t="str">
        <f>IFERROR(VLOOKUP(B468,Tabla2[],5,FALSE),"")</f>
        <v/>
      </c>
      <c r="G468" s="2">
        <f>SQRT(4*(Tabla1[[#This Row],[dD]]-'Find a similar substance'!$D$5)^2+('Find a similar substance'!$E$5-Tabla1[[#This Row],[dP]])^2+(Tabla1[[#This Row],[dH]]-'Find a similar substance'!$F$5)^2)</f>
        <v>3.7802116342871592</v>
      </c>
    </row>
    <row r="469" spans="1:7" x14ac:dyDescent="0.25">
      <c r="A469" s="2" t="s">
        <v>1032</v>
      </c>
      <c r="B469" s="2" t="s">
        <v>1031</v>
      </c>
      <c r="C469" s="2">
        <v>17.399999999999999</v>
      </c>
      <c r="D469" s="2">
        <v>13.5</v>
      </c>
      <c r="E469" s="2">
        <v>5.5</v>
      </c>
      <c r="F469" s="2" t="str">
        <f>IFERROR(VLOOKUP(B469,Tabla2[],5,FALSE),"")</f>
        <v/>
      </c>
      <c r="G469" s="2">
        <f>SQRT(4*(Tabla1[[#This Row],[dD]]-'Find a similar substance'!$D$5)^2+('Find a similar substance'!$E$5-Tabla1[[#This Row],[dP]])^2+(Tabla1[[#This Row],[dH]]-'Find a similar substance'!$F$5)^2)</f>
        <v>5.0842895275544633</v>
      </c>
    </row>
    <row r="470" spans="1:7" x14ac:dyDescent="0.25">
      <c r="A470" s="2" t="s">
        <v>1034</v>
      </c>
      <c r="B470" s="2" t="s">
        <v>1033</v>
      </c>
      <c r="C470" s="2">
        <v>17.600000000000001</v>
      </c>
      <c r="D470" s="2">
        <v>6.8</v>
      </c>
      <c r="E470" s="2">
        <v>7</v>
      </c>
      <c r="F470" s="2" t="str">
        <f>IFERROR(VLOOKUP(B470,Tabla2[],5,FALSE),"")</f>
        <v/>
      </c>
      <c r="G470" s="2">
        <f>SQRT(4*(Tabla1[[#This Row],[dD]]-'Find a similar substance'!$D$5)^2+('Find a similar substance'!$E$5-Tabla1[[#This Row],[dP]])^2+(Tabla1[[#This Row],[dH]]-'Find a similar substance'!$F$5)^2)</f>
        <v>3.4073450074801639</v>
      </c>
    </row>
    <row r="471" spans="1:7" x14ac:dyDescent="0.25">
      <c r="A471" s="2" t="s">
        <v>1036</v>
      </c>
      <c r="B471" s="2" t="s">
        <v>1035</v>
      </c>
      <c r="C471" s="2">
        <v>16.100000000000001</v>
      </c>
      <c r="D471" s="2">
        <v>5.4</v>
      </c>
      <c r="E471" s="2">
        <v>2.1</v>
      </c>
      <c r="F471" s="2" t="str">
        <f>IFERROR(VLOOKUP(B471,Tabla2[],5,FALSE),"")</f>
        <v/>
      </c>
      <c r="G471" s="2">
        <f>SQRT(4*(Tabla1[[#This Row],[dD]]-'Find a similar substance'!$D$5)^2+('Find a similar substance'!$E$5-Tabla1[[#This Row],[dP]])^2+(Tabla1[[#This Row],[dH]]-'Find a similar substance'!$F$5)^2)</f>
        <v>4.5055521304275237</v>
      </c>
    </row>
    <row r="472" spans="1:7" x14ac:dyDescent="0.25">
      <c r="A472" s="2" t="s">
        <v>1038</v>
      </c>
      <c r="B472" s="2" t="s">
        <v>1037</v>
      </c>
      <c r="C472" s="2">
        <v>15.3</v>
      </c>
      <c r="D472" s="2">
        <v>6.3</v>
      </c>
      <c r="E472" s="2">
        <v>0</v>
      </c>
      <c r="F472" s="2" t="str">
        <f>IFERROR(VLOOKUP(B472,Tabla2[],5,FALSE),"")</f>
        <v/>
      </c>
      <c r="G472" s="2">
        <f>SQRT(4*(Tabla1[[#This Row],[dD]]-'Find a similar substance'!$D$5)^2+('Find a similar substance'!$E$5-Tabla1[[#This Row],[dP]])^2+(Tabla1[[#This Row],[dH]]-'Find a similar substance'!$F$5)^2)</f>
        <v>6.1253571324454219</v>
      </c>
    </row>
    <row r="473" spans="1:7" x14ac:dyDescent="0.25">
      <c r="A473" s="2" t="s">
        <v>1040</v>
      </c>
      <c r="B473" s="2" t="s">
        <v>1039</v>
      </c>
      <c r="C473" s="2">
        <v>19.100000000000001</v>
      </c>
      <c r="D473" s="2">
        <v>6</v>
      </c>
      <c r="E473" s="2">
        <v>13</v>
      </c>
      <c r="F473" s="2" t="str">
        <f>IFERROR(VLOOKUP(B473,Tabla2[],5,FALSE),"")</f>
        <v/>
      </c>
      <c r="G473" s="2">
        <f>SQRT(4*(Tabla1[[#This Row],[dD]]-'Find a similar substance'!$D$5)^2+('Find a similar substance'!$E$5-Tabla1[[#This Row],[dP]])^2+(Tabla1[[#This Row],[dH]]-'Find a similar substance'!$F$5)^2)</f>
        <v>9.8127468121826116</v>
      </c>
    </row>
    <row r="474" spans="1:7" x14ac:dyDescent="0.25">
      <c r="A474" s="2" t="s">
        <v>1042</v>
      </c>
      <c r="B474" s="2" t="s">
        <v>1041</v>
      </c>
      <c r="C474" s="2">
        <v>19.100000000000001</v>
      </c>
      <c r="D474" s="2">
        <v>3.9</v>
      </c>
      <c r="E474" s="2">
        <v>10.6</v>
      </c>
      <c r="F474" s="2" t="str">
        <f>IFERROR(VLOOKUP(B474,Tabla2[],5,FALSE),"")</f>
        <v/>
      </c>
      <c r="G474" s="2">
        <f>SQRT(4*(Tabla1[[#This Row],[dD]]-'Find a similar substance'!$D$5)^2+('Find a similar substance'!$E$5-Tabla1[[#This Row],[dP]])^2+(Tabla1[[#This Row],[dH]]-'Find a similar substance'!$F$5)^2)</f>
        <v>8.9106677639781857</v>
      </c>
    </row>
    <row r="475" spans="1:7" x14ac:dyDescent="0.25">
      <c r="A475" s="2" t="s">
        <v>1044</v>
      </c>
      <c r="B475" s="2" t="s">
        <v>1043</v>
      </c>
      <c r="C475" s="2">
        <v>17.600000000000001</v>
      </c>
      <c r="D475" s="2">
        <v>0</v>
      </c>
      <c r="E475" s="2">
        <v>0</v>
      </c>
      <c r="F475" s="2" t="str">
        <f>IFERROR(VLOOKUP(B475,Tabla2[],5,FALSE),"")</f>
        <v/>
      </c>
      <c r="G475" s="2">
        <f>SQRT(4*(Tabla1[[#This Row],[dD]]-'Find a similar substance'!$D$5)^2+('Find a similar substance'!$E$5-Tabla1[[#This Row],[dP]])^2+(Tabla1[[#This Row],[dH]]-'Find a similar substance'!$F$5)^2)</f>
        <v>10.231813133555557</v>
      </c>
    </row>
    <row r="476" spans="1:7" x14ac:dyDescent="0.25">
      <c r="A476" s="2" t="s">
        <v>1046</v>
      </c>
      <c r="B476" s="2" t="s">
        <v>1045</v>
      </c>
      <c r="C476" s="2">
        <v>19.2</v>
      </c>
      <c r="D476" s="2">
        <v>17</v>
      </c>
      <c r="E476" s="2">
        <v>11.2</v>
      </c>
      <c r="F476" s="2" t="str">
        <f>IFERROR(VLOOKUP(B476,Tabla2[],5,FALSE),"")</f>
        <v/>
      </c>
      <c r="G476" s="2">
        <f>SQRT(4*(Tabla1[[#This Row],[dD]]-'Find a similar substance'!$D$5)^2+('Find a similar substance'!$E$5-Tabla1[[#This Row],[dP]])^2+(Tabla1[[#This Row],[dH]]-'Find a similar substance'!$F$5)^2)</f>
        <v>11.591807451816994</v>
      </c>
    </row>
    <row r="477" spans="1:7" x14ac:dyDescent="0.25">
      <c r="A477" s="2" t="s">
        <v>1048</v>
      </c>
      <c r="B477" s="2" t="s">
        <v>1047</v>
      </c>
      <c r="C477" s="2">
        <v>19</v>
      </c>
      <c r="D477" s="2">
        <v>7</v>
      </c>
      <c r="E477" s="2">
        <v>16.3</v>
      </c>
      <c r="F477" s="2" t="str">
        <f>IFERROR(VLOOKUP(B477,Tabla2[],5,FALSE),"")</f>
        <v/>
      </c>
      <c r="G477" s="2">
        <f>SQRT(4*(Tabla1[[#This Row],[dD]]-'Find a similar substance'!$D$5)^2+('Find a similar substance'!$E$5-Tabla1[[#This Row],[dP]])^2+(Tabla1[[#This Row],[dH]]-'Find a similar substance'!$F$5)^2)</f>
        <v>12.394353553130554</v>
      </c>
    </row>
    <row r="478" spans="1:7" x14ac:dyDescent="0.25">
      <c r="A478" s="2" t="s">
        <v>1050</v>
      </c>
      <c r="B478" s="2" t="s">
        <v>1049</v>
      </c>
      <c r="C478" s="2">
        <v>20</v>
      </c>
      <c r="D478" s="2">
        <v>12.5</v>
      </c>
      <c r="E478" s="2">
        <v>6.7</v>
      </c>
      <c r="F478" s="2" t="str">
        <f>IFERROR(VLOOKUP(B478,Tabla2[],5,FALSE),"")</f>
        <v/>
      </c>
      <c r="G478" s="2">
        <f>SQRT(4*(Tabla1[[#This Row],[dD]]-'Find a similar substance'!$D$5)^2+('Find a similar substance'!$E$5-Tabla1[[#This Row],[dP]])^2+(Tabla1[[#This Row],[dH]]-'Find a similar substance'!$F$5)^2)</f>
        <v>7.9730797061110561</v>
      </c>
    </row>
    <row r="479" spans="1:7" x14ac:dyDescent="0.25">
      <c r="A479" s="2" t="s">
        <v>1052</v>
      </c>
      <c r="B479" s="2" t="s">
        <v>1051</v>
      </c>
      <c r="C479" s="2">
        <v>16.2</v>
      </c>
      <c r="D479" s="2">
        <v>14.9</v>
      </c>
      <c r="E479" s="2">
        <v>7.4</v>
      </c>
      <c r="F479" s="2" t="str">
        <f>IFERROR(VLOOKUP(B479,Tabla2[],5,FALSE),"")</f>
        <v/>
      </c>
      <c r="G479" s="2">
        <f>SQRT(4*(Tabla1[[#This Row],[dD]]-'Find a similar substance'!$D$5)^2+('Find a similar substance'!$E$5-Tabla1[[#This Row],[dP]])^2+(Tabla1[[#This Row],[dH]]-'Find a similar substance'!$F$5)^2)</f>
        <v>6.6962676171132838</v>
      </c>
    </row>
    <row r="480" spans="1:7" x14ac:dyDescent="0.25">
      <c r="A480" s="2" t="s">
        <v>1054</v>
      </c>
      <c r="B480" s="2" t="s">
        <v>1053</v>
      </c>
      <c r="C480" s="2">
        <v>16.8</v>
      </c>
      <c r="D480" s="2">
        <v>8.6999999999999993</v>
      </c>
      <c r="E480" s="2">
        <v>12</v>
      </c>
      <c r="F480" s="2" t="str">
        <f>IFERROR(VLOOKUP(B480,Tabla2[],5,FALSE),"")</f>
        <v/>
      </c>
      <c r="G480" s="2">
        <f>SQRT(4*(Tabla1[[#This Row],[dD]]-'Find a similar substance'!$D$5)^2+('Find a similar substance'!$E$5-Tabla1[[#This Row],[dP]])^2+(Tabla1[[#This Row],[dH]]-'Find a similar substance'!$F$5)^2)</f>
        <v>7.011419257183241</v>
      </c>
    </row>
    <row r="481" spans="1:7" x14ac:dyDescent="0.25">
      <c r="A481" s="2" t="s">
        <v>1056</v>
      </c>
      <c r="B481" s="2" t="s">
        <v>1055</v>
      </c>
      <c r="C481" s="2">
        <v>19</v>
      </c>
      <c r="D481" s="2">
        <v>19.8</v>
      </c>
      <c r="E481" s="2">
        <v>9.6</v>
      </c>
      <c r="F481" s="2" t="str">
        <f>IFERROR(VLOOKUP(B481,Tabla2[],5,FALSE),"")</f>
        <v/>
      </c>
      <c r="G481" s="2">
        <f>SQRT(4*(Tabla1[[#This Row],[dD]]-'Find a similar substance'!$D$5)^2+('Find a similar substance'!$E$5-Tabla1[[#This Row],[dP]])^2+(Tabla1[[#This Row],[dH]]-'Find a similar substance'!$F$5)^2)</f>
        <v>12.938701635017324</v>
      </c>
    </row>
    <row r="482" spans="1:7" x14ac:dyDescent="0.25">
      <c r="A482" s="2" t="s">
        <v>1058</v>
      </c>
      <c r="B482" s="2" t="s">
        <v>1057</v>
      </c>
      <c r="C482" s="2">
        <v>15.5</v>
      </c>
      <c r="D482" s="2">
        <v>27.6</v>
      </c>
      <c r="E482" s="2">
        <v>16.8</v>
      </c>
      <c r="F482" s="2" t="str">
        <f>IFERROR(VLOOKUP(B482,Tabla2[],5,FALSE),"")</f>
        <v/>
      </c>
      <c r="G482" s="2">
        <f>SQRT(4*(Tabla1[[#This Row],[dD]]-'Find a similar substance'!$D$5)^2+('Find a similar substance'!$E$5-Tabla1[[#This Row],[dP]])^2+(Tabla1[[#This Row],[dH]]-'Find a similar substance'!$F$5)^2)</f>
        <v>22.38950647066612</v>
      </c>
    </row>
    <row r="483" spans="1:7" x14ac:dyDescent="0.25">
      <c r="A483" s="2" t="s">
        <v>1060</v>
      </c>
      <c r="B483" s="2" t="s">
        <v>1059</v>
      </c>
      <c r="C483" s="2">
        <v>15.1</v>
      </c>
      <c r="D483" s="2">
        <v>11.8</v>
      </c>
      <c r="E483" s="2">
        <v>0</v>
      </c>
      <c r="F483" s="2" t="str">
        <f>IFERROR(VLOOKUP(B483,Tabla2[],5,FALSE),"")</f>
        <v/>
      </c>
      <c r="G483" s="2">
        <f>SQRT(4*(Tabla1[[#This Row],[dD]]-'Find a similar substance'!$D$5)^2+('Find a similar substance'!$E$5-Tabla1[[#This Row],[dP]])^2+(Tabla1[[#This Row],[dH]]-'Find a similar substance'!$F$5)^2)</f>
        <v>6.6037867924396245</v>
      </c>
    </row>
    <row r="484" spans="1:7" x14ac:dyDescent="0.25">
      <c r="A484" s="2" t="s">
        <v>1062</v>
      </c>
      <c r="B484" s="2" t="s">
        <v>1061</v>
      </c>
      <c r="C484" s="2">
        <v>18.3</v>
      </c>
      <c r="D484" s="2">
        <v>15.2</v>
      </c>
      <c r="E484" s="2">
        <v>0</v>
      </c>
      <c r="F484" s="2" t="str">
        <f>IFERROR(VLOOKUP(B484,Tabla2[],5,FALSE),"")</f>
        <v/>
      </c>
      <c r="G484" s="2">
        <f>SQRT(4*(Tabla1[[#This Row],[dD]]-'Find a similar substance'!$D$5)^2+('Find a similar substance'!$E$5-Tabla1[[#This Row],[dP]])^2+(Tabla1[[#This Row],[dH]]-'Find a similar substance'!$F$5)^2)</f>
        <v>8.8774996479864754</v>
      </c>
    </row>
    <row r="485" spans="1:7" x14ac:dyDescent="0.25">
      <c r="A485" s="2" t="s">
        <v>1064</v>
      </c>
      <c r="B485" s="2" t="s">
        <v>1063</v>
      </c>
      <c r="C485" s="2">
        <v>15.6</v>
      </c>
      <c r="D485" s="2">
        <v>14.5</v>
      </c>
      <c r="E485" s="2">
        <v>0</v>
      </c>
      <c r="F485" s="2" t="str">
        <f>IFERROR(VLOOKUP(B485,Tabla2[],5,FALSE),"")</f>
        <v/>
      </c>
      <c r="G485" s="2">
        <f>SQRT(4*(Tabla1[[#This Row],[dD]]-'Find a similar substance'!$D$5)^2+('Find a similar substance'!$E$5-Tabla1[[#This Row],[dP]])^2+(Tabla1[[#This Row],[dH]]-'Find a similar substance'!$F$5)^2)</f>
        <v>7.9145435749637532</v>
      </c>
    </row>
    <row r="486" spans="1:7" x14ac:dyDescent="0.25">
      <c r="A486" s="2" t="s">
        <v>1066</v>
      </c>
      <c r="B486" s="2" t="s">
        <v>1065</v>
      </c>
      <c r="C486" s="2">
        <v>18.3</v>
      </c>
      <c r="D486" s="2">
        <v>11.4</v>
      </c>
      <c r="E486" s="2">
        <v>5.2</v>
      </c>
      <c r="F486" s="2" t="str">
        <f>IFERROR(VLOOKUP(B486,Tabla2[],5,FALSE),"")</f>
        <v/>
      </c>
      <c r="G486" s="2">
        <f>SQRT(4*(Tabla1[[#This Row],[dD]]-'Find a similar substance'!$D$5)^2+('Find a similar substance'!$E$5-Tabla1[[#This Row],[dP]])^2+(Tabla1[[#This Row],[dH]]-'Find a similar substance'!$F$5)^2)</f>
        <v>4.3462627624201451</v>
      </c>
    </row>
    <row r="487" spans="1:7" x14ac:dyDescent="0.25">
      <c r="A487" s="2" t="s">
        <v>1068</v>
      </c>
      <c r="B487" s="2" t="s">
        <v>1067</v>
      </c>
      <c r="C487" s="2">
        <v>16.8</v>
      </c>
      <c r="D487" s="2">
        <v>8</v>
      </c>
      <c r="E487" s="2">
        <v>4.0999999999999996</v>
      </c>
      <c r="F487" s="2" t="str">
        <f>IFERROR(VLOOKUP(B487,Tabla2[],5,FALSE),"")</f>
        <v/>
      </c>
      <c r="G487" s="2">
        <f>SQRT(4*(Tabla1[[#This Row],[dD]]-'Find a similar substance'!$D$5)^2+('Find a similar substance'!$E$5-Tabla1[[#This Row],[dP]])^2+(Tabla1[[#This Row],[dH]]-'Find a similar substance'!$F$5)^2)</f>
        <v>1.2083045973594566</v>
      </c>
    </row>
    <row r="488" spans="1:7" x14ac:dyDescent="0.25">
      <c r="A488" s="2" t="s">
        <v>1070</v>
      </c>
      <c r="B488" s="2" t="s">
        <v>1069</v>
      </c>
      <c r="C488" s="2">
        <v>16.399999999999999</v>
      </c>
      <c r="D488" s="2">
        <v>0</v>
      </c>
      <c r="E488" s="2">
        <v>0</v>
      </c>
      <c r="F488" s="2" t="str">
        <f>IFERROR(VLOOKUP(B488,Tabla2[],5,FALSE),"")</f>
        <v/>
      </c>
      <c r="G488" s="2">
        <f>SQRT(4*(Tabla1[[#This Row],[dD]]-'Find a similar substance'!$D$5)^2+('Find a similar substance'!$E$5-Tabla1[[#This Row],[dP]])^2+(Tabla1[[#This Row],[dH]]-'Find a similar substance'!$F$5)^2)</f>
        <v>10.042410069301093</v>
      </c>
    </row>
    <row r="489" spans="1:7" x14ac:dyDescent="0.25">
      <c r="A489" s="2" t="s">
        <v>1072</v>
      </c>
      <c r="B489" s="2" t="s">
        <v>1071</v>
      </c>
      <c r="C489" s="2">
        <v>17.100000000000001</v>
      </c>
      <c r="D489" s="2">
        <v>1.4</v>
      </c>
      <c r="E489" s="2">
        <v>1.9</v>
      </c>
      <c r="F489" s="2" t="str">
        <f>IFERROR(VLOOKUP(B489,Tabla2[],5,FALSE),"")</f>
        <v/>
      </c>
      <c r="G489" s="2">
        <f>SQRT(4*(Tabla1[[#This Row],[dD]]-'Find a similar substance'!$D$5)^2+('Find a similar substance'!$E$5-Tabla1[[#This Row],[dP]])^2+(Tabla1[[#This Row],[dH]]-'Find a similar substance'!$F$5)^2)</f>
        <v>7.9937475566845357</v>
      </c>
    </row>
    <row r="490" spans="1:7" x14ac:dyDescent="0.25">
      <c r="A490" s="2" t="s">
        <v>1074</v>
      </c>
      <c r="B490" s="2" t="s">
        <v>1073</v>
      </c>
      <c r="C490" s="2">
        <v>17.2</v>
      </c>
      <c r="D490" s="2">
        <v>10.6</v>
      </c>
      <c r="E490" s="2">
        <v>4.8</v>
      </c>
      <c r="F490" s="2" t="str">
        <f>IFERROR(VLOOKUP(B490,Tabla2[],5,FALSE),"")</f>
        <v/>
      </c>
      <c r="G490" s="2">
        <f>SQRT(4*(Tabla1[[#This Row],[dD]]-'Find a similar substance'!$D$5)^2+('Find a similar substance'!$E$5-Tabla1[[#This Row],[dP]])^2+(Tabla1[[#This Row],[dH]]-'Find a similar substance'!$F$5)^2)</f>
        <v>2.2561028345356937</v>
      </c>
    </row>
    <row r="491" spans="1:7" x14ac:dyDescent="0.25">
      <c r="A491" s="2" t="s">
        <v>1075</v>
      </c>
      <c r="B491" s="2" t="s">
        <v>22</v>
      </c>
      <c r="C491" s="2">
        <v>16.8</v>
      </c>
      <c r="D491" s="2">
        <v>0</v>
      </c>
      <c r="E491" s="2">
        <v>0.2</v>
      </c>
      <c r="F491" s="2">
        <f>IFERROR(VLOOKUP(B491,Tabla2[],5,FALSE),"")</f>
        <v>108.9</v>
      </c>
      <c r="G491" s="2">
        <f>SQRT(4*(Tabla1[[#This Row],[dD]]-'Find a similar substance'!$D$5)^2+('Find a similar substance'!$E$5-Tabla1[[#This Row],[dP]])^2+(Tabla1[[#This Row],[dH]]-'Find a similar substance'!$F$5)^2)</f>
        <v>9.9443451267541985</v>
      </c>
    </row>
    <row r="492" spans="1:7" x14ac:dyDescent="0.25">
      <c r="A492" s="2" t="s">
        <v>633</v>
      </c>
      <c r="B492" s="2" t="s">
        <v>1076</v>
      </c>
      <c r="C492" s="2">
        <v>16.399999999999999</v>
      </c>
      <c r="D492" s="2">
        <v>2.2000000000000002</v>
      </c>
      <c r="E492" s="2">
        <v>5</v>
      </c>
      <c r="F492" s="2" t="str">
        <f>IFERROR(VLOOKUP(B492,Tabla2[],5,FALSE),"")</f>
        <v/>
      </c>
      <c r="G492" s="2">
        <f>SQRT(4*(Tabla1[[#This Row],[dD]]-'Find a similar substance'!$D$5)^2+('Find a similar substance'!$E$5-Tabla1[[#This Row],[dP]])^2+(Tabla1[[#This Row],[dH]]-'Find a similar substance'!$F$5)^2)</f>
        <v>6.5122960620659738</v>
      </c>
    </row>
    <row r="493" spans="1:7" x14ac:dyDescent="0.25">
      <c r="A493" s="2" t="s">
        <v>1077</v>
      </c>
      <c r="B493" s="2" t="s">
        <v>23</v>
      </c>
      <c r="C493" s="2">
        <v>17.399999999999999</v>
      </c>
      <c r="D493" s="2">
        <v>4.0999999999999996</v>
      </c>
      <c r="E493" s="2">
        <v>13.5</v>
      </c>
      <c r="F493" s="2">
        <f>IFERROR(VLOOKUP(B493,Tabla2[],5,FALSE),"")</f>
        <v>105.7</v>
      </c>
      <c r="G493" s="2">
        <f>SQRT(4*(Tabla1[[#This Row],[dD]]-'Find a similar substance'!$D$5)^2+('Find a similar substance'!$E$5-Tabla1[[#This Row],[dP]])^2+(Tabla1[[#This Row],[dH]]-'Find a similar substance'!$F$5)^2)</f>
        <v>9.796427920420788</v>
      </c>
    </row>
    <row r="494" spans="1:7" x14ac:dyDescent="0.25">
      <c r="A494" s="2" t="s">
        <v>1078</v>
      </c>
      <c r="B494" s="2" t="s">
        <v>24</v>
      </c>
      <c r="C494" s="2">
        <v>17.8</v>
      </c>
      <c r="D494" s="2">
        <v>8.4</v>
      </c>
      <c r="E494" s="2">
        <v>5.0999999999999996</v>
      </c>
      <c r="F494" s="2">
        <f>IFERROR(VLOOKUP(B494,Tabla2[],5,FALSE),"")</f>
        <v>104.2</v>
      </c>
      <c r="G494" s="2">
        <f>SQRT(4*(Tabla1[[#This Row],[dD]]-'Find a similar substance'!$D$5)^2+('Find a similar substance'!$E$5-Tabla1[[#This Row],[dP]])^2+(Tabla1[[#This Row],[dH]]-'Find a similar substance'!$F$5)^2)</f>
        <v>2.4207436873820392</v>
      </c>
    </row>
    <row r="495" spans="1:7" x14ac:dyDescent="0.25">
      <c r="A495" s="2" t="s">
        <v>1080</v>
      </c>
      <c r="B495" s="2" t="s">
        <v>1079</v>
      </c>
      <c r="C495" s="2">
        <v>17.2</v>
      </c>
      <c r="D495" s="2">
        <v>1</v>
      </c>
      <c r="E495" s="2">
        <v>2</v>
      </c>
      <c r="F495" s="2" t="str">
        <f>IFERROR(VLOOKUP(B495,Tabla2[],5,FALSE),"")</f>
        <v/>
      </c>
      <c r="G495" s="2">
        <f>SQRT(4*(Tabla1[[#This Row],[dD]]-'Find a similar substance'!$D$5)^2+('Find a similar substance'!$E$5-Tabla1[[#This Row],[dP]])^2+(Tabla1[[#This Row],[dH]]-'Find a similar substance'!$F$5)^2)</f>
        <v>8.3504490897196657</v>
      </c>
    </row>
    <row r="496" spans="1:7" x14ac:dyDescent="0.25">
      <c r="A496" s="2" t="s">
        <v>1082</v>
      </c>
      <c r="B496" s="2" t="s">
        <v>1081</v>
      </c>
      <c r="C496" s="2">
        <v>18.3</v>
      </c>
      <c r="D496" s="2">
        <v>11</v>
      </c>
      <c r="E496" s="2">
        <v>13.8</v>
      </c>
      <c r="F496" s="2" t="str">
        <f>IFERROR(VLOOKUP(B496,Tabla2[],5,FALSE),"")</f>
        <v/>
      </c>
      <c r="G496" s="2">
        <f>SQRT(4*(Tabla1[[#This Row],[dD]]-'Find a similar substance'!$D$5)^2+('Find a similar substance'!$E$5-Tabla1[[#This Row],[dP]])^2+(Tabla1[[#This Row],[dH]]-'Find a similar substance'!$F$5)^2)</f>
        <v>9.7103038057519093</v>
      </c>
    </row>
    <row r="497" spans="1:7" x14ac:dyDescent="0.25">
      <c r="A497" s="2" t="s">
        <v>1084</v>
      </c>
      <c r="B497" s="2" t="s">
        <v>1083</v>
      </c>
      <c r="C497" s="2">
        <v>18.7</v>
      </c>
      <c r="D497" s="2">
        <v>0</v>
      </c>
      <c r="E497" s="2">
        <v>1</v>
      </c>
      <c r="F497" s="2" t="str">
        <f>IFERROR(VLOOKUP(B497,Tabla2[],5,FALSE),"")</f>
        <v/>
      </c>
      <c r="G497" s="2">
        <f>SQRT(4*(Tabla1[[#This Row],[dD]]-'Find a similar substance'!$D$5)^2+('Find a similar substance'!$E$5-Tabla1[[#This Row],[dP]])^2+(Tabla1[[#This Row],[dH]]-'Find a similar substance'!$F$5)^2)</f>
        <v>10.456098698845567</v>
      </c>
    </row>
    <row r="498" spans="1:7" x14ac:dyDescent="0.25">
      <c r="A498" s="2" t="s">
        <v>1086</v>
      </c>
      <c r="B498" s="2" t="s">
        <v>1085</v>
      </c>
      <c r="C498" s="2">
        <v>17.2</v>
      </c>
      <c r="D498" s="2">
        <v>3.1</v>
      </c>
      <c r="E498" s="2">
        <v>6.5</v>
      </c>
      <c r="F498" s="2" t="str">
        <f>IFERROR(VLOOKUP(B498,Tabla2[],5,FALSE),"")</f>
        <v/>
      </c>
      <c r="G498" s="2">
        <f>SQRT(4*(Tabla1[[#This Row],[dD]]-'Find a similar substance'!$D$5)^2+('Find a similar substance'!$E$5-Tabla1[[#This Row],[dP]])^2+(Tabla1[[#This Row],[dH]]-'Find a similar substance'!$F$5)^2)</f>
        <v>5.9203040462462724</v>
      </c>
    </row>
    <row r="499" spans="1:7" x14ac:dyDescent="0.25">
      <c r="A499" s="2" t="s">
        <v>1088</v>
      </c>
      <c r="B499" s="2" t="s">
        <v>1087</v>
      </c>
      <c r="C499" s="2">
        <v>17.3</v>
      </c>
      <c r="D499" s="2">
        <v>5.5</v>
      </c>
      <c r="E499" s="2">
        <v>2</v>
      </c>
      <c r="F499" s="2" t="str">
        <f>IFERROR(VLOOKUP(B499,Tabla2[],5,FALSE),"")</f>
        <v/>
      </c>
      <c r="G499" s="2">
        <f>SQRT(4*(Tabla1[[#This Row],[dD]]-'Find a similar substance'!$D$5)^2+('Find a similar substance'!$E$5-Tabla1[[#This Row],[dP]])^2+(Tabla1[[#This Row],[dH]]-'Find a similar substance'!$F$5)^2)</f>
        <v>4.604345773288534</v>
      </c>
    </row>
    <row r="500" spans="1:7" x14ac:dyDescent="0.25">
      <c r="A500" s="2" t="s">
        <v>1090</v>
      </c>
      <c r="B500" s="2" t="s">
        <v>1089</v>
      </c>
      <c r="C500" s="2">
        <v>17</v>
      </c>
      <c r="D500" s="2">
        <v>9.6</v>
      </c>
      <c r="E500" s="2">
        <v>4.5</v>
      </c>
      <c r="F500" s="2" t="str">
        <f>IFERROR(VLOOKUP(B500,Tabla2[],5,FALSE),"")</f>
        <v/>
      </c>
      <c r="G500" s="2">
        <f>SQRT(4*(Tabla1[[#This Row],[dD]]-'Find a similar substance'!$D$5)^2+('Find a similar substance'!$E$5-Tabla1[[#This Row],[dP]])^2+(Tabla1[[#This Row],[dH]]-'Find a similar substance'!$F$5)^2)</f>
        <v>1.3038404810405282</v>
      </c>
    </row>
    <row r="501" spans="1:7" x14ac:dyDescent="0.25">
      <c r="A501" s="2" t="s">
        <v>1092</v>
      </c>
      <c r="B501" s="2" t="s">
        <v>1091</v>
      </c>
      <c r="C501" s="2">
        <v>17</v>
      </c>
      <c r="D501" s="2">
        <v>1.9</v>
      </c>
      <c r="E501" s="2">
        <v>2</v>
      </c>
      <c r="F501" s="2" t="str">
        <f>IFERROR(VLOOKUP(B501,Tabla2[],5,FALSE),"")</f>
        <v/>
      </c>
      <c r="G501" s="2">
        <f>SQRT(4*(Tabla1[[#This Row],[dD]]-'Find a similar substance'!$D$5)^2+('Find a similar substance'!$E$5-Tabla1[[#This Row],[dP]])^2+(Tabla1[[#This Row],[dH]]-'Find a similar substance'!$F$5)^2)</f>
        <v>7.475292636412302</v>
      </c>
    </row>
    <row r="502" spans="1:7" x14ac:dyDescent="0.25">
      <c r="A502" s="2" t="s">
        <v>1094</v>
      </c>
      <c r="B502" s="2" t="s">
        <v>1093</v>
      </c>
      <c r="C502" s="2">
        <v>16.399999999999999</v>
      </c>
      <c r="D502" s="2">
        <v>0</v>
      </c>
      <c r="E502" s="2">
        <v>1.8</v>
      </c>
      <c r="F502" s="2" t="str">
        <f>IFERROR(VLOOKUP(B502,Tabla2[],5,FALSE),"")</f>
        <v/>
      </c>
      <c r="G502" s="2">
        <f>SQRT(4*(Tabla1[[#This Row],[dD]]-'Find a similar substance'!$D$5)^2+('Find a similar substance'!$E$5-Tabla1[[#This Row],[dP]])^2+(Tabla1[[#This Row],[dH]]-'Find a similar substance'!$F$5)^2)</f>
        <v>9.2784697014108968</v>
      </c>
    </row>
    <row r="503" spans="1:7" x14ac:dyDescent="0.25">
      <c r="A503" s="2" t="s">
        <v>1096</v>
      </c>
      <c r="B503" s="2" t="s">
        <v>1095</v>
      </c>
      <c r="C503" s="2">
        <v>17.899999999999999</v>
      </c>
      <c r="D503" s="2">
        <v>11.9</v>
      </c>
      <c r="E503" s="2">
        <v>5.2</v>
      </c>
      <c r="F503" s="2" t="str">
        <f>IFERROR(VLOOKUP(B503,Tabla2[],5,FALSE),"")</f>
        <v/>
      </c>
      <c r="G503" s="2">
        <f>SQRT(4*(Tabla1[[#This Row],[dD]]-'Find a similar substance'!$D$5)^2+('Find a similar substance'!$E$5-Tabla1[[#This Row],[dP]])^2+(Tabla1[[#This Row],[dH]]-'Find a similar substance'!$F$5)^2)</f>
        <v>4.1279534881100561</v>
      </c>
    </row>
    <row r="504" spans="1:7" x14ac:dyDescent="0.25">
      <c r="A504" s="2" t="s">
        <v>1098</v>
      </c>
      <c r="B504" s="2" t="s">
        <v>1097</v>
      </c>
      <c r="C504" s="2">
        <v>16.7</v>
      </c>
      <c r="D504" s="2">
        <v>3.8</v>
      </c>
      <c r="E504" s="2">
        <v>1.7</v>
      </c>
      <c r="F504" s="2" t="str">
        <f>IFERROR(VLOOKUP(B504,Tabla2[],5,FALSE),"")</f>
        <v/>
      </c>
      <c r="G504" s="2">
        <f>SQRT(4*(Tabla1[[#This Row],[dD]]-'Find a similar substance'!$D$5)^2+('Find a similar substance'!$E$5-Tabla1[[#This Row],[dP]])^2+(Tabla1[[#This Row],[dH]]-'Find a similar substance'!$F$5)^2)</f>
        <v>5.9110066824526593</v>
      </c>
    </row>
    <row r="505" spans="1:7" x14ac:dyDescent="0.25">
      <c r="A505" s="2" t="s">
        <v>1100</v>
      </c>
      <c r="B505" s="2" t="s">
        <v>1099</v>
      </c>
      <c r="C505" s="2">
        <v>16.7</v>
      </c>
      <c r="D505" s="2">
        <v>4.3</v>
      </c>
      <c r="E505" s="2">
        <v>4.3</v>
      </c>
      <c r="F505" s="2" t="str">
        <f>IFERROR(VLOOKUP(B505,Tabla2[],5,FALSE),"")</f>
        <v/>
      </c>
      <c r="G505" s="2">
        <f>SQRT(4*(Tabla1[[#This Row],[dD]]-'Find a similar substance'!$D$5)^2+('Find a similar substance'!$E$5-Tabla1[[#This Row],[dP]])^2+(Tabla1[[#This Row],[dH]]-'Find a similar substance'!$F$5)^2)</f>
        <v>4.4598206241955509</v>
      </c>
    </row>
    <row r="506" spans="1:7" x14ac:dyDescent="0.25">
      <c r="A506" s="2" t="s">
        <v>1102</v>
      </c>
      <c r="B506" s="2" t="s">
        <v>1101</v>
      </c>
      <c r="C506" s="2">
        <v>17.3</v>
      </c>
      <c r="D506" s="2">
        <v>0</v>
      </c>
      <c r="E506" s="2">
        <v>0</v>
      </c>
      <c r="F506" s="2" t="str">
        <f>IFERROR(VLOOKUP(B506,Tabla2[],5,FALSE),"")</f>
        <v/>
      </c>
      <c r="G506" s="2">
        <f>SQRT(4*(Tabla1[[#This Row],[dD]]-'Find a similar substance'!$D$5)^2+('Find a similar substance'!$E$5-Tabla1[[#This Row],[dP]])^2+(Tabla1[[#This Row],[dH]]-'Find a similar substance'!$F$5)^2)</f>
        <v>10.131633629380801</v>
      </c>
    </row>
    <row r="507" spans="1:7" x14ac:dyDescent="0.25">
      <c r="A507" s="2" t="s">
        <v>1104</v>
      </c>
      <c r="B507" s="2" t="s">
        <v>1103</v>
      </c>
      <c r="C507" s="2">
        <v>17.2</v>
      </c>
      <c r="D507" s="2">
        <v>2.4</v>
      </c>
      <c r="E507" s="2">
        <v>2</v>
      </c>
      <c r="F507" s="2" t="str">
        <f>IFERROR(VLOOKUP(B507,Tabla2[],5,FALSE),"")</f>
        <v/>
      </c>
      <c r="G507" s="2">
        <f>SQRT(4*(Tabla1[[#This Row],[dD]]-'Find a similar substance'!$D$5)^2+('Find a similar substance'!$E$5-Tabla1[[#This Row],[dP]])^2+(Tabla1[[#This Row],[dH]]-'Find a similar substance'!$F$5)^2)</f>
        <v>7.0802542327235658</v>
      </c>
    </row>
    <row r="508" spans="1:7" x14ac:dyDescent="0.25">
      <c r="A508" s="2" t="s">
        <v>1106</v>
      </c>
      <c r="B508" s="2" t="s">
        <v>1105</v>
      </c>
      <c r="C508" s="2">
        <v>17</v>
      </c>
      <c r="D508" s="2">
        <v>11.1</v>
      </c>
      <c r="E508" s="2">
        <v>4.5999999999999996</v>
      </c>
      <c r="F508" s="2" t="str">
        <f>IFERROR(VLOOKUP(B508,Tabla2[],5,FALSE),"")</f>
        <v/>
      </c>
      <c r="G508" s="2">
        <f>SQRT(4*(Tabla1[[#This Row],[dD]]-'Find a similar substance'!$D$5)^2+('Find a similar substance'!$E$5-Tabla1[[#This Row],[dP]])^2+(Tabla1[[#This Row],[dH]]-'Find a similar substance'!$F$5)^2)</f>
        <v>2.5612496949731387</v>
      </c>
    </row>
    <row r="509" spans="1:7" x14ac:dyDescent="0.25">
      <c r="A509" s="2" t="s">
        <v>1108</v>
      </c>
      <c r="B509" s="2" t="s">
        <v>1107</v>
      </c>
      <c r="C509" s="2">
        <v>18.600000000000001</v>
      </c>
      <c r="D509" s="2">
        <v>16.2</v>
      </c>
      <c r="E509" s="2">
        <v>5.7</v>
      </c>
      <c r="F509" s="2" t="str">
        <f>IFERROR(VLOOKUP(B509,Tabla2[],5,FALSE),"")</f>
        <v/>
      </c>
      <c r="G509" s="2">
        <f>SQRT(4*(Tabla1[[#This Row],[dD]]-'Find a similar substance'!$D$5)^2+('Find a similar substance'!$E$5-Tabla1[[#This Row],[dP]])^2+(Tabla1[[#This Row],[dH]]-'Find a similar substance'!$F$5)^2)</f>
        <v>8.528774824088158</v>
      </c>
    </row>
    <row r="510" spans="1:7" x14ac:dyDescent="0.25">
      <c r="A510" s="2" t="s">
        <v>1110</v>
      </c>
      <c r="B510" s="2" t="s">
        <v>1109</v>
      </c>
      <c r="C510" s="2">
        <v>17.8</v>
      </c>
      <c r="D510" s="2">
        <v>10.3</v>
      </c>
      <c r="E510" s="2">
        <v>5.2</v>
      </c>
      <c r="F510" s="2" t="str">
        <f>IFERROR(VLOOKUP(B510,Tabla2[],5,FALSE),"")</f>
        <v/>
      </c>
      <c r="G510" s="2">
        <f>SQRT(4*(Tabla1[[#This Row],[dD]]-'Find a similar substance'!$D$5)^2+('Find a similar substance'!$E$5-Tabla1[[#This Row],[dP]])^2+(Tabla1[[#This Row],[dH]]-'Find a similar substance'!$F$5)^2)</f>
        <v>2.8913664589601922</v>
      </c>
    </row>
    <row r="511" spans="1:7" x14ac:dyDescent="0.25">
      <c r="A511" s="2" t="s">
        <v>1111</v>
      </c>
      <c r="B511" s="2" t="s">
        <v>53</v>
      </c>
      <c r="C511" s="2">
        <v>17.2</v>
      </c>
      <c r="D511" s="2">
        <v>1.8</v>
      </c>
      <c r="E511" s="2">
        <v>4.3</v>
      </c>
      <c r="F511" s="2">
        <f>IFERROR(VLOOKUP(B511,Tabla2[],5,FALSE),"")</f>
        <v>162.9</v>
      </c>
      <c r="G511" s="2">
        <f>SQRT(4*(Tabla1[[#This Row],[dD]]-'Find a similar substance'!$D$5)^2+('Find a similar substance'!$E$5-Tabla1[[#This Row],[dP]])^2+(Tabla1[[#This Row],[dH]]-'Find a similar substance'!$F$5)^2)</f>
        <v>7.0384657419071086</v>
      </c>
    </row>
    <row r="512" spans="1:7" x14ac:dyDescent="0.25">
      <c r="A512" s="2" t="s">
        <v>1113</v>
      </c>
      <c r="B512" s="2" t="s">
        <v>1112</v>
      </c>
      <c r="C512" s="2">
        <v>20</v>
      </c>
      <c r="D512" s="2">
        <v>5.5</v>
      </c>
      <c r="E512" s="2">
        <v>3.1</v>
      </c>
      <c r="F512" s="2" t="str">
        <f>IFERROR(VLOOKUP(B512,Tabla2[],5,FALSE),"")</f>
        <v/>
      </c>
      <c r="G512" s="2">
        <f>SQRT(4*(Tabla1[[#This Row],[dD]]-'Find a similar substance'!$D$5)^2+('Find a similar substance'!$E$5-Tabla1[[#This Row],[dP]])^2+(Tabla1[[#This Row],[dH]]-'Find a similar substance'!$F$5)^2)</f>
        <v>7.751773990513394</v>
      </c>
    </row>
    <row r="513" spans="1:7" x14ac:dyDescent="0.25">
      <c r="A513" s="2" t="s">
        <v>1115</v>
      </c>
      <c r="B513" s="2" t="s">
        <v>1114</v>
      </c>
      <c r="C513" s="2">
        <v>12.9</v>
      </c>
      <c r="D513" s="2">
        <v>1.3</v>
      </c>
      <c r="E513" s="2">
        <v>1</v>
      </c>
      <c r="F513" s="2" t="str">
        <f>IFERROR(VLOOKUP(B513,Tabla2[],5,FALSE),"")</f>
        <v/>
      </c>
      <c r="G513" s="2">
        <f>SQRT(4*(Tabla1[[#This Row],[dD]]-'Find a similar substance'!$D$5)^2+('Find a similar substance'!$E$5-Tabla1[[#This Row],[dP]])^2+(Tabla1[[#This Row],[dH]]-'Find a similar substance'!$F$5)^2)</f>
        <v>11.203570859328735</v>
      </c>
    </row>
    <row r="514" spans="1:7" x14ac:dyDescent="0.25">
      <c r="A514" s="2" t="s">
        <v>1117</v>
      </c>
      <c r="B514" s="2" t="s">
        <v>1116</v>
      </c>
      <c r="C514" s="2">
        <v>15.7</v>
      </c>
      <c r="D514" s="2">
        <v>0</v>
      </c>
      <c r="E514" s="2">
        <v>0</v>
      </c>
      <c r="F514" s="2" t="str">
        <f>IFERROR(VLOOKUP(B514,Tabla2[],5,FALSE),"")</f>
        <v/>
      </c>
      <c r="G514" s="2">
        <f>SQRT(4*(Tabla1[[#This Row],[dD]]-'Find a similar substance'!$D$5)^2+('Find a similar substance'!$E$5-Tabla1[[#This Row],[dP]])^2+(Tabla1[[#This Row],[dH]]-'Find a similar substance'!$F$5)^2)</f>
        <v>10.19460641712077</v>
      </c>
    </row>
    <row r="515" spans="1:7" x14ac:dyDescent="0.25">
      <c r="A515" s="2" t="s">
        <v>1119</v>
      </c>
      <c r="B515" s="2" t="s">
        <v>1118</v>
      </c>
      <c r="C515" s="2">
        <v>16.7</v>
      </c>
      <c r="D515" s="2">
        <v>3</v>
      </c>
      <c r="E515" s="2">
        <v>6.7</v>
      </c>
      <c r="F515" s="2" t="str">
        <f>IFERROR(VLOOKUP(B515,Tabla2[],5,FALSE),"")</f>
        <v/>
      </c>
      <c r="G515" s="2">
        <f>SQRT(4*(Tabla1[[#This Row],[dD]]-'Find a similar substance'!$D$5)^2+('Find a similar substance'!$E$5-Tabla1[[#This Row],[dP]])^2+(Tabla1[[#This Row],[dH]]-'Find a similar substance'!$F$5)^2)</f>
        <v>5.951470406546604</v>
      </c>
    </row>
    <row r="516" spans="1:7" x14ac:dyDescent="0.25">
      <c r="A516" s="2" t="s">
        <v>1121</v>
      </c>
      <c r="B516" s="2" t="s">
        <v>1120</v>
      </c>
      <c r="C516" s="2">
        <v>20.3</v>
      </c>
      <c r="D516" s="2">
        <v>11.4</v>
      </c>
      <c r="E516" s="2">
        <v>3.1</v>
      </c>
      <c r="F516" s="2" t="str">
        <f>IFERROR(VLOOKUP(B516,Tabla2[],5,FALSE),"")</f>
        <v/>
      </c>
      <c r="G516" s="2">
        <f>SQRT(4*(Tabla1[[#This Row],[dD]]-'Find a similar substance'!$D$5)^2+('Find a similar substance'!$E$5-Tabla1[[#This Row],[dP]])^2+(Tabla1[[#This Row],[dH]]-'Find a similar substance'!$F$5)^2)</f>
        <v>8.1030858319531571</v>
      </c>
    </row>
    <row r="517" spans="1:7" x14ac:dyDescent="0.25">
      <c r="A517" s="2" t="s">
        <v>1123</v>
      </c>
      <c r="B517" s="2" t="s">
        <v>1122</v>
      </c>
      <c r="C517" s="2">
        <v>19</v>
      </c>
      <c r="D517" s="2">
        <v>8.1999999999999993</v>
      </c>
      <c r="E517" s="2">
        <v>5.0999999999999996</v>
      </c>
      <c r="F517" s="2" t="str">
        <f>IFERROR(VLOOKUP(B517,Tabla2[],5,FALSE),"")</f>
        <v/>
      </c>
      <c r="G517" s="2">
        <f>SQRT(4*(Tabla1[[#This Row],[dD]]-'Find a similar substance'!$D$5)^2+('Find a similar substance'!$E$5-Tabla1[[#This Row],[dP]])^2+(Tabla1[[#This Row],[dH]]-'Find a similar substance'!$F$5)^2)</f>
        <v>4.8270073544588659</v>
      </c>
    </row>
    <row r="518" spans="1:7" x14ac:dyDescent="0.25">
      <c r="A518" s="2" t="s">
        <v>1125</v>
      </c>
      <c r="B518" s="2" t="s">
        <v>1124</v>
      </c>
      <c r="C518" s="2">
        <v>17.100000000000001</v>
      </c>
      <c r="D518" s="2">
        <v>10.199999999999999</v>
      </c>
      <c r="E518" s="2">
        <v>7.1</v>
      </c>
      <c r="F518" s="2" t="str">
        <f>IFERROR(VLOOKUP(B518,Tabla2[],5,FALSE),"")</f>
        <v/>
      </c>
      <c r="G518" s="2">
        <f>SQRT(4*(Tabla1[[#This Row],[dD]]-'Find a similar substance'!$D$5)^2+('Find a similar substance'!$E$5-Tabla1[[#This Row],[dP]])^2+(Tabla1[[#This Row],[dH]]-'Find a similar substance'!$F$5)^2)</f>
        <v>2.7676705006196092</v>
      </c>
    </row>
    <row r="519" spans="1:7" x14ac:dyDescent="0.25">
      <c r="A519" s="2" t="s">
        <v>1127</v>
      </c>
      <c r="B519" s="2" t="s">
        <v>1126</v>
      </c>
      <c r="C519" s="2">
        <v>18.8</v>
      </c>
      <c r="D519" s="2">
        <v>9</v>
      </c>
      <c r="E519" s="2">
        <v>5.7</v>
      </c>
      <c r="F519" s="2" t="str">
        <f>IFERROR(VLOOKUP(B519,Tabla2[],5,FALSE),"")</f>
        <v/>
      </c>
      <c r="G519" s="2">
        <f>SQRT(4*(Tabla1[[#This Row],[dD]]-'Find a similar substance'!$D$5)^2+('Find a similar substance'!$E$5-Tabla1[[#This Row],[dP]])^2+(Tabla1[[#This Row],[dH]]-'Find a similar substance'!$F$5)^2)</f>
        <v>4.4654227123532202</v>
      </c>
    </row>
    <row r="520" spans="1:7" x14ac:dyDescent="0.25">
      <c r="A520" s="2" t="s">
        <v>1129</v>
      </c>
      <c r="B520" s="2" t="s">
        <v>1128</v>
      </c>
      <c r="C520" s="2">
        <v>16.2</v>
      </c>
      <c r="D520" s="2">
        <v>5</v>
      </c>
      <c r="E520" s="2">
        <v>9</v>
      </c>
      <c r="F520" s="2" t="str">
        <f>IFERROR(VLOOKUP(B520,Tabla2[],5,FALSE),"")</f>
        <v/>
      </c>
      <c r="G520" s="2">
        <f>SQRT(4*(Tabla1[[#This Row],[dD]]-'Find a similar substance'!$D$5)^2+('Find a similar substance'!$E$5-Tabla1[[#This Row],[dP]])^2+(Tabla1[[#This Row],[dH]]-'Find a similar substance'!$F$5)^2)</f>
        <v>5.5072679252057464</v>
      </c>
    </row>
    <row r="521" spans="1:7" x14ac:dyDescent="0.25">
      <c r="A521" s="2" t="s">
        <v>1131</v>
      </c>
      <c r="B521" s="2" t="s">
        <v>1130</v>
      </c>
      <c r="C521" s="2">
        <v>16.2</v>
      </c>
      <c r="D521" s="2">
        <v>4.7</v>
      </c>
      <c r="E521" s="2">
        <v>8.4</v>
      </c>
      <c r="F521" s="2" t="str">
        <f>IFERROR(VLOOKUP(B521,Tabla2[],5,FALSE),"")</f>
        <v/>
      </c>
      <c r="G521" s="2">
        <f>SQRT(4*(Tabla1[[#This Row],[dD]]-'Find a similar substance'!$D$5)^2+('Find a similar substance'!$E$5-Tabla1[[#This Row],[dP]])^2+(Tabla1[[#This Row],[dH]]-'Find a similar substance'!$F$5)^2)</f>
        <v>5.3103672189407014</v>
      </c>
    </row>
    <row r="522" spans="1:7" x14ac:dyDescent="0.25">
      <c r="A522" s="2" t="s">
        <v>1133</v>
      </c>
      <c r="B522" s="2" t="s">
        <v>1132</v>
      </c>
      <c r="C522" s="2">
        <v>15.7</v>
      </c>
      <c r="D522" s="2">
        <v>6.1</v>
      </c>
      <c r="E522" s="2">
        <v>6.5</v>
      </c>
      <c r="F522" s="2" t="str">
        <f>IFERROR(VLOOKUP(B522,Tabla2[],5,FALSE),"")</f>
        <v/>
      </c>
      <c r="G522" s="2">
        <f>SQRT(4*(Tabla1[[#This Row],[dD]]-'Find a similar substance'!$D$5)^2+('Find a similar substance'!$E$5-Tabla1[[#This Row],[dP]])^2+(Tabla1[[#This Row],[dH]]-'Find a similar substance'!$F$5)^2)</f>
        <v>3.5000000000000022</v>
      </c>
    </row>
    <row r="523" spans="1:7" x14ac:dyDescent="0.25">
      <c r="A523" s="2" t="s">
        <v>1135</v>
      </c>
      <c r="B523" s="2" t="s">
        <v>1134</v>
      </c>
      <c r="C523" s="2">
        <v>15.6</v>
      </c>
      <c r="D523" s="2">
        <v>0.8</v>
      </c>
      <c r="E523" s="2">
        <v>3.2</v>
      </c>
      <c r="F523" s="2" t="str">
        <f>IFERROR(VLOOKUP(B523,Tabla2[],5,FALSE),"")</f>
        <v/>
      </c>
      <c r="G523" s="2">
        <f>SQRT(4*(Tabla1[[#This Row],[dD]]-'Find a similar substance'!$D$5)^2+('Find a similar substance'!$E$5-Tabla1[[#This Row],[dP]])^2+(Tabla1[[#This Row],[dH]]-'Find a similar substance'!$F$5)^2)</f>
        <v>8.3456575534825284</v>
      </c>
    </row>
    <row r="524" spans="1:7" x14ac:dyDescent="0.25">
      <c r="A524" s="2" t="s">
        <v>1137</v>
      </c>
      <c r="B524" s="2" t="s">
        <v>1136</v>
      </c>
      <c r="C524" s="2">
        <v>15.9</v>
      </c>
      <c r="D524" s="2">
        <v>2.6</v>
      </c>
      <c r="E524" s="2">
        <v>2.5</v>
      </c>
      <c r="F524" s="2" t="str">
        <f>IFERROR(VLOOKUP(B524,Tabla2[],5,FALSE),"")</f>
        <v/>
      </c>
      <c r="G524" s="2">
        <f>SQRT(4*(Tabla1[[#This Row],[dD]]-'Find a similar substance'!$D$5)^2+('Find a similar substance'!$E$5-Tabla1[[#This Row],[dP]])^2+(Tabla1[[#This Row],[dH]]-'Find a similar substance'!$F$5)^2)</f>
        <v>6.7394361781976988</v>
      </c>
    </row>
    <row r="525" spans="1:7" x14ac:dyDescent="0.25">
      <c r="A525" s="2" t="s">
        <v>1139</v>
      </c>
      <c r="B525" s="2" t="s">
        <v>1138</v>
      </c>
      <c r="C525" s="2">
        <v>14.9</v>
      </c>
      <c r="D525" s="2">
        <v>3.1</v>
      </c>
      <c r="E525" s="2">
        <v>10.8</v>
      </c>
      <c r="F525" s="2" t="str">
        <f>IFERROR(VLOOKUP(B525,Tabla2[],5,FALSE),"")</f>
        <v/>
      </c>
      <c r="G525" s="2">
        <f>SQRT(4*(Tabla1[[#This Row],[dD]]-'Find a similar substance'!$D$5)^2+('Find a similar substance'!$E$5-Tabla1[[#This Row],[dP]])^2+(Tabla1[[#This Row],[dH]]-'Find a similar substance'!$F$5)^2)</f>
        <v>8.7498571416909439</v>
      </c>
    </row>
    <row r="526" spans="1:7" x14ac:dyDescent="0.25">
      <c r="A526" s="2" t="s">
        <v>1141</v>
      </c>
      <c r="B526" s="2" t="s">
        <v>1140</v>
      </c>
      <c r="C526" s="2">
        <v>16</v>
      </c>
      <c r="D526" s="2">
        <v>3.7</v>
      </c>
      <c r="E526" s="2">
        <v>4.0999999999999996</v>
      </c>
      <c r="F526" s="2">
        <f>IFERROR(VLOOKUP(B526,Tabla2[],5,FALSE),"")</f>
        <v>177.4</v>
      </c>
      <c r="G526" s="2">
        <f>SQRT(4*(Tabla1[[#This Row],[dD]]-'Find a similar substance'!$D$5)^2+('Find a similar substance'!$E$5-Tabla1[[#This Row],[dP]])^2+(Tabla1[[#This Row],[dH]]-'Find a similar substance'!$F$5)^2)</f>
        <v>5.2201532544552753</v>
      </c>
    </row>
    <row r="527" spans="1:7" x14ac:dyDescent="0.25">
      <c r="A527" s="2" t="s">
        <v>1143</v>
      </c>
      <c r="B527" s="2" t="s">
        <v>1142</v>
      </c>
      <c r="C527" s="2">
        <v>16.3</v>
      </c>
      <c r="D527" s="2">
        <v>10.5</v>
      </c>
      <c r="E527" s="2">
        <v>6.1</v>
      </c>
      <c r="F527" s="2" t="str">
        <f>IFERROR(VLOOKUP(B527,Tabla2[],5,FALSE),"")</f>
        <v/>
      </c>
      <c r="G527" s="2">
        <f>SQRT(4*(Tabla1[[#This Row],[dD]]-'Find a similar substance'!$D$5)^2+('Find a similar substance'!$E$5-Tabla1[[#This Row],[dP]])^2+(Tabla1[[#This Row],[dH]]-'Find a similar substance'!$F$5)^2)</f>
        <v>2.1931712199461315</v>
      </c>
    </row>
    <row r="528" spans="1:7" x14ac:dyDescent="0.25">
      <c r="A528" s="2" t="s">
        <v>1145</v>
      </c>
      <c r="B528" s="2" t="s">
        <v>1144</v>
      </c>
      <c r="C528" s="2">
        <v>16.600000000000001</v>
      </c>
      <c r="D528" s="2">
        <v>6.2</v>
      </c>
      <c r="E528" s="2">
        <v>2.6</v>
      </c>
      <c r="F528" s="2" t="str">
        <f>IFERROR(VLOOKUP(B528,Tabla2[],5,FALSE),"")</f>
        <v/>
      </c>
      <c r="G528" s="2">
        <f>SQRT(4*(Tabla1[[#This Row],[dD]]-'Find a similar substance'!$D$5)^2+('Find a similar substance'!$E$5-Tabla1[[#This Row],[dP]])^2+(Tabla1[[#This Row],[dH]]-'Find a similar substance'!$F$5)^2)</f>
        <v>3.4655446902326905</v>
      </c>
    </row>
    <row r="529" spans="1:7" x14ac:dyDescent="0.25">
      <c r="A529" s="2" t="s">
        <v>1147</v>
      </c>
      <c r="B529" s="2" t="s">
        <v>1146</v>
      </c>
      <c r="C529" s="2">
        <v>16.8</v>
      </c>
      <c r="D529" s="2">
        <v>7.2</v>
      </c>
      <c r="E529" s="2">
        <v>3.4</v>
      </c>
      <c r="F529" s="2" t="str">
        <f>IFERROR(VLOOKUP(B529,Tabla2[],5,FALSE),"")</f>
        <v/>
      </c>
      <c r="G529" s="2">
        <f>SQRT(4*(Tabla1[[#This Row],[dD]]-'Find a similar substance'!$D$5)^2+('Find a similar substance'!$E$5-Tabla1[[#This Row],[dP]])^2+(Tabla1[[#This Row],[dH]]-'Find a similar substance'!$F$5)^2)</f>
        <v>2.2293496809607949</v>
      </c>
    </row>
    <row r="530" spans="1:7" x14ac:dyDescent="0.25">
      <c r="A530" s="2" t="s">
        <v>1149</v>
      </c>
      <c r="B530" s="2" t="s">
        <v>1148</v>
      </c>
      <c r="C530" s="2">
        <v>16.7</v>
      </c>
      <c r="D530" s="2">
        <v>1.8</v>
      </c>
      <c r="E530" s="2">
        <v>4.9000000000000004</v>
      </c>
      <c r="F530" s="2" t="str">
        <f>IFERROR(VLOOKUP(B530,Tabla2[],5,FALSE),"")</f>
        <v/>
      </c>
      <c r="G530" s="2">
        <f>SQRT(4*(Tabla1[[#This Row],[dD]]-'Find a similar substance'!$D$5)^2+('Find a similar substance'!$E$5-Tabla1[[#This Row],[dP]])^2+(Tabla1[[#This Row],[dH]]-'Find a similar substance'!$F$5)^2)</f>
        <v>6.9036222376372818</v>
      </c>
    </row>
    <row r="531" spans="1:7" x14ac:dyDescent="0.25">
      <c r="A531" s="2" t="s">
        <v>1151</v>
      </c>
      <c r="B531" s="2" t="s">
        <v>1150</v>
      </c>
      <c r="C531" s="2">
        <v>16.600000000000001</v>
      </c>
      <c r="D531" s="2">
        <v>6.6</v>
      </c>
      <c r="E531" s="2">
        <v>2.9</v>
      </c>
      <c r="F531" s="2" t="str">
        <f>IFERROR(VLOOKUP(B531,Tabla2[],5,FALSE),"")</f>
        <v/>
      </c>
      <c r="G531" s="2">
        <f>SQRT(4*(Tabla1[[#This Row],[dD]]-'Find a similar substance'!$D$5)^2+('Find a similar substance'!$E$5-Tabla1[[#This Row],[dP]])^2+(Tabla1[[#This Row],[dH]]-'Find a similar substance'!$F$5)^2)</f>
        <v>2.9698484809834995</v>
      </c>
    </row>
    <row r="532" spans="1:7" x14ac:dyDescent="0.25">
      <c r="A532" s="2" t="s">
        <v>1153</v>
      </c>
      <c r="B532" s="2" t="s">
        <v>1152</v>
      </c>
      <c r="C532" s="2">
        <v>16.399999999999999</v>
      </c>
      <c r="D532" s="2">
        <v>10</v>
      </c>
      <c r="E532" s="2">
        <v>5.7</v>
      </c>
      <c r="F532" s="2" t="str">
        <f>IFERROR(VLOOKUP(B532,Tabla2[],5,FALSE),"")</f>
        <v/>
      </c>
      <c r="G532" s="2">
        <f>SQRT(4*(Tabla1[[#This Row],[dD]]-'Find a similar substance'!$D$5)^2+('Find a similar substance'!$E$5-Tabla1[[#This Row],[dP]])^2+(Tabla1[[#This Row],[dH]]-'Find a similar substance'!$F$5)^2)</f>
        <v>1.5297058540778377</v>
      </c>
    </row>
    <row r="533" spans="1:7" x14ac:dyDescent="0.25">
      <c r="A533" s="2" t="s">
        <v>1155</v>
      </c>
      <c r="B533" s="2" t="s">
        <v>1154</v>
      </c>
      <c r="C533" s="2">
        <v>15.7</v>
      </c>
      <c r="D533" s="2">
        <v>10.199999999999999</v>
      </c>
      <c r="E533" s="2">
        <v>5.9</v>
      </c>
      <c r="F533" s="2" t="str">
        <f>IFERROR(VLOOKUP(B533,Tabla2[],5,FALSE),"")</f>
        <v/>
      </c>
      <c r="G533" s="2">
        <f>SQRT(4*(Tabla1[[#This Row],[dD]]-'Find a similar substance'!$D$5)^2+('Find a similar substance'!$E$5-Tabla1[[#This Row],[dP]])^2+(Tabla1[[#This Row],[dH]]-'Find a similar substance'!$F$5)^2)</f>
        <v>2.5099800796022298</v>
      </c>
    </row>
    <row r="534" spans="1:7" x14ac:dyDescent="0.25">
      <c r="A534" s="2" t="s">
        <v>1157</v>
      </c>
      <c r="B534" s="2" t="s">
        <v>1156</v>
      </c>
      <c r="C534" s="2">
        <v>17</v>
      </c>
      <c r="D534" s="2">
        <v>11.5</v>
      </c>
      <c r="E534" s="2">
        <v>7.4</v>
      </c>
      <c r="F534" s="2" t="str">
        <f>IFERROR(VLOOKUP(B534,Tabla2[],5,FALSE),"")</f>
        <v/>
      </c>
      <c r="G534" s="2">
        <f>SQRT(4*(Tabla1[[#This Row],[dD]]-'Find a similar substance'!$D$5)^2+('Find a similar substance'!$E$5-Tabla1[[#This Row],[dP]])^2+(Tabla1[[#This Row],[dH]]-'Find a similar substance'!$F$5)^2)</f>
        <v>3.7735924528226419</v>
      </c>
    </row>
    <row r="535" spans="1:7" x14ac:dyDescent="0.25">
      <c r="A535" s="2" t="s">
        <v>1159</v>
      </c>
      <c r="B535" s="2" t="s">
        <v>1158</v>
      </c>
      <c r="C535" s="2">
        <v>15.2</v>
      </c>
      <c r="D535" s="2">
        <v>3.4</v>
      </c>
      <c r="E535" s="2">
        <v>3.2</v>
      </c>
      <c r="F535" s="2" t="str">
        <f>IFERROR(VLOOKUP(B535,Tabla2[],5,FALSE),"")</f>
        <v/>
      </c>
      <c r="G535" s="2">
        <f>SQRT(4*(Tabla1[[#This Row],[dD]]-'Find a similar substance'!$D$5)^2+('Find a similar substance'!$E$5-Tabla1[[#This Row],[dP]])^2+(Tabla1[[#This Row],[dH]]-'Find a similar substance'!$F$5)^2)</f>
        <v>6.2585940913275415</v>
      </c>
    </row>
    <row r="536" spans="1:7" x14ac:dyDescent="0.25">
      <c r="A536" s="2" t="s">
        <v>1161</v>
      </c>
      <c r="B536" s="2" t="s">
        <v>1160</v>
      </c>
      <c r="C536" s="2">
        <v>16.399999999999999</v>
      </c>
      <c r="D536" s="2">
        <v>10.5</v>
      </c>
      <c r="E536" s="2">
        <v>6.1</v>
      </c>
      <c r="F536" s="2" t="str">
        <f>IFERROR(VLOOKUP(B536,Tabla2[],5,FALSE),"")</f>
        <v/>
      </c>
      <c r="G536" s="2">
        <f>SQRT(4*(Tabla1[[#This Row],[dD]]-'Find a similar substance'!$D$5)^2+('Find a similar substance'!$E$5-Tabla1[[#This Row],[dP]])^2+(Tabla1[[#This Row],[dH]]-'Find a similar substance'!$F$5)^2)</f>
        <v>2.1470910553583904</v>
      </c>
    </row>
    <row r="537" spans="1:7" x14ac:dyDescent="0.25">
      <c r="A537" s="2" t="s">
        <v>1163</v>
      </c>
      <c r="B537" s="2" t="s">
        <v>1162</v>
      </c>
      <c r="C537" s="2">
        <v>15.6</v>
      </c>
      <c r="D537" s="2">
        <v>3.1</v>
      </c>
      <c r="E537" s="2">
        <v>3</v>
      </c>
      <c r="F537" s="2" t="str">
        <f>IFERROR(VLOOKUP(B537,Tabla2[],5,FALSE),"")</f>
        <v/>
      </c>
      <c r="G537" s="2">
        <f>SQRT(4*(Tabla1[[#This Row],[dD]]-'Find a similar substance'!$D$5)^2+('Find a similar substance'!$E$5-Tabla1[[#This Row],[dP]])^2+(Tabla1[[#This Row],[dH]]-'Find a similar substance'!$F$5)^2)</f>
        <v>6.2737548565432499</v>
      </c>
    </row>
    <row r="538" spans="1:7" x14ac:dyDescent="0.25">
      <c r="A538" s="2" t="s">
        <v>1165</v>
      </c>
      <c r="B538" s="2" t="s">
        <v>1164</v>
      </c>
      <c r="C538" s="2">
        <v>15.1</v>
      </c>
      <c r="D538" s="2">
        <v>3.2</v>
      </c>
      <c r="E538" s="2">
        <v>3.2</v>
      </c>
      <c r="F538" s="2" t="str">
        <f>IFERROR(VLOOKUP(B538,Tabla2[],5,FALSE),"")</f>
        <v/>
      </c>
      <c r="G538" s="2">
        <f>SQRT(4*(Tabla1[[#This Row],[dD]]-'Find a similar substance'!$D$5)^2+('Find a similar substance'!$E$5-Tabla1[[#This Row],[dP]])^2+(Tabla1[[#This Row],[dH]]-'Find a similar substance'!$F$5)^2)</f>
        <v>6.5184353950929061</v>
      </c>
    </row>
    <row r="539" spans="1:7" x14ac:dyDescent="0.25">
      <c r="A539" s="2" t="s">
        <v>1167</v>
      </c>
      <c r="B539" s="2" t="s">
        <v>1166</v>
      </c>
      <c r="C539" s="2">
        <v>17</v>
      </c>
      <c r="D539" s="2">
        <v>13</v>
      </c>
      <c r="E539" s="2">
        <v>7.4</v>
      </c>
      <c r="F539" s="2" t="str">
        <f>IFERROR(VLOOKUP(B539,Tabla2[],5,FALSE),"")</f>
        <v/>
      </c>
      <c r="G539" s="2">
        <f>SQRT(4*(Tabla1[[#This Row],[dD]]-'Find a similar substance'!$D$5)^2+('Find a similar substance'!$E$5-Tabla1[[#This Row],[dP]])^2+(Tabla1[[#This Row],[dH]]-'Find a similar substance'!$F$5)^2)</f>
        <v>4.9889878733065691</v>
      </c>
    </row>
    <row r="540" spans="1:7" x14ac:dyDescent="0.25">
      <c r="A540" s="2" t="s">
        <v>1169</v>
      </c>
      <c r="B540" s="2" t="s">
        <v>1168</v>
      </c>
      <c r="C540" s="2">
        <v>15.2</v>
      </c>
      <c r="D540" s="2">
        <v>3.5</v>
      </c>
      <c r="E540" s="2">
        <v>3.3</v>
      </c>
      <c r="F540" s="2" t="str">
        <f>IFERROR(VLOOKUP(B540,Tabla2[],5,FALSE),"")</f>
        <v/>
      </c>
      <c r="G540" s="2">
        <f>SQRT(4*(Tabla1[[#This Row],[dD]]-'Find a similar substance'!$D$5)^2+('Find a similar substance'!$E$5-Tabla1[[#This Row],[dP]])^2+(Tabla1[[#This Row],[dH]]-'Find a similar substance'!$F$5)^2)</f>
        <v>6.1457302251237822</v>
      </c>
    </row>
    <row r="541" spans="1:7" x14ac:dyDescent="0.25">
      <c r="A541" s="2" t="s">
        <v>1170</v>
      </c>
      <c r="B541" s="2" t="s">
        <v>26</v>
      </c>
      <c r="C541" s="2">
        <v>15.8</v>
      </c>
      <c r="D541" s="2">
        <v>8.1999999999999993</v>
      </c>
      <c r="E541" s="2">
        <v>10.8</v>
      </c>
      <c r="F541" s="2">
        <f>IFERROR(VLOOKUP(B541,Tabla2[],5,FALSE),"")</f>
        <v>124.3</v>
      </c>
      <c r="G541" s="2">
        <f>SQRT(4*(Tabla1[[#This Row],[dD]]-'Find a similar substance'!$D$5)^2+('Find a similar substance'!$E$5-Tabla1[[#This Row],[dP]])^2+(Tabla1[[#This Row],[dH]]-'Find a similar substance'!$F$5)^2)</f>
        <v>6.0373835392494328</v>
      </c>
    </row>
    <row r="542" spans="1:7" x14ac:dyDescent="0.25">
      <c r="A542" s="2" t="s">
        <v>1172</v>
      </c>
      <c r="B542" s="2" t="s">
        <v>1171</v>
      </c>
      <c r="C542" s="2">
        <v>15.6</v>
      </c>
      <c r="D542" s="2">
        <v>4.5</v>
      </c>
      <c r="E542" s="2">
        <v>6.7</v>
      </c>
      <c r="F542" s="2" t="str">
        <f>IFERROR(VLOOKUP(B542,Tabla2[],5,FALSE),"")</f>
        <v/>
      </c>
      <c r="G542" s="2">
        <f>SQRT(4*(Tabla1[[#This Row],[dD]]-'Find a similar substance'!$D$5)^2+('Find a similar substance'!$E$5-Tabla1[[#This Row],[dP]])^2+(Tabla1[[#This Row],[dH]]-'Find a similar substance'!$F$5)^2)</f>
        <v>4.952776998815918</v>
      </c>
    </row>
    <row r="543" spans="1:7" x14ac:dyDescent="0.25">
      <c r="A543" s="2" t="s">
        <v>1174</v>
      </c>
      <c r="B543" s="2" t="s">
        <v>1173</v>
      </c>
      <c r="C543" s="2">
        <v>15.3</v>
      </c>
      <c r="D543" s="2">
        <v>4.4000000000000004</v>
      </c>
      <c r="E543" s="2">
        <v>5.3</v>
      </c>
      <c r="F543" s="2" t="str">
        <f>IFERROR(VLOOKUP(B543,Tabla2[],5,FALSE),"")</f>
        <v/>
      </c>
      <c r="G543" s="2">
        <f>SQRT(4*(Tabla1[[#This Row],[dD]]-'Find a similar substance'!$D$5)^2+('Find a similar substance'!$E$5-Tabla1[[#This Row],[dP]])^2+(Tabla1[[#This Row],[dH]]-'Find a similar substance'!$F$5)^2)</f>
        <v>5.0338851794612873</v>
      </c>
    </row>
    <row r="544" spans="1:7" x14ac:dyDescent="0.25">
      <c r="A544" s="2" t="s">
        <v>1176</v>
      </c>
      <c r="B544" s="2" t="s">
        <v>1175</v>
      </c>
      <c r="C544" s="2">
        <v>14.7</v>
      </c>
      <c r="D544" s="2">
        <v>6.1</v>
      </c>
      <c r="E544" s="2">
        <v>11.3</v>
      </c>
      <c r="F544" s="2" t="str">
        <f>IFERROR(VLOOKUP(B544,Tabla2[],5,FALSE),"")</f>
        <v/>
      </c>
      <c r="G544" s="2">
        <f>SQRT(4*(Tabla1[[#This Row],[dD]]-'Find a similar substance'!$D$5)^2+('Find a similar substance'!$E$5-Tabla1[[#This Row],[dP]])^2+(Tabla1[[#This Row],[dH]]-'Find a similar substance'!$F$5)^2)</f>
        <v>7.8032044699597645</v>
      </c>
    </row>
    <row r="545" spans="1:7" x14ac:dyDescent="0.25">
      <c r="A545" s="2" t="s">
        <v>1178</v>
      </c>
      <c r="B545" s="2" t="s">
        <v>1177</v>
      </c>
      <c r="C545" s="2">
        <v>16.2</v>
      </c>
      <c r="D545" s="2">
        <v>6.5</v>
      </c>
      <c r="E545" s="2">
        <v>8.4</v>
      </c>
      <c r="F545" s="2" t="str">
        <f>IFERROR(VLOOKUP(B545,Tabla2[],5,FALSE),"")</f>
        <v/>
      </c>
      <c r="G545" s="2">
        <f>SQRT(4*(Tabla1[[#This Row],[dD]]-'Find a similar substance'!$D$5)^2+('Find a similar substance'!$E$5-Tabla1[[#This Row],[dP]])^2+(Tabla1[[#This Row],[dH]]-'Find a similar substance'!$F$5)^2)</f>
        <v>4.1279534881100597</v>
      </c>
    </row>
    <row r="546" spans="1:7" x14ac:dyDescent="0.25">
      <c r="A546" s="2" t="s">
        <v>1180</v>
      </c>
      <c r="B546" s="2" t="s">
        <v>1179</v>
      </c>
      <c r="C546" s="2">
        <v>19.600000000000001</v>
      </c>
      <c r="D546" s="2">
        <v>3.4</v>
      </c>
      <c r="E546" s="2">
        <v>5.2</v>
      </c>
      <c r="F546" s="2" t="str">
        <f>IFERROR(VLOOKUP(B546,Tabla2[],5,FALSE),"")</f>
        <v/>
      </c>
      <c r="G546" s="2">
        <f>SQRT(4*(Tabla1[[#This Row],[dD]]-'Find a similar substance'!$D$5)^2+('Find a similar substance'!$E$5-Tabla1[[#This Row],[dP]])^2+(Tabla1[[#This Row],[dH]]-'Find a similar substance'!$F$5)^2)</f>
        <v>8.0081208782085707</v>
      </c>
    </row>
    <row r="547" spans="1:7" x14ac:dyDescent="0.25">
      <c r="A547" s="2" t="s">
        <v>1182</v>
      </c>
      <c r="B547" s="2" t="s">
        <v>1181</v>
      </c>
      <c r="C547" s="2">
        <v>17.8</v>
      </c>
      <c r="D547" s="2">
        <v>2.2000000000000002</v>
      </c>
      <c r="E547" s="2">
        <v>5.5</v>
      </c>
      <c r="F547" s="2" t="str">
        <f>IFERROR(VLOOKUP(B547,Tabla2[],5,FALSE),"")</f>
        <v/>
      </c>
      <c r="G547" s="2">
        <f>SQRT(4*(Tabla1[[#This Row],[dD]]-'Find a similar substance'!$D$5)^2+('Find a similar substance'!$E$5-Tabla1[[#This Row],[dP]])^2+(Tabla1[[#This Row],[dH]]-'Find a similar substance'!$F$5)^2)</f>
        <v>6.9469417731833607</v>
      </c>
    </row>
    <row r="548" spans="1:7" x14ac:dyDescent="0.25">
      <c r="A548" s="2" t="s">
        <v>1184</v>
      </c>
      <c r="B548" s="2" t="s">
        <v>1183</v>
      </c>
      <c r="C548" s="2">
        <v>19</v>
      </c>
      <c r="D548" s="2">
        <v>6.4</v>
      </c>
      <c r="E548" s="2">
        <v>7</v>
      </c>
      <c r="F548" s="2" t="str">
        <f>IFERROR(VLOOKUP(B548,Tabla2[],5,FALSE),"")</f>
        <v/>
      </c>
      <c r="G548" s="2">
        <f>SQRT(4*(Tabla1[[#This Row],[dD]]-'Find a similar substance'!$D$5)^2+('Find a similar substance'!$E$5-Tabla1[[#This Row],[dP]])^2+(Tabla1[[#This Row],[dH]]-'Find a similar substance'!$F$5)^2)</f>
        <v>5.6859475903317973</v>
      </c>
    </row>
    <row r="549" spans="1:7" x14ac:dyDescent="0.25">
      <c r="A549" s="2" t="s">
        <v>1186</v>
      </c>
      <c r="B549" s="2" t="s">
        <v>1185</v>
      </c>
      <c r="C549" s="2">
        <v>15</v>
      </c>
      <c r="D549" s="2">
        <v>3</v>
      </c>
      <c r="E549" s="2">
        <v>4.3</v>
      </c>
      <c r="F549" s="2" t="str">
        <f>IFERROR(VLOOKUP(B549,Tabla2[],5,FALSE),"")</f>
        <v/>
      </c>
      <c r="G549" s="2">
        <f>SQRT(4*(Tabla1[[#This Row],[dD]]-'Find a similar substance'!$D$5)^2+('Find a similar substance'!$E$5-Tabla1[[#This Row],[dP]])^2+(Tabla1[[#This Row],[dH]]-'Find a similar substance'!$F$5)^2)</f>
        <v>6.574191965557441</v>
      </c>
    </row>
    <row r="550" spans="1:7" x14ac:dyDescent="0.25">
      <c r="A550" s="2" t="s">
        <v>1188</v>
      </c>
      <c r="B550" s="2" t="s">
        <v>1187</v>
      </c>
      <c r="C550" s="2">
        <v>16</v>
      </c>
      <c r="D550" s="2">
        <v>7.7</v>
      </c>
      <c r="E550" s="2">
        <v>4.4000000000000004</v>
      </c>
      <c r="F550" s="2" t="str">
        <f>IFERROR(VLOOKUP(B550,Tabla2[],5,FALSE),"")</f>
        <v/>
      </c>
      <c r="G550" s="2">
        <f>SQRT(4*(Tabla1[[#This Row],[dD]]-'Find a similar substance'!$D$5)^2+('Find a similar substance'!$E$5-Tabla1[[#This Row],[dP]])^2+(Tabla1[[#This Row],[dH]]-'Find a similar substance'!$F$5)^2)</f>
        <v>1.6733200530681525</v>
      </c>
    </row>
    <row r="551" spans="1:7" x14ac:dyDescent="0.25">
      <c r="A551" s="2" t="s">
        <v>1190</v>
      </c>
      <c r="B551" s="2" t="s">
        <v>1189</v>
      </c>
      <c r="C551" s="2">
        <v>16.5</v>
      </c>
      <c r="D551" s="2">
        <v>6.1</v>
      </c>
      <c r="E551" s="2">
        <v>7.2</v>
      </c>
      <c r="F551" s="2" t="str">
        <f>IFERROR(VLOOKUP(B551,Tabla2[],5,FALSE),"")</f>
        <v/>
      </c>
      <c r="G551" s="2">
        <f>SQRT(4*(Tabla1[[#This Row],[dD]]-'Find a similar substance'!$D$5)^2+('Find a similar substance'!$E$5-Tabla1[[#This Row],[dP]])^2+(Tabla1[[#This Row],[dH]]-'Find a similar substance'!$F$5)^2)</f>
        <v>3.4117444218463961</v>
      </c>
    </row>
    <row r="552" spans="1:7" x14ac:dyDescent="0.25">
      <c r="A552" s="2" t="s">
        <v>1192</v>
      </c>
      <c r="B552" s="2" t="s">
        <v>1191</v>
      </c>
      <c r="C552" s="2">
        <v>17.8</v>
      </c>
      <c r="D552" s="2">
        <v>8.6</v>
      </c>
      <c r="E552" s="2">
        <v>4.0999999999999996</v>
      </c>
      <c r="F552" s="2" t="str">
        <f>IFERROR(VLOOKUP(B552,Tabla2[],5,FALSE),"")</f>
        <v/>
      </c>
      <c r="G552" s="2">
        <f>SQRT(4*(Tabla1[[#This Row],[dD]]-'Find a similar substance'!$D$5)^2+('Find a similar substance'!$E$5-Tabla1[[#This Row],[dP]])^2+(Tabla1[[#This Row],[dH]]-'Find a similar substance'!$F$5)^2)</f>
        <v>2.5651510676761307</v>
      </c>
    </row>
    <row r="553" spans="1:7" x14ac:dyDescent="0.25">
      <c r="A553" s="2" t="s">
        <v>1194</v>
      </c>
      <c r="B553" s="2" t="s">
        <v>1193</v>
      </c>
      <c r="C553" s="2">
        <v>16.7</v>
      </c>
      <c r="D553" s="2">
        <v>4.5</v>
      </c>
      <c r="E553" s="2">
        <v>4.0999999999999996</v>
      </c>
      <c r="F553" s="2" t="str">
        <f>IFERROR(VLOOKUP(B553,Tabla2[],5,FALSE),"")</f>
        <v/>
      </c>
      <c r="G553" s="2">
        <f>SQRT(4*(Tabla1[[#This Row],[dD]]-'Find a similar substance'!$D$5)^2+('Find a similar substance'!$E$5-Tabla1[[#This Row],[dP]])^2+(Tabla1[[#This Row],[dH]]-'Find a similar substance'!$F$5)^2)</f>
        <v>4.3</v>
      </c>
    </row>
    <row r="554" spans="1:7" x14ac:dyDescent="0.25">
      <c r="A554" s="2" t="s">
        <v>1196</v>
      </c>
      <c r="B554" s="2" t="s">
        <v>1195</v>
      </c>
      <c r="C554" s="2">
        <v>16.7</v>
      </c>
      <c r="D554" s="2">
        <v>9.1</v>
      </c>
      <c r="E554" s="2">
        <v>7.5</v>
      </c>
      <c r="F554" s="2" t="str">
        <f>IFERROR(VLOOKUP(B554,Tabla2[],5,FALSE),"")</f>
        <v/>
      </c>
      <c r="G554" s="2">
        <f>SQRT(4*(Tabla1[[#This Row],[dD]]-'Find a similar substance'!$D$5)^2+('Find a similar substance'!$E$5-Tabla1[[#This Row],[dP]])^2+(Tabla1[[#This Row],[dH]]-'Find a similar substance'!$F$5)^2)</f>
        <v>2.5396850198400585</v>
      </c>
    </row>
    <row r="555" spans="1:7" x14ac:dyDescent="0.25">
      <c r="A555" s="2" t="s">
        <v>1198</v>
      </c>
      <c r="B555" s="2" t="s">
        <v>1197</v>
      </c>
      <c r="C555" s="2">
        <v>18.2</v>
      </c>
      <c r="D555" s="2">
        <v>8.1</v>
      </c>
      <c r="E555" s="2">
        <v>12.2</v>
      </c>
      <c r="F555" s="2" t="str">
        <f>IFERROR(VLOOKUP(B555,Tabla2[],5,FALSE),"")</f>
        <v/>
      </c>
      <c r="G555" s="2">
        <f>SQRT(4*(Tabla1[[#This Row],[dD]]-'Find a similar substance'!$D$5)^2+('Find a similar substance'!$E$5-Tabla1[[#This Row],[dP]])^2+(Tabla1[[#This Row],[dH]]-'Find a similar substance'!$F$5)^2)</f>
        <v>7.9018985060553621</v>
      </c>
    </row>
    <row r="556" spans="1:7" x14ac:dyDescent="0.25">
      <c r="A556" s="2" t="s">
        <v>1200</v>
      </c>
      <c r="B556" s="2" t="s">
        <v>1199</v>
      </c>
      <c r="C556" s="2">
        <v>17.399999999999999</v>
      </c>
      <c r="D556" s="2">
        <v>9.4</v>
      </c>
      <c r="E556" s="2">
        <v>6.4</v>
      </c>
      <c r="F556" s="2" t="str">
        <f>IFERROR(VLOOKUP(B556,Tabla2[],5,FALSE),"")</f>
        <v/>
      </c>
      <c r="G556" s="2">
        <f>SQRT(4*(Tabla1[[#This Row],[dD]]-'Find a similar substance'!$D$5)^2+('Find a similar substance'!$E$5-Tabla1[[#This Row],[dP]])^2+(Tabla1[[#This Row],[dH]]-'Find a similar substance'!$F$5)^2)</f>
        <v>2.2383029285599356</v>
      </c>
    </row>
    <row r="557" spans="1:7" x14ac:dyDescent="0.25">
      <c r="A557" s="2" t="s">
        <v>1202</v>
      </c>
      <c r="B557" s="2" t="s">
        <v>1201</v>
      </c>
      <c r="C557" s="2">
        <v>14.9</v>
      </c>
      <c r="D557" s="2">
        <v>2</v>
      </c>
      <c r="E557" s="2">
        <v>0</v>
      </c>
      <c r="F557" s="2" t="str">
        <f>IFERROR(VLOOKUP(B557,Tabla2[],5,FALSE),"")</f>
        <v/>
      </c>
      <c r="G557" s="2">
        <f>SQRT(4*(Tabla1[[#This Row],[dD]]-'Find a similar substance'!$D$5)^2+('Find a similar substance'!$E$5-Tabla1[[#This Row],[dP]])^2+(Tabla1[[#This Row],[dH]]-'Find a similar substance'!$F$5)^2)</f>
        <v>9.0249653738947941</v>
      </c>
    </row>
    <row r="558" spans="1:7" x14ac:dyDescent="0.25">
      <c r="A558" s="2" t="s">
        <v>1204</v>
      </c>
      <c r="B558" s="2" t="s">
        <v>1203</v>
      </c>
      <c r="C558" s="2">
        <v>16.7</v>
      </c>
      <c r="D558" s="2">
        <v>7.8</v>
      </c>
      <c r="E558" s="2">
        <v>3.3</v>
      </c>
      <c r="F558" s="2" t="str">
        <f>IFERROR(VLOOKUP(B558,Tabla2[],5,FALSE),"")</f>
        <v/>
      </c>
      <c r="G558" s="2">
        <f>SQRT(4*(Tabla1[[#This Row],[dD]]-'Find a similar substance'!$D$5)^2+('Find a similar substance'!$E$5-Tabla1[[#This Row],[dP]])^2+(Tabla1[[#This Row],[dH]]-'Find a similar substance'!$F$5)^2)</f>
        <v>1.9339079605813712</v>
      </c>
    </row>
    <row r="559" spans="1:7" x14ac:dyDescent="0.25">
      <c r="A559" s="2">
        <v>1090285</v>
      </c>
      <c r="B559" s="2" t="s">
        <v>1205</v>
      </c>
      <c r="C559" s="2">
        <v>17.100000000000001</v>
      </c>
      <c r="D559" s="2">
        <v>12.9</v>
      </c>
      <c r="E559" s="2">
        <v>6.5</v>
      </c>
      <c r="F559" s="2" t="str">
        <f>IFERROR(VLOOKUP(B559,Tabla2[],5,FALSE),"")</f>
        <v/>
      </c>
      <c r="G559" s="2">
        <f>SQRT(4*(Tabla1[[#This Row],[dD]]-'Find a similar substance'!$D$5)^2+('Find a similar substance'!$E$5-Tabla1[[#This Row],[dP]])^2+(Tabla1[[#This Row],[dH]]-'Find a similar substance'!$F$5)^2)</f>
        <v>4.5705579528105762</v>
      </c>
    </row>
    <row r="560" spans="1:7" x14ac:dyDescent="0.25">
      <c r="A560" s="2" t="s">
        <v>1207</v>
      </c>
      <c r="B560" s="2" t="s">
        <v>1206</v>
      </c>
      <c r="C560" s="2">
        <v>15.8</v>
      </c>
      <c r="D560" s="2">
        <v>3.1</v>
      </c>
      <c r="E560" s="2">
        <v>5.7</v>
      </c>
      <c r="F560" s="2" t="str">
        <f>IFERROR(VLOOKUP(B560,Tabla2[],5,FALSE),"")</f>
        <v/>
      </c>
      <c r="G560" s="2">
        <f>SQRT(4*(Tabla1[[#This Row],[dD]]-'Find a similar substance'!$D$5)^2+('Find a similar substance'!$E$5-Tabla1[[#This Row],[dP]])^2+(Tabla1[[#This Row],[dH]]-'Find a similar substance'!$F$5)^2)</f>
        <v>5.8660037504249862</v>
      </c>
    </row>
    <row r="561" spans="1:7" x14ac:dyDescent="0.25">
      <c r="A561" s="2" t="s">
        <v>1209</v>
      </c>
      <c r="B561" s="2" t="s">
        <v>1208</v>
      </c>
      <c r="C561" s="2">
        <v>17.2</v>
      </c>
      <c r="D561" s="2">
        <v>7</v>
      </c>
      <c r="E561" s="2">
        <v>19</v>
      </c>
      <c r="F561" s="2" t="str">
        <f>IFERROR(VLOOKUP(B561,Tabla2[],5,FALSE),"")</f>
        <v/>
      </c>
      <c r="G561" s="2">
        <f>SQRT(4*(Tabla1[[#This Row],[dD]]-'Find a similar substance'!$D$5)^2+('Find a similar substance'!$E$5-Tabla1[[#This Row],[dP]])^2+(Tabla1[[#This Row],[dH]]-'Find a similar substance'!$F$5)^2)</f>
        <v>14.153798076841424</v>
      </c>
    </row>
    <row r="562" spans="1:7" x14ac:dyDescent="0.25">
      <c r="A562" s="2" t="s">
        <v>1211</v>
      </c>
      <c r="B562" s="2" t="s">
        <v>1210</v>
      </c>
      <c r="C562" s="2">
        <v>16.399999999999999</v>
      </c>
      <c r="D562" s="2">
        <v>6.2</v>
      </c>
      <c r="E562" s="2">
        <v>7.5</v>
      </c>
      <c r="F562" s="2" t="str">
        <f>IFERROR(VLOOKUP(B562,Tabla2[],5,FALSE),"")</f>
        <v/>
      </c>
      <c r="G562" s="2">
        <f>SQRT(4*(Tabla1[[#This Row],[dD]]-'Find a similar substance'!$D$5)^2+('Find a similar substance'!$E$5-Tabla1[[#This Row],[dP]])^2+(Tabla1[[#This Row],[dH]]-'Find a similar substance'!$F$5)^2)</f>
        <v>3.5580893749314391</v>
      </c>
    </row>
    <row r="563" spans="1:7" x14ac:dyDescent="0.25">
      <c r="A563" s="2" t="s">
        <v>1213</v>
      </c>
      <c r="B563" s="2" t="s">
        <v>1212</v>
      </c>
      <c r="C563" s="2">
        <v>14.9</v>
      </c>
      <c r="D563" s="2">
        <v>2.2999999999999998</v>
      </c>
      <c r="E563" s="2">
        <v>6.1</v>
      </c>
      <c r="F563" s="2" t="str">
        <f>IFERROR(VLOOKUP(B563,Tabla2[],5,FALSE),"")</f>
        <v/>
      </c>
      <c r="G563" s="2">
        <f>SQRT(4*(Tabla1[[#This Row],[dD]]-'Find a similar substance'!$D$5)^2+('Find a similar substance'!$E$5-Tabla1[[#This Row],[dP]])^2+(Tabla1[[#This Row],[dH]]-'Find a similar substance'!$F$5)^2)</f>
        <v>7.3300750337223706</v>
      </c>
    </row>
    <row r="564" spans="1:7" x14ac:dyDescent="0.25">
      <c r="A564" s="2" t="s">
        <v>1215</v>
      </c>
      <c r="B564" s="2" t="s">
        <v>1214</v>
      </c>
      <c r="C564" s="2">
        <v>15.1</v>
      </c>
      <c r="D564" s="2">
        <v>6.3</v>
      </c>
      <c r="E564" s="2">
        <v>3.5</v>
      </c>
      <c r="F564" s="2" t="str">
        <f>IFERROR(VLOOKUP(B564,Tabla2[],5,FALSE),"")</f>
        <v/>
      </c>
      <c r="G564" s="2">
        <f>SQRT(4*(Tabla1[[#This Row],[dD]]-'Find a similar substance'!$D$5)^2+('Find a similar substance'!$E$5-Tabla1[[#This Row],[dP]])^2+(Tabla1[[#This Row],[dH]]-'Find a similar substance'!$F$5)^2)</f>
        <v>4.1243181254602588</v>
      </c>
    </row>
    <row r="565" spans="1:7" x14ac:dyDescent="0.25">
      <c r="A565" s="2" t="s">
        <v>1216</v>
      </c>
      <c r="B565" s="2" t="s">
        <v>90</v>
      </c>
      <c r="C565" s="2">
        <v>14.5</v>
      </c>
      <c r="D565" s="2">
        <v>2.9</v>
      </c>
      <c r="E565" s="2">
        <v>4.5999999999999996</v>
      </c>
      <c r="F565" s="2">
        <f>IFERROR(VLOOKUP(B565,Tabla2[],5,FALSE),"")</f>
        <v>104.7</v>
      </c>
      <c r="G565" s="2">
        <f>SQRT(4*(Tabla1[[#This Row],[dD]]-'Find a similar substance'!$D$5)^2+('Find a similar substance'!$E$5-Tabla1[[#This Row],[dP]])^2+(Tabla1[[#This Row],[dH]]-'Find a similar substance'!$F$5)^2)</f>
        <v>7.1721684308164448</v>
      </c>
    </row>
    <row r="566" spans="1:7" x14ac:dyDescent="0.25">
      <c r="A566" s="2" t="s">
        <v>1218</v>
      </c>
      <c r="B566" s="2" t="s">
        <v>1217</v>
      </c>
      <c r="C566" s="2">
        <v>16.3</v>
      </c>
      <c r="D566" s="2">
        <v>7</v>
      </c>
      <c r="E566" s="2">
        <v>7.8</v>
      </c>
      <c r="F566" s="2" t="str">
        <f>IFERROR(VLOOKUP(B566,Tabla2[],5,FALSE),"")</f>
        <v/>
      </c>
      <c r="G566" s="2">
        <f>SQRT(4*(Tabla1[[#This Row],[dD]]-'Find a similar substance'!$D$5)^2+('Find a similar substance'!$E$5-Tabla1[[#This Row],[dP]])^2+(Tabla1[[#This Row],[dH]]-'Find a similar substance'!$F$5)^2)</f>
        <v>3.3301651610693423</v>
      </c>
    </row>
    <row r="567" spans="1:7" x14ac:dyDescent="0.25">
      <c r="A567" s="2" t="s">
        <v>1220</v>
      </c>
      <c r="B567" s="2" t="s">
        <v>1219</v>
      </c>
      <c r="C567" s="2">
        <v>15.8</v>
      </c>
      <c r="D567" s="2">
        <v>7.6</v>
      </c>
      <c r="E567" s="2">
        <v>4.7</v>
      </c>
      <c r="F567" s="2" t="str">
        <f>IFERROR(VLOOKUP(B567,Tabla2[],5,FALSE),"")</f>
        <v/>
      </c>
      <c r="G567" s="2">
        <f>SQRT(4*(Tabla1[[#This Row],[dD]]-'Find a similar substance'!$D$5)^2+('Find a similar substance'!$E$5-Tabla1[[#This Row],[dP]])^2+(Tabla1[[#This Row],[dH]]-'Find a similar substance'!$F$5)^2)</f>
        <v>1.9646882704388511</v>
      </c>
    </row>
    <row r="568" spans="1:7" x14ac:dyDescent="0.25">
      <c r="A568" s="2" t="s">
        <v>1222</v>
      </c>
      <c r="B568" s="2" t="s">
        <v>1221</v>
      </c>
      <c r="C568" s="2">
        <v>16.100000000000001</v>
      </c>
      <c r="D568" s="2">
        <v>7.7</v>
      </c>
      <c r="E568" s="2">
        <v>8.3000000000000007</v>
      </c>
      <c r="F568" s="2" t="str">
        <f>IFERROR(VLOOKUP(B568,Tabla2[],5,FALSE),"")</f>
        <v/>
      </c>
      <c r="G568" s="2">
        <f>SQRT(4*(Tabla1[[#This Row],[dD]]-'Find a similar substance'!$D$5)^2+('Find a similar substance'!$E$5-Tabla1[[#This Row],[dP]])^2+(Tabla1[[#This Row],[dH]]-'Find a similar substance'!$F$5)^2)</f>
        <v>3.5902646142032486</v>
      </c>
    </row>
    <row r="569" spans="1:7" x14ac:dyDescent="0.25">
      <c r="A569" s="2" t="s">
        <v>1224</v>
      </c>
      <c r="B569" s="2" t="s">
        <v>1223</v>
      </c>
      <c r="C569" s="2">
        <v>16.2</v>
      </c>
      <c r="D569" s="2">
        <v>8</v>
      </c>
      <c r="E569" s="2">
        <v>8.8000000000000007</v>
      </c>
      <c r="F569" s="2" t="str">
        <f>IFERROR(VLOOKUP(B569,Tabla2[],5,FALSE),"")</f>
        <v/>
      </c>
      <c r="G569" s="2">
        <f>SQRT(4*(Tabla1[[#This Row],[dD]]-'Find a similar substance'!$D$5)^2+('Find a similar substance'!$E$5-Tabla1[[#This Row],[dP]])^2+(Tabla1[[#This Row],[dH]]-'Find a similar substance'!$F$5)^2)</f>
        <v>3.9458839313897731</v>
      </c>
    </row>
    <row r="570" spans="1:7" x14ac:dyDescent="0.25">
      <c r="A570" s="2" t="s">
        <v>1226</v>
      </c>
      <c r="B570" s="2" t="s">
        <v>1225</v>
      </c>
      <c r="C570" s="2">
        <v>17.600000000000001</v>
      </c>
      <c r="D570" s="2">
        <v>9.6</v>
      </c>
      <c r="E570" s="2">
        <v>4.5</v>
      </c>
      <c r="F570" s="2" t="str">
        <f>IFERROR(VLOOKUP(B570,Tabla2[],5,FALSE),"")</f>
        <v/>
      </c>
      <c r="G570" s="2">
        <f>SQRT(4*(Tabla1[[#This Row],[dD]]-'Find a similar substance'!$D$5)^2+('Find a similar substance'!$E$5-Tabla1[[#This Row],[dP]])^2+(Tabla1[[#This Row],[dH]]-'Find a similar substance'!$F$5)^2)</f>
        <v>2.2494443758403988</v>
      </c>
    </row>
    <row r="571" spans="1:7" x14ac:dyDescent="0.25">
      <c r="A571" s="2" t="s">
        <v>1228</v>
      </c>
      <c r="B571" s="2" t="s">
        <v>1227</v>
      </c>
      <c r="C571" s="2">
        <v>16.2</v>
      </c>
      <c r="D571" s="2">
        <v>6.8</v>
      </c>
      <c r="E571" s="2">
        <v>8.6999999999999993</v>
      </c>
      <c r="F571" s="2" t="str">
        <f>IFERROR(VLOOKUP(B571,Tabla2[],5,FALSE),"")</f>
        <v/>
      </c>
      <c r="G571" s="2">
        <f>SQRT(4*(Tabla1[[#This Row],[dD]]-'Find a similar substance'!$D$5)^2+('Find a similar substance'!$E$5-Tabla1[[#This Row],[dP]])^2+(Tabla1[[#This Row],[dH]]-'Find a similar substance'!$F$5)^2)</f>
        <v>4.235563716909474</v>
      </c>
    </row>
    <row r="572" spans="1:7" x14ac:dyDescent="0.25">
      <c r="A572" s="2" t="s">
        <v>1230</v>
      </c>
      <c r="B572" s="2" t="s">
        <v>1229</v>
      </c>
      <c r="C572" s="2">
        <v>15.7</v>
      </c>
      <c r="D572" s="2">
        <v>12.7</v>
      </c>
      <c r="E572" s="2">
        <v>5.0999999999999996</v>
      </c>
      <c r="F572" s="2" t="str">
        <f>IFERROR(VLOOKUP(B572,Tabla2[],5,FALSE),"")</f>
        <v/>
      </c>
      <c r="G572" s="2">
        <f>SQRT(4*(Tabla1[[#This Row],[dD]]-'Find a similar substance'!$D$5)^2+('Find a similar substance'!$E$5-Tabla1[[#This Row],[dP]])^2+(Tabla1[[#This Row],[dH]]-'Find a similar substance'!$F$5)^2)</f>
        <v>4.3874821936960631</v>
      </c>
    </row>
    <row r="573" spans="1:7" x14ac:dyDescent="0.25">
      <c r="A573" s="2" t="s">
        <v>1232</v>
      </c>
      <c r="B573" s="2" t="s">
        <v>1231</v>
      </c>
      <c r="C573" s="2">
        <v>16.8</v>
      </c>
      <c r="D573" s="2">
        <v>3.1</v>
      </c>
      <c r="E573" s="2">
        <v>2</v>
      </c>
      <c r="F573" s="2" t="str">
        <f>IFERROR(VLOOKUP(B573,Tabla2[],5,FALSE),"")</f>
        <v/>
      </c>
      <c r="G573" s="2">
        <f>SQRT(4*(Tabla1[[#This Row],[dD]]-'Find a similar substance'!$D$5)^2+('Find a similar substance'!$E$5-Tabla1[[#This Row],[dP]])^2+(Tabla1[[#This Row],[dH]]-'Find a similar substance'!$F$5)^2)</f>
        <v>6.3655321851358195</v>
      </c>
    </row>
    <row r="574" spans="1:7" x14ac:dyDescent="0.25">
      <c r="A574" s="2" t="s">
        <v>1234</v>
      </c>
      <c r="B574" s="2" t="s">
        <v>1233</v>
      </c>
      <c r="C574" s="2">
        <v>17</v>
      </c>
      <c r="D574" s="2">
        <v>6.7</v>
      </c>
      <c r="E574" s="2">
        <v>5.7</v>
      </c>
      <c r="F574" s="2" t="str">
        <f>IFERROR(VLOOKUP(B574,Tabla2[],5,FALSE),"")</f>
        <v/>
      </c>
      <c r="G574" s="2">
        <f>SQRT(4*(Tabla1[[#This Row],[dD]]-'Find a similar substance'!$D$5)^2+('Find a similar substance'!$E$5-Tabla1[[#This Row],[dP]])^2+(Tabla1[[#This Row],[dH]]-'Find a similar substance'!$F$5)^2)</f>
        <v>2.2649503305812231</v>
      </c>
    </row>
    <row r="575" spans="1:7" x14ac:dyDescent="0.25">
      <c r="A575" s="2" t="s">
        <v>1236</v>
      </c>
      <c r="B575" s="2" t="s">
        <v>1235</v>
      </c>
      <c r="C575" s="2">
        <v>16.600000000000001</v>
      </c>
      <c r="D575" s="2">
        <v>12</v>
      </c>
      <c r="E575" s="2">
        <v>19</v>
      </c>
      <c r="F575" s="2">
        <v>94.92</v>
      </c>
      <c r="G575" s="2">
        <f>SQRT(4*(Tabla1[[#This Row],[dD]]-'Find a similar substance'!$D$5)^2+('Find a similar substance'!$E$5-Tabla1[[#This Row],[dP]])^2+(Tabla1[[#This Row],[dH]]-'Find a similar substance'!$F$5)^2)</f>
        <v>14.383671297690309</v>
      </c>
    </row>
    <row r="576" spans="1:7" x14ac:dyDescent="0.25">
      <c r="A576" s="2" t="s">
        <v>1238</v>
      </c>
      <c r="B576" s="2" t="s">
        <v>1237</v>
      </c>
      <c r="C576" s="2">
        <v>16</v>
      </c>
      <c r="D576" s="2">
        <v>4.0999999999999996</v>
      </c>
      <c r="E576" s="2">
        <v>8.1999999999999993</v>
      </c>
      <c r="F576" s="2" t="str">
        <f>IFERROR(VLOOKUP(B576,Tabla2[],5,FALSE),"")</f>
        <v/>
      </c>
      <c r="G576" s="2">
        <f>SQRT(4*(Tabla1[[#This Row],[dD]]-'Find a similar substance'!$D$5)^2+('Find a similar substance'!$E$5-Tabla1[[#This Row],[dP]])^2+(Tabla1[[#This Row],[dH]]-'Find a similar substance'!$F$5)^2)</f>
        <v>5.7306195127577615</v>
      </c>
    </row>
    <row r="577" spans="1:7" x14ac:dyDescent="0.25">
      <c r="A577" s="2" t="s">
        <v>1240</v>
      </c>
      <c r="B577" s="2" t="s">
        <v>1239</v>
      </c>
      <c r="C577" s="2">
        <v>15.8</v>
      </c>
      <c r="D577" s="2">
        <v>4.7</v>
      </c>
      <c r="E577" s="2">
        <v>4.4000000000000004</v>
      </c>
      <c r="F577" s="2" t="str">
        <f>IFERROR(VLOOKUP(B577,Tabla2[],5,FALSE),"")</f>
        <v/>
      </c>
      <c r="G577" s="2">
        <f>SQRT(4*(Tabla1[[#This Row],[dD]]-'Find a similar substance'!$D$5)^2+('Find a similar substance'!$E$5-Tabla1[[#This Row],[dP]])^2+(Tabla1[[#This Row],[dH]]-'Find a similar substance'!$F$5)^2)</f>
        <v>4.349712634186309</v>
      </c>
    </row>
    <row r="578" spans="1:7" x14ac:dyDescent="0.25">
      <c r="A578" s="2" t="s">
        <v>1242</v>
      </c>
      <c r="B578" s="2" t="s">
        <v>1241</v>
      </c>
      <c r="C578" s="2">
        <v>15.8</v>
      </c>
      <c r="D578" s="2">
        <v>5.9</v>
      </c>
      <c r="E578" s="2">
        <v>5.6</v>
      </c>
      <c r="F578" s="2" t="str">
        <f>IFERROR(VLOOKUP(B578,Tabla2[],5,FALSE),"")</f>
        <v/>
      </c>
      <c r="G578" s="2">
        <f>SQRT(4*(Tabla1[[#This Row],[dD]]-'Find a similar substance'!$D$5)^2+('Find a similar substance'!$E$5-Tabla1[[#This Row],[dP]])^2+(Tabla1[[#This Row],[dH]]-'Find a similar substance'!$F$5)^2)</f>
        <v>3.2802438933713449</v>
      </c>
    </row>
    <row r="579" spans="1:7" x14ac:dyDescent="0.25">
      <c r="A579" s="2" t="s">
        <v>1244</v>
      </c>
      <c r="B579" s="2" t="s">
        <v>1243</v>
      </c>
      <c r="C579" s="2">
        <v>16</v>
      </c>
      <c r="D579" s="2">
        <v>7.3</v>
      </c>
      <c r="E579" s="2">
        <v>7.9</v>
      </c>
      <c r="F579" s="2" t="str">
        <f>IFERROR(VLOOKUP(B579,Tabla2[],5,FALSE),"")</f>
        <v/>
      </c>
      <c r="G579" s="2">
        <f>SQRT(4*(Tabla1[[#This Row],[dD]]-'Find a similar substance'!$D$5)^2+('Find a similar substance'!$E$5-Tabla1[[#This Row],[dP]])^2+(Tabla1[[#This Row],[dH]]-'Find a similar substance'!$F$5)^2)</f>
        <v>3.4365680554879177</v>
      </c>
    </row>
    <row r="580" spans="1:7" x14ac:dyDescent="0.25">
      <c r="A580" s="2" t="s">
        <v>1246</v>
      </c>
      <c r="B580" s="2" t="s">
        <v>1245</v>
      </c>
      <c r="C580" s="2">
        <v>16</v>
      </c>
      <c r="D580" s="2">
        <v>6</v>
      </c>
      <c r="E580" s="2">
        <v>10</v>
      </c>
      <c r="F580" s="2" t="str">
        <f>IFERROR(VLOOKUP(B580,Tabla2[],5,FALSE),"")</f>
        <v/>
      </c>
      <c r="G580" s="2">
        <f>SQRT(4*(Tabla1[[#This Row],[dD]]-'Find a similar substance'!$D$5)^2+('Find a similar substance'!$E$5-Tabla1[[#This Row],[dP]])^2+(Tabla1[[#This Row],[dH]]-'Find a similar substance'!$F$5)^2)</f>
        <v>5.8077534382926421</v>
      </c>
    </row>
    <row r="581" spans="1:7" x14ac:dyDescent="0.25">
      <c r="A581" s="2" t="s">
        <v>1248</v>
      </c>
      <c r="B581" s="2" t="s">
        <v>1247</v>
      </c>
      <c r="C581" s="2">
        <v>16</v>
      </c>
      <c r="D581" s="2">
        <v>7.2</v>
      </c>
      <c r="E581" s="2">
        <v>7.2</v>
      </c>
      <c r="F581" s="2" t="str">
        <f>IFERROR(VLOOKUP(B581,Tabla2[],5,FALSE),"")</f>
        <v/>
      </c>
      <c r="G581" s="2">
        <f>SQRT(4*(Tabla1[[#This Row],[dD]]-'Find a similar substance'!$D$5)^2+('Find a similar substance'!$E$5-Tabla1[[#This Row],[dP]])^2+(Tabla1[[#This Row],[dH]]-'Find a similar substance'!$F$5)^2)</f>
        <v>2.9206163733020474</v>
      </c>
    </row>
    <row r="582" spans="1:7" x14ac:dyDescent="0.25">
      <c r="A582" s="2" t="s">
        <v>1249</v>
      </c>
      <c r="B582" s="2" t="s">
        <v>27</v>
      </c>
      <c r="C582" s="2">
        <v>16</v>
      </c>
      <c r="D582" s="2">
        <v>7</v>
      </c>
      <c r="E582" s="2">
        <v>10.6</v>
      </c>
      <c r="F582" s="2">
        <f>IFERROR(VLOOKUP(B582,Tabla2[],5,FALSE),"")</f>
        <v>170.4</v>
      </c>
      <c r="G582" s="2">
        <f>SQRT(4*(Tabla1[[#This Row],[dD]]-'Find a similar substance'!$D$5)^2+('Find a similar substance'!$E$5-Tabla1[[#This Row],[dP]])^2+(Tabla1[[#This Row],[dH]]-'Find a similar substance'!$F$5)^2)</f>
        <v>5.9741108124975382</v>
      </c>
    </row>
    <row r="583" spans="1:7" x14ac:dyDescent="0.25">
      <c r="A583" s="2" t="s">
        <v>1251</v>
      </c>
      <c r="B583" s="2" t="s">
        <v>1250</v>
      </c>
      <c r="C583" s="2">
        <v>16.100000000000001</v>
      </c>
      <c r="D583" s="2">
        <v>9.1999999999999993</v>
      </c>
      <c r="E583" s="2">
        <v>12.2</v>
      </c>
      <c r="F583" s="2" t="str">
        <f>IFERROR(VLOOKUP(B583,Tabla2[],5,FALSE),"")</f>
        <v/>
      </c>
      <c r="G583" s="2">
        <f>SQRT(4*(Tabla1[[#This Row],[dD]]-'Find a similar substance'!$D$5)^2+('Find a similar substance'!$E$5-Tabla1[[#This Row],[dP]])^2+(Tabla1[[#This Row],[dH]]-'Find a similar substance'!$F$5)^2)</f>
        <v>7.2862884927787475</v>
      </c>
    </row>
    <row r="584" spans="1:7" x14ac:dyDescent="0.25">
      <c r="A584" s="2" t="s">
        <v>1253</v>
      </c>
      <c r="B584" s="2" t="s">
        <v>1252</v>
      </c>
      <c r="C584" s="2">
        <v>16.2</v>
      </c>
      <c r="D584" s="2">
        <v>5.0999999999999996</v>
      </c>
      <c r="E584" s="2">
        <v>9.1999999999999993</v>
      </c>
      <c r="F584" s="2" t="str">
        <f>IFERROR(VLOOKUP(B584,Tabla2[],5,FALSE),"")</f>
        <v/>
      </c>
      <c r="G584" s="2">
        <f>SQRT(4*(Tabla1[[#This Row],[dD]]-'Find a similar substance'!$D$5)^2+('Find a similar substance'!$E$5-Tabla1[[#This Row],[dP]])^2+(Tabla1[[#This Row],[dH]]-'Find a similar substance'!$F$5)^2)</f>
        <v>5.5892754449928477</v>
      </c>
    </row>
    <row r="585" spans="1:7" x14ac:dyDescent="0.25">
      <c r="A585" s="2" t="s">
        <v>1255</v>
      </c>
      <c r="B585" s="2" t="s">
        <v>1254</v>
      </c>
      <c r="C585" s="2">
        <v>16.2</v>
      </c>
      <c r="D585" s="2">
        <v>7.8</v>
      </c>
      <c r="E585" s="2">
        <v>12.6</v>
      </c>
      <c r="F585" s="2" t="str">
        <f>IFERROR(VLOOKUP(B585,Tabla2[],5,FALSE),"")</f>
        <v/>
      </c>
      <c r="G585" s="2">
        <f>SQRT(4*(Tabla1[[#This Row],[dD]]-'Find a similar substance'!$D$5)^2+('Find a similar substance'!$E$5-Tabla1[[#This Row],[dP]])^2+(Tabla1[[#This Row],[dH]]-'Find a similar substance'!$F$5)^2)</f>
        <v>7.6948034412842539</v>
      </c>
    </row>
    <row r="586" spans="1:7" x14ac:dyDescent="0.25">
      <c r="A586" s="2" t="s">
        <v>1257</v>
      </c>
      <c r="B586" s="2" t="s">
        <v>1256</v>
      </c>
      <c r="C586" s="2">
        <v>16</v>
      </c>
      <c r="D586" s="2">
        <v>7.2</v>
      </c>
      <c r="E586" s="2">
        <v>11.3</v>
      </c>
      <c r="F586" s="2" t="str">
        <f>IFERROR(VLOOKUP(B586,Tabla2[],5,FALSE),"")</f>
        <v/>
      </c>
      <c r="G586" s="2">
        <f>SQRT(4*(Tabla1[[#This Row],[dD]]-'Find a similar substance'!$D$5)^2+('Find a similar substance'!$E$5-Tabla1[[#This Row],[dP]])^2+(Tabla1[[#This Row],[dH]]-'Find a similar substance'!$F$5)^2)</f>
        <v>6.5863495200300459</v>
      </c>
    </row>
    <row r="587" spans="1:7" x14ac:dyDescent="0.25">
      <c r="A587" s="2" t="s">
        <v>1259</v>
      </c>
      <c r="B587" s="2" t="s">
        <v>1258</v>
      </c>
      <c r="C587" s="2">
        <v>16.7</v>
      </c>
      <c r="D587" s="2">
        <v>7.1</v>
      </c>
      <c r="E587" s="2">
        <v>14.3</v>
      </c>
      <c r="F587" s="2" t="str">
        <f>IFERROR(VLOOKUP(B587,Tabla2[],5,FALSE),"")</f>
        <v/>
      </c>
      <c r="G587" s="2">
        <f>SQRT(4*(Tabla1[[#This Row],[dD]]-'Find a similar substance'!$D$5)^2+('Find a similar substance'!$E$5-Tabla1[[#This Row],[dP]])^2+(Tabla1[[#This Row],[dH]]-'Find a similar substance'!$F$5)^2)</f>
        <v>9.4387499172295062</v>
      </c>
    </row>
    <row r="588" spans="1:7" x14ac:dyDescent="0.25">
      <c r="A588" s="2" t="s">
        <v>1261</v>
      </c>
      <c r="B588" s="2" t="s">
        <v>1260</v>
      </c>
      <c r="C588" s="2">
        <v>16.600000000000001</v>
      </c>
      <c r="D588" s="2">
        <v>7</v>
      </c>
      <c r="E588" s="2">
        <v>3.1</v>
      </c>
      <c r="F588" s="2" t="str">
        <f>IFERROR(VLOOKUP(B588,Tabla2[],5,FALSE),"")</f>
        <v/>
      </c>
      <c r="G588" s="2">
        <f>SQRT(4*(Tabla1[[#This Row],[dD]]-'Find a similar substance'!$D$5)^2+('Find a similar substance'!$E$5-Tabla1[[#This Row],[dP]])^2+(Tabla1[[#This Row],[dH]]-'Find a similar substance'!$F$5)^2)</f>
        <v>2.5495097567963918</v>
      </c>
    </row>
    <row r="589" spans="1:7" x14ac:dyDescent="0.25">
      <c r="A589" s="2" t="s">
        <v>1263</v>
      </c>
      <c r="B589" s="2" t="s">
        <v>1262</v>
      </c>
      <c r="C589" s="2">
        <v>16</v>
      </c>
      <c r="D589" s="2">
        <v>3</v>
      </c>
      <c r="E589" s="2">
        <v>2.8</v>
      </c>
      <c r="F589" s="2" t="str">
        <f>IFERROR(VLOOKUP(B589,Tabla2[],5,FALSE),"")</f>
        <v/>
      </c>
      <c r="G589" s="2">
        <f>SQRT(4*(Tabla1[[#This Row],[dD]]-'Find a similar substance'!$D$5)^2+('Find a similar substance'!$E$5-Tabla1[[#This Row],[dP]])^2+(Tabla1[[#This Row],[dH]]-'Find a similar substance'!$F$5)^2)</f>
        <v>6.2265560304232386</v>
      </c>
    </row>
    <row r="590" spans="1:7" x14ac:dyDescent="0.25">
      <c r="A590" s="2" t="s">
        <v>1265</v>
      </c>
      <c r="B590" s="2" t="s">
        <v>1264</v>
      </c>
      <c r="C590" s="2">
        <v>17</v>
      </c>
      <c r="D590" s="2">
        <v>7.6</v>
      </c>
      <c r="E590" s="2">
        <v>3.6</v>
      </c>
      <c r="F590" s="2" t="str">
        <f>IFERROR(VLOOKUP(B590,Tabla2[],5,FALSE),"")</f>
        <v/>
      </c>
      <c r="G590" s="2">
        <f>SQRT(4*(Tabla1[[#This Row],[dD]]-'Find a similar substance'!$D$5)^2+('Find a similar substance'!$E$5-Tabla1[[#This Row],[dP]])^2+(Tabla1[[#This Row],[dH]]-'Find a similar substance'!$F$5)^2)</f>
        <v>1.9519221295943121</v>
      </c>
    </row>
    <row r="591" spans="1:7" x14ac:dyDescent="0.25">
      <c r="A591" s="2" t="s">
        <v>1267</v>
      </c>
      <c r="B591" s="2" t="s">
        <v>1266</v>
      </c>
      <c r="C591" s="2">
        <v>17.3</v>
      </c>
      <c r="D591" s="2">
        <v>6.3</v>
      </c>
      <c r="E591" s="2">
        <v>10.7</v>
      </c>
      <c r="F591" s="2" t="str">
        <f>IFERROR(VLOOKUP(B591,Tabla2[],5,FALSE),"")</f>
        <v/>
      </c>
      <c r="G591" s="2">
        <f>SQRT(4*(Tabla1[[#This Row],[dD]]-'Find a similar substance'!$D$5)^2+('Find a similar substance'!$E$5-Tabla1[[#This Row],[dP]])^2+(Tabla1[[#This Row],[dH]]-'Find a similar substance'!$F$5)^2)</f>
        <v>6.3411355449950753</v>
      </c>
    </row>
    <row r="592" spans="1:7" x14ac:dyDescent="0.25">
      <c r="A592" s="2" t="s">
        <v>1269</v>
      </c>
      <c r="B592" s="2" t="s">
        <v>1268</v>
      </c>
      <c r="C592" s="2">
        <v>17.5</v>
      </c>
      <c r="D592" s="2">
        <v>5.5</v>
      </c>
      <c r="E592" s="2">
        <v>5.7</v>
      </c>
      <c r="F592" s="2" t="str">
        <f>IFERROR(VLOOKUP(B592,Tabla2[],5,FALSE),"")</f>
        <v/>
      </c>
      <c r="G592" s="2">
        <f>SQRT(4*(Tabla1[[#This Row],[dD]]-'Find a similar substance'!$D$5)^2+('Find a similar substance'!$E$5-Tabla1[[#This Row],[dP]])^2+(Tabla1[[#This Row],[dH]]-'Find a similar substance'!$F$5)^2)</f>
        <v>3.7376463182061497</v>
      </c>
    </row>
    <row r="593" spans="1:7" x14ac:dyDescent="0.25">
      <c r="A593" s="2" t="s">
        <v>1271</v>
      </c>
      <c r="B593" s="2" t="s">
        <v>1270</v>
      </c>
      <c r="C593" s="2">
        <v>16.7</v>
      </c>
      <c r="D593" s="2">
        <v>2.5</v>
      </c>
      <c r="E593" s="2">
        <v>6.2</v>
      </c>
      <c r="F593" s="2" t="str">
        <f>IFERROR(VLOOKUP(B593,Tabla2[],5,FALSE),"")</f>
        <v/>
      </c>
      <c r="G593" s="2">
        <f>SQRT(4*(Tabla1[[#This Row],[dD]]-'Find a similar substance'!$D$5)^2+('Find a similar substance'!$E$5-Tabla1[[#This Row],[dP]])^2+(Tabla1[[#This Row],[dH]]-'Find a similar substance'!$F$5)^2)</f>
        <v>6.3182275995725243</v>
      </c>
    </row>
    <row r="594" spans="1:7" x14ac:dyDescent="0.25">
      <c r="A594" s="2" t="s">
        <v>1273</v>
      </c>
      <c r="B594" s="2" t="s">
        <v>1272</v>
      </c>
      <c r="C594" s="2">
        <v>14.8</v>
      </c>
      <c r="D594" s="2">
        <v>1.7</v>
      </c>
      <c r="E594" s="2">
        <v>3.5</v>
      </c>
      <c r="F594" s="2" t="str">
        <f>IFERROR(VLOOKUP(B594,Tabla2[],5,FALSE),"")</f>
        <v/>
      </c>
      <c r="G594" s="2">
        <f>SQRT(4*(Tabla1[[#This Row],[dD]]-'Find a similar substance'!$D$5)^2+('Find a similar substance'!$E$5-Tabla1[[#This Row],[dP]])^2+(Tabla1[[#This Row],[dH]]-'Find a similar substance'!$F$5)^2)</f>
        <v>8.0131142510262503</v>
      </c>
    </row>
    <row r="595" spans="1:7" x14ac:dyDescent="0.25">
      <c r="A595" s="2" t="s">
        <v>1275</v>
      </c>
      <c r="B595" s="2" t="s">
        <v>1274</v>
      </c>
      <c r="C595" s="2">
        <v>16.2</v>
      </c>
      <c r="D595" s="2">
        <v>14.5</v>
      </c>
      <c r="E595" s="2">
        <v>7.8</v>
      </c>
      <c r="F595" s="2" t="str">
        <f>IFERROR(VLOOKUP(B595,Tabla2[],5,FALSE),"")</f>
        <v/>
      </c>
      <c r="G595" s="2">
        <f>SQRT(4*(Tabla1[[#This Row],[dD]]-'Find a similar substance'!$D$5)^2+('Find a similar substance'!$E$5-Tabla1[[#This Row],[dP]])^2+(Tabla1[[#This Row],[dH]]-'Find a similar substance'!$F$5)^2)</f>
        <v>6.4899922958351812</v>
      </c>
    </row>
    <row r="596" spans="1:7" x14ac:dyDescent="0.25">
      <c r="G596" s="2">
        <f>SQRT(4*(Tabla1[[#This Row],[dD]]-'Find a similar substance'!$D$5)^2+('Find a similar substance'!$E$5-Tabla1[[#This Row],[dP]])^2+(Tabla1[[#This Row],[dH]]-'Find a similar substance'!$F$5)^2)</f>
        <v>34.683281274988964</v>
      </c>
    </row>
    <row r="597" spans="1:7" x14ac:dyDescent="0.25">
      <c r="A597" s="2" t="s">
        <v>1278</v>
      </c>
      <c r="B597" s="2" t="s">
        <v>1277</v>
      </c>
      <c r="C597" s="2">
        <v>17.600000000000001</v>
      </c>
      <c r="D597" s="2">
        <v>7.1</v>
      </c>
      <c r="E597" s="2">
        <v>7.5</v>
      </c>
      <c r="F597" s="2" t="str">
        <f>IFERROR(VLOOKUP(B597,Tabla2[],5,FALSE),"")</f>
        <v/>
      </c>
      <c r="G597" s="2">
        <f>SQRT(4*(Tabla1[[#This Row],[dD]]-'Find a similar substance'!$D$5)^2+('Find a similar substance'!$E$5-Tabla1[[#This Row],[dP]])^2+(Tabla1[[#This Row],[dH]]-'Find a similar substance'!$F$5)^2)</f>
        <v>3.5791060336346558</v>
      </c>
    </row>
    <row r="598" spans="1:7" x14ac:dyDescent="0.25">
      <c r="A598" s="2" t="s">
        <v>1279</v>
      </c>
      <c r="B598" s="2" t="s">
        <v>2464</v>
      </c>
      <c r="C598" s="2">
        <v>16.600000000000001</v>
      </c>
      <c r="D598" s="2">
        <v>8.6999999999999993</v>
      </c>
      <c r="E598" s="2">
        <v>5</v>
      </c>
      <c r="F598" s="2">
        <v>165.9</v>
      </c>
      <c r="G598" s="2">
        <f>SQRT(4*(Tabla1[[#This Row],[dD]]-'Find a similar substance'!$D$5)^2+('Find a similar substance'!$E$5-Tabla1[[#This Row],[dP]])^2+(Tabla1[[#This Row],[dH]]-'Find a similar substance'!$F$5)^2)</f>
        <v>0</v>
      </c>
    </row>
    <row r="599" spans="1:7" x14ac:dyDescent="0.25">
      <c r="A599" s="2" t="s">
        <v>1281</v>
      </c>
      <c r="B599" s="2" t="s">
        <v>1280</v>
      </c>
      <c r="C599" s="2">
        <v>15.1</v>
      </c>
      <c r="D599" s="2">
        <v>3.4</v>
      </c>
      <c r="E599" s="2">
        <v>7.6</v>
      </c>
      <c r="F599" s="2" t="str">
        <f>IFERROR(VLOOKUP(B599,Tabla2[],5,FALSE),"")</f>
        <v/>
      </c>
      <c r="G599" s="2">
        <f>SQRT(4*(Tabla1[[#This Row],[dD]]-'Find a similar substance'!$D$5)^2+('Find a similar substance'!$E$5-Tabla1[[#This Row],[dP]])^2+(Tabla1[[#This Row],[dH]]-'Find a similar substance'!$F$5)^2)</f>
        <v>6.621933252457322</v>
      </c>
    </row>
    <row r="600" spans="1:7" x14ac:dyDescent="0.25">
      <c r="A600" s="2" t="s">
        <v>1283</v>
      </c>
      <c r="B600" s="2" t="s">
        <v>1282</v>
      </c>
      <c r="C600" s="2">
        <v>16.3</v>
      </c>
      <c r="D600" s="2">
        <v>6.8</v>
      </c>
      <c r="E600" s="2">
        <v>8.5</v>
      </c>
      <c r="F600" s="2" t="str">
        <f>IFERROR(VLOOKUP(B600,Tabla2[],5,FALSE),"")</f>
        <v/>
      </c>
      <c r="G600" s="2">
        <f>SQRT(4*(Tabla1[[#This Row],[dD]]-'Find a similar substance'!$D$5)^2+('Find a similar substance'!$E$5-Tabla1[[#This Row],[dP]])^2+(Tabla1[[#This Row],[dH]]-'Find a similar substance'!$F$5)^2)</f>
        <v>4.0274061131204535</v>
      </c>
    </row>
    <row r="601" spans="1:7" x14ac:dyDescent="0.25">
      <c r="A601" s="2" t="s">
        <v>1285</v>
      </c>
      <c r="B601" s="2" t="s">
        <v>1284</v>
      </c>
      <c r="C601" s="2">
        <v>15.3</v>
      </c>
      <c r="D601" s="2">
        <v>4.8</v>
      </c>
      <c r="E601" s="2">
        <v>11.2</v>
      </c>
      <c r="F601" s="2" t="str">
        <f>IFERROR(VLOOKUP(B601,Tabla2[],5,FALSE),"")</f>
        <v/>
      </c>
      <c r="G601" s="2">
        <f>SQRT(4*(Tabla1[[#This Row],[dD]]-'Find a similar substance'!$D$5)^2+('Find a similar substance'!$E$5-Tabla1[[#This Row],[dP]])^2+(Tabla1[[#This Row],[dH]]-'Find a similar substance'!$F$5)^2)</f>
        <v>7.7723870207292176</v>
      </c>
    </row>
    <row r="602" spans="1:7" x14ac:dyDescent="0.25">
      <c r="A602" s="2" t="s">
        <v>1287</v>
      </c>
      <c r="B602" s="2" t="s">
        <v>1286</v>
      </c>
      <c r="C602" s="2">
        <v>15.5</v>
      </c>
      <c r="D602" s="2">
        <v>8.6</v>
      </c>
      <c r="E602" s="2">
        <v>9.6999999999999993</v>
      </c>
      <c r="F602" s="2" t="str">
        <f>IFERROR(VLOOKUP(B602,Tabla2[],5,FALSE),"")</f>
        <v/>
      </c>
      <c r="G602" s="2">
        <f>SQRT(4*(Tabla1[[#This Row],[dD]]-'Find a similar substance'!$D$5)^2+('Find a similar substance'!$E$5-Tabla1[[#This Row],[dP]])^2+(Tabla1[[#This Row],[dH]]-'Find a similar substance'!$F$5)^2)</f>
        <v>5.1903757089443925</v>
      </c>
    </row>
    <row r="603" spans="1:7" x14ac:dyDescent="0.25">
      <c r="A603" s="2" t="s">
        <v>1289</v>
      </c>
      <c r="B603" s="2" t="s">
        <v>1288</v>
      </c>
      <c r="C603" s="2">
        <v>15.4</v>
      </c>
      <c r="D603" s="2">
        <v>6</v>
      </c>
      <c r="E603" s="2">
        <v>6</v>
      </c>
      <c r="F603" s="2" t="str">
        <f>IFERROR(VLOOKUP(B603,Tabla2[],5,FALSE),"")</f>
        <v/>
      </c>
      <c r="G603" s="2">
        <f>SQRT(4*(Tabla1[[#This Row],[dD]]-'Find a similar substance'!$D$5)^2+('Find a similar substance'!$E$5-Tabla1[[#This Row],[dP]])^2+(Tabla1[[#This Row],[dH]]-'Find a similar substance'!$F$5)^2)</f>
        <v>3.7483329627982633</v>
      </c>
    </row>
    <row r="604" spans="1:7" x14ac:dyDescent="0.25">
      <c r="A604" s="2" t="s">
        <v>1291</v>
      </c>
      <c r="B604" s="2" t="s">
        <v>1290</v>
      </c>
      <c r="C604" s="2">
        <v>17.600000000000001</v>
      </c>
      <c r="D604" s="2">
        <v>7.8</v>
      </c>
      <c r="E604" s="2">
        <v>6.5</v>
      </c>
      <c r="F604" s="2" t="str">
        <f>IFERROR(VLOOKUP(B604,Tabla2[],5,FALSE),"")</f>
        <v/>
      </c>
      <c r="G604" s="2">
        <f>SQRT(4*(Tabla1[[#This Row],[dD]]-'Find a similar substance'!$D$5)^2+('Find a similar substance'!$E$5-Tabla1[[#This Row],[dP]])^2+(Tabla1[[#This Row],[dH]]-'Find a similar substance'!$F$5)^2)</f>
        <v>2.6570660511172841</v>
      </c>
    </row>
    <row r="605" spans="1:7" x14ac:dyDescent="0.25">
      <c r="A605" s="2" t="s">
        <v>1293</v>
      </c>
      <c r="B605" s="2" t="s">
        <v>1292</v>
      </c>
      <c r="C605" s="2">
        <v>16.100000000000001</v>
      </c>
      <c r="D605" s="2">
        <v>9.1999999999999993</v>
      </c>
      <c r="E605" s="2">
        <v>14</v>
      </c>
      <c r="F605" s="2" t="str">
        <f>IFERROR(VLOOKUP(B605,Tabla2[],5,FALSE),"")</f>
        <v/>
      </c>
      <c r="G605" s="2">
        <f>SQRT(4*(Tabla1[[#This Row],[dD]]-'Find a similar substance'!$D$5)^2+('Find a similar substance'!$E$5-Tabla1[[#This Row],[dP]])^2+(Tabla1[[#This Row],[dH]]-'Find a similar substance'!$F$5)^2)</f>
        <v>9.0691785736085269</v>
      </c>
    </row>
    <row r="606" spans="1:7" x14ac:dyDescent="0.25">
      <c r="A606" s="2" t="s">
        <v>1295</v>
      </c>
      <c r="B606" s="2" t="s">
        <v>1294</v>
      </c>
      <c r="C606" s="2">
        <v>15.2</v>
      </c>
      <c r="D606" s="2">
        <v>6.1</v>
      </c>
      <c r="E606" s="2">
        <v>5.7</v>
      </c>
      <c r="F606" s="2" t="str">
        <f>IFERROR(VLOOKUP(B606,Tabla2[],5,FALSE),"")</f>
        <v/>
      </c>
      <c r="G606" s="2">
        <f>SQRT(4*(Tabla1[[#This Row],[dD]]-'Find a similar substance'!$D$5)^2+('Find a similar substance'!$E$5-Tabla1[[#This Row],[dP]])^2+(Tabla1[[#This Row],[dH]]-'Find a similar substance'!$F$5)^2)</f>
        <v>3.8845849199110094</v>
      </c>
    </row>
    <row r="607" spans="1:7" x14ac:dyDescent="0.25">
      <c r="A607" s="2" t="s">
        <v>1297</v>
      </c>
      <c r="B607" s="2" t="s">
        <v>1296</v>
      </c>
      <c r="C607" s="2">
        <v>17.399999999999999</v>
      </c>
      <c r="D607" s="2">
        <v>13.7</v>
      </c>
      <c r="E607" s="2">
        <v>11.3</v>
      </c>
      <c r="F607" s="2" t="str">
        <f>IFERROR(VLOOKUP(B607,Tabla2[],5,FALSE),"")</f>
        <v/>
      </c>
      <c r="G607" s="2">
        <f>SQRT(4*(Tabla1[[#This Row],[dD]]-'Find a similar substance'!$D$5)^2+('Find a similar substance'!$E$5-Tabla1[[#This Row],[dP]])^2+(Tabla1[[#This Row],[dH]]-'Find a similar substance'!$F$5)^2)</f>
        <v>8.2006097334283634</v>
      </c>
    </row>
    <row r="608" spans="1:7" x14ac:dyDescent="0.25">
      <c r="A608" s="2" t="s">
        <v>1299</v>
      </c>
      <c r="B608" s="2" t="s">
        <v>1298</v>
      </c>
      <c r="C608" s="2">
        <v>16.100000000000001</v>
      </c>
      <c r="D608" s="2">
        <v>7.7</v>
      </c>
      <c r="E608" s="2">
        <v>8.3000000000000007</v>
      </c>
      <c r="F608" s="2" t="str">
        <f>IFERROR(VLOOKUP(B608,Tabla2[],5,FALSE),"")</f>
        <v/>
      </c>
      <c r="G608" s="2">
        <f>SQRT(4*(Tabla1[[#This Row],[dD]]-'Find a similar substance'!$D$5)^2+('Find a similar substance'!$E$5-Tabla1[[#This Row],[dP]])^2+(Tabla1[[#This Row],[dH]]-'Find a similar substance'!$F$5)^2)</f>
        <v>3.5902646142032486</v>
      </c>
    </row>
    <row r="609" spans="1:7" x14ac:dyDescent="0.25">
      <c r="A609" s="2" t="s">
        <v>1301</v>
      </c>
      <c r="B609" s="2" t="s">
        <v>1300</v>
      </c>
      <c r="C609" s="2">
        <v>15.2</v>
      </c>
      <c r="D609" s="2">
        <v>7.4</v>
      </c>
      <c r="E609" s="2">
        <v>4.8</v>
      </c>
      <c r="F609" s="2" t="str">
        <f>IFERROR(VLOOKUP(B609,Tabla2[],5,FALSE),"")</f>
        <v/>
      </c>
      <c r="G609" s="2">
        <f>SQRT(4*(Tabla1[[#This Row],[dD]]-'Find a similar substance'!$D$5)^2+('Find a similar substance'!$E$5-Tabla1[[#This Row],[dP]])^2+(Tabla1[[#This Row],[dH]]-'Find a similar substance'!$F$5)^2)</f>
        <v>3.0935416596516072</v>
      </c>
    </row>
    <row r="610" spans="1:7" x14ac:dyDescent="0.25">
      <c r="A610" s="2" t="s">
        <v>1303</v>
      </c>
      <c r="B610" s="2" t="s">
        <v>1302</v>
      </c>
      <c r="C610" s="2">
        <v>16.3</v>
      </c>
      <c r="D610" s="2">
        <v>8.3000000000000007</v>
      </c>
      <c r="E610" s="2">
        <v>9.8000000000000007</v>
      </c>
      <c r="F610" s="2" t="str">
        <f>IFERROR(VLOOKUP(B610,Tabla2[],5,FALSE),"")</f>
        <v/>
      </c>
      <c r="G610" s="2">
        <f>SQRT(4*(Tabla1[[#This Row],[dD]]-'Find a similar substance'!$D$5)^2+('Find a similar substance'!$E$5-Tabla1[[#This Row],[dP]])^2+(Tabla1[[#This Row],[dH]]-'Find a similar substance'!$F$5)^2)</f>
        <v>4.8538644398046396</v>
      </c>
    </row>
    <row r="611" spans="1:7" x14ac:dyDescent="0.25">
      <c r="A611" s="2" t="s">
        <v>1305</v>
      </c>
      <c r="B611" s="2" t="s">
        <v>1304</v>
      </c>
      <c r="C611" s="2">
        <v>16.7</v>
      </c>
      <c r="D611" s="2">
        <v>13.1</v>
      </c>
      <c r="E611" s="2">
        <v>7.5</v>
      </c>
      <c r="F611" s="2" t="str">
        <f>IFERROR(VLOOKUP(B611,Tabla2[],5,FALSE),"")</f>
        <v/>
      </c>
      <c r="G611" s="2">
        <f>SQRT(4*(Tabla1[[#This Row],[dD]]-'Find a similar substance'!$D$5)^2+('Find a similar substance'!$E$5-Tabla1[[#This Row],[dP]])^2+(Tabla1[[#This Row],[dH]]-'Find a similar substance'!$F$5)^2)</f>
        <v>5.0645829048402398</v>
      </c>
    </row>
    <row r="612" spans="1:7" x14ac:dyDescent="0.25">
      <c r="A612" s="2" t="s">
        <v>1307</v>
      </c>
      <c r="B612" s="2" t="s">
        <v>1306</v>
      </c>
      <c r="C612" s="2">
        <v>18.600000000000001</v>
      </c>
      <c r="D612" s="2">
        <v>10.8</v>
      </c>
      <c r="E612" s="2">
        <v>4.9000000000000004</v>
      </c>
      <c r="F612" s="2" t="str">
        <f>IFERROR(VLOOKUP(B612,Tabla2[],5,FALSE),"")</f>
        <v/>
      </c>
      <c r="G612" s="2">
        <f>SQRT(4*(Tabla1[[#This Row],[dD]]-'Find a similar substance'!$D$5)^2+('Find a similar substance'!$E$5-Tabla1[[#This Row],[dP]])^2+(Tabla1[[#This Row],[dH]]-'Find a similar substance'!$F$5)^2)</f>
        <v>4.5188494110780022</v>
      </c>
    </row>
    <row r="613" spans="1:7" x14ac:dyDescent="0.25">
      <c r="A613" s="2" t="s">
        <v>1309</v>
      </c>
      <c r="B613" s="2" t="s">
        <v>1308</v>
      </c>
      <c r="C613" s="2">
        <v>16.600000000000001</v>
      </c>
      <c r="D613" s="2">
        <v>2.9</v>
      </c>
      <c r="E613" s="2">
        <v>6.7</v>
      </c>
      <c r="F613" s="2" t="str">
        <f>IFERROR(VLOOKUP(B613,Tabla2[],5,FALSE),"")</f>
        <v/>
      </c>
      <c r="G613" s="2">
        <f>SQRT(4*(Tabla1[[#This Row],[dD]]-'Find a similar substance'!$D$5)^2+('Find a similar substance'!$E$5-Tabla1[[#This Row],[dP]])^2+(Tabla1[[#This Row],[dH]]-'Find a similar substance'!$F$5)^2)</f>
        <v>6.044005294504629</v>
      </c>
    </row>
    <row r="614" spans="1:7" x14ac:dyDescent="0.25">
      <c r="A614" s="2" t="s">
        <v>1311</v>
      </c>
      <c r="B614" s="2" t="s">
        <v>1310</v>
      </c>
      <c r="C614" s="2">
        <v>16.100000000000001</v>
      </c>
      <c r="D614" s="2">
        <v>7.7</v>
      </c>
      <c r="E614" s="2">
        <v>8.8000000000000007</v>
      </c>
      <c r="F614" s="2" t="str">
        <f>IFERROR(VLOOKUP(B614,Tabla2[],5,FALSE),"")</f>
        <v/>
      </c>
      <c r="G614" s="2">
        <f>SQRT(4*(Tabla1[[#This Row],[dD]]-'Find a similar substance'!$D$5)^2+('Find a similar substance'!$E$5-Tabla1[[#This Row],[dP]])^2+(Tabla1[[#This Row],[dH]]-'Find a similar substance'!$F$5)^2)</f>
        <v>4.054626986542659</v>
      </c>
    </row>
    <row r="615" spans="1:7" x14ac:dyDescent="0.25">
      <c r="A615" s="2" t="s">
        <v>1313</v>
      </c>
      <c r="B615" s="2" t="s">
        <v>1312</v>
      </c>
      <c r="C615" s="2">
        <v>16.5</v>
      </c>
      <c r="D615" s="2">
        <v>13</v>
      </c>
      <c r="E615" s="2">
        <v>7</v>
      </c>
      <c r="F615" s="2" t="str">
        <f>IFERROR(VLOOKUP(B615,Tabla2[],5,FALSE),"")</f>
        <v/>
      </c>
      <c r="G615" s="2">
        <f>SQRT(4*(Tabla1[[#This Row],[dD]]-'Find a similar substance'!$D$5)^2+('Find a similar substance'!$E$5-Tabla1[[#This Row],[dP]])^2+(Tabla1[[#This Row],[dH]]-'Find a similar substance'!$F$5)^2)</f>
        <v>4.7465777145223278</v>
      </c>
    </row>
    <row r="616" spans="1:7" x14ac:dyDescent="0.25">
      <c r="A616" s="2" t="s">
        <v>1315</v>
      </c>
      <c r="B616" s="2" t="s">
        <v>1314</v>
      </c>
      <c r="C616" s="2">
        <v>16.100000000000001</v>
      </c>
      <c r="D616" s="2">
        <v>6.4</v>
      </c>
      <c r="E616" s="2">
        <v>7.4</v>
      </c>
      <c r="F616" s="2" t="str">
        <f>IFERROR(VLOOKUP(B616,Tabla2[],5,FALSE),"")</f>
        <v/>
      </c>
      <c r="G616" s="2">
        <f>SQRT(4*(Tabla1[[#This Row],[dD]]-'Find a similar substance'!$D$5)^2+('Find a similar substance'!$E$5-Tabla1[[#This Row],[dP]])^2+(Tabla1[[#This Row],[dH]]-'Find a similar substance'!$F$5)^2)</f>
        <v>3.471310991541956</v>
      </c>
    </row>
    <row r="617" spans="1:7" x14ac:dyDescent="0.25">
      <c r="A617" s="2" t="s">
        <v>1317</v>
      </c>
      <c r="B617" s="2" t="s">
        <v>1316</v>
      </c>
      <c r="C617" s="2">
        <v>19</v>
      </c>
      <c r="D617" s="2">
        <v>19.399999999999999</v>
      </c>
      <c r="E617" s="2">
        <v>12.3</v>
      </c>
      <c r="F617" s="2" t="str">
        <f>IFERROR(VLOOKUP(B617,Tabla2[],5,FALSE),"")</f>
        <v/>
      </c>
      <c r="G617" s="2">
        <f>SQRT(4*(Tabla1[[#This Row],[dD]]-'Find a similar substance'!$D$5)^2+('Find a similar substance'!$E$5-Tabla1[[#This Row],[dP]])^2+(Tabla1[[#This Row],[dH]]-'Find a similar substance'!$F$5)^2)</f>
        <v>13.813761254633004</v>
      </c>
    </row>
    <row r="618" spans="1:7" x14ac:dyDescent="0.25">
      <c r="A618" s="2" t="s">
        <v>1318</v>
      </c>
      <c r="B618" s="2" t="s">
        <v>29</v>
      </c>
      <c r="C618" s="2">
        <v>18.399999999999999</v>
      </c>
      <c r="D618" s="2">
        <v>16.399999999999999</v>
      </c>
      <c r="E618" s="2">
        <v>10.199999999999999</v>
      </c>
      <c r="F618" s="2">
        <f>IFERROR(VLOOKUP(B618,Tabla2[],5,FALSE),"")</f>
        <v>71.3</v>
      </c>
      <c r="G618" s="2">
        <f>SQRT(4*(Tabla1[[#This Row],[dD]]-'Find a similar substance'!$D$5)^2+('Find a similar substance'!$E$5-Tabla1[[#This Row],[dP]])^2+(Tabla1[[#This Row],[dH]]-'Find a similar substance'!$F$5)^2)</f>
        <v>9.9644367628080186</v>
      </c>
    </row>
    <row r="619" spans="1:7" x14ac:dyDescent="0.25">
      <c r="A619" s="2" t="s">
        <v>1320</v>
      </c>
      <c r="B619" s="2" t="s">
        <v>1319</v>
      </c>
      <c r="C619" s="2">
        <v>16.7</v>
      </c>
      <c r="D619" s="2">
        <v>2</v>
      </c>
      <c r="E619" s="2">
        <v>5.0999999999999996</v>
      </c>
      <c r="F619" s="2" t="str">
        <f>IFERROR(VLOOKUP(B619,Tabla2[],5,FALSE),"")</f>
        <v/>
      </c>
      <c r="G619" s="2">
        <f>SQRT(4*(Tabla1[[#This Row],[dD]]-'Find a similar substance'!$D$5)^2+('Find a similar substance'!$E$5-Tabla1[[#This Row],[dP]])^2+(Tabla1[[#This Row],[dH]]-'Find a similar substance'!$F$5)^2)</f>
        <v>6.7037303048377472</v>
      </c>
    </row>
    <row r="620" spans="1:7" x14ac:dyDescent="0.25">
      <c r="A620" s="2" t="s">
        <v>1322</v>
      </c>
      <c r="B620" s="2" t="s">
        <v>1321</v>
      </c>
      <c r="C620" s="2">
        <v>17.2</v>
      </c>
      <c r="D620" s="2">
        <v>1.8</v>
      </c>
      <c r="E620" s="2">
        <v>4.3</v>
      </c>
      <c r="F620" s="2" t="str">
        <f>IFERROR(VLOOKUP(B620,Tabla2[],5,FALSE),"")</f>
        <v/>
      </c>
      <c r="G620" s="2">
        <f>SQRT(4*(Tabla1[[#This Row],[dD]]-'Find a similar substance'!$D$5)^2+('Find a similar substance'!$E$5-Tabla1[[#This Row],[dP]])^2+(Tabla1[[#This Row],[dH]]-'Find a similar substance'!$F$5)^2)</f>
        <v>7.0384657419071086</v>
      </c>
    </row>
    <row r="621" spans="1:7" x14ac:dyDescent="0.25">
      <c r="A621" s="2" t="s">
        <v>1324</v>
      </c>
      <c r="B621" s="2" t="s">
        <v>1323</v>
      </c>
      <c r="C621" s="2">
        <v>18</v>
      </c>
      <c r="D621" s="2">
        <v>2</v>
      </c>
      <c r="E621" s="2">
        <v>3.2</v>
      </c>
      <c r="F621" s="2" t="str">
        <f>IFERROR(VLOOKUP(B621,Tabla2[],5,FALSE),"")</f>
        <v/>
      </c>
      <c r="G621" s="2">
        <f>SQRT(4*(Tabla1[[#This Row],[dD]]-'Find a similar substance'!$D$5)^2+('Find a similar substance'!$E$5-Tabla1[[#This Row],[dP]])^2+(Tabla1[[#This Row],[dH]]-'Find a similar substance'!$F$5)^2)</f>
        <v>7.4813100457072341</v>
      </c>
    </row>
    <row r="622" spans="1:7" x14ac:dyDescent="0.25">
      <c r="A622" s="2" t="s">
        <v>1324</v>
      </c>
      <c r="B622" s="2" t="s">
        <v>1325</v>
      </c>
      <c r="C622" s="2">
        <v>18</v>
      </c>
      <c r="D622" s="2">
        <v>2</v>
      </c>
      <c r="E622" s="2">
        <v>3.2</v>
      </c>
      <c r="F622" s="2" t="str">
        <f>IFERROR(VLOOKUP(B622,Tabla2[],5,FALSE),"")</f>
        <v/>
      </c>
      <c r="G622" s="2">
        <f>SQRT(4*(Tabla1[[#This Row],[dD]]-'Find a similar substance'!$D$5)^2+('Find a similar substance'!$E$5-Tabla1[[#This Row],[dP]])^2+(Tabla1[[#This Row],[dH]]-'Find a similar substance'!$F$5)^2)</f>
        <v>7.4813100457072341</v>
      </c>
    </row>
    <row r="623" spans="1:7" x14ac:dyDescent="0.25">
      <c r="A623" s="2" t="s">
        <v>1327</v>
      </c>
      <c r="B623" s="2" t="s">
        <v>1326</v>
      </c>
      <c r="C623" s="2">
        <v>19.399999999999999</v>
      </c>
      <c r="D623" s="2">
        <v>3.4</v>
      </c>
      <c r="E623" s="2">
        <v>4</v>
      </c>
      <c r="F623" s="2" t="str">
        <f>IFERROR(VLOOKUP(B623,Tabla2[],5,FALSE),"")</f>
        <v/>
      </c>
      <c r="G623" s="2">
        <f>SQRT(4*(Tabla1[[#This Row],[dD]]-'Find a similar substance'!$D$5)^2+('Find a similar substance'!$E$5-Tabla1[[#This Row],[dP]])^2+(Tabla1[[#This Row],[dH]]-'Find a similar substance'!$F$5)^2)</f>
        <v>7.7749598069700605</v>
      </c>
    </row>
    <row r="624" spans="1:7" x14ac:dyDescent="0.25">
      <c r="A624" s="2" t="s">
        <v>1329</v>
      </c>
      <c r="B624" s="2" t="s">
        <v>1328</v>
      </c>
      <c r="C624" s="2">
        <v>21.1</v>
      </c>
      <c r="D624" s="2">
        <v>14.4</v>
      </c>
      <c r="E624" s="2">
        <v>3.4</v>
      </c>
      <c r="F624" s="2" t="str">
        <f>IFERROR(VLOOKUP(B624,Tabla2[],5,FALSE),"")</f>
        <v/>
      </c>
      <c r="G624" s="2">
        <f>SQRT(4*(Tabla1[[#This Row],[dD]]-'Find a similar substance'!$D$5)^2+('Find a similar substance'!$E$5-Tabla1[[#This Row],[dP]])^2+(Tabla1[[#This Row],[dH]]-'Find a similar substance'!$F$5)^2)</f>
        <v>10.772650555921695</v>
      </c>
    </row>
    <row r="625" spans="1:7" x14ac:dyDescent="0.25">
      <c r="A625" s="2" t="s">
        <v>1331</v>
      </c>
      <c r="B625" s="2" t="s">
        <v>1330</v>
      </c>
      <c r="C625" s="2">
        <v>20</v>
      </c>
      <c r="D625" s="2">
        <v>3.3</v>
      </c>
      <c r="E625" s="2">
        <v>5.9</v>
      </c>
      <c r="F625" s="2" t="str">
        <f>IFERROR(VLOOKUP(B625,Tabla2[],5,FALSE),"")</f>
        <v/>
      </c>
      <c r="G625" s="2">
        <f>SQRT(4*(Tabla1[[#This Row],[dD]]-'Find a similar substance'!$D$5)^2+('Find a similar substance'!$E$5-Tabla1[[#This Row],[dP]])^2+(Tabla1[[#This Row],[dH]]-'Find a similar substance'!$F$5)^2)</f>
        <v>8.729833904490965</v>
      </c>
    </row>
    <row r="626" spans="1:7" x14ac:dyDescent="0.25">
      <c r="A626" s="2" t="s">
        <v>1333</v>
      </c>
      <c r="B626" s="2" t="s">
        <v>1332</v>
      </c>
      <c r="C626" s="2">
        <v>19.5</v>
      </c>
      <c r="D626" s="2">
        <v>1</v>
      </c>
      <c r="E626" s="2">
        <v>1</v>
      </c>
      <c r="F626" s="2" t="str">
        <f>IFERROR(VLOOKUP(B626,Tabla2[],5,FALSE),"")</f>
        <v/>
      </c>
      <c r="G626" s="2">
        <f>SQRT(4*(Tabla1[[#This Row],[dD]]-'Find a similar substance'!$D$5)^2+('Find a similar substance'!$E$5-Tabla1[[#This Row],[dP]])^2+(Tabla1[[#This Row],[dH]]-'Find a similar substance'!$F$5)^2)</f>
        <v>10.436953578511305</v>
      </c>
    </row>
    <row r="627" spans="1:7" x14ac:dyDescent="0.25">
      <c r="A627" s="2" t="s">
        <v>1335</v>
      </c>
      <c r="B627" s="2" t="s">
        <v>1334</v>
      </c>
      <c r="C627" s="2">
        <v>15.3</v>
      </c>
      <c r="D627" s="2">
        <v>1.4</v>
      </c>
      <c r="E627" s="2">
        <v>4.0999999999999996</v>
      </c>
      <c r="F627" s="2" t="str">
        <f>IFERROR(VLOOKUP(B627,Tabla2[],5,FALSE),"")</f>
        <v/>
      </c>
      <c r="G627" s="2">
        <f>SQRT(4*(Tabla1[[#This Row],[dD]]-'Find a similar substance'!$D$5)^2+('Find a similar substance'!$E$5-Tabla1[[#This Row],[dP]])^2+(Tabla1[[#This Row],[dH]]-'Find a similar substance'!$F$5)^2)</f>
        <v>7.8012819459368341</v>
      </c>
    </row>
    <row r="628" spans="1:7" x14ac:dyDescent="0.25">
      <c r="A628" s="2" t="s">
        <v>1337</v>
      </c>
      <c r="B628" s="2" t="s">
        <v>1336</v>
      </c>
      <c r="C628" s="2">
        <v>15.8</v>
      </c>
      <c r="D628" s="2">
        <v>7.6</v>
      </c>
      <c r="E628" s="2">
        <v>4.9000000000000004</v>
      </c>
      <c r="F628" s="2" t="str">
        <f>IFERROR(VLOOKUP(B628,Tabla2[],5,FALSE),"")</f>
        <v/>
      </c>
      <c r="G628" s="2">
        <f>SQRT(4*(Tabla1[[#This Row],[dD]]-'Find a similar substance'!$D$5)^2+('Find a similar substance'!$E$5-Tabla1[[#This Row],[dP]])^2+(Tabla1[[#This Row],[dH]]-'Find a similar substance'!$F$5)^2)</f>
        <v>1.9442222095223591</v>
      </c>
    </row>
    <row r="629" spans="1:7" x14ac:dyDescent="0.25">
      <c r="A629" s="2" t="s">
        <v>1338</v>
      </c>
      <c r="B629" s="2" t="s">
        <v>32</v>
      </c>
      <c r="C629" s="2">
        <v>16.5</v>
      </c>
      <c r="D629" s="2">
        <v>10.6</v>
      </c>
      <c r="E629" s="2">
        <v>17.7</v>
      </c>
      <c r="F629" s="2">
        <f>IFERROR(VLOOKUP(B629,Tabla2[],5,FALSE),"")</f>
        <v>131.80000000000001</v>
      </c>
      <c r="G629" s="2">
        <f>SQRT(4*(Tabla1[[#This Row],[dD]]-'Find a similar substance'!$D$5)^2+('Find a similar substance'!$E$5-Tabla1[[#This Row],[dP]])^2+(Tabla1[[#This Row],[dH]]-'Find a similar substance'!$F$5)^2)</f>
        <v>12.842896869476139</v>
      </c>
    </row>
    <row r="630" spans="1:7" x14ac:dyDescent="0.25">
      <c r="A630" s="2" t="s">
        <v>1339</v>
      </c>
      <c r="B630" s="2" t="s">
        <v>33</v>
      </c>
      <c r="C630" s="2">
        <v>15.5</v>
      </c>
      <c r="D630" s="2">
        <v>5.7</v>
      </c>
      <c r="E630" s="2">
        <v>11.2</v>
      </c>
      <c r="F630" s="2">
        <f>IFERROR(VLOOKUP(B630,Tabla2[],5,FALSE),"")</f>
        <v>156.1</v>
      </c>
      <c r="G630" s="2">
        <f>SQRT(4*(Tabla1[[#This Row],[dD]]-'Find a similar substance'!$D$5)^2+('Find a similar substance'!$E$5-Tabla1[[#This Row],[dP]])^2+(Tabla1[[#This Row],[dH]]-'Find a similar substance'!$F$5)^2)</f>
        <v>7.2304909930100871</v>
      </c>
    </row>
    <row r="631" spans="1:7" x14ac:dyDescent="0.25">
      <c r="A631" s="2" t="s">
        <v>1340</v>
      </c>
      <c r="B631" s="2" t="s">
        <v>34</v>
      </c>
      <c r="C631" s="2">
        <v>15.7</v>
      </c>
      <c r="D631" s="2">
        <v>6.5</v>
      </c>
      <c r="E631" s="2">
        <v>10</v>
      </c>
      <c r="F631" s="2">
        <f>IFERROR(VLOOKUP(B631,Tabla2[],5,FALSE),"")</f>
        <v>211.2</v>
      </c>
      <c r="G631" s="2">
        <f>SQRT(4*(Tabla1[[#This Row],[dD]]-'Find a similar substance'!$D$5)^2+('Find a similar substance'!$E$5-Tabla1[[#This Row],[dP]])^2+(Tabla1[[#This Row],[dH]]-'Find a similar substance'!$F$5)^2)</f>
        <v>5.7515215378193636</v>
      </c>
    </row>
    <row r="632" spans="1:7" x14ac:dyDescent="0.25">
      <c r="A632" s="2" t="s">
        <v>1342</v>
      </c>
      <c r="B632" s="2" t="s">
        <v>1341</v>
      </c>
      <c r="C632" s="2">
        <v>15.6</v>
      </c>
      <c r="D632" s="2">
        <v>6.1</v>
      </c>
      <c r="E632" s="2">
        <v>11</v>
      </c>
      <c r="F632" s="2" t="str">
        <f>IFERROR(VLOOKUP(B632,Tabla2[],5,FALSE),"")</f>
        <v/>
      </c>
      <c r="G632" s="2">
        <f>SQRT(4*(Tabla1[[#This Row],[dD]]-'Find a similar substance'!$D$5)^2+('Find a similar substance'!$E$5-Tabla1[[#This Row],[dP]])^2+(Tabla1[[#This Row],[dH]]-'Find a similar substance'!$F$5)^2)</f>
        <v>6.838128398911504</v>
      </c>
    </row>
    <row r="633" spans="1:7" x14ac:dyDescent="0.25">
      <c r="A633" s="2" t="s">
        <v>1344</v>
      </c>
      <c r="B633" s="2" t="s">
        <v>1343</v>
      </c>
      <c r="C633" s="2">
        <v>16.3</v>
      </c>
      <c r="D633" s="2">
        <v>4.9000000000000004</v>
      </c>
      <c r="E633" s="2">
        <v>8</v>
      </c>
      <c r="F633" s="2" t="str">
        <f>IFERROR(VLOOKUP(B633,Tabla2[],5,FALSE),"")</f>
        <v/>
      </c>
      <c r="G633" s="2">
        <f>SQRT(4*(Tabla1[[#This Row],[dD]]-'Find a similar substance'!$D$5)^2+('Find a similar substance'!$E$5-Tabla1[[#This Row],[dP]])^2+(Tabla1[[#This Row],[dH]]-'Find a similar substance'!$F$5)^2)</f>
        <v>4.8785243670601863</v>
      </c>
    </row>
    <row r="634" spans="1:7" x14ac:dyDescent="0.25">
      <c r="A634" s="2" t="s">
        <v>1346</v>
      </c>
      <c r="B634" s="2" t="s">
        <v>1345</v>
      </c>
      <c r="C634" s="2">
        <v>16.600000000000001</v>
      </c>
      <c r="D634" s="2">
        <v>5.4</v>
      </c>
      <c r="E634" s="2">
        <v>1.9</v>
      </c>
      <c r="F634" s="2" t="str">
        <f>IFERROR(VLOOKUP(B634,Tabla2[],5,FALSE),"")</f>
        <v/>
      </c>
      <c r="G634" s="2">
        <f>SQRT(4*(Tabla1[[#This Row],[dD]]-'Find a similar substance'!$D$5)^2+('Find a similar substance'!$E$5-Tabla1[[#This Row],[dP]])^2+(Tabla1[[#This Row],[dH]]-'Find a similar substance'!$F$5)^2)</f>
        <v>4.5276925690687078</v>
      </c>
    </row>
    <row r="635" spans="1:7" x14ac:dyDescent="0.25">
      <c r="A635" s="2" t="s">
        <v>1348</v>
      </c>
      <c r="B635" s="2" t="s">
        <v>1347</v>
      </c>
      <c r="C635" s="2">
        <v>16.5</v>
      </c>
      <c r="D635" s="2">
        <v>4.5999999999999996</v>
      </c>
      <c r="E635" s="2">
        <v>5.6</v>
      </c>
      <c r="F635" s="2" t="str">
        <f>IFERROR(VLOOKUP(B635,Tabla2[],5,FALSE),"")</f>
        <v/>
      </c>
      <c r="G635" s="2">
        <f>SQRT(4*(Tabla1[[#This Row],[dD]]-'Find a similar substance'!$D$5)^2+('Find a similar substance'!$E$5-Tabla1[[#This Row],[dP]])^2+(Tabla1[[#This Row],[dH]]-'Find a similar substance'!$F$5)^2)</f>
        <v>4.1484937025383077</v>
      </c>
    </row>
    <row r="636" spans="1:7" x14ac:dyDescent="0.25">
      <c r="A636" s="2" t="s">
        <v>1350</v>
      </c>
      <c r="B636" s="2" t="s">
        <v>1349</v>
      </c>
      <c r="C636" s="2">
        <v>16</v>
      </c>
      <c r="D636" s="2">
        <v>0</v>
      </c>
      <c r="E636" s="2">
        <v>0</v>
      </c>
      <c r="F636" s="2" t="str">
        <f>IFERROR(VLOOKUP(B636,Tabla2[],5,FALSE),"")</f>
        <v/>
      </c>
      <c r="G636" s="2">
        <f>SQRT(4*(Tabla1[[#This Row],[dD]]-'Find a similar substance'!$D$5)^2+('Find a similar substance'!$E$5-Tabla1[[#This Row],[dP]])^2+(Tabla1[[#This Row],[dH]]-'Find a similar substance'!$F$5)^2)</f>
        <v>10.105938848023968</v>
      </c>
    </row>
    <row r="637" spans="1:7" x14ac:dyDescent="0.25">
      <c r="A637" s="2" t="s">
        <v>1352</v>
      </c>
      <c r="B637" s="2" t="s">
        <v>1351</v>
      </c>
      <c r="C637" s="2">
        <v>16</v>
      </c>
      <c r="D637" s="2">
        <v>4</v>
      </c>
      <c r="E637" s="2">
        <v>9.3000000000000007</v>
      </c>
      <c r="F637" s="2" t="str">
        <f>IFERROR(VLOOKUP(B637,Tabla2[],5,FALSE),"")</f>
        <v/>
      </c>
      <c r="G637" s="2">
        <f>SQRT(4*(Tabla1[[#This Row],[dD]]-'Find a similar substance'!$D$5)^2+('Find a similar substance'!$E$5-Tabla1[[#This Row],[dP]])^2+(Tabla1[[#This Row],[dH]]-'Find a similar substance'!$F$5)^2)</f>
        <v>6.4822835482567411</v>
      </c>
    </row>
    <row r="638" spans="1:7" x14ac:dyDescent="0.25">
      <c r="A638" s="2" t="s">
        <v>1354</v>
      </c>
      <c r="B638" s="2" t="s">
        <v>1353</v>
      </c>
      <c r="C638" s="2">
        <v>18.2</v>
      </c>
      <c r="D638" s="2">
        <v>10.3</v>
      </c>
      <c r="E638" s="2">
        <v>19.5</v>
      </c>
      <c r="F638" s="2" t="str">
        <f>IFERROR(VLOOKUP(B638,Tabla2[],5,FALSE),"")</f>
        <v/>
      </c>
      <c r="G638" s="2">
        <f>SQRT(4*(Tabla1[[#This Row],[dD]]-'Find a similar substance'!$D$5)^2+('Find a similar substance'!$E$5-Tabla1[[#This Row],[dP]])^2+(Tabla1[[#This Row],[dH]]-'Find a similar substance'!$F$5)^2)</f>
        <v>14.934858553063032</v>
      </c>
    </row>
    <row r="639" spans="1:7" x14ac:dyDescent="0.25">
      <c r="A639" s="2" t="s">
        <v>1356</v>
      </c>
      <c r="B639" s="2" t="s">
        <v>1355</v>
      </c>
      <c r="C639" s="2">
        <v>18</v>
      </c>
      <c r="D639" s="2">
        <v>5.0999999999999996</v>
      </c>
      <c r="E639" s="2">
        <v>6.1</v>
      </c>
      <c r="F639" s="2" t="str">
        <f>IFERROR(VLOOKUP(B639,Tabla2[],5,FALSE),"")</f>
        <v/>
      </c>
      <c r="G639" s="2">
        <f>SQRT(4*(Tabla1[[#This Row],[dD]]-'Find a similar substance'!$D$5)^2+('Find a similar substance'!$E$5-Tabla1[[#This Row],[dP]])^2+(Tabla1[[#This Row],[dH]]-'Find a similar substance'!$F$5)^2)</f>
        <v>4.6914816422959582</v>
      </c>
    </row>
    <row r="640" spans="1:7" x14ac:dyDescent="0.25">
      <c r="A640" s="2" t="s">
        <v>1358</v>
      </c>
      <c r="B640" s="2" t="s">
        <v>1357</v>
      </c>
      <c r="C640" s="2">
        <v>16.5</v>
      </c>
      <c r="D640" s="2">
        <v>0</v>
      </c>
      <c r="E640" s="2">
        <v>0</v>
      </c>
      <c r="F640" s="2" t="str">
        <f>IFERROR(VLOOKUP(B640,Tabla2[],5,FALSE),"")</f>
        <v/>
      </c>
      <c r="G640" s="2">
        <f>SQRT(4*(Tabla1[[#This Row],[dD]]-'Find a similar substance'!$D$5)^2+('Find a similar substance'!$E$5-Tabla1[[#This Row],[dP]])^2+(Tabla1[[#This Row],[dH]]-'Find a similar substance'!$F$5)^2)</f>
        <v>10.036433629531956</v>
      </c>
    </row>
    <row r="641" spans="1:7" x14ac:dyDescent="0.25">
      <c r="A641" s="2" t="s">
        <v>1360</v>
      </c>
      <c r="B641" s="2" t="s">
        <v>1359</v>
      </c>
      <c r="C641" s="2">
        <v>17.5</v>
      </c>
      <c r="D641" s="2">
        <v>7.6</v>
      </c>
      <c r="E641" s="2">
        <v>7.6</v>
      </c>
      <c r="F641" s="2" t="str">
        <f>IFERROR(VLOOKUP(B641,Tabla2[],5,FALSE),"")</f>
        <v/>
      </c>
      <c r="G641" s="2">
        <f>SQRT(4*(Tabla1[[#This Row],[dD]]-'Find a similar substance'!$D$5)^2+('Find a similar substance'!$E$5-Tabla1[[#This Row],[dP]])^2+(Tabla1[[#This Row],[dH]]-'Find a similar substance'!$F$5)^2)</f>
        <v>3.3481338085566392</v>
      </c>
    </row>
    <row r="642" spans="1:7" x14ac:dyDescent="0.25">
      <c r="A642" s="2" t="s">
        <v>1362</v>
      </c>
      <c r="B642" s="2" t="s">
        <v>1361</v>
      </c>
      <c r="C642" s="2">
        <v>19.399999999999999</v>
      </c>
      <c r="D642" s="2">
        <v>13.8</v>
      </c>
      <c r="E642" s="2">
        <v>3.9</v>
      </c>
      <c r="F642" s="2" t="str">
        <f>IFERROR(VLOOKUP(B642,Tabla2[],5,FALSE),"")</f>
        <v/>
      </c>
      <c r="G642" s="2">
        <f>SQRT(4*(Tabla1[[#This Row],[dD]]-'Find a similar substance'!$D$5)^2+('Find a similar substance'!$E$5-Tabla1[[#This Row],[dP]])^2+(Tabla1[[#This Row],[dH]]-'Find a similar substance'!$F$5)^2)</f>
        <v>7.6537572472609785</v>
      </c>
    </row>
    <row r="643" spans="1:7" x14ac:dyDescent="0.25">
      <c r="A643" s="2" t="s">
        <v>1364</v>
      </c>
      <c r="B643" s="2" t="s">
        <v>1363</v>
      </c>
      <c r="C643" s="2">
        <v>15.5</v>
      </c>
      <c r="D643" s="2">
        <v>0</v>
      </c>
      <c r="E643" s="2">
        <v>0</v>
      </c>
      <c r="F643" s="2" t="str">
        <f>IFERROR(VLOOKUP(B643,Tabla2[],5,FALSE),"")</f>
        <v/>
      </c>
      <c r="G643" s="2">
        <f>SQRT(4*(Tabla1[[#This Row],[dD]]-'Find a similar substance'!$D$5)^2+('Find a similar substance'!$E$5-Tabla1[[#This Row],[dP]])^2+(Tabla1[[#This Row],[dH]]-'Find a similar substance'!$F$5)^2)</f>
        <v>10.27277956543408</v>
      </c>
    </row>
    <row r="644" spans="1:7" x14ac:dyDescent="0.25">
      <c r="A644" s="2" t="s">
        <v>1364</v>
      </c>
      <c r="B644" s="2" t="s">
        <v>1365</v>
      </c>
      <c r="C644" s="2">
        <v>15.6</v>
      </c>
      <c r="D644" s="2">
        <v>0</v>
      </c>
      <c r="E644" s="2">
        <v>0</v>
      </c>
      <c r="F644" s="2" t="str">
        <f>IFERROR(VLOOKUP(B644,Tabla2[],5,FALSE),"")</f>
        <v/>
      </c>
      <c r="G644" s="2">
        <f>SQRT(4*(Tabla1[[#This Row],[dD]]-'Find a similar substance'!$D$5)^2+('Find a similar substance'!$E$5-Tabla1[[#This Row],[dP]])^2+(Tabla1[[#This Row],[dH]]-'Find a similar substance'!$F$5)^2)</f>
        <v>10.231813133555557</v>
      </c>
    </row>
    <row r="645" spans="1:7" x14ac:dyDescent="0.25">
      <c r="A645" s="2" t="s">
        <v>1367</v>
      </c>
      <c r="B645" s="2" t="s">
        <v>1366</v>
      </c>
      <c r="C645" s="2">
        <v>17.7</v>
      </c>
      <c r="D645" s="2">
        <v>14.9</v>
      </c>
      <c r="E645" s="2">
        <v>6.8</v>
      </c>
      <c r="F645" s="2" t="str">
        <f>IFERROR(VLOOKUP(B645,Tabla2[],5,FALSE),"")</f>
        <v/>
      </c>
      <c r="G645" s="2">
        <f>SQRT(4*(Tabla1[[#This Row],[dD]]-'Find a similar substance'!$D$5)^2+('Find a similar substance'!$E$5-Tabla1[[#This Row],[dP]])^2+(Tabla1[[#This Row],[dH]]-'Find a similar substance'!$F$5)^2)</f>
        <v>6.8205571619919727</v>
      </c>
    </row>
    <row r="646" spans="1:7" x14ac:dyDescent="0.25">
      <c r="A646" s="2" t="s">
        <v>1369</v>
      </c>
      <c r="B646" s="2" t="s">
        <v>1368</v>
      </c>
      <c r="C646" s="2">
        <v>15.7</v>
      </c>
      <c r="D646" s="2">
        <v>6.5</v>
      </c>
      <c r="E646" s="2">
        <v>7.1</v>
      </c>
      <c r="F646" s="2" t="str">
        <f>IFERROR(VLOOKUP(B646,Tabla2[],5,FALSE),"")</f>
        <v/>
      </c>
      <c r="G646" s="2">
        <f>SQRT(4*(Tabla1[[#This Row],[dD]]-'Find a similar substance'!$D$5)^2+('Find a similar substance'!$E$5-Tabla1[[#This Row],[dP]])^2+(Tabla1[[#This Row],[dH]]-'Find a similar substance'!$F$5)^2)</f>
        <v>3.5341194094144601</v>
      </c>
    </row>
    <row r="647" spans="1:7" x14ac:dyDescent="0.25">
      <c r="A647" s="2" t="s">
        <v>1370</v>
      </c>
      <c r="B647" s="2" t="s">
        <v>35</v>
      </c>
      <c r="C647" s="2">
        <v>15.8</v>
      </c>
      <c r="D647" s="2">
        <v>8.8000000000000007</v>
      </c>
      <c r="E647" s="2">
        <v>19.399999999999999</v>
      </c>
      <c r="F647" s="2">
        <f>IFERROR(VLOOKUP(B647,Tabla2[],5,FALSE),"")</f>
        <v>58.6</v>
      </c>
      <c r="G647" s="2">
        <f>SQRT(4*(Tabla1[[#This Row],[dD]]-'Find a similar substance'!$D$5)^2+('Find a similar substance'!$E$5-Tabla1[[#This Row],[dP]])^2+(Tabla1[[#This Row],[dH]]-'Find a similar substance'!$F$5)^2)</f>
        <v>14.488961315429066</v>
      </c>
    </row>
    <row r="648" spans="1:7" x14ac:dyDescent="0.25">
      <c r="A648" s="2" t="s">
        <v>1372</v>
      </c>
      <c r="B648" s="2" t="s">
        <v>1371</v>
      </c>
      <c r="C648" s="2">
        <v>17</v>
      </c>
      <c r="D648" s="2">
        <v>15.5</v>
      </c>
      <c r="E648" s="2">
        <v>21</v>
      </c>
      <c r="F648" s="2" t="str">
        <f>IFERROR(VLOOKUP(B648,Tabla2[],5,FALSE),"")</f>
        <v/>
      </c>
      <c r="G648" s="2">
        <f>SQRT(4*(Tabla1[[#This Row],[dD]]-'Find a similar substance'!$D$5)^2+('Find a similar substance'!$E$5-Tabla1[[#This Row],[dP]])^2+(Tabla1[[#This Row],[dH]]-'Find a similar substance'!$F$5)^2)</f>
        <v>17.403447934245673</v>
      </c>
    </row>
    <row r="649" spans="1:7" x14ac:dyDescent="0.25">
      <c r="A649" s="2" t="s">
        <v>1374</v>
      </c>
      <c r="B649" s="2" t="s">
        <v>1373</v>
      </c>
      <c r="C649" s="2">
        <v>16.2</v>
      </c>
      <c r="D649" s="2">
        <v>3.3</v>
      </c>
      <c r="E649" s="2">
        <v>8.8000000000000007</v>
      </c>
      <c r="F649" s="2" t="str">
        <f>IFERROR(VLOOKUP(B649,Tabla2[],5,FALSE),"")</f>
        <v/>
      </c>
      <c r="G649" s="2">
        <f>SQRT(4*(Tabla1[[#This Row],[dD]]-'Find a similar substance'!$D$5)^2+('Find a similar substance'!$E$5-Tabla1[[#This Row],[dP]])^2+(Tabla1[[#This Row],[dH]]-'Find a similar substance'!$F$5)^2)</f>
        <v>6.6513156593263565</v>
      </c>
    </row>
    <row r="650" spans="1:7" x14ac:dyDescent="0.25">
      <c r="A650" s="2" t="s">
        <v>1375</v>
      </c>
      <c r="B650" s="2" t="s">
        <v>36</v>
      </c>
      <c r="C650" s="2">
        <v>15.8</v>
      </c>
      <c r="D650" s="2">
        <v>5.3</v>
      </c>
      <c r="E650" s="2">
        <v>7.2</v>
      </c>
      <c r="F650" s="2">
        <f>IFERROR(VLOOKUP(B650,Tabla2[],5,FALSE),"")</f>
        <v>98.6</v>
      </c>
      <c r="G650" s="2">
        <f>SQRT(4*(Tabla1[[#This Row],[dD]]-'Find a similar substance'!$D$5)^2+('Find a similar substance'!$E$5-Tabla1[[#This Row],[dP]])^2+(Tabla1[[#This Row],[dH]]-'Find a similar substance'!$F$5)^2)</f>
        <v>4.3543082114154483</v>
      </c>
    </row>
    <row r="651" spans="1:7" x14ac:dyDescent="0.25">
      <c r="A651" s="2" t="s">
        <v>1377</v>
      </c>
      <c r="B651" s="2" t="s">
        <v>1376</v>
      </c>
      <c r="C651" s="2">
        <v>16.5</v>
      </c>
      <c r="D651" s="2">
        <v>7.3</v>
      </c>
      <c r="E651" s="2">
        <v>8.3000000000000007</v>
      </c>
      <c r="F651" s="2" t="str">
        <f>IFERROR(VLOOKUP(B651,Tabla2[],5,FALSE),"")</f>
        <v/>
      </c>
      <c r="G651" s="2">
        <f>SQRT(4*(Tabla1[[#This Row],[dD]]-'Find a similar substance'!$D$5)^2+('Find a similar substance'!$E$5-Tabla1[[#This Row],[dP]])^2+(Tabla1[[#This Row],[dH]]-'Find a similar substance'!$F$5)^2)</f>
        <v>3.590264614203249</v>
      </c>
    </row>
    <row r="652" spans="1:7" x14ac:dyDescent="0.25">
      <c r="A652" s="2" t="s">
        <v>1379</v>
      </c>
      <c r="B652" s="2" t="s">
        <v>1378</v>
      </c>
      <c r="C652" s="2">
        <v>15.1</v>
      </c>
      <c r="D652" s="2">
        <v>3.4</v>
      </c>
      <c r="E652" s="2">
        <v>5</v>
      </c>
      <c r="F652" s="2" t="str">
        <f>IFERROR(VLOOKUP(B652,Tabla2[],5,FALSE),"")</f>
        <v/>
      </c>
      <c r="G652" s="2">
        <f>SQRT(4*(Tabla1[[#This Row],[dD]]-'Find a similar substance'!$D$5)^2+('Find a similar substance'!$E$5-Tabla1[[#This Row],[dP]])^2+(Tabla1[[#This Row],[dH]]-'Find a similar substance'!$F$5)^2)</f>
        <v>6.0901559914340462</v>
      </c>
    </row>
    <row r="653" spans="1:7" x14ac:dyDescent="0.25">
      <c r="A653" s="2" t="s">
        <v>1381</v>
      </c>
      <c r="B653" s="2" t="s">
        <v>1380</v>
      </c>
      <c r="C653" s="2">
        <v>15.5</v>
      </c>
      <c r="D653" s="2">
        <v>7.1</v>
      </c>
      <c r="E653" s="2">
        <v>5.5</v>
      </c>
      <c r="F653" s="2" t="str">
        <f>IFERROR(VLOOKUP(B653,Tabla2[],5,FALSE),"")</f>
        <v/>
      </c>
      <c r="G653" s="2">
        <f>SQRT(4*(Tabla1[[#This Row],[dD]]-'Find a similar substance'!$D$5)^2+('Find a similar substance'!$E$5-Tabla1[[#This Row],[dP]])^2+(Tabla1[[#This Row],[dH]]-'Find a similar substance'!$F$5)^2)</f>
        <v>2.7658633371878683</v>
      </c>
    </row>
    <row r="654" spans="1:7" x14ac:dyDescent="0.25">
      <c r="A654" s="2" t="s">
        <v>1383</v>
      </c>
      <c r="B654" s="2" t="s">
        <v>1382</v>
      </c>
      <c r="C654" s="2">
        <v>15</v>
      </c>
      <c r="D654" s="2">
        <v>5.6</v>
      </c>
      <c r="E654" s="2">
        <v>10.7</v>
      </c>
      <c r="F654" s="2" t="str">
        <f>IFERROR(VLOOKUP(B654,Tabla2[],5,FALSE),"")</f>
        <v/>
      </c>
      <c r="G654" s="2">
        <f>SQRT(4*(Tabla1[[#This Row],[dD]]-'Find a similar substance'!$D$5)^2+('Find a similar substance'!$E$5-Tabla1[[#This Row],[dP]])^2+(Tabla1[[#This Row],[dH]]-'Find a similar substance'!$F$5)^2)</f>
        <v>7.23463889907437</v>
      </c>
    </row>
    <row r="655" spans="1:7" x14ac:dyDescent="0.25">
      <c r="A655" s="2" t="s">
        <v>1385</v>
      </c>
      <c r="B655" s="2" t="s">
        <v>1384</v>
      </c>
      <c r="C655" s="2">
        <v>16.2</v>
      </c>
      <c r="D655" s="2">
        <v>4.5</v>
      </c>
      <c r="E655" s="2">
        <v>4.0999999999999996</v>
      </c>
      <c r="F655" s="2" t="str">
        <f>IFERROR(VLOOKUP(B655,Tabla2[],5,FALSE),"")</f>
        <v/>
      </c>
      <c r="G655" s="2">
        <f>SQRT(4*(Tabla1[[#This Row],[dD]]-'Find a similar substance'!$D$5)^2+('Find a similar substance'!$E$5-Tabla1[[#This Row],[dP]])^2+(Tabla1[[#This Row],[dH]]-'Find a similar substance'!$F$5)^2)</f>
        <v>4.3692104549906956</v>
      </c>
    </row>
    <row r="656" spans="1:7" x14ac:dyDescent="0.25">
      <c r="A656" s="2" t="s">
        <v>1386</v>
      </c>
      <c r="B656" s="2" t="s">
        <v>37</v>
      </c>
      <c r="C656" s="2">
        <v>17.8</v>
      </c>
      <c r="D656" s="2">
        <v>0.6</v>
      </c>
      <c r="E656" s="2">
        <v>1.4</v>
      </c>
      <c r="F656" s="2">
        <f>IFERROR(VLOOKUP(B656,Tabla2[],5,FALSE),"")</f>
        <v>122.8</v>
      </c>
      <c r="G656" s="2">
        <f>SQRT(4*(Tabla1[[#This Row],[dD]]-'Find a similar substance'!$D$5)^2+('Find a similar substance'!$E$5-Tabla1[[#This Row],[dP]])^2+(Tabla1[[#This Row],[dH]]-'Find a similar substance'!$F$5)^2)</f>
        <v>9.1831367190083792</v>
      </c>
    </row>
    <row r="657" spans="1:7" x14ac:dyDescent="0.25">
      <c r="A657" s="2" t="s">
        <v>1388</v>
      </c>
      <c r="B657" s="2" t="s">
        <v>1387</v>
      </c>
      <c r="C657" s="2">
        <v>17.899999999999999</v>
      </c>
      <c r="D657" s="2">
        <v>6.2</v>
      </c>
      <c r="E657" s="2">
        <v>6</v>
      </c>
      <c r="F657" s="2" t="str">
        <f>IFERROR(VLOOKUP(B657,Tabla2[],5,FALSE),"")</f>
        <v/>
      </c>
      <c r="G657" s="2">
        <f>SQRT(4*(Tabla1[[#This Row],[dD]]-'Find a similar substance'!$D$5)^2+('Find a similar substance'!$E$5-Tabla1[[#This Row],[dP]])^2+(Tabla1[[#This Row],[dH]]-'Find a similar substance'!$F$5)^2)</f>
        <v>3.7429934544425758</v>
      </c>
    </row>
    <row r="658" spans="1:7" x14ac:dyDescent="0.25">
      <c r="A658" s="2" t="s">
        <v>1390</v>
      </c>
      <c r="B658" s="2" t="s">
        <v>1389</v>
      </c>
      <c r="C658" s="2">
        <v>16.5</v>
      </c>
      <c r="D658" s="2">
        <v>8.4</v>
      </c>
      <c r="E658" s="2">
        <v>2.2999999999999998</v>
      </c>
      <c r="F658" s="2" t="str">
        <f>IFERROR(VLOOKUP(B658,Tabla2[],5,FALSE),"")</f>
        <v/>
      </c>
      <c r="G658" s="2">
        <f>SQRT(4*(Tabla1[[#This Row],[dD]]-'Find a similar substance'!$D$5)^2+('Find a similar substance'!$E$5-Tabla1[[#This Row],[dP]])^2+(Tabla1[[#This Row],[dH]]-'Find a similar substance'!$F$5)^2)</f>
        <v>2.7239676943752476</v>
      </c>
    </row>
    <row r="659" spans="1:7" x14ac:dyDescent="0.25">
      <c r="A659" s="2" t="s">
        <v>1392</v>
      </c>
      <c r="B659" s="2" t="s">
        <v>1391</v>
      </c>
      <c r="C659" s="2">
        <v>14.5</v>
      </c>
      <c r="D659" s="2">
        <v>3.9</v>
      </c>
      <c r="E659" s="2">
        <v>4.7</v>
      </c>
      <c r="F659" s="2" t="str">
        <f>IFERROR(VLOOKUP(B659,Tabla2[],5,FALSE),"")</f>
        <v/>
      </c>
      <c r="G659" s="2">
        <f>SQRT(4*(Tabla1[[#This Row],[dD]]-'Find a similar substance'!$D$5)^2+('Find a similar substance'!$E$5-Tabla1[[#This Row],[dP]])^2+(Tabla1[[#This Row],[dH]]-'Find a similar substance'!$F$5)^2)</f>
        <v>6.3851389961378304</v>
      </c>
    </row>
    <row r="660" spans="1:7" x14ac:dyDescent="0.25">
      <c r="A660" s="2" t="s">
        <v>1394</v>
      </c>
      <c r="B660" s="2" t="s">
        <v>1393</v>
      </c>
      <c r="C660" s="2">
        <v>16.2</v>
      </c>
      <c r="D660" s="2">
        <v>5</v>
      </c>
      <c r="E660" s="2">
        <v>4.0999999999999996</v>
      </c>
      <c r="F660" s="2" t="str">
        <f>IFERROR(VLOOKUP(B660,Tabla2[],5,FALSE),"")</f>
        <v/>
      </c>
      <c r="G660" s="2">
        <f>SQRT(4*(Tabla1[[#This Row],[dD]]-'Find a similar substance'!$D$5)^2+('Find a similar substance'!$E$5-Tabla1[[#This Row],[dP]])^2+(Tabla1[[#This Row],[dH]]-'Find a similar substance'!$F$5)^2)</f>
        <v>3.8910152916687442</v>
      </c>
    </row>
    <row r="661" spans="1:7" x14ac:dyDescent="0.25">
      <c r="A661" s="2" t="s">
        <v>1396</v>
      </c>
      <c r="B661" s="2" t="s">
        <v>1395</v>
      </c>
      <c r="C661" s="2">
        <v>15.5</v>
      </c>
      <c r="D661" s="2">
        <v>5.6</v>
      </c>
      <c r="E661" s="2">
        <v>5</v>
      </c>
      <c r="F661" s="2" t="str">
        <f>IFERROR(VLOOKUP(B661,Tabla2[],5,FALSE),"")</f>
        <v/>
      </c>
      <c r="G661" s="2">
        <f>SQRT(4*(Tabla1[[#This Row],[dD]]-'Find a similar substance'!$D$5)^2+('Find a similar substance'!$E$5-Tabla1[[#This Row],[dP]])^2+(Tabla1[[#This Row],[dH]]-'Find a similar substance'!$F$5)^2)</f>
        <v>3.8013155617496439</v>
      </c>
    </row>
    <row r="662" spans="1:7" x14ac:dyDescent="0.25">
      <c r="A662" s="2" t="s">
        <v>1398</v>
      </c>
      <c r="B662" s="2" t="s">
        <v>1397</v>
      </c>
      <c r="C662" s="2">
        <v>15.5</v>
      </c>
      <c r="D662" s="2">
        <v>3.2</v>
      </c>
      <c r="E662" s="2">
        <v>5.9</v>
      </c>
      <c r="F662" s="2" t="str">
        <f>IFERROR(VLOOKUP(B662,Tabla2[],5,FALSE),"")</f>
        <v/>
      </c>
      <c r="G662" s="2">
        <f>SQRT(4*(Tabla1[[#This Row],[dD]]-'Find a similar substance'!$D$5)^2+('Find a similar substance'!$E$5-Tabla1[[#This Row],[dP]])^2+(Tabla1[[#This Row],[dH]]-'Find a similar substance'!$F$5)^2)</f>
        <v>5.9916608715780972</v>
      </c>
    </row>
    <row r="663" spans="1:7" x14ac:dyDescent="0.25">
      <c r="A663" s="2" t="s">
        <v>1400</v>
      </c>
      <c r="B663" s="2" t="s">
        <v>1399</v>
      </c>
      <c r="C663" s="2">
        <v>16.8</v>
      </c>
      <c r="D663" s="2">
        <v>10.1</v>
      </c>
      <c r="E663" s="2">
        <v>13</v>
      </c>
      <c r="F663" s="2" t="str">
        <f>IFERROR(VLOOKUP(B663,Tabla2[],5,FALSE),"")</f>
        <v/>
      </c>
      <c r="G663" s="2">
        <f>SQRT(4*(Tabla1[[#This Row],[dD]]-'Find a similar substance'!$D$5)^2+('Find a similar substance'!$E$5-Tabla1[[#This Row],[dP]])^2+(Tabla1[[#This Row],[dH]]-'Find a similar substance'!$F$5)^2)</f>
        <v>8.1314205401024484</v>
      </c>
    </row>
    <row r="664" spans="1:7" x14ac:dyDescent="0.25">
      <c r="A664" s="2" t="s">
        <v>1402</v>
      </c>
      <c r="B664" s="2" t="s">
        <v>1401</v>
      </c>
      <c r="C664" s="2">
        <v>15.6</v>
      </c>
      <c r="D664" s="2">
        <v>15.2</v>
      </c>
      <c r="E664" s="2">
        <v>5.8</v>
      </c>
      <c r="F664" s="2" t="str">
        <f>IFERROR(VLOOKUP(B664,Tabla2[],5,FALSE),"")</f>
        <v/>
      </c>
      <c r="G664" s="2">
        <f>SQRT(4*(Tabla1[[#This Row],[dD]]-'Find a similar substance'!$D$5)^2+('Find a similar substance'!$E$5-Tabla1[[#This Row],[dP]])^2+(Tabla1[[#This Row],[dH]]-'Find a similar substance'!$F$5)^2)</f>
        <v>6.8476273263079976</v>
      </c>
    </row>
    <row r="665" spans="1:7" x14ac:dyDescent="0.25">
      <c r="A665" s="2" t="s">
        <v>1404</v>
      </c>
      <c r="B665" s="2" t="s">
        <v>1403</v>
      </c>
      <c r="C665" s="2">
        <v>15.7</v>
      </c>
      <c r="D665" s="2">
        <v>6.1</v>
      </c>
      <c r="E665" s="2">
        <v>2.9</v>
      </c>
      <c r="F665" s="2" t="str">
        <f>IFERROR(VLOOKUP(B665,Tabla2[],5,FALSE),"")</f>
        <v/>
      </c>
      <c r="G665" s="2">
        <f>SQRT(4*(Tabla1[[#This Row],[dD]]-'Find a similar substance'!$D$5)^2+('Find a similar substance'!$E$5-Tabla1[[#This Row],[dP]])^2+(Tabla1[[#This Row],[dH]]-'Find a similar substance'!$F$5)^2)</f>
        <v>3.7960505792204633</v>
      </c>
    </row>
    <row r="666" spans="1:7" x14ac:dyDescent="0.25">
      <c r="A666" s="2" t="s">
        <v>1406</v>
      </c>
      <c r="B666" s="2" t="s">
        <v>1405</v>
      </c>
      <c r="C666" s="2">
        <v>16.399999999999999</v>
      </c>
      <c r="D666" s="2">
        <v>11</v>
      </c>
      <c r="E666" s="2">
        <v>8</v>
      </c>
      <c r="F666" s="2" t="str">
        <f>IFERROR(VLOOKUP(B666,Tabla2[],5,FALSE),"")</f>
        <v/>
      </c>
      <c r="G666" s="2">
        <f>SQRT(4*(Tabla1[[#This Row],[dD]]-'Find a similar substance'!$D$5)^2+('Find a similar substance'!$E$5-Tabla1[[#This Row],[dP]])^2+(Tabla1[[#This Row],[dH]]-'Find a similar substance'!$F$5)^2)</f>
        <v>3.8013155617496435</v>
      </c>
    </row>
    <row r="667" spans="1:7" x14ac:dyDescent="0.25">
      <c r="A667" s="2" t="s">
        <v>1408</v>
      </c>
      <c r="B667" s="2" t="s">
        <v>1407</v>
      </c>
      <c r="C667" s="2">
        <v>18.399999999999999</v>
      </c>
      <c r="D667" s="2">
        <v>8.1999999999999993</v>
      </c>
      <c r="E667" s="2">
        <v>4.0999999999999996</v>
      </c>
      <c r="F667" s="2" t="str">
        <f>IFERROR(VLOOKUP(B667,Tabla2[],5,FALSE),"")</f>
        <v/>
      </c>
      <c r="G667" s="2">
        <f>SQRT(4*(Tabla1[[#This Row],[dD]]-'Find a similar substance'!$D$5)^2+('Find a similar substance'!$E$5-Tabla1[[#This Row],[dP]])^2+(Tabla1[[#This Row],[dH]]-'Find a similar substance'!$F$5)^2)</f>
        <v>3.7443290453698053</v>
      </c>
    </row>
    <row r="668" spans="1:7" x14ac:dyDescent="0.25">
      <c r="A668" s="2" t="s">
        <v>1410</v>
      </c>
      <c r="B668" s="2" t="s">
        <v>1409</v>
      </c>
      <c r="C668" s="2">
        <v>16.7</v>
      </c>
      <c r="D668" s="2">
        <v>7.9</v>
      </c>
      <c r="E668" s="2">
        <v>8.3000000000000007</v>
      </c>
      <c r="F668" s="2" t="str">
        <f>IFERROR(VLOOKUP(B668,Tabla2[],5,FALSE),"")</f>
        <v/>
      </c>
      <c r="G668" s="2">
        <f>SQRT(4*(Tabla1[[#This Row],[dD]]-'Find a similar substance'!$D$5)^2+('Find a similar substance'!$E$5-Tabla1[[#This Row],[dP]])^2+(Tabla1[[#This Row],[dH]]-'Find a similar substance'!$F$5)^2)</f>
        <v>3.4014702703389896</v>
      </c>
    </row>
    <row r="669" spans="1:7" x14ac:dyDescent="0.25">
      <c r="A669" s="2" t="s">
        <v>1412</v>
      </c>
      <c r="B669" s="2" t="s">
        <v>1411</v>
      </c>
      <c r="C669" s="2">
        <v>15.2</v>
      </c>
      <c r="D669" s="2">
        <v>10.3</v>
      </c>
      <c r="E669" s="2">
        <v>9</v>
      </c>
      <c r="F669" s="2" t="str">
        <f>IFERROR(VLOOKUP(B669,Tabla2[],5,FALSE),"")</f>
        <v/>
      </c>
      <c r="G669" s="2">
        <f>SQRT(4*(Tabla1[[#This Row],[dD]]-'Find a similar substance'!$D$5)^2+('Find a similar substance'!$E$5-Tabla1[[#This Row],[dP]])^2+(Tabla1[[#This Row],[dH]]-'Find a similar substance'!$F$5)^2)</f>
        <v>5.1380930314660542</v>
      </c>
    </row>
    <row r="670" spans="1:7" x14ac:dyDescent="0.25">
      <c r="A670" s="2" t="s">
        <v>1414</v>
      </c>
      <c r="B670" s="2" t="s">
        <v>1413</v>
      </c>
      <c r="C670" s="2">
        <v>15.4</v>
      </c>
      <c r="D670" s="2">
        <v>7.9</v>
      </c>
      <c r="E670" s="2">
        <v>5.9</v>
      </c>
      <c r="F670" s="2" t="str">
        <f>IFERROR(VLOOKUP(B670,Tabla2[],5,FALSE),"")</f>
        <v/>
      </c>
      <c r="G670" s="2">
        <f>SQRT(4*(Tabla1[[#This Row],[dD]]-'Find a similar substance'!$D$5)^2+('Find a similar substance'!$E$5-Tabla1[[#This Row],[dP]])^2+(Tabla1[[#This Row],[dH]]-'Find a similar substance'!$F$5)^2)</f>
        <v>2.6851443164195121</v>
      </c>
    </row>
    <row r="671" spans="1:7" x14ac:dyDescent="0.25">
      <c r="A671" s="2" t="s">
        <v>1416</v>
      </c>
      <c r="B671" s="2" t="s">
        <v>1415</v>
      </c>
      <c r="C671" s="2">
        <v>15.2</v>
      </c>
      <c r="D671" s="2">
        <v>9.3000000000000007</v>
      </c>
      <c r="E671" s="2">
        <v>3</v>
      </c>
      <c r="F671" s="2" t="str">
        <f>IFERROR(VLOOKUP(B671,Tabla2[],5,FALSE),"")</f>
        <v/>
      </c>
      <c r="G671" s="2">
        <f>SQRT(4*(Tabla1[[#This Row],[dD]]-'Find a similar substance'!$D$5)^2+('Find a similar substance'!$E$5-Tabla1[[#This Row],[dP]])^2+(Tabla1[[#This Row],[dH]]-'Find a similar substance'!$F$5)^2)</f>
        <v>3.4928498393145997</v>
      </c>
    </row>
    <row r="672" spans="1:7" x14ac:dyDescent="0.25">
      <c r="A672" s="2" t="s">
        <v>1418</v>
      </c>
      <c r="B672" s="2" t="s">
        <v>1417</v>
      </c>
      <c r="C672" s="2">
        <v>15.5</v>
      </c>
      <c r="D672" s="2">
        <v>8.4</v>
      </c>
      <c r="E672" s="2">
        <v>8.4</v>
      </c>
      <c r="F672" s="2" t="str">
        <f>IFERROR(VLOOKUP(B672,Tabla2[],5,FALSE),"")</f>
        <v/>
      </c>
      <c r="G672" s="2">
        <f>SQRT(4*(Tabla1[[#This Row],[dD]]-'Find a similar substance'!$D$5)^2+('Find a similar substance'!$E$5-Tabla1[[#This Row],[dP]])^2+(Tabla1[[#This Row],[dH]]-'Find a similar substance'!$F$5)^2)</f>
        <v>4.0607881008493925</v>
      </c>
    </row>
    <row r="673" spans="1:7" x14ac:dyDescent="0.25">
      <c r="A673" s="2" t="s">
        <v>1420</v>
      </c>
      <c r="B673" s="2" t="s">
        <v>1419</v>
      </c>
      <c r="C673" s="2">
        <v>15.7</v>
      </c>
      <c r="D673" s="2">
        <v>8.6</v>
      </c>
      <c r="E673" s="2">
        <v>6.5</v>
      </c>
      <c r="F673" s="2" t="str">
        <f>IFERROR(VLOOKUP(B673,Tabla2[],5,FALSE),"")</f>
        <v/>
      </c>
      <c r="G673" s="2">
        <f>SQRT(4*(Tabla1[[#This Row],[dD]]-'Find a similar substance'!$D$5)^2+('Find a similar substance'!$E$5-Tabla1[[#This Row],[dP]])^2+(Tabla1[[#This Row],[dH]]-'Find a similar substance'!$F$5)^2)</f>
        <v>2.345207879911718</v>
      </c>
    </row>
    <row r="674" spans="1:7" x14ac:dyDescent="0.25">
      <c r="A674" s="2" t="s">
        <v>1422</v>
      </c>
      <c r="B674" s="2" t="s">
        <v>1421</v>
      </c>
      <c r="C674" s="2">
        <v>17.5</v>
      </c>
      <c r="D674" s="2">
        <v>7</v>
      </c>
      <c r="E674" s="2">
        <v>6</v>
      </c>
      <c r="F674" s="2" t="str">
        <f>IFERROR(VLOOKUP(B674,Tabla2[],5,FALSE),"")</f>
        <v/>
      </c>
      <c r="G674" s="2">
        <f>SQRT(4*(Tabla1[[#This Row],[dD]]-'Find a similar substance'!$D$5)^2+('Find a similar substance'!$E$5-Tabla1[[#This Row],[dP]])^2+(Tabla1[[#This Row],[dH]]-'Find a similar substance'!$F$5)^2)</f>
        <v>2.6702059845637351</v>
      </c>
    </row>
    <row r="675" spans="1:7" x14ac:dyDescent="0.25">
      <c r="A675" s="2" t="s">
        <v>1424</v>
      </c>
      <c r="B675" s="2" t="s">
        <v>1423</v>
      </c>
      <c r="C675" s="2">
        <v>15.4</v>
      </c>
      <c r="D675" s="2">
        <v>12</v>
      </c>
      <c r="E675" s="2">
        <v>2.5</v>
      </c>
      <c r="F675" s="2" t="str">
        <f>IFERROR(VLOOKUP(B675,Tabla2[],5,FALSE),"")</f>
        <v/>
      </c>
      <c r="G675" s="2">
        <f>SQRT(4*(Tabla1[[#This Row],[dD]]-'Find a similar substance'!$D$5)^2+('Find a similar substance'!$E$5-Tabla1[[#This Row],[dP]])^2+(Tabla1[[#This Row],[dH]]-'Find a similar substance'!$F$5)^2)</f>
        <v>4.7853944456021607</v>
      </c>
    </row>
    <row r="676" spans="1:7" x14ac:dyDescent="0.25">
      <c r="A676" s="2" t="s">
        <v>1426</v>
      </c>
      <c r="B676" s="2" t="s">
        <v>1425</v>
      </c>
      <c r="C676" s="2">
        <v>14.8</v>
      </c>
      <c r="D676" s="2">
        <v>3.5</v>
      </c>
      <c r="E676" s="2">
        <v>5.0999999999999996</v>
      </c>
      <c r="F676" s="2" t="str">
        <f>IFERROR(VLOOKUP(B676,Tabla2[],5,FALSE),"")</f>
        <v/>
      </c>
      <c r="G676" s="2">
        <f>SQRT(4*(Tabla1[[#This Row],[dD]]-'Find a similar substance'!$D$5)^2+('Find a similar substance'!$E$5-Tabla1[[#This Row],[dP]])^2+(Tabla1[[#This Row],[dH]]-'Find a similar substance'!$F$5)^2)</f>
        <v>6.3253458403473877</v>
      </c>
    </row>
    <row r="677" spans="1:7" x14ac:dyDescent="0.25">
      <c r="A677" s="2" t="s">
        <v>1428</v>
      </c>
      <c r="B677" s="2" t="s">
        <v>1427</v>
      </c>
      <c r="C677" s="2">
        <v>17.2</v>
      </c>
      <c r="D677" s="2">
        <v>14.7</v>
      </c>
      <c r="E677" s="2">
        <v>9</v>
      </c>
      <c r="F677" s="2" t="str">
        <f>IFERROR(VLOOKUP(B677,Tabla2[],5,FALSE),"")</f>
        <v/>
      </c>
      <c r="G677" s="2">
        <f>SQRT(4*(Tabla1[[#This Row],[dD]]-'Find a similar substance'!$D$5)^2+('Find a similar substance'!$E$5-Tabla1[[#This Row],[dP]])^2+(Tabla1[[#This Row],[dH]]-'Find a similar substance'!$F$5)^2)</f>
        <v>7.3102667529988254</v>
      </c>
    </row>
    <row r="678" spans="1:7" x14ac:dyDescent="0.25">
      <c r="A678" s="2" t="s">
        <v>1429</v>
      </c>
      <c r="B678" s="2" t="s">
        <v>38</v>
      </c>
      <c r="C678" s="2">
        <v>16</v>
      </c>
      <c r="D678" s="2">
        <v>7.6</v>
      </c>
      <c r="E678" s="2">
        <v>12.5</v>
      </c>
      <c r="F678" s="2">
        <f>IFERROR(VLOOKUP(B678,Tabla2[],5,FALSE),"")</f>
        <v>115</v>
      </c>
      <c r="G678" s="2">
        <f>SQRT(4*(Tabla1[[#This Row],[dD]]-'Find a similar substance'!$D$5)^2+('Find a similar substance'!$E$5-Tabla1[[#This Row],[dP]])^2+(Tabla1[[#This Row],[dH]]-'Find a similar substance'!$F$5)^2)</f>
        <v>7.6746335417399578</v>
      </c>
    </row>
    <row r="679" spans="1:7" x14ac:dyDescent="0.25">
      <c r="A679" s="2" t="s">
        <v>1431</v>
      </c>
      <c r="B679" s="2" t="s">
        <v>1430</v>
      </c>
      <c r="C679" s="2">
        <v>15.8</v>
      </c>
      <c r="D679" s="2">
        <v>7.2</v>
      </c>
      <c r="E679" s="2">
        <v>7.5</v>
      </c>
      <c r="F679" s="2" t="str">
        <f>IFERROR(VLOOKUP(B679,Tabla2[],5,FALSE),"")</f>
        <v/>
      </c>
      <c r="G679" s="2">
        <f>SQRT(4*(Tabla1[[#This Row],[dD]]-'Find a similar substance'!$D$5)^2+('Find a similar substance'!$E$5-Tabla1[[#This Row],[dP]])^2+(Tabla1[[#This Row],[dH]]-'Find a similar substance'!$F$5)^2)</f>
        <v>3.3256578296631782</v>
      </c>
    </row>
    <row r="680" spans="1:7" x14ac:dyDescent="0.25">
      <c r="A680" s="2" t="s">
        <v>601</v>
      </c>
      <c r="B680" s="2" t="s">
        <v>1432</v>
      </c>
      <c r="C680" s="2">
        <v>17.100000000000001</v>
      </c>
      <c r="D680" s="2">
        <v>4.8</v>
      </c>
      <c r="E680" s="2">
        <v>2.5</v>
      </c>
      <c r="F680" s="2" t="str">
        <f>IFERROR(VLOOKUP(B680,Tabla2[],5,FALSE),"")</f>
        <v/>
      </c>
      <c r="G680" s="2">
        <f>SQRT(4*(Tabla1[[#This Row],[dD]]-'Find a similar substance'!$D$5)^2+('Find a similar substance'!$E$5-Tabla1[[#This Row],[dP]])^2+(Tabla1[[#This Row],[dH]]-'Find a similar substance'!$F$5)^2)</f>
        <v>4.7391982444291134</v>
      </c>
    </row>
    <row r="681" spans="1:7" x14ac:dyDescent="0.25">
      <c r="A681" s="2" t="s">
        <v>1434</v>
      </c>
      <c r="B681" s="2" t="s">
        <v>1433</v>
      </c>
      <c r="C681" s="2">
        <v>16.2</v>
      </c>
      <c r="D681" s="2">
        <v>3.2</v>
      </c>
      <c r="E681" s="2">
        <v>4</v>
      </c>
      <c r="F681" s="2" t="str">
        <f>IFERROR(VLOOKUP(B681,Tabla2[],5,FALSE),"")</f>
        <v/>
      </c>
      <c r="G681" s="2">
        <f>SQRT(4*(Tabla1[[#This Row],[dD]]-'Find a similar substance'!$D$5)^2+('Find a similar substance'!$E$5-Tabla1[[#This Row],[dP]])^2+(Tabla1[[#This Row],[dH]]-'Find a similar substance'!$F$5)^2)</f>
        <v>5.6471231613981994</v>
      </c>
    </row>
    <row r="682" spans="1:7" x14ac:dyDescent="0.25">
      <c r="A682" s="2" t="s">
        <v>1436</v>
      </c>
      <c r="B682" s="2" t="s">
        <v>1435</v>
      </c>
      <c r="C682" s="2">
        <v>15.5</v>
      </c>
      <c r="D682" s="2">
        <v>6.1</v>
      </c>
      <c r="E682" s="2">
        <v>4.9000000000000004</v>
      </c>
      <c r="F682" s="2" t="str">
        <f>IFERROR(VLOOKUP(B682,Tabla2[],5,FALSE),"")</f>
        <v/>
      </c>
      <c r="G682" s="2">
        <f>SQRT(4*(Tabla1[[#This Row],[dD]]-'Find a similar substance'!$D$5)^2+('Find a similar substance'!$E$5-Tabla1[[#This Row],[dP]])^2+(Tabla1[[#This Row],[dH]]-'Find a similar substance'!$F$5)^2)</f>
        <v>3.4073450074801657</v>
      </c>
    </row>
    <row r="683" spans="1:7" x14ac:dyDescent="0.25">
      <c r="A683" s="2" t="s">
        <v>1438</v>
      </c>
      <c r="B683" s="2" t="s">
        <v>1437</v>
      </c>
      <c r="C683" s="2">
        <v>15.4</v>
      </c>
      <c r="D683" s="2">
        <v>13.4</v>
      </c>
      <c r="E683" s="2">
        <v>5.4</v>
      </c>
      <c r="F683" s="2" t="str">
        <f>IFERROR(VLOOKUP(B683,Tabla2[],5,FALSE),"")</f>
        <v/>
      </c>
      <c r="G683" s="2">
        <f>SQRT(4*(Tabla1[[#This Row],[dD]]-'Find a similar substance'!$D$5)^2+('Find a similar substance'!$E$5-Tabla1[[#This Row],[dP]])^2+(Tabla1[[#This Row],[dH]]-'Find a similar substance'!$F$5)^2)</f>
        <v>5.2924474489596989</v>
      </c>
    </row>
    <row r="684" spans="1:7" x14ac:dyDescent="0.25">
      <c r="A684" s="2" t="s">
        <v>1440</v>
      </c>
      <c r="B684" s="2" t="s">
        <v>1439</v>
      </c>
      <c r="C684" s="2">
        <v>14.9</v>
      </c>
      <c r="D684" s="2">
        <v>4.9000000000000004</v>
      </c>
      <c r="E684" s="2">
        <v>5.6</v>
      </c>
      <c r="F684" s="2" t="str">
        <f>IFERROR(VLOOKUP(B684,Tabla2[],5,FALSE),"")</f>
        <v/>
      </c>
      <c r="G684" s="2">
        <f>SQRT(4*(Tabla1[[#This Row],[dD]]-'Find a similar substance'!$D$5)^2+('Find a similar substance'!$E$5-Tabla1[[#This Row],[dP]])^2+(Tabla1[[#This Row],[dH]]-'Find a similar substance'!$F$5)^2)</f>
        <v>5.1341990611973749</v>
      </c>
    </row>
    <row r="685" spans="1:7" x14ac:dyDescent="0.25">
      <c r="A685" s="2" t="s">
        <v>1442</v>
      </c>
      <c r="B685" s="2" t="s">
        <v>1441</v>
      </c>
      <c r="C685" s="2">
        <v>15.8</v>
      </c>
      <c r="D685" s="2">
        <v>11.3</v>
      </c>
      <c r="E685" s="2">
        <v>4.5</v>
      </c>
      <c r="F685" s="2" t="str">
        <f>IFERROR(VLOOKUP(B685,Tabla2[],5,FALSE),"")</f>
        <v/>
      </c>
      <c r="G685" s="2">
        <f>SQRT(4*(Tabla1[[#This Row],[dD]]-'Find a similar substance'!$D$5)^2+('Find a similar substance'!$E$5-Tabla1[[#This Row],[dP]])^2+(Tabla1[[#This Row],[dH]]-'Find a similar substance'!$F$5)^2)</f>
        <v>3.0935416596516059</v>
      </c>
    </row>
    <row r="686" spans="1:7" x14ac:dyDescent="0.25">
      <c r="A686" s="2" t="s">
        <v>1444</v>
      </c>
      <c r="B686" s="2" t="s">
        <v>1443</v>
      </c>
      <c r="C686" s="2">
        <v>15.9</v>
      </c>
      <c r="D686" s="2">
        <v>6.4</v>
      </c>
      <c r="E686" s="2">
        <v>5.4</v>
      </c>
      <c r="F686" s="2" t="str">
        <f>IFERROR(VLOOKUP(B686,Tabla2[],5,FALSE),"")</f>
        <v/>
      </c>
      <c r="G686" s="2">
        <f>SQRT(4*(Tabla1[[#This Row],[dD]]-'Find a similar substance'!$D$5)^2+('Find a similar substance'!$E$5-Tabla1[[#This Row],[dP]])^2+(Tabla1[[#This Row],[dH]]-'Find a similar substance'!$F$5)^2)</f>
        <v>2.7221315177632399</v>
      </c>
    </row>
    <row r="687" spans="1:7" x14ac:dyDescent="0.25">
      <c r="A687" s="2" t="s">
        <v>1446</v>
      </c>
      <c r="B687" s="2" t="s">
        <v>1445</v>
      </c>
      <c r="C687" s="2">
        <v>15</v>
      </c>
      <c r="D687" s="2">
        <v>2</v>
      </c>
      <c r="E687" s="2">
        <v>3.8</v>
      </c>
      <c r="F687" s="2" t="str">
        <f>IFERROR(VLOOKUP(B687,Tabla2[],5,FALSE),"")</f>
        <v/>
      </c>
      <c r="G687" s="2">
        <f>SQRT(4*(Tabla1[[#This Row],[dD]]-'Find a similar substance'!$D$5)^2+('Find a similar substance'!$E$5-Tabla1[[#This Row],[dP]])^2+(Tabla1[[#This Row],[dH]]-'Find a similar substance'!$F$5)^2)</f>
        <v>7.5213030785895079</v>
      </c>
    </row>
    <row r="688" spans="1:7" x14ac:dyDescent="0.25">
      <c r="A688" s="2" t="s">
        <v>1447</v>
      </c>
      <c r="B688" s="2" t="s">
        <v>39</v>
      </c>
      <c r="C688" s="2">
        <v>18</v>
      </c>
      <c r="D688" s="2">
        <v>21.7</v>
      </c>
      <c r="E688" s="2">
        <v>5.0999999999999996</v>
      </c>
      <c r="F688" s="2">
        <f>IFERROR(VLOOKUP(B688,Tabla2[],5,FALSE),"")</f>
        <v>66</v>
      </c>
      <c r="G688" s="2">
        <f>SQRT(4*(Tabla1[[#This Row],[dD]]-'Find a similar substance'!$D$5)^2+('Find a similar substance'!$E$5-Tabla1[[#This Row],[dP]])^2+(Tabla1[[#This Row],[dH]]-'Find a similar substance'!$F$5)^2)</f>
        <v>13.298496155580899</v>
      </c>
    </row>
    <row r="689" spans="1:7" x14ac:dyDescent="0.25">
      <c r="A689" s="2" t="s">
        <v>1449</v>
      </c>
      <c r="B689" s="2" t="s">
        <v>1448</v>
      </c>
      <c r="C689" s="2">
        <v>16.899999999999999</v>
      </c>
      <c r="D689" s="2">
        <v>8.8000000000000007</v>
      </c>
      <c r="E689" s="2">
        <v>17.2</v>
      </c>
      <c r="F689" s="2" t="str">
        <f>IFERROR(VLOOKUP(B689,Tabla2[],5,FALSE),"")</f>
        <v/>
      </c>
      <c r="G689" s="2">
        <f>SQRT(4*(Tabla1[[#This Row],[dD]]-'Find a similar substance'!$D$5)^2+('Find a similar substance'!$E$5-Tabla1[[#This Row],[dP]])^2+(Tabla1[[#This Row],[dH]]-'Find a similar substance'!$F$5)^2)</f>
        <v>12.215154522149934</v>
      </c>
    </row>
    <row r="690" spans="1:7" x14ac:dyDescent="0.25">
      <c r="A690" s="2" t="s">
        <v>1451</v>
      </c>
      <c r="B690" s="2" t="s">
        <v>1450</v>
      </c>
      <c r="C690" s="2">
        <v>17.2</v>
      </c>
      <c r="D690" s="2">
        <v>18.8</v>
      </c>
      <c r="E690" s="2">
        <v>17.600000000000001</v>
      </c>
      <c r="F690" s="2" t="str">
        <f>IFERROR(VLOOKUP(B690,Tabla2[],5,FALSE),"")</f>
        <v/>
      </c>
      <c r="G690" s="2">
        <f>SQRT(4*(Tabla1[[#This Row],[dD]]-'Find a similar substance'!$D$5)^2+('Find a similar substance'!$E$5-Tabla1[[#This Row],[dP]])^2+(Tabla1[[#This Row],[dH]]-'Find a similar substance'!$F$5)^2)</f>
        <v>16.192899678562824</v>
      </c>
    </row>
    <row r="691" spans="1:7" x14ac:dyDescent="0.25">
      <c r="A691" s="2" t="s">
        <v>1453</v>
      </c>
      <c r="B691" s="2" t="s">
        <v>1452</v>
      </c>
      <c r="C691" s="2">
        <v>19.2</v>
      </c>
      <c r="D691" s="2">
        <v>3.5</v>
      </c>
      <c r="E691" s="2">
        <v>8.6</v>
      </c>
      <c r="F691" s="2" t="str">
        <f>IFERROR(VLOOKUP(B691,Tabla2[],5,FALSE),"")</f>
        <v/>
      </c>
      <c r="G691" s="2">
        <f>SQRT(4*(Tabla1[[#This Row],[dD]]-'Find a similar substance'!$D$5)^2+('Find a similar substance'!$E$5-Tabla1[[#This Row],[dP]])^2+(Tabla1[[#This Row],[dH]]-'Find a similar substance'!$F$5)^2)</f>
        <v>8.1877957961834849</v>
      </c>
    </row>
    <row r="692" spans="1:7" x14ac:dyDescent="0.25">
      <c r="A692" s="2" t="s">
        <v>1455</v>
      </c>
      <c r="B692" s="2" t="s">
        <v>1454</v>
      </c>
      <c r="C692" s="2">
        <v>18</v>
      </c>
      <c r="D692" s="2">
        <v>7.4</v>
      </c>
      <c r="E692" s="2">
        <v>4.0999999999999996</v>
      </c>
      <c r="F692" s="2" t="str">
        <f>IFERROR(VLOOKUP(B692,Tabla2[],5,FALSE),"")</f>
        <v/>
      </c>
      <c r="G692" s="2">
        <f>SQRT(4*(Tabla1[[#This Row],[dD]]-'Find a similar substance'!$D$5)^2+('Find a similar substance'!$E$5-Tabla1[[#This Row],[dP]])^2+(Tabla1[[#This Row],[dH]]-'Find a similar substance'!$F$5)^2)</f>
        <v>3.2155870381627025</v>
      </c>
    </row>
    <row r="693" spans="1:7" x14ac:dyDescent="0.25">
      <c r="A693" s="2" t="s">
        <v>1457</v>
      </c>
      <c r="B693" s="2" t="s">
        <v>1456</v>
      </c>
      <c r="C693" s="2">
        <v>16.2</v>
      </c>
      <c r="D693" s="2">
        <v>18</v>
      </c>
      <c r="E693" s="2">
        <v>6</v>
      </c>
      <c r="F693" s="2" t="str">
        <f>IFERROR(VLOOKUP(B693,Tabla2[],5,FALSE),"")</f>
        <v/>
      </c>
      <c r="G693" s="2">
        <f>SQRT(4*(Tabla1[[#This Row],[dD]]-'Find a similar substance'!$D$5)^2+('Find a similar substance'!$E$5-Tabla1[[#This Row],[dP]])^2+(Tabla1[[#This Row],[dH]]-'Find a similar substance'!$F$5)^2)</f>
        <v>9.3877579858025744</v>
      </c>
    </row>
    <row r="694" spans="1:7" x14ac:dyDescent="0.25">
      <c r="A694" s="2" t="s">
        <v>1458</v>
      </c>
      <c r="B694" s="2" t="s">
        <v>40</v>
      </c>
      <c r="C694" s="2">
        <v>17</v>
      </c>
      <c r="D694" s="2">
        <v>11</v>
      </c>
      <c r="E694" s="2">
        <v>26</v>
      </c>
      <c r="F694" s="2">
        <f>IFERROR(VLOOKUP(B694,Tabla2[],5,FALSE),"")</f>
        <v>55.9</v>
      </c>
      <c r="G694" s="2">
        <f>SQRT(4*(Tabla1[[#This Row],[dD]]-'Find a similar substance'!$D$5)^2+('Find a similar substance'!$E$5-Tabla1[[#This Row],[dP]])^2+(Tabla1[[#This Row],[dH]]-'Find a similar substance'!$F$5)^2)</f>
        <v>21.140719003856042</v>
      </c>
    </row>
    <row r="695" spans="1:7" x14ac:dyDescent="0.25">
      <c r="A695" s="2" t="s">
        <v>1460</v>
      </c>
      <c r="B695" s="2" t="s">
        <v>1459</v>
      </c>
      <c r="C695" s="2">
        <v>15.3</v>
      </c>
      <c r="D695" s="2">
        <v>7.5</v>
      </c>
      <c r="E695" s="2">
        <v>6.8</v>
      </c>
      <c r="F695" s="2" t="str">
        <f>IFERROR(VLOOKUP(B695,Tabla2[],5,FALSE),"")</f>
        <v/>
      </c>
      <c r="G695" s="2">
        <f>SQRT(4*(Tabla1[[#This Row],[dD]]-'Find a similar substance'!$D$5)^2+('Find a similar substance'!$E$5-Tabla1[[#This Row],[dP]])^2+(Tabla1[[#This Row],[dH]]-'Find a similar substance'!$F$5)^2)</f>
        <v>3.3823069050575532</v>
      </c>
    </row>
    <row r="696" spans="1:7" x14ac:dyDescent="0.25">
      <c r="A696" s="2" t="s">
        <v>1462</v>
      </c>
      <c r="B696" s="2" t="s">
        <v>1461</v>
      </c>
      <c r="C696" s="2">
        <v>15.3</v>
      </c>
      <c r="D696" s="2">
        <v>4.9000000000000004</v>
      </c>
      <c r="E696" s="2">
        <v>4.5999999999999996</v>
      </c>
      <c r="F696" s="2" t="str">
        <f>IFERROR(VLOOKUP(B696,Tabla2[],5,FALSE),"")</f>
        <v/>
      </c>
      <c r="G696" s="2">
        <f>SQRT(4*(Tabla1[[#This Row],[dD]]-'Find a similar substance'!$D$5)^2+('Find a similar substance'!$E$5-Tabla1[[#This Row],[dP]])^2+(Tabla1[[#This Row],[dH]]-'Find a similar substance'!$F$5)^2)</f>
        <v>4.6216880033165371</v>
      </c>
    </row>
    <row r="697" spans="1:7" x14ac:dyDescent="0.25">
      <c r="A697" s="2" t="s">
        <v>1464</v>
      </c>
      <c r="B697" s="2" t="s">
        <v>1463</v>
      </c>
      <c r="C697" s="2">
        <v>15.5</v>
      </c>
      <c r="D697" s="2">
        <v>5.2</v>
      </c>
      <c r="E697" s="2">
        <v>4.9000000000000004</v>
      </c>
      <c r="F697" s="2" t="str">
        <f>IFERROR(VLOOKUP(B697,Tabla2[],5,FALSE),"")</f>
        <v/>
      </c>
      <c r="G697" s="2">
        <f>SQRT(4*(Tabla1[[#This Row],[dD]]-'Find a similar substance'!$D$5)^2+('Find a similar substance'!$E$5-Tabla1[[#This Row],[dP]])^2+(Tabla1[[#This Row],[dH]]-'Find a similar substance'!$F$5)^2)</f>
        <v>4.135214625627067</v>
      </c>
    </row>
    <row r="698" spans="1:7" x14ac:dyDescent="0.25">
      <c r="A698" s="2" t="s">
        <v>1466</v>
      </c>
      <c r="B698" s="2" t="s">
        <v>1465</v>
      </c>
      <c r="C698" s="2">
        <v>14.7</v>
      </c>
      <c r="D698" s="2">
        <v>4.0999999999999996</v>
      </c>
      <c r="E698" s="2">
        <v>8.1999999999999993</v>
      </c>
      <c r="F698" s="2" t="str">
        <f>IFERROR(VLOOKUP(B698,Tabla2[],5,FALSE),"")</f>
        <v/>
      </c>
      <c r="G698" s="2">
        <f>SQRT(4*(Tabla1[[#This Row],[dD]]-'Find a similar substance'!$D$5)^2+('Find a similar substance'!$E$5-Tabla1[[#This Row],[dP]])^2+(Tabla1[[#This Row],[dH]]-'Find a similar substance'!$F$5)^2)</f>
        <v>6.7705243519243048</v>
      </c>
    </row>
    <row r="699" spans="1:7" x14ac:dyDescent="0.25">
      <c r="A699" s="2" t="s">
        <v>1468</v>
      </c>
      <c r="B699" s="2" t="s">
        <v>1467</v>
      </c>
      <c r="C699" s="2">
        <v>16.2</v>
      </c>
      <c r="D699" s="2">
        <v>4.7</v>
      </c>
      <c r="E699" s="2">
        <v>9.8000000000000007</v>
      </c>
      <c r="F699" s="2" t="str">
        <f>IFERROR(VLOOKUP(B699,Tabla2[],5,FALSE),"")</f>
        <v/>
      </c>
      <c r="G699" s="2">
        <f>SQRT(4*(Tabla1[[#This Row],[dD]]-'Find a similar substance'!$D$5)^2+('Find a similar substance'!$E$5-Tabla1[[#This Row],[dP]])^2+(Tabla1[[#This Row],[dH]]-'Find a similar substance'!$F$5)^2)</f>
        <v>6.2992062992094491</v>
      </c>
    </row>
    <row r="700" spans="1:7" x14ac:dyDescent="0.25">
      <c r="A700" s="2" t="s">
        <v>1470</v>
      </c>
      <c r="B700" s="2" t="s">
        <v>1469</v>
      </c>
      <c r="C700" s="2">
        <v>15.7</v>
      </c>
      <c r="D700" s="2">
        <v>4.5</v>
      </c>
      <c r="E700" s="2">
        <v>4.2</v>
      </c>
      <c r="F700" s="2" t="str">
        <f>IFERROR(VLOOKUP(B700,Tabla2[],5,FALSE),"")</f>
        <v/>
      </c>
      <c r="G700" s="2">
        <f>SQRT(4*(Tabla1[[#This Row],[dD]]-'Find a similar substance'!$D$5)^2+('Find a similar substance'!$E$5-Tabla1[[#This Row],[dP]])^2+(Tabla1[[#This Row],[dH]]-'Find a similar substance'!$F$5)^2)</f>
        <v>4.6389654018972823</v>
      </c>
    </row>
    <row r="701" spans="1:7" x14ac:dyDescent="0.25">
      <c r="A701" s="2" t="s">
        <v>1472</v>
      </c>
      <c r="B701" s="2" t="s">
        <v>1471</v>
      </c>
      <c r="C701" s="2">
        <v>15.4</v>
      </c>
      <c r="D701" s="2">
        <v>5.4</v>
      </c>
      <c r="E701" s="2">
        <v>5.2</v>
      </c>
      <c r="F701" s="2" t="str">
        <f>IFERROR(VLOOKUP(B701,Tabla2[],5,FALSE),"")</f>
        <v/>
      </c>
      <c r="G701" s="2">
        <f>SQRT(4*(Tabla1[[#This Row],[dD]]-'Find a similar substance'!$D$5)^2+('Find a similar substance'!$E$5-Tabla1[[#This Row],[dP]])^2+(Tabla1[[#This Row],[dH]]-'Find a similar substance'!$F$5)^2)</f>
        <v>4.0853396431630999</v>
      </c>
    </row>
    <row r="702" spans="1:7" x14ac:dyDescent="0.25">
      <c r="A702" s="2" t="s">
        <v>1289</v>
      </c>
      <c r="B702" s="2" t="s">
        <v>1473</v>
      </c>
      <c r="C702" s="2">
        <v>15.4</v>
      </c>
      <c r="D702" s="2">
        <v>6.3</v>
      </c>
      <c r="E702" s="2">
        <v>6</v>
      </c>
      <c r="F702" s="2" t="str">
        <f>IFERROR(VLOOKUP(B702,Tabla2[],5,FALSE),"")</f>
        <v/>
      </c>
      <c r="G702" s="2">
        <f>SQRT(4*(Tabla1[[#This Row],[dD]]-'Find a similar substance'!$D$5)^2+('Find a similar substance'!$E$5-Tabla1[[#This Row],[dP]])^2+(Tabla1[[#This Row],[dH]]-'Find a similar substance'!$F$5)^2)</f>
        <v>3.5383612025908273</v>
      </c>
    </row>
    <row r="703" spans="1:7" x14ac:dyDescent="0.25">
      <c r="A703" s="2" t="s">
        <v>1475</v>
      </c>
      <c r="B703" s="2" t="s">
        <v>1474</v>
      </c>
      <c r="C703" s="2">
        <v>15.3</v>
      </c>
      <c r="D703" s="2">
        <v>5.0999999999999996</v>
      </c>
      <c r="E703" s="2">
        <v>8.1999999999999993</v>
      </c>
      <c r="F703" s="2" t="str">
        <f>IFERROR(VLOOKUP(B703,Tabla2[],5,FALSE),"")</f>
        <v/>
      </c>
      <c r="G703" s="2">
        <f>SQRT(4*(Tabla1[[#This Row],[dD]]-'Find a similar substance'!$D$5)^2+('Find a similar substance'!$E$5-Tabla1[[#This Row],[dP]])^2+(Tabla1[[#This Row],[dH]]-'Find a similar substance'!$F$5)^2)</f>
        <v>5.4735728733616034</v>
      </c>
    </row>
    <row r="704" spans="1:7" x14ac:dyDescent="0.25">
      <c r="A704" s="2" t="s">
        <v>1477</v>
      </c>
      <c r="B704" s="2" t="s">
        <v>1476</v>
      </c>
      <c r="C704" s="2">
        <v>16</v>
      </c>
      <c r="D704" s="2">
        <v>4.0999999999999996</v>
      </c>
      <c r="E704" s="2">
        <v>10.5</v>
      </c>
      <c r="F704" s="2" t="str">
        <f>IFERROR(VLOOKUP(B704,Tabla2[],5,FALSE),"")</f>
        <v/>
      </c>
      <c r="G704" s="2">
        <f>SQRT(4*(Tabla1[[#This Row],[dD]]-'Find a similar substance'!$D$5)^2+('Find a similar substance'!$E$5-Tabla1[[#This Row],[dP]])^2+(Tabla1[[#This Row],[dH]]-'Find a similar substance'!$F$5)^2)</f>
        <v>7.2698005474703367</v>
      </c>
    </row>
    <row r="705" spans="1:7" x14ac:dyDescent="0.25">
      <c r="A705" s="2" t="s">
        <v>1479</v>
      </c>
      <c r="B705" s="2" t="s">
        <v>1478</v>
      </c>
      <c r="C705" s="2">
        <v>17.8</v>
      </c>
      <c r="D705" s="2">
        <v>5.9</v>
      </c>
      <c r="E705" s="2">
        <v>12.2</v>
      </c>
      <c r="F705" s="2" t="str">
        <f>IFERROR(VLOOKUP(B705,Tabla2[],5,FALSE),"")</f>
        <v/>
      </c>
      <c r="G705" s="2">
        <f>SQRT(4*(Tabla1[[#This Row],[dD]]-'Find a similar substance'!$D$5)^2+('Find a similar substance'!$E$5-Tabla1[[#This Row],[dP]])^2+(Tabla1[[#This Row],[dH]]-'Find a similar substance'!$F$5)^2)</f>
        <v>8.0894993664626718</v>
      </c>
    </row>
    <row r="706" spans="1:7" x14ac:dyDescent="0.25">
      <c r="A706" s="2" t="s">
        <v>1481</v>
      </c>
      <c r="B706" s="2" t="s">
        <v>1480</v>
      </c>
      <c r="C706" s="2">
        <v>15.9</v>
      </c>
      <c r="D706" s="2">
        <v>5.0999999999999996</v>
      </c>
      <c r="E706" s="2">
        <v>9.3000000000000007</v>
      </c>
      <c r="F706" s="2" t="str">
        <f>IFERROR(VLOOKUP(B706,Tabla2[],5,FALSE),"")</f>
        <v/>
      </c>
      <c r="G706" s="2">
        <f>SQRT(4*(Tabla1[[#This Row],[dD]]-'Find a similar substance'!$D$5)^2+('Find a similar substance'!$E$5-Tabla1[[#This Row],[dP]])^2+(Tabla1[[#This Row],[dH]]-'Find a similar substance'!$F$5)^2)</f>
        <v>5.7801384066473709</v>
      </c>
    </row>
    <row r="707" spans="1:7" x14ac:dyDescent="0.25">
      <c r="A707" s="2" t="s">
        <v>1483</v>
      </c>
      <c r="B707" s="2" t="s">
        <v>1482</v>
      </c>
      <c r="C707" s="2">
        <v>16</v>
      </c>
      <c r="D707" s="2">
        <v>5</v>
      </c>
      <c r="E707" s="2">
        <v>11.4</v>
      </c>
      <c r="F707" s="2" t="str">
        <f>IFERROR(VLOOKUP(B707,Tabla2[],5,FALSE),"")</f>
        <v/>
      </c>
      <c r="G707" s="2">
        <f>SQRT(4*(Tabla1[[#This Row],[dD]]-'Find a similar substance'!$D$5)^2+('Find a similar substance'!$E$5-Tabla1[[#This Row],[dP]])^2+(Tabla1[[#This Row],[dH]]-'Find a similar substance'!$F$5)^2)</f>
        <v>7.4893257373411135</v>
      </c>
    </row>
    <row r="708" spans="1:7" x14ac:dyDescent="0.25">
      <c r="A708" s="2" t="s">
        <v>1485</v>
      </c>
      <c r="B708" s="2" t="s">
        <v>1484</v>
      </c>
      <c r="C708" s="2">
        <v>16.100000000000001</v>
      </c>
      <c r="D708" s="2">
        <v>8.6999999999999993</v>
      </c>
      <c r="E708" s="2">
        <v>13.5</v>
      </c>
      <c r="F708" s="2" t="str">
        <f>IFERROR(VLOOKUP(B708,Tabla2[],5,FALSE),"")</f>
        <v/>
      </c>
      <c r="G708" s="2">
        <f>SQRT(4*(Tabla1[[#This Row],[dD]]-'Find a similar substance'!$D$5)^2+('Find a similar substance'!$E$5-Tabla1[[#This Row],[dP]])^2+(Tabla1[[#This Row],[dH]]-'Find a similar substance'!$F$5)^2)</f>
        <v>8.558621384311845</v>
      </c>
    </row>
    <row r="709" spans="1:7" x14ac:dyDescent="0.25">
      <c r="A709" s="2" t="s">
        <v>1487</v>
      </c>
      <c r="B709" s="2" t="s">
        <v>1486</v>
      </c>
      <c r="C709" s="2">
        <v>15.3</v>
      </c>
      <c r="D709" s="2">
        <v>6.1</v>
      </c>
      <c r="E709" s="2">
        <v>10.8</v>
      </c>
      <c r="F709" s="2" t="str">
        <f>IFERROR(VLOOKUP(B709,Tabla2[],5,FALSE),"")</f>
        <v/>
      </c>
      <c r="G709" s="2">
        <f>SQRT(4*(Tabla1[[#This Row],[dD]]-'Find a similar substance'!$D$5)^2+('Find a similar substance'!$E$5-Tabla1[[#This Row],[dP]])^2+(Tabla1[[#This Row],[dH]]-'Find a similar substance'!$F$5)^2)</f>
        <v>6.8673138853557587</v>
      </c>
    </row>
    <row r="710" spans="1:7" x14ac:dyDescent="0.25">
      <c r="A710" s="2" t="s">
        <v>1488</v>
      </c>
      <c r="B710" s="2" t="s">
        <v>41</v>
      </c>
      <c r="C710" s="2">
        <v>16</v>
      </c>
      <c r="D710" s="2">
        <v>5.0999999999999996</v>
      </c>
      <c r="E710" s="2">
        <v>12.3</v>
      </c>
      <c r="F710" s="2">
        <f>IFERROR(VLOOKUP(B710,Tabla2[],5,FALSE),"")</f>
        <v>132</v>
      </c>
      <c r="G710" s="2">
        <f>SQRT(4*(Tabla1[[#This Row],[dD]]-'Find a similar substance'!$D$5)^2+('Find a similar substance'!$E$5-Tabla1[[#This Row],[dP]])^2+(Tabla1[[#This Row],[dH]]-'Find a similar substance'!$F$5)^2)</f>
        <v>8.2273932688306584</v>
      </c>
    </row>
    <row r="711" spans="1:7" x14ac:dyDescent="0.25">
      <c r="A711" s="2" t="s">
        <v>1490</v>
      </c>
      <c r="B711" s="2" t="s">
        <v>1489</v>
      </c>
      <c r="C711" s="2">
        <v>15.9</v>
      </c>
      <c r="D711" s="2">
        <v>7.2</v>
      </c>
      <c r="E711" s="2">
        <v>14</v>
      </c>
      <c r="F711" s="2" t="str">
        <f>IFERROR(VLOOKUP(B711,Tabla2[],5,FALSE),"")</f>
        <v/>
      </c>
      <c r="G711" s="2">
        <f>SQRT(4*(Tabla1[[#This Row],[dD]]-'Find a similar substance'!$D$5)^2+('Find a similar substance'!$E$5-Tabla1[[#This Row],[dP]])^2+(Tabla1[[#This Row],[dH]]-'Find a similar substance'!$F$5)^2)</f>
        <v>9.2309262807152788</v>
      </c>
    </row>
    <row r="712" spans="1:7" x14ac:dyDescent="0.25">
      <c r="A712" s="2" t="s">
        <v>1492</v>
      </c>
      <c r="B712" s="2" t="s">
        <v>1491</v>
      </c>
      <c r="C712" s="2">
        <v>15.9</v>
      </c>
      <c r="D712" s="2">
        <v>4.7</v>
      </c>
      <c r="E712" s="2">
        <v>10.6</v>
      </c>
      <c r="F712" s="2" t="str">
        <f>IFERROR(VLOOKUP(B712,Tabla2[],5,FALSE),"")</f>
        <v/>
      </c>
      <c r="G712" s="2">
        <f>SQRT(4*(Tabla1[[#This Row],[dD]]-'Find a similar substance'!$D$5)^2+('Find a similar substance'!$E$5-Tabla1[[#This Row],[dP]])^2+(Tabla1[[#This Row],[dH]]-'Find a similar substance'!$F$5)^2)</f>
        <v>7.0228199464317749</v>
      </c>
    </row>
    <row r="713" spans="1:7" x14ac:dyDescent="0.25">
      <c r="A713" s="2" t="s">
        <v>1494</v>
      </c>
      <c r="B713" s="2" t="s">
        <v>1493</v>
      </c>
      <c r="C713" s="2">
        <v>15.2</v>
      </c>
      <c r="D713" s="2">
        <v>4.9000000000000004</v>
      </c>
      <c r="E713" s="2">
        <v>9.6</v>
      </c>
      <c r="F713" s="2" t="str">
        <f>IFERROR(VLOOKUP(B713,Tabla2[],5,FALSE),"")</f>
        <v/>
      </c>
      <c r="G713" s="2">
        <f>SQRT(4*(Tabla1[[#This Row],[dD]]-'Find a similar substance'!$D$5)^2+('Find a similar substance'!$E$5-Tabla1[[#This Row],[dP]])^2+(Tabla1[[#This Row],[dH]]-'Find a similar substance'!$F$5)^2)</f>
        <v>6.5909028213136329</v>
      </c>
    </row>
    <row r="714" spans="1:7" x14ac:dyDescent="0.25">
      <c r="A714" s="2" t="s">
        <v>1496</v>
      </c>
      <c r="B714" s="2" t="s">
        <v>1495</v>
      </c>
      <c r="C714" s="2">
        <v>16</v>
      </c>
      <c r="D714" s="2">
        <v>8.1999999999999993</v>
      </c>
      <c r="E714" s="2">
        <v>13.1</v>
      </c>
      <c r="F714" s="2" t="str">
        <f>IFERROR(VLOOKUP(B714,Tabla2[],5,FALSE),"")</f>
        <v/>
      </c>
      <c r="G714" s="2">
        <f>SQRT(4*(Tabla1[[#This Row],[dD]]-'Find a similar substance'!$D$5)^2+('Find a similar substance'!$E$5-Tabla1[[#This Row],[dP]])^2+(Tabla1[[#This Row],[dH]]-'Find a similar substance'!$F$5)^2)</f>
        <v>8.2036577207974748</v>
      </c>
    </row>
    <row r="715" spans="1:7" x14ac:dyDescent="0.25">
      <c r="A715" s="2" t="s">
        <v>1497</v>
      </c>
      <c r="B715" s="2" t="s">
        <v>42</v>
      </c>
      <c r="C715" s="2">
        <v>16</v>
      </c>
      <c r="D715" s="2">
        <v>8.1999999999999993</v>
      </c>
      <c r="E715" s="2">
        <v>15</v>
      </c>
      <c r="F715" s="2">
        <f>IFERROR(VLOOKUP(B715,Tabla2[],5,FALSE),"")</f>
        <v>79.3</v>
      </c>
      <c r="G715" s="2">
        <f>SQRT(4*(Tabla1[[#This Row],[dD]]-'Find a similar substance'!$D$5)^2+('Find a similar substance'!$E$5-Tabla1[[#This Row],[dP]])^2+(Tabla1[[#This Row],[dH]]-'Find a similar substance'!$F$5)^2)</f>
        <v>10.084145972763386</v>
      </c>
    </row>
    <row r="716" spans="1:7" x14ac:dyDescent="0.25">
      <c r="A716" s="2" t="s">
        <v>1499</v>
      </c>
      <c r="B716" s="2" t="s">
        <v>1498</v>
      </c>
      <c r="C716" s="2">
        <v>15.9</v>
      </c>
      <c r="D716" s="2">
        <v>5.5</v>
      </c>
      <c r="E716" s="2">
        <v>11.6</v>
      </c>
      <c r="F716" s="2" t="str">
        <f>IFERROR(VLOOKUP(B716,Tabla2[],5,FALSE),"")</f>
        <v/>
      </c>
      <c r="G716" s="2">
        <f>SQRT(4*(Tabla1[[#This Row],[dD]]-'Find a similar substance'!$D$5)^2+('Find a similar substance'!$E$5-Tabla1[[#This Row],[dP]])^2+(Tabla1[[#This Row],[dH]]-'Find a similar substance'!$F$5)^2)</f>
        <v>7.4672618810377873</v>
      </c>
    </row>
    <row r="717" spans="1:7" x14ac:dyDescent="0.25">
      <c r="A717" s="2" t="s">
        <v>1501</v>
      </c>
      <c r="B717" s="2" t="s">
        <v>1500</v>
      </c>
      <c r="C717" s="2">
        <v>20</v>
      </c>
      <c r="D717" s="2">
        <v>15.9</v>
      </c>
      <c r="E717" s="2">
        <v>5.0999999999999996</v>
      </c>
      <c r="F717" s="2" t="str">
        <f>IFERROR(VLOOKUP(B717,Tabla2[],5,FALSE),"")</f>
        <v/>
      </c>
      <c r="G717" s="2">
        <f>SQRT(4*(Tabla1[[#This Row],[dD]]-'Find a similar substance'!$D$5)^2+('Find a similar substance'!$E$5-Tabla1[[#This Row],[dP]])^2+(Tabla1[[#This Row],[dH]]-'Find a similar substance'!$F$5)^2)</f>
        <v>9.9040395798886021</v>
      </c>
    </row>
    <row r="718" spans="1:7" x14ac:dyDescent="0.25">
      <c r="A718" s="2" t="s">
        <v>1503</v>
      </c>
      <c r="B718" s="2" t="s">
        <v>1502</v>
      </c>
      <c r="C718" s="2">
        <v>16.899999999999999</v>
      </c>
      <c r="D718" s="2">
        <v>9.3000000000000007</v>
      </c>
      <c r="E718" s="2">
        <v>9.6</v>
      </c>
      <c r="F718" s="2" t="str">
        <f>IFERROR(VLOOKUP(B718,Tabla2[],5,FALSE),"")</f>
        <v/>
      </c>
      <c r="G718" s="2">
        <f>SQRT(4*(Tabla1[[#This Row],[dD]]-'Find a similar substance'!$D$5)^2+('Find a similar substance'!$E$5-Tabla1[[#This Row],[dP]])^2+(Tabla1[[#This Row],[dH]]-'Find a similar substance'!$F$5)^2)</f>
        <v>4.6776062254105994</v>
      </c>
    </row>
    <row r="719" spans="1:7" x14ac:dyDescent="0.25">
      <c r="A719" s="2" t="s">
        <v>1505</v>
      </c>
      <c r="B719" s="2" t="s">
        <v>1504</v>
      </c>
      <c r="C719" s="2">
        <v>15.6</v>
      </c>
      <c r="D719" s="2">
        <v>10</v>
      </c>
      <c r="E719" s="2">
        <v>11</v>
      </c>
      <c r="F719" s="2" t="str">
        <f>IFERROR(VLOOKUP(B719,Tabla2[],5,FALSE),"")</f>
        <v/>
      </c>
      <c r="G719" s="2">
        <f>SQRT(4*(Tabla1[[#This Row],[dD]]-'Find a similar substance'!$D$5)^2+('Find a similar substance'!$E$5-Tabla1[[#This Row],[dP]])^2+(Tabla1[[#This Row],[dH]]-'Find a similar substance'!$F$5)^2)</f>
        <v>6.4567793829431732</v>
      </c>
    </row>
    <row r="720" spans="1:7" x14ac:dyDescent="0.25">
      <c r="A720" s="2" t="s">
        <v>1507</v>
      </c>
      <c r="B720" s="2" t="s">
        <v>1506</v>
      </c>
      <c r="C720" s="2">
        <v>19.3</v>
      </c>
      <c r="D720" s="2">
        <v>9</v>
      </c>
      <c r="E720" s="2">
        <v>6.5</v>
      </c>
      <c r="F720" s="2" t="str">
        <f>IFERROR(VLOOKUP(B720,Tabla2[],5,FALSE),"")</f>
        <v/>
      </c>
      <c r="G720" s="2">
        <f>SQRT(4*(Tabla1[[#This Row],[dD]]-'Find a similar substance'!$D$5)^2+('Find a similar substance'!$E$5-Tabla1[[#This Row],[dP]])^2+(Tabla1[[#This Row],[dH]]-'Find a similar substance'!$F$5)^2)</f>
        <v>5.6124860801609104</v>
      </c>
    </row>
    <row r="721" spans="1:7" x14ac:dyDescent="0.25">
      <c r="A721" s="2" t="s">
        <v>1509</v>
      </c>
      <c r="B721" s="2" t="s">
        <v>1508</v>
      </c>
      <c r="C721" s="2">
        <v>16.600000000000001</v>
      </c>
      <c r="D721" s="2">
        <v>8.8000000000000007</v>
      </c>
      <c r="E721" s="2">
        <v>17</v>
      </c>
      <c r="F721" s="2" t="str">
        <f>IFERROR(VLOOKUP(B721,Tabla2[],5,FALSE),"")</f>
        <v/>
      </c>
      <c r="G721" s="2">
        <f>SQRT(4*(Tabla1[[#This Row],[dD]]-'Find a similar substance'!$D$5)^2+('Find a similar substance'!$E$5-Tabla1[[#This Row],[dP]])^2+(Tabla1[[#This Row],[dH]]-'Find a similar substance'!$F$5)^2)</f>
        <v>12.000416659433121</v>
      </c>
    </row>
    <row r="722" spans="1:7" x14ac:dyDescent="0.25">
      <c r="A722" s="2" t="s">
        <v>1511</v>
      </c>
      <c r="B722" s="2" t="s">
        <v>1510</v>
      </c>
      <c r="C722" s="2">
        <v>17.7</v>
      </c>
      <c r="D722" s="2">
        <v>11</v>
      </c>
      <c r="E722" s="2">
        <v>9.8000000000000007</v>
      </c>
      <c r="F722" s="2" t="str">
        <f>IFERROR(VLOOKUP(B722,Tabla2[],5,FALSE),"")</f>
        <v/>
      </c>
      <c r="G722" s="2">
        <f>SQRT(4*(Tabla1[[#This Row],[dD]]-'Find a similar substance'!$D$5)^2+('Find a similar substance'!$E$5-Tabla1[[#This Row],[dP]])^2+(Tabla1[[#This Row],[dH]]-'Find a similar substance'!$F$5)^2)</f>
        <v>5.7593402399927704</v>
      </c>
    </row>
    <row r="723" spans="1:7" x14ac:dyDescent="0.25">
      <c r="A723" s="2" t="s">
        <v>1513</v>
      </c>
      <c r="B723" s="2" t="s">
        <v>1512</v>
      </c>
      <c r="C723" s="2">
        <v>16.2</v>
      </c>
      <c r="D723" s="2">
        <v>12.1</v>
      </c>
      <c r="E723" s="2">
        <v>4.5</v>
      </c>
      <c r="F723" s="2" t="str">
        <f>IFERROR(VLOOKUP(B723,Tabla2[],5,FALSE),"")</f>
        <v/>
      </c>
      <c r="G723" s="2">
        <f>SQRT(4*(Tabla1[[#This Row],[dD]]-'Find a similar substance'!$D$5)^2+('Find a similar substance'!$E$5-Tabla1[[#This Row],[dP]])^2+(Tabla1[[#This Row],[dH]]-'Find a similar substance'!$F$5)^2)</f>
        <v>3.5284557528754714</v>
      </c>
    </row>
    <row r="724" spans="1:7" x14ac:dyDescent="0.25">
      <c r="A724" s="2" t="s">
        <v>1515</v>
      </c>
      <c r="B724" s="2" t="s">
        <v>1514</v>
      </c>
      <c r="C724" s="2">
        <v>15.8</v>
      </c>
      <c r="D724" s="2">
        <v>8.1</v>
      </c>
      <c r="E724" s="2">
        <v>6.5</v>
      </c>
      <c r="F724" s="2" t="str">
        <f>IFERROR(VLOOKUP(B724,Tabla2[],5,FALSE),"")</f>
        <v/>
      </c>
      <c r="G724" s="2">
        <f>SQRT(4*(Tabla1[[#This Row],[dD]]-'Find a similar substance'!$D$5)^2+('Find a similar substance'!$E$5-Tabla1[[#This Row],[dP]])^2+(Tabla1[[#This Row],[dH]]-'Find a similar substance'!$F$5)^2)</f>
        <v>2.2737634001804152</v>
      </c>
    </row>
    <row r="725" spans="1:7" x14ac:dyDescent="0.25">
      <c r="A725" s="2" t="s">
        <v>1517</v>
      </c>
      <c r="B725" s="2" t="s">
        <v>1516</v>
      </c>
      <c r="C725" s="2">
        <v>15.4</v>
      </c>
      <c r="D725" s="2">
        <v>3.8</v>
      </c>
      <c r="E725" s="2">
        <v>5.4</v>
      </c>
      <c r="F725" s="2" t="str">
        <f>IFERROR(VLOOKUP(B725,Tabla2[],5,FALSE),"")</f>
        <v/>
      </c>
      <c r="G725" s="2">
        <f>SQRT(4*(Tabla1[[#This Row],[dD]]-'Find a similar substance'!$D$5)^2+('Find a similar substance'!$E$5-Tabla1[[#This Row],[dP]])^2+(Tabla1[[#This Row],[dH]]-'Find a similar substance'!$F$5)^2)</f>
        <v>5.4708317466359722</v>
      </c>
    </row>
    <row r="726" spans="1:7" x14ac:dyDescent="0.25">
      <c r="A726" s="2" t="s">
        <v>1519</v>
      </c>
      <c r="B726" s="2" t="s">
        <v>1518</v>
      </c>
      <c r="C726" s="2">
        <v>19</v>
      </c>
      <c r="D726" s="2">
        <v>7.5</v>
      </c>
      <c r="E726" s="2">
        <v>13</v>
      </c>
      <c r="F726" s="2" t="str">
        <f>IFERROR(VLOOKUP(B726,Tabla2[],5,FALSE),"")</f>
        <v/>
      </c>
      <c r="G726" s="2">
        <f>SQRT(4*(Tabla1[[#This Row],[dD]]-'Find a similar substance'!$D$5)^2+('Find a similar substance'!$E$5-Tabla1[[#This Row],[dP]])^2+(Tabla1[[#This Row],[dH]]-'Find a similar substance'!$F$5)^2)</f>
        <v>9.4063808130438762</v>
      </c>
    </row>
    <row r="727" spans="1:7" x14ac:dyDescent="0.25">
      <c r="A727" s="2" t="s">
        <v>1521</v>
      </c>
      <c r="B727" s="2" t="s">
        <v>1520</v>
      </c>
      <c r="C727" s="2">
        <v>16.899999999999999</v>
      </c>
      <c r="D727" s="2">
        <v>1.5</v>
      </c>
      <c r="E727" s="2">
        <v>3.1</v>
      </c>
      <c r="F727" s="2" t="str">
        <f>IFERROR(VLOOKUP(B727,Tabla2[],5,FALSE),"")</f>
        <v/>
      </c>
      <c r="G727" s="2">
        <f>SQRT(4*(Tabla1[[#This Row],[dD]]-'Find a similar substance'!$D$5)^2+('Find a similar substance'!$E$5-Tabla1[[#This Row],[dP]])^2+(Tabla1[[#This Row],[dH]]-'Find a similar substance'!$F$5)^2)</f>
        <v>7.4706090782479029</v>
      </c>
    </row>
    <row r="728" spans="1:7" x14ac:dyDescent="0.25">
      <c r="A728" s="2" t="s">
        <v>1523</v>
      </c>
      <c r="B728" s="2" t="s">
        <v>1522</v>
      </c>
      <c r="C728" s="2">
        <v>19</v>
      </c>
      <c r="D728" s="2">
        <v>6.6</v>
      </c>
      <c r="E728" s="2">
        <v>15.1</v>
      </c>
      <c r="F728" s="2" t="str">
        <f>IFERROR(VLOOKUP(B728,Tabla2[],5,FALSE),"")</f>
        <v/>
      </c>
      <c r="G728" s="2">
        <f>SQRT(4*(Tabla1[[#This Row],[dD]]-'Find a similar substance'!$D$5)^2+('Find a similar substance'!$E$5-Tabla1[[#This Row],[dP]])^2+(Tabla1[[#This Row],[dH]]-'Find a similar substance'!$F$5)^2)</f>
        <v>11.378049041905205</v>
      </c>
    </row>
    <row r="729" spans="1:7" x14ac:dyDescent="0.25">
      <c r="A729" s="2" t="s">
        <v>1525</v>
      </c>
      <c r="B729" s="2" t="s">
        <v>1524</v>
      </c>
      <c r="C729" s="2">
        <v>21.3</v>
      </c>
      <c r="D729" s="2">
        <v>1.7</v>
      </c>
      <c r="E729" s="2">
        <v>1.7</v>
      </c>
      <c r="F729" s="2" t="str">
        <f>IFERROR(VLOOKUP(B729,Tabla2[],5,FALSE),"")</f>
        <v/>
      </c>
      <c r="G729" s="2">
        <f>SQRT(4*(Tabla1[[#This Row],[dD]]-'Find a similar substance'!$D$5)^2+('Find a similar substance'!$E$5-Tabla1[[#This Row],[dP]])^2+(Tabla1[[#This Row],[dH]]-'Find a similar substance'!$F$5)^2)</f>
        <v>12.175795661885918</v>
      </c>
    </row>
    <row r="730" spans="1:7" x14ac:dyDescent="0.25">
      <c r="A730" s="2" t="s">
        <v>1527</v>
      </c>
      <c r="B730" s="2" t="s">
        <v>1526</v>
      </c>
      <c r="C730" s="2">
        <v>18.100000000000001</v>
      </c>
      <c r="D730" s="2">
        <v>6.1</v>
      </c>
      <c r="E730" s="2">
        <v>2</v>
      </c>
      <c r="F730" s="2" t="str">
        <f>IFERROR(VLOOKUP(B730,Tabla2[],5,FALSE),"")</f>
        <v/>
      </c>
      <c r="G730" s="2">
        <f>SQRT(4*(Tabla1[[#This Row],[dD]]-'Find a similar substance'!$D$5)^2+('Find a similar substance'!$E$5-Tabla1[[#This Row],[dP]])^2+(Tabla1[[#This Row],[dH]]-'Find a similar substance'!$F$5)^2)</f>
        <v>4.9759421218498909</v>
      </c>
    </row>
    <row r="731" spans="1:7" x14ac:dyDescent="0.25">
      <c r="A731" s="2" t="s">
        <v>1529</v>
      </c>
      <c r="B731" s="2" t="s">
        <v>1528</v>
      </c>
      <c r="C731" s="2">
        <v>15.2</v>
      </c>
      <c r="D731" s="2">
        <v>7</v>
      </c>
      <c r="E731" s="2">
        <v>1</v>
      </c>
      <c r="F731" s="2" t="str">
        <f>IFERROR(VLOOKUP(B731,Tabla2[],5,FALSE),"")</f>
        <v/>
      </c>
      <c r="G731" s="2">
        <f>SQRT(4*(Tabla1[[#This Row],[dD]]-'Find a similar substance'!$D$5)^2+('Find a similar substance'!$E$5-Tabla1[[#This Row],[dP]])^2+(Tabla1[[#This Row],[dH]]-'Find a similar substance'!$F$5)^2)</f>
        <v>5.1701063818842279</v>
      </c>
    </row>
    <row r="732" spans="1:7" x14ac:dyDescent="0.25">
      <c r="A732" s="2" t="s">
        <v>1531</v>
      </c>
      <c r="B732" s="2" t="s">
        <v>1530</v>
      </c>
      <c r="C732" s="2">
        <v>13.4</v>
      </c>
      <c r="D732" s="2">
        <v>10.6</v>
      </c>
      <c r="E732" s="2">
        <v>9.5</v>
      </c>
      <c r="F732" s="2" t="str">
        <f>IFERROR(VLOOKUP(B732,Tabla2[],5,FALSE),"")</f>
        <v/>
      </c>
      <c r="G732" s="2">
        <f>SQRT(4*(Tabla1[[#This Row],[dD]]-'Find a similar substance'!$D$5)^2+('Find a similar substance'!$E$5-Tabla1[[#This Row],[dP]])^2+(Tabla1[[#This Row],[dH]]-'Find a similar substance'!$F$5)^2)</f>
        <v>8.0510868831481393</v>
      </c>
    </row>
    <row r="733" spans="1:7" x14ac:dyDescent="0.25">
      <c r="A733" s="2" t="s">
        <v>1533</v>
      </c>
      <c r="B733" s="2" t="s">
        <v>1532</v>
      </c>
      <c r="C733" s="2">
        <v>14.2</v>
      </c>
      <c r="D733" s="2">
        <v>5.8</v>
      </c>
      <c r="E733" s="2">
        <v>1</v>
      </c>
      <c r="F733" s="2" t="str">
        <f>IFERROR(VLOOKUP(B733,Tabla2[],5,FALSE),"")</f>
        <v/>
      </c>
      <c r="G733" s="2">
        <f>SQRT(4*(Tabla1[[#This Row],[dD]]-'Find a similar substance'!$D$5)^2+('Find a similar substance'!$E$5-Tabla1[[#This Row],[dP]])^2+(Tabla1[[#This Row],[dH]]-'Find a similar substance'!$F$5)^2)</f>
        <v>6.8883960397178123</v>
      </c>
    </row>
    <row r="734" spans="1:7" x14ac:dyDescent="0.25">
      <c r="A734" s="2" t="s">
        <v>1535</v>
      </c>
      <c r="B734" s="2" t="s">
        <v>1534</v>
      </c>
      <c r="C734" s="2">
        <v>12.8</v>
      </c>
      <c r="D734" s="2">
        <v>14.4</v>
      </c>
      <c r="E734" s="2">
        <v>15.4</v>
      </c>
      <c r="F734" s="2" t="str">
        <f>IFERROR(VLOOKUP(B734,Tabla2[],5,FALSE),"")</f>
        <v/>
      </c>
      <c r="G734" s="2">
        <f>SQRT(4*(Tabla1[[#This Row],[dD]]-'Find a similar substance'!$D$5)^2+('Find a similar substance'!$E$5-Tabla1[[#This Row],[dP]])^2+(Tabla1[[#This Row],[dH]]-'Find a similar substance'!$F$5)^2)</f>
        <v>14.08580846100074</v>
      </c>
    </row>
    <row r="735" spans="1:7" x14ac:dyDescent="0.25">
      <c r="A735" s="2" t="s">
        <v>1537</v>
      </c>
      <c r="B735" s="2" t="s">
        <v>1536</v>
      </c>
      <c r="C735" s="2">
        <v>17.2</v>
      </c>
      <c r="D735" s="2">
        <v>26.2</v>
      </c>
      <c r="E735" s="2">
        <v>19</v>
      </c>
      <c r="F735" s="2" t="str">
        <f>IFERROR(VLOOKUP(B735,Tabla2[],5,FALSE),"")</f>
        <v/>
      </c>
      <c r="G735" s="2">
        <f>SQRT(4*(Tabla1[[#This Row],[dD]]-'Find a similar substance'!$D$5)^2+('Find a similar substance'!$E$5-Tabla1[[#This Row],[dP]])^2+(Tabla1[[#This Row],[dH]]-'Find a similar substance'!$F$5)^2)</f>
        <v>22.443039009902378</v>
      </c>
    </row>
    <row r="736" spans="1:7" x14ac:dyDescent="0.25">
      <c r="A736" s="2" t="s">
        <v>1539</v>
      </c>
      <c r="B736" s="2" t="s">
        <v>1538</v>
      </c>
      <c r="C736" s="2">
        <v>14.6</v>
      </c>
      <c r="D736" s="2">
        <v>10</v>
      </c>
      <c r="E736" s="2">
        <v>14</v>
      </c>
      <c r="F736" s="2" t="str">
        <f>IFERROR(VLOOKUP(B736,Tabla2[],5,FALSE),"")</f>
        <v/>
      </c>
      <c r="G736" s="2">
        <f>SQRT(4*(Tabla1[[#This Row],[dD]]-'Find a similar substance'!$D$5)^2+('Find a similar substance'!$E$5-Tabla1[[#This Row],[dP]])^2+(Tabla1[[#This Row],[dH]]-'Find a similar substance'!$F$5)^2)</f>
        <v>9.9342840708326854</v>
      </c>
    </row>
    <row r="737" spans="1:7" x14ac:dyDescent="0.25">
      <c r="A737" s="2" t="s">
        <v>1541</v>
      </c>
      <c r="B737" s="2" t="s">
        <v>1540</v>
      </c>
      <c r="C737" s="2">
        <v>15</v>
      </c>
      <c r="D737" s="2">
        <v>10.1</v>
      </c>
      <c r="E737" s="2">
        <v>8.6</v>
      </c>
      <c r="F737" s="2" t="str">
        <f>IFERROR(VLOOKUP(B737,Tabla2[],5,FALSE),"")</f>
        <v/>
      </c>
      <c r="G737" s="2">
        <f>SQRT(4*(Tabla1[[#This Row],[dD]]-'Find a similar substance'!$D$5)^2+('Find a similar substance'!$E$5-Tabla1[[#This Row],[dP]])^2+(Tabla1[[#This Row],[dH]]-'Find a similar substance'!$F$5)^2)</f>
        <v>5.0159744815937826</v>
      </c>
    </row>
    <row r="738" spans="1:7" x14ac:dyDescent="0.25">
      <c r="A738" s="2" t="s">
        <v>1543</v>
      </c>
      <c r="B738" s="2" t="s">
        <v>1542</v>
      </c>
      <c r="C738" s="2">
        <v>16.7</v>
      </c>
      <c r="D738" s="2">
        <v>13.6</v>
      </c>
      <c r="E738" s="2">
        <v>7.8</v>
      </c>
      <c r="F738" s="2" t="str">
        <f>IFERROR(VLOOKUP(B738,Tabla2[],5,FALSE),"")</f>
        <v/>
      </c>
      <c r="G738" s="2">
        <f>SQRT(4*(Tabla1[[#This Row],[dD]]-'Find a similar substance'!$D$5)^2+('Find a similar substance'!$E$5-Tabla1[[#This Row],[dP]])^2+(Tabla1[[#This Row],[dH]]-'Find a similar substance'!$F$5)^2)</f>
        <v>5.6471231613982003</v>
      </c>
    </row>
    <row r="739" spans="1:7" x14ac:dyDescent="0.25">
      <c r="A739" s="2" t="s">
        <v>1545</v>
      </c>
      <c r="B739" s="2" t="s">
        <v>1544</v>
      </c>
      <c r="C739" s="2">
        <v>17</v>
      </c>
      <c r="D739" s="2">
        <v>1.8</v>
      </c>
      <c r="E739" s="2">
        <v>5.3</v>
      </c>
      <c r="F739" s="2" t="str">
        <f>IFERROR(VLOOKUP(B739,Tabla2[],5,FALSE),"")</f>
        <v/>
      </c>
      <c r="G739" s="2">
        <f>SQRT(4*(Tabla1[[#This Row],[dD]]-'Find a similar substance'!$D$5)^2+('Find a similar substance'!$E$5-Tabla1[[#This Row],[dP]])^2+(Tabla1[[#This Row],[dH]]-'Find a similar substance'!$F$5)^2)</f>
        <v>6.9526973183074778</v>
      </c>
    </row>
    <row r="740" spans="1:7" x14ac:dyDescent="0.25">
      <c r="A740" s="2" t="s">
        <v>1547</v>
      </c>
      <c r="B740" s="2" t="s">
        <v>1546</v>
      </c>
      <c r="C740" s="2">
        <v>18.600000000000001</v>
      </c>
      <c r="D740" s="2">
        <v>14.9</v>
      </c>
      <c r="E740" s="2">
        <v>5.0999999999999996</v>
      </c>
      <c r="F740" s="2" t="str">
        <f>IFERROR(VLOOKUP(B740,Tabla2[],5,FALSE),"")</f>
        <v/>
      </c>
      <c r="G740" s="2">
        <f>SQRT(4*(Tabla1[[#This Row],[dD]]-'Find a similar substance'!$D$5)^2+('Find a similar substance'!$E$5-Tabla1[[#This Row],[dP]])^2+(Tabla1[[#This Row],[dH]]-'Find a similar substance'!$F$5)^2)</f>
        <v>7.3790243257493069</v>
      </c>
    </row>
    <row r="741" spans="1:7" x14ac:dyDescent="0.25">
      <c r="A741" s="2" t="s">
        <v>1549</v>
      </c>
      <c r="B741" s="2" t="s">
        <v>1548</v>
      </c>
      <c r="C741" s="2">
        <v>17.399999999999999</v>
      </c>
      <c r="D741" s="2">
        <v>7.6</v>
      </c>
      <c r="E741" s="2">
        <v>15.1</v>
      </c>
      <c r="F741" s="2" t="str">
        <f>IFERROR(VLOOKUP(B741,Tabla2[],5,FALSE),"")</f>
        <v/>
      </c>
      <c r="G741" s="2">
        <f>SQRT(4*(Tabla1[[#This Row],[dD]]-'Find a similar substance'!$D$5)^2+('Find a similar substance'!$E$5-Tabla1[[#This Row],[dP]])^2+(Tabla1[[#This Row],[dH]]-'Find a similar substance'!$F$5)^2)</f>
        <v>10.284940447080867</v>
      </c>
    </row>
    <row r="742" spans="1:7" x14ac:dyDescent="0.25">
      <c r="A742" s="2" t="s">
        <v>1551</v>
      </c>
      <c r="B742" s="2" t="s">
        <v>1550</v>
      </c>
      <c r="C742" s="2">
        <v>17.399999999999999</v>
      </c>
      <c r="D742" s="2">
        <v>11.3</v>
      </c>
      <c r="E742" s="2">
        <v>27.2</v>
      </c>
      <c r="F742" s="2" t="str">
        <f>IFERROR(VLOOKUP(B742,Tabla2[],5,FALSE),"")</f>
        <v/>
      </c>
      <c r="G742" s="2">
        <f>SQRT(4*(Tabla1[[#This Row],[dD]]-'Find a similar substance'!$D$5)^2+('Find a similar substance'!$E$5-Tabla1[[#This Row],[dP]])^2+(Tabla1[[#This Row],[dH]]-'Find a similar substance'!$F$5)^2)</f>
        <v>22.408926792686881</v>
      </c>
    </row>
    <row r="743" spans="1:7" x14ac:dyDescent="0.25">
      <c r="A743" s="2" t="s">
        <v>1552</v>
      </c>
      <c r="B743" s="2" t="s">
        <v>44</v>
      </c>
      <c r="C743" s="2">
        <v>17.899999999999999</v>
      </c>
      <c r="D743" s="2">
        <v>25.5</v>
      </c>
      <c r="E743" s="2">
        <v>17.399999999999999</v>
      </c>
      <c r="F743" s="2">
        <f>IFERROR(VLOOKUP(B743,Tabla2[],5,FALSE),"")</f>
        <v>83.2</v>
      </c>
      <c r="G743" s="2">
        <f>SQRT(4*(Tabla1[[#This Row],[dD]]-'Find a similar substance'!$D$5)^2+('Find a similar substance'!$E$5-Tabla1[[#This Row],[dP]])^2+(Tabla1[[#This Row],[dH]]-'Find a similar substance'!$F$5)^2)</f>
        <v>21.041863035387337</v>
      </c>
    </row>
    <row r="744" spans="1:7" x14ac:dyDescent="0.25">
      <c r="A744" s="2" t="s">
        <v>1554</v>
      </c>
      <c r="B744" s="2" t="s">
        <v>1553</v>
      </c>
      <c r="C744" s="2">
        <v>17.100000000000001</v>
      </c>
      <c r="D744" s="2">
        <v>14.7</v>
      </c>
      <c r="E744" s="2">
        <v>9.1999999999999993</v>
      </c>
      <c r="F744" s="2" t="str">
        <f>IFERROR(VLOOKUP(B744,Tabla2[],5,FALSE),"")</f>
        <v/>
      </c>
      <c r="G744" s="2">
        <f>SQRT(4*(Tabla1[[#This Row],[dD]]-'Find a similar substance'!$D$5)^2+('Find a similar substance'!$E$5-Tabla1[[#This Row],[dP]])^2+(Tabla1[[#This Row],[dH]]-'Find a similar substance'!$F$5)^2)</f>
        <v>7.3918874450305312</v>
      </c>
    </row>
    <row r="745" spans="1:7" x14ac:dyDescent="0.25">
      <c r="A745" s="2" t="s">
        <v>1556</v>
      </c>
      <c r="B745" s="2" t="s">
        <v>1555</v>
      </c>
      <c r="C745" s="2">
        <v>16.8</v>
      </c>
      <c r="D745" s="2">
        <v>18.5</v>
      </c>
      <c r="E745" s="2">
        <v>8.6999999999999993</v>
      </c>
      <c r="F745" s="2" t="str">
        <f>IFERROR(VLOOKUP(B745,Tabla2[],5,FALSE),"")</f>
        <v/>
      </c>
      <c r="G745" s="2">
        <f>SQRT(4*(Tabla1[[#This Row],[dD]]-'Find a similar substance'!$D$5)^2+('Find a similar substance'!$E$5-Tabla1[[#This Row],[dP]])^2+(Tabla1[[#This Row],[dH]]-'Find a similar substance'!$F$5)^2)</f>
        <v>10.482843125793689</v>
      </c>
    </row>
    <row r="746" spans="1:7" x14ac:dyDescent="0.25">
      <c r="A746" s="2" t="s">
        <v>633</v>
      </c>
      <c r="B746" s="2" t="s">
        <v>1557</v>
      </c>
      <c r="C746" s="2">
        <v>16.399999999999999</v>
      </c>
      <c r="D746" s="2">
        <v>8.9</v>
      </c>
      <c r="E746" s="2">
        <v>14.2</v>
      </c>
      <c r="F746" s="2" t="str">
        <f>IFERROR(VLOOKUP(B746,Tabla2[],5,FALSE),"")</f>
        <v/>
      </c>
      <c r="G746" s="2">
        <f>SQRT(4*(Tabla1[[#This Row],[dD]]-'Find a similar substance'!$D$5)^2+('Find a similar substance'!$E$5-Tabla1[[#This Row],[dP]])^2+(Tabla1[[#This Row],[dH]]-'Find a similar substance'!$F$5)^2)</f>
        <v>9.2108631517355626</v>
      </c>
    </row>
    <row r="747" spans="1:7" x14ac:dyDescent="0.25">
      <c r="A747" s="2" t="s">
        <v>1559</v>
      </c>
      <c r="B747" s="2" t="s">
        <v>1558</v>
      </c>
      <c r="C747" s="2">
        <v>18.399999999999999</v>
      </c>
      <c r="D747" s="2">
        <v>10.6</v>
      </c>
      <c r="E747" s="2">
        <v>16.5</v>
      </c>
      <c r="F747" s="2" t="str">
        <f>IFERROR(VLOOKUP(B747,Tabla2[],5,FALSE),"")</f>
        <v/>
      </c>
      <c r="G747" s="2">
        <f>SQRT(4*(Tabla1[[#This Row],[dD]]-'Find a similar substance'!$D$5)^2+('Find a similar substance'!$E$5-Tabla1[[#This Row],[dP]])^2+(Tabla1[[#This Row],[dH]]-'Find a similar substance'!$F$5)^2)</f>
        <v>12.199180300331657</v>
      </c>
    </row>
    <row r="748" spans="1:7" x14ac:dyDescent="0.25">
      <c r="A748" s="2" t="s">
        <v>1561</v>
      </c>
      <c r="B748" s="2" t="s">
        <v>1560</v>
      </c>
      <c r="C748" s="2">
        <v>16.5</v>
      </c>
      <c r="D748" s="2">
        <v>4.5</v>
      </c>
      <c r="E748" s="2">
        <v>9.1</v>
      </c>
      <c r="F748" s="2" t="str">
        <f>IFERROR(VLOOKUP(B748,Tabla2[],5,FALSE),"")</f>
        <v/>
      </c>
      <c r="G748" s="2">
        <f>SQRT(4*(Tabla1[[#This Row],[dD]]-'Find a similar substance'!$D$5)^2+('Find a similar substance'!$E$5-Tabla1[[#This Row],[dP]])^2+(Tabla1[[#This Row],[dH]]-'Find a similar substance'!$F$5)^2)</f>
        <v>5.8728187440104085</v>
      </c>
    </row>
    <row r="749" spans="1:7" x14ac:dyDescent="0.25">
      <c r="A749" s="2" t="s">
        <v>1563</v>
      </c>
      <c r="B749" s="2" t="s">
        <v>1562</v>
      </c>
      <c r="C749" s="2">
        <v>16.3</v>
      </c>
      <c r="D749" s="2">
        <v>2.5</v>
      </c>
      <c r="E749" s="2">
        <v>7</v>
      </c>
      <c r="F749" s="2" t="str">
        <f>IFERROR(VLOOKUP(B749,Tabla2[],5,FALSE),"")</f>
        <v/>
      </c>
      <c r="G749" s="2">
        <f>SQRT(4*(Tabla1[[#This Row],[dD]]-'Find a similar substance'!$D$5)^2+('Find a similar substance'!$E$5-Tabla1[[#This Row],[dP]])^2+(Tabla1[[#This Row],[dH]]-'Find a similar substance'!$F$5)^2)</f>
        <v>6.5421708935184499</v>
      </c>
    </row>
    <row r="750" spans="1:7" x14ac:dyDescent="0.25">
      <c r="A750" s="2" t="s">
        <v>1565</v>
      </c>
      <c r="B750" s="2" t="s">
        <v>1564</v>
      </c>
      <c r="C750" s="2">
        <v>16</v>
      </c>
      <c r="D750" s="2">
        <v>3.8</v>
      </c>
      <c r="E750" s="2">
        <v>3.2</v>
      </c>
      <c r="F750" s="2" t="str">
        <f>IFERROR(VLOOKUP(B750,Tabla2[],5,FALSE),"")</f>
        <v/>
      </c>
      <c r="G750" s="2">
        <f>SQRT(4*(Tabla1[[#This Row],[dD]]-'Find a similar substance'!$D$5)^2+('Find a similar substance'!$E$5-Tabla1[[#This Row],[dP]])^2+(Tabla1[[#This Row],[dH]]-'Find a similar substance'!$F$5)^2)</f>
        <v>5.3563046963368315</v>
      </c>
    </row>
    <row r="751" spans="1:7" x14ac:dyDescent="0.25">
      <c r="A751" s="2" t="s">
        <v>1567</v>
      </c>
      <c r="B751" s="2" t="s">
        <v>1566</v>
      </c>
      <c r="C751" s="2">
        <v>18.2</v>
      </c>
      <c r="D751" s="2">
        <v>9</v>
      </c>
      <c r="E751" s="2">
        <v>17.899999999999999</v>
      </c>
      <c r="F751" s="2" t="str">
        <f>IFERROR(VLOOKUP(B751,Tabla2[],5,FALSE),"")</f>
        <v/>
      </c>
      <c r="G751" s="2">
        <f>SQRT(4*(Tabla1[[#This Row],[dD]]-'Find a similar substance'!$D$5)^2+('Find a similar substance'!$E$5-Tabla1[[#This Row],[dP]])^2+(Tabla1[[#This Row],[dH]]-'Find a similar substance'!$F$5)^2)</f>
        <v>13.294359706281456</v>
      </c>
    </row>
    <row r="752" spans="1:7" x14ac:dyDescent="0.25">
      <c r="A752" s="2" t="s">
        <v>1569</v>
      </c>
      <c r="B752" s="2" t="s">
        <v>1568</v>
      </c>
      <c r="C752" s="2">
        <v>16.3</v>
      </c>
      <c r="D752" s="2">
        <v>8.5</v>
      </c>
      <c r="E752" s="2">
        <v>5.7</v>
      </c>
      <c r="F752" s="2" t="str">
        <f>IFERROR(VLOOKUP(B752,Tabla2[],5,FALSE),"")</f>
        <v/>
      </c>
      <c r="G752" s="2">
        <f>SQRT(4*(Tabla1[[#This Row],[dD]]-'Find a similar substance'!$D$5)^2+('Find a similar substance'!$E$5-Tabla1[[#This Row],[dP]])^2+(Tabla1[[#This Row],[dH]]-'Find a similar substance'!$F$5)^2)</f>
        <v>0.94339811320566125</v>
      </c>
    </row>
    <row r="753" spans="1:7" x14ac:dyDescent="0.25">
      <c r="A753" s="2" t="s">
        <v>1571</v>
      </c>
      <c r="B753" s="2" t="s">
        <v>1570</v>
      </c>
      <c r="C753" s="2">
        <v>15</v>
      </c>
      <c r="D753" s="2">
        <v>17</v>
      </c>
      <c r="E753" s="2">
        <v>13.3</v>
      </c>
      <c r="F753" s="2" t="str">
        <f>IFERROR(VLOOKUP(B753,Tabla2[],5,FALSE),"")</f>
        <v/>
      </c>
      <c r="G753" s="2">
        <f>SQRT(4*(Tabla1[[#This Row],[dD]]-'Find a similar substance'!$D$5)^2+('Find a similar substance'!$E$5-Tabla1[[#This Row],[dP]])^2+(Tabla1[[#This Row],[dH]]-'Find a similar substance'!$F$5)^2)</f>
        <v>12.166347027764745</v>
      </c>
    </row>
    <row r="754" spans="1:7" x14ac:dyDescent="0.25">
      <c r="A754" s="2" t="s">
        <v>1573</v>
      </c>
      <c r="B754" s="2" t="s">
        <v>1572</v>
      </c>
      <c r="C754" s="2">
        <v>16.100000000000001</v>
      </c>
      <c r="D754" s="2">
        <v>4</v>
      </c>
      <c r="E754" s="2">
        <v>0</v>
      </c>
      <c r="F754" s="2" t="str">
        <f>IFERROR(VLOOKUP(B754,Tabla2[],5,FALSE),"")</f>
        <v/>
      </c>
      <c r="G754" s="2">
        <f>SQRT(4*(Tabla1[[#This Row],[dD]]-'Find a similar substance'!$D$5)^2+('Find a similar substance'!$E$5-Tabla1[[#This Row],[dP]])^2+(Tabla1[[#This Row],[dH]]-'Find a similar substance'!$F$5)^2)</f>
        <v>6.9346953790343226</v>
      </c>
    </row>
    <row r="755" spans="1:7" x14ac:dyDescent="0.25">
      <c r="A755" s="2" t="s">
        <v>1575</v>
      </c>
      <c r="B755" s="2" t="s">
        <v>1574</v>
      </c>
      <c r="C755" s="2">
        <v>15.7</v>
      </c>
      <c r="D755" s="2">
        <v>4</v>
      </c>
      <c r="E755" s="2">
        <v>1</v>
      </c>
      <c r="F755" s="2" t="str">
        <f>IFERROR(VLOOKUP(B755,Tabla2[],5,FALSE),"")</f>
        <v/>
      </c>
      <c r="G755" s="2">
        <f>SQRT(4*(Tabla1[[#This Row],[dD]]-'Find a similar substance'!$D$5)^2+('Find a similar substance'!$E$5-Tabla1[[#This Row],[dP]])^2+(Tabla1[[#This Row],[dH]]-'Find a similar substance'!$F$5)^2)</f>
        <v>6.4288412641781729</v>
      </c>
    </row>
    <row r="756" spans="1:7" x14ac:dyDescent="0.25">
      <c r="A756" s="2" t="s">
        <v>1577</v>
      </c>
      <c r="B756" s="2" t="s">
        <v>1576</v>
      </c>
      <c r="C756" s="2">
        <v>14.9</v>
      </c>
      <c r="D756" s="2">
        <v>3.5</v>
      </c>
      <c r="E756" s="2">
        <v>1</v>
      </c>
      <c r="F756" s="2" t="str">
        <f>IFERROR(VLOOKUP(B756,Tabla2[],5,FALSE),"")</f>
        <v/>
      </c>
      <c r="G756" s="2">
        <f>SQRT(4*(Tabla1[[#This Row],[dD]]-'Find a similar substance'!$D$5)^2+('Find a similar substance'!$E$5-Tabla1[[#This Row],[dP]])^2+(Tabla1[[#This Row],[dH]]-'Find a similar substance'!$F$5)^2)</f>
        <v>7.3891812807644666</v>
      </c>
    </row>
    <row r="757" spans="1:7" x14ac:dyDescent="0.25">
      <c r="A757" s="2" t="s">
        <v>1579</v>
      </c>
      <c r="B757" s="2" t="s">
        <v>1578</v>
      </c>
      <c r="C757" s="2">
        <v>13.1</v>
      </c>
      <c r="D757" s="2">
        <v>2.9</v>
      </c>
      <c r="E757" s="2">
        <v>1</v>
      </c>
      <c r="F757" s="2" t="str">
        <f>IFERROR(VLOOKUP(B757,Tabla2[],5,FALSE),"")</f>
        <v/>
      </c>
      <c r="G757" s="2">
        <f>SQRT(4*(Tabla1[[#This Row],[dD]]-'Find a similar substance'!$D$5)^2+('Find a similar substance'!$E$5-Tabla1[[#This Row],[dP]])^2+(Tabla1[[#This Row],[dH]]-'Find a similar substance'!$F$5)^2)</f>
        <v>9.9317672143481115</v>
      </c>
    </row>
    <row r="758" spans="1:7" x14ac:dyDescent="0.25">
      <c r="A758" s="2" t="s">
        <v>1581</v>
      </c>
      <c r="B758" s="2" t="s">
        <v>1580</v>
      </c>
      <c r="C758" s="2">
        <v>14.6</v>
      </c>
      <c r="D758" s="2">
        <v>7.3</v>
      </c>
      <c r="E758" s="2">
        <v>1</v>
      </c>
      <c r="F758" s="2" t="str">
        <f>IFERROR(VLOOKUP(B758,Tabla2[],5,FALSE),"")</f>
        <v/>
      </c>
      <c r="G758" s="2">
        <f>SQRT(4*(Tabla1[[#This Row],[dD]]-'Find a similar substance'!$D$5)^2+('Find a similar substance'!$E$5-Tabla1[[#This Row],[dP]])^2+(Tabla1[[#This Row],[dH]]-'Find a similar substance'!$F$5)^2)</f>
        <v>5.8275209137333883</v>
      </c>
    </row>
    <row r="759" spans="1:7" x14ac:dyDescent="0.25">
      <c r="A759" s="2" t="s">
        <v>633</v>
      </c>
      <c r="B759" s="2" t="s">
        <v>1582</v>
      </c>
      <c r="C759" s="2">
        <v>14.1</v>
      </c>
      <c r="D759" s="2">
        <v>3.2</v>
      </c>
      <c r="E759" s="2">
        <v>1</v>
      </c>
      <c r="F759" s="2" t="str">
        <f>IFERROR(VLOOKUP(B759,Tabla2[],5,FALSE),"")</f>
        <v/>
      </c>
      <c r="G759" s="2">
        <f>SQRT(4*(Tabla1[[#This Row],[dD]]-'Find a similar substance'!$D$5)^2+('Find a similar substance'!$E$5-Tabla1[[#This Row],[dP]])^2+(Tabla1[[#This Row],[dH]]-'Find a similar substance'!$F$5)^2)</f>
        <v>8.4409715080670686</v>
      </c>
    </row>
    <row r="760" spans="1:7" x14ac:dyDescent="0.25">
      <c r="A760" s="2" t="s">
        <v>1584</v>
      </c>
      <c r="B760" s="2" t="s">
        <v>1583</v>
      </c>
      <c r="C760" s="2">
        <v>15</v>
      </c>
      <c r="D760" s="2">
        <v>5.4</v>
      </c>
      <c r="E760" s="2">
        <v>1</v>
      </c>
      <c r="F760" s="2" t="str">
        <f>IFERROR(VLOOKUP(B760,Tabla2[],5,FALSE),"")</f>
        <v/>
      </c>
      <c r="G760" s="2">
        <f>SQRT(4*(Tabla1[[#This Row],[dD]]-'Find a similar substance'!$D$5)^2+('Find a similar substance'!$E$5-Tabla1[[#This Row],[dP]])^2+(Tabla1[[#This Row],[dH]]-'Find a similar substance'!$F$5)^2)</f>
        <v>6.0934390946328501</v>
      </c>
    </row>
    <row r="761" spans="1:7" x14ac:dyDescent="0.25">
      <c r="A761" s="2" t="s">
        <v>1585</v>
      </c>
      <c r="B761" s="2" t="s">
        <v>45</v>
      </c>
      <c r="C761" s="2">
        <v>15.3</v>
      </c>
      <c r="D761" s="2">
        <v>0</v>
      </c>
      <c r="E761" s="2">
        <v>0</v>
      </c>
      <c r="F761" s="2">
        <f>IFERROR(VLOOKUP(B761,Tabla2[],5,FALSE),"")</f>
        <v>147</v>
      </c>
      <c r="G761" s="2">
        <f>SQRT(4*(Tabla1[[#This Row],[dD]]-'Find a similar substance'!$D$5)^2+('Find a similar substance'!$E$5-Tabla1[[#This Row],[dP]])^2+(Tabla1[[#This Row],[dH]]-'Find a similar substance'!$F$5)^2)</f>
        <v>10.365809182114052</v>
      </c>
    </row>
    <row r="762" spans="1:7" x14ac:dyDescent="0.25">
      <c r="A762" s="2" t="s">
        <v>1587</v>
      </c>
      <c r="B762" s="2" t="s">
        <v>1586</v>
      </c>
      <c r="C762" s="2">
        <v>18.3</v>
      </c>
      <c r="D762" s="2">
        <v>3</v>
      </c>
      <c r="E762" s="2">
        <v>3</v>
      </c>
      <c r="F762" s="2" t="str">
        <f>IFERROR(VLOOKUP(B762,Tabla2[],5,FALSE),"")</f>
        <v/>
      </c>
      <c r="G762" s="2">
        <f>SQRT(4*(Tabla1[[#This Row],[dD]]-'Find a similar substance'!$D$5)^2+('Find a similar substance'!$E$5-Tabla1[[#This Row],[dP]])^2+(Tabla1[[#This Row],[dH]]-'Find a similar substance'!$F$5)^2)</f>
        <v>6.9318107302493468</v>
      </c>
    </row>
    <row r="763" spans="1:7" x14ac:dyDescent="0.25">
      <c r="A763" s="2" t="s">
        <v>1589</v>
      </c>
      <c r="B763" s="2" t="s">
        <v>1588</v>
      </c>
      <c r="C763" s="2">
        <v>20.3</v>
      </c>
      <c r="D763" s="2">
        <v>2.1</v>
      </c>
      <c r="E763" s="2">
        <v>0</v>
      </c>
      <c r="F763" s="2" t="str">
        <f>IFERROR(VLOOKUP(B763,Tabla2[],5,FALSE),"")</f>
        <v/>
      </c>
      <c r="G763" s="2">
        <f>SQRT(4*(Tabla1[[#This Row],[dD]]-'Find a similar substance'!$D$5)^2+('Find a similar substance'!$E$5-Tabla1[[#This Row],[dP]])^2+(Tabla1[[#This Row],[dH]]-'Find a similar substance'!$F$5)^2)</f>
        <v>11.104953849521392</v>
      </c>
    </row>
    <row r="764" spans="1:7" x14ac:dyDescent="0.25">
      <c r="A764" s="2" t="s">
        <v>1591</v>
      </c>
      <c r="B764" s="2" t="s">
        <v>1590</v>
      </c>
      <c r="C764" s="2">
        <v>18.600000000000001</v>
      </c>
      <c r="D764" s="2">
        <v>2</v>
      </c>
      <c r="E764" s="2">
        <v>0</v>
      </c>
      <c r="F764" s="2" t="str">
        <f>IFERROR(VLOOKUP(B764,Tabla2[],5,FALSE),"")</f>
        <v/>
      </c>
      <c r="G764" s="2">
        <f>SQRT(4*(Tabla1[[#This Row],[dD]]-'Find a similar substance'!$D$5)^2+('Find a similar substance'!$E$5-Tabla1[[#This Row],[dP]])^2+(Tabla1[[#This Row],[dH]]-'Find a similar substance'!$F$5)^2)</f>
        <v>9.267685795278128</v>
      </c>
    </row>
    <row r="765" spans="1:7" x14ac:dyDescent="0.25">
      <c r="A765" s="2" t="s">
        <v>1593</v>
      </c>
      <c r="B765" s="2" t="s">
        <v>1592</v>
      </c>
      <c r="C765" s="2">
        <v>16.3</v>
      </c>
      <c r="D765" s="2">
        <v>0</v>
      </c>
      <c r="E765" s="2">
        <v>0</v>
      </c>
      <c r="F765" s="2" t="str">
        <f>IFERROR(VLOOKUP(B765,Tabla2[],5,FALSE),"")</f>
        <v/>
      </c>
      <c r="G765" s="2">
        <f>SQRT(4*(Tabla1[[#This Row],[dD]]-'Find a similar substance'!$D$5)^2+('Find a similar substance'!$E$5-Tabla1[[#This Row],[dP]])^2+(Tabla1[[#This Row],[dH]]-'Find a similar substance'!$F$5)^2)</f>
        <v>10.052362906302179</v>
      </c>
    </row>
    <row r="766" spans="1:7" x14ac:dyDescent="0.25">
      <c r="A766" s="2" t="s">
        <v>1595</v>
      </c>
      <c r="B766" s="2" t="s">
        <v>1594</v>
      </c>
      <c r="C766" s="2">
        <v>17.2</v>
      </c>
      <c r="D766" s="2">
        <v>4.5</v>
      </c>
      <c r="E766" s="2">
        <v>14.7</v>
      </c>
      <c r="F766" s="2" t="str">
        <f>IFERROR(VLOOKUP(B766,Tabla2[],5,FALSE),"")</f>
        <v/>
      </c>
      <c r="G766" s="2">
        <f>SQRT(4*(Tabla1[[#This Row],[dD]]-'Find a similar substance'!$D$5)^2+('Find a similar substance'!$E$5-Tabla1[[#This Row],[dP]])^2+(Tabla1[[#This Row],[dH]]-'Find a similar substance'!$F$5)^2)</f>
        <v>10.63813893498294</v>
      </c>
    </row>
    <row r="767" spans="1:7" x14ac:dyDescent="0.25">
      <c r="A767" s="2" t="s">
        <v>1597</v>
      </c>
      <c r="B767" s="2" t="s">
        <v>1596</v>
      </c>
      <c r="C767" s="2">
        <v>13.8</v>
      </c>
      <c r="D767" s="2">
        <v>0</v>
      </c>
      <c r="E767" s="2">
        <v>0</v>
      </c>
      <c r="F767" s="2" t="str">
        <f>IFERROR(VLOOKUP(B767,Tabla2[],5,FALSE),"")</f>
        <v/>
      </c>
      <c r="G767" s="2">
        <f>SQRT(4*(Tabla1[[#This Row],[dD]]-'Find a similar substance'!$D$5)^2+('Find a similar substance'!$E$5-Tabla1[[#This Row],[dP]])^2+(Tabla1[[#This Row],[dH]]-'Find a similar substance'!$F$5)^2)</f>
        <v>11.49130105775669</v>
      </c>
    </row>
    <row r="768" spans="1:7" x14ac:dyDescent="0.25">
      <c r="A768" s="2" t="s">
        <v>1599</v>
      </c>
      <c r="B768" s="2" t="s">
        <v>1598</v>
      </c>
      <c r="C768" s="2">
        <v>16</v>
      </c>
      <c r="D768" s="2">
        <v>0</v>
      </c>
      <c r="E768" s="2">
        <v>0</v>
      </c>
      <c r="F768" s="2" t="str">
        <f>IFERROR(VLOOKUP(B768,Tabla2[],5,FALSE),"")</f>
        <v/>
      </c>
      <c r="G768" s="2">
        <f>SQRT(4*(Tabla1[[#This Row],[dD]]-'Find a similar substance'!$D$5)^2+('Find a similar substance'!$E$5-Tabla1[[#This Row],[dP]])^2+(Tabla1[[#This Row],[dH]]-'Find a similar substance'!$F$5)^2)</f>
        <v>10.105938848023968</v>
      </c>
    </row>
    <row r="769" spans="1:7" x14ac:dyDescent="0.25">
      <c r="A769" s="2" t="s">
        <v>633</v>
      </c>
      <c r="B769" s="2" t="s">
        <v>1600</v>
      </c>
      <c r="C769" s="2">
        <v>15.1</v>
      </c>
      <c r="D769" s="2">
        <v>4.4000000000000004</v>
      </c>
      <c r="E769" s="2">
        <v>9.9</v>
      </c>
      <c r="F769" s="2" t="str">
        <f>IFERROR(VLOOKUP(B769,Tabla2[],5,FALSE),"")</f>
        <v/>
      </c>
      <c r="G769" s="2">
        <f>SQRT(4*(Tabla1[[#This Row],[dD]]-'Find a similar substance'!$D$5)^2+('Find a similar substance'!$E$5-Tabla1[[#This Row],[dP]])^2+(Tabla1[[#This Row],[dH]]-'Find a similar substance'!$F$5)^2)</f>
        <v>7.1763500472036625</v>
      </c>
    </row>
    <row r="770" spans="1:7" x14ac:dyDescent="0.25">
      <c r="A770" s="2" t="s">
        <v>1602</v>
      </c>
      <c r="B770" s="2" t="s">
        <v>1601</v>
      </c>
      <c r="C770" s="2">
        <v>19.2</v>
      </c>
      <c r="D770" s="2">
        <v>1.6</v>
      </c>
      <c r="E770" s="2">
        <v>0</v>
      </c>
      <c r="F770" s="2" t="str">
        <f>IFERROR(VLOOKUP(B770,Tabla2[],5,FALSE),"")</f>
        <v/>
      </c>
      <c r="G770" s="2">
        <f>SQRT(4*(Tabla1[[#This Row],[dD]]-'Find a similar substance'!$D$5)^2+('Find a similar substance'!$E$5-Tabla1[[#This Row],[dP]])^2+(Tabla1[[#This Row],[dH]]-'Find a similar substance'!$F$5)^2)</f>
        <v>10.121758740456125</v>
      </c>
    </row>
    <row r="771" spans="1:7" x14ac:dyDescent="0.25">
      <c r="A771" s="2" t="s">
        <v>1604</v>
      </c>
      <c r="B771" s="2" t="s">
        <v>1603</v>
      </c>
      <c r="C771" s="2">
        <v>19.399999999999999</v>
      </c>
      <c r="D771" s="2">
        <v>7</v>
      </c>
      <c r="E771" s="2">
        <v>16</v>
      </c>
      <c r="F771" s="2" t="str">
        <f>IFERROR(VLOOKUP(B771,Tabla2[],5,FALSE),"")</f>
        <v/>
      </c>
      <c r="G771" s="2">
        <f>SQRT(4*(Tabla1[[#This Row],[dD]]-'Find a similar substance'!$D$5)^2+('Find a similar substance'!$E$5-Tabla1[[#This Row],[dP]])^2+(Tabla1[[#This Row],[dH]]-'Find a similar substance'!$F$5)^2)</f>
        <v>12.45993579437711</v>
      </c>
    </row>
    <row r="772" spans="1:7" x14ac:dyDescent="0.25">
      <c r="A772" s="2" t="s">
        <v>1606</v>
      </c>
      <c r="B772" s="2" t="s">
        <v>1605</v>
      </c>
      <c r="C772" s="2">
        <v>18.5</v>
      </c>
      <c r="D772" s="2">
        <v>11.6</v>
      </c>
      <c r="E772" s="2">
        <v>8.6999999999999993</v>
      </c>
      <c r="F772" s="2" t="str">
        <f>IFERROR(VLOOKUP(B772,Tabla2[],5,FALSE),"")</f>
        <v/>
      </c>
      <c r="G772" s="2">
        <f>SQRT(4*(Tabla1[[#This Row],[dD]]-'Find a similar substance'!$D$5)^2+('Find a similar substance'!$E$5-Tabla1[[#This Row],[dP]])^2+(Tabla1[[#This Row],[dH]]-'Find a similar substance'!$F$5)^2)</f>
        <v>6.0448325038829633</v>
      </c>
    </row>
    <row r="773" spans="1:7" x14ac:dyDescent="0.25">
      <c r="A773" s="2" t="s">
        <v>1608</v>
      </c>
      <c r="B773" s="2" t="s">
        <v>1607</v>
      </c>
      <c r="C773" s="2">
        <v>15.8</v>
      </c>
      <c r="D773" s="2">
        <v>8.4</v>
      </c>
      <c r="E773" s="2">
        <v>5.3</v>
      </c>
      <c r="F773" s="2" t="str">
        <f>IFERROR(VLOOKUP(B773,Tabla2[],5,FALSE),"")</f>
        <v/>
      </c>
      <c r="G773" s="2">
        <f>SQRT(4*(Tabla1[[#This Row],[dD]]-'Find a similar substance'!$D$5)^2+('Find a similar substance'!$E$5-Tabla1[[#This Row],[dP]])^2+(Tabla1[[#This Row],[dH]]-'Find a similar substance'!$F$5)^2)</f>
        <v>1.655294535724686</v>
      </c>
    </row>
    <row r="774" spans="1:7" x14ac:dyDescent="0.25">
      <c r="A774" s="2" t="s">
        <v>1609</v>
      </c>
      <c r="B774" s="2" t="s">
        <v>46</v>
      </c>
      <c r="C774" s="2">
        <v>14.9</v>
      </c>
      <c r="D774" s="2">
        <v>0</v>
      </c>
      <c r="E774" s="2">
        <v>0</v>
      </c>
      <c r="F774" s="2">
        <f>IFERROR(VLOOKUP(B774,Tabla2[],5,FALSE),"")</f>
        <v>131.4</v>
      </c>
      <c r="G774" s="2">
        <f>SQRT(4*(Tabla1[[#This Row],[dD]]-'Find a similar substance'!$D$5)^2+('Find a similar substance'!$E$5-Tabla1[[#This Row],[dP]])^2+(Tabla1[[#This Row],[dH]]-'Find a similar substance'!$F$5)^2)</f>
        <v>10.594810050208546</v>
      </c>
    </row>
    <row r="775" spans="1:7" x14ac:dyDescent="0.25">
      <c r="A775" s="2" t="s">
        <v>1611</v>
      </c>
      <c r="B775" s="2" t="s">
        <v>1610</v>
      </c>
      <c r="C775" s="2">
        <v>15.7</v>
      </c>
      <c r="D775" s="2">
        <v>8.4</v>
      </c>
      <c r="E775" s="2">
        <v>17.8</v>
      </c>
      <c r="F775" s="2" t="str">
        <f>IFERROR(VLOOKUP(B775,Tabla2[],5,FALSE),"")</f>
        <v/>
      </c>
      <c r="G775" s="2">
        <f>SQRT(4*(Tabla1[[#This Row],[dD]]-'Find a similar substance'!$D$5)^2+('Find a similar substance'!$E$5-Tabla1[[#This Row],[dP]])^2+(Tabla1[[#This Row],[dH]]-'Find a similar substance'!$F$5)^2)</f>
        <v>12.92942380773405</v>
      </c>
    </row>
    <row r="776" spans="1:7" x14ac:dyDescent="0.25">
      <c r="A776" s="2" t="s">
        <v>1613</v>
      </c>
      <c r="B776" s="2" t="s">
        <v>1612</v>
      </c>
      <c r="C776" s="2">
        <v>16.3</v>
      </c>
      <c r="D776" s="2">
        <v>4.2</v>
      </c>
      <c r="E776" s="2">
        <v>11.5</v>
      </c>
      <c r="F776" s="2" t="str">
        <f>IFERROR(VLOOKUP(B776,Tabla2[],5,FALSE),"")</f>
        <v/>
      </c>
      <c r="G776" s="2">
        <f>SQRT(4*(Tabla1[[#This Row],[dD]]-'Find a similar substance'!$D$5)^2+('Find a similar substance'!$E$5-Tabla1[[#This Row],[dP]])^2+(Tabla1[[#This Row],[dH]]-'Find a similar substance'!$F$5)^2)</f>
        <v>7.9284298571659191</v>
      </c>
    </row>
    <row r="777" spans="1:7" x14ac:dyDescent="0.25">
      <c r="A777" s="2" t="s">
        <v>1615</v>
      </c>
      <c r="B777" s="2" t="s">
        <v>1614</v>
      </c>
      <c r="C777" s="2">
        <v>15.8</v>
      </c>
      <c r="D777" s="2">
        <v>2.9</v>
      </c>
      <c r="E777" s="2">
        <v>5.9</v>
      </c>
      <c r="F777" s="2" t="str">
        <f>IFERROR(VLOOKUP(B777,Tabla2[],5,FALSE),"")</f>
        <v/>
      </c>
      <c r="G777" s="2">
        <f>SQRT(4*(Tabla1[[#This Row],[dD]]-'Find a similar substance'!$D$5)^2+('Find a similar substance'!$E$5-Tabla1[[#This Row],[dP]])^2+(Tabla1[[#This Row],[dH]]-'Find a similar substance'!$F$5)^2)</f>
        <v>6.0835844697020516</v>
      </c>
    </row>
    <row r="778" spans="1:7" x14ac:dyDescent="0.25">
      <c r="A778" s="2" t="s">
        <v>1617</v>
      </c>
      <c r="B778" s="2" t="s">
        <v>1616</v>
      </c>
      <c r="C778" s="2">
        <v>15.3</v>
      </c>
      <c r="D778" s="2">
        <v>4.5</v>
      </c>
      <c r="E778" s="2">
        <v>7.2</v>
      </c>
      <c r="F778" s="2" t="str">
        <f>IFERROR(VLOOKUP(B778,Tabla2[],5,FALSE),"")</f>
        <v/>
      </c>
      <c r="G778" s="2">
        <f>SQRT(4*(Tabla1[[#This Row],[dD]]-'Find a similar substance'!$D$5)^2+('Find a similar substance'!$E$5-Tabla1[[#This Row],[dP]])^2+(Tabla1[[#This Row],[dH]]-'Find a similar substance'!$F$5)^2)</f>
        <v>5.4074023338383101</v>
      </c>
    </row>
    <row r="779" spans="1:7" x14ac:dyDescent="0.25">
      <c r="A779" s="2" t="s">
        <v>1619</v>
      </c>
      <c r="B779" s="2" t="s">
        <v>1618</v>
      </c>
      <c r="C779" s="2">
        <v>15.4</v>
      </c>
      <c r="D779" s="2">
        <v>3</v>
      </c>
      <c r="E779" s="2">
        <v>0</v>
      </c>
      <c r="F779" s="2" t="str">
        <f>IFERROR(VLOOKUP(B779,Tabla2[],5,FALSE),"")</f>
        <v/>
      </c>
      <c r="G779" s="2">
        <f>SQRT(4*(Tabla1[[#This Row],[dD]]-'Find a similar substance'!$D$5)^2+('Find a similar substance'!$E$5-Tabla1[[#This Row],[dP]])^2+(Tabla1[[#This Row],[dH]]-'Find a similar substance'!$F$5)^2)</f>
        <v>7.9529868602934339</v>
      </c>
    </row>
    <row r="780" spans="1:7" x14ac:dyDescent="0.25">
      <c r="A780" s="2" t="s">
        <v>1621</v>
      </c>
      <c r="B780" s="2" t="s">
        <v>1620</v>
      </c>
      <c r="C780" s="2">
        <v>13.7</v>
      </c>
      <c r="D780" s="2">
        <v>0</v>
      </c>
      <c r="E780" s="2">
        <v>0</v>
      </c>
      <c r="F780" s="2" t="str">
        <f>IFERROR(VLOOKUP(B780,Tabla2[],5,FALSE),"")</f>
        <v/>
      </c>
      <c r="G780" s="2">
        <f>SQRT(4*(Tabla1[[#This Row],[dD]]-'Find a similar substance'!$D$5)^2+('Find a similar substance'!$E$5-Tabla1[[#This Row],[dP]])^2+(Tabla1[[#This Row],[dH]]-'Find a similar substance'!$F$5)^2)</f>
        <v>11.590081966923274</v>
      </c>
    </row>
    <row r="781" spans="1:7" x14ac:dyDescent="0.25">
      <c r="A781" s="2" t="s">
        <v>1623</v>
      </c>
      <c r="B781" s="2" t="s">
        <v>1622</v>
      </c>
      <c r="C781" s="2">
        <v>16.399999999999999</v>
      </c>
      <c r="D781" s="2">
        <v>0</v>
      </c>
      <c r="E781" s="2">
        <v>0</v>
      </c>
      <c r="F781" s="2" t="str">
        <f>IFERROR(VLOOKUP(B781,Tabla2[],5,FALSE),"")</f>
        <v/>
      </c>
      <c r="G781" s="2">
        <f>SQRT(4*(Tabla1[[#This Row],[dD]]-'Find a similar substance'!$D$5)^2+('Find a similar substance'!$E$5-Tabla1[[#This Row],[dP]])^2+(Tabla1[[#This Row],[dH]]-'Find a similar substance'!$F$5)^2)</f>
        <v>10.042410069301093</v>
      </c>
    </row>
    <row r="782" spans="1:7" x14ac:dyDescent="0.25">
      <c r="A782" s="2" t="s">
        <v>1625</v>
      </c>
      <c r="B782" s="2" t="s">
        <v>1624</v>
      </c>
      <c r="C782" s="2">
        <v>11.6</v>
      </c>
      <c r="D782" s="2">
        <v>0</v>
      </c>
      <c r="E782" s="2">
        <v>0</v>
      </c>
      <c r="F782" s="2" t="str">
        <f>IFERROR(VLOOKUP(B782,Tabla2[],5,FALSE),"")</f>
        <v/>
      </c>
      <c r="G782" s="2">
        <f>SQRT(4*(Tabla1[[#This Row],[dD]]-'Find a similar substance'!$D$5)^2+('Find a similar substance'!$E$5-Tabla1[[#This Row],[dP]])^2+(Tabla1[[#This Row],[dH]]-'Find a similar substance'!$F$5)^2)</f>
        <v>14.166509803053117</v>
      </c>
    </row>
    <row r="783" spans="1:7" x14ac:dyDescent="0.25">
      <c r="A783" s="2" t="s">
        <v>1627</v>
      </c>
      <c r="B783" s="2" t="s">
        <v>1626</v>
      </c>
      <c r="C783" s="2">
        <v>13</v>
      </c>
      <c r="D783" s="2">
        <v>4.2</v>
      </c>
      <c r="E783" s="2">
        <v>1</v>
      </c>
      <c r="F783" s="2" t="str">
        <f>IFERROR(VLOOKUP(B783,Tabla2[],5,FALSE),"")</f>
        <v/>
      </c>
      <c r="G783" s="2">
        <f>SQRT(4*(Tabla1[[#This Row],[dD]]-'Find a similar substance'!$D$5)^2+('Find a similar substance'!$E$5-Tabla1[[#This Row],[dP]])^2+(Tabla1[[#This Row],[dH]]-'Find a similar substance'!$F$5)^2)</f>
        <v>9.3856273098818512</v>
      </c>
    </row>
    <row r="784" spans="1:7" x14ac:dyDescent="0.25">
      <c r="A784" s="2" t="s">
        <v>1629</v>
      </c>
      <c r="B784" s="2" t="s">
        <v>1628</v>
      </c>
      <c r="C784" s="2">
        <v>13.7</v>
      </c>
      <c r="D784" s="2">
        <v>2.2000000000000002</v>
      </c>
      <c r="E784" s="2">
        <v>1</v>
      </c>
      <c r="F784" s="2" t="str">
        <f>IFERROR(VLOOKUP(B784,Tabla2[],5,FALSE),"")</f>
        <v/>
      </c>
      <c r="G784" s="2">
        <f>SQRT(4*(Tabla1[[#This Row],[dD]]-'Find a similar substance'!$D$5)^2+('Find a similar substance'!$E$5-Tabla1[[#This Row],[dP]])^2+(Tabla1[[#This Row],[dH]]-'Find a similar substance'!$F$5)^2)</f>
        <v>9.5859271852022765</v>
      </c>
    </row>
    <row r="785" spans="1:7" x14ac:dyDescent="0.25">
      <c r="A785" s="2" t="s">
        <v>1631</v>
      </c>
      <c r="B785" s="2" t="s">
        <v>1630</v>
      </c>
      <c r="C785" s="2">
        <v>13.3</v>
      </c>
      <c r="D785" s="2">
        <v>2</v>
      </c>
      <c r="E785" s="2">
        <v>1</v>
      </c>
      <c r="F785" s="2" t="str">
        <f>IFERROR(VLOOKUP(B785,Tabla2[],5,FALSE),"")</f>
        <v/>
      </c>
      <c r="G785" s="2">
        <f>SQRT(4*(Tabla1[[#This Row],[dD]]-'Find a similar substance'!$D$5)^2+('Find a similar substance'!$E$5-Tabla1[[#This Row],[dP]])^2+(Tabla1[[#This Row],[dH]]-'Find a similar substance'!$F$5)^2)</f>
        <v>10.220078277586724</v>
      </c>
    </row>
    <row r="786" spans="1:7" x14ac:dyDescent="0.25">
      <c r="A786" s="2" t="s">
        <v>633</v>
      </c>
      <c r="B786" s="2" t="s">
        <v>1632</v>
      </c>
      <c r="C786" s="2">
        <v>13</v>
      </c>
      <c r="D786" s="2">
        <v>4</v>
      </c>
      <c r="E786" s="2">
        <v>1</v>
      </c>
      <c r="F786" s="2" t="str">
        <f>IFERROR(VLOOKUP(B786,Tabla2[],5,FALSE),"")</f>
        <v/>
      </c>
      <c r="G786" s="2">
        <f>SQRT(4*(Tabla1[[#This Row],[dD]]-'Find a similar substance'!$D$5)^2+('Find a similar substance'!$E$5-Tabla1[[#This Row],[dP]])^2+(Tabla1[[#This Row],[dH]]-'Find a similar substance'!$F$5)^2)</f>
        <v>9.4831429389206203</v>
      </c>
    </row>
    <row r="787" spans="1:7" x14ac:dyDescent="0.25">
      <c r="A787" s="2" t="s">
        <v>1634</v>
      </c>
      <c r="B787" s="2" t="s">
        <v>1633</v>
      </c>
      <c r="C787" s="2">
        <v>14.2</v>
      </c>
      <c r="D787" s="2">
        <v>8.3000000000000007</v>
      </c>
      <c r="E787" s="2">
        <v>8.9</v>
      </c>
      <c r="F787" s="2" t="str">
        <f>IFERROR(VLOOKUP(B787,Tabla2[],5,FALSE),"")</f>
        <v/>
      </c>
      <c r="G787" s="2">
        <f>SQRT(4*(Tabla1[[#This Row],[dD]]-'Find a similar substance'!$D$5)^2+('Find a similar substance'!$E$5-Tabla1[[#This Row],[dP]])^2+(Tabla1[[#This Row],[dH]]-'Find a similar substance'!$F$5)^2)</f>
        <v>6.197580172938471</v>
      </c>
    </row>
    <row r="788" spans="1:7" x14ac:dyDescent="0.25">
      <c r="A788" s="2" t="s">
        <v>1636</v>
      </c>
      <c r="B788" s="2" t="s">
        <v>1635</v>
      </c>
      <c r="C788" s="2">
        <v>12.3</v>
      </c>
      <c r="D788" s="2">
        <v>17.600000000000001</v>
      </c>
      <c r="E788" s="2">
        <v>9</v>
      </c>
      <c r="F788" s="2" t="str">
        <f>IFERROR(VLOOKUP(B788,Tabla2[],5,FALSE),"")</f>
        <v/>
      </c>
      <c r="G788" s="2">
        <f>SQRT(4*(Tabla1[[#This Row],[dD]]-'Find a similar substance'!$D$5)^2+('Find a similar substance'!$E$5-Tabla1[[#This Row],[dP]])^2+(Tabla1[[#This Row],[dH]]-'Find a similar substance'!$F$5)^2)</f>
        <v>13.006536818077288</v>
      </c>
    </row>
    <row r="789" spans="1:7" x14ac:dyDescent="0.25">
      <c r="A789" s="2" t="s">
        <v>1638</v>
      </c>
      <c r="B789" s="2" t="s">
        <v>1637</v>
      </c>
      <c r="C789" s="2">
        <v>15.5</v>
      </c>
      <c r="D789" s="2">
        <v>12.2</v>
      </c>
      <c r="E789" s="2">
        <v>42.7</v>
      </c>
      <c r="F789" s="2" t="str">
        <f>IFERROR(VLOOKUP(B789,Tabla2[],5,FALSE),"")</f>
        <v/>
      </c>
      <c r="G789" s="2">
        <f>SQRT(4*(Tabla1[[#This Row],[dD]]-'Find a similar substance'!$D$5)^2+('Find a similar substance'!$E$5-Tabla1[[#This Row],[dP]])^2+(Tabla1[[#This Row],[dH]]-'Find a similar substance'!$F$5)^2)</f>
        <v>37.925980541048638</v>
      </c>
    </row>
    <row r="790" spans="1:7" x14ac:dyDescent="0.25">
      <c r="A790" s="2">
        <v>2148878</v>
      </c>
      <c r="B790" s="2" t="s">
        <v>1639</v>
      </c>
      <c r="C790" s="2">
        <v>17.899999999999999</v>
      </c>
      <c r="D790" s="2">
        <v>6</v>
      </c>
      <c r="E790" s="2">
        <v>10.199999999999999</v>
      </c>
      <c r="F790" s="2" t="str">
        <f>IFERROR(VLOOKUP(B790,Tabla2[],5,FALSE),"")</f>
        <v/>
      </c>
      <c r="G790" s="2">
        <f>SQRT(4*(Tabla1[[#This Row],[dD]]-'Find a similar substance'!$D$5)^2+('Find a similar substance'!$E$5-Tabla1[[#This Row],[dP]])^2+(Tabla1[[#This Row],[dH]]-'Find a similar substance'!$F$5)^2)</f>
        <v>6.4101482042149351</v>
      </c>
    </row>
    <row r="791" spans="1:7" x14ac:dyDescent="0.25">
      <c r="A791" s="2" t="s">
        <v>1641</v>
      </c>
      <c r="B791" s="2" t="s">
        <v>1640</v>
      </c>
      <c r="C791" s="2">
        <v>16</v>
      </c>
      <c r="D791" s="2">
        <v>13.2</v>
      </c>
      <c r="E791" s="2">
        <v>13.4</v>
      </c>
      <c r="F791" s="2" t="str">
        <f>IFERROR(VLOOKUP(B791,Tabla2[],5,FALSE),"")</f>
        <v/>
      </c>
      <c r="G791" s="2">
        <f>SQRT(4*(Tabla1[[#This Row],[dD]]-'Find a similar substance'!$D$5)^2+('Find a similar substance'!$E$5-Tabla1[[#This Row],[dP]])^2+(Tabla1[[#This Row],[dH]]-'Find a similar substance'!$F$5)^2)</f>
        <v>9.6046863561492746</v>
      </c>
    </row>
    <row r="792" spans="1:7" x14ac:dyDescent="0.25">
      <c r="A792" s="2" t="s">
        <v>1643</v>
      </c>
      <c r="B792" s="2" t="s">
        <v>1642</v>
      </c>
      <c r="C792" s="2">
        <v>18.7</v>
      </c>
      <c r="D792" s="2">
        <v>2.6</v>
      </c>
      <c r="E792" s="2">
        <v>9</v>
      </c>
      <c r="F792" s="2" t="str">
        <f>IFERROR(VLOOKUP(B792,Tabla2[],5,FALSE),"")</f>
        <v/>
      </c>
      <c r="G792" s="2">
        <f>SQRT(4*(Tabla1[[#This Row],[dD]]-'Find a similar substance'!$D$5)^2+('Find a similar substance'!$E$5-Tabla1[[#This Row],[dP]])^2+(Tabla1[[#This Row],[dH]]-'Find a similar substance'!$F$5)^2)</f>
        <v>8.4172442046075844</v>
      </c>
    </row>
    <row r="793" spans="1:7" x14ac:dyDescent="0.25">
      <c r="A793" s="2" t="s">
        <v>1645</v>
      </c>
      <c r="B793" s="2" t="s">
        <v>1644</v>
      </c>
      <c r="C793" s="2">
        <v>20.5</v>
      </c>
      <c r="D793" s="2">
        <v>7.5</v>
      </c>
      <c r="E793" s="2">
        <v>6.5</v>
      </c>
      <c r="F793" s="2" t="str">
        <f>IFERROR(VLOOKUP(B793,Tabla2[],5,FALSE),"")</f>
        <v/>
      </c>
      <c r="G793" s="2">
        <f>SQRT(4*(Tabla1[[#This Row],[dD]]-'Find a similar substance'!$D$5)^2+('Find a similar substance'!$E$5-Tabla1[[#This Row],[dP]])^2+(Tabla1[[#This Row],[dH]]-'Find a similar substance'!$F$5)^2)</f>
        <v>8.0330567033975271</v>
      </c>
    </row>
    <row r="794" spans="1:7" x14ac:dyDescent="0.25">
      <c r="A794" s="2" t="s">
        <v>1647</v>
      </c>
      <c r="B794" s="2" t="s">
        <v>1646</v>
      </c>
      <c r="C794" s="2">
        <v>19.899999999999999</v>
      </c>
      <c r="D794" s="2">
        <v>5.6</v>
      </c>
      <c r="E794" s="2">
        <v>6.1</v>
      </c>
      <c r="F794" s="2" t="str">
        <f>IFERROR(VLOOKUP(B794,Tabla2[],5,FALSE),"")</f>
        <v/>
      </c>
      <c r="G794" s="2">
        <f>SQRT(4*(Tabla1[[#This Row],[dD]]-'Find a similar substance'!$D$5)^2+('Find a similar substance'!$E$5-Tabla1[[#This Row],[dP]])^2+(Tabla1[[#This Row],[dH]]-'Find a similar substance'!$F$5)^2)</f>
        <v>7.3742796258346432</v>
      </c>
    </row>
    <row r="795" spans="1:7" x14ac:dyDescent="0.25">
      <c r="A795" s="2" t="s">
        <v>1649</v>
      </c>
      <c r="B795" s="2" t="s">
        <v>1648</v>
      </c>
      <c r="C795" s="2">
        <v>20.2</v>
      </c>
      <c r="D795" s="2">
        <v>3.6</v>
      </c>
      <c r="E795" s="2">
        <v>10.6</v>
      </c>
      <c r="F795" s="2" t="str">
        <f>IFERROR(VLOOKUP(B795,Tabla2[],5,FALSE),"")</f>
        <v/>
      </c>
      <c r="G795" s="2">
        <f>SQRT(4*(Tabla1[[#This Row],[dD]]-'Find a similar substance'!$D$5)^2+('Find a similar substance'!$E$5-Tabla1[[#This Row],[dP]])^2+(Tabla1[[#This Row],[dH]]-'Find a similar substance'!$F$5)^2)</f>
        <v>10.450358845513389</v>
      </c>
    </row>
    <row r="796" spans="1:7" x14ac:dyDescent="0.25">
      <c r="A796" s="2" t="s">
        <v>1651</v>
      </c>
      <c r="B796" s="2" t="s">
        <v>1650</v>
      </c>
      <c r="C796" s="2">
        <v>17.2</v>
      </c>
      <c r="D796" s="2">
        <v>2.5</v>
      </c>
      <c r="E796" s="2">
        <v>6.2</v>
      </c>
      <c r="F796" s="2" t="str">
        <f>IFERROR(VLOOKUP(B796,Tabla2[],5,FALSE),"")</f>
        <v/>
      </c>
      <c r="G796" s="2">
        <f>SQRT(4*(Tabla1[[#This Row],[dD]]-'Find a similar substance'!$D$5)^2+('Find a similar substance'!$E$5-Tabla1[[#This Row],[dP]])^2+(Tabla1[[#This Row],[dH]]-'Find a similar substance'!$F$5)^2)</f>
        <v>6.4280634719952774</v>
      </c>
    </row>
    <row r="797" spans="1:7" x14ac:dyDescent="0.25">
      <c r="A797" s="2" t="s">
        <v>1653</v>
      </c>
      <c r="B797" s="2" t="s">
        <v>1652</v>
      </c>
      <c r="C797" s="2">
        <v>15.3</v>
      </c>
      <c r="D797" s="2">
        <v>3.1</v>
      </c>
      <c r="E797" s="2">
        <v>7</v>
      </c>
      <c r="F797" s="2" t="str">
        <f>IFERROR(VLOOKUP(B797,Tabla2[],5,FALSE),"")</f>
        <v/>
      </c>
      <c r="G797" s="2">
        <f>SQRT(4*(Tabla1[[#This Row],[dD]]-'Find a similar substance'!$D$5)^2+('Find a similar substance'!$E$5-Tabla1[[#This Row],[dP]])^2+(Tabla1[[#This Row],[dH]]-'Find a similar substance'!$F$5)^2)</f>
        <v>6.4899922958351812</v>
      </c>
    </row>
    <row r="798" spans="1:7" x14ac:dyDescent="0.25">
      <c r="A798" s="2" t="s">
        <v>1655</v>
      </c>
      <c r="B798" s="2" t="s">
        <v>1654</v>
      </c>
      <c r="C798" s="2">
        <v>15.8</v>
      </c>
      <c r="D798" s="2">
        <v>5.2</v>
      </c>
      <c r="E798" s="2">
        <v>13.3</v>
      </c>
      <c r="F798" s="2" t="str">
        <f>IFERROR(VLOOKUP(B798,Tabla2[],5,FALSE),"")</f>
        <v/>
      </c>
      <c r="G798" s="2">
        <f>SQRT(4*(Tabla1[[#This Row],[dD]]-'Find a similar substance'!$D$5)^2+('Find a similar substance'!$E$5-Tabla1[[#This Row],[dP]])^2+(Tabla1[[#This Row],[dH]]-'Find a similar substance'!$F$5)^2)</f>
        <v>9.1487704091861453</v>
      </c>
    </row>
    <row r="799" spans="1:7" x14ac:dyDescent="0.25">
      <c r="A799" s="2" t="s">
        <v>1657</v>
      </c>
      <c r="B799" s="2" t="s">
        <v>1656</v>
      </c>
      <c r="C799" s="2">
        <v>15.7</v>
      </c>
      <c r="D799" s="2">
        <v>5.2</v>
      </c>
      <c r="E799" s="2">
        <v>5.6</v>
      </c>
      <c r="F799" s="2" t="str">
        <f>IFERROR(VLOOKUP(B799,Tabla2[],5,FALSE),"")</f>
        <v/>
      </c>
      <c r="G799" s="2">
        <f>SQRT(4*(Tabla1[[#This Row],[dD]]-'Find a similar substance'!$D$5)^2+('Find a similar substance'!$E$5-Tabla1[[#This Row],[dP]])^2+(Tabla1[[#This Row],[dH]]-'Find a similar substance'!$F$5)^2)</f>
        <v>3.9812058474788778</v>
      </c>
    </row>
    <row r="800" spans="1:7" x14ac:dyDescent="0.25">
      <c r="A800" s="2" t="s">
        <v>1659</v>
      </c>
      <c r="B800" s="2" t="s">
        <v>1658</v>
      </c>
      <c r="C800" s="2">
        <v>15.1</v>
      </c>
      <c r="D800" s="2">
        <v>3.7</v>
      </c>
      <c r="E800" s="2">
        <v>6.3</v>
      </c>
      <c r="F800" s="2" t="str">
        <f>IFERROR(VLOOKUP(B800,Tabla2[],5,FALSE),"")</f>
        <v/>
      </c>
      <c r="G800" s="2">
        <f>SQRT(4*(Tabla1[[#This Row],[dD]]-'Find a similar substance'!$D$5)^2+('Find a similar substance'!$E$5-Tabla1[[#This Row],[dP]])^2+(Tabla1[[#This Row],[dH]]-'Find a similar substance'!$F$5)^2)</f>
        <v>5.9741108124975399</v>
      </c>
    </row>
    <row r="801" spans="1:7" x14ac:dyDescent="0.25">
      <c r="A801" s="2" t="s">
        <v>1661</v>
      </c>
      <c r="B801" s="2" t="s">
        <v>1660</v>
      </c>
      <c r="C801" s="2">
        <v>15.5</v>
      </c>
      <c r="D801" s="2">
        <v>6.2</v>
      </c>
      <c r="E801" s="2">
        <v>5</v>
      </c>
      <c r="F801" s="2" t="str">
        <f>IFERROR(VLOOKUP(B801,Tabla2[],5,FALSE),"")</f>
        <v/>
      </c>
      <c r="G801" s="2">
        <f>SQRT(4*(Tabla1[[#This Row],[dD]]-'Find a similar substance'!$D$5)^2+('Find a similar substance'!$E$5-Tabla1[[#This Row],[dP]])^2+(Tabla1[[#This Row],[dH]]-'Find a similar substance'!$F$5)^2)</f>
        <v>3.3301651610693437</v>
      </c>
    </row>
    <row r="802" spans="1:7" x14ac:dyDescent="0.25">
      <c r="A802" s="2" t="s">
        <v>1663</v>
      </c>
      <c r="B802" s="2" t="s">
        <v>1662</v>
      </c>
      <c r="C802" s="2">
        <v>15.1</v>
      </c>
      <c r="D802" s="2">
        <v>5.7</v>
      </c>
      <c r="E802" s="2">
        <v>15.9</v>
      </c>
      <c r="F802" s="2" t="str">
        <f>IFERROR(VLOOKUP(B802,Tabla2[],5,FALSE),"")</f>
        <v/>
      </c>
      <c r="G802" s="2">
        <f>SQRT(4*(Tabla1[[#This Row],[dD]]-'Find a similar substance'!$D$5)^2+('Find a similar substance'!$E$5-Tabla1[[#This Row],[dP]])^2+(Tabla1[[#This Row],[dH]]-'Find a similar substance'!$F$5)^2)</f>
        <v>11.696580696938742</v>
      </c>
    </row>
    <row r="803" spans="1:7" x14ac:dyDescent="0.25">
      <c r="A803" s="2" t="s">
        <v>1665</v>
      </c>
      <c r="B803" s="2" t="s">
        <v>1664</v>
      </c>
      <c r="C803" s="2">
        <v>15.5</v>
      </c>
      <c r="D803" s="2">
        <v>6.5</v>
      </c>
      <c r="E803" s="2">
        <v>6.7</v>
      </c>
      <c r="F803" s="2" t="str">
        <f>IFERROR(VLOOKUP(B803,Tabla2[],5,FALSE),"")</f>
        <v/>
      </c>
      <c r="G803" s="2">
        <f>SQRT(4*(Tabla1[[#This Row],[dD]]-'Find a similar substance'!$D$5)^2+('Find a similar substance'!$E$5-Tabla1[[#This Row],[dP]])^2+(Tabla1[[#This Row],[dH]]-'Find a similar substance'!$F$5)^2)</f>
        <v>3.5454195802471689</v>
      </c>
    </row>
    <row r="804" spans="1:7" x14ac:dyDescent="0.25">
      <c r="A804" s="2" t="s">
        <v>1667</v>
      </c>
      <c r="B804" s="2" t="s">
        <v>1666</v>
      </c>
      <c r="C804" s="2">
        <v>15.1</v>
      </c>
      <c r="D804" s="2">
        <v>2.8</v>
      </c>
      <c r="E804" s="2">
        <v>5.8</v>
      </c>
      <c r="F804" s="2" t="str">
        <f>IFERROR(VLOOKUP(B804,Tabla2[],5,FALSE),"")</f>
        <v/>
      </c>
      <c r="G804" s="2">
        <f>SQRT(4*(Tabla1[[#This Row],[dD]]-'Find a similar substance'!$D$5)^2+('Find a similar substance'!$E$5-Tabla1[[#This Row],[dP]])^2+(Tabla1[[#This Row],[dH]]-'Find a similar substance'!$F$5)^2)</f>
        <v>6.6670833203133153</v>
      </c>
    </row>
    <row r="805" spans="1:7" x14ac:dyDescent="0.25">
      <c r="A805" s="2" t="s">
        <v>1143</v>
      </c>
      <c r="B805" s="2" t="s">
        <v>1668</v>
      </c>
      <c r="C805" s="2">
        <v>16.3</v>
      </c>
      <c r="D805" s="2">
        <v>10.5</v>
      </c>
      <c r="E805" s="2">
        <v>6.1</v>
      </c>
      <c r="F805" s="2" t="str">
        <f>IFERROR(VLOOKUP(B805,Tabla2[],5,FALSE),"")</f>
        <v/>
      </c>
      <c r="G805" s="2">
        <f>SQRT(4*(Tabla1[[#This Row],[dD]]-'Find a similar substance'!$D$5)^2+('Find a similar substance'!$E$5-Tabla1[[#This Row],[dP]])^2+(Tabla1[[#This Row],[dH]]-'Find a similar substance'!$F$5)^2)</f>
        <v>2.1931712199461315</v>
      </c>
    </row>
    <row r="806" spans="1:7" x14ac:dyDescent="0.25">
      <c r="A806" s="2" t="s">
        <v>1670</v>
      </c>
      <c r="B806" s="2" t="s">
        <v>1669</v>
      </c>
      <c r="C806" s="2">
        <v>14.5</v>
      </c>
      <c r="D806" s="2">
        <v>2</v>
      </c>
      <c r="E806" s="2">
        <v>1.5</v>
      </c>
      <c r="F806" s="2" t="str">
        <f>IFERROR(VLOOKUP(B806,Tabla2[],5,FALSE),"")</f>
        <v/>
      </c>
      <c r="G806" s="2">
        <f>SQRT(4*(Tabla1[[#This Row],[dD]]-'Find a similar substance'!$D$5)^2+('Find a similar substance'!$E$5-Tabla1[[#This Row],[dP]])^2+(Tabla1[[#This Row],[dH]]-'Find a similar substance'!$F$5)^2)</f>
        <v>8.6475430036513856</v>
      </c>
    </row>
    <row r="807" spans="1:7" x14ac:dyDescent="0.25">
      <c r="A807" s="2" t="s">
        <v>1672</v>
      </c>
      <c r="B807" s="2" t="s">
        <v>1671</v>
      </c>
      <c r="C807" s="2">
        <v>16.100000000000001</v>
      </c>
      <c r="D807" s="2">
        <v>4.8</v>
      </c>
      <c r="E807" s="2">
        <v>5.8</v>
      </c>
      <c r="F807" s="2" t="str">
        <f>IFERROR(VLOOKUP(B807,Tabla2[],5,FALSE),"")</f>
        <v/>
      </c>
      <c r="G807" s="2">
        <f>SQRT(4*(Tabla1[[#This Row],[dD]]-'Find a similar substance'!$D$5)^2+('Find a similar substance'!$E$5-Tabla1[[#This Row],[dP]])^2+(Tabla1[[#This Row],[dH]]-'Find a similar substance'!$F$5)^2)</f>
        <v>4.1048751503547578</v>
      </c>
    </row>
    <row r="808" spans="1:7" x14ac:dyDescent="0.25">
      <c r="A808" s="2" t="s">
        <v>1674</v>
      </c>
      <c r="B808" s="2" t="s">
        <v>1673</v>
      </c>
      <c r="C808" s="2">
        <v>15.7</v>
      </c>
      <c r="D808" s="2">
        <v>5.4</v>
      </c>
      <c r="E808" s="2">
        <v>10.5</v>
      </c>
      <c r="F808" s="2" t="str">
        <f>IFERROR(VLOOKUP(B808,Tabla2[],5,FALSE),"")</f>
        <v/>
      </c>
      <c r="G808" s="2">
        <f>SQRT(4*(Tabla1[[#This Row],[dD]]-'Find a similar substance'!$D$5)^2+('Find a similar substance'!$E$5-Tabla1[[#This Row],[dP]])^2+(Tabla1[[#This Row],[dH]]-'Find a similar substance'!$F$5)^2)</f>
        <v>6.6618315799785881</v>
      </c>
    </row>
    <row r="809" spans="1:7" x14ac:dyDescent="0.25">
      <c r="A809" s="2" t="s">
        <v>1676</v>
      </c>
      <c r="B809" s="2" t="s">
        <v>1675</v>
      </c>
      <c r="C809" s="2">
        <v>15.8</v>
      </c>
      <c r="D809" s="2">
        <v>10.5</v>
      </c>
      <c r="E809" s="2">
        <v>13.6</v>
      </c>
      <c r="F809" s="2" t="str">
        <f>IFERROR(VLOOKUP(B809,Tabla2[],5,FALSE),"")</f>
        <v/>
      </c>
      <c r="G809" s="2">
        <f>SQRT(4*(Tabla1[[#This Row],[dD]]-'Find a similar substance'!$D$5)^2+('Find a similar substance'!$E$5-Tabla1[[#This Row],[dP]])^2+(Tabla1[[#This Row],[dH]]-'Find a similar substance'!$F$5)^2)</f>
        <v>8.9308454247064422</v>
      </c>
    </row>
    <row r="810" spans="1:7" x14ac:dyDescent="0.25">
      <c r="A810" s="2" t="s">
        <v>1678</v>
      </c>
      <c r="B810" s="2" t="s">
        <v>1677</v>
      </c>
      <c r="C810" s="2">
        <v>14.4</v>
      </c>
      <c r="D810" s="2">
        <v>7.3</v>
      </c>
      <c r="E810" s="2">
        <v>12.9</v>
      </c>
      <c r="F810" s="2" t="str">
        <f>IFERROR(VLOOKUP(B810,Tabla2[],5,FALSE),"")</f>
        <v/>
      </c>
      <c r="G810" s="2">
        <f>SQRT(4*(Tabla1[[#This Row],[dD]]-'Find a similar substance'!$D$5)^2+('Find a similar substance'!$E$5-Tabla1[[#This Row],[dP]])^2+(Tabla1[[#This Row],[dH]]-'Find a similar substance'!$F$5)^2)</f>
        <v>9.1504098268875378</v>
      </c>
    </row>
    <row r="811" spans="1:7" x14ac:dyDescent="0.25">
      <c r="A811" s="2" t="s">
        <v>1680</v>
      </c>
      <c r="B811" s="2" t="s">
        <v>1679</v>
      </c>
      <c r="C811" s="2">
        <v>13.8</v>
      </c>
      <c r="D811" s="2">
        <v>0</v>
      </c>
      <c r="E811" s="2">
        <v>0</v>
      </c>
      <c r="F811" s="2" t="str">
        <f>IFERROR(VLOOKUP(B811,Tabla2[],5,FALSE),"")</f>
        <v/>
      </c>
      <c r="G811" s="2">
        <f>SQRT(4*(Tabla1[[#This Row],[dD]]-'Find a similar substance'!$D$5)^2+('Find a similar substance'!$E$5-Tabla1[[#This Row],[dP]])^2+(Tabla1[[#This Row],[dH]]-'Find a similar substance'!$F$5)^2)</f>
        <v>11.49130105775669</v>
      </c>
    </row>
    <row r="812" spans="1:7" x14ac:dyDescent="0.25">
      <c r="A812" s="2" t="s">
        <v>1681</v>
      </c>
      <c r="B812" s="2" t="s">
        <v>52</v>
      </c>
      <c r="C812" s="2">
        <v>17</v>
      </c>
      <c r="D812" s="2">
        <v>8</v>
      </c>
      <c r="E812" s="2">
        <v>5</v>
      </c>
      <c r="F812" s="2">
        <f>IFERROR(VLOOKUP(B812,Tabla2[],5,FALSE),"")</f>
        <v>150.30000000000001</v>
      </c>
      <c r="G812" s="2">
        <f>SQRT(4*(Tabla1[[#This Row],[dD]]-'Find a similar substance'!$D$5)^2+('Find a similar substance'!$E$5-Tabla1[[#This Row],[dP]])^2+(Tabla1[[#This Row],[dH]]-'Find a similar substance'!$F$5)^2)</f>
        <v>1.0630145812734624</v>
      </c>
    </row>
    <row r="813" spans="1:7" x14ac:dyDescent="0.25">
      <c r="A813" s="2" t="s">
        <v>1683</v>
      </c>
      <c r="B813" s="2" t="s">
        <v>1682</v>
      </c>
      <c r="C813" s="2">
        <v>14.7</v>
      </c>
      <c r="D813" s="2">
        <v>1.4</v>
      </c>
      <c r="E813" s="2">
        <v>4.0999999999999996</v>
      </c>
      <c r="F813" s="2" t="str">
        <f>IFERROR(VLOOKUP(B813,Tabla2[],5,FALSE),"")</f>
        <v/>
      </c>
      <c r="G813" s="2">
        <f>SQRT(4*(Tabla1[[#This Row],[dD]]-'Find a similar substance'!$D$5)^2+('Find a similar substance'!$E$5-Tabla1[[#This Row],[dP]])^2+(Tabla1[[#This Row],[dH]]-'Find a similar substance'!$F$5)^2)</f>
        <v>8.2788888143276829</v>
      </c>
    </row>
    <row r="814" spans="1:7" x14ac:dyDescent="0.25">
      <c r="A814" s="2" t="s">
        <v>1685</v>
      </c>
      <c r="B814" s="2" t="s">
        <v>1684</v>
      </c>
      <c r="C814" s="2">
        <v>14.9</v>
      </c>
      <c r="D814" s="2">
        <v>4.5</v>
      </c>
      <c r="E814" s="2">
        <v>8.1999999999999993</v>
      </c>
      <c r="F814" s="2" t="str">
        <f>IFERROR(VLOOKUP(B814,Tabla2[],5,FALSE),"")</f>
        <v/>
      </c>
      <c r="G814" s="2">
        <f>SQRT(4*(Tabla1[[#This Row],[dD]]-'Find a similar substance'!$D$5)^2+('Find a similar substance'!$E$5-Tabla1[[#This Row],[dP]])^2+(Tabla1[[#This Row],[dH]]-'Find a similar substance'!$F$5)^2)</f>
        <v>6.2801273872430334</v>
      </c>
    </row>
    <row r="815" spans="1:7" x14ac:dyDescent="0.25">
      <c r="A815" s="2" t="s">
        <v>1687</v>
      </c>
      <c r="B815" s="2" t="s">
        <v>1686</v>
      </c>
      <c r="C815" s="2">
        <v>14.8</v>
      </c>
      <c r="D815" s="2">
        <v>4.4000000000000004</v>
      </c>
      <c r="E815" s="2">
        <v>6.6</v>
      </c>
      <c r="F815" s="2" t="str">
        <f>IFERROR(VLOOKUP(B815,Tabla2[],5,FALSE),"")</f>
        <v/>
      </c>
      <c r="G815" s="2">
        <f>SQRT(4*(Tabla1[[#This Row],[dD]]-'Find a similar substance'!$D$5)^2+('Find a similar substance'!$E$5-Tabla1[[#This Row],[dP]])^2+(Tabla1[[#This Row],[dH]]-'Find a similar substance'!$F$5)^2)</f>
        <v>5.8318093247293339</v>
      </c>
    </row>
    <row r="816" spans="1:7" x14ac:dyDescent="0.25">
      <c r="A816" s="2" t="s">
        <v>1689</v>
      </c>
      <c r="B816" s="2" t="s">
        <v>1688</v>
      </c>
      <c r="C816" s="2">
        <v>18.100000000000001</v>
      </c>
      <c r="D816" s="2">
        <v>1.2</v>
      </c>
      <c r="E816" s="2">
        <v>1.2</v>
      </c>
      <c r="F816" s="2" t="str">
        <f>IFERROR(VLOOKUP(B816,Tabla2[],5,FALSE),"")</f>
        <v/>
      </c>
      <c r="G816" s="2">
        <f>SQRT(4*(Tabla1[[#This Row],[dD]]-'Find a similar substance'!$D$5)^2+('Find a similar substance'!$E$5-Tabla1[[#This Row],[dP]])^2+(Tabla1[[#This Row],[dH]]-'Find a similar substance'!$F$5)^2)</f>
        <v>8.9269255625887229</v>
      </c>
    </row>
    <row r="817" spans="1:7" x14ac:dyDescent="0.25">
      <c r="A817" s="2" t="s">
        <v>1691</v>
      </c>
      <c r="B817" s="2" t="s">
        <v>1690</v>
      </c>
      <c r="C817" s="2">
        <v>15</v>
      </c>
      <c r="D817" s="2">
        <v>8</v>
      </c>
      <c r="E817" s="2">
        <v>2</v>
      </c>
      <c r="F817" s="2" t="str">
        <f>IFERROR(VLOOKUP(B817,Tabla2[],5,FALSE),"")</f>
        <v/>
      </c>
      <c r="G817" s="2">
        <f>SQRT(4*(Tabla1[[#This Row],[dD]]-'Find a similar substance'!$D$5)^2+('Find a similar substance'!$E$5-Tabla1[[#This Row],[dP]])^2+(Tabla1[[#This Row],[dH]]-'Find a similar substance'!$F$5)^2)</f>
        <v>4.4418464629025642</v>
      </c>
    </row>
    <row r="818" spans="1:7" x14ac:dyDescent="0.25">
      <c r="A818" s="2" t="s">
        <v>1693</v>
      </c>
      <c r="B818" s="2" t="s">
        <v>1692</v>
      </c>
      <c r="C818" s="2">
        <v>15.1</v>
      </c>
      <c r="D818" s="2">
        <v>3.2</v>
      </c>
      <c r="E818" s="2">
        <v>3.2</v>
      </c>
      <c r="F818" s="2" t="str">
        <f>IFERROR(VLOOKUP(B818,Tabla2[],5,FALSE),"")</f>
        <v/>
      </c>
      <c r="G818" s="2">
        <f>SQRT(4*(Tabla1[[#This Row],[dD]]-'Find a similar substance'!$D$5)^2+('Find a similar substance'!$E$5-Tabla1[[#This Row],[dP]])^2+(Tabla1[[#This Row],[dH]]-'Find a similar substance'!$F$5)^2)</f>
        <v>6.5184353950929061</v>
      </c>
    </row>
    <row r="819" spans="1:7" x14ac:dyDescent="0.25">
      <c r="A819" s="2" t="s">
        <v>1695</v>
      </c>
      <c r="B819" s="2" t="s">
        <v>1694</v>
      </c>
      <c r="C819" s="2">
        <v>16.2</v>
      </c>
      <c r="D819" s="2">
        <v>3.9</v>
      </c>
      <c r="E819" s="2">
        <v>3.7</v>
      </c>
      <c r="F819" s="2" t="str">
        <f>IFERROR(VLOOKUP(B819,Tabla2[],5,FALSE),"")</f>
        <v/>
      </c>
      <c r="G819" s="2">
        <f>SQRT(4*(Tabla1[[#This Row],[dD]]-'Find a similar substance'!$D$5)^2+('Find a similar substance'!$E$5-Tabla1[[#This Row],[dP]])^2+(Tabla1[[#This Row],[dH]]-'Find a similar substance'!$F$5)^2)</f>
        <v>5.0368641037852111</v>
      </c>
    </row>
    <row r="820" spans="1:7" x14ac:dyDescent="0.25">
      <c r="A820" s="2" t="s">
        <v>1697</v>
      </c>
      <c r="B820" s="2" t="s">
        <v>1696</v>
      </c>
      <c r="C820" s="2">
        <v>14.7</v>
      </c>
      <c r="D820" s="2">
        <v>9.5</v>
      </c>
      <c r="E820" s="2">
        <v>5</v>
      </c>
      <c r="F820" s="2" t="str">
        <f>IFERROR(VLOOKUP(B820,Tabla2[],5,FALSE),"")</f>
        <v/>
      </c>
      <c r="G820" s="2">
        <f>SQRT(4*(Tabla1[[#This Row],[dD]]-'Find a similar substance'!$D$5)^2+('Find a similar substance'!$E$5-Tabla1[[#This Row],[dP]])^2+(Tabla1[[#This Row],[dH]]-'Find a similar substance'!$F$5)^2)</f>
        <v>3.8832975677895241</v>
      </c>
    </row>
    <row r="821" spans="1:7" x14ac:dyDescent="0.25">
      <c r="A821" s="2" t="s">
        <v>1699</v>
      </c>
      <c r="B821" s="2" t="s">
        <v>1698</v>
      </c>
      <c r="C821" s="2">
        <v>16.399999999999999</v>
      </c>
      <c r="D821" s="2">
        <v>4.0999999999999996</v>
      </c>
      <c r="E821" s="2">
        <v>10.7</v>
      </c>
      <c r="F821" s="2" t="str">
        <f>IFERROR(VLOOKUP(B821,Tabla2[],5,FALSE),"")</f>
        <v/>
      </c>
      <c r="G821" s="2">
        <f>SQRT(4*(Tabla1[[#This Row],[dD]]-'Find a similar substance'!$D$5)^2+('Find a similar substance'!$E$5-Tabla1[[#This Row],[dP]])^2+(Tabla1[[#This Row],[dH]]-'Find a similar substance'!$F$5)^2)</f>
        <v>7.3355299740373221</v>
      </c>
    </row>
    <row r="822" spans="1:7" x14ac:dyDescent="0.25">
      <c r="A822" s="2" t="s">
        <v>1701</v>
      </c>
      <c r="B822" s="2" t="s">
        <v>1700</v>
      </c>
      <c r="C822" s="2">
        <v>18.8</v>
      </c>
      <c r="D822" s="2">
        <v>13.4</v>
      </c>
      <c r="E822" s="2">
        <v>11.2</v>
      </c>
      <c r="F822" s="2" t="str">
        <f>IFERROR(VLOOKUP(B822,Tabla2[],5,FALSE),"")</f>
        <v/>
      </c>
      <c r="G822" s="2">
        <f>SQRT(4*(Tabla1[[#This Row],[dD]]-'Find a similar substance'!$D$5)^2+('Find a similar substance'!$E$5-Tabla1[[#This Row],[dP]])^2+(Tabla1[[#This Row],[dH]]-'Find a similar substance'!$F$5)^2)</f>
        <v>8.9381206078235476</v>
      </c>
    </row>
    <row r="823" spans="1:7" x14ac:dyDescent="0.25">
      <c r="A823" s="2" t="s">
        <v>1703</v>
      </c>
      <c r="B823" s="2" t="s">
        <v>1702</v>
      </c>
      <c r="C823" s="2">
        <v>15.4</v>
      </c>
      <c r="D823" s="2">
        <v>7.3</v>
      </c>
      <c r="E823" s="2">
        <v>5.8</v>
      </c>
      <c r="F823" s="2" t="str">
        <f>IFERROR(VLOOKUP(B823,Tabla2[],5,FALSE),"")</f>
        <v/>
      </c>
      <c r="G823" s="2">
        <f>SQRT(4*(Tabla1[[#This Row],[dD]]-'Find a similar substance'!$D$5)^2+('Find a similar substance'!$E$5-Tabla1[[#This Row],[dP]])^2+(Tabla1[[#This Row],[dH]]-'Find a similar substance'!$F$5)^2)</f>
        <v>2.8913664589601935</v>
      </c>
    </row>
    <row r="824" spans="1:7" x14ac:dyDescent="0.25">
      <c r="A824" s="2" t="s">
        <v>1705</v>
      </c>
      <c r="B824" s="2" t="s">
        <v>1704</v>
      </c>
      <c r="C824" s="2">
        <v>18</v>
      </c>
      <c r="D824" s="2">
        <v>8.1999999999999993</v>
      </c>
      <c r="E824" s="2">
        <v>20.3</v>
      </c>
      <c r="F824" s="2" t="str">
        <f>IFERROR(VLOOKUP(B824,Tabla2[],5,FALSE),"")</f>
        <v/>
      </c>
      <c r="G824" s="2">
        <f>SQRT(4*(Tabla1[[#This Row],[dD]]-'Find a similar substance'!$D$5)^2+('Find a similar substance'!$E$5-Tabla1[[#This Row],[dP]])^2+(Tabla1[[#This Row],[dH]]-'Find a similar substance'!$F$5)^2)</f>
        <v>15.562133529821674</v>
      </c>
    </row>
    <row r="825" spans="1:7" x14ac:dyDescent="0.25">
      <c r="A825" s="2" t="s">
        <v>1707</v>
      </c>
      <c r="B825" s="2" t="s">
        <v>1706</v>
      </c>
      <c r="C825" s="2">
        <v>16</v>
      </c>
      <c r="D825" s="2">
        <v>4.7</v>
      </c>
      <c r="E825" s="2">
        <v>9</v>
      </c>
      <c r="F825" s="2" t="str">
        <f>IFERROR(VLOOKUP(B825,Tabla2[],5,FALSE),"")</f>
        <v/>
      </c>
      <c r="G825" s="2">
        <f>SQRT(4*(Tabla1[[#This Row],[dD]]-'Find a similar substance'!$D$5)^2+('Find a similar substance'!$E$5-Tabla1[[#This Row],[dP]])^2+(Tabla1[[#This Row],[dH]]-'Find a similar substance'!$F$5)^2)</f>
        <v>5.7827329179203844</v>
      </c>
    </row>
    <row r="826" spans="1:7" x14ac:dyDescent="0.25">
      <c r="A826" s="2" t="s">
        <v>1709</v>
      </c>
      <c r="B826" s="2" t="s">
        <v>1708</v>
      </c>
      <c r="C826" s="2">
        <v>17</v>
      </c>
      <c r="D826" s="2">
        <v>8.1</v>
      </c>
      <c r="E826" s="2">
        <v>4.4000000000000004</v>
      </c>
      <c r="F826" s="2" t="str">
        <f>IFERROR(VLOOKUP(B826,Tabla2[],5,FALSE),"")</f>
        <v/>
      </c>
      <c r="G826" s="2">
        <f>SQRT(4*(Tabla1[[#This Row],[dD]]-'Find a similar substance'!$D$5)^2+('Find a similar substance'!$E$5-Tabla1[[#This Row],[dP]])^2+(Tabla1[[#This Row],[dH]]-'Find a similar substance'!$F$5)^2)</f>
        <v>1.1661903789690578</v>
      </c>
    </row>
    <row r="827" spans="1:7" x14ac:dyDescent="0.25">
      <c r="A827" s="2" t="s">
        <v>1711</v>
      </c>
      <c r="B827" s="2" t="s">
        <v>1710</v>
      </c>
      <c r="C827" s="2">
        <v>16.8</v>
      </c>
      <c r="D827" s="2">
        <v>4.7</v>
      </c>
      <c r="E827" s="2">
        <v>4.9000000000000004</v>
      </c>
      <c r="F827" s="2" t="str">
        <f>IFERROR(VLOOKUP(B827,Tabla2[],5,FALSE),"")</f>
        <v/>
      </c>
      <c r="G827" s="2">
        <f>SQRT(4*(Tabla1[[#This Row],[dD]]-'Find a similar substance'!$D$5)^2+('Find a similar substance'!$E$5-Tabla1[[#This Row],[dP]])^2+(Tabla1[[#This Row],[dH]]-'Find a similar substance'!$F$5)^2)</f>
        <v>4.0211938525766193</v>
      </c>
    </row>
    <row r="828" spans="1:7" x14ac:dyDescent="0.25">
      <c r="A828" s="2" t="s">
        <v>1713</v>
      </c>
      <c r="B828" s="2" t="s">
        <v>1712</v>
      </c>
      <c r="C828" s="2">
        <v>17.5</v>
      </c>
      <c r="D828" s="2">
        <v>6.9</v>
      </c>
      <c r="E828" s="2">
        <v>17.2</v>
      </c>
      <c r="F828" s="2" t="str">
        <f>IFERROR(VLOOKUP(B828,Tabla2[],5,FALSE),"")</f>
        <v/>
      </c>
      <c r="G828" s="2">
        <f>SQRT(4*(Tabla1[[#This Row],[dD]]-'Find a similar substance'!$D$5)^2+('Find a similar substance'!$E$5-Tabla1[[#This Row],[dP]])^2+(Tabla1[[#This Row],[dH]]-'Find a similar substance'!$F$5)^2)</f>
        <v>12.462744481052317</v>
      </c>
    </row>
    <row r="829" spans="1:7" x14ac:dyDescent="0.25">
      <c r="A829" s="2" t="s">
        <v>1715</v>
      </c>
      <c r="B829" s="2" t="s">
        <v>1714</v>
      </c>
      <c r="C829" s="2">
        <v>17</v>
      </c>
      <c r="D829" s="2">
        <v>8.3000000000000007</v>
      </c>
      <c r="E829" s="2">
        <v>28.4</v>
      </c>
      <c r="F829" s="2" t="str">
        <f>IFERROR(VLOOKUP(B829,Tabla2[],5,FALSE),"")</f>
        <v/>
      </c>
      <c r="G829" s="2">
        <f>SQRT(4*(Tabla1[[#This Row],[dD]]-'Find a similar substance'!$D$5)^2+('Find a similar substance'!$E$5-Tabla1[[#This Row],[dP]])^2+(Tabla1[[#This Row],[dH]]-'Find a similar substance'!$F$5)^2)</f>
        <v>23.417087777945401</v>
      </c>
    </row>
    <row r="830" spans="1:7" x14ac:dyDescent="0.25">
      <c r="A830" s="2" t="s">
        <v>1717</v>
      </c>
      <c r="B830" s="2" t="s">
        <v>1716</v>
      </c>
      <c r="C830" s="2">
        <v>14.4</v>
      </c>
      <c r="D830" s="2">
        <v>2.2000000000000002</v>
      </c>
      <c r="E830" s="2">
        <v>5.0999999999999996</v>
      </c>
      <c r="F830" s="2" t="str">
        <f>IFERROR(VLOOKUP(B830,Tabla2[],5,FALSE),"")</f>
        <v/>
      </c>
      <c r="G830" s="2">
        <f>SQRT(4*(Tabla1[[#This Row],[dD]]-'Find a similar substance'!$D$5)^2+('Find a similar substance'!$E$5-Tabla1[[#This Row],[dP]])^2+(Tabla1[[#This Row],[dH]]-'Find a similar substance'!$F$5)^2)</f>
        <v>7.8498407627161457</v>
      </c>
    </row>
    <row r="831" spans="1:7" x14ac:dyDescent="0.25">
      <c r="A831" s="2" t="s">
        <v>1719</v>
      </c>
      <c r="B831" s="2" t="s">
        <v>1718</v>
      </c>
      <c r="C831" s="2">
        <v>20.2</v>
      </c>
      <c r="D831" s="2">
        <v>7.3</v>
      </c>
      <c r="E831" s="2">
        <v>9.8000000000000007</v>
      </c>
      <c r="F831" s="2" t="str">
        <f>IFERROR(VLOOKUP(B831,Tabla2[],5,FALSE),"")</f>
        <v/>
      </c>
      <c r="G831" s="2">
        <f>SQRT(4*(Tabla1[[#This Row],[dD]]-'Find a similar substance'!$D$5)^2+('Find a similar substance'!$E$5-Tabla1[[#This Row],[dP]])^2+(Tabla1[[#This Row],[dH]]-'Find a similar substance'!$F$5)^2)</f>
        <v>8.7658428003244477</v>
      </c>
    </row>
    <row r="832" spans="1:7" x14ac:dyDescent="0.25">
      <c r="A832" s="2" t="s">
        <v>1720</v>
      </c>
      <c r="B832" s="2" t="s">
        <v>91</v>
      </c>
      <c r="C832" s="2">
        <v>18.5</v>
      </c>
      <c r="D832" s="2">
        <v>6.5</v>
      </c>
      <c r="E832" s="2">
        <v>13.7</v>
      </c>
      <c r="F832" s="2">
        <f>IFERROR(VLOOKUP(B832,Tabla2[],5,FALSE),"")</f>
        <v>105</v>
      </c>
      <c r="G832" s="2">
        <f>SQRT(4*(Tabla1[[#This Row],[dD]]-'Find a similar substance'!$D$5)^2+('Find a similar substance'!$E$5-Tabla1[[#This Row],[dP]])^2+(Tabla1[[#This Row],[dH]]-'Find a similar substance'!$F$5)^2)</f>
        <v>9.74525525576421</v>
      </c>
    </row>
    <row r="833" spans="1:7" x14ac:dyDescent="0.25">
      <c r="A833" s="2" t="s">
        <v>1722</v>
      </c>
      <c r="B833" s="2" t="s">
        <v>1721</v>
      </c>
      <c r="C833" s="2">
        <v>19.2</v>
      </c>
      <c r="D833" s="2">
        <v>5.0999999999999996</v>
      </c>
      <c r="E833" s="2">
        <v>2.7</v>
      </c>
      <c r="F833" s="2" t="str">
        <f>IFERROR(VLOOKUP(B833,Tabla2[],5,FALSE),"")</f>
        <v/>
      </c>
      <c r="G833" s="2">
        <f>SQRT(4*(Tabla1[[#This Row],[dD]]-'Find a similar substance'!$D$5)^2+('Find a similar substance'!$E$5-Tabla1[[#This Row],[dP]])^2+(Tabla1[[#This Row],[dH]]-'Find a similar substance'!$F$5)^2)</f>
        <v>6.7297845433564927</v>
      </c>
    </row>
    <row r="834" spans="1:7" x14ac:dyDescent="0.25">
      <c r="A834" s="2" t="s">
        <v>1724</v>
      </c>
      <c r="B834" s="2" t="s">
        <v>1723</v>
      </c>
      <c r="C834" s="2">
        <v>19.5</v>
      </c>
      <c r="D834" s="2">
        <v>13.3</v>
      </c>
      <c r="E834" s="2">
        <v>11.9</v>
      </c>
      <c r="F834" s="2" t="str">
        <f>IFERROR(VLOOKUP(B834,Tabla2[],5,FALSE),"")</f>
        <v/>
      </c>
      <c r="G834" s="2">
        <f>SQRT(4*(Tabla1[[#This Row],[dD]]-'Find a similar substance'!$D$5)^2+('Find a similar substance'!$E$5-Tabla1[[#This Row],[dP]])^2+(Tabla1[[#This Row],[dH]]-'Find a similar substance'!$F$5)^2)</f>
        <v>10.119782606360673</v>
      </c>
    </row>
    <row r="835" spans="1:7" x14ac:dyDescent="0.25">
      <c r="A835" s="2" t="s">
        <v>1726</v>
      </c>
      <c r="B835" s="2" t="s">
        <v>1725</v>
      </c>
      <c r="C835" s="2">
        <v>17</v>
      </c>
      <c r="D835" s="2">
        <v>18.399999999999999</v>
      </c>
      <c r="E835" s="2">
        <v>6.7</v>
      </c>
      <c r="F835" s="2" t="str">
        <f>IFERROR(VLOOKUP(B835,Tabla2[],5,FALSE),"")</f>
        <v/>
      </c>
      <c r="G835" s="2">
        <f>SQRT(4*(Tabla1[[#This Row],[dD]]-'Find a similar substance'!$D$5)^2+('Find a similar substance'!$E$5-Tabla1[[#This Row],[dP]])^2+(Tabla1[[#This Row],[dH]]-'Find a similar substance'!$F$5)^2)</f>
        <v>9.8802833967452575</v>
      </c>
    </row>
    <row r="836" spans="1:7" x14ac:dyDescent="0.25">
      <c r="A836" s="2" t="s">
        <v>1728</v>
      </c>
      <c r="B836" s="2" t="s">
        <v>1727</v>
      </c>
      <c r="C836" s="2">
        <v>16</v>
      </c>
      <c r="D836" s="2">
        <v>6.2</v>
      </c>
      <c r="E836" s="2">
        <v>9</v>
      </c>
      <c r="F836" s="2" t="str">
        <f>IFERROR(VLOOKUP(B836,Tabla2[],5,FALSE),"")</f>
        <v/>
      </c>
      <c r="G836" s="2">
        <f>SQRT(4*(Tabla1[[#This Row],[dD]]-'Find a similar substance'!$D$5)^2+('Find a similar substance'!$E$5-Tabla1[[#This Row],[dP]])^2+(Tabla1[[#This Row],[dH]]-'Find a similar substance'!$F$5)^2)</f>
        <v>4.8672374094551829</v>
      </c>
    </row>
    <row r="837" spans="1:7" x14ac:dyDescent="0.25">
      <c r="A837" s="2" t="s">
        <v>1730</v>
      </c>
      <c r="B837" s="2" t="s">
        <v>1729</v>
      </c>
      <c r="C837" s="2">
        <v>17.2</v>
      </c>
      <c r="D837" s="2">
        <v>4.5999999999999996</v>
      </c>
      <c r="E837" s="2">
        <v>5.6</v>
      </c>
      <c r="F837" s="2" t="str">
        <f>IFERROR(VLOOKUP(B837,Tabla2[],5,FALSE),"")</f>
        <v/>
      </c>
      <c r="G837" s="2">
        <f>SQRT(4*(Tabla1[[#This Row],[dD]]-'Find a similar substance'!$D$5)^2+('Find a similar substance'!$E$5-Tabla1[[#This Row],[dP]])^2+(Tabla1[[#This Row],[dH]]-'Find a similar substance'!$F$5)^2)</f>
        <v>4.3139309220245972</v>
      </c>
    </row>
    <row r="838" spans="1:7" x14ac:dyDescent="0.25">
      <c r="A838" s="2" t="s">
        <v>1732</v>
      </c>
      <c r="B838" s="2" t="s">
        <v>1731</v>
      </c>
      <c r="C838" s="2">
        <v>16.399999999999999</v>
      </c>
      <c r="D838" s="2">
        <v>7.2</v>
      </c>
      <c r="E838" s="2">
        <v>5</v>
      </c>
      <c r="F838" s="2" t="str">
        <f>IFERROR(VLOOKUP(B838,Tabla2[],5,FALSE),"")</f>
        <v/>
      </c>
      <c r="G838" s="2">
        <f>SQRT(4*(Tabla1[[#This Row],[dD]]-'Find a similar substance'!$D$5)^2+('Find a similar substance'!$E$5-Tabla1[[#This Row],[dP]])^2+(Tabla1[[#This Row],[dH]]-'Find a similar substance'!$F$5)^2)</f>
        <v>1.5524174696260029</v>
      </c>
    </row>
    <row r="839" spans="1:7" x14ac:dyDescent="0.25">
      <c r="A839" s="2" t="s">
        <v>1734</v>
      </c>
      <c r="B839" s="2" t="s">
        <v>1733</v>
      </c>
      <c r="C839" s="2">
        <v>18</v>
      </c>
      <c r="D839" s="2">
        <v>0.6</v>
      </c>
      <c r="E839" s="2">
        <v>0.6</v>
      </c>
      <c r="F839" s="2" t="str">
        <f>IFERROR(VLOOKUP(B839,Tabla2[],5,FALSE),"")</f>
        <v/>
      </c>
      <c r="G839" s="2">
        <f>SQRT(4*(Tabla1[[#This Row],[dD]]-'Find a similar substance'!$D$5)^2+('Find a similar substance'!$E$5-Tabla1[[#This Row],[dP]])^2+(Tabla1[[#This Row],[dH]]-'Find a similar substance'!$F$5)^2)</f>
        <v>9.6337946833010708</v>
      </c>
    </row>
    <row r="840" spans="1:7" x14ac:dyDescent="0.25">
      <c r="A840" s="2" t="s">
        <v>1736</v>
      </c>
      <c r="B840" s="2" t="s">
        <v>1735</v>
      </c>
      <c r="C840" s="2">
        <v>15</v>
      </c>
      <c r="D840" s="2">
        <v>10.3</v>
      </c>
      <c r="E840" s="2">
        <v>7.1</v>
      </c>
      <c r="F840" s="2" t="str">
        <f>IFERROR(VLOOKUP(B840,Tabla2[],5,FALSE),"")</f>
        <v/>
      </c>
      <c r="G840" s="2">
        <f>SQRT(4*(Tabla1[[#This Row],[dD]]-'Find a similar substance'!$D$5)^2+('Find a similar substance'!$E$5-Tabla1[[#This Row],[dP]])^2+(Tabla1[[#This Row],[dH]]-'Find a similar substance'!$F$5)^2)</f>
        <v>4.1484937025383104</v>
      </c>
    </row>
    <row r="841" spans="1:7" x14ac:dyDescent="0.25">
      <c r="A841" s="2" t="s">
        <v>1738</v>
      </c>
      <c r="B841" s="2" t="s">
        <v>1737</v>
      </c>
      <c r="C841" s="2">
        <v>15.8</v>
      </c>
      <c r="D841" s="2">
        <v>11</v>
      </c>
      <c r="E841" s="2">
        <v>11.6</v>
      </c>
      <c r="F841" s="2" t="str">
        <f>IFERROR(VLOOKUP(B841,Tabla2[],5,FALSE),"")</f>
        <v/>
      </c>
      <c r="G841" s="2">
        <f>SQRT(4*(Tabla1[[#This Row],[dD]]-'Find a similar substance'!$D$5)^2+('Find a similar substance'!$E$5-Tabla1[[#This Row],[dP]])^2+(Tabla1[[#This Row],[dH]]-'Find a similar substance'!$F$5)^2)</f>
        <v>7.1700767080973415</v>
      </c>
    </row>
    <row r="842" spans="1:7" x14ac:dyDescent="0.25">
      <c r="A842" s="2" t="s">
        <v>1740</v>
      </c>
      <c r="B842" s="2" t="s">
        <v>1739</v>
      </c>
      <c r="C842" s="2">
        <v>15.8</v>
      </c>
      <c r="D842" s="2">
        <v>2.8</v>
      </c>
      <c r="E842" s="2">
        <v>12</v>
      </c>
      <c r="F842" s="2" t="str">
        <f>IFERROR(VLOOKUP(B842,Tabla2[],5,FALSE),"")</f>
        <v/>
      </c>
      <c r="G842" s="2">
        <f>SQRT(4*(Tabla1[[#This Row],[dD]]-'Find a similar substance'!$D$5)^2+('Find a similar substance'!$E$5-Tabla1[[#This Row],[dP]])^2+(Tabla1[[#This Row],[dH]]-'Find a similar substance'!$F$5)^2)</f>
        <v>9.2935461477306927</v>
      </c>
    </row>
    <row r="843" spans="1:7" x14ac:dyDescent="0.25">
      <c r="A843" s="2" t="s">
        <v>1742</v>
      </c>
      <c r="B843" s="2" t="s">
        <v>1741</v>
      </c>
      <c r="C843" s="2">
        <v>15.8</v>
      </c>
      <c r="D843" s="2">
        <v>9.5</v>
      </c>
      <c r="E843" s="2">
        <v>5.4</v>
      </c>
      <c r="F843" s="2" t="str">
        <f>IFERROR(VLOOKUP(B843,Tabla2[],5,FALSE),"")</f>
        <v/>
      </c>
      <c r="G843" s="2">
        <f>SQRT(4*(Tabla1[[#This Row],[dD]]-'Find a similar substance'!$D$5)^2+('Find a similar substance'!$E$5-Tabla1[[#This Row],[dP]])^2+(Tabla1[[#This Row],[dH]]-'Find a similar substance'!$F$5)^2)</f>
        <v>1.8330302779823375</v>
      </c>
    </row>
    <row r="844" spans="1:7" x14ac:dyDescent="0.25">
      <c r="A844" s="2" t="s">
        <v>1744</v>
      </c>
      <c r="B844" s="2" t="s">
        <v>1743</v>
      </c>
      <c r="C844" s="2">
        <v>14</v>
      </c>
      <c r="D844" s="2">
        <v>0</v>
      </c>
      <c r="E844" s="2">
        <v>0</v>
      </c>
      <c r="F844" s="2" t="str">
        <f>IFERROR(VLOOKUP(B844,Tabla2[],5,FALSE),"")</f>
        <v/>
      </c>
      <c r="G844" s="2">
        <f>SQRT(4*(Tabla1[[#This Row],[dD]]-'Find a similar substance'!$D$5)^2+('Find a similar substance'!$E$5-Tabla1[[#This Row],[dP]])^2+(Tabla1[[#This Row],[dH]]-'Find a similar substance'!$F$5)^2)</f>
        <v>11.301769772916099</v>
      </c>
    </row>
    <row r="845" spans="1:7" x14ac:dyDescent="0.25">
      <c r="A845" s="2" t="s">
        <v>1745</v>
      </c>
      <c r="B845" s="2" t="s">
        <v>54</v>
      </c>
      <c r="C845" s="2">
        <v>14.7</v>
      </c>
      <c r="D845" s="2">
        <v>12.3</v>
      </c>
      <c r="E845" s="2">
        <v>22.3</v>
      </c>
      <c r="F845" s="2">
        <f>IFERROR(VLOOKUP(B845,Tabla2[],5,FALSE),"")</f>
        <v>40.6</v>
      </c>
      <c r="G845" s="2">
        <f>SQRT(4*(Tabla1[[#This Row],[dD]]-'Find a similar substance'!$D$5)^2+('Find a similar substance'!$E$5-Tabla1[[#This Row],[dP]])^2+(Tabla1[[#This Row],[dH]]-'Find a similar substance'!$F$5)^2)</f>
        <v>18.074567767999323</v>
      </c>
    </row>
    <row r="846" spans="1:7" x14ac:dyDescent="0.25">
      <c r="A846" s="2" t="s">
        <v>1745</v>
      </c>
      <c r="B846" s="2" t="s">
        <v>1746</v>
      </c>
      <c r="C846" s="2">
        <v>14.7</v>
      </c>
      <c r="D846" s="2">
        <v>5</v>
      </c>
      <c r="E846" s="2">
        <v>10</v>
      </c>
      <c r="F846" s="2" t="str">
        <f>IFERROR(VLOOKUP(B846,Tabla2[],5,FALSE),"")</f>
        <v/>
      </c>
      <c r="G846" s="2">
        <f>SQRT(4*(Tabla1[[#This Row],[dD]]-'Find a similar substance'!$D$5)^2+('Find a similar substance'!$E$5-Tabla1[[#This Row],[dP]])^2+(Tabla1[[#This Row],[dH]]-'Find a similar substance'!$F$5)^2)</f>
        <v>7.2890328576567702</v>
      </c>
    </row>
    <row r="847" spans="1:7" x14ac:dyDescent="0.25">
      <c r="A847" s="2" t="s">
        <v>1748</v>
      </c>
      <c r="B847" s="2" t="s">
        <v>1747</v>
      </c>
      <c r="C847" s="2">
        <v>16</v>
      </c>
      <c r="D847" s="2">
        <v>9</v>
      </c>
      <c r="E847" s="2">
        <v>18.5</v>
      </c>
      <c r="F847" s="2" t="str">
        <f>IFERROR(VLOOKUP(B847,Tabla2[],5,FALSE),"")</f>
        <v/>
      </c>
      <c r="G847" s="2">
        <f>SQRT(4*(Tabla1[[#This Row],[dD]]-'Find a similar substance'!$D$5)^2+('Find a similar substance'!$E$5-Tabla1[[#This Row],[dP]])^2+(Tabla1[[#This Row],[dH]]-'Find a similar substance'!$F$5)^2)</f>
        <v>13.556548233234004</v>
      </c>
    </row>
    <row r="848" spans="1:7" x14ac:dyDescent="0.25">
      <c r="A848" s="2" t="s">
        <v>1750</v>
      </c>
      <c r="B848" s="2" t="s">
        <v>1749</v>
      </c>
      <c r="C848" s="2">
        <v>15.3</v>
      </c>
      <c r="D848" s="2">
        <v>6</v>
      </c>
      <c r="E848" s="2">
        <v>5.9</v>
      </c>
      <c r="F848" s="2" t="str">
        <f>IFERROR(VLOOKUP(B848,Tabla2[],5,FALSE),"")</f>
        <v/>
      </c>
      <c r="G848" s="2">
        <f>SQRT(4*(Tabla1[[#This Row],[dD]]-'Find a similar substance'!$D$5)^2+('Find a similar substance'!$E$5-Tabla1[[#This Row],[dP]])^2+(Tabla1[[#This Row],[dH]]-'Find a similar substance'!$F$5)^2)</f>
        <v>3.8548670534792771</v>
      </c>
    </row>
    <row r="849" spans="1:7" x14ac:dyDescent="0.25">
      <c r="A849" s="2" t="s">
        <v>1752</v>
      </c>
      <c r="B849" s="2" t="s">
        <v>1751</v>
      </c>
      <c r="C849" s="2">
        <v>15</v>
      </c>
      <c r="D849" s="2">
        <v>4.3</v>
      </c>
      <c r="E849" s="2">
        <v>5.7</v>
      </c>
      <c r="F849" s="2" t="str">
        <f>IFERROR(VLOOKUP(B849,Tabla2[],5,FALSE),"")</f>
        <v/>
      </c>
      <c r="G849" s="2">
        <f>SQRT(4*(Tabla1[[#This Row],[dD]]-'Find a similar substance'!$D$5)^2+('Find a similar substance'!$E$5-Tabla1[[#This Row],[dP]])^2+(Tabla1[[#This Row],[dH]]-'Find a similar substance'!$F$5)^2)</f>
        <v>5.4854352607609922</v>
      </c>
    </row>
    <row r="850" spans="1:7" x14ac:dyDescent="0.25">
      <c r="A850" s="2" t="s">
        <v>1753</v>
      </c>
      <c r="B850" s="2" t="s">
        <v>55</v>
      </c>
      <c r="C850" s="2">
        <v>15.5</v>
      </c>
      <c r="D850" s="2">
        <v>7.2</v>
      </c>
      <c r="E850" s="2">
        <v>7.6</v>
      </c>
      <c r="F850" s="2">
        <f>IFERROR(VLOOKUP(B850,Tabla2[],5,FALSE),"")</f>
        <v>79.8</v>
      </c>
      <c r="G850" s="2">
        <f>SQRT(4*(Tabla1[[#This Row],[dD]]-'Find a similar substance'!$D$5)^2+('Find a similar substance'!$E$5-Tabla1[[#This Row],[dP]])^2+(Tabla1[[#This Row],[dH]]-'Find a similar substance'!$F$5)^2)</f>
        <v>3.72155881318568</v>
      </c>
    </row>
    <row r="851" spans="1:7" x14ac:dyDescent="0.25">
      <c r="A851" s="2" t="s">
        <v>1755</v>
      </c>
      <c r="B851" s="2" t="s">
        <v>1754</v>
      </c>
      <c r="C851" s="2">
        <v>16.399999999999999</v>
      </c>
      <c r="D851" s="2">
        <v>8.6</v>
      </c>
      <c r="E851" s="2">
        <v>8.9</v>
      </c>
      <c r="F851" s="2" t="str">
        <f>IFERROR(VLOOKUP(B851,Tabla2[],5,FALSE),"")</f>
        <v/>
      </c>
      <c r="G851" s="2">
        <f>SQRT(4*(Tabla1[[#This Row],[dD]]-'Find a similar substance'!$D$5)^2+('Find a similar substance'!$E$5-Tabla1[[#This Row],[dP]])^2+(Tabla1[[#This Row],[dH]]-'Find a similar substance'!$F$5)^2)</f>
        <v>3.9217343102255167</v>
      </c>
    </row>
    <row r="852" spans="1:7" x14ac:dyDescent="0.25">
      <c r="A852" s="2" t="s">
        <v>1757</v>
      </c>
      <c r="B852" s="2" t="s">
        <v>1756</v>
      </c>
      <c r="C852" s="2">
        <v>15.1</v>
      </c>
      <c r="D852" s="2">
        <v>3.8</v>
      </c>
      <c r="E852" s="2">
        <v>9.1999999999999993</v>
      </c>
      <c r="F852" s="2" t="str">
        <f>IFERROR(VLOOKUP(B852,Tabla2[],5,FALSE),"")</f>
        <v/>
      </c>
      <c r="G852" s="2">
        <f>SQRT(4*(Tabla1[[#This Row],[dD]]-'Find a similar substance'!$D$5)^2+('Find a similar substance'!$E$5-Tabla1[[#This Row],[dP]])^2+(Tabla1[[#This Row],[dH]]-'Find a similar substance'!$F$5)^2)</f>
        <v>7.1168813394632355</v>
      </c>
    </row>
    <row r="853" spans="1:7" x14ac:dyDescent="0.25">
      <c r="A853" s="2" t="s">
        <v>1759</v>
      </c>
      <c r="B853" s="2" t="s">
        <v>1758</v>
      </c>
      <c r="C853" s="2">
        <v>15.3</v>
      </c>
      <c r="D853" s="2">
        <v>6.7</v>
      </c>
      <c r="E853" s="2">
        <v>9.4</v>
      </c>
      <c r="F853" s="2" t="str">
        <f>IFERROR(VLOOKUP(B853,Tabla2[],5,FALSE),"")</f>
        <v/>
      </c>
      <c r="G853" s="2">
        <f>SQRT(4*(Tabla1[[#This Row],[dD]]-'Find a similar substance'!$D$5)^2+('Find a similar substance'!$E$5-Tabla1[[#This Row],[dP]])^2+(Tabla1[[#This Row],[dH]]-'Find a similar substance'!$F$5)^2)</f>
        <v>5.4881690936048981</v>
      </c>
    </row>
    <row r="854" spans="1:7" x14ac:dyDescent="0.25">
      <c r="A854" s="2" t="s">
        <v>1761</v>
      </c>
      <c r="B854" s="2" t="s">
        <v>1760</v>
      </c>
      <c r="C854" s="2">
        <v>16.399999999999999</v>
      </c>
      <c r="D854" s="2">
        <v>11.3</v>
      </c>
      <c r="E854" s="2">
        <v>5.0999999999999996</v>
      </c>
      <c r="F854" s="2" t="str">
        <f>IFERROR(VLOOKUP(B854,Tabla2[],5,FALSE),"")</f>
        <v/>
      </c>
      <c r="G854" s="2">
        <f>SQRT(4*(Tabla1[[#This Row],[dD]]-'Find a similar substance'!$D$5)^2+('Find a similar substance'!$E$5-Tabla1[[#This Row],[dP]])^2+(Tabla1[[#This Row],[dH]]-'Find a similar substance'!$F$5)^2)</f>
        <v>2.6324893162176388</v>
      </c>
    </row>
    <row r="855" spans="1:7" x14ac:dyDescent="0.25">
      <c r="A855" s="2" t="s">
        <v>1763</v>
      </c>
      <c r="B855" s="2" t="s">
        <v>1762</v>
      </c>
      <c r="C855" s="2">
        <v>14.4</v>
      </c>
      <c r="D855" s="2">
        <v>7</v>
      </c>
      <c r="E855" s="2">
        <v>16</v>
      </c>
      <c r="F855" s="2" t="str">
        <f>IFERROR(VLOOKUP(B855,Tabla2[],5,FALSE),"")</f>
        <v/>
      </c>
      <c r="G855" s="2">
        <f>SQRT(4*(Tabla1[[#This Row],[dD]]-'Find a similar substance'!$D$5)^2+('Find a similar substance'!$E$5-Tabla1[[#This Row],[dP]])^2+(Tabla1[[#This Row],[dH]]-'Find a similar substance'!$F$5)^2)</f>
        <v>11.968709203585824</v>
      </c>
    </row>
    <row r="856" spans="1:7" x14ac:dyDescent="0.25">
      <c r="A856" s="2" t="s">
        <v>1765</v>
      </c>
      <c r="B856" s="2" t="s">
        <v>1764</v>
      </c>
      <c r="C856" s="2">
        <v>15.2</v>
      </c>
      <c r="D856" s="2">
        <v>3.1</v>
      </c>
      <c r="E856" s="2">
        <v>6.8</v>
      </c>
      <c r="F856" s="2" t="str">
        <f>IFERROR(VLOOKUP(B856,Tabla2[],5,FALSE),"")</f>
        <v/>
      </c>
      <c r="G856" s="2">
        <f>SQRT(4*(Tabla1[[#This Row],[dD]]-'Find a similar substance'!$D$5)^2+('Find a similar substance'!$E$5-Tabla1[[#This Row],[dP]])^2+(Tabla1[[#This Row],[dH]]-'Find a similar substance'!$F$5)^2)</f>
        <v>6.514598989960934</v>
      </c>
    </row>
    <row r="857" spans="1:7" x14ac:dyDescent="0.25">
      <c r="A857" s="2" t="s">
        <v>1767</v>
      </c>
      <c r="B857" s="2" t="s">
        <v>1766</v>
      </c>
      <c r="C857" s="2">
        <v>18.899999999999999</v>
      </c>
      <c r="D857" s="2">
        <v>8.1999999999999993</v>
      </c>
      <c r="E857" s="2">
        <v>4.7</v>
      </c>
      <c r="F857" s="2" t="str">
        <f>IFERROR(VLOOKUP(B857,Tabla2[],5,FALSE),"")</f>
        <v/>
      </c>
      <c r="G857" s="2">
        <f>SQRT(4*(Tabla1[[#This Row],[dD]]-'Find a similar substance'!$D$5)^2+('Find a similar substance'!$E$5-Tabla1[[#This Row],[dP]])^2+(Tabla1[[#This Row],[dH]]-'Find a similar substance'!$F$5)^2)</f>
        <v>4.6368092477478458</v>
      </c>
    </row>
    <row r="858" spans="1:7" x14ac:dyDescent="0.25">
      <c r="A858" s="2" t="s">
        <v>1769</v>
      </c>
      <c r="B858" s="2" t="s">
        <v>1768</v>
      </c>
      <c r="C858" s="2">
        <v>17</v>
      </c>
      <c r="D858" s="2">
        <v>8.8000000000000007</v>
      </c>
      <c r="E858" s="2">
        <v>2.6</v>
      </c>
      <c r="F858" s="2" t="str">
        <f>IFERROR(VLOOKUP(B858,Tabla2[],5,FALSE),"")</f>
        <v/>
      </c>
      <c r="G858" s="2">
        <f>SQRT(4*(Tabla1[[#This Row],[dD]]-'Find a similar substance'!$D$5)^2+('Find a similar substance'!$E$5-Tabla1[[#This Row],[dP]])^2+(Tabla1[[#This Row],[dH]]-'Find a similar substance'!$F$5)^2)</f>
        <v>2.5317977802344318</v>
      </c>
    </row>
    <row r="859" spans="1:7" x14ac:dyDescent="0.25">
      <c r="A859" s="2" t="s">
        <v>1771</v>
      </c>
      <c r="B859" s="2" t="s">
        <v>1770</v>
      </c>
      <c r="C859" s="2">
        <v>15.3</v>
      </c>
      <c r="D859" s="2">
        <v>6.1</v>
      </c>
      <c r="E859" s="2">
        <v>4.0999999999999996</v>
      </c>
      <c r="F859" s="2" t="str">
        <f>IFERROR(VLOOKUP(B859,Tabla2[],5,FALSE),"")</f>
        <v/>
      </c>
      <c r="G859" s="2">
        <f>SQRT(4*(Tabla1[[#This Row],[dD]]-'Find a similar substance'!$D$5)^2+('Find a similar substance'!$E$5-Tabla1[[#This Row],[dP]])^2+(Tabla1[[#This Row],[dH]]-'Find a similar substance'!$F$5)^2)</f>
        <v>3.785498646149541</v>
      </c>
    </row>
    <row r="860" spans="1:7" x14ac:dyDescent="0.25">
      <c r="A860" s="2" t="s">
        <v>1773</v>
      </c>
      <c r="B860" s="2" t="s">
        <v>1772</v>
      </c>
      <c r="C860" s="2">
        <v>15.3</v>
      </c>
      <c r="D860" s="2">
        <v>9.9</v>
      </c>
      <c r="E860" s="2">
        <v>3.9</v>
      </c>
      <c r="F860" s="2" t="str">
        <f>IFERROR(VLOOKUP(B860,Tabla2[],5,FALSE),"")</f>
        <v/>
      </c>
      <c r="G860" s="2">
        <f>SQRT(4*(Tabla1[[#This Row],[dD]]-'Find a similar substance'!$D$5)^2+('Find a similar substance'!$E$5-Tabla1[[#This Row],[dP]])^2+(Tabla1[[#This Row],[dH]]-'Find a similar substance'!$F$5)^2)</f>
        <v>3.067572330035595</v>
      </c>
    </row>
    <row r="861" spans="1:7" x14ac:dyDescent="0.25">
      <c r="A861" s="2" t="s">
        <v>1775</v>
      </c>
      <c r="B861" s="2" t="s">
        <v>1774</v>
      </c>
      <c r="C861" s="2">
        <v>16.3</v>
      </c>
      <c r="D861" s="2">
        <v>9.5</v>
      </c>
      <c r="E861" s="2">
        <v>8.5</v>
      </c>
      <c r="F861" s="2" t="str">
        <f>IFERROR(VLOOKUP(B861,Tabla2[],5,FALSE),"")</f>
        <v/>
      </c>
      <c r="G861" s="2">
        <f>SQRT(4*(Tabla1[[#This Row],[dD]]-'Find a similar substance'!$D$5)^2+('Find a similar substance'!$E$5-Tabla1[[#This Row],[dP]])^2+(Tabla1[[#This Row],[dH]]-'Find a similar substance'!$F$5)^2)</f>
        <v>3.6400549446402595</v>
      </c>
    </row>
    <row r="862" spans="1:7" x14ac:dyDescent="0.25">
      <c r="A862" s="2" t="s">
        <v>1777</v>
      </c>
      <c r="B862" s="2" t="s">
        <v>1776</v>
      </c>
      <c r="C862" s="2">
        <v>16.899999999999999</v>
      </c>
      <c r="D862" s="2">
        <v>14.9</v>
      </c>
      <c r="E862" s="2">
        <v>9.9</v>
      </c>
      <c r="F862" s="2" t="str">
        <f>IFERROR(VLOOKUP(B862,Tabla2[],5,FALSE),"")</f>
        <v/>
      </c>
      <c r="G862" s="2">
        <f>SQRT(4*(Tabla1[[#This Row],[dD]]-'Find a similar substance'!$D$5)^2+('Find a similar substance'!$E$5-Tabla1[[#This Row],[dP]])^2+(Tabla1[[#This Row],[dH]]-'Find a similar substance'!$F$5)^2)</f>
        <v>7.9252760204298252</v>
      </c>
    </row>
    <row r="863" spans="1:7" x14ac:dyDescent="0.25">
      <c r="A863" s="2" t="s">
        <v>1778</v>
      </c>
      <c r="B863" s="2" t="s">
        <v>58</v>
      </c>
      <c r="C863" s="2">
        <v>16</v>
      </c>
      <c r="D863" s="2">
        <v>0</v>
      </c>
      <c r="E863" s="2">
        <v>1</v>
      </c>
      <c r="F863" s="2">
        <f>IFERROR(VLOOKUP(B863,Tabla2[],5,FALSE),"")</f>
        <v>128.19999999999999</v>
      </c>
      <c r="G863" s="2">
        <f>SQRT(4*(Tabla1[[#This Row],[dD]]-'Find a similar substance'!$D$5)^2+('Find a similar substance'!$E$5-Tabla1[[#This Row],[dP]])^2+(Tabla1[[#This Row],[dH]]-'Find a similar substance'!$F$5)^2)</f>
        <v>9.6503885932121918</v>
      </c>
    </row>
    <row r="864" spans="1:7" x14ac:dyDescent="0.25">
      <c r="A864" s="2" t="s">
        <v>1780</v>
      </c>
      <c r="B864" s="2" t="s">
        <v>1779</v>
      </c>
      <c r="C864" s="2">
        <v>16</v>
      </c>
      <c r="D864" s="2">
        <v>0</v>
      </c>
      <c r="E864" s="2">
        <v>1</v>
      </c>
      <c r="F864" s="2" t="str">
        <f>IFERROR(VLOOKUP(B864,Tabla2[],5,FALSE),"")</f>
        <v/>
      </c>
      <c r="G864" s="2">
        <f>SQRT(4*(Tabla1[[#This Row],[dD]]-'Find a similar substance'!$D$5)^2+('Find a similar substance'!$E$5-Tabla1[[#This Row],[dP]])^2+(Tabla1[[#This Row],[dH]]-'Find a similar substance'!$F$5)^2)</f>
        <v>9.6503885932121918</v>
      </c>
    </row>
    <row r="865" spans="1:7" x14ac:dyDescent="0.25">
      <c r="A865" s="2" t="s">
        <v>1782</v>
      </c>
      <c r="B865" s="2" t="s">
        <v>1781</v>
      </c>
      <c r="C865" s="2">
        <v>14</v>
      </c>
      <c r="D865" s="2">
        <v>4.7</v>
      </c>
      <c r="E865" s="2">
        <v>6</v>
      </c>
      <c r="F865" s="2" t="str">
        <f>IFERROR(VLOOKUP(B865,Tabla2[],5,FALSE),"")</f>
        <v/>
      </c>
      <c r="G865" s="2">
        <f>SQRT(4*(Tabla1[[#This Row],[dD]]-'Find a similar substance'!$D$5)^2+('Find a similar substance'!$E$5-Tabla1[[#This Row],[dP]])^2+(Tabla1[[#This Row],[dH]]-'Find a similar substance'!$F$5)^2)</f>
        <v>6.6362640092148251</v>
      </c>
    </row>
    <row r="866" spans="1:7" x14ac:dyDescent="0.25">
      <c r="A866" s="2" t="s">
        <v>1783</v>
      </c>
      <c r="B866" s="2" t="s">
        <v>59</v>
      </c>
      <c r="C866" s="2">
        <v>16</v>
      </c>
      <c r="D866" s="2">
        <v>9</v>
      </c>
      <c r="E866" s="2">
        <v>5.0999999999999996</v>
      </c>
      <c r="F866" s="2">
        <f>IFERROR(VLOOKUP(B866,Tabla2[],5,FALSE),"")</f>
        <v>90.2</v>
      </c>
      <c r="G866" s="2">
        <f>SQRT(4*(Tabla1[[#This Row],[dD]]-'Find a similar substance'!$D$5)^2+('Find a similar substance'!$E$5-Tabla1[[#This Row],[dP]])^2+(Tabla1[[#This Row],[dH]]-'Find a similar substance'!$F$5)^2)</f>
        <v>1.2409673645990886</v>
      </c>
    </row>
    <row r="867" spans="1:7" x14ac:dyDescent="0.25">
      <c r="A867" s="2" t="s">
        <v>1785</v>
      </c>
      <c r="B867" s="2" t="s">
        <v>1784</v>
      </c>
      <c r="C867" s="2">
        <v>14.7</v>
      </c>
      <c r="D867" s="2">
        <v>4.9000000000000004</v>
      </c>
      <c r="E867" s="2">
        <v>7.8</v>
      </c>
      <c r="F867" s="2" t="str">
        <f>IFERROR(VLOOKUP(B867,Tabla2[],5,FALSE),"")</f>
        <v/>
      </c>
      <c r="G867" s="2">
        <f>SQRT(4*(Tabla1[[#This Row],[dD]]-'Find a similar substance'!$D$5)^2+('Find a similar substance'!$E$5-Tabla1[[#This Row],[dP]])^2+(Tabla1[[#This Row],[dH]]-'Find a similar substance'!$F$5)^2)</f>
        <v>6.0597029630172488</v>
      </c>
    </row>
    <row r="868" spans="1:7" x14ac:dyDescent="0.25">
      <c r="A868" s="2" t="s">
        <v>1787</v>
      </c>
      <c r="B868" s="2" t="s">
        <v>1786</v>
      </c>
      <c r="C868" s="2">
        <v>15.3</v>
      </c>
      <c r="D868" s="2">
        <v>8.4</v>
      </c>
      <c r="E868" s="2">
        <v>10.199999999999999</v>
      </c>
      <c r="F868" s="2" t="str">
        <f>IFERROR(VLOOKUP(B868,Tabla2[],5,FALSE),"")</f>
        <v/>
      </c>
      <c r="G868" s="2">
        <f>SQRT(4*(Tabla1[[#This Row],[dD]]-'Find a similar substance'!$D$5)^2+('Find a similar substance'!$E$5-Tabla1[[#This Row],[dP]])^2+(Tabla1[[#This Row],[dH]]-'Find a similar substance'!$F$5)^2)</f>
        <v>5.8215118311311542</v>
      </c>
    </row>
    <row r="869" spans="1:7" x14ac:dyDescent="0.25">
      <c r="A869" s="2" t="s">
        <v>1789</v>
      </c>
      <c r="B869" s="2" t="s">
        <v>1788</v>
      </c>
      <c r="C869" s="2">
        <v>17.399999999999999</v>
      </c>
      <c r="D869" s="2">
        <v>6.9</v>
      </c>
      <c r="E869" s="2">
        <v>9.6999999999999993</v>
      </c>
      <c r="F869" s="2" t="str">
        <f>IFERROR(VLOOKUP(B869,Tabla2[],5,FALSE),"")</f>
        <v/>
      </c>
      <c r="G869" s="2">
        <f>SQRT(4*(Tabla1[[#This Row],[dD]]-'Find a similar substance'!$D$5)^2+('Find a similar substance'!$E$5-Tabla1[[#This Row],[dP]])^2+(Tabla1[[#This Row],[dH]]-'Find a similar substance'!$F$5)^2)</f>
        <v>5.2810983706043553</v>
      </c>
    </row>
    <row r="870" spans="1:7" x14ac:dyDescent="0.25">
      <c r="A870" s="2" t="s">
        <v>1791</v>
      </c>
      <c r="B870" s="2" t="s">
        <v>1790</v>
      </c>
      <c r="C870" s="2">
        <v>15.5</v>
      </c>
      <c r="D870" s="2">
        <v>16.100000000000001</v>
      </c>
      <c r="E870" s="2">
        <v>9.6999999999999993</v>
      </c>
      <c r="F870" s="2" t="str">
        <f>IFERROR(VLOOKUP(B870,Tabla2[],5,FALSE),"")</f>
        <v/>
      </c>
      <c r="G870" s="2">
        <f>SQRT(4*(Tabla1[[#This Row],[dD]]-'Find a similar substance'!$D$5)^2+('Find a similar substance'!$E$5-Tabla1[[#This Row],[dP]])^2+(Tabla1[[#This Row],[dH]]-'Find a similar substance'!$F$5)^2)</f>
        <v>9.0382520433986588</v>
      </c>
    </row>
    <row r="871" spans="1:7" x14ac:dyDescent="0.25">
      <c r="A871" s="2" t="s">
        <v>1793</v>
      </c>
      <c r="B871" s="2" t="s">
        <v>1792</v>
      </c>
      <c r="C871" s="2">
        <v>16.2</v>
      </c>
      <c r="D871" s="2">
        <v>8.6999999999999993</v>
      </c>
      <c r="E871" s="2">
        <v>14.8</v>
      </c>
      <c r="F871" s="2" t="str">
        <f>IFERROR(VLOOKUP(B871,Tabla2[],5,FALSE),"")</f>
        <v/>
      </c>
      <c r="G871" s="2">
        <f>SQRT(4*(Tabla1[[#This Row],[dD]]-'Find a similar substance'!$D$5)^2+('Find a similar substance'!$E$5-Tabla1[[#This Row],[dP]])^2+(Tabla1[[#This Row],[dH]]-'Find a similar substance'!$F$5)^2)</f>
        <v>9.8325988426254849</v>
      </c>
    </row>
    <row r="872" spans="1:7" x14ac:dyDescent="0.25">
      <c r="A872" s="2" t="s">
        <v>1795</v>
      </c>
      <c r="B872" s="2" t="s">
        <v>1794</v>
      </c>
      <c r="C872" s="2">
        <v>15</v>
      </c>
      <c r="D872" s="2">
        <v>15</v>
      </c>
      <c r="E872" s="2">
        <v>30</v>
      </c>
      <c r="F872" s="2" t="str">
        <f>IFERROR(VLOOKUP(B872,Tabla2[],5,FALSE),"")</f>
        <v/>
      </c>
      <c r="G872" s="2">
        <f>SQRT(4*(Tabla1[[#This Row],[dD]]-'Find a similar substance'!$D$5)^2+('Find a similar substance'!$E$5-Tabla1[[#This Row],[dP]])^2+(Tabla1[[#This Row],[dH]]-'Find a similar substance'!$F$5)^2)</f>
        <v>25.979414927977114</v>
      </c>
    </row>
    <row r="873" spans="1:7" x14ac:dyDescent="0.25">
      <c r="A873" s="2" t="s">
        <v>1797</v>
      </c>
      <c r="B873" s="2" t="s">
        <v>1796</v>
      </c>
      <c r="C873" s="2">
        <v>17.5</v>
      </c>
      <c r="D873" s="2">
        <v>7.7</v>
      </c>
      <c r="E873" s="2">
        <v>5.3</v>
      </c>
      <c r="F873" s="2" t="str">
        <f>IFERROR(VLOOKUP(B873,Tabla2[],5,FALSE),"")</f>
        <v/>
      </c>
      <c r="G873" s="2">
        <f>SQRT(4*(Tabla1[[#This Row],[dD]]-'Find a similar substance'!$D$5)^2+('Find a similar substance'!$E$5-Tabla1[[#This Row],[dP]])^2+(Tabla1[[#This Row],[dH]]-'Find a similar substance'!$F$5)^2)</f>
        <v>2.0808652046684784</v>
      </c>
    </row>
    <row r="874" spans="1:7" x14ac:dyDescent="0.25">
      <c r="A874" s="2" t="s">
        <v>1799</v>
      </c>
      <c r="B874" s="2" t="s">
        <v>1798</v>
      </c>
      <c r="C874" s="2">
        <v>16</v>
      </c>
      <c r="D874" s="2">
        <v>5.7</v>
      </c>
      <c r="E874" s="2">
        <v>4.0999999999999996</v>
      </c>
      <c r="F874" s="2" t="str">
        <f>IFERROR(VLOOKUP(B874,Tabla2[],5,FALSE),"")</f>
        <v/>
      </c>
      <c r="G874" s="2">
        <f>SQRT(4*(Tabla1[[#This Row],[dD]]-'Find a similar substance'!$D$5)^2+('Find a similar substance'!$E$5-Tabla1[[#This Row],[dP]])^2+(Tabla1[[#This Row],[dH]]-'Find a similar substance'!$F$5)^2)</f>
        <v>3.3541019662496847</v>
      </c>
    </row>
    <row r="875" spans="1:7" x14ac:dyDescent="0.25">
      <c r="A875" s="2" t="s">
        <v>1801</v>
      </c>
      <c r="B875" s="2" t="s">
        <v>1800</v>
      </c>
      <c r="C875" s="2">
        <v>15.4</v>
      </c>
      <c r="D875" s="2">
        <v>3.3</v>
      </c>
      <c r="E875" s="2">
        <v>12.3</v>
      </c>
      <c r="F875" s="2" t="str">
        <f>IFERROR(VLOOKUP(B875,Tabla2[],5,FALSE),"")</f>
        <v/>
      </c>
      <c r="G875" s="2">
        <f>SQRT(4*(Tabla1[[#This Row],[dD]]-'Find a similar substance'!$D$5)^2+('Find a similar substance'!$E$5-Tabla1[[#This Row],[dP]])^2+(Tabla1[[#This Row],[dH]]-'Find a similar substance'!$F$5)^2)</f>
        <v>9.3920178875468512</v>
      </c>
    </row>
    <row r="876" spans="1:7" x14ac:dyDescent="0.25">
      <c r="A876" s="2" t="s">
        <v>1803</v>
      </c>
      <c r="B876" s="2" t="s">
        <v>1802</v>
      </c>
      <c r="C876" s="2">
        <v>15.3</v>
      </c>
      <c r="D876" s="2">
        <v>6.1</v>
      </c>
      <c r="E876" s="2">
        <v>4.0999999999999996</v>
      </c>
      <c r="F876" s="2" t="str">
        <f>IFERROR(VLOOKUP(B876,Tabla2[],5,FALSE),"")</f>
        <v/>
      </c>
      <c r="G876" s="2">
        <f>SQRT(4*(Tabla1[[#This Row],[dD]]-'Find a similar substance'!$D$5)^2+('Find a similar substance'!$E$5-Tabla1[[#This Row],[dP]])^2+(Tabla1[[#This Row],[dH]]-'Find a similar substance'!$F$5)^2)</f>
        <v>3.785498646149541</v>
      </c>
    </row>
    <row r="877" spans="1:7" x14ac:dyDescent="0.25">
      <c r="A877" s="2" t="s">
        <v>1805</v>
      </c>
      <c r="B877" s="2" t="s">
        <v>1804</v>
      </c>
      <c r="C877" s="2">
        <v>15.6</v>
      </c>
      <c r="D877" s="2">
        <v>11.5</v>
      </c>
      <c r="E877" s="2">
        <v>2.5</v>
      </c>
      <c r="F877" s="2" t="str">
        <f>IFERROR(VLOOKUP(B877,Tabla2[],5,FALSE),"")</f>
        <v/>
      </c>
      <c r="G877" s="2">
        <f>SQRT(4*(Tabla1[[#This Row],[dD]]-'Find a similar substance'!$D$5)^2+('Find a similar substance'!$E$5-Tabla1[[#This Row],[dP]])^2+(Tabla1[[#This Row],[dH]]-'Find a similar substance'!$F$5)^2)</f>
        <v>4.2532340636273496</v>
      </c>
    </row>
    <row r="878" spans="1:7" x14ac:dyDescent="0.25">
      <c r="A878" s="2" t="s">
        <v>1807</v>
      </c>
      <c r="B878" s="2" t="s">
        <v>1806</v>
      </c>
      <c r="C878" s="2">
        <v>15.9</v>
      </c>
      <c r="D878" s="2">
        <v>12.1</v>
      </c>
      <c r="E878" s="2">
        <v>4.5</v>
      </c>
      <c r="F878" s="2" t="str">
        <f>IFERROR(VLOOKUP(B878,Tabla2[],5,FALSE),"")</f>
        <v/>
      </c>
      <c r="G878" s="2">
        <f>SQRT(4*(Tabla1[[#This Row],[dD]]-'Find a similar substance'!$D$5)^2+('Find a similar substance'!$E$5-Tabla1[[#This Row],[dP]])^2+(Tabla1[[#This Row],[dH]]-'Find a similar substance'!$F$5)^2)</f>
        <v>3.7107950630558957</v>
      </c>
    </row>
    <row r="879" spans="1:7" x14ac:dyDescent="0.25">
      <c r="A879" s="2" t="s">
        <v>1809</v>
      </c>
      <c r="B879" s="2" t="s">
        <v>1808</v>
      </c>
      <c r="C879" s="2">
        <v>17.3</v>
      </c>
      <c r="D879" s="2">
        <v>16.2</v>
      </c>
      <c r="E879" s="2">
        <v>10.1</v>
      </c>
      <c r="F879" s="2" t="str">
        <f>IFERROR(VLOOKUP(B879,Tabla2[],5,FALSE),"")</f>
        <v/>
      </c>
      <c r="G879" s="2">
        <f>SQRT(4*(Tabla1[[#This Row],[dD]]-'Find a similar substance'!$D$5)^2+('Find a similar substance'!$E$5-Tabla1[[#This Row],[dP]])^2+(Tabla1[[#This Row],[dH]]-'Find a similar substance'!$F$5)^2)</f>
        <v>9.1771455257067807</v>
      </c>
    </row>
    <row r="880" spans="1:7" x14ac:dyDescent="0.25">
      <c r="A880" s="2" t="s">
        <v>1811</v>
      </c>
      <c r="B880" s="2" t="s">
        <v>1810</v>
      </c>
      <c r="C880" s="2">
        <v>16.600000000000001</v>
      </c>
      <c r="D880" s="2">
        <v>7.7</v>
      </c>
      <c r="E880" s="2">
        <v>8.6</v>
      </c>
      <c r="F880" s="2" t="str">
        <f>IFERROR(VLOOKUP(B880,Tabla2[],5,FALSE),"")</f>
        <v/>
      </c>
      <c r="G880" s="2">
        <f>SQRT(4*(Tabla1[[#This Row],[dD]]-'Find a similar substance'!$D$5)^2+('Find a similar substance'!$E$5-Tabla1[[#This Row],[dP]])^2+(Tabla1[[#This Row],[dH]]-'Find a similar substance'!$F$5)^2)</f>
        <v>3.7363083384538802</v>
      </c>
    </row>
    <row r="881" spans="1:7" x14ac:dyDescent="0.25">
      <c r="A881" s="2" t="s">
        <v>1813</v>
      </c>
      <c r="B881" s="2" t="s">
        <v>1812</v>
      </c>
      <c r="C881" s="2">
        <v>15.8</v>
      </c>
      <c r="D881" s="2">
        <v>6.5</v>
      </c>
      <c r="E881" s="2">
        <v>5.4</v>
      </c>
      <c r="F881" s="2" t="str">
        <f>IFERROR(VLOOKUP(B881,Tabla2[],5,FALSE),"")</f>
        <v/>
      </c>
      <c r="G881" s="2">
        <f>SQRT(4*(Tabla1[[#This Row],[dD]]-'Find a similar substance'!$D$5)^2+('Find a similar substance'!$E$5-Tabla1[[#This Row],[dP]])^2+(Tabla1[[#This Row],[dH]]-'Find a similar substance'!$F$5)^2)</f>
        <v>2.7495454169735045</v>
      </c>
    </row>
    <row r="882" spans="1:7" x14ac:dyDescent="0.25">
      <c r="A882" s="2" t="s">
        <v>1815</v>
      </c>
      <c r="B882" s="2" t="s">
        <v>1814</v>
      </c>
      <c r="C882" s="2">
        <v>16.2</v>
      </c>
      <c r="D882" s="2">
        <v>5.7</v>
      </c>
      <c r="E882" s="2">
        <v>4.0999999999999996</v>
      </c>
      <c r="F882" s="2" t="str">
        <f>IFERROR(VLOOKUP(B882,Tabla2[],5,FALSE),"")</f>
        <v/>
      </c>
      <c r="G882" s="2">
        <f>SQRT(4*(Tabla1[[#This Row],[dD]]-'Find a similar substance'!$D$5)^2+('Find a similar substance'!$E$5-Tabla1[[#This Row],[dP]])^2+(Tabla1[[#This Row],[dH]]-'Find a similar substance'!$F$5)^2)</f>
        <v>3.2326459750489227</v>
      </c>
    </row>
    <row r="883" spans="1:7" x14ac:dyDescent="0.25">
      <c r="A883" s="2" t="s">
        <v>1817</v>
      </c>
      <c r="B883" s="2" t="s">
        <v>1816</v>
      </c>
      <c r="C883" s="2">
        <v>16</v>
      </c>
      <c r="D883" s="2">
        <v>7.6</v>
      </c>
      <c r="E883" s="2">
        <v>4.7</v>
      </c>
      <c r="F883" s="2" t="str">
        <f>IFERROR(VLOOKUP(B883,Tabla2[],5,FALSE),"")</f>
        <v/>
      </c>
      <c r="G883" s="2">
        <f>SQRT(4*(Tabla1[[#This Row],[dD]]-'Find a similar substance'!$D$5)^2+('Find a similar substance'!$E$5-Tabla1[[#This Row],[dP]])^2+(Tabla1[[#This Row],[dH]]-'Find a similar substance'!$F$5)^2)</f>
        <v>1.6552945357246867</v>
      </c>
    </row>
    <row r="884" spans="1:7" x14ac:dyDescent="0.25">
      <c r="A884" s="2" t="s">
        <v>1819</v>
      </c>
      <c r="B884" s="2" t="s">
        <v>1818</v>
      </c>
      <c r="C884" s="2">
        <v>15.8</v>
      </c>
      <c r="D884" s="2">
        <v>14</v>
      </c>
      <c r="E884" s="2">
        <v>4.8</v>
      </c>
      <c r="F884" s="2" t="str">
        <f>IFERROR(VLOOKUP(B884,Tabla2[],5,FALSE),"")</f>
        <v/>
      </c>
      <c r="G884" s="2">
        <f>SQRT(4*(Tabla1[[#This Row],[dD]]-'Find a similar substance'!$D$5)^2+('Find a similar substance'!$E$5-Tabla1[[#This Row],[dP]])^2+(Tabla1[[#This Row],[dH]]-'Find a similar substance'!$F$5)^2)</f>
        <v>5.5398555937858172</v>
      </c>
    </row>
    <row r="885" spans="1:7" x14ac:dyDescent="0.25">
      <c r="A885" s="2" t="s">
        <v>1820</v>
      </c>
      <c r="B885" s="2" t="s">
        <v>63</v>
      </c>
      <c r="C885" s="2">
        <v>16.2</v>
      </c>
      <c r="D885" s="2">
        <v>3.8</v>
      </c>
      <c r="E885" s="2">
        <v>4.5</v>
      </c>
      <c r="F885" s="2">
        <f>IFERROR(VLOOKUP(B885,Tabla2[],5,FALSE),"")</f>
        <v>340.7</v>
      </c>
      <c r="G885" s="2">
        <f>SQRT(4*(Tabla1[[#This Row],[dD]]-'Find a similar substance'!$D$5)^2+('Find a similar substance'!$E$5-Tabla1[[#This Row],[dP]])^2+(Tabla1[[#This Row],[dH]]-'Find a similar substance'!$F$5)^2)</f>
        <v>4.9899899799498595</v>
      </c>
    </row>
    <row r="886" spans="1:7" x14ac:dyDescent="0.25">
      <c r="A886" s="2" t="s">
        <v>1822</v>
      </c>
      <c r="B886" s="2" t="s">
        <v>1821</v>
      </c>
      <c r="C886" s="2">
        <v>19.600000000000001</v>
      </c>
      <c r="D886" s="2">
        <v>4.8</v>
      </c>
      <c r="E886" s="2">
        <v>4.7</v>
      </c>
      <c r="F886" s="2" t="str">
        <f>IFERROR(VLOOKUP(B886,Tabla2[],5,FALSE),"")</f>
        <v/>
      </c>
      <c r="G886" s="2">
        <f>SQRT(4*(Tabla1[[#This Row],[dD]]-'Find a similar substance'!$D$5)^2+('Find a similar substance'!$E$5-Tabla1[[#This Row],[dP]])^2+(Tabla1[[#This Row],[dH]]-'Find a similar substance'!$F$5)^2)</f>
        <v>7.1624018317879932</v>
      </c>
    </row>
    <row r="887" spans="1:7" x14ac:dyDescent="0.25">
      <c r="A887" s="2" t="s">
        <v>1824</v>
      </c>
      <c r="B887" s="2" t="s">
        <v>1823</v>
      </c>
      <c r="C887" s="2">
        <v>20</v>
      </c>
      <c r="D887" s="2">
        <v>16.899999999999999</v>
      </c>
      <c r="E887" s="2">
        <v>7.8</v>
      </c>
      <c r="F887" s="2" t="str">
        <f>IFERROR(VLOOKUP(B887,Tabla2[],5,FALSE),"")</f>
        <v/>
      </c>
      <c r="G887" s="2">
        <f>SQRT(4*(Tabla1[[#This Row],[dD]]-'Find a similar substance'!$D$5)^2+('Find a similar substance'!$E$5-Tabla1[[#This Row],[dP]])^2+(Tabla1[[#This Row],[dH]]-'Find a similar substance'!$F$5)^2)</f>
        <v>11.014535850411489</v>
      </c>
    </row>
    <row r="888" spans="1:7" x14ac:dyDescent="0.25">
      <c r="A888" s="2" t="s">
        <v>1826</v>
      </c>
      <c r="B888" s="2" t="s">
        <v>1825</v>
      </c>
      <c r="C888" s="2">
        <v>14</v>
      </c>
      <c r="D888" s="2">
        <v>14</v>
      </c>
      <c r="E888" s="2">
        <v>8.4</v>
      </c>
      <c r="F888" s="2" t="str">
        <f>IFERROR(VLOOKUP(B888,Tabla2[],5,FALSE),"")</f>
        <v/>
      </c>
      <c r="G888" s="2">
        <f>SQRT(4*(Tabla1[[#This Row],[dD]]-'Find a similar substance'!$D$5)^2+('Find a similar substance'!$E$5-Tabla1[[#This Row],[dP]])^2+(Tabla1[[#This Row],[dH]]-'Find a similar substance'!$F$5)^2)</f>
        <v>8.166394553289722</v>
      </c>
    </row>
    <row r="889" spans="1:7" x14ac:dyDescent="0.25">
      <c r="A889" s="2" t="s">
        <v>1828</v>
      </c>
      <c r="B889" s="2" t="s">
        <v>1827</v>
      </c>
      <c r="C889" s="2">
        <v>15.5</v>
      </c>
      <c r="D889" s="2">
        <v>6.5</v>
      </c>
      <c r="E889" s="2">
        <v>7.7</v>
      </c>
      <c r="F889" s="2" t="str">
        <f>IFERROR(VLOOKUP(B889,Tabla2[],5,FALSE),"")</f>
        <v/>
      </c>
      <c r="G889" s="2">
        <f>SQRT(4*(Tabla1[[#This Row],[dD]]-'Find a similar substance'!$D$5)^2+('Find a similar substance'!$E$5-Tabla1[[#This Row],[dP]])^2+(Tabla1[[#This Row],[dH]]-'Find a similar substance'!$F$5)^2)</f>
        <v>4.1194659848091977</v>
      </c>
    </row>
    <row r="890" spans="1:7" x14ac:dyDescent="0.25">
      <c r="A890" s="2" t="s">
        <v>633</v>
      </c>
      <c r="B890" s="2" t="s">
        <v>1829</v>
      </c>
      <c r="C890" s="2">
        <v>17</v>
      </c>
      <c r="D890" s="2">
        <v>12</v>
      </c>
      <c r="E890" s="2">
        <v>32.799999999999997</v>
      </c>
      <c r="F890" s="2" t="str">
        <f>IFERROR(VLOOKUP(B890,Tabla2[],5,FALSE),"")</f>
        <v/>
      </c>
      <c r="G890" s="2">
        <f>SQRT(4*(Tabla1[[#This Row],[dD]]-'Find a similar substance'!$D$5)^2+('Find a similar substance'!$E$5-Tabla1[[#This Row],[dP]])^2+(Tabla1[[#This Row],[dH]]-'Find a similar substance'!$F$5)^2)</f>
        <v>28.006606363499305</v>
      </c>
    </row>
    <row r="891" spans="1:7" x14ac:dyDescent="0.25">
      <c r="A891" s="2" t="s">
        <v>1831</v>
      </c>
      <c r="B891" s="2" t="s">
        <v>1830</v>
      </c>
      <c r="C891" s="2">
        <v>18.100000000000001</v>
      </c>
      <c r="D891" s="2">
        <v>8</v>
      </c>
      <c r="E891" s="2">
        <v>13.9</v>
      </c>
      <c r="F891" s="2" t="str">
        <f>IFERROR(VLOOKUP(B891,Tabla2[],5,FALSE),"")</f>
        <v/>
      </c>
      <c r="G891" s="2">
        <f>SQRT(4*(Tabla1[[#This Row],[dD]]-'Find a similar substance'!$D$5)^2+('Find a similar substance'!$E$5-Tabla1[[#This Row],[dP]])^2+(Tabla1[[#This Row],[dH]]-'Find a similar substance'!$F$5)^2)</f>
        <v>9.4180677423768842</v>
      </c>
    </row>
    <row r="892" spans="1:7" x14ac:dyDescent="0.25">
      <c r="A892" s="2" t="s">
        <v>1833</v>
      </c>
      <c r="B892" s="2" t="s">
        <v>1832</v>
      </c>
      <c r="C892" s="2">
        <v>15.5</v>
      </c>
      <c r="D892" s="2">
        <v>3.3</v>
      </c>
      <c r="E892" s="2">
        <v>0</v>
      </c>
      <c r="F892" s="2" t="str">
        <f>IFERROR(VLOOKUP(B892,Tabla2[],5,FALSE),"")</f>
        <v/>
      </c>
      <c r="G892" s="2">
        <f>SQRT(4*(Tabla1[[#This Row],[dD]]-'Find a similar substance'!$D$5)^2+('Find a similar substance'!$E$5-Tabla1[[#This Row],[dP]])^2+(Tabla1[[#This Row],[dH]]-'Find a similar substance'!$F$5)^2)</f>
        <v>7.6811457478686087</v>
      </c>
    </row>
    <row r="893" spans="1:7" x14ac:dyDescent="0.25">
      <c r="A893" s="2" t="s">
        <v>1835</v>
      </c>
      <c r="B893" s="2" t="s">
        <v>1834</v>
      </c>
      <c r="C893" s="2">
        <v>19</v>
      </c>
      <c r="D893" s="2">
        <v>17.399999999999999</v>
      </c>
      <c r="E893" s="2">
        <v>5.3</v>
      </c>
      <c r="F893" s="2" t="str">
        <f>IFERROR(VLOOKUP(B893,Tabla2[],5,FALSE),"")</f>
        <v/>
      </c>
      <c r="G893" s="2">
        <f>SQRT(4*(Tabla1[[#This Row],[dD]]-'Find a similar substance'!$D$5)^2+('Find a similar substance'!$E$5-Tabla1[[#This Row],[dP]])^2+(Tabla1[[#This Row],[dH]]-'Find a similar substance'!$F$5)^2)</f>
        <v>9.9408249154685322</v>
      </c>
    </row>
    <row r="894" spans="1:7" x14ac:dyDescent="0.25">
      <c r="A894" s="2" t="s">
        <v>1837</v>
      </c>
      <c r="B894" s="2" t="s">
        <v>1836</v>
      </c>
      <c r="C894" s="2">
        <v>17.3</v>
      </c>
      <c r="D894" s="2">
        <v>15</v>
      </c>
      <c r="E894" s="2">
        <v>6</v>
      </c>
      <c r="F894" s="2" t="str">
        <f>IFERROR(VLOOKUP(B894,Tabla2[],5,FALSE),"")</f>
        <v/>
      </c>
      <c r="G894" s="2">
        <f>SQRT(4*(Tabla1[[#This Row],[dD]]-'Find a similar substance'!$D$5)^2+('Find a similar substance'!$E$5-Tabla1[[#This Row],[dP]])^2+(Tabla1[[#This Row],[dH]]-'Find a similar substance'!$F$5)^2)</f>
        <v>6.5306967469022785</v>
      </c>
    </row>
    <row r="895" spans="1:7" x14ac:dyDescent="0.25">
      <c r="A895" s="2" t="s">
        <v>1839</v>
      </c>
      <c r="B895" s="2" t="s">
        <v>1838</v>
      </c>
      <c r="C895" s="2">
        <v>14.9</v>
      </c>
      <c r="D895" s="2">
        <v>5.3</v>
      </c>
      <c r="E895" s="2">
        <v>6.3</v>
      </c>
      <c r="F895" s="2" t="str">
        <f>IFERROR(VLOOKUP(B895,Tabla2[],5,FALSE),"")</f>
        <v/>
      </c>
      <c r="G895" s="2">
        <f>SQRT(4*(Tabla1[[#This Row],[dD]]-'Find a similar substance'!$D$5)^2+('Find a similar substance'!$E$5-Tabla1[[#This Row],[dP]])^2+(Tabla1[[#This Row],[dH]]-'Find a similar substance'!$F$5)^2)</f>
        <v>4.9809637621649099</v>
      </c>
    </row>
    <row r="896" spans="1:7" x14ac:dyDescent="0.25">
      <c r="A896" s="2" t="s">
        <v>1841</v>
      </c>
      <c r="B896" s="2" t="s">
        <v>1840</v>
      </c>
      <c r="C896" s="2">
        <v>15.6</v>
      </c>
      <c r="D896" s="2">
        <v>12.5</v>
      </c>
      <c r="E896" s="2">
        <v>5</v>
      </c>
      <c r="F896" s="2" t="str">
        <f>IFERROR(VLOOKUP(B896,Tabla2[],5,FALSE),"")</f>
        <v/>
      </c>
      <c r="G896" s="2">
        <f>SQRT(4*(Tabla1[[#This Row],[dD]]-'Find a similar substance'!$D$5)^2+('Find a similar substance'!$E$5-Tabla1[[#This Row],[dP]])^2+(Tabla1[[#This Row],[dH]]-'Find a similar substance'!$F$5)^2)</f>
        <v>4.2941821107167799</v>
      </c>
    </row>
    <row r="897" spans="1:7" x14ac:dyDescent="0.25">
      <c r="A897" s="2" t="s">
        <v>1843</v>
      </c>
      <c r="B897" s="2" t="s">
        <v>1842</v>
      </c>
      <c r="C897" s="2">
        <v>16.399999999999999</v>
      </c>
      <c r="D897" s="2">
        <v>4.9000000000000004</v>
      </c>
      <c r="E897" s="2">
        <v>6</v>
      </c>
      <c r="F897" s="2" t="str">
        <f>IFERROR(VLOOKUP(B897,Tabla2[],5,FALSE),"")</f>
        <v/>
      </c>
      <c r="G897" s="2">
        <f>SQRT(4*(Tabla1[[#This Row],[dD]]-'Find a similar substance'!$D$5)^2+('Find a similar substance'!$E$5-Tabla1[[#This Row],[dP]])^2+(Tabla1[[#This Row],[dH]]-'Find a similar substance'!$F$5)^2)</f>
        <v>3.9496835316262993</v>
      </c>
    </row>
    <row r="898" spans="1:7" x14ac:dyDescent="0.25">
      <c r="A898" s="2">
        <v>650166</v>
      </c>
      <c r="B898" s="2" t="s">
        <v>1844</v>
      </c>
      <c r="C898" s="2">
        <v>16.8</v>
      </c>
      <c r="D898" s="2">
        <v>19.600000000000001</v>
      </c>
      <c r="E898" s="2">
        <v>4.8</v>
      </c>
      <c r="F898" s="2" t="str">
        <f>IFERROR(VLOOKUP(B898,Tabla2[],5,FALSE),"")</f>
        <v/>
      </c>
      <c r="G898" s="2">
        <f>SQRT(4*(Tabla1[[#This Row],[dD]]-'Find a similar substance'!$D$5)^2+('Find a similar substance'!$E$5-Tabla1[[#This Row],[dP]])^2+(Tabla1[[#This Row],[dH]]-'Find a similar substance'!$F$5)^2)</f>
        <v>10.909170454255449</v>
      </c>
    </row>
    <row r="899" spans="1:7" x14ac:dyDescent="0.25">
      <c r="A899" s="2" t="s">
        <v>1846</v>
      </c>
      <c r="B899" s="2" t="s">
        <v>1845</v>
      </c>
      <c r="C899" s="2">
        <v>15.7</v>
      </c>
      <c r="D899" s="2">
        <v>6.3</v>
      </c>
      <c r="E899" s="2">
        <v>5.9</v>
      </c>
      <c r="F899" s="2" t="str">
        <f>IFERROR(VLOOKUP(B899,Tabla2[],5,FALSE),"")</f>
        <v/>
      </c>
      <c r="G899" s="2">
        <f>SQRT(4*(Tabla1[[#This Row],[dD]]-'Find a similar substance'!$D$5)^2+('Find a similar substance'!$E$5-Tabla1[[#This Row],[dP]])^2+(Tabla1[[#This Row],[dH]]-'Find a similar substance'!$F$5)^2)</f>
        <v>3.132091952673167</v>
      </c>
    </row>
    <row r="900" spans="1:7" x14ac:dyDescent="0.25">
      <c r="A900" s="2" t="s">
        <v>1848</v>
      </c>
      <c r="B900" s="2" t="s">
        <v>1847</v>
      </c>
      <c r="C900" s="2">
        <v>19.600000000000001</v>
      </c>
      <c r="D900" s="2">
        <v>15.3</v>
      </c>
      <c r="E900" s="2">
        <v>3.8</v>
      </c>
      <c r="F900" s="2" t="str">
        <f>IFERROR(VLOOKUP(B900,Tabla2[],5,FALSE),"")</f>
        <v/>
      </c>
      <c r="G900" s="2">
        <f>SQRT(4*(Tabla1[[#This Row],[dD]]-'Find a similar substance'!$D$5)^2+('Find a similar substance'!$E$5-Tabla1[[#This Row],[dP]])^2+(Tabla1[[#This Row],[dH]]-'Find a similar substance'!$F$5)^2)</f>
        <v>9</v>
      </c>
    </row>
    <row r="901" spans="1:7" x14ac:dyDescent="0.25">
      <c r="A901" s="2" t="s">
        <v>1850</v>
      </c>
      <c r="B901" s="2" t="s">
        <v>1849</v>
      </c>
      <c r="C901" s="2">
        <v>19</v>
      </c>
      <c r="D901" s="2">
        <v>6.5</v>
      </c>
      <c r="E901" s="2">
        <v>3.8</v>
      </c>
      <c r="F901" s="2" t="str">
        <f>IFERROR(VLOOKUP(B901,Tabla2[],5,FALSE),"")</f>
        <v/>
      </c>
      <c r="G901" s="2">
        <f>SQRT(4*(Tabla1[[#This Row],[dD]]-'Find a similar substance'!$D$5)^2+('Find a similar substance'!$E$5-Tabla1[[#This Row],[dP]])^2+(Tabla1[[#This Row],[dH]]-'Find a similar substance'!$F$5)^2)</f>
        <v>5.4147945482723507</v>
      </c>
    </row>
    <row r="902" spans="1:7" x14ac:dyDescent="0.25">
      <c r="A902" s="2" t="s">
        <v>1852</v>
      </c>
      <c r="B902" s="2" t="s">
        <v>1851</v>
      </c>
      <c r="C902" s="2">
        <v>14.8</v>
      </c>
      <c r="D902" s="2">
        <v>4.3</v>
      </c>
      <c r="E902" s="2">
        <v>5</v>
      </c>
      <c r="F902" s="2" t="str">
        <f>IFERROR(VLOOKUP(B902,Tabla2[],5,FALSE),"")</f>
        <v/>
      </c>
      <c r="G902" s="2">
        <f>SQRT(4*(Tabla1[[#This Row],[dD]]-'Find a similar substance'!$D$5)^2+('Find a similar substance'!$E$5-Tabla1[[#This Row],[dP]])^2+(Tabla1[[#This Row],[dH]]-'Find a similar substance'!$F$5)^2)</f>
        <v>5.6850681614207588</v>
      </c>
    </row>
    <row r="903" spans="1:7" x14ac:dyDescent="0.25">
      <c r="A903" s="2" t="s">
        <v>1276</v>
      </c>
      <c r="B903" s="2" t="s">
        <v>2469</v>
      </c>
      <c r="C903" s="2">
        <v>15</v>
      </c>
      <c r="D903" s="2">
        <v>1.8</v>
      </c>
      <c r="E903" s="2">
        <v>8.6</v>
      </c>
      <c r="F903" s="2" t="str">
        <f>IFERROR(VLOOKUP(B903,Tabla2[],5,FALSE),"")</f>
        <v/>
      </c>
      <c r="G903" s="2">
        <f>SQRT(4*(Tabla1[[#This Row],[dD]]-'Find a similar substance'!$D$5)^2+('Find a similar substance'!$E$5-Tabla1[[#This Row],[dP]])^2+(Tabla1[[#This Row],[dH]]-'Find a similar substance'!$F$5)^2)</f>
        <v>8.4148677945645716</v>
      </c>
    </row>
    <row r="904" spans="1:7" x14ac:dyDescent="0.25">
      <c r="A904" s="2" t="s">
        <v>1854</v>
      </c>
      <c r="B904" s="2" t="s">
        <v>1853</v>
      </c>
      <c r="C904" s="2">
        <v>17</v>
      </c>
      <c r="D904" s="2">
        <v>7.3</v>
      </c>
      <c r="E904" s="2">
        <v>7.1</v>
      </c>
      <c r="F904" s="2" t="str">
        <f>IFERROR(VLOOKUP(B904,Tabla2[],5,FALSE),"")</f>
        <v/>
      </c>
      <c r="G904" s="2">
        <f>SQRT(4*(Tabla1[[#This Row],[dD]]-'Find a similar substance'!$D$5)^2+('Find a similar substance'!$E$5-Tabla1[[#This Row],[dP]])^2+(Tabla1[[#This Row],[dH]]-'Find a similar substance'!$F$5)^2)</f>
        <v>2.647640458974744</v>
      </c>
    </row>
    <row r="905" spans="1:7" x14ac:dyDescent="0.25">
      <c r="A905" s="2" t="s">
        <v>1856</v>
      </c>
      <c r="B905" s="2" t="s">
        <v>1855</v>
      </c>
      <c r="C905" s="2">
        <v>22</v>
      </c>
      <c r="D905" s="2">
        <v>3.9</v>
      </c>
      <c r="E905" s="2">
        <v>5.5</v>
      </c>
      <c r="F905" s="2" t="str">
        <f>IFERROR(VLOOKUP(B905,Tabla2[],5,FALSE),"")</f>
        <v/>
      </c>
      <c r="G905" s="2">
        <f>SQRT(4*(Tabla1[[#This Row],[dD]]-'Find a similar substance'!$D$5)^2+('Find a similar substance'!$E$5-Tabla1[[#This Row],[dP]])^2+(Tabla1[[#This Row],[dH]]-'Find a similar substance'!$F$5)^2)</f>
        <v>11.829201156460226</v>
      </c>
    </row>
    <row r="906" spans="1:7" x14ac:dyDescent="0.25">
      <c r="A906" s="2" t="s">
        <v>1858</v>
      </c>
      <c r="B906" s="2" t="s">
        <v>1857</v>
      </c>
      <c r="C906" s="2">
        <v>18</v>
      </c>
      <c r="D906" s="2">
        <v>4.9000000000000004</v>
      </c>
      <c r="E906" s="2">
        <v>11</v>
      </c>
      <c r="F906" s="2" t="str">
        <f>IFERROR(VLOOKUP(B906,Tabla2[],5,FALSE),"")</f>
        <v/>
      </c>
      <c r="G906" s="2">
        <f>SQRT(4*(Tabla1[[#This Row],[dD]]-'Find a similar substance'!$D$5)^2+('Find a similar substance'!$E$5-Tabla1[[#This Row],[dP]])^2+(Tabla1[[#This Row],[dH]]-'Find a similar substance'!$F$5)^2)</f>
        <v>7.634133873596924</v>
      </c>
    </row>
    <row r="907" spans="1:7" x14ac:dyDescent="0.25">
      <c r="A907" s="2" t="s">
        <v>1860</v>
      </c>
      <c r="B907" s="2" t="s">
        <v>1859</v>
      </c>
      <c r="C907" s="2">
        <v>17.3</v>
      </c>
      <c r="D907" s="2">
        <v>6</v>
      </c>
      <c r="E907" s="2">
        <v>10.5</v>
      </c>
      <c r="F907" s="2" t="str">
        <f>IFERROR(VLOOKUP(B907,Tabla2[],5,FALSE),"")</f>
        <v/>
      </c>
      <c r="G907" s="2">
        <f>SQRT(4*(Tabla1[[#This Row],[dD]]-'Find a similar substance'!$D$5)^2+('Find a similar substance'!$E$5-Tabla1[[#This Row],[dP]])^2+(Tabla1[[#This Row],[dH]]-'Find a similar substance'!$F$5)^2)</f>
        <v>6.2849025449882667</v>
      </c>
    </row>
    <row r="908" spans="1:7" x14ac:dyDescent="0.25">
      <c r="A908" s="2" t="s">
        <v>1862</v>
      </c>
      <c r="B908" s="2" t="s">
        <v>1861</v>
      </c>
      <c r="C908" s="2">
        <v>15.5</v>
      </c>
      <c r="D908" s="2">
        <v>8.9</v>
      </c>
      <c r="E908" s="2">
        <v>6.2</v>
      </c>
      <c r="F908" s="2" t="str">
        <f>IFERROR(VLOOKUP(B908,Tabla2[],5,FALSE),"")</f>
        <v/>
      </c>
      <c r="G908" s="2">
        <f>SQRT(4*(Tabla1[[#This Row],[dD]]-'Find a similar substance'!$D$5)^2+('Find a similar substance'!$E$5-Tabla1[[#This Row],[dP]])^2+(Tabla1[[#This Row],[dH]]-'Find a similar substance'!$F$5)^2)</f>
        <v>2.5139610179953094</v>
      </c>
    </row>
    <row r="909" spans="1:7" x14ac:dyDescent="0.25">
      <c r="A909" s="2" t="s">
        <v>1864</v>
      </c>
      <c r="B909" s="2" t="s">
        <v>1863</v>
      </c>
      <c r="C909" s="2">
        <v>16.8</v>
      </c>
      <c r="D909" s="2">
        <v>7.6</v>
      </c>
      <c r="E909" s="2">
        <v>7.7</v>
      </c>
      <c r="F909" s="2" t="str">
        <f>IFERROR(VLOOKUP(B909,Tabla2[],5,FALSE),"")</f>
        <v/>
      </c>
      <c r="G909" s="2">
        <f>SQRT(4*(Tabla1[[#This Row],[dD]]-'Find a similar substance'!$D$5)^2+('Find a similar substance'!$E$5-Tabla1[[#This Row],[dP]])^2+(Tabla1[[#This Row],[dH]]-'Find a similar substance'!$F$5)^2)</f>
        <v>2.9427877939124318</v>
      </c>
    </row>
    <row r="910" spans="1:7" x14ac:dyDescent="0.25">
      <c r="A910" s="2" t="s">
        <v>1866</v>
      </c>
      <c r="B910" s="2" t="s">
        <v>1865</v>
      </c>
      <c r="C910" s="2">
        <v>16.5</v>
      </c>
      <c r="D910" s="2">
        <v>7.5</v>
      </c>
      <c r="E910" s="2">
        <v>8</v>
      </c>
      <c r="F910" s="2" t="str">
        <f>IFERROR(VLOOKUP(B910,Tabla2[],5,FALSE),"")</f>
        <v/>
      </c>
      <c r="G910" s="2">
        <f>SQRT(4*(Tabla1[[#This Row],[dD]]-'Find a similar substance'!$D$5)^2+('Find a similar substance'!$E$5-Tabla1[[#This Row],[dP]])^2+(Tabla1[[#This Row],[dH]]-'Find a similar substance'!$F$5)^2)</f>
        <v>3.237282811247729</v>
      </c>
    </row>
    <row r="911" spans="1:7" x14ac:dyDescent="0.25">
      <c r="A911" s="2" t="s">
        <v>1868</v>
      </c>
      <c r="B911" s="2" t="s">
        <v>1867</v>
      </c>
      <c r="C911" s="2">
        <v>16.399999999999999</v>
      </c>
      <c r="D911" s="2">
        <v>11.3</v>
      </c>
      <c r="E911" s="2">
        <v>7.5</v>
      </c>
      <c r="F911" s="2" t="str">
        <f>IFERROR(VLOOKUP(B911,Tabla2[],5,FALSE),"")</f>
        <v/>
      </c>
      <c r="G911" s="2">
        <f>SQRT(4*(Tabla1[[#This Row],[dD]]-'Find a similar substance'!$D$5)^2+('Find a similar substance'!$E$5-Tabla1[[#This Row],[dP]])^2+(Tabla1[[#This Row],[dH]]-'Find a similar substance'!$F$5)^2)</f>
        <v>3.6290494623248128</v>
      </c>
    </row>
    <row r="912" spans="1:7" x14ac:dyDescent="0.25">
      <c r="A912" s="2" t="s">
        <v>1870</v>
      </c>
      <c r="B912" s="2" t="s">
        <v>1869</v>
      </c>
      <c r="C912" s="2">
        <v>16.399999999999999</v>
      </c>
      <c r="D912" s="2">
        <v>11.4</v>
      </c>
      <c r="E912" s="2">
        <v>9.1999999999999993</v>
      </c>
      <c r="F912" s="2" t="str">
        <f>IFERROR(VLOOKUP(B912,Tabla2[],5,FALSE),"")</f>
        <v/>
      </c>
      <c r="G912" s="2">
        <f>SQRT(4*(Tabla1[[#This Row],[dD]]-'Find a similar substance'!$D$5)^2+('Find a similar substance'!$E$5-Tabla1[[#This Row],[dP]])^2+(Tabla1[[#This Row],[dH]]-'Find a similar substance'!$F$5)^2)</f>
        <v>5.0089919145472779</v>
      </c>
    </row>
    <row r="913" spans="1:7" x14ac:dyDescent="0.25">
      <c r="A913" s="2" t="s">
        <v>1871</v>
      </c>
      <c r="B913" s="2" t="s">
        <v>67</v>
      </c>
      <c r="C913" s="2">
        <v>16.8</v>
      </c>
      <c r="D913" s="2">
        <v>11.5</v>
      </c>
      <c r="E913" s="2">
        <v>9.4</v>
      </c>
      <c r="F913" s="2">
        <f>IFERROR(VLOOKUP(B913,Tabla2[],5,FALSE),"")</f>
        <v>93</v>
      </c>
      <c r="G913" s="2">
        <f>SQRT(4*(Tabla1[[#This Row],[dD]]-'Find a similar substance'!$D$5)^2+('Find a similar substance'!$E$5-Tabla1[[#This Row],[dP]])^2+(Tabla1[[#This Row],[dH]]-'Find a similar substance'!$F$5)^2)</f>
        <v>5.2306787322488093</v>
      </c>
    </row>
    <row r="914" spans="1:7" x14ac:dyDescent="0.25">
      <c r="A914" s="2" t="s">
        <v>1873</v>
      </c>
      <c r="B914" s="2" t="s">
        <v>1872</v>
      </c>
      <c r="C914" s="2">
        <v>16.399999999999999</v>
      </c>
      <c r="D914" s="2">
        <v>10.6</v>
      </c>
      <c r="E914" s="2">
        <v>7.4</v>
      </c>
      <c r="F914" s="2" t="str">
        <f>IFERROR(VLOOKUP(B914,Tabla2[],5,FALSE),"")</f>
        <v/>
      </c>
      <c r="G914" s="2">
        <f>SQRT(4*(Tabla1[[#This Row],[dD]]-'Find a similar substance'!$D$5)^2+('Find a similar substance'!$E$5-Tabla1[[#This Row],[dP]])^2+(Tabla1[[#This Row],[dH]]-'Find a similar substance'!$F$5)^2)</f>
        <v>3.0870698080866279</v>
      </c>
    </row>
    <row r="915" spans="1:7" x14ac:dyDescent="0.25">
      <c r="A915" s="2">
        <v>564607</v>
      </c>
      <c r="B915" s="2" t="s">
        <v>1874</v>
      </c>
      <c r="C915" s="2">
        <v>18</v>
      </c>
      <c r="D915" s="2">
        <v>9.1999999999999993</v>
      </c>
      <c r="E915" s="2">
        <v>15.7</v>
      </c>
      <c r="F915" s="2" t="str">
        <f>IFERROR(VLOOKUP(B915,Tabla2[],5,FALSE),"")</f>
        <v/>
      </c>
      <c r="G915" s="2">
        <f>SQRT(4*(Tabla1[[#This Row],[dD]]-'Find a similar substance'!$D$5)^2+('Find a similar substance'!$E$5-Tabla1[[#This Row],[dP]])^2+(Tabla1[[#This Row],[dH]]-'Find a similar substance'!$F$5)^2)</f>
        <v>11.071585252347559</v>
      </c>
    </row>
    <row r="916" spans="1:7" x14ac:dyDescent="0.25">
      <c r="A916" s="2" t="s">
        <v>1876</v>
      </c>
      <c r="B916" s="2" t="s">
        <v>1875</v>
      </c>
      <c r="C916" s="2">
        <v>18.899999999999999</v>
      </c>
      <c r="D916" s="2">
        <v>8.6999999999999993</v>
      </c>
      <c r="E916" s="2">
        <v>4.8</v>
      </c>
      <c r="F916" s="2" t="str">
        <f>IFERROR(VLOOKUP(B916,Tabla2[],5,FALSE),"")</f>
        <v/>
      </c>
      <c r="G916" s="2">
        <f>SQRT(4*(Tabla1[[#This Row],[dD]]-'Find a similar substance'!$D$5)^2+('Find a similar substance'!$E$5-Tabla1[[#This Row],[dP]])^2+(Tabla1[[#This Row],[dH]]-'Find a similar substance'!$F$5)^2)</f>
        <v>4.6043457732885296</v>
      </c>
    </row>
    <row r="917" spans="1:7" x14ac:dyDescent="0.25">
      <c r="A917" s="2" t="s">
        <v>1878</v>
      </c>
      <c r="B917" s="2" t="s">
        <v>1877</v>
      </c>
      <c r="C917" s="2">
        <v>18.5</v>
      </c>
      <c r="D917" s="2">
        <v>10</v>
      </c>
      <c r="E917" s="2">
        <v>6.5</v>
      </c>
      <c r="F917" s="2" t="str">
        <f>IFERROR(VLOOKUP(B917,Tabla2[],5,FALSE),"")</f>
        <v/>
      </c>
      <c r="G917" s="2">
        <f>SQRT(4*(Tabla1[[#This Row],[dD]]-'Find a similar substance'!$D$5)^2+('Find a similar substance'!$E$5-Tabla1[[#This Row],[dP]])^2+(Tabla1[[#This Row],[dH]]-'Find a similar substance'!$F$5)^2)</f>
        <v>4.2871902220452007</v>
      </c>
    </row>
    <row r="918" spans="1:7" x14ac:dyDescent="0.25">
      <c r="A918" s="2" t="s">
        <v>1880</v>
      </c>
      <c r="B918" s="2" t="s">
        <v>1879</v>
      </c>
      <c r="C918" s="2">
        <v>17.8</v>
      </c>
      <c r="D918" s="2">
        <v>13.1</v>
      </c>
      <c r="E918" s="2">
        <v>8.3000000000000007</v>
      </c>
      <c r="F918" s="2" t="str">
        <f>IFERROR(VLOOKUP(B918,Tabla2[],5,FALSE),"")</f>
        <v/>
      </c>
      <c r="G918" s="2">
        <f>SQRT(4*(Tabla1[[#This Row],[dD]]-'Find a similar substance'!$D$5)^2+('Find a similar substance'!$E$5-Tabla1[[#This Row],[dP]])^2+(Tabla1[[#This Row],[dH]]-'Find a similar substance'!$F$5)^2)</f>
        <v>6.0008332754709999</v>
      </c>
    </row>
    <row r="919" spans="1:7" x14ac:dyDescent="0.25">
      <c r="A919" s="2" t="s">
        <v>1882</v>
      </c>
      <c r="B919" s="2" t="s">
        <v>1881</v>
      </c>
      <c r="C919" s="2">
        <v>18.3</v>
      </c>
      <c r="D919" s="2">
        <v>9.8000000000000007</v>
      </c>
      <c r="E919" s="2">
        <v>7.8</v>
      </c>
      <c r="F919" s="2" t="str">
        <f>IFERROR(VLOOKUP(B919,Tabla2[],5,FALSE),"")</f>
        <v/>
      </c>
      <c r="G919" s="2">
        <f>SQRT(4*(Tabla1[[#This Row],[dD]]-'Find a similar substance'!$D$5)^2+('Find a similar substance'!$E$5-Tabla1[[#This Row],[dP]])^2+(Tabla1[[#This Row],[dH]]-'Find a similar substance'!$F$5)^2)</f>
        <v>4.5398237851264662</v>
      </c>
    </row>
    <row r="920" spans="1:7" x14ac:dyDescent="0.25">
      <c r="A920" s="2" t="s">
        <v>1884</v>
      </c>
      <c r="B920" s="2" t="s">
        <v>1883</v>
      </c>
      <c r="C920" s="2">
        <v>18.2</v>
      </c>
      <c r="D920" s="2">
        <v>6.1</v>
      </c>
      <c r="E920" s="2">
        <v>5.6</v>
      </c>
      <c r="F920" s="2" t="str">
        <f>IFERROR(VLOOKUP(B920,Tabla2[],5,FALSE),"")</f>
        <v/>
      </c>
      <c r="G920" s="2">
        <f>SQRT(4*(Tabla1[[#This Row],[dD]]-'Find a similar substance'!$D$5)^2+('Find a similar substance'!$E$5-Tabla1[[#This Row],[dP]])^2+(Tabla1[[#This Row],[dH]]-'Find a similar substance'!$F$5)^2)</f>
        <v>4.1665333311999282</v>
      </c>
    </row>
    <row r="921" spans="1:7" x14ac:dyDescent="0.25">
      <c r="A921" s="2" t="s">
        <v>1885</v>
      </c>
      <c r="B921" s="2" t="s">
        <v>14</v>
      </c>
      <c r="C921" s="2">
        <v>15.8</v>
      </c>
      <c r="D921" s="2">
        <v>3.7</v>
      </c>
      <c r="E921" s="2">
        <v>6.3</v>
      </c>
      <c r="F921" s="2">
        <f>IFERROR(VLOOKUP(B921,Tabla2[],5,FALSE),"")</f>
        <v>132.6</v>
      </c>
      <c r="G921" s="2">
        <f>SQRT(4*(Tabla1[[#This Row],[dD]]-'Find a similar substance'!$D$5)^2+('Find a similar substance'!$E$5-Tabla1[[#This Row],[dP]])^2+(Tabla1[[#This Row],[dH]]-'Find a similar substance'!$F$5)^2)</f>
        <v>5.4083269131959844</v>
      </c>
    </row>
    <row r="922" spans="1:7" x14ac:dyDescent="0.25">
      <c r="A922" s="2" t="s">
        <v>1887</v>
      </c>
      <c r="B922" s="2" t="s">
        <v>1886</v>
      </c>
      <c r="C922" s="2">
        <v>16.600000000000001</v>
      </c>
      <c r="D922" s="2">
        <v>5.8</v>
      </c>
      <c r="E922" s="2">
        <v>7.3</v>
      </c>
      <c r="F922" s="2" t="str">
        <f>IFERROR(VLOOKUP(B922,Tabla2[],5,FALSE),"")</f>
        <v/>
      </c>
      <c r="G922" s="2">
        <f>SQRT(4*(Tabla1[[#This Row],[dD]]-'Find a similar substance'!$D$5)^2+('Find a similar substance'!$E$5-Tabla1[[#This Row],[dP]])^2+(Tabla1[[#This Row],[dH]]-'Find a similar substance'!$F$5)^2)</f>
        <v>3.701351104664349</v>
      </c>
    </row>
    <row r="923" spans="1:7" x14ac:dyDescent="0.25">
      <c r="A923" s="2" t="s">
        <v>1889</v>
      </c>
      <c r="B923" s="2" t="s">
        <v>1888</v>
      </c>
      <c r="C923" s="2">
        <v>15.6</v>
      </c>
      <c r="D923" s="2">
        <v>6.2</v>
      </c>
      <c r="E923" s="2">
        <v>4.9000000000000004</v>
      </c>
      <c r="F923" s="2" t="str">
        <f>IFERROR(VLOOKUP(B923,Tabla2[],5,FALSE),"")</f>
        <v/>
      </c>
      <c r="G923" s="2">
        <f>SQRT(4*(Tabla1[[#This Row],[dD]]-'Find a similar substance'!$D$5)^2+('Find a similar substance'!$E$5-Tabla1[[#This Row],[dP]])^2+(Tabla1[[#This Row],[dH]]-'Find a similar substance'!$F$5)^2)</f>
        <v>3.2031234756093951</v>
      </c>
    </row>
    <row r="924" spans="1:7" x14ac:dyDescent="0.25">
      <c r="A924" s="2" t="s">
        <v>1891</v>
      </c>
      <c r="B924" s="2" t="s">
        <v>1890</v>
      </c>
      <c r="C924" s="2">
        <v>16.2</v>
      </c>
      <c r="D924" s="2">
        <v>4.5</v>
      </c>
      <c r="E924" s="2">
        <v>8</v>
      </c>
      <c r="F924" s="2" t="str">
        <f>IFERROR(VLOOKUP(B924,Tabla2[],5,FALSE),"")</f>
        <v/>
      </c>
      <c r="G924" s="2">
        <f>SQRT(4*(Tabla1[[#This Row],[dD]]-'Find a similar substance'!$D$5)^2+('Find a similar substance'!$E$5-Tabla1[[#This Row],[dP]])^2+(Tabla1[[#This Row],[dH]]-'Find a similar substance'!$F$5)^2)</f>
        <v>5.2230259428802386</v>
      </c>
    </row>
    <row r="925" spans="1:7" x14ac:dyDescent="0.25">
      <c r="A925" s="2" t="s">
        <v>1893</v>
      </c>
      <c r="B925" s="2" t="s">
        <v>1892</v>
      </c>
      <c r="C925" s="2">
        <v>15.6</v>
      </c>
      <c r="D925" s="2">
        <v>2.9</v>
      </c>
      <c r="E925" s="2">
        <v>5.6</v>
      </c>
      <c r="F925" s="2" t="str">
        <f>IFERROR(VLOOKUP(B925,Tabla2[],5,FALSE),"")</f>
        <v/>
      </c>
      <c r="G925" s="2">
        <f>SQRT(4*(Tabla1[[#This Row],[dD]]-'Find a similar substance'!$D$5)^2+('Find a similar substance'!$E$5-Tabla1[[#This Row],[dP]])^2+(Tabla1[[#This Row],[dH]]-'Find a similar substance'!$F$5)^2)</f>
        <v>6.164414002968976</v>
      </c>
    </row>
    <row r="926" spans="1:7" x14ac:dyDescent="0.25">
      <c r="A926" s="2" t="s">
        <v>1895</v>
      </c>
      <c r="B926" s="2" t="s">
        <v>1894</v>
      </c>
      <c r="C926" s="2">
        <v>16.2</v>
      </c>
      <c r="D926" s="2">
        <v>0</v>
      </c>
      <c r="E926" s="2">
        <v>0.6</v>
      </c>
      <c r="F926" s="2" t="str">
        <f>IFERROR(VLOOKUP(B926,Tabla2[],5,FALSE),"")</f>
        <v/>
      </c>
      <c r="G926" s="2">
        <f>SQRT(4*(Tabla1[[#This Row],[dD]]-'Find a similar substance'!$D$5)^2+('Find a similar substance'!$E$5-Tabla1[[#This Row],[dP]])^2+(Tabla1[[#This Row],[dH]]-'Find a similar substance'!$F$5)^2)</f>
        <v>9.7821265581671959</v>
      </c>
    </row>
    <row r="927" spans="1:7" x14ac:dyDescent="0.25">
      <c r="A927" s="2" t="s">
        <v>1897</v>
      </c>
      <c r="B927" s="2" t="s">
        <v>1896</v>
      </c>
      <c r="C927" s="2">
        <v>16.399999999999999</v>
      </c>
      <c r="D927" s="2">
        <v>0</v>
      </c>
      <c r="E927" s="2">
        <v>1</v>
      </c>
      <c r="F927" s="2" t="str">
        <f>IFERROR(VLOOKUP(B927,Tabla2[],5,FALSE),"")</f>
        <v/>
      </c>
      <c r="G927" s="2">
        <f>SQRT(4*(Tabla1[[#This Row],[dD]]-'Find a similar substance'!$D$5)^2+('Find a similar substance'!$E$5-Tabla1[[#This Row],[dP]])^2+(Tabla1[[#This Row],[dH]]-'Find a similar substance'!$F$5)^2)</f>
        <v>9.5838405662865647</v>
      </c>
    </row>
    <row r="928" spans="1:7" x14ac:dyDescent="0.25">
      <c r="A928" s="2" t="s">
        <v>1899</v>
      </c>
      <c r="B928" s="2" t="s">
        <v>1898</v>
      </c>
      <c r="C928" s="2">
        <v>15.4</v>
      </c>
      <c r="D928" s="2">
        <v>5.9</v>
      </c>
      <c r="E928" s="2">
        <v>5.2</v>
      </c>
      <c r="F928" s="2" t="str">
        <f>IFERROR(VLOOKUP(B928,Tabla2[],5,FALSE),"")</f>
        <v/>
      </c>
      <c r="G928" s="2">
        <f>SQRT(4*(Tabla1[[#This Row],[dD]]-'Find a similar substance'!$D$5)^2+('Find a similar substance'!$E$5-Tabla1[[#This Row],[dP]])^2+(Tabla1[[#This Row],[dH]]-'Find a similar substance'!$F$5)^2)</f>
        <v>3.6932370625238784</v>
      </c>
    </row>
    <row r="929" spans="1:7" x14ac:dyDescent="0.25">
      <c r="A929" s="2" t="s">
        <v>1900</v>
      </c>
      <c r="B929" s="2" t="s">
        <v>20</v>
      </c>
      <c r="C929" s="2">
        <v>15.7</v>
      </c>
      <c r="D929" s="2">
        <v>5.5</v>
      </c>
      <c r="E929" s="2">
        <v>5.9</v>
      </c>
      <c r="F929" s="2">
        <f>IFERROR(VLOOKUP(B929,Tabla2[],5,FALSE),"")</f>
        <v>149.30000000000001</v>
      </c>
      <c r="G929" s="2">
        <f>SQRT(4*(Tabla1[[#This Row],[dD]]-'Find a similar substance'!$D$5)^2+('Find a similar substance'!$E$5-Tabla1[[#This Row],[dP]])^2+(Tabla1[[#This Row],[dH]]-'Find a similar substance'!$F$5)^2)</f>
        <v>3.7802116342871614</v>
      </c>
    </row>
    <row r="930" spans="1:7" x14ac:dyDescent="0.25">
      <c r="A930" s="2" t="s">
        <v>1902</v>
      </c>
      <c r="B930" s="2" t="s">
        <v>1901</v>
      </c>
      <c r="C930" s="2">
        <v>17.899999999999999</v>
      </c>
      <c r="D930" s="2">
        <v>4.8</v>
      </c>
      <c r="E930" s="2">
        <v>11.7</v>
      </c>
      <c r="F930" s="2" t="str">
        <f>IFERROR(VLOOKUP(B930,Tabla2[],5,FALSE),"")</f>
        <v/>
      </c>
      <c r="G930" s="2">
        <f>SQRT(4*(Tabla1[[#This Row],[dD]]-'Find a similar substance'!$D$5)^2+('Find a similar substance'!$E$5-Tabla1[[#This Row],[dP]])^2+(Tabla1[[#This Row],[dH]]-'Find a similar substance'!$F$5)^2)</f>
        <v>8.1767964387038496</v>
      </c>
    </row>
    <row r="931" spans="1:7" x14ac:dyDescent="0.25">
      <c r="A931" s="2" t="s">
        <v>1904</v>
      </c>
      <c r="B931" s="2" t="s">
        <v>1903</v>
      </c>
      <c r="C931" s="2">
        <v>17.399999999999999</v>
      </c>
      <c r="D931" s="2">
        <v>0.1</v>
      </c>
      <c r="E931" s="2">
        <v>1.1000000000000001</v>
      </c>
      <c r="F931" s="2" t="str">
        <f>IFERROR(VLOOKUP(B931,Tabla2[],5,FALSE),"")</f>
        <v/>
      </c>
      <c r="G931" s="2">
        <f>SQRT(4*(Tabla1[[#This Row],[dD]]-'Find a similar substance'!$D$5)^2+('Find a similar substance'!$E$5-Tabla1[[#This Row],[dP]])^2+(Tabla1[[#This Row],[dH]]-'Find a similar substance'!$F$5)^2)</f>
        <v>9.5775779819325919</v>
      </c>
    </row>
    <row r="932" spans="1:7" x14ac:dyDescent="0.25">
      <c r="A932" s="2" t="s">
        <v>1906</v>
      </c>
      <c r="B932" s="2" t="s">
        <v>1905</v>
      </c>
      <c r="C932" s="2">
        <v>16.899999999999999</v>
      </c>
      <c r="D932" s="2">
        <v>13.7</v>
      </c>
      <c r="E932" s="2">
        <v>12.3</v>
      </c>
      <c r="F932" s="2" t="str">
        <f>IFERROR(VLOOKUP(B932,Tabla2[],5,FALSE),"")</f>
        <v/>
      </c>
      <c r="G932" s="2">
        <f>SQRT(4*(Tabla1[[#This Row],[dD]]-'Find a similar substance'!$D$5)^2+('Find a similar substance'!$E$5-Tabla1[[#This Row],[dP]])^2+(Tabla1[[#This Row],[dH]]-'Find a similar substance'!$F$5)^2)</f>
        <v>8.8684835231284058</v>
      </c>
    </row>
    <row r="933" spans="1:7" x14ac:dyDescent="0.25">
      <c r="A933" s="2" t="s">
        <v>1908</v>
      </c>
      <c r="B933" s="2" t="s">
        <v>1907</v>
      </c>
      <c r="C933" s="2">
        <v>16</v>
      </c>
      <c r="D933" s="2">
        <v>7.8</v>
      </c>
      <c r="E933" s="2">
        <v>7.9</v>
      </c>
      <c r="F933" s="2" t="str">
        <f>IFERROR(VLOOKUP(B933,Tabla2[],5,FALSE),"")</f>
        <v/>
      </c>
      <c r="G933" s="2">
        <f>SQRT(4*(Tabla1[[#This Row],[dD]]-'Find a similar substance'!$D$5)^2+('Find a similar substance'!$E$5-Tabla1[[#This Row],[dP]])^2+(Tabla1[[#This Row],[dH]]-'Find a similar substance'!$F$5)^2)</f>
        <v>3.2649655434629028</v>
      </c>
    </row>
    <row r="934" spans="1:7" x14ac:dyDescent="0.25">
      <c r="A934" s="2" t="s">
        <v>1910</v>
      </c>
      <c r="B934" s="2" t="s">
        <v>1909</v>
      </c>
      <c r="C934" s="2">
        <v>18.2</v>
      </c>
      <c r="D934" s="2">
        <v>6.8</v>
      </c>
      <c r="E934" s="2">
        <v>6.5</v>
      </c>
      <c r="F934" s="2" t="str">
        <f>IFERROR(VLOOKUP(B934,Tabla2[],5,FALSE),"")</f>
        <v/>
      </c>
      <c r="G934" s="2">
        <f>SQRT(4*(Tabla1[[#This Row],[dD]]-'Find a similar substance'!$D$5)^2+('Find a similar substance'!$E$5-Tabla1[[#This Row],[dP]])^2+(Tabla1[[#This Row],[dH]]-'Find a similar substance'!$F$5)^2)</f>
        <v>4.0124805295477728</v>
      </c>
    </row>
    <row r="935" spans="1:7" x14ac:dyDescent="0.25">
      <c r="A935" s="2" t="s">
        <v>1912</v>
      </c>
      <c r="B935" s="2" t="s">
        <v>1911</v>
      </c>
      <c r="C935" s="2">
        <v>16.2</v>
      </c>
      <c r="D935" s="2">
        <v>10</v>
      </c>
      <c r="E935" s="2">
        <v>14</v>
      </c>
      <c r="F935" s="2" t="str">
        <f>IFERROR(VLOOKUP(B935,Tabla2[],5,FALSE),"")</f>
        <v/>
      </c>
      <c r="G935" s="2">
        <f>SQRT(4*(Tabla1[[#This Row],[dD]]-'Find a similar substance'!$D$5)^2+('Find a similar substance'!$E$5-Tabla1[[#This Row],[dP]])^2+(Tabla1[[#This Row],[dH]]-'Find a similar substance'!$F$5)^2)</f>
        <v>9.128526715741156</v>
      </c>
    </row>
    <row r="936" spans="1:7" x14ac:dyDescent="0.25">
      <c r="A936" s="2" t="s">
        <v>1914</v>
      </c>
      <c r="B936" s="2" t="s">
        <v>1913</v>
      </c>
      <c r="C936" s="2">
        <v>18</v>
      </c>
      <c r="D936" s="2">
        <v>12</v>
      </c>
      <c r="E936" s="2">
        <v>7</v>
      </c>
      <c r="F936" s="2" t="str">
        <f>IFERROR(VLOOKUP(B936,Tabla2[],5,FALSE),"")</f>
        <v/>
      </c>
      <c r="G936" s="2">
        <f>SQRT(4*(Tabla1[[#This Row],[dD]]-'Find a similar substance'!$D$5)^2+('Find a similar substance'!$E$5-Tabla1[[#This Row],[dP]])^2+(Tabla1[[#This Row],[dH]]-'Find a similar substance'!$F$5)^2)</f>
        <v>4.767598976424086</v>
      </c>
    </row>
    <row r="937" spans="1:7" x14ac:dyDescent="0.25">
      <c r="A937" s="2" t="s">
        <v>1916</v>
      </c>
      <c r="B937" s="2" t="s">
        <v>1915</v>
      </c>
      <c r="C937" s="2">
        <v>18.5</v>
      </c>
      <c r="D937" s="2">
        <v>10.4</v>
      </c>
      <c r="E937" s="2">
        <v>7.6</v>
      </c>
      <c r="F937" s="2" t="str">
        <f>IFERROR(VLOOKUP(B937,Tabla2[],5,FALSE),"")</f>
        <v/>
      </c>
      <c r="G937" s="2">
        <f>SQRT(4*(Tabla1[[#This Row],[dD]]-'Find a similar substance'!$D$5)^2+('Find a similar substance'!$E$5-Tabla1[[#This Row],[dP]])^2+(Tabla1[[#This Row],[dH]]-'Find a similar substance'!$F$5)^2)</f>
        <v>4.9081564767232084</v>
      </c>
    </row>
    <row r="938" spans="1:7" x14ac:dyDescent="0.25">
      <c r="A938" s="2" t="s">
        <v>1918</v>
      </c>
      <c r="B938" s="2" t="s">
        <v>1917</v>
      </c>
      <c r="C938" s="2">
        <v>18.7</v>
      </c>
      <c r="D938" s="2">
        <v>10.6</v>
      </c>
      <c r="E938" s="2">
        <v>7.8</v>
      </c>
      <c r="F938" s="2" t="str">
        <f>IFERROR(VLOOKUP(B938,Tabla2[],5,FALSE),"")</f>
        <v/>
      </c>
      <c r="G938" s="2">
        <f>SQRT(4*(Tabla1[[#This Row],[dD]]-'Find a similar substance'!$D$5)^2+('Find a similar substance'!$E$5-Tabla1[[#This Row],[dP]])^2+(Tabla1[[#This Row],[dH]]-'Find a similar substance'!$F$5)^2)</f>
        <v>5.3935146240647169</v>
      </c>
    </row>
    <row r="939" spans="1:7" x14ac:dyDescent="0.25">
      <c r="A939" s="2" t="s">
        <v>1920</v>
      </c>
      <c r="B939" s="2" t="s">
        <v>1919</v>
      </c>
      <c r="C939" s="2">
        <v>15.8</v>
      </c>
      <c r="D939" s="2">
        <v>2.9</v>
      </c>
      <c r="E939" s="2">
        <v>5.5</v>
      </c>
      <c r="F939" s="2" t="str">
        <f>IFERROR(VLOOKUP(B939,Tabla2[],5,FALSE),"")</f>
        <v/>
      </c>
      <c r="G939" s="2">
        <f>SQRT(4*(Tabla1[[#This Row],[dD]]-'Find a similar substance'!$D$5)^2+('Find a similar substance'!$E$5-Tabla1[[#This Row],[dP]])^2+(Tabla1[[#This Row],[dH]]-'Find a similar substance'!$F$5)^2)</f>
        <v>6.0373835392494311</v>
      </c>
    </row>
    <row r="940" spans="1:7" x14ac:dyDescent="0.25">
      <c r="A940" s="2" t="s">
        <v>1922</v>
      </c>
      <c r="B940" s="2" t="s">
        <v>1921</v>
      </c>
      <c r="C940" s="2">
        <v>16.899999999999999</v>
      </c>
      <c r="D940" s="2">
        <v>17</v>
      </c>
      <c r="E940" s="2">
        <v>13</v>
      </c>
      <c r="F940" s="2" t="str">
        <f>IFERROR(VLOOKUP(B940,Tabla2[],5,FALSE),"")</f>
        <v/>
      </c>
      <c r="G940" s="2">
        <f>SQRT(4*(Tabla1[[#This Row],[dD]]-'Find a similar substance'!$D$5)^2+('Find a similar substance'!$E$5-Tabla1[[#This Row],[dP]])^2+(Tabla1[[#This Row],[dH]]-'Find a similar substance'!$F$5)^2)</f>
        <v>11.543396380615196</v>
      </c>
    </row>
    <row r="941" spans="1:7" x14ac:dyDescent="0.25">
      <c r="A941" s="2" t="s">
        <v>1924</v>
      </c>
      <c r="B941" s="2" t="s">
        <v>1923</v>
      </c>
      <c r="C941" s="2">
        <v>17.399999999999999</v>
      </c>
      <c r="D941" s="2">
        <v>18.8</v>
      </c>
      <c r="E941" s="2">
        <v>15.9</v>
      </c>
      <c r="F941" s="2" t="str">
        <f>IFERROR(VLOOKUP(B941,Tabla2[],5,FALSE),"")</f>
        <v/>
      </c>
      <c r="G941" s="2">
        <f>SQRT(4*(Tabla1[[#This Row],[dD]]-'Find a similar substance'!$D$5)^2+('Find a similar substance'!$E$5-Tabla1[[#This Row],[dP]])^2+(Tabla1[[#This Row],[dH]]-'Find a similar substance'!$F$5)^2)</f>
        <v>14.945902448497382</v>
      </c>
    </row>
    <row r="942" spans="1:7" x14ac:dyDescent="0.25">
      <c r="A942" s="2" t="s">
        <v>1926</v>
      </c>
      <c r="B942" s="2" t="s">
        <v>1925</v>
      </c>
      <c r="C942" s="2">
        <v>19</v>
      </c>
      <c r="D942" s="2">
        <v>16.100000000000001</v>
      </c>
      <c r="E942" s="2">
        <v>10.199999999999999</v>
      </c>
      <c r="F942" s="2" t="str">
        <f>IFERROR(VLOOKUP(B942,Tabla2[],5,FALSE),"")</f>
        <v/>
      </c>
      <c r="G942" s="2">
        <f>SQRT(4*(Tabla1[[#This Row],[dD]]-'Find a similar substance'!$D$5)^2+('Find a similar substance'!$E$5-Tabla1[[#This Row],[dP]])^2+(Tabla1[[#This Row],[dH]]-'Find a similar substance'!$F$5)^2)</f>
        <v>10.239140588936163</v>
      </c>
    </row>
    <row r="943" spans="1:7" x14ac:dyDescent="0.25">
      <c r="A943" s="2" t="s">
        <v>1928</v>
      </c>
      <c r="B943" s="2" t="s">
        <v>1927</v>
      </c>
      <c r="C943" s="2">
        <v>16.8</v>
      </c>
      <c r="D943" s="2">
        <v>2.8</v>
      </c>
      <c r="E943" s="2">
        <v>6.7</v>
      </c>
      <c r="F943" s="2" t="str">
        <f>IFERROR(VLOOKUP(B943,Tabla2[],5,FALSE),"")</f>
        <v/>
      </c>
      <c r="G943" s="2">
        <f>SQRT(4*(Tabla1[[#This Row],[dD]]-'Find a similar substance'!$D$5)^2+('Find a similar substance'!$E$5-Tabla1[[#This Row],[dP]])^2+(Tabla1[[#This Row],[dH]]-'Find a similar substance'!$F$5)^2)</f>
        <v>6.1530480251660631</v>
      </c>
    </row>
    <row r="944" spans="1:7" x14ac:dyDescent="0.25">
      <c r="A944" s="2" t="s">
        <v>1929</v>
      </c>
      <c r="B944" s="2" t="s">
        <v>65</v>
      </c>
      <c r="C944" s="2">
        <v>18</v>
      </c>
      <c r="D944" s="2">
        <v>12.3</v>
      </c>
      <c r="E944" s="2">
        <v>7.2</v>
      </c>
      <c r="F944" s="2">
        <f>IFERROR(VLOOKUP(B944,Tabla2[],5,FALSE),"")</f>
        <v>96.6</v>
      </c>
      <c r="G944" s="2">
        <f>SQRT(4*(Tabla1[[#This Row],[dD]]-'Find a similar substance'!$D$5)^2+('Find a similar substance'!$E$5-Tabla1[[#This Row],[dP]])^2+(Tabla1[[#This Row],[dH]]-'Find a similar substance'!$F$5)^2)</f>
        <v>5.0635955604688645</v>
      </c>
    </row>
    <row r="945" spans="1:7" x14ac:dyDescent="0.25">
      <c r="A945" s="2" t="s">
        <v>1931</v>
      </c>
      <c r="B945" s="2" t="s">
        <v>1930</v>
      </c>
      <c r="C945" s="2">
        <v>19.5</v>
      </c>
      <c r="D945" s="2">
        <v>6</v>
      </c>
      <c r="E945" s="2">
        <v>7.8</v>
      </c>
      <c r="F945" s="2" t="str">
        <f>IFERROR(VLOOKUP(B945,Tabla2[],5,FALSE),"")</f>
        <v/>
      </c>
      <c r="G945" s="2">
        <f>SQRT(4*(Tabla1[[#This Row],[dD]]-'Find a similar substance'!$D$5)^2+('Find a similar substance'!$E$5-Tabla1[[#This Row],[dP]])^2+(Tabla1[[#This Row],[dH]]-'Find a similar substance'!$F$5)^2)</f>
        <v>6.9835521047673126</v>
      </c>
    </row>
    <row r="946" spans="1:7" x14ac:dyDescent="0.25">
      <c r="A946" s="2" t="s">
        <v>1933</v>
      </c>
      <c r="B946" s="2" t="s">
        <v>1932</v>
      </c>
      <c r="C946" s="2">
        <v>17.5</v>
      </c>
      <c r="D946" s="2">
        <v>9.9</v>
      </c>
      <c r="E946" s="2">
        <v>5.8</v>
      </c>
      <c r="F946" s="2" t="str">
        <f>IFERROR(VLOOKUP(B946,Tabla2[],5,FALSE),"")</f>
        <v/>
      </c>
      <c r="G946" s="2">
        <f>SQRT(4*(Tabla1[[#This Row],[dD]]-'Find a similar substance'!$D$5)^2+('Find a similar substance'!$E$5-Tabla1[[#This Row],[dP]])^2+(Tabla1[[#This Row],[dH]]-'Find a similar substance'!$F$5)^2)</f>
        <v>2.3065125189341575</v>
      </c>
    </row>
    <row r="947" spans="1:7" x14ac:dyDescent="0.25">
      <c r="A947" s="2" t="s">
        <v>1935</v>
      </c>
      <c r="B947" s="2" t="s">
        <v>1934</v>
      </c>
      <c r="C947" s="2">
        <v>15.8</v>
      </c>
      <c r="D947" s="2">
        <v>5.2</v>
      </c>
      <c r="E947" s="2">
        <v>5.7</v>
      </c>
      <c r="F947" s="2" t="str">
        <f>IFERROR(VLOOKUP(B947,Tabla2[],5,FALSE),"")</f>
        <v/>
      </c>
      <c r="G947" s="2">
        <f>SQRT(4*(Tabla1[[#This Row],[dD]]-'Find a similar substance'!$D$5)^2+('Find a similar substance'!$E$5-Tabla1[[#This Row],[dP]])^2+(Tabla1[[#This Row],[dH]]-'Find a similar substance'!$F$5)^2)</f>
        <v>3.9115214431215888</v>
      </c>
    </row>
    <row r="948" spans="1:7" x14ac:dyDescent="0.25">
      <c r="A948" s="2" t="s">
        <v>1936</v>
      </c>
      <c r="B948" s="2" t="s">
        <v>73</v>
      </c>
      <c r="C948" s="2">
        <v>15.3</v>
      </c>
      <c r="D948" s="2">
        <v>4.3</v>
      </c>
      <c r="E948" s="2">
        <v>7.6</v>
      </c>
      <c r="F948" s="2">
        <f>IFERROR(VLOOKUP(B948,Tabla2[],5,FALSE),"")</f>
        <v>115.8</v>
      </c>
      <c r="G948" s="2">
        <f>SQRT(4*(Tabla1[[#This Row],[dD]]-'Find a similar substance'!$D$5)^2+('Find a similar substance'!$E$5-Tabla1[[#This Row],[dP]])^2+(Tabla1[[#This Row],[dH]]-'Find a similar substance'!$F$5)^2)</f>
        <v>5.7341084747325803</v>
      </c>
    </row>
    <row r="949" spans="1:7" x14ac:dyDescent="0.25">
      <c r="A949" s="2" t="s">
        <v>1938</v>
      </c>
      <c r="B949" s="2" t="s">
        <v>1937</v>
      </c>
      <c r="C949" s="2">
        <v>15.8</v>
      </c>
      <c r="D949" s="2">
        <v>11.3</v>
      </c>
      <c r="E949" s="2">
        <v>4.0999999999999996</v>
      </c>
      <c r="F949" s="2" t="str">
        <f>IFERROR(VLOOKUP(B949,Tabla2[],5,FALSE),"")</f>
        <v/>
      </c>
      <c r="G949" s="2">
        <f>SQRT(4*(Tabla1[[#This Row],[dD]]-'Find a similar substance'!$D$5)^2+('Find a similar substance'!$E$5-Tabla1[[#This Row],[dP]])^2+(Tabla1[[#This Row],[dH]]-'Find a similar substance'!$F$5)^2)</f>
        <v>3.182766092567912</v>
      </c>
    </row>
    <row r="950" spans="1:7" x14ac:dyDescent="0.25">
      <c r="A950" s="2" t="s">
        <v>1939</v>
      </c>
      <c r="B950" s="2" t="s">
        <v>74</v>
      </c>
      <c r="C950" s="2">
        <v>15.5</v>
      </c>
      <c r="D950" s="2">
        <v>5.6</v>
      </c>
      <c r="E950" s="2">
        <v>5.7</v>
      </c>
      <c r="F950" s="2">
        <f>IFERROR(VLOOKUP(B950,Tabla2[],5,FALSE),"")</f>
        <v>132.5</v>
      </c>
      <c r="G950" s="2">
        <f>SQRT(4*(Tabla1[[#This Row],[dD]]-'Find a similar substance'!$D$5)^2+('Find a similar substance'!$E$5-Tabla1[[#This Row],[dP]])^2+(Tabla1[[#This Row],[dH]]-'Find a similar substance'!$F$5)^2)</f>
        <v>3.8652296180175392</v>
      </c>
    </row>
    <row r="951" spans="1:7" x14ac:dyDescent="0.25">
      <c r="A951" s="2" t="s">
        <v>1941</v>
      </c>
      <c r="B951" s="2" t="s">
        <v>1940</v>
      </c>
      <c r="C951" s="2">
        <v>16.2</v>
      </c>
      <c r="D951" s="2">
        <v>0</v>
      </c>
      <c r="E951" s="2">
        <v>0</v>
      </c>
      <c r="F951" s="2" t="str">
        <f>IFERROR(VLOOKUP(B951,Tabla2[],5,FALSE),"")</f>
        <v/>
      </c>
      <c r="G951" s="2">
        <f>SQRT(4*(Tabla1[[#This Row],[dD]]-'Find a similar substance'!$D$5)^2+('Find a similar substance'!$E$5-Tabla1[[#This Row],[dP]])^2+(Tabla1[[#This Row],[dH]]-'Find a similar substance'!$F$5)^2)</f>
        <v>10.06628034578811</v>
      </c>
    </row>
    <row r="952" spans="1:7" x14ac:dyDescent="0.25">
      <c r="A952" s="2" t="s">
        <v>1943</v>
      </c>
      <c r="B952" s="2" t="s">
        <v>1942</v>
      </c>
      <c r="C952" s="2">
        <v>17.899999999999999</v>
      </c>
      <c r="D952" s="2">
        <v>0.7</v>
      </c>
      <c r="E952" s="2">
        <v>1.8</v>
      </c>
      <c r="F952" s="2" t="str">
        <f>IFERROR(VLOOKUP(B952,Tabla2[],5,FALSE),"")</f>
        <v/>
      </c>
      <c r="G952" s="2">
        <f>SQRT(4*(Tabla1[[#This Row],[dD]]-'Find a similar substance'!$D$5)^2+('Find a similar substance'!$E$5-Tabla1[[#This Row],[dP]])^2+(Tabla1[[#This Row],[dH]]-'Find a similar substance'!$F$5)^2)</f>
        <v>8.9999999999999982</v>
      </c>
    </row>
    <row r="953" spans="1:7" x14ac:dyDescent="0.25">
      <c r="A953" s="2" t="s">
        <v>1945</v>
      </c>
      <c r="B953" s="2" t="s">
        <v>1944</v>
      </c>
      <c r="C953" s="2">
        <v>19.2</v>
      </c>
      <c r="D953" s="2">
        <v>2</v>
      </c>
      <c r="E953" s="2">
        <v>5.9</v>
      </c>
      <c r="F953" s="2" t="str">
        <f>IFERROR(VLOOKUP(B953,Tabla2[],5,FALSE),"")</f>
        <v/>
      </c>
      <c r="G953" s="2">
        <f>SQRT(4*(Tabla1[[#This Row],[dD]]-'Find a similar substance'!$D$5)^2+('Find a similar substance'!$E$5-Tabla1[[#This Row],[dP]])^2+(Tabla1[[#This Row],[dH]]-'Find a similar substance'!$F$5)^2)</f>
        <v>8.5287748240881562</v>
      </c>
    </row>
    <row r="954" spans="1:7" x14ac:dyDescent="0.25">
      <c r="A954" s="2" t="s">
        <v>1947</v>
      </c>
      <c r="B954" s="2" t="s">
        <v>1946</v>
      </c>
      <c r="C954" s="2">
        <v>18.5</v>
      </c>
      <c r="D954" s="2">
        <v>7.8</v>
      </c>
      <c r="E954" s="2">
        <v>6.5</v>
      </c>
      <c r="F954" s="2" t="str">
        <f>IFERROR(VLOOKUP(B954,Tabla2[],5,FALSE),"")</f>
        <v/>
      </c>
      <c r="G954" s="2">
        <f>SQRT(4*(Tabla1[[#This Row],[dD]]-'Find a similar substance'!$D$5)^2+('Find a similar substance'!$E$5-Tabla1[[#This Row],[dP]])^2+(Tabla1[[#This Row],[dH]]-'Find a similar substance'!$F$5)^2)</f>
        <v>4.1833001326703751</v>
      </c>
    </row>
    <row r="955" spans="1:7" x14ac:dyDescent="0.25">
      <c r="A955" s="2" t="s">
        <v>1949</v>
      </c>
      <c r="B955" s="2" t="s">
        <v>1948</v>
      </c>
      <c r="C955" s="2">
        <v>13.5</v>
      </c>
      <c r="D955" s="2">
        <v>18</v>
      </c>
      <c r="E955" s="2">
        <v>18.600000000000001</v>
      </c>
      <c r="F955" s="2" t="str">
        <f>IFERROR(VLOOKUP(B955,Tabla2[],5,FALSE),"")</f>
        <v/>
      </c>
      <c r="G955" s="2">
        <f>SQRT(4*(Tabla1[[#This Row],[dD]]-'Find a similar substance'!$D$5)^2+('Find a similar substance'!$E$5-Tabla1[[#This Row],[dP]])^2+(Tabla1[[#This Row],[dH]]-'Find a similar substance'!$F$5)^2)</f>
        <v>17.603692794411067</v>
      </c>
    </row>
    <row r="956" spans="1:7" x14ac:dyDescent="0.25">
      <c r="A956" s="2" t="s">
        <v>1951</v>
      </c>
      <c r="B956" s="2" t="s">
        <v>1950</v>
      </c>
      <c r="C956" s="2">
        <v>20</v>
      </c>
      <c r="D956" s="2">
        <v>10.6</v>
      </c>
      <c r="E956" s="2">
        <v>3.1</v>
      </c>
      <c r="F956" s="2" t="str">
        <f>IFERROR(VLOOKUP(B956,Tabla2[],5,FALSE),"")</f>
        <v/>
      </c>
      <c r="G956" s="2">
        <f>SQRT(4*(Tabla1[[#This Row],[dD]]-'Find a similar substance'!$D$5)^2+('Find a similar substance'!$E$5-Tabla1[[#This Row],[dP]])^2+(Tabla1[[#This Row],[dH]]-'Find a similar substance'!$F$5)^2)</f>
        <v>7.3116345641723619</v>
      </c>
    </row>
    <row r="957" spans="1:7" x14ac:dyDescent="0.25">
      <c r="A957" s="2" t="s">
        <v>1953</v>
      </c>
      <c r="B957" s="2" t="s">
        <v>1952</v>
      </c>
      <c r="C957" s="2">
        <v>16</v>
      </c>
      <c r="D957" s="2">
        <v>15.5</v>
      </c>
      <c r="E957" s="2">
        <v>4.5</v>
      </c>
      <c r="F957" s="2" t="str">
        <f>IFERROR(VLOOKUP(B957,Tabla2[],5,FALSE),"")</f>
        <v/>
      </c>
      <c r="G957" s="2">
        <f>SQRT(4*(Tabla1[[#This Row],[dD]]-'Find a similar substance'!$D$5)^2+('Find a similar substance'!$E$5-Tabla1[[#This Row],[dP]])^2+(Tabla1[[#This Row],[dH]]-'Find a similar substance'!$F$5)^2)</f>
        <v>6.9231495722683913</v>
      </c>
    </row>
    <row r="958" spans="1:7" x14ac:dyDescent="0.25">
      <c r="A958" s="2" t="s">
        <v>1955</v>
      </c>
      <c r="B958" s="2" t="s">
        <v>1954</v>
      </c>
      <c r="C958" s="2">
        <v>16.3</v>
      </c>
      <c r="D958" s="2">
        <v>16.600000000000001</v>
      </c>
      <c r="E958" s="2">
        <v>5</v>
      </c>
      <c r="F958" s="2" t="str">
        <f>IFERROR(VLOOKUP(B958,Tabla2[],5,FALSE),"")</f>
        <v/>
      </c>
      <c r="G958" s="2">
        <f>SQRT(4*(Tabla1[[#This Row],[dD]]-'Find a similar substance'!$D$5)^2+('Find a similar substance'!$E$5-Tabla1[[#This Row],[dP]])^2+(Tabla1[[#This Row],[dH]]-'Find a similar substance'!$F$5)^2)</f>
        <v>7.9227520471109045</v>
      </c>
    </row>
    <row r="959" spans="1:7" x14ac:dyDescent="0.25">
      <c r="A959" s="2" t="s">
        <v>1957</v>
      </c>
      <c r="B959" s="2" t="s">
        <v>1956</v>
      </c>
      <c r="C959" s="2">
        <v>16.899999999999999</v>
      </c>
      <c r="D959" s="2">
        <v>13</v>
      </c>
      <c r="E959" s="2">
        <v>10.9</v>
      </c>
      <c r="F959" s="2" t="str">
        <f>IFERROR(VLOOKUP(B959,Tabla2[],5,FALSE),"")</f>
        <v/>
      </c>
      <c r="G959" s="2">
        <f>SQRT(4*(Tabla1[[#This Row],[dD]]-'Find a similar substance'!$D$5)^2+('Find a similar substance'!$E$5-Tabla1[[#This Row],[dP]])^2+(Tabla1[[#This Row],[dH]]-'Find a similar substance'!$F$5)^2)</f>
        <v>7.3252986287249744</v>
      </c>
    </row>
    <row r="960" spans="1:7" x14ac:dyDescent="0.25">
      <c r="A960" s="2" t="s">
        <v>1959</v>
      </c>
      <c r="B960" s="2" t="s">
        <v>1958</v>
      </c>
      <c r="C960" s="2">
        <v>15.8</v>
      </c>
      <c r="D960" s="2">
        <v>18.8</v>
      </c>
      <c r="E960" s="2">
        <v>6.1</v>
      </c>
      <c r="F960" s="2" t="str">
        <f>IFERROR(VLOOKUP(B960,Tabla2[],5,FALSE),"")</f>
        <v/>
      </c>
      <c r="G960" s="2">
        <f>SQRT(4*(Tabla1[[#This Row],[dD]]-'Find a similar substance'!$D$5)^2+('Find a similar substance'!$E$5-Tabla1[[#This Row],[dP]])^2+(Tabla1[[#This Row],[dH]]-'Find a similar substance'!$F$5)^2)</f>
        <v>10.284940447080869</v>
      </c>
    </row>
    <row r="961" spans="1:7" x14ac:dyDescent="0.25">
      <c r="A961" s="2" t="s">
        <v>1961</v>
      </c>
      <c r="B961" s="2" t="s">
        <v>1960</v>
      </c>
      <c r="C961" s="2">
        <v>20</v>
      </c>
      <c r="D961" s="2">
        <v>12.7</v>
      </c>
      <c r="E961" s="2">
        <v>4</v>
      </c>
      <c r="F961" s="2" t="str">
        <f>IFERROR(VLOOKUP(B961,Tabla2[],5,FALSE),"")</f>
        <v/>
      </c>
      <c r="G961" s="2">
        <f>SQRT(4*(Tabla1[[#This Row],[dD]]-'Find a similar substance'!$D$5)^2+('Find a similar substance'!$E$5-Tabla1[[#This Row],[dP]])^2+(Tabla1[[#This Row],[dH]]-'Find a similar substance'!$F$5)^2)</f>
        <v>7.952358140828415</v>
      </c>
    </row>
    <row r="962" spans="1:7" x14ac:dyDescent="0.25">
      <c r="A962" s="2" t="s">
        <v>1963</v>
      </c>
      <c r="B962" s="2" t="s">
        <v>1962</v>
      </c>
      <c r="C962" s="2">
        <v>15.7</v>
      </c>
      <c r="D962" s="2">
        <v>0</v>
      </c>
      <c r="E962" s="2">
        <v>0</v>
      </c>
      <c r="F962" s="2" t="str">
        <f>IFERROR(VLOOKUP(B962,Tabla2[],5,FALSE),"")</f>
        <v/>
      </c>
      <c r="G962" s="2">
        <f>SQRT(4*(Tabla1[[#This Row],[dD]]-'Find a similar substance'!$D$5)^2+('Find a similar substance'!$E$5-Tabla1[[#This Row],[dP]])^2+(Tabla1[[#This Row],[dH]]-'Find a similar substance'!$F$5)^2)</f>
        <v>10.19460641712077</v>
      </c>
    </row>
    <row r="963" spans="1:7" x14ac:dyDescent="0.25">
      <c r="A963" s="2" t="s">
        <v>1965</v>
      </c>
      <c r="B963" s="2" t="s">
        <v>1964</v>
      </c>
      <c r="C963" s="2">
        <v>16.5</v>
      </c>
      <c r="D963" s="2">
        <v>4.0999999999999996</v>
      </c>
      <c r="E963" s="2">
        <v>9.1999999999999993</v>
      </c>
      <c r="F963" s="2" t="str">
        <f>IFERROR(VLOOKUP(B963,Tabla2[],5,FALSE),"")</f>
        <v/>
      </c>
      <c r="G963" s="2">
        <f>SQRT(4*(Tabla1[[#This Row],[dD]]-'Find a similar substance'!$D$5)^2+('Find a similar substance'!$E$5-Tabla1[[#This Row],[dP]])^2+(Tabla1[[#This Row],[dH]]-'Find a similar substance'!$F$5)^2)</f>
        <v>6.2321745803531519</v>
      </c>
    </row>
    <row r="964" spans="1:7" x14ac:dyDescent="0.25">
      <c r="A964" s="2" t="s">
        <v>1967</v>
      </c>
      <c r="B964" s="2" t="s">
        <v>1966</v>
      </c>
      <c r="C964" s="2">
        <v>16.7</v>
      </c>
      <c r="D964" s="2">
        <v>10.199999999999999</v>
      </c>
      <c r="E964" s="2">
        <v>8.4</v>
      </c>
      <c r="F964" s="2" t="str">
        <f>IFERROR(VLOOKUP(B964,Tabla2[],5,FALSE),"")</f>
        <v/>
      </c>
      <c r="G964" s="2">
        <f>SQRT(4*(Tabla1[[#This Row],[dD]]-'Find a similar substance'!$D$5)^2+('Find a similar substance'!$E$5-Tabla1[[#This Row],[dP]])^2+(Tabla1[[#This Row],[dH]]-'Find a similar substance'!$F$5)^2)</f>
        <v>3.7215588131856792</v>
      </c>
    </row>
    <row r="965" spans="1:7" x14ac:dyDescent="0.25">
      <c r="A965" s="2" t="s">
        <v>1969</v>
      </c>
      <c r="B965" s="2" t="s">
        <v>1968</v>
      </c>
      <c r="C965" s="2">
        <v>18</v>
      </c>
      <c r="D965" s="2">
        <v>10.7</v>
      </c>
      <c r="E965" s="2">
        <v>24.1</v>
      </c>
      <c r="F965" s="2" t="str">
        <f>IFERROR(VLOOKUP(B965,Tabla2[],5,FALSE),"")</f>
        <v/>
      </c>
      <c r="G965" s="2">
        <f>SQRT(4*(Tabla1[[#This Row],[dD]]-'Find a similar substance'!$D$5)^2+('Find a similar substance'!$E$5-Tabla1[[#This Row],[dP]])^2+(Tabla1[[#This Row],[dH]]-'Find a similar substance'!$F$5)^2)</f>
        <v>19.407472787563044</v>
      </c>
    </row>
    <row r="966" spans="1:7" x14ac:dyDescent="0.25">
      <c r="A966" s="2" t="s">
        <v>1971</v>
      </c>
      <c r="B966" s="2" t="s">
        <v>1970</v>
      </c>
      <c r="C966" s="2">
        <v>19.8</v>
      </c>
      <c r="D966" s="2">
        <v>8.4</v>
      </c>
      <c r="E966" s="2">
        <v>6.7</v>
      </c>
      <c r="F966" s="2" t="str">
        <f>IFERROR(VLOOKUP(B966,Tabla2[],5,FALSE),"")</f>
        <v/>
      </c>
      <c r="G966" s="2">
        <f>SQRT(4*(Tabla1[[#This Row],[dD]]-'Find a similar substance'!$D$5)^2+('Find a similar substance'!$E$5-Tabla1[[#This Row],[dP]])^2+(Tabla1[[#This Row],[dH]]-'Find a similar substance'!$F$5)^2)</f>
        <v>6.6287253676706186</v>
      </c>
    </row>
    <row r="967" spans="1:7" x14ac:dyDescent="0.25">
      <c r="A967" s="2" t="s">
        <v>1973</v>
      </c>
      <c r="B967" s="2" t="s">
        <v>1972</v>
      </c>
      <c r="C967" s="2">
        <v>20.3</v>
      </c>
      <c r="D967" s="2">
        <v>7.7</v>
      </c>
      <c r="E967" s="2">
        <v>4.5999999999999996</v>
      </c>
      <c r="F967" s="2" t="str">
        <f>IFERROR(VLOOKUP(B967,Tabla2[],5,FALSE),"")</f>
        <v/>
      </c>
      <c r="G967" s="2">
        <f>SQRT(4*(Tabla1[[#This Row],[dD]]-'Find a similar substance'!$D$5)^2+('Find a similar substance'!$E$5-Tabla1[[#This Row],[dP]])^2+(Tabla1[[#This Row],[dH]]-'Find a similar substance'!$F$5)^2)</f>
        <v>7.4779676383359659</v>
      </c>
    </row>
    <row r="968" spans="1:7" x14ac:dyDescent="0.25">
      <c r="A968" s="2" t="s">
        <v>1975</v>
      </c>
      <c r="B968" s="2" t="s">
        <v>1974</v>
      </c>
      <c r="C968" s="2">
        <v>19.5</v>
      </c>
      <c r="D968" s="2">
        <v>5.2</v>
      </c>
      <c r="E968" s="2">
        <v>5.3</v>
      </c>
      <c r="F968" s="2" t="str">
        <f>IFERROR(VLOOKUP(B968,Tabla2[],5,FALSE),"")</f>
        <v/>
      </c>
      <c r="G968" s="2">
        <f>SQRT(4*(Tabla1[[#This Row],[dD]]-'Find a similar substance'!$D$5)^2+('Find a similar substance'!$E$5-Tabla1[[#This Row],[dP]])^2+(Tabla1[[#This Row],[dH]]-'Find a similar substance'!$F$5)^2)</f>
        <v>6.7808554032658712</v>
      </c>
    </row>
    <row r="969" spans="1:7" x14ac:dyDescent="0.25">
      <c r="A969" s="2" t="s">
        <v>1977</v>
      </c>
      <c r="B969" s="2" t="s">
        <v>1976</v>
      </c>
      <c r="C969" s="2">
        <v>19.3</v>
      </c>
      <c r="D969" s="2">
        <v>5</v>
      </c>
      <c r="E969" s="2">
        <v>4.2</v>
      </c>
      <c r="F969" s="2" t="str">
        <f>IFERROR(VLOOKUP(B969,Tabla2[],5,FALSE),"")</f>
        <v/>
      </c>
      <c r="G969" s="2">
        <f>SQRT(4*(Tabla1[[#This Row],[dD]]-'Find a similar substance'!$D$5)^2+('Find a similar substance'!$E$5-Tabla1[[#This Row],[dP]])^2+(Tabla1[[#This Row],[dH]]-'Find a similar substance'!$F$5)^2)</f>
        <v>6.5946948375190173</v>
      </c>
    </row>
    <row r="970" spans="1:7" x14ac:dyDescent="0.25">
      <c r="A970" s="2" t="s">
        <v>1979</v>
      </c>
      <c r="B970" s="2" t="s">
        <v>1978</v>
      </c>
      <c r="C970" s="2">
        <v>19.399999999999999</v>
      </c>
      <c r="D970" s="2">
        <v>8.6999999999999993</v>
      </c>
      <c r="E970" s="2">
        <v>2</v>
      </c>
      <c r="F970" s="2" t="str">
        <f>IFERROR(VLOOKUP(B970,Tabla2[],5,FALSE),"")</f>
        <v/>
      </c>
      <c r="G970" s="2">
        <f>SQRT(4*(Tabla1[[#This Row],[dD]]-'Find a similar substance'!$D$5)^2+('Find a similar substance'!$E$5-Tabla1[[#This Row],[dP]])^2+(Tabla1[[#This Row],[dH]]-'Find a similar substance'!$F$5)^2)</f>
        <v>6.3529520697074311</v>
      </c>
    </row>
    <row r="971" spans="1:7" x14ac:dyDescent="0.25">
      <c r="A971" s="2" t="s">
        <v>1981</v>
      </c>
      <c r="B971" s="2" t="s">
        <v>1980</v>
      </c>
      <c r="C971" s="2">
        <v>18.7</v>
      </c>
      <c r="D971" s="2">
        <v>4.7</v>
      </c>
      <c r="E971" s="2">
        <v>3.9</v>
      </c>
      <c r="F971" s="2" t="str">
        <f>IFERROR(VLOOKUP(B971,Tabla2[],5,FALSE),"")</f>
        <v/>
      </c>
      <c r="G971" s="2">
        <f>SQRT(4*(Tabla1[[#This Row],[dD]]-'Find a similar substance'!$D$5)^2+('Find a similar substance'!$E$5-Tabla1[[#This Row],[dP]])^2+(Tabla1[[#This Row],[dH]]-'Find a similar substance'!$F$5)^2)</f>
        <v>5.9033888572581734</v>
      </c>
    </row>
    <row r="972" spans="1:7" x14ac:dyDescent="0.25">
      <c r="A972" s="2">
        <v>1614434</v>
      </c>
      <c r="B972" s="2" t="s">
        <v>1982</v>
      </c>
      <c r="C972" s="2">
        <v>20.2</v>
      </c>
      <c r="D972" s="2">
        <v>7</v>
      </c>
      <c r="E972" s="2">
        <v>10</v>
      </c>
      <c r="F972" s="2" t="str">
        <f>IFERROR(VLOOKUP(B972,Tabla2[],5,FALSE),"")</f>
        <v/>
      </c>
      <c r="G972" s="2">
        <f>SQRT(4*(Tabla1[[#This Row],[dD]]-'Find a similar substance'!$D$5)^2+('Find a similar substance'!$E$5-Tabla1[[#This Row],[dP]])^2+(Tabla1[[#This Row],[dH]]-'Find a similar substance'!$F$5)^2)</f>
        <v>8.9291656945091979</v>
      </c>
    </row>
    <row r="973" spans="1:7" x14ac:dyDescent="0.25">
      <c r="A973" s="2" t="s">
        <v>1984</v>
      </c>
      <c r="B973" s="2" t="s">
        <v>1983</v>
      </c>
      <c r="C973" s="2">
        <v>19</v>
      </c>
      <c r="D973" s="2">
        <v>4.9000000000000004</v>
      </c>
      <c r="E973" s="2">
        <v>2.2999999999999998</v>
      </c>
      <c r="F973" s="2" t="str">
        <f>IFERROR(VLOOKUP(B973,Tabla2[],5,FALSE),"")</f>
        <v/>
      </c>
      <c r="G973" s="2">
        <f>SQRT(4*(Tabla1[[#This Row],[dD]]-'Find a similar substance'!$D$5)^2+('Find a similar substance'!$E$5-Tabla1[[#This Row],[dP]])^2+(Tabla1[[#This Row],[dH]]-'Find a similar substance'!$F$5)^2)</f>
        <v>6.6910387833280396</v>
      </c>
    </row>
    <row r="974" spans="1:7" x14ac:dyDescent="0.25">
      <c r="A974" s="2" t="s">
        <v>1986</v>
      </c>
      <c r="B974" s="2" t="s">
        <v>1985</v>
      </c>
      <c r="C974" s="2">
        <v>20.7</v>
      </c>
      <c r="D974" s="2">
        <v>6.5</v>
      </c>
      <c r="E974" s="2">
        <v>5.3</v>
      </c>
      <c r="F974" s="2" t="str">
        <f>IFERROR(VLOOKUP(B974,Tabla2[],5,FALSE),"")</f>
        <v/>
      </c>
      <c r="G974" s="2">
        <f>SQRT(4*(Tabla1[[#This Row],[dD]]-'Find a similar substance'!$D$5)^2+('Find a similar substance'!$E$5-Tabla1[[#This Row],[dP]])^2+(Tabla1[[#This Row],[dH]]-'Find a similar substance'!$F$5)^2)</f>
        <v>8.4952928142589599</v>
      </c>
    </row>
    <row r="975" spans="1:7" x14ac:dyDescent="0.25">
      <c r="A975" s="2" t="s">
        <v>1988</v>
      </c>
      <c r="B975" s="2" t="s">
        <v>1987</v>
      </c>
      <c r="C975" s="2">
        <v>19.2</v>
      </c>
      <c r="D975" s="2">
        <v>6.3</v>
      </c>
      <c r="E975" s="2">
        <v>3.3</v>
      </c>
      <c r="F975" s="2" t="str">
        <f>IFERROR(VLOOKUP(B975,Tabla2[],5,FALSE),"")</f>
        <v/>
      </c>
      <c r="G975" s="2">
        <f>SQRT(4*(Tabla1[[#This Row],[dD]]-'Find a similar substance'!$D$5)^2+('Find a similar substance'!$E$5-Tabla1[[#This Row],[dP]])^2+(Tabla1[[#This Row],[dH]]-'Find a similar substance'!$F$5)^2)</f>
        <v>5.9741108124975346</v>
      </c>
    </row>
    <row r="976" spans="1:7" x14ac:dyDescent="0.25">
      <c r="A976" s="2" t="s">
        <v>1990</v>
      </c>
      <c r="B976" s="2" t="s">
        <v>1989</v>
      </c>
      <c r="C976" s="2">
        <v>18</v>
      </c>
      <c r="D976" s="2">
        <v>9</v>
      </c>
      <c r="E976" s="2">
        <v>1</v>
      </c>
      <c r="F976" s="2" t="str">
        <f>IFERROR(VLOOKUP(B976,Tabla2[],5,FALSE),"")</f>
        <v/>
      </c>
      <c r="G976" s="2">
        <f>SQRT(4*(Tabla1[[#This Row],[dD]]-'Find a similar substance'!$D$5)^2+('Find a similar substance'!$E$5-Tabla1[[#This Row],[dP]])^2+(Tabla1[[#This Row],[dH]]-'Find a similar substance'!$F$5)^2)</f>
        <v>4.8918299234540017</v>
      </c>
    </row>
    <row r="977" spans="1:7" x14ac:dyDescent="0.25">
      <c r="A977" s="2" t="s">
        <v>1992</v>
      </c>
      <c r="B977" s="2" t="s">
        <v>1991</v>
      </c>
      <c r="C977" s="2">
        <v>18</v>
      </c>
      <c r="D977" s="2">
        <v>7</v>
      </c>
      <c r="E977" s="2">
        <v>12</v>
      </c>
      <c r="F977" s="2" t="str">
        <f>IFERROR(VLOOKUP(B977,Tabla2[],5,FALSE),"")</f>
        <v/>
      </c>
      <c r="G977" s="2">
        <f>SQRT(4*(Tabla1[[#This Row],[dD]]-'Find a similar substance'!$D$5)^2+('Find a similar substance'!$E$5-Tabla1[[#This Row],[dP]])^2+(Tabla1[[#This Row],[dH]]-'Find a similar substance'!$F$5)^2)</f>
        <v>7.7285186161385404</v>
      </c>
    </row>
    <row r="978" spans="1:7" x14ac:dyDescent="0.25">
      <c r="A978" s="2" t="s">
        <v>1994</v>
      </c>
      <c r="B978" s="2" t="s">
        <v>1993</v>
      </c>
      <c r="C978" s="2">
        <v>17.600000000000001</v>
      </c>
      <c r="D978" s="2">
        <v>0.1</v>
      </c>
      <c r="E978" s="2">
        <v>1</v>
      </c>
      <c r="F978" s="2" t="str">
        <f>IFERROR(VLOOKUP(B978,Tabla2[],5,FALSE),"")</f>
        <v/>
      </c>
      <c r="G978" s="2">
        <f>SQRT(4*(Tabla1[[#This Row],[dD]]-'Find a similar substance'!$D$5)^2+('Find a similar substance'!$E$5-Tabla1[[#This Row],[dP]])^2+(Tabla1[[#This Row],[dH]]-'Find a similar substance'!$F$5)^2)</f>
        <v>9.6932966528421076</v>
      </c>
    </row>
    <row r="979" spans="1:7" x14ac:dyDescent="0.25">
      <c r="A979" s="2" t="s">
        <v>1996</v>
      </c>
      <c r="B979" s="2" t="s">
        <v>1995</v>
      </c>
      <c r="C979" s="2">
        <v>16.399999999999999</v>
      </c>
      <c r="D979" s="2">
        <v>0</v>
      </c>
      <c r="E979" s="2">
        <v>0</v>
      </c>
      <c r="F979" s="2" t="str">
        <f>IFERROR(VLOOKUP(B979,Tabla2[],5,FALSE),"")</f>
        <v/>
      </c>
      <c r="G979" s="2">
        <f>SQRT(4*(Tabla1[[#This Row],[dD]]-'Find a similar substance'!$D$5)^2+('Find a similar substance'!$E$5-Tabla1[[#This Row],[dP]])^2+(Tabla1[[#This Row],[dH]]-'Find a similar substance'!$F$5)^2)</f>
        <v>10.042410069301093</v>
      </c>
    </row>
    <row r="980" spans="1:7" x14ac:dyDescent="0.25">
      <c r="A980" s="2" t="s">
        <v>1998</v>
      </c>
      <c r="B980" s="2" t="s">
        <v>1997</v>
      </c>
      <c r="C980" s="2">
        <v>12.8</v>
      </c>
      <c r="D980" s="2">
        <v>1.3</v>
      </c>
      <c r="E980" s="2">
        <v>1</v>
      </c>
      <c r="F980" s="2" t="str">
        <f>IFERROR(VLOOKUP(B980,Tabla2[],5,FALSE),"")</f>
        <v/>
      </c>
      <c r="G980" s="2">
        <f>SQRT(4*(Tabla1[[#This Row],[dD]]-'Find a similar substance'!$D$5)^2+('Find a similar substance'!$E$5-Tabla1[[#This Row],[dP]])^2+(Tabla1[[#This Row],[dH]]-'Find a similar substance'!$F$5)^2)</f>
        <v>11.336666176614711</v>
      </c>
    </row>
    <row r="981" spans="1:7" x14ac:dyDescent="0.25">
      <c r="A981" s="2" t="s">
        <v>2000</v>
      </c>
      <c r="B981" s="2" t="s">
        <v>1999</v>
      </c>
      <c r="C981" s="2">
        <v>15.5</v>
      </c>
      <c r="D981" s="2">
        <v>0</v>
      </c>
      <c r="E981" s="2">
        <v>0</v>
      </c>
      <c r="F981" s="2" t="str">
        <f>IFERROR(VLOOKUP(B981,Tabla2[],5,FALSE),"")</f>
        <v/>
      </c>
      <c r="G981" s="2">
        <f>SQRT(4*(Tabla1[[#This Row],[dD]]-'Find a similar substance'!$D$5)^2+('Find a similar substance'!$E$5-Tabla1[[#This Row],[dP]])^2+(Tabla1[[#This Row],[dH]]-'Find a similar substance'!$F$5)^2)</f>
        <v>10.27277956543408</v>
      </c>
    </row>
    <row r="982" spans="1:7" x14ac:dyDescent="0.25">
      <c r="A982" s="2" t="s">
        <v>2002</v>
      </c>
      <c r="B982" s="2" t="s">
        <v>2001</v>
      </c>
      <c r="C982" s="2">
        <v>15.7</v>
      </c>
      <c r="D982" s="2">
        <v>3.3</v>
      </c>
      <c r="E982" s="2">
        <v>8.1999999999999993</v>
      </c>
      <c r="F982" s="2" t="str">
        <f>IFERROR(VLOOKUP(B982,Tabla2[],5,FALSE),"")</f>
        <v/>
      </c>
      <c r="G982" s="2">
        <f>SQRT(4*(Tabla1[[#This Row],[dD]]-'Find a similar substance'!$D$5)^2+('Find a similar substance'!$E$5-Tabla1[[#This Row],[dP]])^2+(Tabla1[[#This Row],[dH]]-'Find a similar substance'!$F$5)^2)</f>
        <v>6.5299310869258029</v>
      </c>
    </row>
    <row r="983" spans="1:7" x14ac:dyDescent="0.25">
      <c r="A983" s="2" t="s">
        <v>2004</v>
      </c>
      <c r="B983" s="2" t="s">
        <v>2003</v>
      </c>
      <c r="C983" s="2">
        <v>15.8</v>
      </c>
      <c r="D983" s="2">
        <v>2.9</v>
      </c>
      <c r="E983" s="2">
        <v>5.0999999999999996</v>
      </c>
      <c r="F983" s="2" t="str">
        <f>IFERROR(VLOOKUP(B983,Tabla2[],5,FALSE),"")</f>
        <v/>
      </c>
      <c r="G983" s="2">
        <f>SQRT(4*(Tabla1[[#This Row],[dD]]-'Find a similar substance'!$D$5)^2+('Find a similar substance'!$E$5-Tabla1[[#This Row],[dP]])^2+(Tabla1[[#This Row],[dH]]-'Find a similar substance'!$F$5)^2)</f>
        <v>6.0174745533321525</v>
      </c>
    </row>
    <row r="984" spans="1:7" x14ac:dyDescent="0.25">
      <c r="A984" s="2" t="s">
        <v>2006</v>
      </c>
      <c r="B984" s="2" t="s">
        <v>2005</v>
      </c>
      <c r="C984" s="2">
        <v>16</v>
      </c>
      <c r="D984" s="2">
        <v>2.8</v>
      </c>
      <c r="E984" s="2">
        <v>6.2</v>
      </c>
      <c r="F984" s="2" t="str">
        <f>IFERROR(VLOOKUP(B984,Tabla2[],5,FALSE),"")</f>
        <v/>
      </c>
      <c r="G984" s="2">
        <f>SQRT(4*(Tabla1[[#This Row],[dD]]-'Find a similar substance'!$D$5)^2+('Find a similar substance'!$E$5-Tabla1[[#This Row],[dP]])^2+(Tabla1[[#This Row],[dH]]-'Find a similar substance'!$F$5)^2)</f>
        <v>6.1392181912683306</v>
      </c>
    </row>
    <row r="985" spans="1:7" x14ac:dyDescent="0.25">
      <c r="A985" s="2" t="s">
        <v>2008</v>
      </c>
      <c r="B985" s="2" t="s">
        <v>2007</v>
      </c>
      <c r="C985" s="2">
        <v>16.5</v>
      </c>
      <c r="D985" s="2">
        <v>2.6</v>
      </c>
      <c r="E985" s="2">
        <v>8</v>
      </c>
      <c r="F985" s="2" t="str">
        <f>IFERROR(VLOOKUP(B985,Tabla2[],5,FALSE),"")</f>
        <v/>
      </c>
      <c r="G985" s="2">
        <f>SQRT(4*(Tabla1[[#This Row],[dD]]-'Find a similar substance'!$D$5)^2+('Find a similar substance'!$E$5-Tabla1[[#This Row],[dP]])^2+(Tabla1[[#This Row],[dH]]-'Find a similar substance'!$F$5)^2)</f>
        <v>6.8007352543677211</v>
      </c>
    </row>
    <row r="986" spans="1:7" x14ac:dyDescent="0.25">
      <c r="A986" s="2" t="s">
        <v>2010</v>
      </c>
      <c r="B986" s="2" t="s">
        <v>2009</v>
      </c>
      <c r="C986" s="2">
        <v>12.6</v>
      </c>
      <c r="D986" s="2">
        <v>2</v>
      </c>
      <c r="E986" s="2">
        <v>0</v>
      </c>
      <c r="F986" s="2" t="str">
        <f>IFERROR(VLOOKUP(B986,Tabla2[],5,FALSE),"")</f>
        <v/>
      </c>
      <c r="G986" s="2">
        <f>SQRT(4*(Tabla1[[#This Row],[dD]]-'Find a similar substance'!$D$5)^2+('Find a similar substance'!$E$5-Tabla1[[#This Row],[dP]])^2+(Tabla1[[#This Row],[dH]]-'Find a similar substance'!$F$5)^2)</f>
        <v>11.571084650973738</v>
      </c>
    </row>
    <row r="987" spans="1:7" x14ac:dyDescent="0.25">
      <c r="A987" s="2" t="s">
        <v>2012</v>
      </c>
      <c r="B987" s="2" t="s">
        <v>2011</v>
      </c>
      <c r="C987" s="2">
        <v>12.2</v>
      </c>
      <c r="D987" s="2">
        <v>1.8</v>
      </c>
      <c r="E987" s="2">
        <v>0</v>
      </c>
      <c r="F987" s="2" t="str">
        <f>IFERROR(VLOOKUP(B987,Tabla2[],5,FALSE),"")</f>
        <v/>
      </c>
      <c r="G987" s="2">
        <f>SQRT(4*(Tabla1[[#This Row],[dD]]-'Find a similar substance'!$D$5)^2+('Find a similar substance'!$E$5-Tabla1[[#This Row],[dP]])^2+(Tabla1[[#This Row],[dH]]-'Find a similar substance'!$F$5)^2)</f>
        <v>12.249489785293102</v>
      </c>
    </row>
    <row r="988" spans="1:7" x14ac:dyDescent="0.25">
      <c r="A988" s="2" t="s">
        <v>2014</v>
      </c>
      <c r="B988" s="2" t="s">
        <v>2013</v>
      </c>
      <c r="C988" s="2">
        <v>11.7</v>
      </c>
      <c r="D988" s="2">
        <v>2.4</v>
      </c>
      <c r="E988" s="2">
        <v>0</v>
      </c>
      <c r="F988" s="2" t="str">
        <f>IFERROR(VLOOKUP(B988,Tabla2[],5,FALSE),"")</f>
        <v/>
      </c>
      <c r="G988" s="2">
        <f>SQRT(4*(Tabla1[[#This Row],[dD]]-'Find a similar substance'!$D$5)^2+('Find a similar substance'!$E$5-Tabla1[[#This Row],[dP]])^2+(Tabla1[[#This Row],[dH]]-'Find a similar substance'!$F$5)^2)</f>
        <v>12.677933585565121</v>
      </c>
    </row>
    <row r="989" spans="1:7" x14ac:dyDescent="0.25">
      <c r="A989" s="2" t="s">
        <v>2016</v>
      </c>
      <c r="B989" s="2" t="s">
        <v>2015</v>
      </c>
      <c r="C989" s="2">
        <v>17</v>
      </c>
      <c r="D989" s="2">
        <v>17</v>
      </c>
      <c r="E989" s="2">
        <v>26</v>
      </c>
      <c r="F989" s="2" t="str">
        <f>IFERROR(VLOOKUP(B989,Tabla2[],5,FALSE),"")</f>
        <v/>
      </c>
      <c r="G989" s="2">
        <f>SQRT(4*(Tabla1[[#This Row],[dD]]-'Find a similar substance'!$D$5)^2+('Find a similar substance'!$E$5-Tabla1[[#This Row],[dP]])^2+(Tabla1[[#This Row],[dH]]-'Find a similar substance'!$F$5)^2)</f>
        <v>22.594910931446488</v>
      </c>
    </row>
    <row r="990" spans="1:7" x14ac:dyDescent="0.25">
      <c r="A990" s="2" t="s">
        <v>2018</v>
      </c>
      <c r="B990" s="2" t="s">
        <v>2017</v>
      </c>
      <c r="C990" s="2">
        <v>16.100000000000001</v>
      </c>
      <c r="D990" s="2">
        <v>3.8</v>
      </c>
      <c r="E990" s="2">
        <v>7.5</v>
      </c>
      <c r="F990" s="2" t="str">
        <f>IFERROR(VLOOKUP(B990,Tabla2[],5,FALSE),"")</f>
        <v/>
      </c>
      <c r="G990" s="2">
        <f>SQRT(4*(Tabla1[[#This Row],[dD]]-'Find a similar substance'!$D$5)^2+('Find a similar substance'!$E$5-Tabla1[[#This Row],[dP]])^2+(Tabla1[[#This Row],[dH]]-'Find a similar substance'!$F$5)^2)</f>
        <v>5.5910642993977451</v>
      </c>
    </row>
    <row r="991" spans="1:7" x14ac:dyDescent="0.25">
      <c r="A991" s="2" t="s">
        <v>2020</v>
      </c>
      <c r="B991" s="2" t="s">
        <v>2019</v>
      </c>
      <c r="C991" s="2">
        <v>16.7</v>
      </c>
      <c r="D991" s="2">
        <v>10</v>
      </c>
      <c r="E991" s="2">
        <v>5.4</v>
      </c>
      <c r="F991" s="2" t="str">
        <f>IFERROR(VLOOKUP(B991,Tabla2[],5,FALSE),"")</f>
        <v/>
      </c>
      <c r="G991" s="2">
        <f>SQRT(4*(Tabla1[[#This Row],[dD]]-'Find a similar substance'!$D$5)^2+('Find a similar substance'!$E$5-Tabla1[[#This Row],[dP]])^2+(Tabla1[[#This Row],[dH]]-'Find a similar substance'!$F$5)^2)</f>
        <v>1.3747727084867523</v>
      </c>
    </row>
    <row r="992" spans="1:7" x14ac:dyDescent="0.25">
      <c r="A992" s="2" t="s">
        <v>2022</v>
      </c>
      <c r="B992" s="2" t="s">
        <v>2021</v>
      </c>
      <c r="C992" s="2">
        <v>19.8</v>
      </c>
      <c r="D992" s="2">
        <v>4.2</v>
      </c>
      <c r="E992" s="2">
        <v>0</v>
      </c>
      <c r="F992" s="2" t="str">
        <f>IFERROR(VLOOKUP(B992,Tabla2[],5,FALSE),"")</f>
        <v/>
      </c>
      <c r="G992" s="2">
        <f>SQRT(4*(Tabla1[[#This Row],[dD]]-'Find a similar substance'!$D$5)^2+('Find a similar substance'!$E$5-Tabla1[[#This Row],[dP]])^2+(Tabla1[[#This Row],[dH]]-'Find a similar substance'!$F$5)^2)</f>
        <v>9.2849340331528456</v>
      </c>
    </row>
    <row r="993" spans="1:7" x14ac:dyDescent="0.25">
      <c r="A993" s="2" t="s">
        <v>2024</v>
      </c>
      <c r="B993" s="2" t="s">
        <v>2023</v>
      </c>
      <c r="C993" s="2">
        <v>19.899999999999999</v>
      </c>
      <c r="D993" s="2">
        <v>6.5</v>
      </c>
      <c r="E993" s="2">
        <v>11.3</v>
      </c>
      <c r="F993" s="2" t="str">
        <f>IFERROR(VLOOKUP(B993,Tabla2[],5,FALSE),"")</f>
        <v/>
      </c>
      <c r="G993" s="2">
        <f>SQRT(4*(Tabla1[[#This Row],[dD]]-'Find a similar substance'!$D$5)^2+('Find a similar substance'!$E$5-Tabla1[[#This Row],[dP]])^2+(Tabla1[[#This Row],[dH]]-'Find a similar substance'!$F$5)^2)</f>
        <v>9.3856273098818459</v>
      </c>
    </row>
    <row r="994" spans="1:7" x14ac:dyDescent="0.25">
      <c r="A994" s="2" t="s">
        <v>2026</v>
      </c>
      <c r="B994" s="2" t="s">
        <v>2025</v>
      </c>
      <c r="C994" s="2">
        <v>20.399999999999999</v>
      </c>
      <c r="D994" s="2">
        <v>9.3000000000000007</v>
      </c>
      <c r="E994" s="2">
        <v>5.8</v>
      </c>
      <c r="F994" s="2" t="str">
        <f>IFERROR(VLOOKUP(B994,Tabla2[],5,FALSE),"")</f>
        <v/>
      </c>
      <c r="G994" s="2">
        <f>SQRT(4*(Tabla1[[#This Row],[dD]]-'Find a similar substance'!$D$5)^2+('Find a similar substance'!$E$5-Tabla1[[#This Row],[dP]])^2+(Tabla1[[#This Row],[dH]]-'Find a similar substance'!$F$5)^2)</f>
        <v>7.6655071586947141</v>
      </c>
    </row>
    <row r="995" spans="1:7" x14ac:dyDescent="0.25">
      <c r="A995" s="2" t="s">
        <v>2028</v>
      </c>
      <c r="B995" s="2" t="s">
        <v>2027</v>
      </c>
      <c r="C995" s="2">
        <v>20.2</v>
      </c>
      <c r="D995" s="2">
        <v>6.5</v>
      </c>
      <c r="E995" s="2">
        <v>5.5</v>
      </c>
      <c r="F995" s="2" t="str">
        <f>IFERROR(VLOOKUP(B995,Tabla2[],5,FALSE),"")</f>
        <v/>
      </c>
      <c r="G995" s="2">
        <f>SQRT(4*(Tabla1[[#This Row],[dD]]-'Find a similar substance'!$D$5)^2+('Find a similar substance'!$E$5-Tabla1[[#This Row],[dP]])^2+(Tabla1[[#This Row],[dH]]-'Find a similar substance'!$F$5)^2)</f>
        <v>7.5451971478550472</v>
      </c>
    </row>
    <row r="996" spans="1:7" x14ac:dyDescent="0.25">
      <c r="A996" s="2" t="s">
        <v>2030</v>
      </c>
      <c r="B996" s="2" t="s">
        <v>2029</v>
      </c>
      <c r="C996" s="2">
        <v>20.9</v>
      </c>
      <c r="D996" s="2">
        <v>9.9</v>
      </c>
      <c r="E996" s="2">
        <v>5.9</v>
      </c>
      <c r="F996" s="2" t="str">
        <f>IFERROR(VLOOKUP(B996,Tabla2[],5,FALSE),"")</f>
        <v/>
      </c>
      <c r="G996" s="2">
        <f>SQRT(4*(Tabla1[[#This Row],[dD]]-'Find a similar substance'!$D$5)^2+('Find a similar substance'!$E$5-Tabla1[[#This Row],[dP]])^2+(Tabla1[[#This Row],[dH]]-'Find a similar substance'!$F$5)^2)</f>
        <v>8.7298339044909614</v>
      </c>
    </row>
    <row r="997" spans="1:7" x14ac:dyDescent="0.25">
      <c r="A997" s="2" t="s">
        <v>2032</v>
      </c>
      <c r="B997" s="2" t="s">
        <v>2031</v>
      </c>
      <c r="C997" s="2">
        <v>19.3</v>
      </c>
      <c r="D997" s="2">
        <v>6.8</v>
      </c>
      <c r="E997" s="2">
        <v>4.0999999999999996</v>
      </c>
      <c r="F997" s="2" t="str">
        <f>IFERROR(VLOOKUP(B997,Tabla2[],5,FALSE),"")</f>
        <v/>
      </c>
      <c r="G997" s="2">
        <f>SQRT(4*(Tabla1[[#This Row],[dD]]-'Find a similar substance'!$D$5)^2+('Find a similar substance'!$E$5-Tabla1[[#This Row],[dP]])^2+(Tabla1[[#This Row],[dH]]-'Find a similar substance'!$F$5)^2)</f>
        <v>5.7948252777801663</v>
      </c>
    </row>
    <row r="998" spans="1:7" x14ac:dyDescent="0.25">
      <c r="A998" s="2" t="s">
        <v>2034</v>
      </c>
      <c r="B998" s="2" t="s">
        <v>2033</v>
      </c>
      <c r="C998" s="2">
        <v>19.600000000000001</v>
      </c>
      <c r="D998" s="2">
        <v>7.6</v>
      </c>
      <c r="E998" s="2">
        <v>4</v>
      </c>
      <c r="F998" s="2" t="str">
        <f>IFERROR(VLOOKUP(B998,Tabla2[],5,FALSE),"")</f>
        <v/>
      </c>
      <c r="G998" s="2">
        <f>SQRT(4*(Tabla1[[#This Row],[dD]]-'Find a similar substance'!$D$5)^2+('Find a similar substance'!$E$5-Tabla1[[#This Row],[dP]])^2+(Tabla1[[#This Row],[dH]]-'Find a similar substance'!$F$5)^2)</f>
        <v>6.1814237842102369</v>
      </c>
    </row>
    <row r="999" spans="1:7" x14ac:dyDescent="0.25">
      <c r="A999" s="2" t="s">
        <v>2036</v>
      </c>
      <c r="B999" s="2" t="s">
        <v>2035</v>
      </c>
      <c r="C999" s="2">
        <v>19.899999999999999</v>
      </c>
      <c r="D999" s="2">
        <v>6.7</v>
      </c>
      <c r="E999" s="2">
        <v>5.0999999999999996</v>
      </c>
      <c r="F999" s="2" t="str">
        <f>IFERROR(VLOOKUP(B999,Tabla2[],5,FALSE),"")</f>
        <v/>
      </c>
      <c r="G999" s="2">
        <f>SQRT(4*(Tabla1[[#This Row],[dD]]-'Find a similar substance'!$D$5)^2+('Find a similar substance'!$E$5-Tabla1[[#This Row],[dP]])^2+(Tabla1[[#This Row],[dH]]-'Find a similar substance'!$F$5)^2)</f>
        <v>6.8971008402081457</v>
      </c>
    </row>
    <row r="1000" spans="1:7" x14ac:dyDescent="0.25">
      <c r="A1000" s="2" t="s">
        <v>2038</v>
      </c>
      <c r="B1000" s="2" t="s">
        <v>2037</v>
      </c>
      <c r="C1000" s="2">
        <v>20.2</v>
      </c>
      <c r="D1000" s="2">
        <v>8.9</v>
      </c>
      <c r="E1000" s="2">
        <v>3.9</v>
      </c>
      <c r="F1000" s="2" t="str">
        <f>IFERROR(VLOOKUP(B1000,Tabla2[],5,FALSE),"")</f>
        <v/>
      </c>
      <c r="G1000" s="2">
        <f>SQRT(4*(Tabla1[[#This Row],[dD]]-'Find a similar substance'!$D$5)^2+('Find a similar substance'!$E$5-Tabla1[[#This Row],[dP]])^2+(Tabla1[[#This Row],[dH]]-'Find a similar substance'!$F$5)^2)</f>
        <v>7.2862884927787439</v>
      </c>
    </row>
    <row r="1001" spans="1:7" x14ac:dyDescent="0.25">
      <c r="A1001" s="2" t="s">
        <v>2040</v>
      </c>
      <c r="B1001" s="2" t="s">
        <v>2039</v>
      </c>
      <c r="C1001" s="2">
        <v>18.7</v>
      </c>
      <c r="D1001" s="2">
        <v>4.3</v>
      </c>
      <c r="E1001" s="2">
        <v>3.9</v>
      </c>
      <c r="F1001" s="2" t="str">
        <f>IFERROR(VLOOKUP(B1001,Tabla2[],5,FALSE),"")</f>
        <v/>
      </c>
      <c r="G1001" s="2">
        <f>SQRT(4*(Tabla1[[#This Row],[dD]]-'Find a similar substance'!$D$5)^2+('Find a similar substance'!$E$5-Tabla1[[#This Row],[dP]])^2+(Tabla1[[#This Row],[dH]]-'Find a similar substance'!$F$5)^2)</f>
        <v>6.1814237842102333</v>
      </c>
    </row>
    <row r="1002" spans="1:7" x14ac:dyDescent="0.25">
      <c r="A1002" s="2" t="s">
        <v>2042</v>
      </c>
      <c r="B1002" s="2" t="s">
        <v>2041</v>
      </c>
      <c r="C1002" s="2">
        <v>19.100000000000001</v>
      </c>
      <c r="D1002" s="2">
        <v>6.2</v>
      </c>
      <c r="E1002" s="2">
        <v>2.6</v>
      </c>
      <c r="F1002" s="2" t="str">
        <f>IFERROR(VLOOKUP(B1002,Tabla2[],5,FALSE),"")</f>
        <v/>
      </c>
      <c r="G1002" s="2">
        <f>SQRT(4*(Tabla1[[#This Row],[dD]]-'Find a similar substance'!$D$5)^2+('Find a similar substance'!$E$5-Tabla1[[#This Row],[dP]])^2+(Tabla1[[#This Row],[dH]]-'Find a similar substance'!$F$5)^2)</f>
        <v>6.0835844697020525</v>
      </c>
    </row>
    <row r="1003" spans="1:7" x14ac:dyDescent="0.25">
      <c r="A1003" s="2">
        <v>653915</v>
      </c>
      <c r="B1003" s="2" t="s">
        <v>2043</v>
      </c>
      <c r="C1003" s="2">
        <v>19.100000000000001</v>
      </c>
      <c r="D1003" s="2">
        <v>7</v>
      </c>
      <c r="E1003" s="2">
        <v>17.3</v>
      </c>
      <c r="F1003" s="2" t="str">
        <f>IFERROR(VLOOKUP(B1003,Tabla2[],5,FALSE),"")</f>
        <v/>
      </c>
      <c r="G1003" s="2">
        <f>SQRT(4*(Tabla1[[#This Row],[dD]]-'Find a similar substance'!$D$5)^2+('Find a similar substance'!$E$5-Tabla1[[#This Row],[dP]])^2+(Tabla1[[#This Row],[dH]]-'Find a similar substance'!$F$5)^2)</f>
        <v>13.385813385820079</v>
      </c>
    </row>
    <row r="1004" spans="1:7" x14ac:dyDescent="0.25">
      <c r="A1004" s="2" t="s">
        <v>2045</v>
      </c>
      <c r="B1004" s="2" t="s">
        <v>2044</v>
      </c>
      <c r="C1004" s="2">
        <v>19.7</v>
      </c>
      <c r="D1004" s="2">
        <v>5.6</v>
      </c>
      <c r="E1004" s="2">
        <v>2.7</v>
      </c>
      <c r="F1004" s="2" t="str">
        <f>IFERROR(VLOOKUP(B1004,Tabla2[],5,FALSE),"")</f>
        <v/>
      </c>
      <c r="G1004" s="2">
        <f>SQRT(4*(Tabla1[[#This Row],[dD]]-'Find a similar substance'!$D$5)^2+('Find a similar substance'!$E$5-Tabla1[[#This Row],[dP]])^2+(Tabla1[[#This Row],[dH]]-'Find a similar substance'!$F$5)^2)</f>
        <v>7.3034238546040822</v>
      </c>
    </row>
    <row r="1005" spans="1:7" x14ac:dyDescent="0.25">
      <c r="A1005" s="2" t="s">
        <v>2047</v>
      </c>
      <c r="B1005" s="2" t="s">
        <v>2046</v>
      </c>
      <c r="C1005" s="2">
        <v>18</v>
      </c>
      <c r="D1005" s="2">
        <v>0</v>
      </c>
      <c r="E1005" s="2">
        <v>0.6</v>
      </c>
      <c r="F1005" s="2" t="str">
        <f>IFERROR(VLOOKUP(B1005,Tabla2[],5,FALSE),"")</f>
        <v/>
      </c>
      <c r="G1005" s="2">
        <f>SQRT(4*(Tabla1[[#This Row],[dD]]-'Find a similar substance'!$D$5)^2+('Find a similar substance'!$E$5-Tabla1[[#This Row],[dP]])^2+(Tabla1[[#This Row],[dH]]-'Find a similar substance'!$F$5)^2)</f>
        <v>10.14347080638575</v>
      </c>
    </row>
    <row r="1006" spans="1:7" x14ac:dyDescent="0.25">
      <c r="A1006" s="2" t="s">
        <v>2049</v>
      </c>
      <c r="B1006" s="2" t="s">
        <v>2048</v>
      </c>
      <c r="C1006" s="2">
        <v>18.600000000000001</v>
      </c>
      <c r="D1006" s="2">
        <v>1</v>
      </c>
      <c r="E1006" s="2">
        <v>7</v>
      </c>
      <c r="F1006" s="2" t="str">
        <f>IFERROR(VLOOKUP(B1006,Tabla2[],5,FALSE),"")</f>
        <v/>
      </c>
      <c r="G1006" s="2">
        <f>SQRT(4*(Tabla1[[#This Row],[dD]]-'Find a similar substance'!$D$5)^2+('Find a similar substance'!$E$5-Tabla1[[#This Row],[dP]])^2+(Tabla1[[#This Row],[dH]]-'Find a similar substance'!$F$5)^2)</f>
        <v>8.9044932477934982</v>
      </c>
    </row>
    <row r="1007" spans="1:7" x14ac:dyDescent="0.25">
      <c r="A1007" s="2" t="s">
        <v>2051</v>
      </c>
      <c r="B1007" s="2" t="s">
        <v>2050</v>
      </c>
      <c r="C1007" s="2">
        <v>18.7</v>
      </c>
      <c r="D1007" s="2">
        <v>7.3</v>
      </c>
      <c r="E1007" s="2">
        <v>6.7</v>
      </c>
      <c r="F1007" s="2" t="str">
        <f>IFERROR(VLOOKUP(B1007,Tabla2[],5,FALSE),"")</f>
        <v/>
      </c>
      <c r="G1007" s="2">
        <f>SQRT(4*(Tabla1[[#This Row],[dD]]-'Find a similar substance'!$D$5)^2+('Find a similar substance'!$E$5-Tabla1[[#This Row],[dP]])^2+(Tabla1[[#This Row],[dH]]-'Find a similar substance'!$F$5)^2)</f>
        <v>4.7423622805517462</v>
      </c>
    </row>
    <row r="1008" spans="1:7" x14ac:dyDescent="0.25">
      <c r="A1008" s="2" t="s">
        <v>2053</v>
      </c>
      <c r="B1008" s="2" t="s">
        <v>2052</v>
      </c>
      <c r="C1008" s="2">
        <v>17.399999999999999</v>
      </c>
      <c r="D1008" s="2">
        <v>0.1</v>
      </c>
      <c r="E1008" s="2">
        <v>1</v>
      </c>
      <c r="F1008" s="2" t="str">
        <f>IFERROR(VLOOKUP(B1008,Tabla2[],5,FALSE),"")</f>
        <v/>
      </c>
      <c r="G1008" s="2">
        <f>SQRT(4*(Tabla1[[#This Row],[dD]]-'Find a similar substance'!$D$5)^2+('Find a similar substance'!$E$5-Tabla1[[#This Row],[dP]])^2+(Tabla1[[#This Row],[dH]]-'Find a similar substance'!$F$5)^2)</f>
        <v>9.6187317251288373</v>
      </c>
    </row>
    <row r="1009" spans="1:7" x14ac:dyDescent="0.25">
      <c r="A1009" s="2" t="s">
        <v>2055</v>
      </c>
      <c r="B1009" s="2" t="s">
        <v>2054</v>
      </c>
      <c r="C1009" s="2">
        <v>19.5</v>
      </c>
      <c r="D1009" s="2">
        <v>11</v>
      </c>
      <c r="E1009" s="2">
        <v>3.6</v>
      </c>
      <c r="F1009" s="2" t="str">
        <f>IFERROR(VLOOKUP(B1009,Tabla2[],5,FALSE),"")</f>
        <v/>
      </c>
      <c r="G1009" s="2">
        <f>SQRT(4*(Tabla1[[#This Row],[dD]]-'Find a similar substance'!$D$5)^2+('Find a similar substance'!$E$5-Tabla1[[#This Row],[dP]])^2+(Tabla1[[#This Row],[dH]]-'Find a similar substance'!$F$5)^2)</f>
        <v>6.3945289114992647</v>
      </c>
    </row>
    <row r="1010" spans="1:7" x14ac:dyDescent="0.25">
      <c r="A1010" s="2" t="s">
        <v>2057</v>
      </c>
      <c r="B1010" s="2" t="s">
        <v>2056</v>
      </c>
      <c r="C1010" s="2">
        <v>17.8</v>
      </c>
      <c r="D1010" s="2">
        <v>10.5</v>
      </c>
      <c r="E1010" s="2">
        <v>13.9</v>
      </c>
      <c r="F1010" s="2" t="str">
        <f>IFERROR(VLOOKUP(B1010,Tabla2[],5,FALSE),"")</f>
        <v/>
      </c>
      <c r="G1010" s="2">
        <f>SQRT(4*(Tabla1[[#This Row],[dD]]-'Find a similar substance'!$D$5)^2+('Find a similar substance'!$E$5-Tabla1[[#This Row],[dP]])^2+(Tabla1[[#This Row],[dH]]-'Find a similar substance'!$F$5)^2)</f>
        <v>9.3920178875468512</v>
      </c>
    </row>
    <row r="1011" spans="1:7" x14ac:dyDescent="0.25">
      <c r="A1011" s="2" t="s">
        <v>2059</v>
      </c>
      <c r="B1011" s="2" t="s">
        <v>2058</v>
      </c>
      <c r="C1011" s="2">
        <v>16</v>
      </c>
      <c r="D1011" s="2">
        <v>5</v>
      </c>
      <c r="E1011" s="2">
        <v>6</v>
      </c>
      <c r="F1011" s="2" t="str">
        <f>IFERROR(VLOOKUP(B1011,Tabla2[],5,FALSE),"")</f>
        <v/>
      </c>
      <c r="G1011" s="2">
        <f>SQRT(4*(Tabla1[[#This Row],[dD]]-'Find a similar substance'!$D$5)^2+('Find a similar substance'!$E$5-Tabla1[[#This Row],[dP]])^2+(Tabla1[[#This Row],[dH]]-'Find a similar substance'!$F$5)^2)</f>
        <v>4.0162171256046406</v>
      </c>
    </row>
    <row r="1012" spans="1:7" x14ac:dyDescent="0.25">
      <c r="A1012" s="2" t="s">
        <v>2061</v>
      </c>
      <c r="B1012" s="2" t="s">
        <v>2060</v>
      </c>
      <c r="C1012" s="2">
        <v>19.5</v>
      </c>
      <c r="D1012" s="2">
        <v>8.8000000000000007</v>
      </c>
      <c r="E1012" s="2">
        <v>5.9</v>
      </c>
      <c r="F1012" s="2" t="str">
        <f>IFERROR(VLOOKUP(B1012,Tabla2[],5,FALSE),"")</f>
        <v/>
      </c>
      <c r="G1012" s="2">
        <f>SQRT(4*(Tabla1[[#This Row],[dD]]-'Find a similar substance'!$D$5)^2+('Find a similar substance'!$E$5-Tabla1[[#This Row],[dP]])^2+(Tabla1[[#This Row],[dH]]-'Find a similar substance'!$F$5)^2)</f>
        <v>5.8702640485756659</v>
      </c>
    </row>
    <row r="1013" spans="1:7" x14ac:dyDescent="0.25">
      <c r="A1013" s="2" t="s">
        <v>2063</v>
      </c>
      <c r="B1013" s="2" t="s">
        <v>2062</v>
      </c>
      <c r="C1013" s="2">
        <v>18.2</v>
      </c>
      <c r="D1013" s="2">
        <v>3.2</v>
      </c>
      <c r="E1013" s="2">
        <v>2.4</v>
      </c>
      <c r="F1013" s="2" t="str">
        <f>IFERROR(VLOOKUP(B1013,Tabla2[],5,FALSE),"")</f>
        <v/>
      </c>
      <c r="G1013" s="2">
        <f>SQRT(4*(Tabla1[[#This Row],[dD]]-'Find a similar substance'!$D$5)^2+('Find a similar substance'!$E$5-Tabla1[[#This Row],[dP]])^2+(Tabla1[[#This Row],[dH]]-'Find a similar substance'!$F$5)^2)</f>
        <v>6.8738635424337575</v>
      </c>
    </row>
    <row r="1014" spans="1:7" x14ac:dyDescent="0.25">
      <c r="A1014" s="2" t="s">
        <v>2065</v>
      </c>
      <c r="B1014" s="2" t="s">
        <v>2064</v>
      </c>
      <c r="C1014" s="2">
        <v>18.5</v>
      </c>
      <c r="D1014" s="2">
        <v>10.5</v>
      </c>
      <c r="E1014" s="2">
        <v>3.7</v>
      </c>
      <c r="F1014" s="2" t="str">
        <f>IFERROR(VLOOKUP(B1014,Tabla2[],5,FALSE),"")</f>
        <v/>
      </c>
      <c r="G1014" s="2">
        <f>SQRT(4*(Tabla1[[#This Row],[dD]]-'Find a similar substance'!$D$5)^2+('Find a similar substance'!$E$5-Tabla1[[#This Row],[dP]])^2+(Tabla1[[#This Row],[dH]]-'Find a similar substance'!$F$5)^2)</f>
        <v>4.4011362169330752</v>
      </c>
    </row>
    <row r="1015" spans="1:7" x14ac:dyDescent="0.25">
      <c r="A1015" s="2" t="s">
        <v>2067</v>
      </c>
      <c r="B1015" s="2" t="s">
        <v>2066</v>
      </c>
      <c r="C1015" s="2">
        <v>21.5</v>
      </c>
      <c r="D1015" s="2">
        <v>6.9</v>
      </c>
      <c r="E1015" s="2">
        <v>12.8</v>
      </c>
      <c r="F1015" s="2" t="str">
        <f>IFERROR(VLOOKUP(B1015,Tabla2[],5,FALSE),"")</f>
        <v/>
      </c>
      <c r="G1015" s="2">
        <f>SQRT(4*(Tabla1[[#This Row],[dD]]-'Find a similar substance'!$D$5)^2+('Find a similar substance'!$E$5-Tabla1[[#This Row],[dP]])^2+(Tabla1[[#This Row],[dH]]-'Find a similar substance'!$F$5)^2)</f>
        <v>12.653853168106542</v>
      </c>
    </row>
    <row r="1016" spans="1:7" x14ac:dyDescent="0.25">
      <c r="A1016" s="2" t="s">
        <v>2069</v>
      </c>
      <c r="B1016" s="2" t="s">
        <v>2068</v>
      </c>
      <c r="C1016" s="2">
        <v>19.3</v>
      </c>
      <c r="D1016" s="2">
        <v>8.1</v>
      </c>
      <c r="E1016" s="2">
        <v>5.4</v>
      </c>
      <c r="F1016" s="2" t="str">
        <f>IFERROR(VLOOKUP(B1016,Tabla2[],5,FALSE),"")</f>
        <v/>
      </c>
      <c r="G1016" s="2">
        <f>SQRT(4*(Tabla1[[#This Row],[dD]]-'Find a similar substance'!$D$5)^2+('Find a similar substance'!$E$5-Tabla1[[#This Row],[dP]])^2+(Tabla1[[#This Row],[dH]]-'Find a similar substance'!$F$5)^2)</f>
        <v>5.4479353887504933</v>
      </c>
    </row>
    <row r="1017" spans="1:7" x14ac:dyDescent="0.25">
      <c r="A1017" s="2" t="s">
        <v>2071</v>
      </c>
      <c r="B1017" s="2" t="s">
        <v>2070</v>
      </c>
      <c r="C1017" s="2">
        <v>15.7</v>
      </c>
      <c r="D1017" s="2">
        <v>9.4</v>
      </c>
      <c r="E1017" s="2">
        <v>5.8</v>
      </c>
      <c r="F1017" s="2" t="str">
        <f>IFERROR(VLOOKUP(B1017,Tabla2[],5,FALSE),"")</f>
        <v/>
      </c>
      <c r="G1017" s="2">
        <f>SQRT(4*(Tabla1[[#This Row],[dD]]-'Find a similar substance'!$D$5)^2+('Find a similar substance'!$E$5-Tabla1[[#This Row],[dP]])^2+(Tabla1[[#This Row],[dH]]-'Find a similar substance'!$F$5)^2)</f>
        <v>2.0904544960366911</v>
      </c>
    </row>
    <row r="1018" spans="1:7" x14ac:dyDescent="0.25">
      <c r="A1018" s="2" t="s">
        <v>2073</v>
      </c>
      <c r="B1018" s="2" t="s">
        <v>2072</v>
      </c>
      <c r="C1018" s="2">
        <v>14.5</v>
      </c>
      <c r="D1018" s="2">
        <v>0</v>
      </c>
      <c r="E1018" s="2">
        <v>0</v>
      </c>
      <c r="F1018" s="2" t="str">
        <f>IFERROR(VLOOKUP(B1018,Tabla2[],5,FALSE),"")</f>
        <v/>
      </c>
      <c r="G1018" s="2">
        <f>SQRT(4*(Tabla1[[#This Row],[dD]]-'Find a similar substance'!$D$5)^2+('Find a similar substance'!$E$5-Tabla1[[#This Row],[dP]])^2+(Tabla1[[#This Row],[dH]]-'Find a similar substance'!$F$5)^2)</f>
        <v>10.87795936745491</v>
      </c>
    </row>
    <row r="1019" spans="1:7" x14ac:dyDescent="0.25">
      <c r="A1019" s="2" t="s">
        <v>2075</v>
      </c>
      <c r="B1019" s="2" t="s">
        <v>2074</v>
      </c>
      <c r="C1019" s="2">
        <v>15</v>
      </c>
      <c r="D1019" s="2">
        <v>4.0999999999999996</v>
      </c>
      <c r="E1019" s="2">
        <v>10.3</v>
      </c>
      <c r="F1019" s="2" t="str">
        <f>IFERROR(VLOOKUP(B1019,Tabla2[],5,FALSE),"")</f>
        <v/>
      </c>
      <c r="G1019" s="2">
        <f>SQRT(4*(Tabla1[[#This Row],[dD]]-'Find a similar substance'!$D$5)^2+('Find a similar substance'!$E$5-Tabla1[[#This Row],[dP]])^2+(Tabla1[[#This Row],[dH]]-'Find a similar substance'!$F$5)^2)</f>
        <v>7.7129760793094659</v>
      </c>
    </row>
    <row r="1020" spans="1:7" x14ac:dyDescent="0.25">
      <c r="A1020" s="2" t="s">
        <v>2077</v>
      </c>
      <c r="B1020" s="2" t="s">
        <v>2076</v>
      </c>
      <c r="C1020" s="2">
        <v>12.4</v>
      </c>
      <c r="D1020" s="2">
        <v>0</v>
      </c>
      <c r="E1020" s="2">
        <v>0</v>
      </c>
      <c r="F1020" s="2" t="str">
        <f>IFERROR(VLOOKUP(B1020,Tabla2[],5,FALSE),"")</f>
        <v/>
      </c>
      <c r="G1020" s="2">
        <f>SQRT(4*(Tabla1[[#This Row],[dD]]-'Find a similar substance'!$D$5)^2+('Find a similar substance'!$E$5-Tabla1[[#This Row],[dP]])^2+(Tabla1[[#This Row],[dH]]-'Find a similar substance'!$F$5)^2)</f>
        <v>13.0862523283024</v>
      </c>
    </row>
    <row r="1021" spans="1:7" x14ac:dyDescent="0.25">
      <c r="A1021" s="2" t="s">
        <v>2079</v>
      </c>
      <c r="B1021" s="2" t="s">
        <v>2078</v>
      </c>
      <c r="C1021" s="2">
        <v>15.1</v>
      </c>
      <c r="D1021" s="2">
        <v>0</v>
      </c>
      <c r="E1021" s="2">
        <v>0</v>
      </c>
      <c r="F1021" s="2" t="str">
        <f>IFERROR(VLOOKUP(B1021,Tabla2[],5,FALSE),"")</f>
        <v/>
      </c>
      <c r="G1021" s="2">
        <f>SQRT(4*(Tabla1[[#This Row],[dD]]-'Find a similar substance'!$D$5)^2+('Find a similar substance'!$E$5-Tabla1[[#This Row],[dP]])^2+(Tabla1[[#This Row],[dH]]-'Find a similar substance'!$F$5)^2)</f>
        <v>10.473299384625649</v>
      </c>
    </row>
    <row r="1022" spans="1:7" x14ac:dyDescent="0.25">
      <c r="A1022" s="2" t="s">
        <v>2081</v>
      </c>
      <c r="B1022" s="2" t="s">
        <v>2080</v>
      </c>
      <c r="C1022" s="2">
        <v>10.6</v>
      </c>
      <c r="D1022" s="2">
        <v>0</v>
      </c>
      <c r="E1022" s="2">
        <v>0</v>
      </c>
      <c r="F1022" s="2" t="str">
        <f>IFERROR(VLOOKUP(B1022,Tabla2[],5,FALSE),"")</f>
        <v/>
      </c>
      <c r="G1022" s="2">
        <f>SQRT(4*(Tabla1[[#This Row],[dD]]-'Find a similar substance'!$D$5)^2+('Find a similar substance'!$E$5-Tabla1[[#This Row],[dP]])^2+(Tabla1[[#This Row],[dH]]-'Find a similar substance'!$F$5)^2)</f>
        <v>15.642570121306795</v>
      </c>
    </row>
    <row r="1023" spans="1:7" x14ac:dyDescent="0.25">
      <c r="A1023" s="2" t="s">
        <v>2083</v>
      </c>
      <c r="B1023" s="2" t="s">
        <v>2082</v>
      </c>
      <c r="C1023" s="2">
        <v>12</v>
      </c>
      <c r="D1023" s="2">
        <v>0</v>
      </c>
      <c r="E1023" s="2">
        <v>0</v>
      </c>
      <c r="F1023" s="2" t="str">
        <f>IFERROR(VLOOKUP(B1023,Tabla2[],5,FALSE),"")</f>
        <v/>
      </c>
      <c r="G1023" s="2">
        <f>SQRT(4*(Tabla1[[#This Row],[dD]]-'Find a similar substance'!$D$5)^2+('Find a similar substance'!$E$5-Tabla1[[#This Row],[dP]])^2+(Tabla1[[#This Row],[dH]]-'Find a similar substance'!$F$5)^2)</f>
        <v>13.613596145030895</v>
      </c>
    </row>
    <row r="1024" spans="1:7" x14ac:dyDescent="0.25">
      <c r="A1024" s="2" t="s">
        <v>2085</v>
      </c>
      <c r="B1024" s="2" t="s">
        <v>2084</v>
      </c>
      <c r="C1024" s="2">
        <v>12.1</v>
      </c>
      <c r="D1024" s="2">
        <v>0</v>
      </c>
      <c r="E1024" s="2">
        <v>0</v>
      </c>
      <c r="F1024" s="2" t="str">
        <f>IFERROR(VLOOKUP(B1024,Tabla2[],5,FALSE),"")</f>
        <v/>
      </c>
      <c r="G1024" s="2">
        <f>SQRT(4*(Tabla1[[#This Row],[dD]]-'Find a similar substance'!$D$5)^2+('Find a similar substance'!$E$5-Tabla1[[#This Row],[dP]])^2+(Tabla1[[#This Row],[dH]]-'Find a similar substance'!$F$5)^2)</f>
        <v>13.47924330220358</v>
      </c>
    </row>
    <row r="1025" spans="1:7" x14ac:dyDescent="0.25">
      <c r="A1025" s="2" t="s">
        <v>2087</v>
      </c>
      <c r="B1025" s="2" t="s">
        <v>2086</v>
      </c>
      <c r="C1025" s="2">
        <v>12.4</v>
      </c>
      <c r="D1025" s="2">
        <v>0</v>
      </c>
      <c r="E1025" s="2">
        <v>0</v>
      </c>
      <c r="F1025" s="2" t="str">
        <f>IFERROR(VLOOKUP(B1025,Tabla2[],5,FALSE),"")</f>
        <v/>
      </c>
      <c r="G1025" s="2">
        <f>SQRT(4*(Tabla1[[#This Row],[dD]]-'Find a similar substance'!$D$5)^2+('Find a similar substance'!$E$5-Tabla1[[#This Row],[dP]])^2+(Tabla1[[#This Row],[dH]]-'Find a similar substance'!$F$5)^2)</f>
        <v>13.0862523283024</v>
      </c>
    </row>
    <row r="1026" spans="1:7" x14ac:dyDescent="0.25">
      <c r="A1026" s="2" t="s">
        <v>2089</v>
      </c>
      <c r="B1026" s="2" t="s">
        <v>2088</v>
      </c>
      <c r="C1026" s="2">
        <v>11.3</v>
      </c>
      <c r="D1026" s="2">
        <v>0</v>
      </c>
      <c r="E1026" s="2">
        <v>0</v>
      </c>
      <c r="F1026" s="2" t="str">
        <f>IFERROR(VLOOKUP(B1026,Tabla2[],5,FALSE),"")</f>
        <v/>
      </c>
      <c r="G1026" s="2">
        <f>SQRT(4*(Tabla1[[#This Row],[dD]]-'Find a similar substance'!$D$5)^2+('Find a similar substance'!$E$5-Tabla1[[#This Row],[dP]])^2+(Tabla1[[#This Row],[dH]]-'Find a similar substance'!$F$5)^2)</f>
        <v>14.596232390586279</v>
      </c>
    </row>
    <row r="1027" spans="1:7" x14ac:dyDescent="0.25">
      <c r="A1027" s="2" t="s">
        <v>2091</v>
      </c>
      <c r="B1027" s="2" t="s">
        <v>2090</v>
      </c>
      <c r="C1027" s="2">
        <v>18.399999999999999</v>
      </c>
      <c r="D1027" s="2">
        <v>4.5</v>
      </c>
      <c r="E1027" s="2">
        <v>4</v>
      </c>
      <c r="F1027" s="2" t="str">
        <f>IFERROR(VLOOKUP(B1027,Tabla2[],5,FALSE),"")</f>
        <v/>
      </c>
      <c r="G1027" s="2">
        <f>SQRT(4*(Tabla1[[#This Row],[dD]]-'Find a similar substance'!$D$5)^2+('Find a similar substance'!$E$5-Tabla1[[#This Row],[dP]])^2+(Tabla1[[#This Row],[dH]]-'Find a similar substance'!$F$5)^2)</f>
        <v>5.6213877290220742</v>
      </c>
    </row>
    <row r="1028" spans="1:7" x14ac:dyDescent="0.25">
      <c r="A1028" s="2" t="s">
        <v>2093</v>
      </c>
      <c r="B1028" s="2" t="s">
        <v>2092</v>
      </c>
      <c r="C1028" s="2">
        <v>18.5</v>
      </c>
      <c r="D1028" s="2">
        <v>5.9</v>
      </c>
      <c r="E1028" s="2">
        <v>14.9</v>
      </c>
      <c r="F1028" s="2" t="str">
        <f>IFERROR(VLOOKUP(B1028,Tabla2[],5,FALSE),"")</f>
        <v/>
      </c>
      <c r="G1028" s="2">
        <f>SQRT(4*(Tabla1[[#This Row],[dD]]-'Find a similar substance'!$D$5)^2+('Find a similar substance'!$E$5-Tabla1[[#This Row],[dP]])^2+(Tabla1[[#This Row],[dH]]-'Find a similar substance'!$F$5)^2)</f>
        <v>10.967679791095287</v>
      </c>
    </row>
    <row r="1029" spans="1:7" x14ac:dyDescent="0.25">
      <c r="A1029" s="2" t="s">
        <v>2095</v>
      </c>
      <c r="B1029" s="2" t="s">
        <v>2094</v>
      </c>
      <c r="C1029" s="2">
        <v>19.8</v>
      </c>
      <c r="D1029" s="2">
        <v>5.2</v>
      </c>
      <c r="E1029" s="2">
        <v>6.4</v>
      </c>
      <c r="F1029" s="2" t="str">
        <f>IFERROR(VLOOKUP(B1029,Tabla2[],5,FALSE),"")</f>
        <v/>
      </c>
      <c r="G1029" s="2">
        <f>SQRT(4*(Tabla1[[#This Row],[dD]]-'Find a similar substance'!$D$5)^2+('Find a similar substance'!$E$5-Tabla1[[#This Row],[dP]])^2+(Tabla1[[#This Row],[dH]]-'Find a similar substance'!$F$5)^2)</f>
        <v>7.4276510418839665</v>
      </c>
    </row>
    <row r="1030" spans="1:7" x14ac:dyDescent="0.25">
      <c r="A1030" s="2" t="s">
        <v>2097</v>
      </c>
      <c r="B1030" s="2" t="s">
        <v>2096</v>
      </c>
      <c r="C1030" s="2">
        <v>19.5</v>
      </c>
      <c r="D1030" s="2">
        <v>12.3</v>
      </c>
      <c r="E1030" s="2">
        <v>3.8</v>
      </c>
      <c r="F1030" s="2" t="str">
        <f>IFERROR(VLOOKUP(B1030,Tabla2[],5,FALSE),"")</f>
        <v/>
      </c>
      <c r="G1030" s="2">
        <f>SQRT(4*(Tabla1[[#This Row],[dD]]-'Find a similar substance'!$D$5)^2+('Find a similar substance'!$E$5-Tabla1[[#This Row],[dP]])^2+(Tabla1[[#This Row],[dH]]-'Find a similar substance'!$F$5)^2)</f>
        <v>6.9310893804653801</v>
      </c>
    </row>
    <row r="1031" spans="1:7" x14ac:dyDescent="0.25">
      <c r="A1031" s="2" t="s">
        <v>2099</v>
      </c>
      <c r="B1031" s="2" t="s">
        <v>2098</v>
      </c>
      <c r="C1031" s="2">
        <v>18.8</v>
      </c>
      <c r="D1031" s="2">
        <v>2.8</v>
      </c>
      <c r="E1031" s="2">
        <v>4</v>
      </c>
      <c r="F1031" s="2" t="str">
        <f>IFERROR(VLOOKUP(B1031,Tabla2[],5,FALSE),"")</f>
        <v/>
      </c>
      <c r="G1031" s="2">
        <f>SQRT(4*(Tabla1[[#This Row],[dD]]-'Find a similar substance'!$D$5)^2+('Find a similar substance'!$E$5-Tabla1[[#This Row],[dP]])^2+(Tabla1[[#This Row],[dH]]-'Find a similar substance'!$F$5)^2)</f>
        <v>7.4276510418839674</v>
      </c>
    </row>
    <row r="1032" spans="1:7" x14ac:dyDescent="0.25">
      <c r="A1032" s="2" t="s">
        <v>2101</v>
      </c>
      <c r="B1032" s="2" t="s">
        <v>2100</v>
      </c>
      <c r="C1032" s="2">
        <v>20.399999999999999</v>
      </c>
      <c r="D1032" s="2">
        <v>6.5</v>
      </c>
      <c r="E1032" s="2">
        <v>14</v>
      </c>
      <c r="F1032" s="2" t="str">
        <f>IFERROR(VLOOKUP(B1032,Tabla2[],5,FALSE),"")</f>
        <v/>
      </c>
      <c r="G1032" s="2">
        <f>SQRT(4*(Tabla1[[#This Row],[dD]]-'Find a similar substance'!$D$5)^2+('Find a similar substance'!$E$5-Tabla1[[#This Row],[dP]])^2+(Tabla1[[#This Row],[dH]]-'Find a similar substance'!$F$5)^2)</f>
        <v>11.983321743156191</v>
      </c>
    </row>
    <row r="1033" spans="1:7" x14ac:dyDescent="0.25">
      <c r="A1033" s="2" t="s">
        <v>2103</v>
      </c>
      <c r="B1033" s="2" t="s">
        <v>2102</v>
      </c>
      <c r="C1033" s="2">
        <v>16.399999999999999</v>
      </c>
      <c r="D1033" s="2">
        <v>5.3</v>
      </c>
      <c r="E1033" s="2">
        <v>5.3</v>
      </c>
      <c r="F1033" s="2" t="str">
        <f>IFERROR(VLOOKUP(B1033,Tabla2[],5,FALSE),"")</f>
        <v/>
      </c>
      <c r="G1033" s="2">
        <f>SQRT(4*(Tabla1[[#This Row],[dD]]-'Find a similar substance'!$D$5)^2+('Find a similar substance'!$E$5-Tabla1[[#This Row],[dP]])^2+(Tabla1[[#This Row],[dH]]-'Find a similar substance'!$F$5)^2)</f>
        <v>3.4365680554879168</v>
      </c>
    </row>
    <row r="1034" spans="1:7" x14ac:dyDescent="0.25">
      <c r="A1034" s="2" t="s">
        <v>2105</v>
      </c>
      <c r="B1034" s="2" t="s">
        <v>2104</v>
      </c>
      <c r="C1034" s="2">
        <v>14.7</v>
      </c>
      <c r="D1034" s="2">
        <v>18.600000000000001</v>
      </c>
      <c r="E1034" s="2">
        <v>28.4</v>
      </c>
      <c r="F1034" s="2" t="str">
        <f>IFERROR(VLOOKUP(B1034,Tabla2[],5,FALSE),"")</f>
        <v/>
      </c>
      <c r="G1034" s="2">
        <f>SQRT(4*(Tabla1[[#This Row],[dD]]-'Find a similar substance'!$D$5)^2+('Find a similar substance'!$E$5-Tabla1[[#This Row],[dP]])^2+(Tabla1[[#This Row],[dH]]-'Find a similar substance'!$F$5)^2)</f>
        <v>25.690659781329089</v>
      </c>
    </row>
    <row r="1035" spans="1:7" x14ac:dyDescent="0.25">
      <c r="A1035" s="2" t="s">
        <v>2107</v>
      </c>
      <c r="B1035" s="2" t="s">
        <v>2106</v>
      </c>
      <c r="C1035" s="2">
        <v>18.100000000000001</v>
      </c>
      <c r="D1035" s="2">
        <v>9.3000000000000007</v>
      </c>
      <c r="E1035" s="2">
        <v>0</v>
      </c>
      <c r="F1035" s="2" t="str">
        <f>IFERROR(VLOOKUP(B1035,Tabla2[],5,FALSE),"")</f>
        <v/>
      </c>
      <c r="G1035" s="2">
        <f>SQRT(4*(Tabla1[[#This Row],[dD]]-'Find a similar substance'!$D$5)^2+('Find a similar substance'!$E$5-Tabla1[[#This Row],[dP]])^2+(Tabla1[[#This Row],[dH]]-'Find a similar substance'!$F$5)^2)</f>
        <v>5.8617403559011381</v>
      </c>
    </row>
    <row r="1036" spans="1:7" x14ac:dyDescent="0.25">
      <c r="A1036" s="2">
        <v>2125683</v>
      </c>
      <c r="B1036" s="2" t="s">
        <v>2108</v>
      </c>
      <c r="C1036" s="2">
        <v>18.399999999999999</v>
      </c>
      <c r="D1036" s="2">
        <v>3.6</v>
      </c>
      <c r="E1036" s="2">
        <v>0</v>
      </c>
      <c r="F1036" s="2" t="str">
        <f>IFERROR(VLOOKUP(B1036,Tabla2[],5,FALSE),"")</f>
        <v/>
      </c>
      <c r="G1036" s="2">
        <f>SQRT(4*(Tabla1[[#This Row],[dD]]-'Find a similar substance'!$D$5)^2+('Find a similar substance'!$E$5-Tabla1[[#This Row],[dP]])^2+(Tabla1[[#This Row],[dH]]-'Find a similar substance'!$F$5)^2)</f>
        <v>7.9981247802219215</v>
      </c>
    </row>
    <row r="1037" spans="1:7" x14ac:dyDescent="0.25">
      <c r="A1037" s="2" t="s">
        <v>2110</v>
      </c>
      <c r="B1037" s="2" t="s">
        <v>2109</v>
      </c>
      <c r="C1037" s="2">
        <v>20</v>
      </c>
      <c r="D1037" s="2">
        <v>14.4</v>
      </c>
      <c r="E1037" s="2">
        <v>4.0999999999999996</v>
      </c>
      <c r="F1037" s="2" t="str">
        <f>IFERROR(VLOOKUP(B1037,Tabla2[],5,FALSE),"")</f>
        <v/>
      </c>
      <c r="G1037" s="2">
        <f>SQRT(4*(Tabla1[[#This Row],[dD]]-'Find a similar substance'!$D$5)^2+('Find a similar substance'!$E$5-Tabla1[[#This Row],[dP]])^2+(Tabla1[[#This Row],[dH]]-'Find a similar substance'!$F$5)^2)</f>
        <v>8.9185200566013165</v>
      </c>
    </row>
    <row r="1038" spans="1:7" x14ac:dyDescent="0.25">
      <c r="A1038" s="2" t="s">
        <v>2112</v>
      </c>
      <c r="B1038" s="2" t="s">
        <v>2111</v>
      </c>
      <c r="C1038" s="2">
        <v>19.2</v>
      </c>
      <c r="D1038" s="2">
        <v>7</v>
      </c>
      <c r="E1038" s="2">
        <v>6</v>
      </c>
      <c r="F1038" s="2" t="str">
        <f>IFERROR(VLOOKUP(B1038,Tabla2[],5,FALSE),"")</f>
        <v/>
      </c>
      <c r="G1038" s="2">
        <f>SQRT(4*(Tabla1[[#This Row],[dD]]-'Find a similar substance'!$D$5)^2+('Find a similar substance'!$E$5-Tabla1[[#This Row],[dP]])^2+(Tabla1[[#This Row],[dH]]-'Find a similar substance'!$F$5)^2)</f>
        <v>5.5614746245937283</v>
      </c>
    </row>
    <row r="1039" spans="1:7" x14ac:dyDescent="0.25">
      <c r="A1039" s="2" t="s">
        <v>2114</v>
      </c>
      <c r="B1039" s="2" t="s">
        <v>2113</v>
      </c>
      <c r="C1039" s="2">
        <v>15.6</v>
      </c>
      <c r="D1039" s="2">
        <v>3</v>
      </c>
      <c r="E1039" s="2">
        <v>9.8000000000000007</v>
      </c>
      <c r="F1039" s="2" t="str">
        <f>IFERROR(VLOOKUP(B1039,Tabla2[],5,FALSE),"")</f>
        <v/>
      </c>
      <c r="G1039" s="2">
        <f>SQRT(4*(Tabla1[[#This Row],[dD]]-'Find a similar substance'!$D$5)^2+('Find a similar substance'!$E$5-Tabla1[[#This Row],[dP]])^2+(Tabla1[[#This Row],[dH]]-'Find a similar substance'!$F$5)^2)</f>
        <v>7.7155686763841338</v>
      </c>
    </row>
    <row r="1040" spans="1:7" x14ac:dyDescent="0.25">
      <c r="A1040" s="2" t="s">
        <v>2116</v>
      </c>
      <c r="B1040" s="2" t="s">
        <v>2115</v>
      </c>
      <c r="C1040" s="2">
        <v>17.3</v>
      </c>
      <c r="D1040" s="2">
        <v>4.8</v>
      </c>
      <c r="E1040" s="2">
        <v>6</v>
      </c>
      <c r="F1040" s="2" t="str">
        <f>IFERROR(VLOOKUP(B1040,Tabla2[],5,FALSE),"")</f>
        <v/>
      </c>
      <c r="G1040" s="2">
        <f>SQRT(4*(Tabla1[[#This Row],[dD]]-'Find a similar substance'!$D$5)^2+('Find a similar substance'!$E$5-Tabla1[[#This Row],[dP]])^2+(Tabla1[[#This Row],[dH]]-'Find a similar substance'!$F$5)^2)</f>
        <v>4.2626282971894218</v>
      </c>
    </row>
    <row r="1041" spans="1:7" x14ac:dyDescent="0.25">
      <c r="A1041" s="2" t="s">
        <v>2118</v>
      </c>
      <c r="B1041" s="2" t="s">
        <v>2117</v>
      </c>
      <c r="C1041" s="2">
        <v>17.3</v>
      </c>
      <c r="D1041" s="2">
        <v>4.5</v>
      </c>
      <c r="E1041" s="2">
        <v>8.1999999999999993</v>
      </c>
      <c r="F1041" s="2" t="str">
        <f>IFERROR(VLOOKUP(B1041,Tabla2[],5,FALSE),"")</f>
        <v/>
      </c>
      <c r="G1041" s="2">
        <f>SQRT(4*(Tabla1[[#This Row],[dD]]-'Find a similar substance'!$D$5)^2+('Find a similar substance'!$E$5-Tabla1[[#This Row],[dP]])^2+(Tabla1[[#This Row],[dH]]-'Find a similar substance'!$F$5)^2)</f>
        <v>5.4626001134990636</v>
      </c>
    </row>
    <row r="1042" spans="1:7" x14ac:dyDescent="0.25">
      <c r="A1042" s="2" t="s">
        <v>2120</v>
      </c>
      <c r="B1042" s="2" t="s">
        <v>2119</v>
      </c>
      <c r="C1042" s="2">
        <v>13.1</v>
      </c>
      <c r="D1042" s="2">
        <v>0</v>
      </c>
      <c r="E1042" s="2">
        <v>0</v>
      </c>
      <c r="F1042" s="2" t="str">
        <f>IFERROR(VLOOKUP(B1042,Tabla2[],5,FALSE),"")</f>
        <v/>
      </c>
      <c r="G1042" s="2">
        <f>SQRT(4*(Tabla1[[#This Row],[dD]]-'Find a similar substance'!$D$5)^2+('Find a similar substance'!$E$5-Tabla1[[#This Row],[dP]])^2+(Tabla1[[#This Row],[dH]]-'Find a similar substance'!$F$5)^2)</f>
        <v>12.234786471369251</v>
      </c>
    </row>
    <row r="1043" spans="1:7" x14ac:dyDescent="0.25">
      <c r="A1043" s="2" t="s">
        <v>2122</v>
      </c>
      <c r="B1043" s="2" t="s">
        <v>2121</v>
      </c>
      <c r="C1043" s="2">
        <v>16.3</v>
      </c>
      <c r="D1043" s="2">
        <v>5.2</v>
      </c>
      <c r="E1043" s="2">
        <v>8.3000000000000007</v>
      </c>
      <c r="F1043" s="2" t="str">
        <f>IFERROR(VLOOKUP(B1043,Tabla2[],5,FALSE),"")</f>
        <v/>
      </c>
      <c r="G1043" s="2">
        <f>SQRT(4*(Tabla1[[#This Row],[dD]]-'Find a similar substance'!$D$5)^2+('Find a similar substance'!$E$5-Tabla1[[#This Row],[dP]])^2+(Tabla1[[#This Row],[dH]]-'Find a similar substance'!$F$5)^2)</f>
        <v>4.8476798574163293</v>
      </c>
    </row>
    <row r="1044" spans="1:7" x14ac:dyDescent="0.25">
      <c r="A1044" s="2" t="s">
        <v>2124</v>
      </c>
      <c r="B1044" s="2" t="s">
        <v>2123</v>
      </c>
      <c r="C1044" s="2">
        <v>16.2</v>
      </c>
      <c r="D1044" s="2">
        <v>11.9</v>
      </c>
      <c r="E1044" s="2">
        <v>8.6999999999999993</v>
      </c>
      <c r="F1044" s="2" t="str">
        <f>IFERROR(VLOOKUP(B1044,Tabla2[],5,FALSE),"")</f>
        <v/>
      </c>
      <c r="G1044" s="2">
        <f>SQRT(4*(Tabla1[[#This Row],[dD]]-'Find a similar substance'!$D$5)^2+('Find a similar substance'!$E$5-Tabla1[[#This Row],[dP]])^2+(Tabla1[[#This Row],[dH]]-'Find a similar substance'!$F$5)^2)</f>
        <v>4.9568134925574929</v>
      </c>
    </row>
    <row r="1045" spans="1:7" x14ac:dyDescent="0.25">
      <c r="A1045" s="2" t="s">
        <v>2126</v>
      </c>
      <c r="B1045" s="2" t="s">
        <v>2125</v>
      </c>
      <c r="C1045" s="2">
        <v>15.3</v>
      </c>
      <c r="D1045" s="2">
        <v>11.1</v>
      </c>
      <c r="E1045" s="2">
        <v>6.9</v>
      </c>
      <c r="F1045" s="2" t="str">
        <f>IFERROR(VLOOKUP(B1045,Tabla2[],5,FALSE),"")</f>
        <v/>
      </c>
      <c r="G1045" s="2">
        <f>SQRT(4*(Tabla1[[#This Row],[dD]]-'Find a similar substance'!$D$5)^2+('Find a similar substance'!$E$5-Tabla1[[#This Row],[dP]])^2+(Tabla1[[#This Row],[dH]]-'Find a similar substance'!$F$5)^2)</f>
        <v>4.0162171256046415</v>
      </c>
    </row>
    <row r="1046" spans="1:7" x14ac:dyDescent="0.25">
      <c r="A1046" s="2" t="s">
        <v>2128</v>
      </c>
      <c r="B1046" s="2" t="s">
        <v>2127</v>
      </c>
      <c r="C1046" s="2">
        <v>17.5</v>
      </c>
      <c r="D1046" s="2">
        <v>13.4</v>
      </c>
      <c r="E1046" s="2">
        <v>9.8000000000000007</v>
      </c>
      <c r="F1046" s="2" t="str">
        <f>IFERROR(VLOOKUP(B1046,Tabla2[],5,FALSE),"")</f>
        <v/>
      </c>
      <c r="G1046" s="2">
        <f>SQRT(4*(Tabla1[[#This Row],[dD]]-'Find a similar substance'!$D$5)^2+('Find a similar substance'!$E$5-Tabla1[[#This Row],[dP]])^2+(Tabla1[[#This Row],[dH]]-'Find a similar substance'!$F$5)^2)</f>
        <v>6.9548544197560318</v>
      </c>
    </row>
    <row r="1047" spans="1:7" x14ac:dyDescent="0.25">
      <c r="A1047" s="2" t="s">
        <v>2130</v>
      </c>
      <c r="B1047" s="2" t="s">
        <v>2129</v>
      </c>
      <c r="C1047" s="2">
        <v>16.7</v>
      </c>
      <c r="D1047" s="2">
        <v>14.6</v>
      </c>
      <c r="E1047" s="2">
        <v>11.5</v>
      </c>
      <c r="F1047" s="2" t="str">
        <f>IFERROR(VLOOKUP(B1047,Tabla2[],5,FALSE),"")</f>
        <v/>
      </c>
      <c r="G1047" s="2">
        <f>SQRT(4*(Tabla1[[#This Row],[dD]]-'Find a similar substance'!$D$5)^2+('Find a similar substance'!$E$5-Tabla1[[#This Row],[dP]])^2+(Tabla1[[#This Row],[dH]]-'Find a similar substance'!$F$5)^2)</f>
        <v>8.7806605674060769</v>
      </c>
    </row>
    <row r="1048" spans="1:7" x14ac:dyDescent="0.25">
      <c r="A1048" s="2" t="s">
        <v>2132</v>
      </c>
      <c r="B1048" s="2" t="s">
        <v>2131</v>
      </c>
      <c r="C1048" s="2">
        <v>14.7</v>
      </c>
      <c r="D1048" s="2">
        <v>5.3</v>
      </c>
      <c r="E1048" s="2">
        <v>12.4</v>
      </c>
      <c r="F1048" s="2" t="str">
        <f>IFERROR(VLOOKUP(B1048,Tabla2[],5,FALSE),"")</f>
        <v/>
      </c>
      <c r="G1048" s="2">
        <f>SQRT(4*(Tabla1[[#This Row],[dD]]-'Find a similar substance'!$D$5)^2+('Find a similar substance'!$E$5-Tabla1[[#This Row],[dP]])^2+(Tabla1[[#This Row],[dH]]-'Find a similar substance'!$F$5)^2)</f>
        <v>8.9866567754643896</v>
      </c>
    </row>
    <row r="1049" spans="1:7" x14ac:dyDescent="0.25">
      <c r="A1049" s="2" t="s">
        <v>2134</v>
      </c>
      <c r="B1049" s="2" t="s">
        <v>2133</v>
      </c>
      <c r="C1049" s="2">
        <v>15.8</v>
      </c>
      <c r="D1049" s="2">
        <v>9</v>
      </c>
      <c r="E1049" s="2">
        <v>7.7</v>
      </c>
      <c r="F1049" s="2" t="str">
        <f>IFERROR(VLOOKUP(B1049,Tabla2[],5,FALSE),"")</f>
        <v/>
      </c>
      <c r="G1049" s="2">
        <f>SQRT(4*(Tabla1[[#This Row],[dD]]-'Find a similar substance'!$D$5)^2+('Find a similar substance'!$E$5-Tabla1[[#This Row],[dP]])^2+(Tabla1[[#This Row],[dH]]-'Find a similar substance'!$F$5)^2)</f>
        <v>3.1527765540868899</v>
      </c>
    </row>
    <row r="1050" spans="1:7" x14ac:dyDescent="0.25">
      <c r="A1050" s="2" t="s">
        <v>2136</v>
      </c>
      <c r="B1050" s="2" t="s">
        <v>2135</v>
      </c>
      <c r="C1050" s="2">
        <v>15.3</v>
      </c>
      <c r="D1050" s="2">
        <v>14.3</v>
      </c>
      <c r="E1050" s="2">
        <v>5.5</v>
      </c>
      <c r="F1050" s="2" t="str">
        <f>IFERROR(VLOOKUP(B1050,Tabla2[],5,FALSE),"")</f>
        <v/>
      </c>
      <c r="G1050" s="2">
        <f>SQRT(4*(Tabla1[[#This Row],[dD]]-'Find a similar substance'!$D$5)^2+('Find a similar substance'!$E$5-Tabla1[[#This Row],[dP]])^2+(Tabla1[[#This Row],[dH]]-'Find a similar substance'!$F$5)^2)</f>
        <v>6.1943522663794335</v>
      </c>
    </row>
    <row r="1051" spans="1:7" x14ac:dyDescent="0.25">
      <c r="A1051" s="2" t="s">
        <v>2138</v>
      </c>
      <c r="B1051" s="2" t="s">
        <v>2137</v>
      </c>
      <c r="C1051" s="2">
        <v>16.100000000000001</v>
      </c>
      <c r="D1051" s="2">
        <v>10.3</v>
      </c>
      <c r="E1051" s="2">
        <v>5.3</v>
      </c>
      <c r="F1051" s="2" t="str">
        <f>IFERROR(VLOOKUP(B1051,Tabla2[],5,FALSE),"")</f>
        <v/>
      </c>
      <c r="G1051" s="2">
        <f>SQRT(4*(Tabla1[[#This Row],[dD]]-'Find a similar substance'!$D$5)^2+('Find a similar substance'!$E$5-Tabla1[[#This Row],[dP]])^2+(Tabla1[[#This Row],[dH]]-'Find a similar substance'!$F$5)^2)</f>
        <v>1.9104973174542812</v>
      </c>
    </row>
    <row r="1052" spans="1:7" x14ac:dyDescent="0.25">
      <c r="A1052" s="2" t="s">
        <v>2140</v>
      </c>
      <c r="B1052" s="2" t="s">
        <v>2139</v>
      </c>
      <c r="C1052" s="2">
        <v>16</v>
      </c>
      <c r="D1052" s="2">
        <v>4.9000000000000004</v>
      </c>
      <c r="E1052" s="2">
        <v>8.6</v>
      </c>
      <c r="F1052" s="2" t="str">
        <f>IFERROR(VLOOKUP(B1052,Tabla2[],5,FALSE),"")</f>
        <v/>
      </c>
      <c r="G1052" s="2">
        <f>SQRT(4*(Tabla1[[#This Row],[dD]]-'Find a similar substance'!$D$5)^2+('Find a similar substance'!$E$5-Tabla1[[#This Row],[dP]])^2+(Tabla1[[#This Row],[dH]]-'Find a similar substance'!$F$5)^2)</f>
        <v>5.3702886328390207</v>
      </c>
    </row>
    <row r="1053" spans="1:7" x14ac:dyDescent="0.25">
      <c r="A1053" s="2" t="s">
        <v>2142</v>
      </c>
      <c r="B1053" s="2" t="s">
        <v>2141</v>
      </c>
      <c r="C1053" s="2">
        <v>16</v>
      </c>
      <c r="D1053" s="2">
        <v>7.8</v>
      </c>
      <c r="E1053" s="2">
        <v>2</v>
      </c>
      <c r="F1053" s="2" t="str">
        <f>IFERROR(VLOOKUP(B1053,Tabla2[],5,FALSE),"")</f>
        <v/>
      </c>
      <c r="G1053" s="2">
        <f>SQRT(4*(Tabla1[[#This Row],[dD]]-'Find a similar substance'!$D$5)^2+('Find a similar substance'!$E$5-Tabla1[[#This Row],[dP]])^2+(Tabla1[[#This Row],[dH]]-'Find a similar substance'!$F$5)^2)</f>
        <v>3.3541019662496852</v>
      </c>
    </row>
    <row r="1054" spans="1:7" x14ac:dyDescent="0.25">
      <c r="A1054" s="2" t="s">
        <v>2144</v>
      </c>
      <c r="B1054" s="2" t="s">
        <v>2143</v>
      </c>
      <c r="C1054" s="2">
        <v>15.5</v>
      </c>
      <c r="D1054" s="2">
        <v>7.1</v>
      </c>
      <c r="E1054" s="2">
        <v>8.6</v>
      </c>
      <c r="F1054" s="2" t="str">
        <f>IFERROR(VLOOKUP(B1054,Tabla2[],5,FALSE),"")</f>
        <v/>
      </c>
      <c r="G1054" s="2">
        <f>SQRT(4*(Tabla1[[#This Row],[dD]]-'Find a similar substance'!$D$5)^2+('Find a similar substance'!$E$5-Tabla1[[#This Row],[dP]])^2+(Tabla1[[#This Row],[dH]]-'Find a similar substance'!$F$5)^2)</f>
        <v>4.5122056690713919</v>
      </c>
    </row>
    <row r="1055" spans="1:7" x14ac:dyDescent="0.25">
      <c r="A1055" s="2" t="s">
        <v>2146</v>
      </c>
      <c r="B1055" s="2" t="s">
        <v>2145</v>
      </c>
      <c r="C1055" s="2">
        <v>15.5</v>
      </c>
      <c r="D1055" s="2">
        <v>6.6</v>
      </c>
      <c r="E1055" s="2">
        <v>7</v>
      </c>
      <c r="F1055" s="2" t="str">
        <f>IFERROR(VLOOKUP(B1055,Tabla2[],5,FALSE),"")</f>
        <v/>
      </c>
      <c r="G1055" s="2">
        <f>SQRT(4*(Tabla1[[#This Row],[dD]]-'Find a similar substance'!$D$5)^2+('Find a similar substance'!$E$5-Tabla1[[#This Row],[dP]])^2+(Tabla1[[#This Row],[dH]]-'Find a similar substance'!$F$5)^2)</f>
        <v>3.6400549446402608</v>
      </c>
    </row>
    <row r="1056" spans="1:7" x14ac:dyDescent="0.25">
      <c r="A1056" s="2" t="s">
        <v>2148</v>
      </c>
      <c r="B1056" s="2" t="s">
        <v>2147</v>
      </c>
      <c r="C1056" s="2">
        <v>13.3</v>
      </c>
      <c r="D1056" s="2">
        <v>1.6</v>
      </c>
      <c r="E1056" s="2">
        <v>1.5</v>
      </c>
      <c r="F1056" s="2" t="str">
        <f>IFERROR(VLOOKUP(B1056,Tabla2[],5,FALSE),"")</f>
        <v/>
      </c>
      <c r="G1056" s="2">
        <f>SQRT(4*(Tabla1[[#This Row],[dD]]-'Find a similar substance'!$D$5)^2+('Find a similar substance'!$E$5-Tabla1[[#This Row],[dP]])^2+(Tabla1[[#This Row],[dH]]-'Find a similar substance'!$F$5)^2)</f>
        <v>10.306308747558459</v>
      </c>
    </row>
    <row r="1057" spans="1:7" x14ac:dyDescent="0.25">
      <c r="A1057" s="2" t="s">
        <v>2149</v>
      </c>
      <c r="B1057" s="2" t="s">
        <v>75</v>
      </c>
      <c r="C1057" s="2">
        <v>20</v>
      </c>
      <c r="D1057" s="2">
        <v>18</v>
      </c>
      <c r="E1057" s="2">
        <v>4.0999999999999996</v>
      </c>
      <c r="F1057" s="2">
        <f>IFERROR(VLOOKUP(B1057,Tabla2[],5,FALSE),"")</f>
        <v>85.2</v>
      </c>
      <c r="G1057" s="2">
        <f>SQRT(4*(Tabla1[[#This Row],[dD]]-'Find a similar substance'!$D$5)^2+('Find a similar substance'!$E$5-Tabla1[[#This Row],[dP]])^2+(Tabla1[[#This Row],[dH]]-'Find a similar substance'!$F$5)^2)</f>
        <v>11.555950847939773</v>
      </c>
    </row>
    <row r="1058" spans="1:7" x14ac:dyDescent="0.25">
      <c r="A1058" s="2" t="s">
        <v>2151</v>
      </c>
      <c r="B1058" s="2" t="s">
        <v>2150</v>
      </c>
      <c r="C1058" s="2">
        <v>16.8</v>
      </c>
      <c r="D1058" s="2">
        <v>9.8000000000000007</v>
      </c>
      <c r="E1058" s="2">
        <v>15.3</v>
      </c>
      <c r="F1058" s="2" t="str">
        <f>IFERROR(VLOOKUP(B1058,Tabla2[],5,FALSE),"")</f>
        <v/>
      </c>
      <c r="G1058" s="2">
        <f>SQRT(4*(Tabla1[[#This Row],[dD]]-'Find a similar substance'!$D$5)^2+('Find a similar substance'!$E$5-Tabla1[[#This Row],[dP]])^2+(Tabla1[[#This Row],[dH]]-'Find a similar substance'!$F$5)^2)</f>
        <v>10.366291525902598</v>
      </c>
    </row>
    <row r="1059" spans="1:7" x14ac:dyDescent="0.25">
      <c r="A1059" s="2" t="s">
        <v>2153</v>
      </c>
      <c r="B1059" s="2" t="s">
        <v>2152</v>
      </c>
      <c r="C1059" s="2">
        <v>16.8</v>
      </c>
      <c r="D1059" s="2">
        <v>10.4</v>
      </c>
      <c r="E1059" s="2">
        <v>21.3</v>
      </c>
      <c r="F1059" s="2" t="str">
        <f>IFERROR(VLOOKUP(B1059,Tabla2[],5,FALSE),"")</f>
        <v/>
      </c>
      <c r="G1059" s="2">
        <f>SQRT(4*(Tabla1[[#This Row],[dD]]-'Find a similar substance'!$D$5)^2+('Find a similar substance'!$E$5-Tabla1[[#This Row],[dP]])^2+(Tabla1[[#This Row],[dH]]-'Find a similar substance'!$F$5)^2)</f>
        <v>16.393291310777101</v>
      </c>
    </row>
    <row r="1060" spans="1:7" x14ac:dyDescent="0.25">
      <c r="A1060" s="2" t="s">
        <v>2155</v>
      </c>
      <c r="B1060" s="2" t="s">
        <v>2154</v>
      </c>
      <c r="C1060" s="2">
        <v>15.3</v>
      </c>
      <c r="D1060" s="2">
        <v>6.1</v>
      </c>
      <c r="E1060" s="2">
        <v>10.8</v>
      </c>
      <c r="F1060" s="2" t="str">
        <f>IFERROR(VLOOKUP(B1060,Tabla2[],5,FALSE),"")</f>
        <v/>
      </c>
      <c r="G1060" s="2">
        <f>SQRT(4*(Tabla1[[#This Row],[dD]]-'Find a similar substance'!$D$5)^2+('Find a similar substance'!$E$5-Tabla1[[#This Row],[dP]])^2+(Tabla1[[#This Row],[dH]]-'Find a similar substance'!$F$5)^2)</f>
        <v>6.8673138853557587</v>
      </c>
    </row>
    <row r="1061" spans="1:7" x14ac:dyDescent="0.25">
      <c r="A1061" s="2" t="s">
        <v>2156</v>
      </c>
      <c r="B1061" s="2" t="s">
        <v>76</v>
      </c>
      <c r="C1061" s="2">
        <v>15.3</v>
      </c>
      <c r="D1061" s="2">
        <v>4.5</v>
      </c>
      <c r="E1061" s="2">
        <v>9.1999999999999993</v>
      </c>
      <c r="F1061" s="2">
        <f>IFERROR(VLOOKUP(B1061,Tabla2[],5,FALSE),"")</f>
        <v>132</v>
      </c>
      <c r="G1061" s="2">
        <f>SQRT(4*(Tabla1[[#This Row],[dD]]-'Find a similar substance'!$D$5)^2+('Find a similar substance'!$E$5-Tabla1[[#This Row],[dP]])^2+(Tabla1[[#This Row],[dH]]-'Find a similar substance'!$F$5)^2)</f>
        <v>6.4838260309789302</v>
      </c>
    </row>
    <row r="1062" spans="1:7" x14ac:dyDescent="0.25">
      <c r="A1062" s="2" t="s">
        <v>2158</v>
      </c>
      <c r="B1062" s="2" t="s">
        <v>2157</v>
      </c>
      <c r="C1062" s="2">
        <v>15.7</v>
      </c>
      <c r="D1062" s="2">
        <v>6.5</v>
      </c>
      <c r="E1062" s="2">
        <v>10.5</v>
      </c>
      <c r="F1062" s="2" t="str">
        <f>IFERROR(VLOOKUP(B1062,Tabla2[],5,FALSE),"")</f>
        <v/>
      </c>
      <c r="G1062" s="2">
        <f>SQRT(4*(Tabla1[[#This Row],[dD]]-'Find a similar substance'!$D$5)^2+('Find a similar substance'!$E$5-Tabla1[[#This Row],[dP]])^2+(Tabla1[[#This Row],[dH]]-'Find a similar substance'!$F$5)^2)</f>
        <v>6.1911226768656435</v>
      </c>
    </row>
    <row r="1063" spans="1:7" x14ac:dyDescent="0.25">
      <c r="A1063" s="2" t="s">
        <v>2159</v>
      </c>
      <c r="B1063" s="2" t="s">
        <v>77</v>
      </c>
      <c r="C1063" s="2">
        <v>15.6</v>
      </c>
      <c r="D1063" s="2">
        <v>6.3</v>
      </c>
      <c r="E1063" s="2">
        <v>7.7</v>
      </c>
      <c r="F1063" s="2">
        <f>IFERROR(VLOOKUP(B1063,Tabla2[],5,FALSE),"")</f>
        <v>155.1</v>
      </c>
      <c r="G1063" s="2">
        <f>SQRT(4*(Tabla1[[#This Row],[dD]]-'Find a similar substance'!$D$5)^2+('Find a similar substance'!$E$5-Tabla1[[#This Row],[dP]])^2+(Tabla1[[#This Row],[dH]]-'Find a similar substance'!$F$5)^2)</f>
        <v>4.129164564412517</v>
      </c>
    </row>
    <row r="1064" spans="1:7" x14ac:dyDescent="0.25">
      <c r="A1064" s="2" t="s">
        <v>2161</v>
      </c>
      <c r="B1064" s="2" t="s">
        <v>2160</v>
      </c>
      <c r="C1064" s="2">
        <v>15.1</v>
      </c>
      <c r="D1064" s="2">
        <v>4.7</v>
      </c>
      <c r="E1064" s="2">
        <v>9.8000000000000007</v>
      </c>
      <c r="F1064" s="2" t="str">
        <f>IFERROR(VLOOKUP(B1064,Tabla2[],5,FALSE),"")</f>
        <v/>
      </c>
      <c r="G1064" s="2">
        <f>SQRT(4*(Tabla1[[#This Row],[dD]]-'Find a similar substance'!$D$5)^2+('Find a similar substance'!$E$5-Tabla1[[#This Row],[dP]])^2+(Tabla1[[#This Row],[dH]]-'Find a similar substance'!$F$5)^2)</f>
        <v>6.9310893804653837</v>
      </c>
    </row>
    <row r="1065" spans="1:7" x14ac:dyDescent="0.25">
      <c r="A1065" s="2" t="s">
        <v>2163</v>
      </c>
      <c r="B1065" s="2" t="s">
        <v>2162</v>
      </c>
      <c r="C1065" s="2">
        <v>15.5</v>
      </c>
      <c r="D1065" s="2">
        <v>6.1</v>
      </c>
      <c r="E1065" s="2">
        <v>11</v>
      </c>
      <c r="F1065" s="2" t="str">
        <f>IFERROR(VLOOKUP(B1065,Tabla2[],5,FALSE),"")</f>
        <v/>
      </c>
      <c r="G1065" s="2">
        <f>SQRT(4*(Tabla1[[#This Row],[dD]]-'Find a similar substance'!$D$5)^2+('Find a similar substance'!$E$5-Tabla1[[#This Row],[dP]])^2+(Tabla1[[#This Row],[dH]]-'Find a similar substance'!$F$5)^2)</f>
        <v>6.8992753242641367</v>
      </c>
    </row>
    <row r="1066" spans="1:7" x14ac:dyDescent="0.25">
      <c r="A1066" s="2" t="s">
        <v>2164</v>
      </c>
      <c r="B1066" s="2" t="s">
        <v>78</v>
      </c>
      <c r="C1066" s="2">
        <v>15.6</v>
      </c>
      <c r="D1066" s="2">
        <v>6.3</v>
      </c>
      <c r="E1066" s="2">
        <v>11.6</v>
      </c>
      <c r="F1066" s="2">
        <f>IFERROR(VLOOKUP(B1066,Tabla2[],5,FALSE),"")</f>
        <v>98.2</v>
      </c>
      <c r="G1066" s="2">
        <f>SQRT(4*(Tabla1[[#This Row],[dD]]-'Find a similar substance'!$D$5)^2+('Find a similar substance'!$E$5-Tabla1[[#This Row],[dP]])^2+(Tabla1[[#This Row],[dH]]-'Find a similar substance'!$F$5)^2)</f>
        <v>7.3020545054114745</v>
      </c>
    </row>
    <row r="1067" spans="1:7" x14ac:dyDescent="0.25">
      <c r="A1067" s="2" t="s">
        <v>2165</v>
      </c>
      <c r="B1067" s="2" t="s">
        <v>79</v>
      </c>
      <c r="C1067" s="2">
        <v>15.6</v>
      </c>
      <c r="D1067" s="2">
        <v>5.6</v>
      </c>
      <c r="E1067" s="2">
        <v>9.8000000000000007</v>
      </c>
      <c r="F1067" s="2">
        <f>IFERROR(VLOOKUP(B1067,Tabla2[],5,FALSE),"")</f>
        <v>137.1</v>
      </c>
      <c r="G1067" s="2">
        <f>SQRT(4*(Tabla1[[#This Row],[dD]]-'Find a similar substance'!$D$5)^2+('Find a similar substance'!$E$5-Tabla1[[#This Row],[dP]])^2+(Tabla1[[#This Row],[dH]]-'Find a similar substance'!$F$5)^2)</f>
        <v>6.0539243470661264</v>
      </c>
    </row>
    <row r="1068" spans="1:7" x14ac:dyDescent="0.25">
      <c r="A1068" s="2" t="s">
        <v>2167</v>
      </c>
      <c r="B1068" s="2" t="s">
        <v>2166</v>
      </c>
      <c r="C1068" s="2">
        <v>17.399999999999999</v>
      </c>
      <c r="D1068" s="2">
        <v>5.3</v>
      </c>
      <c r="E1068" s="2">
        <v>11.5</v>
      </c>
      <c r="F1068" s="2" t="str">
        <f>IFERROR(VLOOKUP(B1068,Tabla2[],5,FALSE),"")</f>
        <v/>
      </c>
      <c r="G1068" s="2">
        <f>SQRT(4*(Tabla1[[#This Row],[dD]]-'Find a similar substance'!$D$5)^2+('Find a similar substance'!$E$5-Tabla1[[#This Row],[dP]])^2+(Tabla1[[#This Row],[dH]]-'Find a similar substance'!$F$5)^2)</f>
        <v>7.5079957378783835</v>
      </c>
    </row>
    <row r="1069" spans="1:7" x14ac:dyDescent="0.25">
      <c r="A1069" s="2" t="s">
        <v>2169</v>
      </c>
      <c r="B1069" s="2" t="s">
        <v>2168</v>
      </c>
      <c r="C1069" s="2">
        <v>15.8</v>
      </c>
      <c r="D1069" s="2">
        <v>7</v>
      </c>
      <c r="E1069" s="2">
        <v>9.1999999999999993</v>
      </c>
      <c r="F1069" s="2" t="str">
        <f>IFERROR(VLOOKUP(B1069,Tabla2[],5,FALSE),"")</f>
        <v/>
      </c>
      <c r="G1069" s="2">
        <f>SQRT(4*(Tabla1[[#This Row],[dD]]-'Find a similar substance'!$D$5)^2+('Find a similar substance'!$E$5-Tabla1[[#This Row],[dP]])^2+(Tabla1[[#This Row],[dH]]-'Find a similar substance'!$F$5)^2)</f>
        <v>4.8052055106935851</v>
      </c>
    </row>
    <row r="1070" spans="1:7" x14ac:dyDescent="0.25">
      <c r="A1070" s="2" t="s">
        <v>2171</v>
      </c>
      <c r="B1070" s="2" t="s">
        <v>2170</v>
      </c>
      <c r="C1070" s="2">
        <v>17.8</v>
      </c>
      <c r="D1070" s="2">
        <v>8.4</v>
      </c>
      <c r="E1070" s="2">
        <v>6.5</v>
      </c>
      <c r="F1070" s="2" t="str">
        <f>IFERROR(VLOOKUP(B1070,Tabla2[],5,FALSE),"")</f>
        <v/>
      </c>
      <c r="G1070" s="2">
        <f>SQRT(4*(Tabla1[[#This Row],[dD]]-'Find a similar substance'!$D$5)^2+('Find a similar substance'!$E$5-Tabla1[[#This Row],[dP]])^2+(Tabla1[[#This Row],[dH]]-'Find a similar substance'!$F$5)^2)</f>
        <v>2.8460498941515402</v>
      </c>
    </row>
    <row r="1071" spans="1:7" x14ac:dyDescent="0.25">
      <c r="A1071" s="2" t="s">
        <v>2173</v>
      </c>
      <c r="B1071" s="2" t="s">
        <v>2172</v>
      </c>
      <c r="C1071" s="2">
        <v>15.2</v>
      </c>
      <c r="D1071" s="2">
        <v>8.6</v>
      </c>
      <c r="E1071" s="2">
        <v>6.7</v>
      </c>
      <c r="F1071" s="2" t="str">
        <f>IFERROR(VLOOKUP(B1071,Tabla2[],5,FALSE),"")</f>
        <v/>
      </c>
      <c r="G1071" s="2">
        <f>SQRT(4*(Tabla1[[#This Row],[dD]]-'Find a similar substance'!$D$5)^2+('Find a similar substance'!$E$5-Tabla1[[#This Row],[dP]])^2+(Tabla1[[#This Row],[dH]]-'Find a similar substance'!$F$5)^2)</f>
        <v>3.2771939216347916</v>
      </c>
    </row>
    <row r="1072" spans="1:7" x14ac:dyDescent="0.25">
      <c r="A1072" s="2" t="s">
        <v>2175</v>
      </c>
      <c r="B1072" s="2" t="s">
        <v>2174</v>
      </c>
      <c r="C1072" s="2">
        <v>15.5</v>
      </c>
      <c r="D1072" s="2">
        <v>17</v>
      </c>
      <c r="E1072" s="2">
        <v>6.3</v>
      </c>
      <c r="F1072" s="2" t="str">
        <f>IFERROR(VLOOKUP(B1072,Tabla2[],5,FALSE),"")</f>
        <v/>
      </c>
      <c r="G1072" s="2">
        <f>SQRT(4*(Tabla1[[#This Row],[dD]]-'Find a similar substance'!$D$5)^2+('Find a similar substance'!$E$5-Tabla1[[#This Row],[dP]])^2+(Tabla1[[#This Row],[dH]]-'Find a similar substance'!$F$5)^2)</f>
        <v>8.6844688956780782</v>
      </c>
    </row>
    <row r="1073" spans="1:7" x14ac:dyDescent="0.25">
      <c r="A1073" s="2" t="s">
        <v>2177</v>
      </c>
      <c r="B1073" s="2" t="s">
        <v>2176</v>
      </c>
      <c r="C1073" s="2">
        <v>17.5</v>
      </c>
      <c r="D1073" s="2">
        <v>8.9</v>
      </c>
      <c r="E1073" s="2">
        <v>5.5</v>
      </c>
      <c r="F1073" s="2" t="str">
        <f>IFERROR(VLOOKUP(B1073,Tabla2[],5,FALSE),"")</f>
        <v/>
      </c>
      <c r="G1073" s="2">
        <f>SQRT(4*(Tabla1[[#This Row],[dD]]-'Find a similar substance'!$D$5)^2+('Find a similar substance'!$E$5-Tabla1[[#This Row],[dP]])^2+(Tabla1[[#This Row],[dH]]-'Find a similar substance'!$F$5)^2)</f>
        <v>1.8788294228055908</v>
      </c>
    </row>
    <row r="1074" spans="1:7" x14ac:dyDescent="0.25">
      <c r="A1074" s="2" t="s">
        <v>2179</v>
      </c>
      <c r="B1074" s="2" t="s">
        <v>2178</v>
      </c>
      <c r="C1074" s="2">
        <v>20.5</v>
      </c>
      <c r="D1074" s="2">
        <v>11.7</v>
      </c>
      <c r="E1074" s="2">
        <v>14.2</v>
      </c>
      <c r="F1074" s="2" t="str">
        <f>IFERROR(VLOOKUP(B1074,Tabla2[],5,FALSE),"")</f>
        <v/>
      </c>
      <c r="G1074" s="2">
        <f>SQRT(4*(Tabla1[[#This Row],[dD]]-'Find a similar substance'!$D$5)^2+('Find a similar substance'!$E$5-Tabla1[[#This Row],[dP]])^2+(Tabla1[[#This Row],[dH]]-'Find a similar substance'!$F$5)^2)</f>
        <v>12.428998350631476</v>
      </c>
    </row>
    <row r="1075" spans="1:7" x14ac:dyDescent="0.25">
      <c r="A1075" s="2" t="s">
        <v>2181</v>
      </c>
      <c r="B1075" s="2" t="s">
        <v>2180</v>
      </c>
      <c r="C1075" s="2">
        <v>20.2</v>
      </c>
      <c r="D1075" s="2">
        <v>10.4</v>
      </c>
      <c r="E1075" s="2">
        <v>12.4</v>
      </c>
      <c r="F1075" s="2" t="str">
        <f>IFERROR(VLOOKUP(B1075,Tabla2[],5,FALSE),"")</f>
        <v/>
      </c>
      <c r="G1075" s="2">
        <f>SQRT(4*(Tabla1[[#This Row],[dD]]-'Find a similar substance'!$D$5)^2+('Find a similar substance'!$E$5-Tabla1[[#This Row],[dP]])^2+(Tabla1[[#This Row],[dH]]-'Find a similar substance'!$F$5)^2)</f>
        <v>10.463746938836008</v>
      </c>
    </row>
    <row r="1076" spans="1:7" x14ac:dyDescent="0.25">
      <c r="A1076" s="2" t="s">
        <v>2183</v>
      </c>
      <c r="B1076" s="2" t="s">
        <v>2182</v>
      </c>
      <c r="C1076" s="2">
        <v>20.2</v>
      </c>
      <c r="D1076" s="2">
        <v>17.399999999999999</v>
      </c>
      <c r="E1076" s="2">
        <v>11.7</v>
      </c>
      <c r="F1076" s="2" t="str">
        <f>IFERROR(VLOOKUP(B1076,Tabla2[],5,FALSE),"")</f>
        <v/>
      </c>
      <c r="G1076" s="2">
        <f>SQRT(4*(Tabla1[[#This Row],[dD]]-'Find a similar substance'!$D$5)^2+('Find a similar substance'!$E$5-Tabla1[[#This Row],[dP]])^2+(Tabla1[[#This Row],[dH]]-'Find a similar substance'!$F$5)^2)</f>
        <v>13.130879635424273</v>
      </c>
    </row>
    <row r="1077" spans="1:7" x14ac:dyDescent="0.25">
      <c r="A1077" s="2" t="s">
        <v>2185</v>
      </c>
      <c r="B1077" s="2" t="s">
        <v>2184</v>
      </c>
      <c r="C1077" s="2">
        <v>19</v>
      </c>
      <c r="D1077" s="2">
        <v>8.8000000000000007</v>
      </c>
      <c r="E1077" s="2">
        <v>5.9</v>
      </c>
      <c r="F1077" s="2" t="str">
        <f>IFERROR(VLOOKUP(B1077,Tabla2[],5,FALSE),"")</f>
        <v/>
      </c>
      <c r="G1077" s="2">
        <f>SQRT(4*(Tabla1[[#This Row],[dD]]-'Find a similar substance'!$D$5)^2+('Find a similar substance'!$E$5-Tabla1[[#This Row],[dP]])^2+(Tabla1[[#This Row],[dH]]-'Find a similar substance'!$F$5)^2)</f>
        <v>4.8846698967279227</v>
      </c>
    </row>
    <row r="1078" spans="1:7" x14ac:dyDescent="0.25">
      <c r="A1078" s="2" t="s">
        <v>2187</v>
      </c>
      <c r="B1078" s="2" t="s">
        <v>2186</v>
      </c>
      <c r="C1078" s="2">
        <v>20.5</v>
      </c>
      <c r="D1078" s="2">
        <v>9.4</v>
      </c>
      <c r="E1078" s="2">
        <v>11.3</v>
      </c>
      <c r="F1078" s="2" t="str">
        <f>IFERROR(VLOOKUP(B1078,Tabla2[],5,FALSE),"")</f>
        <v/>
      </c>
      <c r="G1078" s="2">
        <f>SQRT(4*(Tabla1[[#This Row],[dD]]-'Find a similar substance'!$D$5)^2+('Find a similar substance'!$E$5-Tabla1[[#This Row],[dP]])^2+(Tabla1[[#This Row],[dH]]-'Find a similar substance'!$F$5)^2)</f>
        <v>10.050870609056709</v>
      </c>
    </row>
    <row r="1079" spans="1:7" x14ac:dyDescent="0.25">
      <c r="A1079" s="2" t="s">
        <v>2189</v>
      </c>
      <c r="B1079" s="2" t="s">
        <v>2188</v>
      </c>
      <c r="C1079" s="2">
        <v>20.7</v>
      </c>
      <c r="D1079" s="2">
        <v>10.7</v>
      </c>
      <c r="E1079" s="2">
        <v>21.1</v>
      </c>
      <c r="F1079" s="2" t="str">
        <f>IFERROR(VLOOKUP(B1079,Tabla2[],5,FALSE),"")</f>
        <v/>
      </c>
      <c r="G1079" s="2">
        <f>SQRT(4*(Tabla1[[#This Row],[dD]]-'Find a similar substance'!$D$5)^2+('Find a similar substance'!$E$5-Tabla1[[#This Row],[dP]])^2+(Tabla1[[#This Row],[dH]]-'Find a similar substance'!$F$5)^2)</f>
        <v>18.178283747372852</v>
      </c>
    </row>
    <row r="1080" spans="1:7" x14ac:dyDescent="0.25">
      <c r="A1080" s="2" t="s">
        <v>2191</v>
      </c>
      <c r="B1080" s="2" t="s">
        <v>2190</v>
      </c>
      <c r="C1080" s="2">
        <v>19.2</v>
      </c>
      <c r="D1080" s="2">
        <v>11</v>
      </c>
      <c r="E1080" s="2">
        <v>10</v>
      </c>
      <c r="F1080" s="2" t="str">
        <f>IFERROR(VLOOKUP(B1080,Tabla2[],5,FALSE),"")</f>
        <v/>
      </c>
      <c r="G1080" s="2">
        <f>SQRT(4*(Tabla1[[#This Row],[dD]]-'Find a similar substance'!$D$5)^2+('Find a similar substance'!$E$5-Tabla1[[#This Row],[dP]])^2+(Tabla1[[#This Row],[dH]]-'Find a similar substance'!$F$5)^2)</f>
        <v>7.5716576784743754</v>
      </c>
    </row>
    <row r="1081" spans="1:7" x14ac:dyDescent="0.25">
      <c r="A1081" s="2" t="s">
        <v>2193</v>
      </c>
      <c r="B1081" s="2" t="s">
        <v>2192</v>
      </c>
      <c r="C1081" s="2">
        <v>17.899999999999999</v>
      </c>
      <c r="D1081" s="2">
        <v>6.5</v>
      </c>
      <c r="E1081" s="2">
        <v>7.4</v>
      </c>
      <c r="F1081" s="2" t="str">
        <f>IFERROR(VLOOKUP(B1081,Tabla2[],5,FALSE),"")</f>
        <v/>
      </c>
      <c r="G1081" s="2">
        <f>SQRT(4*(Tabla1[[#This Row],[dD]]-'Find a similar substance'!$D$5)^2+('Find a similar substance'!$E$5-Tabla1[[#This Row],[dP]])^2+(Tabla1[[#This Row],[dH]]-'Find a similar substance'!$F$5)^2)</f>
        <v>4.1665333311999282</v>
      </c>
    </row>
    <row r="1082" spans="1:7" x14ac:dyDescent="0.25">
      <c r="A1082" s="2" t="s">
        <v>2195</v>
      </c>
      <c r="B1082" s="2" t="s">
        <v>2194</v>
      </c>
      <c r="C1082" s="2">
        <v>15.9</v>
      </c>
      <c r="D1082" s="2">
        <v>18.899999999999999</v>
      </c>
      <c r="E1082" s="2">
        <v>8</v>
      </c>
      <c r="F1082" s="2" t="str">
        <f>IFERROR(VLOOKUP(B1082,Tabla2[],5,FALSE),"")</f>
        <v/>
      </c>
      <c r="G1082" s="2">
        <f>SQRT(4*(Tabla1[[#This Row],[dD]]-'Find a similar substance'!$D$5)^2+('Find a similar substance'!$E$5-Tabla1[[#This Row],[dP]])^2+(Tabla1[[#This Row],[dH]]-'Find a similar substance'!$F$5)^2)</f>
        <v>10.723805294763608</v>
      </c>
    </row>
    <row r="1083" spans="1:7" x14ac:dyDescent="0.25">
      <c r="A1083" s="2" t="s">
        <v>2197</v>
      </c>
      <c r="B1083" s="2" t="s">
        <v>2196</v>
      </c>
      <c r="C1083" s="2">
        <v>19</v>
      </c>
      <c r="D1083" s="2">
        <v>6.6</v>
      </c>
      <c r="E1083" s="2">
        <v>11</v>
      </c>
      <c r="F1083" s="2" t="str">
        <f>IFERROR(VLOOKUP(B1083,Tabla2[],5,FALSE),"")</f>
        <v/>
      </c>
      <c r="G1083" s="2">
        <f>SQRT(4*(Tabla1[[#This Row],[dD]]-'Find a similar substance'!$D$5)^2+('Find a similar substance'!$E$5-Tabla1[[#This Row],[dP]])^2+(Tabla1[[#This Row],[dH]]-'Find a similar substance'!$F$5)^2)</f>
        <v>7.9655508284110503</v>
      </c>
    </row>
    <row r="1084" spans="1:7" x14ac:dyDescent="0.25">
      <c r="A1084" s="2" t="s">
        <v>2199</v>
      </c>
      <c r="B1084" s="2" t="s">
        <v>2198</v>
      </c>
      <c r="C1084" s="2">
        <v>20.5</v>
      </c>
      <c r="D1084" s="2">
        <v>5.6</v>
      </c>
      <c r="E1084" s="2">
        <v>5.7</v>
      </c>
      <c r="F1084" s="2" t="str">
        <f>IFERROR(VLOOKUP(B1084,Tabla2[],5,FALSE),"")</f>
        <v/>
      </c>
      <c r="G1084" s="2">
        <f>SQRT(4*(Tabla1[[#This Row],[dD]]-'Find a similar substance'!$D$5)^2+('Find a similar substance'!$E$5-Tabla1[[#This Row],[dP]])^2+(Tabla1[[#This Row],[dH]]-'Find a similar substance'!$F$5)^2)</f>
        <v>8.422588675698222</v>
      </c>
    </row>
    <row r="1085" spans="1:7" x14ac:dyDescent="0.25">
      <c r="A1085" s="2" t="s">
        <v>2201</v>
      </c>
      <c r="B1085" s="2" t="s">
        <v>2200</v>
      </c>
      <c r="C1085" s="2">
        <v>21.1</v>
      </c>
      <c r="D1085" s="2">
        <v>12.5</v>
      </c>
      <c r="E1085" s="2">
        <v>9.8000000000000007</v>
      </c>
      <c r="F1085" s="2" t="str">
        <f>IFERROR(VLOOKUP(B1085,Tabla2[],5,FALSE),"")</f>
        <v/>
      </c>
      <c r="G1085" s="2">
        <f>SQRT(4*(Tabla1[[#This Row],[dD]]-'Find a similar substance'!$D$5)^2+('Find a similar substance'!$E$5-Tabla1[[#This Row],[dP]])^2+(Tabla1[[#This Row],[dH]]-'Find a similar substance'!$F$5)^2)</f>
        <v>10.884851859350222</v>
      </c>
    </row>
    <row r="1086" spans="1:7" x14ac:dyDescent="0.25">
      <c r="A1086" s="2" t="s">
        <v>2203</v>
      </c>
      <c r="B1086" s="2" t="s">
        <v>2202</v>
      </c>
      <c r="C1086" s="2">
        <v>19</v>
      </c>
      <c r="D1086" s="2">
        <v>10.5</v>
      </c>
      <c r="E1086" s="2">
        <v>12</v>
      </c>
      <c r="F1086" s="2" t="str">
        <f>IFERROR(VLOOKUP(B1086,Tabla2[],5,FALSE),"")</f>
        <v/>
      </c>
      <c r="G1086" s="2">
        <f>SQRT(4*(Tabla1[[#This Row],[dD]]-'Find a similar substance'!$D$5)^2+('Find a similar substance'!$E$5-Tabla1[[#This Row],[dP]])^2+(Tabla1[[#This Row],[dH]]-'Find a similar substance'!$F$5)^2)</f>
        <v>8.6764047853935438</v>
      </c>
    </row>
    <row r="1087" spans="1:7" x14ac:dyDescent="0.25">
      <c r="A1087" s="2" t="s">
        <v>2205</v>
      </c>
      <c r="B1087" s="2" t="s">
        <v>2204</v>
      </c>
      <c r="C1087" s="2">
        <v>19</v>
      </c>
      <c r="D1087" s="2">
        <v>9</v>
      </c>
      <c r="E1087" s="2">
        <v>13.7</v>
      </c>
      <c r="F1087" s="2" t="str">
        <f>IFERROR(VLOOKUP(B1087,Tabla2[],5,FALSE),"")</f>
        <v/>
      </c>
      <c r="G1087" s="2">
        <f>SQRT(4*(Tabla1[[#This Row],[dD]]-'Find a similar substance'!$D$5)^2+('Find a similar substance'!$E$5-Tabla1[[#This Row],[dP]])^2+(Tabla1[[#This Row],[dH]]-'Find a similar substance'!$F$5)^2)</f>
        <v>9.9408249154685322</v>
      </c>
    </row>
    <row r="1088" spans="1:7" x14ac:dyDescent="0.25">
      <c r="A1088" s="2" t="s">
        <v>2207</v>
      </c>
      <c r="B1088" s="2" t="s">
        <v>2206</v>
      </c>
      <c r="C1088" s="2">
        <v>17.100000000000001</v>
      </c>
      <c r="D1088" s="2">
        <v>7.1</v>
      </c>
      <c r="E1088" s="2">
        <v>11.7</v>
      </c>
      <c r="F1088" s="2" t="str">
        <f>IFERROR(VLOOKUP(B1088,Tabla2[],5,FALSE),"")</f>
        <v/>
      </c>
      <c r="G1088" s="2">
        <f>SQRT(4*(Tabla1[[#This Row],[dD]]-'Find a similar substance'!$D$5)^2+('Find a similar substance'!$E$5-Tabla1[[#This Row],[dP]])^2+(Tabla1[[#This Row],[dH]]-'Find a similar substance'!$F$5)^2)</f>
        <v>6.9606034221179405</v>
      </c>
    </row>
    <row r="1089" spans="1:7" x14ac:dyDescent="0.25">
      <c r="A1089" s="2" t="s">
        <v>2208</v>
      </c>
      <c r="B1089" s="2" t="s">
        <v>81</v>
      </c>
      <c r="C1089" s="2">
        <v>15</v>
      </c>
      <c r="D1089" s="2">
        <v>3.7</v>
      </c>
      <c r="E1089" s="2">
        <v>7.6</v>
      </c>
      <c r="F1089" s="2">
        <f>IFERROR(VLOOKUP(B1089,Tabla2[],5,FALSE),"")</f>
        <v>134</v>
      </c>
      <c r="G1089" s="2">
        <f>SQRT(4*(Tabla1[[#This Row],[dD]]-'Find a similar substance'!$D$5)^2+('Find a similar substance'!$E$5-Tabla1[[#This Row],[dP]])^2+(Tabla1[[#This Row],[dH]]-'Find a similar substance'!$F$5)^2)</f>
        <v>6.4807406984078604</v>
      </c>
    </row>
    <row r="1090" spans="1:7" x14ac:dyDescent="0.25">
      <c r="A1090" s="2" t="s">
        <v>2210</v>
      </c>
      <c r="B1090" s="2" t="s">
        <v>2209</v>
      </c>
      <c r="C1090" s="2">
        <v>18</v>
      </c>
      <c r="D1090" s="2">
        <v>8.1999999999999993</v>
      </c>
      <c r="E1090" s="2">
        <v>14.4</v>
      </c>
      <c r="F1090" s="2" t="str">
        <f>IFERROR(VLOOKUP(B1090,Tabla2[],5,FALSE),"")</f>
        <v/>
      </c>
      <c r="G1090" s="2">
        <f>SQRT(4*(Tabla1[[#This Row],[dD]]-'Find a similar substance'!$D$5)^2+('Find a similar substance'!$E$5-Tabla1[[#This Row],[dP]])^2+(Tabla1[[#This Row],[dH]]-'Find a similar substance'!$F$5)^2)</f>
        <v>9.8208960894614901</v>
      </c>
    </row>
    <row r="1091" spans="1:7" x14ac:dyDescent="0.25">
      <c r="A1091" s="2" t="s">
        <v>2212</v>
      </c>
      <c r="B1091" s="2" t="s">
        <v>2211</v>
      </c>
      <c r="C1091" s="2">
        <v>19.2</v>
      </c>
      <c r="D1091" s="2">
        <v>7.3</v>
      </c>
      <c r="E1091" s="2">
        <v>16.100000000000001</v>
      </c>
      <c r="F1091" s="2" t="str">
        <f>IFERROR(VLOOKUP(B1091,Tabla2[],5,FALSE),"")</f>
        <v/>
      </c>
      <c r="G1091" s="2">
        <f>SQRT(4*(Tabla1[[#This Row],[dD]]-'Find a similar substance'!$D$5)^2+('Find a similar substance'!$E$5-Tabla1[[#This Row],[dP]])^2+(Tabla1[[#This Row],[dH]]-'Find a similar substance'!$F$5)^2)</f>
        <v>12.337341690980272</v>
      </c>
    </row>
    <row r="1092" spans="1:7" x14ac:dyDescent="0.25">
      <c r="A1092" s="2" t="s">
        <v>2214</v>
      </c>
      <c r="B1092" s="2" t="s">
        <v>2213</v>
      </c>
      <c r="C1092" s="2">
        <v>20</v>
      </c>
      <c r="D1092" s="2">
        <v>7.1</v>
      </c>
      <c r="E1092" s="2">
        <v>6.2</v>
      </c>
      <c r="F1092" s="2" t="str">
        <f>IFERROR(VLOOKUP(B1092,Tabla2[],5,FALSE),"")</f>
        <v/>
      </c>
      <c r="G1092" s="2">
        <f>SQRT(4*(Tabla1[[#This Row],[dD]]-'Find a similar substance'!$D$5)^2+('Find a similar substance'!$E$5-Tabla1[[#This Row],[dP]])^2+(Tabla1[[#This Row],[dH]]-'Find a similar substance'!$F$5)^2)</f>
        <v>7.0880180586677364</v>
      </c>
    </row>
    <row r="1093" spans="1:7" x14ac:dyDescent="0.25">
      <c r="A1093" s="2" t="s">
        <v>2216</v>
      </c>
      <c r="B1093" s="2" t="s">
        <v>2215</v>
      </c>
      <c r="C1093" s="2">
        <v>16.7</v>
      </c>
      <c r="D1093" s="2">
        <v>11.2</v>
      </c>
      <c r="E1093" s="2">
        <v>12</v>
      </c>
      <c r="F1093" s="2" t="str">
        <f>IFERROR(VLOOKUP(B1093,Tabla2[],5,FALSE),"")</f>
        <v/>
      </c>
      <c r="G1093" s="2">
        <f>SQRT(4*(Tabla1[[#This Row],[dD]]-'Find a similar substance'!$D$5)^2+('Find a similar substance'!$E$5-Tabla1[[#This Row],[dP]])^2+(Tabla1[[#This Row],[dH]]-'Find a similar substance'!$F$5)^2)</f>
        <v>7.4357245780085215</v>
      </c>
    </row>
    <row r="1094" spans="1:7" x14ac:dyDescent="0.25">
      <c r="A1094" s="2" t="s">
        <v>2218</v>
      </c>
      <c r="B1094" s="2" t="s">
        <v>2217</v>
      </c>
      <c r="C1094" s="2">
        <v>16.3</v>
      </c>
      <c r="D1094" s="2">
        <v>3.3</v>
      </c>
      <c r="E1094" s="2">
        <v>5.5</v>
      </c>
      <c r="F1094" s="2" t="str">
        <f>IFERROR(VLOOKUP(B1094,Tabla2[],5,FALSE),"")</f>
        <v/>
      </c>
      <c r="G1094" s="2">
        <f>SQRT(4*(Tabla1[[#This Row],[dD]]-'Find a similar substance'!$D$5)^2+('Find a similar substance'!$E$5-Tabla1[[#This Row],[dP]])^2+(Tabla1[[#This Row],[dH]]-'Find a similar substance'!$F$5)^2)</f>
        <v>5.4561891462814955</v>
      </c>
    </row>
    <row r="1095" spans="1:7" x14ac:dyDescent="0.25">
      <c r="A1095" s="2" t="s">
        <v>2220</v>
      </c>
      <c r="B1095" s="2" t="s">
        <v>2219</v>
      </c>
      <c r="C1095" s="2">
        <v>18.600000000000001</v>
      </c>
      <c r="D1095" s="2">
        <v>1</v>
      </c>
      <c r="E1095" s="2">
        <v>4.0999999999999996</v>
      </c>
      <c r="F1095" s="2" t="str">
        <f>IFERROR(VLOOKUP(B1095,Tabla2[],5,FALSE),"")</f>
        <v/>
      </c>
      <c r="G1095" s="2">
        <f>SQRT(4*(Tabla1[[#This Row],[dD]]-'Find a similar substance'!$D$5)^2+('Find a similar substance'!$E$5-Tabla1[[#This Row],[dP]])^2+(Tabla1[[#This Row],[dH]]-'Find a similar substance'!$F$5)^2)</f>
        <v>8.7235313950257556</v>
      </c>
    </row>
    <row r="1096" spans="1:7" x14ac:dyDescent="0.25">
      <c r="A1096" s="2" t="s">
        <v>2222</v>
      </c>
      <c r="B1096" s="2" t="s">
        <v>2221</v>
      </c>
      <c r="C1096" s="2">
        <v>19.399999999999999</v>
      </c>
      <c r="D1096" s="2">
        <v>5.8</v>
      </c>
      <c r="E1096" s="2">
        <v>6.6</v>
      </c>
      <c r="F1096" s="2" t="str">
        <f>IFERROR(VLOOKUP(B1096,Tabla2[],5,FALSE),"")</f>
        <v/>
      </c>
      <c r="G1096" s="2">
        <f>SQRT(4*(Tabla1[[#This Row],[dD]]-'Find a similar substance'!$D$5)^2+('Find a similar substance'!$E$5-Tabla1[[#This Row],[dP]])^2+(Tabla1[[#This Row],[dH]]-'Find a similar substance'!$F$5)^2)</f>
        <v>6.506150935845243</v>
      </c>
    </row>
    <row r="1097" spans="1:7" x14ac:dyDescent="0.25">
      <c r="A1097" s="2" t="s">
        <v>2224</v>
      </c>
      <c r="B1097" s="2" t="s">
        <v>2223</v>
      </c>
      <c r="C1097" s="2">
        <v>16.8</v>
      </c>
      <c r="D1097" s="2">
        <v>9.8000000000000007</v>
      </c>
      <c r="E1097" s="2">
        <v>10.5</v>
      </c>
      <c r="F1097" s="2" t="str">
        <f>IFERROR(VLOOKUP(B1097,Tabla2[],5,FALSE),"")</f>
        <v/>
      </c>
      <c r="G1097" s="2">
        <f>SQRT(4*(Tabla1[[#This Row],[dD]]-'Find a similar substance'!$D$5)^2+('Find a similar substance'!$E$5-Tabla1[[#This Row],[dP]])^2+(Tabla1[[#This Row],[dH]]-'Find a similar substance'!$F$5)^2)</f>
        <v>5.6231663678038197</v>
      </c>
    </row>
    <row r="1098" spans="1:7" x14ac:dyDescent="0.25">
      <c r="A1098" s="2" t="s">
        <v>2226</v>
      </c>
      <c r="B1098" s="2" t="s">
        <v>2225</v>
      </c>
      <c r="C1098" s="2">
        <v>18.600000000000001</v>
      </c>
      <c r="D1098" s="2">
        <v>17.5</v>
      </c>
      <c r="E1098" s="2">
        <v>16</v>
      </c>
      <c r="F1098" s="2" t="str">
        <f>IFERROR(VLOOKUP(B1098,Tabla2[],5,FALSE),"")</f>
        <v/>
      </c>
      <c r="G1098" s="2">
        <f>SQRT(4*(Tabla1[[#This Row],[dD]]-'Find a similar substance'!$D$5)^2+('Find a similar substance'!$E$5-Tabla1[[#This Row],[dP]])^2+(Tabla1[[#This Row],[dH]]-'Find a similar substance'!$F$5)^2)</f>
        <v>14.643770006388381</v>
      </c>
    </row>
    <row r="1099" spans="1:7" x14ac:dyDescent="0.25">
      <c r="A1099" s="2" t="s">
        <v>2228</v>
      </c>
      <c r="B1099" s="2" t="s">
        <v>2227</v>
      </c>
      <c r="C1099" s="2">
        <v>18.2</v>
      </c>
      <c r="D1099" s="2">
        <v>17</v>
      </c>
      <c r="E1099" s="2">
        <v>7.9</v>
      </c>
      <c r="F1099" s="2" t="str">
        <f>IFERROR(VLOOKUP(B1099,Tabla2[],5,FALSE),"")</f>
        <v/>
      </c>
      <c r="G1099" s="2">
        <f>SQRT(4*(Tabla1[[#This Row],[dD]]-'Find a similar substance'!$D$5)^2+('Find a similar substance'!$E$5-Tabla1[[#This Row],[dP]])^2+(Tabla1[[#This Row],[dH]]-'Find a similar substance'!$F$5)^2)</f>
        <v>9.3562813125728539</v>
      </c>
    </row>
    <row r="1100" spans="1:7" x14ac:dyDescent="0.25">
      <c r="A1100" s="2" t="s">
        <v>2230</v>
      </c>
      <c r="B1100" s="2" t="s">
        <v>2229</v>
      </c>
      <c r="C1100" s="2">
        <v>20</v>
      </c>
      <c r="D1100" s="2">
        <v>19.5</v>
      </c>
      <c r="E1100" s="2">
        <v>10.7</v>
      </c>
      <c r="F1100" s="2" t="str">
        <f>IFERROR(VLOOKUP(B1100,Tabla2[],5,FALSE),"")</f>
        <v/>
      </c>
      <c r="G1100" s="2">
        <f>SQRT(4*(Tabla1[[#This Row],[dD]]-'Find a similar substance'!$D$5)^2+('Find a similar substance'!$E$5-Tabla1[[#This Row],[dP]])^2+(Tabla1[[#This Row],[dH]]-'Find a similar substance'!$F$5)^2)</f>
        <v>13.977481890526631</v>
      </c>
    </row>
    <row r="1101" spans="1:7" x14ac:dyDescent="0.25">
      <c r="A1101" s="2" t="s">
        <v>2231</v>
      </c>
      <c r="B1101" s="2" t="s">
        <v>82</v>
      </c>
      <c r="C1101" s="2">
        <v>17.8</v>
      </c>
      <c r="D1101" s="2">
        <v>17.399999999999999</v>
      </c>
      <c r="E1101" s="2">
        <v>8.6999999999999993</v>
      </c>
      <c r="F1101" s="2">
        <f>IFERROR(VLOOKUP(B1101,Tabla2[],5,FALSE),"")</f>
        <v>95.3</v>
      </c>
      <c r="G1101" s="2">
        <f>SQRT(4*(Tabla1[[#This Row],[dD]]-'Find a similar substance'!$D$5)^2+('Find a similar substance'!$E$5-Tabla1[[#This Row],[dP]])^2+(Tabla1[[#This Row],[dH]]-'Find a similar substance'!$F$5)^2)</f>
        <v>9.7539735492772373</v>
      </c>
    </row>
    <row r="1102" spans="1:7" x14ac:dyDescent="0.25">
      <c r="A1102" s="2" t="s">
        <v>2233</v>
      </c>
      <c r="B1102" s="2" t="s">
        <v>2232</v>
      </c>
      <c r="C1102" s="2">
        <v>18.100000000000001</v>
      </c>
      <c r="D1102" s="2">
        <v>13.5</v>
      </c>
      <c r="E1102" s="2">
        <v>0</v>
      </c>
      <c r="F1102" s="2" t="str">
        <f>IFERROR(VLOOKUP(B1102,Tabla2[],5,FALSE),"")</f>
        <v/>
      </c>
      <c r="G1102" s="2">
        <f>SQRT(4*(Tabla1[[#This Row],[dD]]-'Find a similar substance'!$D$5)^2+('Find a similar substance'!$E$5-Tabla1[[#This Row],[dP]])^2+(Tabla1[[#This Row],[dH]]-'Find a similar substance'!$F$5)^2)</f>
        <v>7.5524830353996828</v>
      </c>
    </row>
    <row r="1103" spans="1:7" x14ac:dyDescent="0.25">
      <c r="A1103" s="2">
        <v>2025884</v>
      </c>
      <c r="B1103" s="2" t="s">
        <v>2234</v>
      </c>
      <c r="C1103" s="2">
        <v>15.8</v>
      </c>
      <c r="D1103" s="2">
        <v>8.4</v>
      </c>
      <c r="E1103" s="2">
        <v>10</v>
      </c>
      <c r="F1103" s="2" t="str">
        <f>IFERROR(VLOOKUP(B1103,Tabla2[],5,FALSE),"")</f>
        <v/>
      </c>
      <c r="G1103" s="2">
        <f>SQRT(4*(Tabla1[[#This Row],[dD]]-'Find a similar substance'!$D$5)^2+('Find a similar substance'!$E$5-Tabla1[[#This Row],[dP]])^2+(Tabla1[[#This Row],[dH]]-'Find a similar substance'!$F$5)^2)</f>
        <v>5.2583267300539633</v>
      </c>
    </row>
    <row r="1104" spans="1:7" x14ac:dyDescent="0.25">
      <c r="A1104" s="2" t="s">
        <v>2236</v>
      </c>
      <c r="B1104" s="2" t="s">
        <v>2235</v>
      </c>
      <c r="C1104" s="2">
        <v>17.600000000000001</v>
      </c>
      <c r="D1104" s="2">
        <v>7.2</v>
      </c>
      <c r="E1104" s="2">
        <v>0</v>
      </c>
      <c r="F1104" s="2" t="str">
        <f>IFERROR(VLOOKUP(B1104,Tabla2[],5,FALSE),"")</f>
        <v/>
      </c>
      <c r="G1104" s="2">
        <f>SQRT(4*(Tabla1[[#This Row],[dD]]-'Find a similar substance'!$D$5)^2+('Find a similar substance'!$E$5-Tabla1[[#This Row],[dP]])^2+(Tabla1[[#This Row],[dH]]-'Find a similar substance'!$F$5)^2)</f>
        <v>5.5901699437494736</v>
      </c>
    </row>
    <row r="1105" spans="1:7" x14ac:dyDescent="0.25">
      <c r="A1105" s="2" t="s">
        <v>2237</v>
      </c>
      <c r="B1105" s="2" t="s">
        <v>15</v>
      </c>
      <c r="C1105" s="2">
        <v>15</v>
      </c>
      <c r="D1105" s="2">
        <v>3.7</v>
      </c>
      <c r="E1105" s="2">
        <v>6</v>
      </c>
      <c r="F1105" s="2">
        <f>IFERROR(VLOOKUP(B1105,Tabla2[],5,FALSE),"")</f>
        <v>134.80000000000001</v>
      </c>
      <c r="G1105" s="2">
        <f>SQRT(4*(Tabla1[[#This Row],[dD]]-'Find a similar substance'!$D$5)^2+('Find a similar substance'!$E$5-Tabla1[[#This Row],[dP]])^2+(Tabla1[[#This Row],[dH]]-'Find a similar substance'!$F$5)^2)</f>
        <v>6.0199667773169656</v>
      </c>
    </row>
    <row r="1106" spans="1:7" x14ac:dyDescent="0.25">
      <c r="A1106" s="2" t="s">
        <v>2238</v>
      </c>
      <c r="B1106" s="2" t="s">
        <v>16</v>
      </c>
      <c r="C1106" s="2">
        <v>15.2</v>
      </c>
      <c r="D1106" s="2">
        <v>5.0999999999999996</v>
      </c>
      <c r="E1106" s="2">
        <v>14.7</v>
      </c>
      <c r="F1106" s="2">
        <f>IFERROR(VLOOKUP(B1106,Tabla2[],5,FALSE),"")</f>
        <v>96</v>
      </c>
      <c r="G1106" s="2">
        <f>SQRT(4*(Tabla1[[#This Row],[dD]]-'Find a similar substance'!$D$5)^2+('Find a similar substance'!$E$5-Tabla1[[#This Row],[dP]])^2+(Tabla1[[#This Row],[dH]]-'Find a similar substance'!$F$5)^2)</f>
        <v>10.718675291284834</v>
      </c>
    </row>
    <row r="1107" spans="1:7" x14ac:dyDescent="0.25">
      <c r="A1107" s="2" t="s">
        <v>2240</v>
      </c>
      <c r="B1107" s="2" t="s">
        <v>2239</v>
      </c>
      <c r="C1107" s="2">
        <v>20</v>
      </c>
      <c r="D1107" s="2">
        <v>7.4</v>
      </c>
      <c r="E1107" s="2">
        <v>12.8</v>
      </c>
      <c r="F1107" s="2" t="str">
        <f>IFERROR(VLOOKUP(B1107,Tabla2[],5,FALSE),"")</f>
        <v/>
      </c>
      <c r="G1107" s="2">
        <f>SQRT(4*(Tabla1[[#This Row],[dD]]-'Find a similar substance'!$D$5)^2+('Find a similar substance'!$E$5-Tabla1[[#This Row],[dP]])^2+(Tabla1[[#This Row],[dH]]-'Find a similar substance'!$F$5)^2)</f>
        <v>10.429285689825548</v>
      </c>
    </row>
    <row r="1108" spans="1:7" x14ac:dyDescent="0.25">
      <c r="A1108" s="2" t="s">
        <v>2242</v>
      </c>
      <c r="B1108" s="2" t="s">
        <v>2241</v>
      </c>
      <c r="C1108" s="2">
        <v>20.2</v>
      </c>
      <c r="D1108" s="2">
        <v>9.1</v>
      </c>
      <c r="E1108" s="2">
        <v>13.8</v>
      </c>
      <c r="F1108" s="2" t="str">
        <f>IFERROR(VLOOKUP(B1108,Tabla2[],5,FALSE),"")</f>
        <v/>
      </c>
      <c r="G1108" s="2">
        <f>SQRT(4*(Tabla1[[#This Row],[dD]]-'Find a similar substance'!$D$5)^2+('Find a similar substance'!$E$5-Tabla1[[#This Row],[dP]])^2+(Tabla1[[#This Row],[dH]]-'Find a similar substance'!$F$5)^2)</f>
        <v>11.37717012266231</v>
      </c>
    </row>
    <row r="1109" spans="1:7" x14ac:dyDescent="0.25">
      <c r="A1109" s="2" t="s">
        <v>2244</v>
      </c>
      <c r="B1109" s="2" t="s">
        <v>2243</v>
      </c>
      <c r="C1109" s="2">
        <v>18.3</v>
      </c>
      <c r="D1109" s="2">
        <v>5.7</v>
      </c>
      <c r="E1109" s="2">
        <v>0</v>
      </c>
      <c r="F1109" s="2" t="str">
        <f>IFERROR(VLOOKUP(B1109,Tabla2[],5,FALSE),"")</f>
        <v/>
      </c>
      <c r="G1109" s="2">
        <f>SQRT(4*(Tabla1[[#This Row],[dD]]-'Find a similar substance'!$D$5)^2+('Find a similar substance'!$E$5-Tabla1[[#This Row],[dP]])^2+(Tabla1[[#This Row],[dH]]-'Find a similar substance'!$F$5)^2)</f>
        <v>6.7498148122744812</v>
      </c>
    </row>
    <row r="1110" spans="1:7" x14ac:dyDescent="0.25">
      <c r="A1110" s="2" t="s">
        <v>2246</v>
      </c>
      <c r="B1110" s="2" t="s">
        <v>2245</v>
      </c>
      <c r="C1110" s="2">
        <v>13.9</v>
      </c>
      <c r="D1110" s="2">
        <v>4.3</v>
      </c>
      <c r="E1110" s="2">
        <v>0.6</v>
      </c>
      <c r="F1110" s="2" t="str">
        <f>IFERROR(VLOOKUP(B1110,Tabla2[],5,FALSE),"")</f>
        <v/>
      </c>
      <c r="G1110" s="2">
        <f>SQRT(4*(Tabla1[[#This Row],[dD]]-'Find a similar substance'!$D$5)^2+('Find a similar substance'!$E$5-Tabla1[[#This Row],[dP]])^2+(Tabla1[[#This Row],[dH]]-'Find a similar substance'!$F$5)^2)</f>
        <v>8.2389319696183936</v>
      </c>
    </row>
    <row r="1111" spans="1:7" x14ac:dyDescent="0.25">
      <c r="A1111" s="2" t="s">
        <v>2247</v>
      </c>
      <c r="B1111" s="2" t="s">
        <v>83</v>
      </c>
      <c r="C1111" s="2">
        <v>16.8</v>
      </c>
      <c r="D1111" s="2">
        <v>5.7</v>
      </c>
      <c r="E1111" s="2">
        <v>8</v>
      </c>
      <c r="F1111" s="2">
        <f>IFERROR(VLOOKUP(B1111,Tabla2[],5,FALSE),"")</f>
        <v>81.900000000000006</v>
      </c>
      <c r="G1111" s="2">
        <f>SQRT(4*(Tabla1[[#This Row],[dD]]-'Find a similar substance'!$D$5)^2+('Find a similar substance'!$E$5-Tabla1[[#This Row],[dP]])^2+(Tabla1[[#This Row],[dH]]-'Find a similar substance'!$F$5)^2)</f>
        <v>4.2614551505325027</v>
      </c>
    </row>
    <row r="1112" spans="1:7" x14ac:dyDescent="0.25">
      <c r="A1112" s="2" t="s">
        <v>2248</v>
      </c>
      <c r="B1112" s="2" t="s">
        <v>84</v>
      </c>
      <c r="C1112" s="2">
        <v>17.8</v>
      </c>
      <c r="D1112" s="2">
        <v>8.1999999999999993</v>
      </c>
      <c r="E1112" s="2">
        <v>12.9</v>
      </c>
      <c r="F1112" s="2">
        <f>IFERROR(VLOOKUP(B1112,Tabla2[],5,FALSE),"")</f>
        <v>97.4</v>
      </c>
      <c r="G1112" s="2">
        <f>SQRT(4*(Tabla1[[#This Row],[dD]]-'Find a similar substance'!$D$5)^2+('Find a similar substance'!$E$5-Tabla1[[#This Row],[dP]])^2+(Tabla1[[#This Row],[dH]]-'Find a similar substance'!$F$5)^2)</f>
        <v>8.2716382899640859</v>
      </c>
    </row>
    <row r="1113" spans="1:7" x14ac:dyDescent="0.25">
      <c r="A1113" s="2" t="s">
        <v>2250</v>
      </c>
      <c r="B1113" s="2" t="s">
        <v>2249</v>
      </c>
      <c r="C1113" s="2">
        <v>19.600000000000001</v>
      </c>
      <c r="D1113" s="2">
        <v>2</v>
      </c>
      <c r="E1113" s="2">
        <v>2.9</v>
      </c>
      <c r="F1113" s="2" t="str">
        <f>IFERROR(VLOOKUP(B1113,Tabla2[],5,FALSE),"")</f>
        <v/>
      </c>
      <c r="G1113" s="2">
        <f>SQRT(4*(Tabla1[[#This Row],[dD]]-'Find a similar substance'!$D$5)^2+('Find a similar substance'!$E$5-Tabla1[[#This Row],[dP]])^2+(Tabla1[[#This Row],[dH]]-'Find a similar substance'!$F$5)^2)</f>
        <v>9.2357999112150537</v>
      </c>
    </row>
    <row r="1114" spans="1:7" x14ac:dyDescent="0.25">
      <c r="A1114" s="2" t="s">
        <v>2252</v>
      </c>
      <c r="B1114" s="2" t="s">
        <v>2251</v>
      </c>
      <c r="C1114" s="2">
        <v>16.399999999999999</v>
      </c>
      <c r="D1114" s="2">
        <v>6.3</v>
      </c>
      <c r="E1114" s="2">
        <v>6</v>
      </c>
      <c r="F1114" s="2" t="str">
        <f>IFERROR(VLOOKUP(B1114,Tabla2[],5,FALSE),"")</f>
        <v/>
      </c>
      <c r="G1114" s="2">
        <f>SQRT(4*(Tabla1[[#This Row],[dD]]-'Find a similar substance'!$D$5)^2+('Find a similar substance'!$E$5-Tabla1[[#This Row],[dP]])^2+(Tabla1[[#This Row],[dH]]-'Find a similar substance'!$F$5)^2)</f>
        <v>2.6305892875931813</v>
      </c>
    </row>
    <row r="1115" spans="1:7" x14ac:dyDescent="0.25">
      <c r="A1115" s="2" t="s">
        <v>2254</v>
      </c>
      <c r="B1115" s="2" t="s">
        <v>2253</v>
      </c>
      <c r="C1115" s="2">
        <v>18.5</v>
      </c>
      <c r="D1115" s="2">
        <v>6.3</v>
      </c>
      <c r="E1115" s="2">
        <v>8.9</v>
      </c>
      <c r="F1115" s="2" t="str">
        <f>IFERROR(VLOOKUP(B1115,Tabla2[],5,FALSE),"")</f>
        <v/>
      </c>
      <c r="G1115" s="2">
        <f>SQRT(4*(Tabla1[[#This Row],[dD]]-'Find a similar substance'!$D$5)^2+('Find a similar substance'!$E$5-Tabla1[[#This Row],[dP]])^2+(Tabla1[[#This Row],[dH]]-'Find a similar substance'!$F$5)^2)</f>
        <v>5.9506302187247337</v>
      </c>
    </row>
    <row r="1116" spans="1:7" x14ac:dyDescent="0.25">
      <c r="A1116" s="2" t="s">
        <v>2256</v>
      </c>
      <c r="B1116" s="2" t="s">
        <v>2255</v>
      </c>
      <c r="C1116" s="2">
        <v>18.600000000000001</v>
      </c>
      <c r="D1116" s="2">
        <v>6.7</v>
      </c>
      <c r="E1116" s="2">
        <v>6</v>
      </c>
      <c r="F1116" s="2" t="str">
        <f>IFERROR(VLOOKUP(B1116,Tabla2[],5,FALSE),"")</f>
        <v/>
      </c>
      <c r="G1116" s="2">
        <f>SQRT(4*(Tabla1[[#This Row],[dD]]-'Find a similar substance'!$D$5)^2+('Find a similar substance'!$E$5-Tabla1[[#This Row],[dP]])^2+(Tabla1[[#This Row],[dH]]-'Find a similar substance'!$F$5)^2)</f>
        <v>4.5825756949558398</v>
      </c>
    </row>
    <row r="1117" spans="1:7" x14ac:dyDescent="0.25">
      <c r="A1117" s="2" t="s">
        <v>2258</v>
      </c>
      <c r="B1117" s="2" t="s">
        <v>2257</v>
      </c>
      <c r="C1117" s="2">
        <v>18.2</v>
      </c>
      <c r="D1117" s="2">
        <v>11</v>
      </c>
      <c r="E1117" s="2">
        <v>9.1</v>
      </c>
      <c r="F1117" s="2" t="str">
        <f>IFERROR(VLOOKUP(B1117,Tabla2[],5,FALSE),"")</f>
        <v/>
      </c>
      <c r="G1117" s="2">
        <f>SQRT(4*(Tabla1[[#This Row],[dD]]-'Find a similar substance'!$D$5)^2+('Find a similar substance'!$E$5-Tabla1[[#This Row],[dP]])^2+(Tabla1[[#This Row],[dH]]-'Find a similar substance'!$F$5)^2)</f>
        <v>5.6868268832451703</v>
      </c>
    </row>
    <row r="1118" spans="1:7" x14ac:dyDescent="0.25">
      <c r="A1118" s="2" t="s">
        <v>2260</v>
      </c>
      <c r="B1118" s="2" t="s">
        <v>2259</v>
      </c>
      <c r="C1118" s="2">
        <v>16.7</v>
      </c>
      <c r="D1118" s="2">
        <v>8.1999999999999993</v>
      </c>
      <c r="E1118" s="2">
        <v>11</v>
      </c>
      <c r="F1118" s="2" t="str">
        <f>IFERROR(VLOOKUP(B1118,Tabla2[],5,FALSE),"")</f>
        <v/>
      </c>
      <c r="G1118" s="2">
        <f>SQRT(4*(Tabla1[[#This Row],[dD]]-'Find a similar substance'!$D$5)^2+('Find a similar substance'!$E$5-Tabla1[[#This Row],[dP]])^2+(Tabla1[[#This Row],[dH]]-'Find a similar substance'!$F$5)^2)</f>
        <v>6.0241181927316134</v>
      </c>
    </row>
    <row r="1119" spans="1:7" x14ac:dyDescent="0.25">
      <c r="A1119" s="2" t="s">
        <v>2262</v>
      </c>
      <c r="B1119" s="2" t="s">
        <v>2261</v>
      </c>
      <c r="C1119" s="2">
        <v>15.5</v>
      </c>
      <c r="D1119" s="2">
        <v>8.5</v>
      </c>
      <c r="E1119" s="2">
        <v>7</v>
      </c>
      <c r="F1119" s="2" t="str">
        <f>IFERROR(VLOOKUP(B1119,Tabla2[],5,FALSE),"")</f>
        <v/>
      </c>
      <c r="G1119" s="2">
        <f>SQRT(4*(Tabla1[[#This Row],[dD]]-'Find a similar substance'!$D$5)^2+('Find a similar substance'!$E$5-Tabla1[[#This Row],[dP]])^2+(Tabla1[[#This Row],[dH]]-'Find a similar substance'!$F$5)^2)</f>
        <v>2.9799328851502702</v>
      </c>
    </row>
    <row r="1120" spans="1:7" x14ac:dyDescent="0.25">
      <c r="A1120" s="2" t="s">
        <v>2264</v>
      </c>
      <c r="B1120" s="2" t="s">
        <v>2263</v>
      </c>
      <c r="C1120" s="2">
        <v>20.5</v>
      </c>
      <c r="D1120" s="2">
        <v>18.8</v>
      </c>
      <c r="E1120" s="2">
        <v>10.8</v>
      </c>
      <c r="F1120" s="2" t="str">
        <f>IFERROR(VLOOKUP(B1120,Tabla2[],5,FALSE),"")</f>
        <v/>
      </c>
      <c r="G1120" s="2">
        <f>SQRT(4*(Tabla1[[#This Row],[dD]]-'Find a similar substance'!$D$5)^2+('Find a similar substance'!$E$5-Tabla1[[#This Row],[dP]])^2+(Tabla1[[#This Row],[dH]]-'Find a similar substance'!$F$5)^2)</f>
        <v>14.01748907615055</v>
      </c>
    </row>
    <row r="1121" spans="1:7" x14ac:dyDescent="0.25">
      <c r="A1121" s="2" t="s">
        <v>2266</v>
      </c>
      <c r="B1121" s="2" t="s">
        <v>2265</v>
      </c>
      <c r="C1121" s="2">
        <v>17.5</v>
      </c>
      <c r="D1121" s="2">
        <v>20.6</v>
      </c>
      <c r="E1121" s="2">
        <v>20.2</v>
      </c>
      <c r="F1121" s="2" t="str">
        <f>IFERROR(VLOOKUP(B1121,Tabla2[],5,FALSE),"")</f>
        <v/>
      </c>
      <c r="G1121" s="2">
        <f>SQRT(4*(Tabla1[[#This Row],[dD]]-'Find a similar substance'!$D$5)^2+('Find a similar substance'!$E$5-Tabla1[[#This Row],[dP]])^2+(Tabla1[[#This Row],[dH]]-'Find a similar substance'!$F$5)^2)</f>
        <v>19.38788281375767</v>
      </c>
    </row>
    <row r="1122" spans="1:7" x14ac:dyDescent="0.25">
      <c r="A1122" s="2" t="s">
        <v>2268</v>
      </c>
      <c r="B1122" s="2" t="s">
        <v>2267</v>
      </c>
      <c r="C1122" s="2">
        <v>17</v>
      </c>
      <c r="D1122" s="2">
        <v>6.7</v>
      </c>
      <c r="E1122" s="2">
        <v>8.9</v>
      </c>
      <c r="F1122" s="2" t="str">
        <f>IFERROR(VLOOKUP(B1122,Tabla2[],5,FALSE),"")</f>
        <v/>
      </c>
      <c r="G1122" s="2">
        <f>SQRT(4*(Tabla1[[#This Row],[dD]]-'Find a similar substance'!$D$5)^2+('Find a similar substance'!$E$5-Tabla1[[#This Row],[dP]])^2+(Tabla1[[#This Row],[dH]]-'Find a similar substance'!$F$5)^2)</f>
        <v>4.455333881989092</v>
      </c>
    </row>
    <row r="1123" spans="1:7" x14ac:dyDescent="0.25">
      <c r="A1123" s="2" t="s">
        <v>2270</v>
      </c>
      <c r="B1123" s="2" t="s">
        <v>2269</v>
      </c>
      <c r="C1123" s="2">
        <v>16.8</v>
      </c>
      <c r="D1123" s="2">
        <v>8.9</v>
      </c>
      <c r="E1123" s="2">
        <v>10.9</v>
      </c>
      <c r="F1123" s="2" t="str">
        <f>IFERROR(VLOOKUP(B1123,Tabla2[],5,FALSE),"")</f>
        <v/>
      </c>
      <c r="G1123" s="2">
        <f>SQRT(4*(Tabla1[[#This Row],[dD]]-'Find a similar substance'!$D$5)^2+('Find a similar substance'!$E$5-Tabla1[[#This Row],[dP]])^2+(Tabla1[[#This Row],[dH]]-'Find a similar substance'!$F$5)^2)</f>
        <v>5.9169248769948064</v>
      </c>
    </row>
    <row r="1124" spans="1:7" x14ac:dyDescent="0.25">
      <c r="A1124" s="2" t="s">
        <v>2272</v>
      </c>
      <c r="B1124" s="2" t="s">
        <v>2271</v>
      </c>
      <c r="C1124" s="2">
        <v>17.3</v>
      </c>
      <c r="D1124" s="2">
        <v>8.8000000000000007</v>
      </c>
      <c r="E1124" s="2">
        <v>19.8</v>
      </c>
      <c r="F1124" s="2" t="str">
        <f>IFERROR(VLOOKUP(B1124,Tabla2[],5,FALSE),"")</f>
        <v/>
      </c>
      <c r="G1124" s="2">
        <f>SQRT(4*(Tabla1[[#This Row],[dD]]-'Find a similar substance'!$D$5)^2+('Find a similar substance'!$E$5-Tabla1[[#This Row],[dP]])^2+(Tabla1[[#This Row],[dH]]-'Find a similar substance'!$F$5)^2)</f>
        <v>14.86640507991088</v>
      </c>
    </row>
    <row r="1125" spans="1:7" x14ac:dyDescent="0.25">
      <c r="A1125" s="2" t="s">
        <v>2274</v>
      </c>
      <c r="B1125" s="2" t="s">
        <v>2273</v>
      </c>
      <c r="C1125" s="2">
        <v>16</v>
      </c>
      <c r="D1125" s="2">
        <v>13.5</v>
      </c>
      <c r="E1125" s="2">
        <v>20</v>
      </c>
      <c r="F1125" s="2" t="str">
        <f>IFERROR(VLOOKUP(B1125,Tabla2[],5,FALSE),"")</f>
        <v/>
      </c>
      <c r="G1125" s="2">
        <f>SQRT(4*(Tabla1[[#This Row],[dD]]-'Find a similar substance'!$D$5)^2+('Find a similar substance'!$E$5-Tabla1[[#This Row],[dP]])^2+(Tabla1[[#This Row],[dH]]-'Find a similar substance'!$F$5)^2)</f>
        <v>15.79493589730582</v>
      </c>
    </row>
    <row r="1126" spans="1:7" x14ac:dyDescent="0.25">
      <c r="A1126" s="2">
        <v>2125597</v>
      </c>
      <c r="B1126" s="2" t="s">
        <v>2275</v>
      </c>
      <c r="C1126" s="2">
        <v>16.899999999999999</v>
      </c>
      <c r="D1126" s="2">
        <v>6.4</v>
      </c>
      <c r="E1126" s="2">
        <v>6.1</v>
      </c>
      <c r="F1126" s="2" t="str">
        <f>IFERROR(VLOOKUP(B1126,Tabla2[],5,FALSE),"")</f>
        <v/>
      </c>
      <c r="G1126" s="2">
        <f>SQRT(4*(Tabla1[[#This Row],[dD]]-'Find a similar substance'!$D$5)^2+('Find a similar substance'!$E$5-Tabla1[[#This Row],[dP]])^2+(Tabla1[[#This Row],[dH]]-'Find a similar substance'!$F$5)^2)</f>
        <v>2.6191601707417567</v>
      </c>
    </row>
    <row r="1127" spans="1:7" x14ac:dyDescent="0.25">
      <c r="A1127" s="2" t="s">
        <v>2277</v>
      </c>
      <c r="B1127" s="2" t="s">
        <v>2276</v>
      </c>
      <c r="C1127" s="2">
        <v>18.899999999999999</v>
      </c>
      <c r="D1127" s="2">
        <v>2.4</v>
      </c>
      <c r="E1127" s="2">
        <v>7.8</v>
      </c>
      <c r="F1127" s="2" t="str">
        <f>IFERROR(VLOOKUP(B1127,Tabla2[],5,FALSE),"")</f>
        <v/>
      </c>
      <c r="G1127" s="2">
        <f>SQRT(4*(Tabla1[[#This Row],[dD]]-'Find a similar substance'!$D$5)^2+('Find a similar substance'!$E$5-Tabla1[[#This Row],[dP]])^2+(Tabla1[[#This Row],[dH]]-'Find a similar substance'!$F$5)^2)</f>
        <v>8.2879430499973825</v>
      </c>
    </row>
    <row r="1128" spans="1:7" x14ac:dyDescent="0.25">
      <c r="A1128" s="2" t="s">
        <v>2279</v>
      </c>
      <c r="B1128" s="2" t="s">
        <v>2278</v>
      </c>
      <c r="C1128" s="2">
        <v>20</v>
      </c>
      <c r="D1128" s="2">
        <v>4.5</v>
      </c>
      <c r="E1128" s="2">
        <v>10.3</v>
      </c>
      <c r="F1128" s="2" t="str">
        <f>IFERROR(VLOOKUP(B1128,Tabla2[],5,FALSE),"")</f>
        <v/>
      </c>
      <c r="G1128" s="2">
        <f>SQRT(4*(Tabla1[[#This Row],[dD]]-'Find a similar substance'!$D$5)^2+('Find a similar substance'!$E$5-Tabla1[[#This Row],[dP]])^2+(Tabla1[[#This Row],[dH]]-'Find a similar substance'!$F$5)^2)</f>
        <v>9.5900990610107861</v>
      </c>
    </row>
    <row r="1129" spans="1:7" x14ac:dyDescent="0.25">
      <c r="A1129" s="2" t="s">
        <v>2281</v>
      </c>
      <c r="B1129" s="2" t="s">
        <v>2280</v>
      </c>
      <c r="C1129" s="2">
        <v>20</v>
      </c>
      <c r="D1129" s="2">
        <v>19.399999999999999</v>
      </c>
      <c r="E1129" s="2">
        <v>14.8</v>
      </c>
      <c r="F1129" s="2" t="str">
        <f>IFERROR(VLOOKUP(B1129,Tabla2[],5,FALSE),"")</f>
        <v/>
      </c>
      <c r="G1129" s="2">
        <f>SQRT(4*(Tabla1[[#This Row],[dD]]-'Find a similar substance'!$D$5)^2+('Find a similar substance'!$E$5-Tabla1[[#This Row],[dP]])^2+(Tabla1[[#This Row],[dH]]-'Find a similar substance'!$F$5)^2)</f>
        <v>16.02404443328837</v>
      </c>
    </row>
    <row r="1130" spans="1:7" x14ac:dyDescent="0.25">
      <c r="A1130" s="2" t="s">
        <v>2281</v>
      </c>
      <c r="B1130" s="2" t="s">
        <v>2282</v>
      </c>
      <c r="C1130" s="2">
        <v>18</v>
      </c>
      <c r="D1130" s="2">
        <v>15</v>
      </c>
      <c r="E1130" s="2">
        <v>12</v>
      </c>
      <c r="F1130" s="2" t="str">
        <f>IFERROR(VLOOKUP(B1130,Tabla2[],5,FALSE),"")</f>
        <v/>
      </c>
      <c r="G1130" s="2">
        <f>SQRT(4*(Tabla1[[#This Row],[dD]]-'Find a similar substance'!$D$5)^2+('Find a similar substance'!$E$5-Tabla1[[#This Row],[dP]])^2+(Tabla1[[#This Row],[dH]]-'Find a similar substance'!$F$5)^2)</f>
        <v>9.8249681933327402</v>
      </c>
    </row>
    <row r="1131" spans="1:7" x14ac:dyDescent="0.25">
      <c r="A1131" s="2" t="s">
        <v>2284</v>
      </c>
      <c r="B1131" s="2" t="s">
        <v>2283</v>
      </c>
      <c r="C1131" s="2">
        <v>19</v>
      </c>
      <c r="D1131" s="2">
        <v>20.5</v>
      </c>
      <c r="E1131" s="2">
        <v>13</v>
      </c>
      <c r="F1131" s="2" t="str">
        <f>IFERROR(VLOOKUP(B1131,Tabla2[],5,FALSE),"")</f>
        <v/>
      </c>
      <c r="G1131" s="2">
        <f>SQRT(4*(Tabla1[[#This Row],[dD]]-'Find a similar substance'!$D$5)^2+('Find a similar substance'!$E$5-Tabla1[[#This Row],[dP]])^2+(Tabla1[[#This Row],[dH]]-'Find a similar substance'!$F$5)^2)</f>
        <v>15.042606157179014</v>
      </c>
    </row>
    <row r="1132" spans="1:7" x14ac:dyDescent="0.25">
      <c r="A1132" s="2" t="s">
        <v>2286</v>
      </c>
      <c r="B1132" s="2" t="s">
        <v>2285</v>
      </c>
      <c r="C1132" s="2">
        <v>19</v>
      </c>
      <c r="D1132" s="2">
        <v>4.5</v>
      </c>
      <c r="E1132" s="2">
        <v>10.8</v>
      </c>
      <c r="F1132" s="2" t="str">
        <f>IFERROR(VLOOKUP(B1132,Tabla2[],5,FALSE),"")</f>
        <v/>
      </c>
      <c r="G1132" s="2">
        <f>SQRT(4*(Tabla1[[#This Row],[dD]]-'Find a similar substance'!$D$5)^2+('Find a similar substance'!$E$5-Tabla1[[#This Row],[dP]])^2+(Tabla1[[#This Row],[dH]]-'Find a similar substance'!$F$5)^2)</f>
        <v>8.6209048249009204</v>
      </c>
    </row>
    <row r="1133" spans="1:7" x14ac:dyDescent="0.25">
      <c r="A1133" s="2" t="s">
        <v>2288</v>
      </c>
      <c r="B1133" s="2" t="s">
        <v>2287</v>
      </c>
      <c r="C1133" s="2">
        <v>16.2</v>
      </c>
      <c r="D1133" s="2">
        <v>12.9</v>
      </c>
      <c r="E1133" s="2">
        <v>6.8</v>
      </c>
      <c r="F1133" s="2" t="str">
        <f>IFERROR(VLOOKUP(B1133,Tabla2[],5,FALSE),"")</f>
        <v/>
      </c>
      <c r="G1133" s="2">
        <f>SQRT(4*(Tabla1[[#This Row],[dD]]-'Find a similar substance'!$D$5)^2+('Find a similar substance'!$E$5-Tabla1[[#This Row],[dP]])^2+(Tabla1[[#This Row],[dH]]-'Find a similar substance'!$F$5)^2)</f>
        <v>4.6389654018972823</v>
      </c>
    </row>
    <row r="1134" spans="1:7" x14ac:dyDescent="0.25">
      <c r="A1134" s="2" t="s">
        <v>2289</v>
      </c>
      <c r="B1134" s="2" t="s">
        <v>85</v>
      </c>
      <c r="C1134" s="2">
        <v>18</v>
      </c>
      <c r="D1134" s="2">
        <v>1.4</v>
      </c>
      <c r="E1134" s="2">
        <v>2</v>
      </c>
      <c r="F1134" s="2">
        <f>IFERROR(VLOOKUP(B1134,Tabla2[],5,FALSE),"")</f>
        <v>106.6</v>
      </c>
      <c r="G1134" s="2">
        <f>SQRT(4*(Tabla1[[#This Row],[dD]]-'Find a similar substance'!$D$5)^2+('Find a similar substance'!$E$5-Tabla1[[#This Row],[dP]])^2+(Tabla1[[#This Row],[dH]]-'Find a similar substance'!$F$5)^2)</f>
        <v>8.3743656476177328</v>
      </c>
    </row>
    <row r="1135" spans="1:7" x14ac:dyDescent="0.25">
      <c r="A1135" s="2" t="s">
        <v>2291</v>
      </c>
      <c r="B1135" s="2" t="s">
        <v>2290</v>
      </c>
      <c r="C1135" s="2">
        <v>19.3</v>
      </c>
      <c r="D1135" s="2">
        <v>7.9</v>
      </c>
      <c r="E1135" s="2">
        <v>6.1</v>
      </c>
      <c r="F1135" s="2" t="str">
        <f>IFERROR(VLOOKUP(B1135,Tabla2[],5,FALSE),"")</f>
        <v/>
      </c>
      <c r="G1135" s="2">
        <f>SQRT(4*(Tabla1[[#This Row],[dD]]-'Find a similar substance'!$D$5)^2+('Find a similar substance'!$E$5-Tabla1[[#This Row],[dP]])^2+(Tabla1[[#This Row],[dH]]-'Find a similar substance'!$F$5)^2)</f>
        <v>5.5686623169303404</v>
      </c>
    </row>
    <row r="1136" spans="1:7" x14ac:dyDescent="0.25">
      <c r="A1136" s="2" t="s">
        <v>2293</v>
      </c>
      <c r="B1136" s="2" t="s">
        <v>2292</v>
      </c>
      <c r="C1136" s="2">
        <v>19.399999999999999</v>
      </c>
      <c r="D1136" s="2">
        <v>12.4</v>
      </c>
      <c r="E1136" s="2">
        <v>6.2</v>
      </c>
      <c r="F1136" s="2" t="str">
        <f>IFERROR(VLOOKUP(B1136,Tabla2[],5,FALSE),"")</f>
        <v/>
      </c>
      <c r="G1136" s="2">
        <f>SQRT(4*(Tabla1[[#This Row],[dD]]-'Find a similar substance'!$D$5)^2+('Find a similar substance'!$E$5-Tabla1[[#This Row],[dP]])^2+(Tabla1[[#This Row],[dH]]-'Find a similar substance'!$F$5)^2)</f>
        <v>6.8183575734923094</v>
      </c>
    </row>
    <row r="1137" spans="1:7" x14ac:dyDescent="0.25">
      <c r="A1137" s="2" t="s">
        <v>2295</v>
      </c>
      <c r="B1137" s="2" t="s">
        <v>2294</v>
      </c>
      <c r="C1137" s="2">
        <v>16.399999999999999</v>
      </c>
      <c r="D1137" s="2">
        <v>18.8</v>
      </c>
      <c r="E1137" s="2">
        <v>5.5</v>
      </c>
      <c r="F1137" s="2" t="str">
        <f>IFERROR(VLOOKUP(B1137,Tabla2[],5,FALSE),"")</f>
        <v/>
      </c>
      <c r="G1137" s="2">
        <f>SQRT(4*(Tabla1[[#This Row],[dD]]-'Find a similar substance'!$D$5)^2+('Find a similar substance'!$E$5-Tabla1[[#This Row],[dP]])^2+(Tabla1[[#This Row],[dH]]-'Find a similar substance'!$F$5)^2)</f>
        <v>10.120276676059802</v>
      </c>
    </row>
    <row r="1138" spans="1:7" x14ac:dyDescent="0.25">
      <c r="A1138" s="2" t="s">
        <v>2297</v>
      </c>
      <c r="B1138" s="2" t="s">
        <v>2296</v>
      </c>
      <c r="C1138" s="2">
        <v>18</v>
      </c>
      <c r="D1138" s="2">
        <v>0</v>
      </c>
      <c r="E1138" s="2">
        <v>0</v>
      </c>
      <c r="F1138" s="2" t="str">
        <f>IFERROR(VLOOKUP(B1138,Tabla2[],5,FALSE),"")</f>
        <v/>
      </c>
      <c r="G1138" s="2">
        <f>SQRT(4*(Tabla1[[#This Row],[dD]]-'Find a similar substance'!$D$5)^2+('Find a similar substance'!$E$5-Tabla1[[#This Row],[dP]])^2+(Tabla1[[#This Row],[dH]]-'Find a similar substance'!$F$5)^2)</f>
        <v>10.417773274553443</v>
      </c>
    </row>
    <row r="1139" spans="1:7" x14ac:dyDescent="0.25">
      <c r="A1139" s="2" t="s">
        <v>2299</v>
      </c>
      <c r="B1139" s="2" t="s">
        <v>2298</v>
      </c>
      <c r="C1139" s="2">
        <v>16.7</v>
      </c>
      <c r="D1139" s="2">
        <v>2.5</v>
      </c>
      <c r="E1139" s="2">
        <v>7.4</v>
      </c>
      <c r="F1139" s="2" t="str">
        <f>IFERROR(VLOOKUP(B1139,Tabla2[],5,FALSE),"")</f>
        <v/>
      </c>
      <c r="G1139" s="2">
        <f>SQRT(4*(Tabla1[[#This Row],[dD]]-'Find a similar substance'!$D$5)^2+('Find a similar substance'!$E$5-Tabla1[[#This Row],[dP]])^2+(Tabla1[[#This Row],[dH]]-'Find a similar substance'!$F$5)^2)</f>
        <v>6.6513156593263556</v>
      </c>
    </row>
    <row r="1140" spans="1:7" x14ac:dyDescent="0.25">
      <c r="A1140" s="2" t="s">
        <v>2301</v>
      </c>
      <c r="B1140" s="2" t="s">
        <v>2300</v>
      </c>
      <c r="C1140" s="2">
        <v>16.7</v>
      </c>
      <c r="D1140" s="2">
        <v>1.8</v>
      </c>
      <c r="E1140" s="2">
        <v>4.5999999999999996</v>
      </c>
      <c r="F1140" s="2" t="str">
        <f>IFERROR(VLOOKUP(B1140,Tabla2[],5,FALSE),"")</f>
        <v/>
      </c>
      <c r="G1140" s="2">
        <f>SQRT(4*(Tabla1[[#This Row],[dD]]-'Find a similar substance'!$D$5)^2+('Find a similar substance'!$E$5-Tabla1[[#This Row],[dP]])^2+(Tabla1[[#This Row],[dH]]-'Find a similar substance'!$F$5)^2)</f>
        <v>6.9144775652250106</v>
      </c>
    </row>
    <row r="1141" spans="1:7" x14ac:dyDescent="0.25">
      <c r="A1141" s="2" t="s">
        <v>2303</v>
      </c>
      <c r="B1141" s="2" t="s">
        <v>2302</v>
      </c>
      <c r="C1141" s="2">
        <v>16.600000000000001</v>
      </c>
      <c r="D1141" s="2">
        <v>3.8</v>
      </c>
      <c r="E1141" s="2">
        <v>10.1</v>
      </c>
      <c r="F1141" s="2" t="str">
        <f>IFERROR(VLOOKUP(B1141,Tabla2[],5,FALSE),"")</f>
        <v/>
      </c>
      <c r="G1141" s="2">
        <f>SQRT(4*(Tabla1[[#This Row],[dD]]-'Find a similar substance'!$D$5)^2+('Find a similar substance'!$E$5-Tabla1[[#This Row],[dP]])^2+(Tabla1[[#This Row],[dH]]-'Find a similar substance'!$F$5)^2)</f>
        <v>7.0724818840347687</v>
      </c>
    </row>
    <row r="1142" spans="1:7" x14ac:dyDescent="0.25">
      <c r="A1142" s="2" t="s">
        <v>2305</v>
      </c>
      <c r="B1142" s="2" t="s">
        <v>2304</v>
      </c>
      <c r="C1142" s="2">
        <v>16.3</v>
      </c>
      <c r="D1142" s="2">
        <v>6.3</v>
      </c>
      <c r="E1142" s="2">
        <v>4.3</v>
      </c>
      <c r="F1142" s="2" t="str">
        <f>IFERROR(VLOOKUP(B1142,Tabla2[],5,FALSE),"")</f>
        <v/>
      </c>
      <c r="G1142" s="2">
        <f>SQRT(4*(Tabla1[[#This Row],[dD]]-'Find a similar substance'!$D$5)^2+('Find a similar substance'!$E$5-Tabla1[[#This Row],[dP]])^2+(Tabla1[[#This Row],[dH]]-'Find a similar substance'!$F$5)^2)</f>
        <v>2.5709920264364881</v>
      </c>
    </row>
    <row r="1143" spans="1:7" x14ac:dyDescent="0.25">
      <c r="A1143" s="2" t="s">
        <v>2307</v>
      </c>
      <c r="B1143" s="2" t="s">
        <v>2306</v>
      </c>
      <c r="C1143" s="2">
        <v>18.3</v>
      </c>
      <c r="D1143" s="2">
        <v>7</v>
      </c>
      <c r="E1143" s="2">
        <v>13</v>
      </c>
      <c r="F1143" s="2" t="str">
        <f>IFERROR(VLOOKUP(B1143,Tabla2[],5,FALSE),"")</f>
        <v/>
      </c>
      <c r="G1143" s="2">
        <f>SQRT(4*(Tabla1[[#This Row],[dD]]-'Find a similar substance'!$D$5)^2+('Find a similar substance'!$E$5-Tabla1[[#This Row],[dP]])^2+(Tabla1[[#This Row],[dH]]-'Find a similar substance'!$F$5)^2)</f>
        <v>8.8572004606421775</v>
      </c>
    </row>
    <row r="1144" spans="1:7" x14ac:dyDescent="0.25">
      <c r="A1144" s="2" t="s">
        <v>2309</v>
      </c>
      <c r="B1144" s="2" t="s">
        <v>2308</v>
      </c>
      <c r="C1144" s="2">
        <v>16.399999999999999</v>
      </c>
      <c r="D1144" s="2">
        <v>7.4</v>
      </c>
      <c r="E1144" s="2">
        <v>6.1</v>
      </c>
      <c r="F1144" s="2" t="str">
        <f>IFERROR(VLOOKUP(B1144,Tabla2[],5,FALSE),"")</f>
        <v/>
      </c>
      <c r="G1144" s="2">
        <f>SQRT(4*(Tabla1[[#This Row],[dD]]-'Find a similar substance'!$D$5)^2+('Find a similar substance'!$E$5-Tabla1[[#This Row],[dP]])^2+(Tabla1[[#This Row],[dH]]-'Find a similar substance'!$F$5)^2)</f>
        <v>1.7492855684535906</v>
      </c>
    </row>
    <row r="1145" spans="1:7" x14ac:dyDescent="0.25">
      <c r="A1145" s="2" t="s">
        <v>2311</v>
      </c>
      <c r="B1145" s="2" t="s">
        <v>2310</v>
      </c>
      <c r="C1145" s="2">
        <v>19.2</v>
      </c>
      <c r="D1145" s="2">
        <v>5.3</v>
      </c>
      <c r="E1145" s="2">
        <v>4.0999999999999996</v>
      </c>
      <c r="F1145" s="2" t="str">
        <f>IFERROR(VLOOKUP(B1145,Tabla2[],5,FALSE),"")</f>
        <v/>
      </c>
      <c r="G1145" s="2">
        <f>SQRT(4*(Tabla1[[#This Row],[dD]]-'Find a similar substance'!$D$5)^2+('Find a similar substance'!$E$5-Tabla1[[#This Row],[dP]])^2+(Tabla1[[#This Row],[dH]]-'Find a similar substance'!$F$5)^2)</f>
        <v>6.2777384462877999</v>
      </c>
    </row>
    <row r="1146" spans="1:7" x14ac:dyDescent="0.25">
      <c r="A1146" s="2" t="s">
        <v>2313</v>
      </c>
      <c r="B1146" s="2" t="s">
        <v>2312</v>
      </c>
      <c r="C1146" s="2">
        <v>18</v>
      </c>
      <c r="D1146" s="2">
        <v>3.1</v>
      </c>
      <c r="E1146" s="2">
        <v>5.3</v>
      </c>
      <c r="F1146" s="2" t="str">
        <f>IFERROR(VLOOKUP(B1146,Tabla2[],5,FALSE),"")</f>
        <v/>
      </c>
      <c r="G1146" s="2">
        <f>SQRT(4*(Tabla1[[#This Row],[dD]]-'Find a similar substance'!$D$5)^2+('Find a similar substance'!$E$5-Tabla1[[#This Row],[dP]])^2+(Tabla1[[#This Row],[dH]]-'Find a similar substance'!$F$5)^2)</f>
        <v>6.2681735776859266</v>
      </c>
    </row>
    <row r="1147" spans="1:7" x14ac:dyDescent="0.25">
      <c r="A1147" s="2" t="s">
        <v>2315</v>
      </c>
      <c r="B1147" s="2" t="s">
        <v>2314</v>
      </c>
      <c r="C1147" s="2">
        <v>15.3</v>
      </c>
      <c r="D1147" s="2">
        <v>2</v>
      </c>
      <c r="E1147" s="2">
        <v>0</v>
      </c>
      <c r="F1147" s="2" t="str">
        <f>IFERROR(VLOOKUP(B1147,Tabla2[],5,FALSE),"")</f>
        <v/>
      </c>
      <c r="G1147" s="2">
        <f>SQRT(4*(Tabla1[[#This Row],[dD]]-'Find a similar substance'!$D$5)^2+('Find a similar substance'!$E$5-Tabla1[[#This Row],[dP]])^2+(Tabla1[[#This Row],[dH]]-'Find a similar substance'!$F$5)^2)</f>
        <v>8.7549985722443164</v>
      </c>
    </row>
    <row r="1148" spans="1:7" x14ac:dyDescent="0.25">
      <c r="A1148" s="2" t="s">
        <v>2317</v>
      </c>
      <c r="B1148" s="2" t="s">
        <v>2316</v>
      </c>
      <c r="C1148" s="2">
        <v>16.5</v>
      </c>
      <c r="D1148" s="2">
        <v>6.6</v>
      </c>
      <c r="E1148" s="2">
        <v>3.5</v>
      </c>
      <c r="F1148" s="2" t="str">
        <f>IFERROR(VLOOKUP(B1148,Tabla2[],5,FALSE),"")</f>
        <v/>
      </c>
      <c r="G1148" s="2">
        <f>SQRT(4*(Tabla1[[#This Row],[dD]]-'Find a similar substance'!$D$5)^2+('Find a similar substance'!$E$5-Tabla1[[#This Row],[dP]])^2+(Tabla1[[#This Row],[dH]]-'Find a similar substance'!$F$5)^2)</f>
        <v>2.5884358211089569</v>
      </c>
    </row>
    <row r="1149" spans="1:7" x14ac:dyDescent="0.25">
      <c r="A1149" s="2" t="s">
        <v>2319</v>
      </c>
      <c r="B1149" s="2" t="s">
        <v>2318</v>
      </c>
      <c r="C1149" s="2">
        <v>14.2</v>
      </c>
      <c r="D1149" s="2">
        <v>3.6</v>
      </c>
      <c r="E1149" s="2">
        <v>3.8</v>
      </c>
      <c r="F1149" s="2" t="str">
        <f>IFERROR(VLOOKUP(B1149,Tabla2[],5,FALSE),"")</f>
        <v/>
      </c>
      <c r="G1149" s="2">
        <f>SQRT(4*(Tabla1[[#This Row],[dD]]-'Find a similar substance'!$D$5)^2+('Find a similar substance'!$E$5-Tabla1[[#This Row],[dP]])^2+(Tabla1[[#This Row],[dH]]-'Find a similar substance'!$F$5)^2)</f>
        <v>7.1056315693962091</v>
      </c>
    </row>
    <row r="1150" spans="1:7" x14ac:dyDescent="0.25">
      <c r="A1150" s="2" t="s">
        <v>2321</v>
      </c>
      <c r="B1150" s="2" t="s">
        <v>2320</v>
      </c>
      <c r="C1150" s="2">
        <v>20</v>
      </c>
      <c r="D1150" s="2">
        <v>7.7</v>
      </c>
      <c r="E1150" s="2">
        <v>10</v>
      </c>
      <c r="F1150" s="2" t="str">
        <f>IFERROR(VLOOKUP(B1150,Tabla2[],5,FALSE),"")</f>
        <v/>
      </c>
      <c r="G1150" s="2">
        <f>SQRT(4*(Tabla1[[#This Row],[dD]]-'Find a similar substance'!$D$5)^2+('Find a similar substance'!$E$5-Tabla1[[#This Row],[dP]])^2+(Tabla1[[#This Row],[dH]]-'Find a similar substance'!$F$5)^2)</f>
        <v>8.4994117443503079</v>
      </c>
    </row>
    <row r="1151" spans="1:7" x14ac:dyDescent="0.25">
      <c r="A1151" s="2" t="s">
        <v>2323</v>
      </c>
      <c r="B1151" s="2" t="s">
        <v>2322</v>
      </c>
      <c r="C1151" s="2">
        <v>19</v>
      </c>
      <c r="D1151" s="2">
        <v>12.3</v>
      </c>
      <c r="E1151" s="2">
        <v>4.5</v>
      </c>
      <c r="F1151" s="2" t="str">
        <f>IFERROR(VLOOKUP(B1151,Tabla2[],5,FALSE),"")</f>
        <v/>
      </c>
      <c r="G1151" s="2">
        <f>SQRT(4*(Tabla1[[#This Row],[dD]]-'Find a similar substance'!$D$5)^2+('Find a similar substance'!$E$5-Tabla1[[#This Row],[dP]])^2+(Tabla1[[#This Row],[dH]]-'Find a similar substance'!$F$5)^2)</f>
        <v>6.020797289396147</v>
      </c>
    </row>
    <row r="1152" spans="1:7" x14ac:dyDescent="0.25">
      <c r="A1152" s="2" t="s">
        <v>2325</v>
      </c>
      <c r="B1152" s="2" t="s">
        <v>2324</v>
      </c>
      <c r="C1152" s="2">
        <v>16.899999999999999</v>
      </c>
      <c r="D1152" s="2">
        <v>0</v>
      </c>
      <c r="E1152" s="2">
        <v>0</v>
      </c>
      <c r="F1152" s="2" t="str">
        <f>IFERROR(VLOOKUP(B1152,Tabla2[],5,FALSE),"")</f>
        <v/>
      </c>
      <c r="G1152" s="2">
        <f>SQRT(4*(Tabla1[[#This Row],[dD]]-'Find a similar substance'!$D$5)^2+('Find a similar substance'!$E$5-Tabla1[[#This Row],[dP]])^2+(Tabla1[[#This Row],[dH]]-'Find a similar substance'!$F$5)^2)</f>
        <v>10.052362906302179</v>
      </c>
    </row>
    <row r="1153" spans="1:7" x14ac:dyDescent="0.25">
      <c r="A1153" s="2" t="s">
        <v>2327</v>
      </c>
      <c r="B1153" s="2" t="s">
        <v>2326</v>
      </c>
      <c r="C1153" s="2">
        <v>16.2</v>
      </c>
      <c r="D1153" s="2">
        <v>3.1</v>
      </c>
      <c r="E1153" s="2">
        <v>9</v>
      </c>
      <c r="F1153" s="2" t="str">
        <f>IFERROR(VLOOKUP(B1153,Tabla2[],5,FALSE),"")</f>
        <v/>
      </c>
      <c r="G1153" s="2">
        <f>SQRT(4*(Tabla1[[#This Row],[dD]]-'Find a similar substance'!$D$5)^2+('Find a similar substance'!$E$5-Tabla1[[#This Row],[dP]])^2+(Tabla1[[#This Row],[dH]]-'Find a similar substance'!$F$5)^2)</f>
        <v>6.9282032302755088</v>
      </c>
    </row>
    <row r="1154" spans="1:7" x14ac:dyDescent="0.25">
      <c r="A1154" s="2" t="s">
        <v>2329</v>
      </c>
      <c r="B1154" s="2" t="s">
        <v>2328</v>
      </c>
      <c r="C1154" s="2">
        <v>17.3</v>
      </c>
      <c r="D1154" s="2">
        <v>7.6</v>
      </c>
      <c r="E1154" s="2">
        <v>21</v>
      </c>
      <c r="F1154" s="2" t="str">
        <f>IFERROR(VLOOKUP(B1154,Tabla2[],5,FALSE),"")</f>
        <v/>
      </c>
      <c r="G1154" s="2">
        <f>SQRT(4*(Tabla1[[#This Row],[dD]]-'Find a similar substance'!$D$5)^2+('Find a similar substance'!$E$5-Tabla1[[#This Row],[dP]])^2+(Tabla1[[#This Row],[dH]]-'Find a similar substance'!$F$5)^2)</f>
        <v>16.098757716047533</v>
      </c>
    </row>
    <row r="1155" spans="1:7" x14ac:dyDescent="0.25">
      <c r="A1155" s="2" t="s">
        <v>2331</v>
      </c>
      <c r="B1155" s="2" t="s">
        <v>2330</v>
      </c>
      <c r="C1155" s="2">
        <v>16.5</v>
      </c>
      <c r="D1155" s="2">
        <v>4.9000000000000004</v>
      </c>
      <c r="E1155" s="2">
        <v>12</v>
      </c>
      <c r="F1155" s="2" t="str">
        <f>IFERROR(VLOOKUP(B1155,Tabla2[],5,FALSE),"")</f>
        <v/>
      </c>
      <c r="G1155" s="2">
        <f>SQRT(4*(Tabla1[[#This Row],[dD]]-'Find a similar substance'!$D$5)^2+('Find a similar substance'!$E$5-Tabla1[[#This Row],[dP]])^2+(Tabla1[[#This Row],[dH]]-'Find a similar substance'!$F$5)^2)</f>
        <v>7.9674337148168348</v>
      </c>
    </row>
    <row r="1156" spans="1:7" x14ac:dyDescent="0.25">
      <c r="A1156" s="2" t="s">
        <v>2333</v>
      </c>
      <c r="B1156" s="2" t="s">
        <v>2332</v>
      </c>
      <c r="C1156" s="2">
        <v>15.5</v>
      </c>
      <c r="D1156" s="2">
        <v>0.4</v>
      </c>
      <c r="E1156" s="2">
        <v>1</v>
      </c>
      <c r="F1156" s="2" t="str">
        <f>IFERROR(VLOOKUP(B1156,Tabla2[],5,FALSE),"")</f>
        <v/>
      </c>
      <c r="G1156" s="2">
        <f>SQRT(4*(Tabla1[[#This Row],[dD]]-'Find a similar substance'!$D$5)^2+('Find a similar substance'!$E$5-Tabla1[[#This Row],[dP]])^2+(Tabla1[[#This Row],[dH]]-'Find a similar substance'!$F$5)^2)</f>
        <v>9.4725920423081664</v>
      </c>
    </row>
    <row r="1157" spans="1:7" x14ac:dyDescent="0.25">
      <c r="A1157" s="2" t="s">
        <v>2335</v>
      </c>
      <c r="B1157" s="2" t="s">
        <v>2334</v>
      </c>
      <c r="C1157" s="2">
        <v>16</v>
      </c>
      <c r="D1157" s="2">
        <v>12.5</v>
      </c>
      <c r="E1157" s="2">
        <v>18.600000000000001</v>
      </c>
      <c r="F1157" s="2" t="str">
        <f>IFERROR(VLOOKUP(B1157,Tabla2[],5,FALSE),"")</f>
        <v/>
      </c>
      <c r="G1157" s="2">
        <f>SQRT(4*(Tabla1[[#This Row],[dD]]-'Find a similar substance'!$D$5)^2+('Find a similar substance'!$E$5-Tabla1[[#This Row],[dP]])^2+(Tabla1[[#This Row],[dH]]-'Find a similar substance'!$F$5)^2)</f>
        <v>14.171802990445501</v>
      </c>
    </row>
    <row r="1158" spans="1:7" x14ac:dyDescent="0.25">
      <c r="A1158" s="2" t="s">
        <v>2337</v>
      </c>
      <c r="B1158" s="2" t="s">
        <v>2336</v>
      </c>
      <c r="C1158" s="2">
        <v>16.2</v>
      </c>
      <c r="D1158" s="2">
        <v>7.6</v>
      </c>
      <c r="E1158" s="2">
        <v>12.5</v>
      </c>
      <c r="F1158" s="2" t="str">
        <f>IFERROR(VLOOKUP(B1158,Tabla2[],5,FALSE),"")</f>
        <v/>
      </c>
      <c r="G1158" s="2">
        <f>SQRT(4*(Tabla1[[#This Row],[dD]]-'Find a similar substance'!$D$5)^2+('Find a similar substance'!$E$5-Tabla1[[#This Row],[dP]])^2+(Tabla1[[#This Row],[dH]]-'Find a similar substance'!$F$5)^2)</f>
        <v>7.6223356000638027</v>
      </c>
    </row>
    <row r="1159" spans="1:7" x14ac:dyDescent="0.25">
      <c r="A1159" s="2" t="s">
        <v>2339</v>
      </c>
      <c r="B1159" s="2" t="s">
        <v>2338</v>
      </c>
      <c r="C1159" s="2">
        <v>16</v>
      </c>
      <c r="D1159" s="2">
        <v>3.1</v>
      </c>
      <c r="E1159" s="2">
        <v>8.4</v>
      </c>
      <c r="F1159" s="2" t="str">
        <f>IFERROR(VLOOKUP(B1159,Tabla2[],5,FALSE),"")</f>
        <v/>
      </c>
      <c r="G1159" s="2">
        <f>SQRT(4*(Tabla1[[#This Row],[dD]]-'Find a similar substance'!$D$5)^2+('Find a similar substance'!$E$5-Tabla1[[#This Row],[dP]])^2+(Tabla1[[#This Row],[dH]]-'Find a similar substance'!$F$5)^2)</f>
        <v>6.6603303221386856</v>
      </c>
    </row>
    <row r="1160" spans="1:7" x14ac:dyDescent="0.25">
      <c r="A1160" s="2" t="s">
        <v>2341</v>
      </c>
      <c r="B1160" s="2" t="s">
        <v>2340</v>
      </c>
      <c r="C1160" s="2">
        <v>16.7</v>
      </c>
      <c r="D1160" s="2">
        <v>11.4</v>
      </c>
      <c r="E1160" s="2">
        <v>9.1999999999999993</v>
      </c>
      <c r="F1160" s="2" t="str">
        <f>IFERROR(VLOOKUP(B1160,Tabla2[],5,FALSE),"")</f>
        <v/>
      </c>
      <c r="G1160" s="2">
        <f>SQRT(4*(Tabla1[[#This Row],[dD]]-'Find a similar substance'!$D$5)^2+('Find a similar substance'!$E$5-Tabla1[[#This Row],[dP]])^2+(Tabla1[[#This Row],[dH]]-'Find a similar substance'!$F$5)^2)</f>
        <v>4.996999099459595</v>
      </c>
    </row>
    <row r="1161" spans="1:7" x14ac:dyDescent="0.25">
      <c r="A1161" s="2" t="s">
        <v>2343</v>
      </c>
      <c r="B1161" s="2" t="s">
        <v>2342</v>
      </c>
      <c r="C1161" s="2">
        <v>15.6</v>
      </c>
      <c r="D1161" s="2">
        <v>9.6999999999999993</v>
      </c>
      <c r="E1161" s="2">
        <v>11.4</v>
      </c>
      <c r="F1161" s="2" t="str">
        <f>IFERROR(VLOOKUP(B1161,Tabla2[],5,FALSE),"")</f>
        <v/>
      </c>
      <c r="G1161" s="2">
        <f>SQRT(4*(Tabla1[[#This Row],[dD]]-'Find a similar substance'!$D$5)^2+('Find a similar substance'!$E$5-Tabla1[[#This Row],[dP]])^2+(Tabla1[[#This Row],[dH]]-'Find a similar substance'!$F$5)^2)</f>
        <v>6.7793805026713185</v>
      </c>
    </row>
    <row r="1162" spans="1:7" x14ac:dyDescent="0.25">
      <c r="A1162" s="2" t="s">
        <v>2345</v>
      </c>
      <c r="B1162" s="2" t="s">
        <v>2344</v>
      </c>
      <c r="C1162" s="2">
        <v>14.4</v>
      </c>
      <c r="D1162" s="2">
        <v>8.6999999999999993</v>
      </c>
      <c r="E1162" s="2">
        <v>6.3</v>
      </c>
      <c r="F1162" s="2" t="str">
        <f>IFERROR(VLOOKUP(B1162,Tabla2[],5,FALSE),"")</f>
        <v/>
      </c>
      <c r="G1162" s="2">
        <f>SQRT(4*(Tabla1[[#This Row],[dD]]-'Find a similar substance'!$D$5)^2+('Find a similar substance'!$E$5-Tabla1[[#This Row],[dP]])^2+(Tabla1[[#This Row],[dH]]-'Find a similar substance'!$F$5)^2)</f>
        <v>4.5880278987817871</v>
      </c>
    </row>
    <row r="1163" spans="1:7" x14ac:dyDescent="0.25">
      <c r="A1163" s="2" t="s">
        <v>2347</v>
      </c>
      <c r="B1163" s="2" t="s">
        <v>2346</v>
      </c>
      <c r="C1163" s="2">
        <v>16.600000000000001</v>
      </c>
      <c r="D1163" s="2">
        <v>5.7</v>
      </c>
      <c r="E1163" s="2">
        <v>2.2000000000000002</v>
      </c>
      <c r="F1163" s="2" t="str">
        <f>IFERROR(VLOOKUP(B1163,Tabla2[],5,FALSE),"")</f>
        <v/>
      </c>
      <c r="G1163" s="2">
        <f>SQRT(4*(Tabla1[[#This Row],[dD]]-'Find a similar substance'!$D$5)^2+('Find a similar substance'!$E$5-Tabla1[[#This Row],[dP]])^2+(Tabla1[[#This Row],[dH]]-'Find a similar substance'!$F$5)^2)</f>
        <v>4.1036569057366377</v>
      </c>
    </row>
    <row r="1164" spans="1:7" x14ac:dyDescent="0.25">
      <c r="A1164" s="2" t="s">
        <v>2349</v>
      </c>
      <c r="B1164" s="2" t="s">
        <v>2348</v>
      </c>
      <c r="C1164" s="2">
        <v>16.600000000000001</v>
      </c>
      <c r="D1164" s="2">
        <v>6</v>
      </c>
      <c r="E1164" s="2">
        <v>2.5</v>
      </c>
      <c r="F1164" s="2" t="str">
        <f>IFERROR(VLOOKUP(B1164,Tabla2[],5,FALSE),"")</f>
        <v/>
      </c>
      <c r="G1164" s="2">
        <f>SQRT(4*(Tabla1[[#This Row],[dD]]-'Find a similar substance'!$D$5)^2+('Find a similar substance'!$E$5-Tabla1[[#This Row],[dP]])^2+(Tabla1[[#This Row],[dH]]-'Find a similar substance'!$F$5)^2)</f>
        <v>3.6796738985948192</v>
      </c>
    </row>
    <row r="1165" spans="1:7" x14ac:dyDescent="0.25">
      <c r="A1165" s="2" t="s">
        <v>2351</v>
      </c>
      <c r="B1165" s="2" t="s">
        <v>2350</v>
      </c>
      <c r="C1165" s="2">
        <v>14.6</v>
      </c>
      <c r="D1165" s="2">
        <v>3.4</v>
      </c>
      <c r="E1165" s="2">
        <v>1.8</v>
      </c>
      <c r="F1165" s="2" t="str">
        <f>IFERROR(VLOOKUP(B1165,Tabla2[],5,FALSE),"")</f>
        <v/>
      </c>
      <c r="G1165" s="2">
        <f>SQRT(4*(Tabla1[[#This Row],[dD]]-'Find a similar substance'!$D$5)^2+('Find a similar substance'!$E$5-Tabla1[[#This Row],[dP]])^2+(Tabla1[[#This Row],[dH]]-'Find a similar substance'!$F$5)^2)</f>
        <v>7.370888684548154</v>
      </c>
    </row>
    <row r="1166" spans="1:7" x14ac:dyDescent="0.25">
      <c r="A1166" s="2" t="s">
        <v>2353</v>
      </c>
      <c r="B1166" s="2" t="s">
        <v>2352</v>
      </c>
      <c r="C1166" s="2">
        <v>18</v>
      </c>
      <c r="D1166" s="2">
        <v>1</v>
      </c>
      <c r="E1166" s="2">
        <v>1</v>
      </c>
      <c r="F1166" s="2" t="str">
        <f>IFERROR(VLOOKUP(B1166,Tabla2[],5,FALSE),"")</f>
        <v/>
      </c>
      <c r="G1166" s="2">
        <f>SQRT(4*(Tabla1[[#This Row],[dD]]-'Find a similar substance'!$D$5)^2+('Find a similar substance'!$E$5-Tabla1[[#This Row],[dP]])^2+(Tabla1[[#This Row],[dH]]-'Find a similar substance'!$F$5)^2)</f>
        <v>9.1175654645305393</v>
      </c>
    </row>
    <row r="1167" spans="1:7" x14ac:dyDescent="0.25">
      <c r="A1167" s="2" t="s">
        <v>2355</v>
      </c>
      <c r="B1167" s="2" t="s">
        <v>2354</v>
      </c>
      <c r="C1167" s="2">
        <v>18.8</v>
      </c>
      <c r="D1167" s="2">
        <v>7.8</v>
      </c>
      <c r="E1167" s="2">
        <v>9.4</v>
      </c>
      <c r="F1167" s="2" t="str">
        <f>IFERROR(VLOOKUP(B1167,Tabla2[],5,FALSE),"")</f>
        <v/>
      </c>
      <c r="G1167" s="2">
        <f>SQRT(4*(Tabla1[[#This Row],[dD]]-'Find a similar substance'!$D$5)^2+('Find a similar substance'!$E$5-Tabla1[[#This Row],[dP]])^2+(Tabla1[[#This Row],[dH]]-'Find a similar substance'!$F$5)^2)</f>
        <v>6.2872887638472585</v>
      </c>
    </row>
    <row r="1168" spans="1:7" x14ac:dyDescent="0.25">
      <c r="A1168" s="2" t="s">
        <v>2357</v>
      </c>
      <c r="B1168" s="2" t="s">
        <v>2356</v>
      </c>
      <c r="C1168" s="2">
        <v>15.7</v>
      </c>
      <c r="D1168" s="2">
        <v>10.5</v>
      </c>
      <c r="E1168" s="2">
        <v>10.199999999999999</v>
      </c>
      <c r="F1168" s="2" t="str">
        <f>IFERROR(VLOOKUP(B1168,Tabla2[],5,FALSE),"")</f>
        <v/>
      </c>
      <c r="G1168" s="2">
        <f>SQRT(4*(Tabla1[[#This Row],[dD]]-'Find a similar substance'!$D$5)^2+('Find a similar substance'!$E$5-Tabla1[[#This Row],[dP]])^2+(Tabla1[[#This Row],[dH]]-'Find a similar substance'!$F$5)^2)</f>
        <v>5.7896459304520524</v>
      </c>
    </row>
    <row r="1169" spans="1:7" x14ac:dyDescent="0.25">
      <c r="A1169" s="2" t="s">
        <v>2359</v>
      </c>
      <c r="B1169" s="2" t="s">
        <v>2358</v>
      </c>
      <c r="C1169" s="2">
        <v>15.5</v>
      </c>
      <c r="D1169" s="2">
        <v>10.3</v>
      </c>
      <c r="E1169" s="2">
        <v>7.3</v>
      </c>
      <c r="F1169" s="2" t="str">
        <f>IFERROR(VLOOKUP(B1169,Tabla2[],5,FALSE),"")</f>
        <v/>
      </c>
      <c r="G1169" s="2">
        <f>SQRT(4*(Tabla1[[#This Row],[dD]]-'Find a similar substance'!$D$5)^2+('Find a similar substance'!$E$5-Tabla1[[#This Row],[dP]])^2+(Tabla1[[#This Row],[dH]]-'Find a similar substance'!$F$5)^2)</f>
        <v>3.5623026261113773</v>
      </c>
    </row>
    <row r="1170" spans="1:7" x14ac:dyDescent="0.25">
      <c r="A1170" s="2" t="s">
        <v>2361</v>
      </c>
      <c r="B1170" s="2" t="s">
        <v>2360</v>
      </c>
      <c r="C1170" s="2">
        <v>19.5</v>
      </c>
      <c r="D1170" s="2">
        <v>3.5</v>
      </c>
      <c r="E1170" s="2">
        <v>4.4000000000000004</v>
      </c>
      <c r="F1170" s="2" t="str">
        <f>IFERROR(VLOOKUP(B1170,Tabla2[],5,FALSE),"")</f>
        <v/>
      </c>
      <c r="G1170" s="2">
        <f>SQRT(4*(Tabla1[[#This Row],[dD]]-'Find a similar substance'!$D$5)^2+('Find a similar substance'!$E$5-Tabla1[[#This Row],[dP]])^2+(Tabla1[[#This Row],[dH]]-'Find a similar substance'!$F$5)^2)</f>
        <v>7.8128099938498412</v>
      </c>
    </row>
    <row r="1171" spans="1:7" x14ac:dyDescent="0.25">
      <c r="A1171" s="2" t="s">
        <v>2361</v>
      </c>
      <c r="B1171" s="2" t="s">
        <v>2362</v>
      </c>
      <c r="C1171" s="2">
        <v>19.5</v>
      </c>
      <c r="D1171" s="2">
        <v>10</v>
      </c>
      <c r="E1171" s="2">
        <v>4.5</v>
      </c>
      <c r="F1171" s="2" t="str">
        <f>IFERROR(VLOOKUP(B1171,Tabla2[],5,FALSE),"")</f>
        <v/>
      </c>
      <c r="G1171" s="2">
        <f>SQRT(4*(Tabla1[[#This Row],[dD]]-'Find a similar substance'!$D$5)^2+('Find a similar substance'!$E$5-Tabla1[[#This Row],[dP]])^2+(Tabla1[[#This Row],[dH]]-'Find a similar substance'!$F$5)^2)</f>
        <v>5.9648973168026931</v>
      </c>
    </row>
    <row r="1172" spans="1:7" x14ac:dyDescent="0.25">
      <c r="A1172" s="2" t="s">
        <v>2364</v>
      </c>
      <c r="B1172" s="2" t="s">
        <v>2363</v>
      </c>
      <c r="C1172" s="2">
        <v>16.2</v>
      </c>
      <c r="D1172" s="2">
        <v>5.9</v>
      </c>
      <c r="E1172" s="2">
        <v>4.2</v>
      </c>
      <c r="F1172" s="2" t="str">
        <f>IFERROR(VLOOKUP(B1172,Tabla2[],5,FALSE),"")</f>
        <v/>
      </c>
      <c r="G1172" s="2">
        <f>SQRT(4*(Tabla1[[#This Row],[dD]]-'Find a similar substance'!$D$5)^2+('Find a similar substance'!$E$5-Tabla1[[#This Row],[dP]])^2+(Tabla1[[#This Row],[dH]]-'Find a similar substance'!$F$5)^2)</f>
        <v>3.0199337741083001</v>
      </c>
    </row>
    <row r="1173" spans="1:7" x14ac:dyDescent="0.25">
      <c r="A1173" s="2" t="s">
        <v>2366</v>
      </c>
      <c r="B1173" s="2" t="s">
        <v>2365</v>
      </c>
      <c r="C1173" s="2">
        <v>20.100000000000001</v>
      </c>
      <c r="D1173" s="2">
        <v>6.4</v>
      </c>
      <c r="E1173" s="2">
        <v>6.8</v>
      </c>
      <c r="F1173" s="2" t="str">
        <f>IFERROR(VLOOKUP(B1173,Tabla2[],5,FALSE),"")</f>
        <v/>
      </c>
      <c r="G1173" s="2">
        <f>SQRT(4*(Tabla1[[#This Row],[dD]]-'Find a similar substance'!$D$5)^2+('Find a similar substance'!$E$5-Tabla1[[#This Row],[dP]])^2+(Tabla1[[#This Row],[dH]]-'Find a similar substance'!$F$5)^2)</f>
        <v>7.5848533275205785</v>
      </c>
    </row>
    <row r="1174" spans="1:7" x14ac:dyDescent="0.25">
      <c r="A1174" s="2" t="s">
        <v>2368</v>
      </c>
      <c r="B1174" s="2" t="s">
        <v>2367</v>
      </c>
      <c r="C1174" s="2">
        <v>15.3</v>
      </c>
      <c r="D1174" s="2">
        <v>5.5</v>
      </c>
      <c r="E1174" s="2">
        <v>10.4</v>
      </c>
      <c r="F1174" s="2" t="str">
        <f>IFERROR(VLOOKUP(B1174,Tabla2[],5,FALSE),"")</f>
        <v/>
      </c>
      <c r="G1174" s="2">
        <f>SQRT(4*(Tabla1[[#This Row],[dD]]-'Find a similar substance'!$D$5)^2+('Find a similar substance'!$E$5-Tabla1[[#This Row],[dP]])^2+(Tabla1[[#This Row],[dH]]-'Find a similar substance'!$F$5)^2)</f>
        <v>6.7941151005852127</v>
      </c>
    </row>
    <row r="1175" spans="1:7" x14ac:dyDescent="0.25">
      <c r="A1175" s="2" t="s">
        <v>2370</v>
      </c>
      <c r="B1175" s="2" t="s">
        <v>2369</v>
      </c>
      <c r="C1175" s="2">
        <v>16</v>
      </c>
      <c r="D1175" s="2">
        <v>0</v>
      </c>
      <c r="E1175" s="2">
        <v>0</v>
      </c>
      <c r="F1175" s="2" t="str">
        <f>IFERROR(VLOOKUP(B1175,Tabla2[],5,FALSE),"")</f>
        <v/>
      </c>
      <c r="G1175" s="2">
        <f>SQRT(4*(Tabla1[[#This Row],[dD]]-'Find a similar substance'!$D$5)^2+('Find a similar substance'!$E$5-Tabla1[[#This Row],[dP]])^2+(Tabla1[[#This Row],[dH]]-'Find a similar substance'!$F$5)^2)</f>
        <v>10.105938848023968</v>
      </c>
    </row>
    <row r="1176" spans="1:7" x14ac:dyDescent="0.25">
      <c r="A1176" s="2" t="s">
        <v>2372</v>
      </c>
      <c r="B1176" s="2" t="s">
        <v>2371</v>
      </c>
      <c r="C1176" s="2">
        <v>20.9</v>
      </c>
      <c r="D1176" s="2">
        <v>18.7</v>
      </c>
      <c r="E1176" s="2">
        <v>26.4</v>
      </c>
      <c r="F1176" s="2" t="str">
        <f>IFERROR(VLOOKUP(B1176,Tabla2[],5,FALSE),"")</f>
        <v/>
      </c>
      <c r="G1176" s="2">
        <f>SQRT(4*(Tabla1[[#This Row],[dD]]-'Find a similar substance'!$D$5)^2+('Find a similar substance'!$E$5-Tabla1[[#This Row],[dP]])^2+(Tabla1[[#This Row],[dH]]-'Find a similar substance'!$F$5)^2)</f>
        <v>25.138019015029801</v>
      </c>
    </row>
    <row r="1177" spans="1:7" x14ac:dyDescent="0.25">
      <c r="A1177" s="2" t="s">
        <v>2372</v>
      </c>
      <c r="B1177" s="2" t="s">
        <v>2373</v>
      </c>
      <c r="C1177" s="2">
        <v>17.600000000000001</v>
      </c>
      <c r="D1177" s="2">
        <v>17.3</v>
      </c>
      <c r="E1177" s="2">
        <v>16</v>
      </c>
      <c r="F1177" s="2" t="str">
        <f>IFERROR(VLOOKUP(B1177,Tabla2[],5,FALSE),"")</f>
        <v/>
      </c>
      <c r="G1177" s="2">
        <f>SQRT(4*(Tabla1[[#This Row],[dD]]-'Find a similar substance'!$D$5)^2+('Find a similar substance'!$E$5-Tabla1[[#This Row],[dP]])^2+(Tabla1[[#This Row],[dH]]-'Find a similar substance'!$F$5)^2)</f>
        <v>14.105318146004366</v>
      </c>
    </row>
    <row r="1178" spans="1:7" x14ac:dyDescent="0.25">
      <c r="A1178" s="2" t="s">
        <v>2375</v>
      </c>
      <c r="B1178" s="2" t="s">
        <v>2374</v>
      </c>
      <c r="C1178" s="2">
        <v>15.3</v>
      </c>
      <c r="D1178" s="2">
        <v>11</v>
      </c>
      <c r="E1178" s="2">
        <v>4.8</v>
      </c>
      <c r="F1178" s="2" t="str">
        <f>IFERROR(VLOOKUP(B1178,Tabla2[],5,FALSE),"")</f>
        <v/>
      </c>
      <c r="G1178" s="2">
        <f>SQRT(4*(Tabla1[[#This Row],[dD]]-'Find a similar substance'!$D$5)^2+('Find a similar substance'!$E$5-Tabla1[[#This Row],[dP]])^2+(Tabla1[[#This Row],[dH]]-'Find a similar substance'!$F$5)^2)</f>
        <v>3.477067730142744</v>
      </c>
    </row>
    <row r="1179" spans="1:7" x14ac:dyDescent="0.25">
      <c r="A1179" s="2" t="s">
        <v>2377</v>
      </c>
      <c r="B1179" s="2" t="s">
        <v>2376</v>
      </c>
      <c r="C1179" s="2">
        <v>19.399999999999999</v>
      </c>
      <c r="D1179" s="2">
        <v>9.8000000000000007</v>
      </c>
      <c r="E1179" s="2">
        <v>11.2</v>
      </c>
      <c r="F1179" s="2" t="str">
        <f>IFERROR(VLOOKUP(B1179,Tabla2[],5,FALSE),"")</f>
        <v/>
      </c>
      <c r="G1179" s="2">
        <f>SQRT(4*(Tabla1[[#This Row],[dD]]-'Find a similar substance'!$D$5)^2+('Find a similar substance'!$E$5-Tabla1[[#This Row],[dP]])^2+(Tabla1[[#This Row],[dH]]-'Find a similar substance'!$F$5)^2)</f>
        <v>8.4267431431128799</v>
      </c>
    </row>
    <row r="1180" spans="1:7" x14ac:dyDescent="0.25">
      <c r="A1180" s="2" t="s">
        <v>2379</v>
      </c>
      <c r="B1180" s="2" t="s">
        <v>2378</v>
      </c>
      <c r="C1180" s="2">
        <v>16.3</v>
      </c>
      <c r="D1180" s="2">
        <v>6.7</v>
      </c>
      <c r="E1180" s="2">
        <v>5.8</v>
      </c>
      <c r="F1180" s="2" t="str">
        <f>IFERROR(VLOOKUP(B1180,Tabla2[],5,FALSE),"")</f>
        <v/>
      </c>
      <c r="G1180" s="2">
        <f>SQRT(4*(Tabla1[[#This Row],[dD]]-'Find a similar substance'!$D$5)^2+('Find a similar substance'!$E$5-Tabla1[[#This Row],[dP]])^2+(Tabla1[[#This Row],[dH]]-'Find a similar substance'!$F$5)^2)</f>
        <v>2.2360679774997894</v>
      </c>
    </row>
    <row r="1181" spans="1:7" x14ac:dyDescent="0.25">
      <c r="A1181" s="2" t="s">
        <v>2381</v>
      </c>
      <c r="B1181" s="2" t="s">
        <v>2380</v>
      </c>
      <c r="C1181" s="2">
        <v>15.6</v>
      </c>
      <c r="D1181" s="2">
        <v>3.4</v>
      </c>
      <c r="E1181" s="2">
        <v>4.2</v>
      </c>
      <c r="F1181" s="2" t="str">
        <f>IFERROR(VLOOKUP(B1181,Tabla2[],5,FALSE),"")</f>
        <v/>
      </c>
      <c r="G1181" s="2">
        <f>SQRT(4*(Tabla1[[#This Row],[dD]]-'Find a similar substance'!$D$5)^2+('Find a similar substance'!$E$5-Tabla1[[#This Row],[dP]])^2+(Tabla1[[#This Row],[dH]]-'Find a similar substance'!$F$5)^2)</f>
        <v>5.7210138961551218</v>
      </c>
    </row>
    <row r="1182" spans="1:7" x14ac:dyDescent="0.25">
      <c r="A1182" s="2" t="s">
        <v>2383</v>
      </c>
      <c r="B1182" s="2" t="s">
        <v>2382</v>
      </c>
      <c r="C1182" s="2">
        <v>15.9</v>
      </c>
      <c r="D1182" s="2">
        <v>6.7</v>
      </c>
      <c r="E1182" s="2">
        <v>6.8</v>
      </c>
      <c r="F1182" s="2" t="str">
        <f>IFERROR(VLOOKUP(B1182,Tabla2[],5,FALSE),"")</f>
        <v/>
      </c>
      <c r="G1182" s="2">
        <f>SQRT(4*(Tabla1[[#This Row],[dD]]-'Find a similar substance'!$D$5)^2+('Find a similar substance'!$E$5-Tabla1[[#This Row],[dP]])^2+(Tabla1[[#This Row],[dH]]-'Find a similar substance'!$F$5)^2)</f>
        <v>3.0331501776206209</v>
      </c>
    </row>
    <row r="1183" spans="1:7" x14ac:dyDescent="0.25">
      <c r="A1183" s="2" t="s">
        <v>2385</v>
      </c>
      <c r="B1183" s="2" t="s">
        <v>2384</v>
      </c>
      <c r="C1183" s="2">
        <v>16</v>
      </c>
      <c r="D1183" s="2">
        <v>7.2</v>
      </c>
      <c r="E1183" s="2">
        <v>5.9</v>
      </c>
      <c r="F1183" s="2" t="str">
        <f>IFERROR(VLOOKUP(B1183,Tabla2[],5,FALSE),"")</f>
        <v/>
      </c>
      <c r="G1183" s="2">
        <f>SQRT(4*(Tabla1[[#This Row],[dD]]-'Find a similar substance'!$D$5)^2+('Find a similar substance'!$E$5-Tabla1[[#This Row],[dP]])^2+(Tabla1[[#This Row],[dH]]-'Find a similar substance'!$F$5)^2)</f>
        <v>2.1213203435596437</v>
      </c>
    </row>
    <row r="1184" spans="1:7" x14ac:dyDescent="0.25">
      <c r="A1184" s="2" t="s">
        <v>2387</v>
      </c>
      <c r="B1184" s="2" t="s">
        <v>2386</v>
      </c>
      <c r="C1184" s="2">
        <v>16</v>
      </c>
      <c r="D1184" s="2">
        <v>1.7</v>
      </c>
      <c r="E1184" s="2">
        <v>8</v>
      </c>
      <c r="F1184" s="2" t="str">
        <f>IFERROR(VLOOKUP(B1184,Tabla2[],5,FALSE),"")</f>
        <v/>
      </c>
      <c r="G1184" s="2">
        <f>SQRT(4*(Tabla1[[#This Row],[dD]]-'Find a similar substance'!$D$5)^2+('Find a similar substance'!$E$5-Tabla1[[#This Row],[dP]])^2+(Tabla1[[#This Row],[dH]]-'Find a similar substance'!$F$5)^2)</f>
        <v>7.7097341069585523</v>
      </c>
    </row>
    <row r="1185" spans="1:7" x14ac:dyDescent="0.25">
      <c r="A1185" s="2" t="s">
        <v>2389</v>
      </c>
      <c r="B1185" s="2" t="s">
        <v>2388</v>
      </c>
      <c r="C1185" s="2">
        <v>14.9</v>
      </c>
      <c r="D1185" s="2">
        <v>6.5</v>
      </c>
      <c r="E1185" s="2">
        <v>5.3</v>
      </c>
      <c r="F1185" s="2" t="str">
        <f>IFERROR(VLOOKUP(B1185,Tabla2[],5,FALSE),"")</f>
        <v/>
      </c>
      <c r="G1185" s="2">
        <f>SQRT(4*(Tabla1[[#This Row],[dD]]-'Find a similar substance'!$D$5)^2+('Find a similar substance'!$E$5-Tabla1[[#This Row],[dP]])^2+(Tabla1[[#This Row],[dH]]-'Find a similar substance'!$F$5)^2)</f>
        <v>4.0607881008493925</v>
      </c>
    </row>
    <row r="1186" spans="1:7" x14ac:dyDescent="0.25">
      <c r="A1186" s="2" t="s">
        <v>2391</v>
      </c>
      <c r="B1186" s="2" t="s">
        <v>2390</v>
      </c>
      <c r="C1186" s="2">
        <v>15.7</v>
      </c>
      <c r="D1186" s="2">
        <v>7.2</v>
      </c>
      <c r="E1186" s="2">
        <v>11.8</v>
      </c>
      <c r="F1186" s="2" t="str">
        <f>IFERROR(VLOOKUP(B1186,Tabla2[],5,FALSE),"")</f>
        <v/>
      </c>
      <c r="G1186" s="2">
        <f>SQRT(4*(Tabla1[[#This Row],[dD]]-'Find a similar substance'!$D$5)^2+('Find a similar substance'!$E$5-Tabla1[[#This Row],[dP]])^2+(Tabla1[[#This Row],[dH]]-'Find a similar substance'!$F$5)^2)</f>
        <v>7.1923570545406061</v>
      </c>
    </row>
    <row r="1187" spans="1:7" x14ac:dyDescent="0.25">
      <c r="A1187" s="2" t="s">
        <v>633</v>
      </c>
      <c r="B1187" s="2" t="s">
        <v>2392</v>
      </c>
      <c r="C1187" s="2">
        <v>16</v>
      </c>
      <c r="D1187" s="2">
        <v>5</v>
      </c>
      <c r="E1187" s="2">
        <v>6</v>
      </c>
      <c r="F1187" s="2" t="str">
        <f>IFERROR(VLOOKUP(B1187,Tabla2[],5,FALSE),"")</f>
        <v/>
      </c>
      <c r="G1187" s="2">
        <f>SQRT(4*(Tabla1[[#This Row],[dD]]-'Find a similar substance'!$D$5)^2+('Find a similar substance'!$E$5-Tabla1[[#This Row],[dP]])^2+(Tabla1[[#This Row],[dH]]-'Find a similar substance'!$F$5)^2)</f>
        <v>4.0162171256046406</v>
      </c>
    </row>
    <row r="1188" spans="1:7" x14ac:dyDescent="0.25">
      <c r="A1188" s="2" t="s">
        <v>2394</v>
      </c>
      <c r="B1188" s="2" t="s">
        <v>2393</v>
      </c>
      <c r="C1188" s="2">
        <v>15.2</v>
      </c>
      <c r="D1188" s="2">
        <v>4.0999999999999996</v>
      </c>
      <c r="E1188" s="2">
        <v>5.0999999999999996</v>
      </c>
      <c r="F1188" s="2" t="str">
        <f>IFERROR(VLOOKUP(B1188,Tabla2[],5,FALSE),"")</f>
        <v/>
      </c>
      <c r="G1188" s="2">
        <f>SQRT(4*(Tabla1[[#This Row],[dD]]-'Find a similar substance'!$D$5)^2+('Find a similar substance'!$E$5-Tabla1[[#This Row],[dP]])^2+(Tabla1[[#This Row],[dH]]-'Find a similar substance'!$F$5)^2)</f>
        <v>5.3860932037980946</v>
      </c>
    </row>
    <row r="1189" spans="1:7" x14ac:dyDescent="0.25">
      <c r="A1189" s="2" t="s">
        <v>2396</v>
      </c>
      <c r="B1189" s="2" t="s">
        <v>2395</v>
      </c>
      <c r="C1189" s="2">
        <v>16</v>
      </c>
      <c r="D1189" s="2">
        <v>5</v>
      </c>
      <c r="E1189" s="2">
        <v>5.4</v>
      </c>
      <c r="F1189" s="2" t="str">
        <f>IFERROR(VLOOKUP(B1189,Tabla2[],5,FALSE),"")</f>
        <v/>
      </c>
      <c r="G1189" s="2">
        <f>SQRT(4*(Tabla1[[#This Row],[dD]]-'Find a similar substance'!$D$5)^2+('Find a similar substance'!$E$5-Tabla1[[#This Row],[dP]])^2+(Tabla1[[#This Row],[dH]]-'Find a similar substance'!$F$5)^2)</f>
        <v>3.9102429592034307</v>
      </c>
    </row>
    <row r="1190" spans="1:7" x14ac:dyDescent="0.25">
      <c r="A1190" s="2" t="s">
        <v>2398</v>
      </c>
      <c r="B1190" s="2" t="s">
        <v>2397</v>
      </c>
      <c r="C1190" s="2">
        <v>15.6</v>
      </c>
      <c r="D1190" s="2">
        <v>3.9</v>
      </c>
      <c r="E1190" s="2">
        <v>6.9</v>
      </c>
      <c r="F1190" s="2" t="str">
        <f>IFERROR(VLOOKUP(B1190,Tabla2[],5,FALSE),"")</f>
        <v/>
      </c>
      <c r="G1190" s="2">
        <f>SQRT(4*(Tabla1[[#This Row],[dD]]-'Find a similar substance'!$D$5)^2+('Find a similar substance'!$E$5-Tabla1[[#This Row],[dP]])^2+(Tabla1[[#This Row],[dH]]-'Find a similar substance'!$F$5)^2)</f>
        <v>5.5362442142665644</v>
      </c>
    </row>
    <row r="1191" spans="1:7" x14ac:dyDescent="0.25">
      <c r="A1191" s="2" t="s">
        <v>2400</v>
      </c>
      <c r="B1191" s="2" t="s">
        <v>2399</v>
      </c>
      <c r="C1191" s="2">
        <v>16.3</v>
      </c>
      <c r="D1191" s="2">
        <v>7.5</v>
      </c>
      <c r="E1191" s="2">
        <v>13.8</v>
      </c>
      <c r="F1191" s="2" t="str">
        <f>IFERROR(VLOOKUP(B1191,Tabla2[],5,FALSE),"")</f>
        <v/>
      </c>
      <c r="G1191" s="2">
        <f>SQRT(4*(Tabla1[[#This Row],[dD]]-'Find a similar substance'!$D$5)^2+('Find a similar substance'!$E$5-Tabla1[[#This Row],[dP]])^2+(Tabla1[[#This Row],[dH]]-'Find a similar substance'!$F$5)^2)</f>
        <v>8.9016852337071555</v>
      </c>
    </row>
    <row r="1192" spans="1:7" x14ac:dyDescent="0.25">
      <c r="A1192" s="2" t="s">
        <v>2402</v>
      </c>
      <c r="B1192" s="2" t="s">
        <v>2401</v>
      </c>
      <c r="C1192" s="2">
        <v>16</v>
      </c>
      <c r="D1192" s="2">
        <v>6.5</v>
      </c>
      <c r="E1192" s="2">
        <v>2.4</v>
      </c>
      <c r="F1192" s="2" t="str">
        <f>IFERROR(VLOOKUP(B1192,Tabla2[],5,FALSE),"")</f>
        <v/>
      </c>
      <c r="G1192" s="2">
        <f>SQRT(4*(Tabla1[[#This Row],[dD]]-'Find a similar substance'!$D$5)^2+('Find a similar substance'!$E$5-Tabla1[[#This Row],[dP]])^2+(Tabla1[[#This Row],[dH]]-'Find a similar substance'!$F$5)^2)</f>
        <v>3.6110940170535581</v>
      </c>
    </row>
    <row r="1193" spans="1:7" x14ac:dyDescent="0.25">
      <c r="A1193" s="2" t="s">
        <v>2404</v>
      </c>
      <c r="B1193" s="2" t="s">
        <v>2403</v>
      </c>
      <c r="C1193" s="2">
        <v>15.9</v>
      </c>
      <c r="D1193" s="2">
        <v>5</v>
      </c>
      <c r="E1193" s="2">
        <v>9</v>
      </c>
      <c r="F1193" s="2" t="str">
        <f>IFERROR(VLOOKUP(B1193,Tabla2[],5,FALSE),"")</f>
        <v/>
      </c>
      <c r="G1193" s="2">
        <f>SQRT(4*(Tabla1[[#This Row],[dD]]-'Find a similar substance'!$D$5)^2+('Find a similar substance'!$E$5-Tabla1[[#This Row],[dP]])^2+(Tabla1[[#This Row],[dH]]-'Find a similar substance'!$F$5)^2)</f>
        <v>5.6258332716140815</v>
      </c>
    </row>
    <row r="1194" spans="1:7" x14ac:dyDescent="0.25">
      <c r="A1194" s="2" t="s">
        <v>2406</v>
      </c>
      <c r="B1194" s="2" t="s">
        <v>2405</v>
      </c>
      <c r="C1194" s="2">
        <v>14.8</v>
      </c>
      <c r="D1194" s="2">
        <v>4.2</v>
      </c>
      <c r="E1194" s="2">
        <v>5.8</v>
      </c>
      <c r="F1194" s="2" t="str">
        <f>IFERROR(VLOOKUP(B1194,Tabla2[],5,FALSE),"")</f>
        <v/>
      </c>
      <c r="G1194" s="2">
        <f>SQRT(4*(Tabla1[[#This Row],[dD]]-'Find a similar substance'!$D$5)^2+('Find a similar substance'!$E$5-Tabla1[[#This Row],[dP]])^2+(Tabla1[[#This Row],[dH]]-'Find a similar substance'!$F$5)^2)</f>
        <v>5.8180752831155429</v>
      </c>
    </row>
    <row r="1195" spans="1:7" x14ac:dyDescent="0.25">
      <c r="A1195" s="2" t="s">
        <v>2408</v>
      </c>
      <c r="B1195" s="2" t="s">
        <v>2407</v>
      </c>
      <c r="C1195" s="2">
        <v>15.9</v>
      </c>
      <c r="D1195" s="2">
        <v>6</v>
      </c>
      <c r="E1195" s="2">
        <v>6.6</v>
      </c>
      <c r="F1195" s="2" t="str">
        <f>IFERROR(VLOOKUP(B1195,Tabla2[],5,FALSE),"")</f>
        <v/>
      </c>
      <c r="G1195" s="2">
        <f>SQRT(4*(Tabla1[[#This Row],[dD]]-'Find a similar substance'!$D$5)^2+('Find a similar substance'!$E$5-Tabla1[[#This Row],[dP]])^2+(Tabla1[[#This Row],[dH]]-'Find a similar substance'!$F$5)^2)</f>
        <v>3.4365680554879168</v>
      </c>
    </row>
    <row r="1196" spans="1:7" x14ac:dyDescent="0.25">
      <c r="A1196" s="2" t="s">
        <v>2410</v>
      </c>
      <c r="B1196" s="2" t="s">
        <v>2409</v>
      </c>
      <c r="C1196" s="2">
        <v>16.399999999999999</v>
      </c>
      <c r="D1196" s="2">
        <v>5.8</v>
      </c>
      <c r="E1196" s="2">
        <v>6.3</v>
      </c>
      <c r="F1196" s="2" t="str">
        <f>IFERROR(VLOOKUP(B1196,Tabla2[],5,FALSE),"")</f>
        <v/>
      </c>
      <c r="G1196" s="2">
        <f>SQRT(4*(Tabla1[[#This Row],[dD]]-'Find a similar substance'!$D$5)^2+('Find a similar substance'!$E$5-Tabla1[[#This Row],[dP]])^2+(Tabla1[[#This Row],[dH]]-'Find a similar substance'!$F$5)^2)</f>
        <v>3.2031234756093934</v>
      </c>
    </row>
    <row r="1197" spans="1:7" x14ac:dyDescent="0.25">
      <c r="A1197" s="2" t="s">
        <v>2412</v>
      </c>
      <c r="B1197" s="2" t="s">
        <v>2411</v>
      </c>
      <c r="C1197" s="2">
        <v>15.3</v>
      </c>
      <c r="D1197" s="2">
        <v>6.5</v>
      </c>
      <c r="E1197" s="2">
        <v>9.6999999999999993</v>
      </c>
      <c r="F1197" s="2" t="str">
        <f>IFERROR(VLOOKUP(B1197,Tabla2[],5,FALSE),"")</f>
        <v/>
      </c>
      <c r="G1197" s="2">
        <f>SQRT(4*(Tabla1[[#This Row],[dD]]-'Find a similar substance'!$D$5)^2+('Find a similar substance'!$E$5-Tabla1[[#This Row],[dP]])^2+(Tabla1[[#This Row],[dH]]-'Find a similar substance'!$F$5)^2)</f>
        <v>5.8043087443725803</v>
      </c>
    </row>
    <row r="1198" spans="1:7" x14ac:dyDescent="0.25">
      <c r="A1198" s="2" t="s">
        <v>2414</v>
      </c>
      <c r="B1198" s="2" t="s">
        <v>2413</v>
      </c>
      <c r="C1198" s="2">
        <v>18</v>
      </c>
      <c r="D1198" s="2">
        <v>5.5</v>
      </c>
      <c r="E1198" s="2">
        <v>7.3</v>
      </c>
      <c r="F1198" s="2" t="str">
        <f>IFERROR(VLOOKUP(B1198,Tabla2[],5,FALSE),"")</f>
        <v/>
      </c>
      <c r="G1198" s="2">
        <f>SQRT(4*(Tabla1[[#This Row],[dD]]-'Find a similar substance'!$D$5)^2+('Find a similar substance'!$E$5-Tabla1[[#This Row],[dP]])^2+(Tabla1[[#This Row],[dH]]-'Find a similar substance'!$F$5)^2)</f>
        <v>4.8342527861087259</v>
      </c>
    </row>
    <row r="1199" spans="1:7" x14ac:dyDescent="0.25">
      <c r="A1199" s="2" t="s">
        <v>2416</v>
      </c>
      <c r="B1199" s="2" t="s">
        <v>2415</v>
      </c>
      <c r="C1199" s="2">
        <v>15.1</v>
      </c>
      <c r="D1199" s="2">
        <v>4.0999999999999996</v>
      </c>
      <c r="E1199" s="2">
        <v>5.0999999999999996</v>
      </c>
      <c r="F1199" s="2" t="str">
        <f>IFERROR(VLOOKUP(B1199,Tabla2[],5,FALSE),"")</f>
        <v/>
      </c>
      <c r="G1199" s="2">
        <f>SQRT(4*(Tabla1[[#This Row],[dD]]-'Find a similar substance'!$D$5)^2+('Find a similar substance'!$E$5-Tabla1[[#This Row],[dP]])^2+(Tabla1[[#This Row],[dH]]-'Find a similar substance'!$F$5)^2)</f>
        <v>5.4927224579437857</v>
      </c>
    </row>
    <row r="1200" spans="1:7" x14ac:dyDescent="0.25">
      <c r="A1200" s="2" t="s">
        <v>2418</v>
      </c>
      <c r="B1200" s="2" t="s">
        <v>2417</v>
      </c>
      <c r="C1200" s="2">
        <v>14.7</v>
      </c>
      <c r="D1200" s="2">
        <v>3.5</v>
      </c>
      <c r="E1200" s="2">
        <v>5.2</v>
      </c>
      <c r="F1200" s="2" t="str">
        <f>IFERROR(VLOOKUP(B1200,Tabla2[],5,FALSE),"")</f>
        <v/>
      </c>
      <c r="G1200" s="2">
        <f>SQRT(4*(Tabla1[[#This Row],[dD]]-'Find a similar substance'!$D$5)^2+('Find a similar substance'!$E$5-Tabla1[[#This Row],[dP]])^2+(Tabla1[[#This Row],[dH]]-'Find a similar substance'!$F$5)^2)</f>
        <v>6.4436014774348065</v>
      </c>
    </row>
    <row r="1201" spans="1:7" x14ac:dyDescent="0.25">
      <c r="A1201" s="2" t="s">
        <v>2420</v>
      </c>
      <c r="B1201" s="2" t="s">
        <v>2419</v>
      </c>
      <c r="C1201" s="2">
        <v>15.6</v>
      </c>
      <c r="D1201" s="2">
        <v>8</v>
      </c>
      <c r="E1201" s="2">
        <v>4.7</v>
      </c>
      <c r="F1201" s="2" t="str">
        <f>IFERROR(VLOOKUP(B1201,Tabla2[],5,FALSE),"")</f>
        <v/>
      </c>
      <c r="G1201" s="2">
        <f>SQRT(4*(Tabla1[[#This Row],[dD]]-'Find a similar substance'!$D$5)^2+('Find a similar substance'!$E$5-Tabla1[[#This Row],[dP]])^2+(Tabla1[[#This Row],[dH]]-'Find a similar substance'!$F$5)^2)</f>
        <v>2.1400934559032727</v>
      </c>
    </row>
    <row r="1202" spans="1:7" x14ac:dyDescent="0.25">
      <c r="A1202" s="2" t="s">
        <v>2422</v>
      </c>
      <c r="B1202" s="2" t="s">
        <v>2421</v>
      </c>
      <c r="C1202" s="2">
        <v>14.9</v>
      </c>
      <c r="D1202" s="2">
        <v>3.5</v>
      </c>
      <c r="E1202" s="2">
        <v>5.2</v>
      </c>
      <c r="F1202" s="2" t="str">
        <f>IFERROR(VLOOKUP(B1202,Tabla2[],5,FALSE),"")</f>
        <v/>
      </c>
      <c r="G1202" s="2">
        <f>SQRT(4*(Tabla1[[#This Row],[dD]]-'Find a similar substance'!$D$5)^2+('Find a similar substance'!$E$5-Tabla1[[#This Row],[dP]])^2+(Tabla1[[#This Row],[dH]]-'Find a similar substance'!$F$5)^2)</f>
        <v>6.2161081071680222</v>
      </c>
    </row>
    <row r="1203" spans="1:7" x14ac:dyDescent="0.25">
      <c r="A1203" s="2" t="s">
        <v>2424</v>
      </c>
      <c r="B1203" s="2" t="s">
        <v>2423</v>
      </c>
      <c r="C1203" s="2">
        <v>16.399999999999999</v>
      </c>
      <c r="D1203" s="2">
        <v>9.3000000000000007</v>
      </c>
      <c r="E1203" s="2">
        <v>5.9</v>
      </c>
      <c r="F1203" s="2" t="str">
        <f>IFERROR(VLOOKUP(B1203,Tabla2[],5,FALSE),"")</f>
        <v/>
      </c>
      <c r="G1203" s="2">
        <f>SQRT(4*(Tabla1[[#This Row],[dD]]-'Find a similar substance'!$D$5)^2+('Find a similar substance'!$E$5-Tabla1[[#This Row],[dP]])^2+(Tabla1[[#This Row],[dH]]-'Find a similar substance'!$F$5)^2)</f>
        <v>1.1532562594670825</v>
      </c>
    </row>
    <row r="1204" spans="1:7" x14ac:dyDescent="0.25">
      <c r="A1204" s="2" t="s">
        <v>633</v>
      </c>
      <c r="B1204" s="2" t="s">
        <v>2425</v>
      </c>
      <c r="C1204" s="2">
        <v>16.5</v>
      </c>
      <c r="D1204" s="2">
        <v>5</v>
      </c>
      <c r="E1204" s="2">
        <v>5.8</v>
      </c>
      <c r="F1204" s="2" t="str">
        <f>IFERROR(VLOOKUP(B1204,Tabla2[],5,FALSE),"")</f>
        <v/>
      </c>
      <c r="G1204" s="2">
        <f>SQRT(4*(Tabla1[[#This Row],[dD]]-'Find a similar substance'!$D$5)^2+('Find a similar substance'!$E$5-Tabla1[[#This Row],[dP]])^2+(Tabla1[[#This Row],[dH]]-'Find a similar substance'!$F$5)^2)</f>
        <v>3.7907782842049724</v>
      </c>
    </row>
    <row r="1205" spans="1:7" x14ac:dyDescent="0.25">
      <c r="A1205" s="2" t="s">
        <v>633</v>
      </c>
      <c r="B1205" s="2" t="s">
        <v>2426</v>
      </c>
      <c r="C1205" s="2">
        <v>16.399999999999999</v>
      </c>
      <c r="D1205" s="2">
        <v>7</v>
      </c>
      <c r="E1205" s="2">
        <v>6</v>
      </c>
      <c r="F1205" s="2" t="str">
        <f>IFERROR(VLOOKUP(B1205,Tabla2[],5,FALSE),"")</f>
        <v/>
      </c>
      <c r="G1205" s="2">
        <f>SQRT(4*(Tabla1[[#This Row],[dD]]-'Find a similar substance'!$D$5)^2+('Find a similar substance'!$E$5-Tabla1[[#This Row],[dP]])^2+(Tabla1[[#This Row],[dH]]-'Find a similar substance'!$F$5)^2)</f>
        <v>2.0124611797498115</v>
      </c>
    </row>
    <row r="1206" spans="1:7" x14ac:dyDescent="0.25">
      <c r="A1206" s="2" t="s">
        <v>2428</v>
      </c>
      <c r="B1206" s="2" t="s">
        <v>2427</v>
      </c>
      <c r="C1206" s="2">
        <v>15.5</v>
      </c>
      <c r="D1206" s="2">
        <v>2.6</v>
      </c>
      <c r="E1206" s="2">
        <v>4</v>
      </c>
      <c r="F1206" s="2" t="str">
        <f>IFERROR(VLOOKUP(B1206,Tabla2[],5,FALSE),"")</f>
        <v/>
      </c>
      <c r="G1206" s="2">
        <f>SQRT(4*(Tabla1[[#This Row],[dD]]-'Find a similar substance'!$D$5)^2+('Find a similar substance'!$E$5-Tabla1[[#This Row],[dP]])^2+(Tabla1[[#This Row],[dH]]-'Find a similar substance'!$F$5)^2)</f>
        <v>6.5612498809297</v>
      </c>
    </row>
    <row r="1207" spans="1:7" x14ac:dyDescent="0.25">
      <c r="A1207" s="2" t="s">
        <v>2430</v>
      </c>
      <c r="B1207" s="2" t="s">
        <v>2429</v>
      </c>
      <c r="C1207" s="2">
        <v>13.9</v>
      </c>
      <c r="D1207" s="2">
        <v>4.3</v>
      </c>
      <c r="E1207" s="2">
        <v>7.6</v>
      </c>
      <c r="F1207" s="2" t="str">
        <f>IFERROR(VLOOKUP(B1207,Tabla2[],5,FALSE),"")</f>
        <v/>
      </c>
      <c r="G1207" s="2">
        <f>SQRT(4*(Tabla1[[#This Row],[dD]]-'Find a similar substance'!$D$5)^2+('Find a similar substance'!$E$5-Tabla1[[#This Row],[dP]])^2+(Tabla1[[#This Row],[dH]]-'Find a similar substance'!$F$5)^2)</f>
        <v>7.4350521181764435</v>
      </c>
    </row>
    <row r="1208" spans="1:7" x14ac:dyDescent="0.25">
      <c r="A1208" s="2" t="s">
        <v>2432</v>
      </c>
      <c r="B1208" s="2" t="s">
        <v>2431</v>
      </c>
      <c r="C1208" s="2">
        <v>14.5</v>
      </c>
      <c r="D1208" s="2">
        <v>1</v>
      </c>
      <c r="E1208" s="2">
        <v>2.5</v>
      </c>
      <c r="F1208" s="2" t="str">
        <f>IFERROR(VLOOKUP(B1208,Tabla2[],5,FALSE),"")</f>
        <v/>
      </c>
      <c r="G1208" s="2">
        <f>SQRT(4*(Tabla1[[#This Row],[dD]]-'Find a similar substance'!$D$5)^2+('Find a similar substance'!$E$5-Tabla1[[#This Row],[dP]])^2+(Tabla1[[#This Row],[dH]]-'Find a similar substance'!$F$5)^2)</f>
        <v>9.1203070123762835</v>
      </c>
    </row>
    <row r="1209" spans="1:7" x14ac:dyDescent="0.25">
      <c r="A1209" s="2" t="s">
        <v>2434</v>
      </c>
      <c r="B1209" s="2" t="s">
        <v>2433</v>
      </c>
      <c r="C1209" s="2">
        <v>15.6</v>
      </c>
      <c r="D1209" s="2">
        <v>2.7</v>
      </c>
      <c r="E1209" s="2">
        <v>5.8</v>
      </c>
      <c r="F1209" s="2" t="str">
        <f>IFERROR(VLOOKUP(B1209,Tabla2[],5,FALSE),"")</f>
        <v/>
      </c>
      <c r="G1209" s="2">
        <f>SQRT(4*(Tabla1[[#This Row],[dD]]-'Find a similar substance'!$D$5)^2+('Find a similar substance'!$E$5-Tabla1[[#This Row],[dP]])^2+(Tabla1[[#This Row],[dH]]-'Find a similar substance'!$F$5)^2)</f>
        <v>6.3749509802036908</v>
      </c>
    </row>
    <row r="1210" spans="1:7" x14ac:dyDescent="0.25">
      <c r="A1210" s="2" t="s">
        <v>2436</v>
      </c>
      <c r="B1210" s="2" t="s">
        <v>2435</v>
      </c>
      <c r="C1210" s="2">
        <v>17.3</v>
      </c>
      <c r="D1210" s="2">
        <v>18.100000000000001</v>
      </c>
      <c r="E1210" s="2">
        <v>9.6</v>
      </c>
      <c r="F1210" s="2" t="str">
        <f>IFERROR(VLOOKUP(B1210,Tabla2[],5,FALSE),"")</f>
        <v/>
      </c>
      <c r="G1210" s="2">
        <f>SQRT(4*(Tabla1[[#This Row],[dD]]-'Find a similar substance'!$D$5)^2+('Find a similar substance'!$E$5-Tabla1[[#This Row],[dP]])^2+(Tabla1[[#This Row],[dH]]-'Find a similar substance'!$F$5)^2)</f>
        <v>10.558408971052412</v>
      </c>
    </row>
    <row r="1211" spans="1:7" x14ac:dyDescent="0.25">
      <c r="A1211" s="2" t="s">
        <v>2438</v>
      </c>
      <c r="B1211" s="2" t="s">
        <v>2437</v>
      </c>
      <c r="C1211" s="2">
        <v>15.5</v>
      </c>
      <c r="D1211" s="2">
        <v>16</v>
      </c>
      <c r="E1211" s="2">
        <v>42.3</v>
      </c>
      <c r="F1211" s="2" t="str">
        <f>IFERROR(VLOOKUP(B1211,Tabla2[],5,FALSE),"")</f>
        <v/>
      </c>
      <c r="G1211" s="2">
        <f>SQRT(4*(Tabla1[[#This Row],[dD]]-'Find a similar substance'!$D$5)^2+('Find a similar substance'!$E$5-Tabla1[[#This Row],[dP]])^2+(Tabla1[[#This Row],[dH]]-'Find a similar substance'!$F$5)^2)</f>
        <v>38.071248994484009</v>
      </c>
    </row>
    <row r="1212" spans="1:7" x14ac:dyDescent="0.25">
      <c r="A1212" s="2" t="s">
        <v>2438</v>
      </c>
      <c r="B1212" s="2" t="s">
        <v>2439</v>
      </c>
      <c r="C1212" s="2">
        <v>15.1</v>
      </c>
      <c r="D1212" s="2">
        <v>20.399999999999999</v>
      </c>
      <c r="E1212" s="2">
        <v>16.5</v>
      </c>
      <c r="F1212" s="2" t="str">
        <f>IFERROR(VLOOKUP(B1212,Tabla2[],5,FALSE),"")</f>
        <v/>
      </c>
      <c r="G1212" s="2">
        <f>SQRT(4*(Tabla1[[#This Row],[dD]]-'Find a similar substance'!$D$5)^2+('Find a similar substance'!$E$5-Tabla1[[#This Row],[dP]])^2+(Tabla1[[#This Row],[dH]]-'Find a similar substance'!$F$5)^2)</f>
        <v>16.677529793107851</v>
      </c>
    </row>
    <row r="1213" spans="1:7" x14ac:dyDescent="0.25">
      <c r="A1213" s="2" t="s">
        <v>2438</v>
      </c>
      <c r="B1213" s="2" t="s">
        <v>2440</v>
      </c>
      <c r="C1213" s="2">
        <v>18.100000000000001</v>
      </c>
      <c r="D1213" s="2">
        <v>17.100000000000001</v>
      </c>
      <c r="E1213" s="2">
        <v>16.899999999999999</v>
      </c>
      <c r="F1213" s="2" t="str">
        <f>IFERROR(VLOOKUP(B1213,Tabla2[],5,FALSE),"")</f>
        <v/>
      </c>
      <c r="G1213" s="2">
        <f>SQRT(4*(Tabla1[[#This Row],[dD]]-'Find a similar substance'!$D$5)^2+('Find a similar substance'!$E$5-Tabla1[[#This Row],[dP]])^2+(Tabla1[[#This Row],[dH]]-'Find a similar substance'!$F$5)^2)</f>
        <v>14.871785366928881</v>
      </c>
    </row>
    <row r="1214" spans="1:7" x14ac:dyDescent="0.25">
      <c r="A1214" s="2" t="s">
        <v>2441</v>
      </c>
      <c r="B1214" s="2" t="s">
        <v>86</v>
      </c>
      <c r="C1214" s="2">
        <v>17.8</v>
      </c>
      <c r="D1214" s="2">
        <v>1</v>
      </c>
      <c r="E1214" s="2">
        <v>3.1</v>
      </c>
      <c r="F1214" s="2">
        <f>IFERROR(VLOOKUP(B1214,Tabla2[],5,FALSE),"")</f>
        <v>123.9</v>
      </c>
      <c r="G1214" s="2">
        <f>SQRT(4*(Tabla1[[#This Row],[dD]]-'Find a similar substance'!$D$5)^2+('Find a similar substance'!$E$5-Tabla1[[#This Row],[dP]])^2+(Tabla1[[#This Row],[dH]]-'Find a similar substance'!$F$5)^2)</f>
        <v>8.2861329943466373</v>
      </c>
    </row>
    <row r="1215" spans="1:7" x14ac:dyDescent="0.25">
      <c r="A1215" s="2" t="s">
        <v>2443</v>
      </c>
      <c r="B1215" s="2" t="s">
        <v>2442</v>
      </c>
      <c r="C1215" s="2">
        <v>17</v>
      </c>
      <c r="D1215" s="2">
        <v>18.2</v>
      </c>
      <c r="E1215" s="2">
        <v>9</v>
      </c>
      <c r="F1215" s="2" t="str">
        <f>IFERROR(VLOOKUP(B1215,Tabla2[],5,FALSE),"")</f>
        <v/>
      </c>
      <c r="G1215" s="2">
        <f>SQRT(4*(Tabla1[[#This Row],[dD]]-'Find a similar substance'!$D$5)^2+('Find a similar substance'!$E$5-Tabla1[[#This Row],[dP]])^2+(Tabla1[[#This Row],[dH]]-'Find a similar substance'!$F$5)^2)</f>
        <v>10.338762014864255</v>
      </c>
    </row>
    <row r="1216" spans="1:7" x14ac:dyDescent="0.25">
      <c r="A1216" s="2" t="s">
        <v>2445</v>
      </c>
      <c r="B1216" s="2" t="s">
        <v>2444</v>
      </c>
      <c r="C1216" s="2">
        <v>20</v>
      </c>
      <c r="D1216" s="2">
        <v>9.6</v>
      </c>
      <c r="E1216" s="2">
        <v>5.7</v>
      </c>
      <c r="F1216" s="2" t="str">
        <f>IFERROR(VLOOKUP(B1216,Tabla2[],5,FALSE),"")</f>
        <v/>
      </c>
      <c r="G1216" s="2">
        <f>SQRT(4*(Tabla1[[#This Row],[dD]]-'Find a similar substance'!$D$5)^2+('Find a similar substance'!$E$5-Tabla1[[#This Row],[dP]])^2+(Tabla1[[#This Row],[dH]]-'Find a similar substance'!$F$5)^2)</f>
        <v>6.8949256703752768</v>
      </c>
    </row>
    <row r="1217" spans="1:8" x14ac:dyDescent="0.25">
      <c r="A1217" s="2" t="s">
        <v>2447</v>
      </c>
      <c r="B1217" s="2" t="s">
        <v>2446</v>
      </c>
      <c r="C1217" s="2">
        <v>15.9</v>
      </c>
      <c r="D1217" s="2">
        <v>7.3</v>
      </c>
      <c r="E1217" s="2">
        <v>8.5</v>
      </c>
      <c r="F1217" s="2" t="str">
        <f>IFERROR(VLOOKUP(B1217,Tabla2[],5,FALSE),"")</f>
        <v/>
      </c>
      <c r="G1217" s="2">
        <f>SQRT(4*(Tabla1[[#This Row],[dD]]-'Find a similar substance'!$D$5)^2+('Find a similar substance'!$E$5-Tabla1[[#This Row],[dP]])^2+(Tabla1[[#This Row],[dH]]-'Find a similar substance'!$F$5)^2)</f>
        <v>4.0211938525766211</v>
      </c>
    </row>
    <row r="1218" spans="1:8" x14ac:dyDescent="0.25">
      <c r="A1218" s="2" t="s">
        <v>2449</v>
      </c>
      <c r="B1218" s="2" t="s">
        <v>2448</v>
      </c>
      <c r="C1218" s="2">
        <v>18</v>
      </c>
      <c r="D1218" s="2">
        <v>16.600000000000001</v>
      </c>
      <c r="E1218" s="2">
        <v>7.4</v>
      </c>
      <c r="F1218" s="2" t="str">
        <f>IFERROR(VLOOKUP(B1218,Tabla2[],5,FALSE),"")</f>
        <v/>
      </c>
      <c r="G1218" s="2">
        <f>SQRT(4*(Tabla1[[#This Row],[dD]]-'Find a similar substance'!$D$5)^2+('Find a similar substance'!$E$5-Tabla1[[#This Row],[dP]])^2+(Tabla1[[#This Row],[dH]]-'Find a similar substance'!$F$5)^2)</f>
        <v>8.7183714075508405</v>
      </c>
    </row>
    <row r="1219" spans="1:8" ht="15.75" thickBot="1" x14ac:dyDescent="0.3">
      <c r="A1219" s="25" t="s">
        <v>2451</v>
      </c>
      <c r="B1219" s="25" t="s">
        <v>2450</v>
      </c>
      <c r="C1219" s="25">
        <v>19</v>
      </c>
      <c r="D1219" s="25">
        <v>6.9</v>
      </c>
      <c r="E1219" s="25">
        <v>6.2</v>
      </c>
      <c r="F1219" s="25" t="str">
        <f>IFERROR(VLOOKUP(B1219,Tabla2[],5,FALSE),"")</f>
        <v/>
      </c>
      <c r="G1219" s="2">
        <f>SQRT(4*(Tabla1[[#This Row],[dD]]-'Find a similar substance'!$D$5)^2+('Find a similar substance'!$E$5-Tabla1[[#This Row],[dP]])^2+(Tabla1[[#This Row],[dH]]-'Find a similar substance'!$F$5)^2)</f>
        <v>5.2649786324352705</v>
      </c>
    </row>
    <row r="1220" spans="1:8" x14ac:dyDescent="0.25">
      <c r="A1220" s="2" t="s">
        <v>2457</v>
      </c>
      <c r="B1220" s="2" t="s">
        <v>2457</v>
      </c>
      <c r="C1220" s="2">
        <v>17.8</v>
      </c>
      <c r="D1220" s="2">
        <v>0.6</v>
      </c>
      <c r="E1220" s="2">
        <v>1.4</v>
      </c>
      <c r="F1220" s="2">
        <v>106.6</v>
      </c>
      <c r="G1220" s="2">
        <f>SQRT(4*(Tabla1[[#This Row],[dD]]-'Find a similar substance'!$D$5)^2+('Find a similar substance'!$E$5-Tabla1[[#This Row],[dP]])^2+(Tabla1[[#This Row],[dH]]-'Find a similar substance'!$F$5)^2)</f>
        <v>9.1831367190083792</v>
      </c>
    </row>
    <row r="1221" spans="1:8" x14ac:dyDescent="0.25">
      <c r="A1221" s="2" t="s">
        <v>2458</v>
      </c>
      <c r="B1221" s="2" t="s">
        <v>2458</v>
      </c>
      <c r="C1221" s="2">
        <v>15.9</v>
      </c>
      <c r="D1221" s="2">
        <v>2.4</v>
      </c>
      <c r="E1221" s="2">
        <v>7</v>
      </c>
      <c r="F1221" s="2">
        <v>306.3</v>
      </c>
      <c r="G1221" s="2">
        <f>SQRT(4*(Tabla1[[#This Row],[dD]]-'Find a similar substance'!$D$5)^2+('Find a similar substance'!$E$5-Tabla1[[#This Row],[dP]])^2+(Tabla1[[#This Row],[dH]]-'Find a similar substance'!$F$5)^2)</f>
        <v>6.7564783726435467</v>
      </c>
    </row>
    <row r="1222" spans="1:8" x14ac:dyDescent="0.25">
      <c r="A1222" s="2" t="s">
        <v>2459</v>
      </c>
      <c r="B1222" s="2" t="s">
        <v>2459</v>
      </c>
      <c r="C1222" s="2">
        <v>17.21</v>
      </c>
      <c r="D1222" s="2">
        <v>6.26</v>
      </c>
      <c r="E1222" s="2">
        <v>9.16</v>
      </c>
      <c r="F1222" s="2">
        <v>145.5</v>
      </c>
      <c r="G1222" s="2">
        <f>SQRT(4*(Tabla1[[#This Row],[dD]]-'Find a similar substance'!$D$5)^2+('Find a similar substance'!$E$5-Tabla1[[#This Row],[dP]])^2+(Tabla1[[#This Row],[dH]]-'Find a similar substance'!$F$5)^2)</f>
        <v>4.9746959706096607</v>
      </c>
    </row>
    <row r="1223" spans="1:8" x14ac:dyDescent="0.25">
      <c r="A1223" s="2" t="s">
        <v>2461</v>
      </c>
      <c r="B1223" s="2" t="s">
        <v>2460</v>
      </c>
      <c r="C1223" s="17">
        <v>15.14</v>
      </c>
      <c r="D1223" s="17">
        <v>0.2</v>
      </c>
      <c r="E1223" s="17">
        <v>0.2</v>
      </c>
      <c r="F1223" s="17">
        <v>215.2</v>
      </c>
      <c r="G1223" s="2">
        <f>SQRT(4*(Tabla1[[#This Row],[dD]]-'Find a similar substance'!$D$5)^2+('Find a similar substance'!$E$5-Tabla1[[#This Row],[dP]])^2+(Tabla1[[#This Row],[dH]]-'Find a similar substance'!$F$5)^2)</f>
        <v>10.189033320192845</v>
      </c>
    </row>
    <row r="1224" spans="1:8" x14ac:dyDescent="0.25">
      <c r="A1224" s="2" t="s">
        <v>2463</v>
      </c>
      <c r="B1224" s="2" t="s">
        <v>2462</v>
      </c>
      <c r="C1224" s="2">
        <v>16.7</v>
      </c>
      <c r="D1224" s="2">
        <v>6.45</v>
      </c>
      <c r="E1224" s="2">
        <v>11.6</v>
      </c>
      <c r="F1224" s="17">
        <v>114.66</v>
      </c>
      <c r="G1224" s="2">
        <f>SQRT(4*(Tabla1[[#This Row],[dD]]-'Find a similar substance'!$D$5)^2+('Find a similar substance'!$E$5-Tabla1[[#This Row],[dP]])^2+(Tabla1[[#This Row],[dH]]-'Find a similar substance'!$F$5)^2)</f>
        <v>6.9758512025415209</v>
      </c>
    </row>
    <row r="1225" spans="1:8" x14ac:dyDescent="0.25">
      <c r="A1225" s="2" t="s">
        <v>2470</v>
      </c>
      <c r="B1225" s="2" t="s">
        <v>2471</v>
      </c>
      <c r="C1225" s="2">
        <v>15.09</v>
      </c>
      <c r="D1225" s="2">
        <v>2.5299999999999998</v>
      </c>
      <c r="E1225" s="2">
        <v>7.86</v>
      </c>
      <c r="F1225" s="2">
        <v>125.48</v>
      </c>
      <c r="G1225" s="2">
        <f>SQRT(4*(Tabla1[[#This Row],[dD]]-'Find a similar substance'!$D$5)^2+('Find a similar substance'!$E$5-Tabla1[[#This Row],[dP]])^2+(Tabla1[[#This Row],[dH]]-'Find a similar substance'!$F$5)^2)</f>
        <v>7.4410281547646369</v>
      </c>
    </row>
    <row r="1226" spans="1:8" x14ac:dyDescent="0.25">
      <c r="A1226" s="2" t="s">
        <v>2472</v>
      </c>
      <c r="B1226" s="2" t="s">
        <v>2473</v>
      </c>
      <c r="C1226" s="2">
        <v>15.55</v>
      </c>
      <c r="D1226" s="2">
        <v>4.2699999999999996</v>
      </c>
      <c r="E1226" s="2">
        <v>4.93</v>
      </c>
      <c r="F1226" s="2">
        <v>158.55000000000001</v>
      </c>
      <c r="G1226" s="2">
        <f>SQRT(4*(Tabla1[[#This Row],[dD]]-'Find a similar substance'!$D$5)^2+('Find a similar substance'!$E$5-Tabla1[[#This Row],[dP]])^2+(Tabla1[[#This Row],[dH]]-'Find a similar substance'!$F$5)^2)</f>
        <v>4.9030398733846745</v>
      </c>
    </row>
    <row r="1227" spans="1:8" x14ac:dyDescent="0.25">
      <c r="A1227" s="2" t="s">
        <v>2474</v>
      </c>
      <c r="B1227" s="2" t="s">
        <v>2475</v>
      </c>
      <c r="C1227" s="2">
        <v>15.68</v>
      </c>
      <c r="D1227" s="2">
        <v>4.03</v>
      </c>
      <c r="E1227" s="2">
        <v>4.26</v>
      </c>
      <c r="F1227" s="2">
        <v>159.41999999999999</v>
      </c>
      <c r="G1227" s="2">
        <f>SQRT(4*(Tabla1[[#This Row],[dD]]-'Find a similar substance'!$D$5)^2+('Find a similar substance'!$E$5-Tabla1[[#This Row],[dP]])^2+(Tabla1[[#This Row],[dH]]-'Find a similar substance'!$F$5)^2)</f>
        <v>5.0736673127038987</v>
      </c>
    </row>
    <row r="1228" spans="1:8" x14ac:dyDescent="0.25">
      <c r="A1228" s="2" t="s">
        <v>2477</v>
      </c>
      <c r="B1228" s="2" t="s">
        <v>2476</v>
      </c>
      <c r="C1228" s="2">
        <v>15.89</v>
      </c>
      <c r="D1228" s="2">
        <v>5.51</v>
      </c>
      <c r="E1228" s="2">
        <v>6.44</v>
      </c>
      <c r="F1228" s="2">
        <v>165.51</v>
      </c>
      <c r="G1228" s="2">
        <f>SQRT(4*(Tabla1[[#This Row],[dD]]-'Find a similar substance'!$D$5)^2+('Find a similar substance'!$E$5-Tabla1[[#This Row],[dP]])^2+(Tabla1[[#This Row],[dH]]-'Find a similar substance'!$F$5)^2)</f>
        <v>3.7770491127333785</v>
      </c>
    </row>
    <row r="1229" spans="1:8" x14ac:dyDescent="0.25">
      <c r="A1229" s="2" t="s">
        <v>2479</v>
      </c>
      <c r="B1229" s="2" t="s">
        <v>2478</v>
      </c>
      <c r="C1229" s="2">
        <v>15.94</v>
      </c>
      <c r="D1229" s="2">
        <v>3.3</v>
      </c>
      <c r="E1229" s="2">
        <v>3.64</v>
      </c>
      <c r="F1229" s="2">
        <v>321.22000000000003</v>
      </c>
      <c r="G1229" s="2">
        <f>SQRT(4*(Tabla1[[#This Row],[dD]]-'Find a similar substance'!$D$5)^2+('Find a similar substance'!$E$5-Tabla1[[#This Row],[dP]])^2+(Tabla1[[#This Row],[dH]]-'Find a similar substance'!$F$5)^2)</f>
        <v>5.7229363092734138</v>
      </c>
    </row>
    <row r="1230" spans="1:8" x14ac:dyDescent="0.25">
      <c r="A1230" s="2" t="s">
        <v>251</v>
      </c>
      <c r="B1230" s="2" t="s">
        <v>31</v>
      </c>
      <c r="C1230" s="2">
        <v>17.850000000000001</v>
      </c>
      <c r="D1230" s="2">
        <v>7.33</v>
      </c>
      <c r="E1230" s="2">
        <v>7.94</v>
      </c>
      <c r="F1230" s="2">
        <f>IFERROR(VLOOKUP(B1230,Tabla2[],5,FALSE),"")</f>
        <v>69.900000000000006</v>
      </c>
      <c r="G1230" s="2">
        <f>SQRT(4*(Tabla1[[#This Row],[dD]]-'Find a similar substance'!$D$5)^2+('Find a similar substance'!$E$5-Tabla1[[#This Row],[dP]])^2+(Tabla1[[#This Row],[dH]]-'Find a similar substance'!$F$5)^2)</f>
        <v>4.0951800937199332</v>
      </c>
    </row>
    <row r="1231" spans="1:8" x14ac:dyDescent="0.25">
      <c r="A1231" s="2" t="s">
        <v>2483</v>
      </c>
      <c r="B1231" s="2" t="s">
        <v>2483</v>
      </c>
      <c r="C1231" s="2">
        <v>17.75</v>
      </c>
      <c r="D1231" s="2">
        <v>22.94</v>
      </c>
      <c r="E1231" s="2">
        <v>8.91</v>
      </c>
      <c r="F1231" s="2" t="str">
        <f>IFERROR(VLOOKUP(B1231,Tabla2[],5,FALSE),"")</f>
        <v/>
      </c>
      <c r="G1231" s="2">
        <f>SQRT(4*(Tabla1[[#This Row],[dD]]-'Find a similar substance'!$D$5)^2+('Find a similar substance'!$E$5-Tabla1[[#This Row],[dP]])^2+(Tabla1[[#This Row],[dH]]-'Find a similar substance'!$F$5)^2)</f>
        <v>14.945089494546362</v>
      </c>
      <c r="H1231" s="2">
        <v>8.9</v>
      </c>
    </row>
    <row r="1232" spans="1:8" x14ac:dyDescent="0.25">
      <c r="A1232" s="2" t="s">
        <v>2484</v>
      </c>
      <c r="B1232" s="2" t="s">
        <v>2484</v>
      </c>
      <c r="C1232" s="2">
        <v>18.12</v>
      </c>
      <c r="D1232" s="2">
        <v>5.46</v>
      </c>
      <c r="E1232" s="2">
        <v>10.7</v>
      </c>
      <c r="F1232" s="2" t="str">
        <f>IFERROR(VLOOKUP(B1232,Tabla2[],5,FALSE),"")</f>
        <v/>
      </c>
      <c r="G1232" s="2">
        <f>SQRT(4*(Tabla1[[#This Row],[dD]]-'Find a similar substance'!$D$5)^2+('Find a similar substance'!$E$5-Tabla1[[#This Row],[dP]])^2+(Tabla1[[#This Row],[dH]]-'Find a similar substance'!$F$5)^2)</f>
        <v>7.2269772380989261</v>
      </c>
      <c r="H1232" s="2">
        <v>10.3</v>
      </c>
    </row>
    <row r="1233" spans="1:11" x14ac:dyDescent="0.25">
      <c r="A1233" s="2" t="s">
        <v>2485</v>
      </c>
      <c r="B1233" s="2" t="s">
        <v>2485</v>
      </c>
      <c r="C1233" s="2">
        <v>16.239999999999998</v>
      </c>
      <c r="D1233" s="2">
        <v>17.989999999999998</v>
      </c>
      <c r="E1233" s="2">
        <v>5.33</v>
      </c>
      <c r="F1233" s="2" t="str">
        <f>IFERROR(VLOOKUP(B1233,Tabla2[],5,FALSE),"")</f>
        <v/>
      </c>
      <c r="G1233" s="2">
        <f>SQRT(4*(Tabla1[[#This Row],[dD]]-'Find a similar substance'!$D$5)^2+('Find a similar substance'!$E$5-Tabla1[[#This Row],[dP]])^2+(Tabla1[[#This Row],[dH]]-'Find a similar substance'!$F$5)^2)</f>
        <v>9.3237009819062742</v>
      </c>
      <c r="H1233" s="2">
        <v>7.1</v>
      </c>
    </row>
    <row r="1234" spans="1:11" x14ac:dyDescent="0.25">
      <c r="A1234" s="2" t="s">
        <v>2486</v>
      </c>
      <c r="B1234" s="2" t="s">
        <v>2486</v>
      </c>
      <c r="C1234" s="2">
        <v>14.91</v>
      </c>
      <c r="D1234" s="2">
        <v>13.74</v>
      </c>
      <c r="E1234" s="2">
        <v>12.81</v>
      </c>
      <c r="F1234" s="2" t="str">
        <f>IFERROR(VLOOKUP(B1234,Tabla2[],5,FALSE),"")</f>
        <v/>
      </c>
      <c r="G1234" s="2">
        <f>SQRT(4*(Tabla1[[#This Row],[dD]]-'Find a similar substance'!$D$5)^2+('Find a similar substance'!$E$5-Tabla1[[#This Row],[dP]])^2+(Tabla1[[#This Row],[dH]]-'Find a similar substance'!$F$5)^2)</f>
        <v>9.89050554825182</v>
      </c>
      <c r="H1234" s="2">
        <v>7.9</v>
      </c>
    </row>
    <row r="1235" spans="1:11" x14ac:dyDescent="0.25">
      <c r="A1235" s="2" t="s">
        <v>2487</v>
      </c>
      <c r="B1235" s="2" t="s">
        <v>2487</v>
      </c>
      <c r="C1235" s="2">
        <v>18.079999999999998</v>
      </c>
      <c r="D1235" s="2">
        <v>11.45</v>
      </c>
      <c r="E1235" s="2">
        <v>10.54</v>
      </c>
      <c r="F1235" s="2" t="str">
        <f>IFERROR(VLOOKUP(B1235,Tabla2[],5,FALSE),"")</f>
        <v/>
      </c>
      <c r="G1235" s="2">
        <f>SQRT(4*(Tabla1[[#This Row],[dD]]-'Find a similar substance'!$D$5)^2+('Find a similar substance'!$E$5-Tabla1[[#This Row],[dP]])^2+(Tabla1[[#This Row],[dH]]-'Find a similar substance'!$F$5)^2)</f>
        <v>6.8567995449772301</v>
      </c>
      <c r="H1235" s="2">
        <v>5</v>
      </c>
      <c r="I1235" s="27"/>
      <c r="J1235" s="27"/>
      <c r="K1235" s="27"/>
    </row>
    <row r="1236" spans="1:11" x14ac:dyDescent="0.25">
      <c r="A1236" s="2" t="s">
        <v>2488</v>
      </c>
      <c r="B1236" s="2" t="s">
        <v>2488</v>
      </c>
      <c r="C1236" s="2">
        <v>18.16</v>
      </c>
      <c r="D1236" s="2">
        <v>17.87</v>
      </c>
      <c r="E1236" s="2">
        <v>13.02</v>
      </c>
      <c r="F1236" s="2" t="str">
        <f>IFERROR(VLOOKUP(B1236,Tabla2[],5,FALSE),"")</f>
        <v/>
      </c>
      <c r="G1236" s="2">
        <f>SQRT(4*(Tabla1[[#This Row],[dD]]-'Find a similar substance'!$D$5)^2+('Find a similar substance'!$E$5-Tabla1[[#This Row],[dP]])^2+(Tabla1[[#This Row],[dH]]-'Find a similar substance'!$F$5)^2)</f>
        <v>12.575519869969591</v>
      </c>
      <c r="H1236" s="2">
        <v>4.2</v>
      </c>
      <c r="I1236" s="27"/>
      <c r="J1236" s="27"/>
      <c r="K1236" s="27"/>
    </row>
    <row r="1237" spans="1:11" x14ac:dyDescent="0.25">
      <c r="A1237" s="2" t="s">
        <v>1497</v>
      </c>
      <c r="B1237" s="2" t="s">
        <v>57</v>
      </c>
      <c r="C1237" s="2">
        <v>16</v>
      </c>
      <c r="D1237" s="2">
        <v>8.1999999999999993</v>
      </c>
      <c r="E1237" s="2">
        <v>15</v>
      </c>
      <c r="F1237" s="2">
        <f>IFERROR(VLOOKUP(B1237,Tabla2[],5,FALSE),"")</f>
        <v>79.3</v>
      </c>
      <c r="G1237" s="2">
        <f>SQRT(4*(Tabla1[[#This Row],[dD]]-'Find a similar substance'!$D$5)^2+('Find a similar substance'!$E$5-Tabla1[[#This Row],[dP]])^2+(Tabla1[[#This Row],[dH]]-'Find a similar substance'!$F$5)^2)</f>
        <v>10.084145972763386</v>
      </c>
    </row>
    <row r="1238" spans="1:11" x14ac:dyDescent="0.25">
      <c r="A1238" s="2" t="s">
        <v>1778</v>
      </c>
      <c r="B1238" s="2" t="s">
        <v>58</v>
      </c>
      <c r="C1238" s="2">
        <v>16</v>
      </c>
      <c r="D1238" s="2">
        <v>0</v>
      </c>
      <c r="E1238" s="2">
        <v>1</v>
      </c>
      <c r="F1238" s="2">
        <v>128.19999999999999</v>
      </c>
      <c r="G1238" s="2">
        <f>SQRT(4*(Tabla1[[#This Row],[dD]]-'Find a similar substance'!$D$5)^2+('Find a similar substance'!$E$5-Tabla1[[#This Row],[dP]])^2+(Tabla1[[#This Row],[dH]]-'Find a similar substance'!$F$5)^2)</f>
        <v>9.6503885932121918</v>
      </c>
    </row>
    <row r="1239" spans="1:11" x14ac:dyDescent="0.25">
      <c r="A1239" s="2" t="s">
        <v>2524</v>
      </c>
      <c r="B1239" s="2" t="s">
        <v>2495</v>
      </c>
      <c r="C1239" s="2">
        <v>18.2</v>
      </c>
      <c r="D1239" s="2">
        <v>6.4</v>
      </c>
      <c r="E1239" s="2">
        <v>6.6</v>
      </c>
      <c r="F1239" s="2" t="str">
        <f>IFERROR(VLOOKUP(B1239,Tabla2[],5,FALSE),"")</f>
        <v/>
      </c>
      <c r="G1239" s="2">
        <f>SQRT(4*(Tabla1[[#This Row],[dD]]-'Find a similar substance'!$D$5)^2+('Find a similar substance'!$E$5-Tabla1[[#This Row],[dP]])^2+(Tabla1[[#This Row],[dH]]-'Find a similar substance'!$F$5)^2)</f>
        <v>4.2532340636273434</v>
      </c>
      <c r="H1239" s="2">
        <v>8</v>
      </c>
    </row>
    <row r="1240" spans="1:11" x14ac:dyDescent="0.25">
      <c r="A1240" s="2" t="s">
        <v>2523</v>
      </c>
      <c r="B1240" s="2" t="s">
        <v>2496</v>
      </c>
      <c r="C1240" s="2">
        <v>17.399999999999999</v>
      </c>
      <c r="D1240" s="2">
        <v>9.9</v>
      </c>
      <c r="E1240" s="2">
        <v>14.6</v>
      </c>
      <c r="F1240" s="2" t="str">
        <f>IFERROR(VLOOKUP(B1240,Tabla2[],5,FALSE),"")</f>
        <v/>
      </c>
      <c r="G1240" s="2">
        <f>SQRT(4*(Tabla1[[#This Row],[dD]]-'Find a similar substance'!$D$5)^2+('Find a similar substance'!$E$5-Tabla1[[#This Row],[dP]])^2+(Tabla1[[#This Row],[dH]]-'Find a similar substance'!$F$5)^2)</f>
        <v>9.8061205377050094</v>
      </c>
      <c r="H1240" s="2">
        <v>8</v>
      </c>
    </row>
    <row r="1241" spans="1:11" x14ac:dyDescent="0.25">
      <c r="A1241" s="2" t="s">
        <v>2525</v>
      </c>
      <c r="B1241" s="2" t="s">
        <v>2497</v>
      </c>
      <c r="C1241" s="2">
        <v>17.399999999999999</v>
      </c>
      <c r="D1241" s="2">
        <v>10.5</v>
      </c>
      <c r="E1241" s="2">
        <v>9</v>
      </c>
      <c r="F1241" s="2" t="str">
        <f>IFERROR(VLOOKUP(B1241,Tabla2[],5,FALSE),"")</f>
        <v/>
      </c>
      <c r="G1241" s="2">
        <f>SQRT(4*(Tabla1[[#This Row],[dD]]-'Find a similar substance'!$D$5)^2+('Find a similar substance'!$E$5-Tabla1[[#This Row],[dP]])^2+(Tabla1[[#This Row],[dH]]-'Find a similar substance'!$F$5)^2)</f>
        <v>4.6690470119714993</v>
      </c>
      <c r="H1241" s="2">
        <v>8</v>
      </c>
    </row>
    <row r="1242" spans="1:11" x14ac:dyDescent="0.25">
      <c r="A1242" s="2" t="s">
        <v>2526</v>
      </c>
      <c r="B1242" s="2" t="s">
        <v>2498</v>
      </c>
      <c r="C1242" s="2">
        <v>18.600000000000001</v>
      </c>
      <c r="D1242" s="2">
        <v>4.4000000000000004</v>
      </c>
      <c r="E1242" s="2">
        <v>13</v>
      </c>
      <c r="F1242" s="2" t="str">
        <f>IFERROR(VLOOKUP(B1242,Tabla2[],5,FALSE),"")</f>
        <v/>
      </c>
      <c r="G1242" s="2">
        <f>SQRT(4*(Tabla1[[#This Row],[dD]]-'Find a similar substance'!$D$5)^2+('Find a similar substance'!$E$5-Tabla1[[#This Row],[dP]])^2+(Tabla1[[#This Row],[dH]]-'Find a similar substance'!$F$5)^2)</f>
        <v>9.9242128151304776</v>
      </c>
      <c r="H1242" s="2">
        <v>8</v>
      </c>
    </row>
    <row r="1243" spans="1:11" x14ac:dyDescent="0.25">
      <c r="A1243" s="2" t="s">
        <v>2540</v>
      </c>
      <c r="B1243" s="2" t="s">
        <v>2499</v>
      </c>
      <c r="C1243" s="2">
        <v>17</v>
      </c>
      <c r="D1243" s="2">
        <v>12.1</v>
      </c>
      <c r="E1243" s="2">
        <v>10.199999999999999</v>
      </c>
      <c r="F1243" s="2" t="str">
        <f>IFERROR(VLOOKUP(B1243,Tabla2[],5,FALSE),"")</f>
        <v/>
      </c>
      <c r="G1243" s="2">
        <f>SQRT(4*(Tabla1[[#This Row],[dD]]-'Find a similar substance'!$D$5)^2+('Find a similar substance'!$E$5-Tabla1[[#This Row],[dP]])^2+(Tabla1[[#This Row],[dH]]-'Find a similar substance'!$F$5)^2)</f>
        <v>6.2641839053463295</v>
      </c>
      <c r="H1243" s="2">
        <v>8</v>
      </c>
    </row>
    <row r="1244" spans="1:11" x14ac:dyDescent="0.25">
      <c r="A1244" s="2" t="s">
        <v>2527</v>
      </c>
      <c r="B1244" s="2" t="s">
        <v>2500</v>
      </c>
      <c r="C1244" s="2">
        <v>17.899999999999999</v>
      </c>
      <c r="D1244" s="2">
        <v>3.1</v>
      </c>
      <c r="E1244" s="2">
        <v>8.5</v>
      </c>
      <c r="F1244" s="2" t="str">
        <f>IFERROR(VLOOKUP(B1244,Tabla2[],5,FALSE),"")</f>
        <v/>
      </c>
      <c r="G1244" s="2">
        <f>SQRT(4*(Tabla1[[#This Row],[dD]]-'Find a similar substance'!$D$5)^2+('Find a similar substance'!$E$5-Tabla1[[#This Row],[dP]])^2+(Tabla1[[#This Row],[dH]]-'Find a similar substance'!$F$5)^2)</f>
        <v>7.0971825395715991</v>
      </c>
      <c r="H1244" s="2">
        <v>8</v>
      </c>
    </row>
    <row r="1245" spans="1:11" x14ac:dyDescent="0.25">
      <c r="A1245" s="2" t="s">
        <v>2528</v>
      </c>
      <c r="B1245" s="2" t="s">
        <v>2501</v>
      </c>
      <c r="C1245" s="2">
        <v>18.100000000000001</v>
      </c>
      <c r="D1245" s="2">
        <v>9.3000000000000007</v>
      </c>
      <c r="E1245" s="2">
        <v>4.5</v>
      </c>
      <c r="F1245" s="2" t="str">
        <f>IFERROR(VLOOKUP(B1245,Tabla2[],5,FALSE),"")</f>
        <v/>
      </c>
      <c r="G1245" s="2">
        <f>SQRT(4*(Tabla1[[#This Row],[dD]]-'Find a similar substance'!$D$5)^2+('Find a similar substance'!$E$5-Tabla1[[#This Row],[dP]])^2+(Tabla1[[#This Row],[dH]]-'Find a similar substance'!$F$5)^2)</f>
        <v>3.1</v>
      </c>
      <c r="H1245" s="2">
        <v>8</v>
      </c>
    </row>
    <row r="1246" spans="1:11" x14ac:dyDescent="0.25">
      <c r="A1246" s="2" t="s">
        <v>2529</v>
      </c>
      <c r="B1246" s="2" t="s">
        <v>2502</v>
      </c>
      <c r="C1246" s="2">
        <v>16</v>
      </c>
      <c r="D1246" s="2">
        <v>6</v>
      </c>
      <c r="E1246" s="2">
        <v>6.6</v>
      </c>
      <c r="F1246" s="2" t="str">
        <f>IFERROR(VLOOKUP(B1246,Tabla2[],5,FALSE),"")</f>
        <v/>
      </c>
      <c r="G1246" s="2">
        <f>SQRT(4*(Tabla1[[#This Row],[dD]]-'Find a similar substance'!$D$5)^2+('Find a similar substance'!$E$5-Tabla1[[#This Row],[dP]])^2+(Tabla1[[#This Row],[dH]]-'Find a similar substance'!$F$5)^2)</f>
        <v>3.3600595232822887</v>
      </c>
      <c r="H1246" s="2">
        <v>8</v>
      </c>
    </row>
    <row r="1247" spans="1:11" x14ac:dyDescent="0.25">
      <c r="A1247" s="2" t="s">
        <v>2503</v>
      </c>
      <c r="B1247" s="2" t="s">
        <v>2503</v>
      </c>
      <c r="C1247" s="2">
        <v>17.2</v>
      </c>
      <c r="D1247" s="2">
        <v>3</v>
      </c>
      <c r="E1247" s="2">
        <v>3</v>
      </c>
      <c r="F1247" s="2" t="str">
        <f>IFERROR(VLOOKUP(B1247,Tabla2[],5,FALSE),"")</f>
        <v/>
      </c>
      <c r="G1247" s="2">
        <f>SQRT(4*(Tabla1[[#This Row],[dD]]-'Find a similar substance'!$D$5)^2+('Find a similar substance'!$E$5-Tabla1[[#This Row],[dP]])^2+(Tabla1[[#This Row],[dH]]-'Find a similar substance'!$F$5)^2)</f>
        <v>6.1587336360651275</v>
      </c>
      <c r="H1247" s="2">
        <v>8</v>
      </c>
    </row>
    <row r="1248" spans="1:11" x14ac:dyDescent="0.25">
      <c r="A1248" s="2" t="s">
        <v>2530</v>
      </c>
      <c r="B1248" s="2" t="s">
        <v>2504</v>
      </c>
      <c r="C1248" s="2">
        <v>19</v>
      </c>
      <c r="D1248" s="2">
        <v>11</v>
      </c>
      <c r="E1248" s="2">
        <v>8</v>
      </c>
      <c r="F1248" s="2" t="str">
        <f>IFERROR(VLOOKUP(B1248,Tabla2[],5,FALSE),"")</f>
        <v/>
      </c>
      <c r="G1248" s="2">
        <f>SQRT(4*(Tabla1[[#This Row],[dD]]-'Find a similar substance'!$D$5)^2+('Find a similar substance'!$E$5-Tabla1[[#This Row],[dP]])^2+(Tabla1[[#This Row],[dH]]-'Find a similar substance'!$F$5)^2)</f>
        <v>6.1098281481560495</v>
      </c>
      <c r="H1248" s="2">
        <v>8</v>
      </c>
    </row>
    <row r="1249" spans="1:8" x14ac:dyDescent="0.25">
      <c r="A1249" s="2" t="s">
        <v>2531</v>
      </c>
      <c r="B1249" s="2" t="s">
        <v>2532</v>
      </c>
      <c r="C1249" s="2">
        <v>17.2</v>
      </c>
      <c r="D1249" s="2">
        <v>9.1999999999999993</v>
      </c>
      <c r="E1249" s="2">
        <v>9.8000000000000007</v>
      </c>
      <c r="F1249" s="2" t="str">
        <f>IFERROR(VLOOKUP(B1249,Tabla2[],5,FALSE),"")</f>
        <v/>
      </c>
      <c r="G1249" s="2">
        <f>SQRT(4*(Tabla1[[#This Row],[dD]]-'Find a similar substance'!$D$5)^2+('Find a similar substance'!$E$5-Tabla1[[#This Row],[dP]])^2+(Tabla1[[#This Row],[dH]]-'Find a similar substance'!$F$5)^2)</f>
        <v>4.9729267036625417</v>
      </c>
      <c r="H1249" s="2">
        <v>8</v>
      </c>
    </row>
    <row r="1250" spans="1:8" x14ac:dyDescent="0.25">
      <c r="A1250" s="2" t="s">
        <v>2533</v>
      </c>
      <c r="B1250" s="2" t="s">
        <v>2505</v>
      </c>
      <c r="C1250" s="2">
        <v>18.100000000000001</v>
      </c>
      <c r="D1250" s="2">
        <v>10</v>
      </c>
      <c r="E1250" s="2">
        <v>18</v>
      </c>
      <c r="F1250" s="2" t="str">
        <f>IFERROR(VLOOKUP(B1250,Tabla2[],5,FALSE),"")</f>
        <v/>
      </c>
      <c r="G1250" s="2">
        <f>SQRT(4*(Tabla1[[#This Row],[dD]]-'Find a similar substance'!$D$5)^2+('Find a similar substance'!$E$5-Tabla1[[#This Row],[dP]])^2+(Tabla1[[#This Row],[dH]]-'Find a similar substance'!$F$5)^2)</f>
        <v>13.404849868610986</v>
      </c>
      <c r="H1250" s="2">
        <v>8</v>
      </c>
    </row>
    <row r="1251" spans="1:8" x14ac:dyDescent="0.25">
      <c r="A1251" s="2" t="s">
        <v>2534</v>
      </c>
      <c r="B1251" s="2" t="s">
        <v>2535</v>
      </c>
      <c r="C1251" s="2">
        <v>18</v>
      </c>
      <c r="D1251" s="2">
        <v>3</v>
      </c>
      <c r="E1251" s="2">
        <v>2</v>
      </c>
      <c r="F1251" s="2" t="str">
        <f>IFERROR(VLOOKUP(B1251,Tabla2[],5,FALSE),"")</f>
        <v/>
      </c>
      <c r="G1251" s="2">
        <f>SQRT(4*(Tabla1[[#This Row],[dD]]-'Find a similar substance'!$D$5)^2+('Find a similar substance'!$E$5-Tabla1[[#This Row],[dP]])^2+(Tabla1[[#This Row],[dH]]-'Find a similar substance'!$F$5)^2)</f>
        <v>7.0235318750611491</v>
      </c>
      <c r="H1251" s="2">
        <v>8</v>
      </c>
    </row>
    <row r="1252" spans="1:8" x14ac:dyDescent="0.25">
      <c r="A1252" s="2" t="s">
        <v>2536</v>
      </c>
      <c r="B1252" s="2" t="s">
        <v>2506</v>
      </c>
      <c r="C1252" s="2">
        <v>17</v>
      </c>
      <c r="D1252" s="2">
        <v>10</v>
      </c>
      <c r="E1252" s="2">
        <v>5</v>
      </c>
      <c r="F1252" s="2" t="str">
        <f>IFERROR(VLOOKUP(B1252,Tabla2[],5,FALSE),"")</f>
        <v/>
      </c>
      <c r="G1252" s="2">
        <f>SQRT(4*(Tabla1[[#This Row],[dD]]-'Find a similar substance'!$D$5)^2+('Find a similar substance'!$E$5-Tabla1[[#This Row],[dP]])^2+(Tabla1[[#This Row],[dH]]-'Find a similar substance'!$F$5)^2)</f>
        <v>1.5264337522473739</v>
      </c>
      <c r="H1252" s="2">
        <v>8</v>
      </c>
    </row>
    <row r="1253" spans="1:8" x14ac:dyDescent="0.25">
      <c r="A1253" s="2" t="s">
        <v>2537</v>
      </c>
      <c r="B1253" s="2" t="s">
        <v>2507</v>
      </c>
      <c r="C1253" s="2">
        <v>16.5</v>
      </c>
      <c r="D1253" s="2">
        <v>9</v>
      </c>
      <c r="E1253" s="2">
        <v>7</v>
      </c>
      <c r="F1253" s="2" t="str">
        <f>IFERROR(VLOOKUP(B1253,Tabla2[],5,FALSE),"")</f>
        <v/>
      </c>
      <c r="G1253" s="2">
        <f>SQRT(4*(Tabla1[[#This Row],[dD]]-'Find a similar substance'!$D$5)^2+('Find a similar substance'!$E$5-Tabla1[[#This Row],[dP]])^2+(Tabla1[[#This Row],[dH]]-'Find a similar substance'!$F$5)^2)</f>
        <v>2.0322401432901578</v>
      </c>
      <c r="H1253" s="2">
        <v>8</v>
      </c>
    </row>
    <row r="1254" spans="1:8" x14ac:dyDescent="0.25">
      <c r="A1254" s="2" t="s">
        <v>2538</v>
      </c>
      <c r="B1254" s="2" t="s">
        <v>2508</v>
      </c>
      <c r="C1254" s="2">
        <v>15</v>
      </c>
      <c r="D1254" s="2">
        <v>17.2</v>
      </c>
      <c r="E1254" s="2">
        <v>17.8</v>
      </c>
      <c r="F1254" s="2" t="str">
        <f>IFERROR(VLOOKUP(B1254,Tabla2[],5,FALSE),"")</f>
        <v/>
      </c>
      <c r="G1254" s="2">
        <f>SQRT(4*(Tabla1[[#This Row],[dD]]-'Find a similar substance'!$D$5)^2+('Find a similar substance'!$E$5-Tabla1[[#This Row],[dP]])^2+(Tabla1[[#This Row],[dH]]-'Find a similar substance'!$F$5)^2)</f>
        <v>15.694903631433997</v>
      </c>
      <c r="H1254" s="2">
        <v>8</v>
      </c>
    </row>
    <row r="1255" spans="1:8" x14ac:dyDescent="0.25">
      <c r="A1255" s="2" t="s">
        <v>2539</v>
      </c>
      <c r="B1255" s="2" t="s">
        <v>2509</v>
      </c>
      <c r="C1255" s="2">
        <v>18.5</v>
      </c>
      <c r="D1255" s="2">
        <v>8</v>
      </c>
      <c r="E1255" s="2">
        <v>7</v>
      </c>
      <c r="F1255" s="2" t="str">
        <f>IFERROR(VLOOKUP(B1255,Tabla2[],5,FALSE),"")</f>
        <v/>
      </c>
      <c r="G1255" s="2">
        <f>SQRT(4*(Tabla1[[#This Row],[dD]]-'Find a similar substance'!$D$5)^2+('Find a similar substance'!$E$5-Tabla1[[#This Row],[dP]])^2+(Tabla1[[#This Row],[dH]]-'Find a similar substance'!$F$5)^2)</f>
        <v>4.3508619835614155</v>
      </c>
      <c r="H1255" s="2">
        <v>8</v>
      </c>
    </row>
    <row r="1256" spans="1:8" x14ac:dyDescent="0.25">
      <c r="A1256" s="2" t="s">
        <v>2542</v>
      </c>
      <c r="B1256" s="2" t="s">
        <v>2541</v>
      </c>
      <c r="C1256" s="2">
        <v>17.89</v>
      </c>
      <c r="D1256" s="2">
        <v>8.2899999999999991</v>
      </c>
      <c r="E1256" s="2">
        <v>10.34</v>
      </c>
      <c r="F1256" s="2" t="str">
        <f>IFERROR(VLOOKUP(B1256,Tabla2[],5,FALSE),"")</f>
        <v/>
      </c>
      <c r="G1256" s="2">
        <f>SQRT(4*(Tabla1[[#This Row],[dD]]-'Find a similar substance'!$D$5)^2+('Find a similar substance'!$E$5-Tabla1[[#This Row],[dP]])^2+(Tabla1[[#This Row],[dH]]-'Find a similar substance'!$F$5)^2)</f>
        <v>5.944753989863667</v>
      </c>
      <c r="H1256" s="2">
        <v>5.3</v>
      </c>
    </row>
    <row r="1257" spans="1:8" x14ac:dyDescent="0.25">
      <c r="A1257" s="2" t="s">
        <v>2567</v>
      </c>
      <c r="B1257" s="2" t="s">
        <v>2565</v>
      </c>
      <c r="C1257" s="2">
        <v>16.899999999999999</v>
      </c>
      <c r="D1257" s="2">
        <v>4.3</v>
      </c>
      <c r="E1257" s="2">
        <v>9.1999999999999993</v>
      </c>
      <c r="F1257" s="2" t="str">
        <f>IFERROR(VLOOKUP(B1257,Tabla2[],5,FALSE),"")</f>
        <v/>
      </c>
      <c r="G1257" s="2">
        <f>SQRT(4*(Tabla1[[#This Row],[dD]]-'Find a similar substance'!$D$5)^2+('Find a similar substance'!$E$5-Tabla1[[#This Row],[dP]])^2+(Tabla1[[#This Row],[dH]]-'Find a similar substance'!$F$5)^2)</f>
        <v>6.1122827159744491</v>
      </c>
    </row>
    <row r="1258" spans="1:8" x14ac:dyDescent="0.25">
      <c r="A1258" s="2" t="s">
        <v>2568</v>
      </c>
      <c r="B1258" s="2" t="s">
        <v>2566</v>
      </c>
      <c r="C1258" s="2">
        <v>16.600000000000001</v>
      </c>
      <c r="D1258" s="2">
        <v>22.7</v>
      </c>
      <c r="E1258" s="2">
        <v>7.4</v>
      </c>
      <c r="F1258" s="2" t="str">
        <f>IFERROR(VLOOKUP(B1258,Tabla2[],5,FALSE),"")</f>
        <v/>
      </c>
      <c r="G1258" s="2">
        <f>SQRT(4*(Tabla1[[#This Row],[dD]]-'Find a similar substance'!$D$5)^2+('Find a similar substance'!$E$5-Tabla1[[#This Row],[dP]])^2+(Tabla1[[#This Row],[dH]]-'Find a similar substance'!$F$5)^2)</f>
        <v>14.204224723651762</v>
      </c>
    </row>
    <row r="1259" spans="1:8" x14ac:dyDescent="0.25">
      <c r="A1259" s="2" t="s">
        <v>2582</v>
      </c>
      <c r="B1259" s="2" t="s">
        <v>2592</v>
      </c>
      <c r="C1259" s="2">
        <v>16.399999999999999</v>
      </c>
      <c r="D1259" s="2">
        <v>2.8</v>
      </c>
      <c r="E1259" s="2">
        <v>4.5</v>
      </c>
      <c r="F1259" s="2" t="str">
        <f>IFERROR(VLOOKUP(B1259,Tabla2[],5,FALSE),"")</f>
        <v/>
      </c>
      <c r="G1259" s="2">
        <f>SQRT(4*(Tabla1[[#This Row],[dD]]-'Find a similar substance'!$D$5)^2+('Find a similar substance'!$E$5-Tabla1[[#This Row],[dP]])^2+(Tabla1[[#This Row],[dH]]-'Find a similar substance'!$F$5)^2)</f>
        <v>5.9346440499831159</v>
      </c>
    </row>
    <row r="1260" spans="1:8" x14ac:dyDescent="0.25">
      <c r="A1260" s="2" t="s">
        <v>2583</v>
      </c>
      <c r="B1260" s="2" t="s">
        <v>2591</v>
      </c>
      <c r="C1260" s="2">
        <v>15.4</v>
      </c>
      <c r="D1260" s="2">
        <v>3.2</v>
      </c>
      <c r="E1260" s="2">
        <v>3.2</v>
      </c>
      <c r="F1260" s="2" t="str">
        <f>IFERROR(VLOOKUP(B1260,Tabla2[],5,FALSE),"")</f>
        <v/>
      </c>
      <c r="G1260" s="2">
        <f>SQRT(4*(Tabla1[[#This Row],[dD]]-'Find a similar substance'!$D$5)^2+('Find a similar substance'!$E$5-Tabla1[[#This Row],[dP]])^2+(Tabla1[[#This Row],[dH]]-'Find a similar substance'!$F$5)^2)</f>
        <v>6.2649820430708338</v>
      </c>
    </row>
    <row r="1261" spans="1:8" x14ac:dyDescent="0.25">
      <c r="A1261" s="2" t="s">
        <v>2584</v>
      </c>
      <c r="B1261" s="2" t="s">
        <v>2590</v>
      </c>
      <c r="C1261" s="2">
        <v>14.9</v>
      </c>
      <c r="D1261" s="2">
        <v>2.7</v>
      </c>
      <c r="E1261" s="2">
        <v>4</v>
      </c>
      <c r="F1261" s="2" t="str">
        <f>IFERROR(VLOOKUP(B1261,Tabla2[],5,FALSE),"")</f>
        <v/>
      </c>
      <c r="G1261" s="2">
        <f>SQRT(4*(Tabla1[[#This Row],[dD]]-'Find a similar substance'!$D$5)^2+('Find a similar substance'!$E$5-Tabla1[[#This Row],[dP]])^2+(Tabla1[[#This Row],[dH]]-'Find a similar substance'!$F$5)^2)</f>
        <v>6.9685005560737387</v>
      </c>
    </row>
    <row r="1262" spans="1:8" x14ac:dyDescent="0.25">
      <c r="A1262" s="2" t="s">
        <v>2585</v>
      </c>
      <c r="B1262" s="2" t="s">
        <v>2589</v>
      </c>
      <c r="C1262" s="2">
        <v>18.22</v>
      </c>
      <c r="D1262" s="2">
        <v>5.39</v>
      </c>
      <c r="E1262" s="2">
        <v>14.74</v>
      </c>
      <c r="F1262" s="2" t="str">
        <f>IFERROR(VLOOKUP(B1262,Tabla2[],5,FALSE),"")</f>
        <v/>
      </c>
      <c r="G1262" s="2">
        <f>SQRT(4*(Tabla1[[#This Row],[dD]]-'Find a similar substance'!$D$5)^2+('Find a similar substance'!$E$5-Tabla1[[#This Row],[dP]])^2+(Tabla1[[#This Row],[dH]]-'Find a similar substance'!$F$5)^2)</f>
        <v>10.785235277915822</v>
      </c>
    </row>
    <row r="1263" spans="1:8" x14ac:dyDescent="0.25">
      <c r="A1263" s="2" t="s">
        <v>2586</v>
      </c>
      <c r="B1263" s="2" t="s">
        <v>2588</v>
      </c>
      <c r="C1263" s="2">
        <v>17.239999999999998</v>
      </c>
      <c r="D1263" s="2">
        <v>5.8</v>
      </c>
      <c r="E1263" s="2">
        <v>6.67</v>
      </c>
      <c r="F1263" s="2" t="str">
        <f>IFERROR(VLOOKUP(B1263,Tabla2[],5,FALSE),"")</f>
        <v/>
      </c>
      <c r="G1263" s="2">
        <f>SQRT(4*(Tabla1[[#This Row],[dD]]-'Find a similar substance'!$D$5)^2+('Find a similar substance'!$E$5-Tabla1[[#This Row],[dP]])^2+(Tabla1[[#This Row],[dH]]-'Find a similar substance'!$F$5)^2)</f>
        <v>3.5829178053647812</v>
      </c>
    </row>
    <row r="1264" spans="1:8" x14ac:dyDescent="0.25">
      <c r="A1264" s="2" t="s">
        <v>2593</v>
      </c>
      <c r="B1264" s="2" t="s">
        <v>2587</v>
      </c>
      <c r="C1264" s="2">
        <v>17.260000000000002</v>
      </c>
      <c r="D1264" s="2">
        <v>4.95</v>
      </c>
      <c r="E1264" s="2">
        <v>6.16</v>
      </c>
      <c r="F1264" s="2" t="str">
        <f>IFERROR(VLOOKUP(B1264,Tabla2[],5,FALSE),"")</f>
        <v/>
      </c>
      <c r="G1264" s="2">
        <f>SQRT(4*(Tabla1[[#This Row],[dD]]-'Find a similar substance'!$D$5)^2+('Find a similar substance'!$E$5-Tabla1[[#This Row],[dP]])^2+(Tabla1[[#This Row],[dH]]-'Find a similar substance'!$F$5)^2)</f>
        <v>4.1413162158907877</v>
      </c>
    </row>
    <row r="1265" spans="1:7" x14ac:dyDescent="0.25">
      <c r="A1265" s="2" t="s">
        <v>2594</v>
      </c>
      <c r="B1265" s="2" t="s">
        <v>2595</v>
      </c>
      <c r="C1265" s="2">
        <v>17.29</v>
      </c>
      <c r="D1265" s="2">
        <v>4.0599999999999996</v>
      </c>
      <c r="E1265" s="2">
        <v>5.58</v>
      </c>
      <c r="F1265" s="2" t="str">
        <f>IFERROR(VLOOKUP(B1265,Tabla2[],5,FALSE),"")</f>
        <v/>
      </c>
      <c r="G1265" s="2">
        <f>SQRT(4*(Tabla1[[#This Row],[dD]]-'Find a similar substance'!$D$5)^2+('Find a similar substance'!$E$5-Tabla1[[#This Row],[dP]])^2+(Tabla1[[#This Row],[dH]]-'Find a similar substance'!$F$5)^2)</f>
        <v>4.8754897189923385</v>
      </c>
    </row>
    <row r="1266" spans="1:7" x14ac:dyDescent="0.25">
      <c r="A1266" s="2" t="s">
        <v>2596</v>
      </c>
      <c r="B1266" s="2" t="s">
        <v>2597</v>
      </c>
      <c r="C1266" s="2">
        <v>16.579999999999998</v>
      </c>
      <c r="D1266" s="2">
        <v>9.58</v>
      </c>
      <c r="E1266" s="2">
        <v>8.4499999999999993</v>
      </c>
      <c r="F1266" s="2" t="str">
        <f>IFERROR(VLOOKUP(B1266,Tabla2[],5,FALSE),"")</f>
        <v/>
      </c>
      <c r="G1266" s="2">
        <f>SQRT(4*(Tabla1[[#This Row],[dD]]-'Find a similar substance'!$D$5)^2+('Find a similar substance'!$E$5-Tabla1[[#This Row],[dP]])^2+(Tabla1[[#This Row],[dH]]-'Find a similar substance'!$F$5)^2)</f>
        <v>3.5606881357400559</v>
      </c>
    </row>
    <row r="1267" spans="1:7" x14ac:dyDescent="0.25">
      <c r="A1267" s="2" t="s">
        <v>2584</v>
      </c>
      <c r="B1267" s="2" t="s">
        <v>2598</v>
      </c>
      <c r="C1267" s="2">
        <v>14.84</v>
      </c>
      <c r="D1267" s="2">
        <v>2.68</v>
      </c>
      <c r="E1267" s="2">
        <v>4.5199999999999996</v>
      </c>
      <c r="F1267" s="2" t="str">
        <f>IFERROR(VLOOKUP(B1267,Tabla2[],5,FALSE),"")</f>
        <v/>
      </c>
      <c r="G1267" s="2">
        <f>SQRT(4*(Tabla1[[#This Row],[dD]]-'Find a similar substance'!$D$5)^2+('Find a similar substance'!$E$5-Tabla1[[#This Row],[dP]])^2+(Tabla1[[#This Row],[dH]]-'Find a similar substance'!$F$5)^2)</f>
        <v>6.9900786833911974</v>
      </c>
    </row>
    <row r="1268" spans="1:7" x14ac:dyDescent="0.25">
      <c r="A1268" s="2" t="s">
        <v>2600</v>
      </c>
      <c r="B1268" s="2" t="s">
        <v>2599</v>
      </c>
      <c r="C1268" s="2">
        <v>14.49</v>
      </c>
      <c r="D1268" s="2">
        <v>2.71</v>
      </c>
      <c r="E1268" s="2">
        <v>5.16</v>
      </c>
      <c r="F1268" s="2" t="str">
        <f>IFERROR(VLOOKUP(B1268,Tabla2[],5,FALSE),"")</f>
        <v/>
      </c>
      <c r="G1268" s="2">
        <f>SQRT(4*(Tabla1[[#This Row],[dD]]-'Find a similar substance'!$D$5)^2+('Find a similar substance'!$E$5-Tabla1[[#This Row],[dP]])^2+(Tabla1[[#This Row],[dH]]-'Find a similar substance'!$F$5)^2)</f>
        <v>7.3289903806731802</v>
      </c>
    </row>
    <row r="1269" spans="1:7" x14ac:dyDescent="0.25">
      <c r="A1269" s="2" t="s">
        <v>2601</v>
      </c>
      <c r="B1269" s="2" t="s">
        <v>2602</v>
      </c>
      <c r="C1269" s="2">
        <v>16.600000000000001</v>
      </c>
      <c r="D1269" s="2">
        <v>9.4</v>
      </c>
      <c r="E1269" s="2">
        <v>9.6</v>
      </c>
      <c r="F1269" s="2" t="str">
        <f>IFERROR(VLOOKUP(B1269,Tabla2[],5,FALSE),"")</f>
        <v/>
      </c>
      <c r="G1269" s="2">
        <f>SQRT(4*(Tabla1[[#This Row],[dD]]-'Find a similar substance'!$D$5)^2+('Find a similar substance'!$E$5-Tabla1[[#This Row],[dP]])^2+(Tabla1[[#This Row],[dH]]-'Find a similar substance'!$F$5)^2)</f>
        <v>4.6529560496527367</v>
      </c>
    </row>
  </sheetData>
  <pageMargins left="0.7" right="0.7" top="0.75" bottom="0.75" header="0.3" footer="0.3"/>
  <ignoredErrors>
    <ignoredError sqref="F1220:F1225 F1226:F1229 F1238" calculatedColumn="1"/>
    <ignoredError sqref="A52" twoDigitTextYear="1"/>
  </ignoredErrors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N102"/>
  <sheetViews>
    <sheetView showGridLines="0" zoomScale="70" zoomScaleNormal="70" workbookViewId="0">
      <selection activeCell="A41" sqref="A41"/>
    </sheetView>
  </sheetViews>
  <sheetFormatPr defaultColWidth="9.140625" defaultRowHeight="15" x14ac:dyDescent="0.25"/>
  <cols>
    <col min="1" max="1" width="14.140625" style="2" bestFit="1" customWidth="1"/>
    <col min="2" max="2" width="34.140625" style="2" customWidth="1"/>
    <col min="3" max="3" width="10" style="2" customWidth="1"/>
    <col min="4" max="6" width="9.140625" style="2"/>
    <col min="7" max="7" width="10.85546875" style="2" bestFit="1" customWidth="1"/>
    <col min="8" max="9" width="15.28515625" style="2" hidden="1" customWidth="1"/>
    <col min="10" max="10" width="9.7109375" style="2" customWidth="1"/>
    <col min="11" max="11" width="10.7109375" style="2" customWidth="1"/>
    <col min="12" max="12" width="11.28515625" style="2" customWidth="1"/>
    <col min="13" max="13" width="11.7109375" style="2" bestFit="1" customWidth="1"/>
    <col min="14" max="14" width="7.140625" style="2" bestFit="1" customWidth="1"/>
    <col min="15" max="15" width="17.140625" style="2" bestFit="1" customWidth="1"/>
    <col min="16" max="16" width="10.5703125" style="2" bestFit="1" customWidth="1"/>
    <col min="17" max="17" width="38.85546875" style="2" bestFit="1" customWidth="1"/>
    <col min="18" max="26" width="9.140625" style="2"/>
    <col min="27" max="27" width="12.28515625" customWidth="1"/>
    <col min="38" max="38" width="10" style="2" customWidth="1"/>
    <col min="39" max="39" width="20.28515625" style="2" bestFit="1" customWidth="1"/>
    <col min="40" max="45" width="9.140625" style="2"/>
    <col min="46" max="46" width="9.28515625" style="2" customWidth="1"/>
    <col min="47" max="52" width="9.140625" style="2"/>
    <col min="53" max="54" width="17.42578125" style="2" bestFit="1" customWidth="1"/>
    <col min="55" max="57" width="9.140625" style="2"/>
    <col min="58" max="58" width="29.140625" style="2" customWidth="1"/>
    <col min="59" max="62" width="9.140625" style="2"/>
    <col min="63" max="63" width="33.85546875" style="2" customWidth="1"/>
    <col min="64" max="16384" width="9.140625" style="2"/>
  </cols>
  <sheetData>
    <row r="1" spans="1:66" x14ac:dyDescent="0.25">
      <c r="D1" s="3" t="s">
        <v>119</v>
      </c>
      <c r="H1" s="2" t="s">
        <v>2569</v>
      </c>
      <c r="K1" s="2" t="s">
        <v>100</v>
      </c>
      <c r="L1" s="2">
        <v>1000000</v>
      </c>
      <c r="O1" s="2" t="s">
        <v>92</v>
      </c>
      <c r="P1" s="2">
        <f>COUNTIF(L16:L110,1)</f>
        <v>11</v>
      </c>
      <c r="AU1" s="29"/>
      <c r="BA1" s="3" t="s">
        <v>2606</v>
      </c>
      <c r="BB1" s="3"/>
      <c r="BC1" s="3"/>
      <c r="BD1" s="3"/>
      <c r="BF1" s="3" t="s">
        <v>2604</v>
      </c>
      <c r="BK1" s="3" t="s">
        <v>2605</v>
      </c>
    </row>
    <row r="2" spans="1:66" x14ac:dyDescent="0.25">
      <c r="C2" s="3" t="s">
        <v>96</v>
      </c>
      <c r="D2" s="3" t="s">
        <v>97</v>
      </c>
      <c r="E2" s="3" t="s">
        <v>98</v>
      </c>
      <c r="F2" s="3" t="s">
        <v>1</v>
      </c>
      <c r="G2" s="3"/>
      <c r="H2" s="3">
        <f>COUNT(L16:L101)</f>
        <v>22</v>
      </c>
      <c r="I2" s="3"/>
      <c r="J2" s="3"/>
      <c r="K2" s="2" t="s">
        <v>2572</v>
      </c>
      <c r="L2" s="2">
        <f>L1*N102</f>
        <v>1000000</v>
      </c>
      <c r="O2" s="2" t="s">
        <v>93</v>
      </c>
      <c r="P2" s="2">
        <f>COUNTIF(L16:L110,0)</f>
        <v>11</v>
      </c>
      <c r="AT2" s="2" t="s">
        <v>2489</v>
      </c>
      <c r="AU2" s="2" t="s">
        <v>2490</v>
      </c>
      <c r="AV2" s="2" t="s">
        <v>2492</v>
      </c>
      <c r="AW2" s="2" t="s">
        <v>2491</v>
      </c>
      <c r="AX2" s="2" t="s">
        <v>2493</v>
      </c>
      <c r="AY2" s="2" t="s">
        <v>2494</v>
      </c>
      <c r="BB2" s="73" t="s">
        <v>96</v>
      </c>
      <c r="BC2" s="73" t="s">
        <v>97</v>
      </c>
      <c r="BD2" s="73" t="s">
        <v>98</v>
      </c>
      <c r="BG2" s="73" t="s">
        <v>96</v>
      </c>
      <c r="BH2" s="73" t="s">
        <v>97</v>
      </c>
      <c r="BI2" s="73" t="s">
        <v>98</v>
      </c>
      <c r="BL2" s="73" t="s">
        <v>96</v>
      </c>
      <c r="BM2" s="73" t="s">
        <v>97</v>
      </c>
      <c r="BN2" s="73" t="s">
        <v>98</v>
      </c>
    </row>
    <row r="3" spans="1:66" x14ac:dyDescent="0.25">
      <c r="C3" s="48">
        <v>17.826540139168078</v>
      </c>
      <c r="D3" s="48">
        <v>9.7595643039943738</v>
      </c>
      <c r="E3" s="48">
        <v>8.0681076208676448</v>
      </c>
      <c r="F3" s="48">
        <v>7.0686209093287555</v>
      </c>
      <c r="G3" s="5"/>
      <c r="H3" s="5"/>
      <c r="I3" s="5"/>
      <c r="J3" s="5"/>
      <c r="K3" s="3" t="s">
        <v>101</v>
      </c>
      <c r="L3" s="32">
        <f>L2/L1</f>
        <v>1</v>
      </c>
      <c r="O3" s="2" t="s">
        <v>94</v>
      </c>
      <c r="P3" s="2">
        <f>P1+P2</f>
        <v>22</v>
      </c>
      <c r="AT3" s="2">
        <v>0</v>
      </c>
      <c r="AU3" s="2">
        <f>RADIANS(Tabla9[[#This Row],[Angle º]])</f>
        <v>0</v>
      </c>
      <c r="AV3" s="2">
        <f t="shared" ref="AV3:AV6" si="0">$F$3*SIN(AU3)+ dD</f>
        <v>17.826540139168078</v>
      </c>
      <c r="AW3" s="2">
        <f t="shared" ref="AW3:AW6" si="1">$F$3*COS(AU3)+ dP</f>
        <v>16.828185213323131</v>
      </c>
      <c r="AX3" s="2">
        <f t="shared" ref="AX3:AX6" si="2">$F$3*SIN(AU3)+  dH</f>
        <v>8.0681076208676448</v>
      </c>
      <c r="AY3" s="2">
        <f t="shared" ref="AY3:AY6" si="3">$F$3*COS(AU3)+ dD</f>
        <v>24.895161048496831</v>
      </c>
      <c r="BA3" s="2" t="str" cm="1">
        <f t="array" ref="BA3">_xlfn._xlws.FILTER(Tabla4[[Solvents]:[dH]],Tabla4[AUX], "NO OUTLIERS")</f>
        <v>NO OUTLIERS</v>
      </c>
      <c r="BF3" s="2" t="str" cm="1">
        <f t="array" ref="BF3:BI13">_xlfn._xlws.FILTER(Tabla4[[Solvents]:[dH]],Tabla4[AUX2]=1)</f>
        <v>Acetone</v>
      </c>
      <c r="BG3" s="2">
        <v>15.5</v>
      </c>
      <c r="BH3" s="2">
        <v>10.4</v>
      </c>
      <c r="BI3" s="2">
        <v>7</v>
      </c>
      <c r="BK3" s="2" t="str" cm="1">
        <f t="array" ref="BK3:BN13">_xlfn._xlws.FILTER(Tabla4[[Solvents]:[dH]],Tabla4[AUX2]=0)</f>
        <v>Acetonitrile</v>
      </c>
      <c r="BL3" s="2">
        <v>15.3</v>
      </c>
      <c r="BM3" s="2">
        <v>18</v>
      </c>
      <c r="BN3" s="2">
        <v>6.1</v>
      </c>
    </row>
    <row r="4" spans="1:66" x14ac:dyDescent="0.25">
      <c r="B4" s="7" t="s">
        <v>105</v>
      </c>
      <c r="C4" s="46"/>
      <c r="D4" s="46"/>
      <c r="E4" s="46"/>
      <c r="F4" s="5"/>
      <c r="G4" s="5"/>
      <c r="H4" s="5"/>
      <c r="I4" s="5"/>
      <c r="J4" s="5"/>
      <c r="AA4" s="2"/>
      <c r="AB4" s="2"/>
      <c r="AT4" s="2">
        <v>5</v>
      </c>
      <c r="AU4" s="2">
        <f>RADIANS(Tabla9[[#This Row],[Angle º]])</f>
        <v>8.7266462599716474E-2</v>
      </c>
      <c r="AV4" s="2">
        <f t="shared" si="0"/>
        <v>18.442611044722252</v>
      </c>
      <c r="AW4" s="2">
        <f t="shared" si="1"/>
        <v>16.801286976688132</v>
      </c>
      <c r="AX4" s="2">
        <f t="shared" si="2"/>
        <v>8.6841785264218192</v>
      </c>
      <c r="AY4" s="2">
        <f t="shared" si="3"/>
        <v>24.868262811861836</v>
      </c>
      <c r="BF4" s="2" t="str">
        <v>Chloroform</v>
      </c>
      <c r="BG4" s="2">
        <v>17.8</v>
      </c>
      <c r="BH4" s="2">
        <v>3.1</v>
      </c>
      <c r="BI4" s="2">
        <v>5.7</v>
      </c>
      <c r="BK4" s="2" t="str">
        <v>Benzene</v>
      </c>
      <c r="BL4" s="2">
        <v>18.399999999999999</v>
      </c>
      <c r="BM4" s="2">
        <v>0</v>
      </c>
      <c r="BN4" s="2">
        <v>2</v>
      </c>
    </row>
    <row r="5" spans="1:66" x14ac:dyDescent="0.25">
      <c r="B5" s="3" t="s">
        <v>106</v>
      </c>
      <c r="C5" s="4">
        <f>dD-C4</f>
        <v>17.826540139168078</v>
      </c>
      <c r="D5" s="4">
        <f>dP-D4</f>
        <v>9.7595643039943738</v>
      </c>
      <c r="E5" s="4">
        <f>dH-E4</f>
        <v>8.0681076208676448</v>
      </c>
      <c r="K5" s="31" t="s">
        <v>2573</v>
      </c>
      <c r="O5" s="2" t="s">
        <v>103</v>
      </c>
      <c r="P5" s="2">
        <f>COUNTIF(Tabla4[WI / WO],"WO")</f>
        <v>0</v>
      </c>
      <c r="AT5" s="2">
        <v>10</v>
      </c>
      <c r="AU5" s="2">
        <f>RADIANS(Tabla9[[#This Row],[Angle º]])</f>
        <v>0.17453292519943295</v>
      </c>
      <c r="AV5" s="2">
        <f t="shared" si="0"/>
        <v>19.053993278691376</v>
      </c>
      <c r="AW5" s="2">
        <f t="shared" si="1"/>
        <v>16.720796978605534</v>
      </c>
      <c r="AX5" s="2">
        <f t="shared" si="2"/>
        <v>9.2955607603909431</v>
      </c>
      <c r="AY5" s="2">
        <f t="shared" si="3"/>
        <v>24.787772813779242</v>
      </c>
      <c r="BF5" s="2" t="str">
        <v>m-Cresol</v>
      </c>
      <c r="BG5" s="2">
        <v>18.5</v>
      </c>
      <c r="BH5" s="2">
        <v>6.5</v>
      </c>
      <c r="BI5" s="2">
        <v>13.7</v>
      </c>
      <c r="BK5" s="2" t="str">
        <v>Cyclohexane</v>
      </c>
      <c r="BL5" s="2">
        <v>16.8</v>
      </c>
      <c r="BM5" s="2">
        <v>0</v>
      </c>
      <c r="BN5" s="2">
        <v>0.2</v>
      </c>
    </row>
    <row r="6" spans="1:66" x14ac:dyDescent="0.25">
      <c r="C6" s="3" t="s">
        <v>5</v>
      </c>
      <c r="D6" s="4">
        <f>SQRT(4*(C4-dD)^2+(D4-dP)^2+(E4-dH)^2)</f>
        <v>37.834978384019017</v>
      </c>
      <c r="E6" s="3" t="s">
        <v>102</v>
      </c>
      <c r="F6" s="5">
        <f>D6/R_</f>
        <v>5.3525261673159763</v>
      </c>
      <c r="G6" s="5"/>
      <c r="H6" s="5"/>
      <c r="I6" s="5"/>
      <c r="J6" s="5"/>
      <c r="K6" s="3" t="s">
        <v>2571</v>
      </c>
      <c r="L6" s="2">
        <f>(R_^(-1/$H$2)*$N$102)</f>
        <v>0.91494266053485174</v>
      </c>
      <c r="O6" s="2" t="s">
        <v>104</v>
      </c>
      <c r="P6" s="2">
        <f>COUNTIF(Tabla4[WI / WO],"WI")</f>
        <v>0</v>
      </c>
      <c r="AT6" s="2">
        <v>15</v>
      </c>
      <c r="AU6" s="2">
        <f>RADIANS(Tabla9[[#This Row],[Angle º]])</f>
        <v>0.26179938779914941</v>
      </c>
      <c r="AV6" s="2">
        <f t="shared" si="0"/>
        <v>19.656033853112259</v>
      </c>
      <c r="AW6" s="2">
        <f t="shared" si="1"/>
        <v>16.587327796561937</v>
      </c>
      <c r="AX6" s="2">
        <f t="shared" si="2"/>
        <v>9.8976013348118244</v>
      </c>
      <c r="AY6" s="2">
        <f t="shared" si="3"/>
        <v>24.65430363173564</v>
      </c>
      <c r="BF6" s="2" t="str">
        <v>Dimethyl Sulfoxide (DMSO)</v>
      </c>
      <c r="BG6" s="2">
        <v>18.399999999999999</v>
      </c>
      <c r="BH6" s="2">
        <v>16.399999999999999</v>
      </c>
      <c r="BI6" s="2">
        <v>10.199999999999999</v>
      </c>
      <c r="BK6" s="2" t="str">
        <v>Diethyl Ether</v>
      </c>
      <c r="BL6" s="2">
        <v>14.5</v>
      </c>
      <c r="BM6" s="2">
        <v>2.9</v>
      </c>
      <c r="BN6" s="2">
        <v>4.5999999999999996</v>
      </c>
    </row>
    <row r="7" spans="1:66" x14ac:dyDescent="0.25">
      <c r="C7" s="3"/>
      <c r="D7" s="4"/>
      <c r="E7" s="3"/>
      <c r="F7" s="5"/>
      <c r="G7" s="5"/>
      <c r="H7" s="5"/>
      <c r="I7" s="5"/>
      <c r="J7" s="5"/>
      <c r="K7" s="31"/>
      <c r="AT7" s="2">
        <v>20</v>
      </c>
      <c r="AU7" s="2">
        <f>RADIANS(Tabla9[[#This Row],[Angle º]])</f>
        <v>0.3490658503988659</v>
      </c>
      <c r="AV7" s="2">
        <f t="shared" ref="AV7" si="4">$F$3*SIN(AU7)+ dD</f>
        <v>20.244150875691517</v>
      </c>
      <c r="AW7" s="2">
        <f t="shared" ref="AW7" si="5">$F$3*COS(AU7)+ dP</f>
        <v>16.401895211623582</v>
      </c>
      <c r="AX7" s="2">
        <f t="shared" ref="AX7" si="6">$F$3*SIN(AU7)+  dH</f>
        <v>10.485718357391084</v>
      </c>
      <c r="AY7" s="2">
        <f t="shared" ref="AY7" si="7">$F$3*COS(AU7)+ dD</f>
        <v>24.468871046797286</v>
      </c>
      <c r="BF7" s="2" t="str">
        <v>1,3-Dioxolane</v>
      </c>
      <c r="BG7" s="2">
        <v>18.100000000000001</v>
      </c>
      <c r="BH7" s="2">
        <v>6.6</v>
      </c>
      <c r="BI7" s="2">
        <v>9.3000000000000007</v>
      </c>
      <c r="BK7" s="2" t="str">
        <v>1,4-Dioxane</v>
      </c>
      <c r="BL7" s="2">
        <v>17.5</v>
      </c>
      <c r="BM7" s="2">
        <v>1.8</v>
      </c>
      <c r="BN7" s="2">
        <v>9</v>
      </c>
    </row>
    <row r="8" spans="1:66" x14ac:dyDescent="0.25">
      <c r="B8" s="64" t="s">
        <v>3</v>
      </c>
      <c r="C8" s="55" t="s">
        <v>96</v>
      </c>
      <c r="D8" s="55" t="s">
        <v>97</v>
      </c>
      <c r="E8" s="55" t="s">
        <v>98</v>
      </c>
      <c r="F8" s="55"/>
      <c r="G8" s="65"/>
      <c r="H8" s="55"/>
      <c r="I8" s="55"/>
      <c r="J8" s="55"/>
      <c r="K8" s="55"/>
      <c r="L8" s="66" t="s">
        <v>87</v>
      </c>
      <c r="AT8" s="2">
        <v>25</v>
      </c>
      <c r="AU8" s="2">
        <f>RADIANS(Tabla9[[#This Row],[Angle º]])</f>
        <v>0.43633231299858238</v>
      </c>
      <c r="AV8" s="3">
        <f t="shared" ref="AV8:AV34" si="8">$F$3*SIN(AU8)+ dD</f>
        <v>20.813868420772557</v>
      </c>
      <c r="AW8" s="3">
        <f t="shared" ref="AW8:AW34" si="9">$F$3*COS(AU8)+ dP</f>
        <v>16.16591047772911</v>
      </c>
      <c r="AX8" s="3">
        <f t="shared" ref="AX8:AX34" si="10">$F$3*SIN(AU8)+  dH</f>
        <v>11.055435902472126</v>
      </c>
      <c r="AY8" s="3">
        <f t="shared" ref="AY8:AY34" si="11">$F$3*COS(AU8)+ dD</f>
        <v>24.232886312902814</v>
      </c>
      <c r="BF8" s="2" t="str">
        <v>Ethyl Acetate</v>
      </c>
      <c r="BG8" s="2">
        <v>15.8</v>
      </c>
      <c r="BH8" s="2">
        <v>5.3</v>
      </c>
      <c r="BI8" s="2">
        <v>7.2</v>
      </c>
      <c r="BK8" s="2" t="str">
        <v>Ethanol</v>
      </c>
      <c r="BL8" s="2">
        <v>15.8</v>
      </c>
      <c r="BM8" s="2">
        <v>8.8000000000000007</v>
      </c>
      <c r="BN8" s="2">
        <v>19.399999999999999</v>
      </c>
    </row>
    <row r="9" spans="1:66" x14ac:dyDescent="0.25">
      <c r="B9" s="59"/>
      <c r="C9" s="18"/>
      <c r="D9" s="60"/>
      <c r="E9" s="18"/>
      <c r="F9" s="61"/>
      <c r="G9" s="61"/>
      <c r="H9" s="61"/>
      <c r="I9" s="61"/>
      <c r="J9" s="61"/>
      <c r="K9" s="62"/>
      <c r="L9" s="63">
        <v>1</v>
      </c>
      <c r="AT9" s="2">
        <v>30</v>
      </c>
      <c r="AU9" s="2">
        <f>RADIANS(Tabla9[[#This Row],[Angle º]])</f>
        <v>0.52359877559829882</v>
      </c>
      <c r="AV9" s="2">
        <f t="shared" si="8"/>
        <v>21.360850593832456</v>
      </c>
      <c r="AW9" s="2">
        <f t="shared" si="9"/>
        <v>15.881169581194936</v>
      </c>
      <c r="AX9" s="2">
        <f t="shared" si="10"/>
        <v>11.602418075532022</v>
      </c>
      <c r="AY9" s="2">
        <f t="shared" si="11"/>
        <v>23.948145416368639</v>
      </c>
      <c r="BF9" s="2" t="str">
        <v>Methyl Ethyl Ketone (MEK)</v>
      </c>
      <c r="BG9" s="2">
        <v>16</v>
      </c>
      <c r="BH9" s="2">
        <v>9</v>
      </c>
      <c r="BI9" s="2">
        <v>5.0999999999999996</v>
      </c>
      <c r="BK9" s="2" t="str">
        <v>Hexane</v>
      </c>
      <c r="BL9" s="2">
        <v>14.9</v>
      </c>
      <c r="BM9" s="2">
        <v>0</v>
      </c>
      <c r="BN9" s="2">
        <v>0</v>
      </c>
    </row>
    <row r="10" spans="1:66" x14ac:dyDescent="0.25">
      <c r="B10" s="54" t="s">
        <v>2466</v>
      </c>
      <c r="C10" s="69">
        <f>DMAX(A15:L101,"dD",$B$8:$L$9)</f>
        <v>18.5</v>
      </c>
      <c r="D10" s="69">
        <f>DMAX(A15:L101,"dP",$B$8:$L$9)</f>
        <v>16.399999999999999</v>
      </c>
      <c r="E10" s="69">
        <f>DMAX(A15:L101,"dH",$B$8:$L$9)</f>
        <v>13.7</v>
      </c>
      <c r="F10" s="56"/>
      <c r="G10" s="56"/>
      <c r="H10" s="56"/>
      <c r="I10" s="56"/>
      <c r="J10" s="56"/>
      <c r="K10" s="57"/>
      <c r="L10" s="58"/>
      <c r="AT10" s="2">
        <v>35</v>
      </c>
      <c r="AU10" s="2">
        <f>RADIANS(Tabla9[[#This Row],[Angle º]])</f>
        <v>0.6108652381980153</v>
      </c>
      <c r="AV10" s="2">
        <f t="shared" si="8"/>
        <v>21.880934530257356</v>
      </c>
      <c r="AW10" s="2">
        <f t="shared" si="9"/>
        <v>15.549839572174935</v>
      </c>
      <c r="AX10" s="2">
        <f t="shared" si="10"/>
        <v>12.122502011956923</v>
      </c>
      <c r="AY10" s="2">
        <f t="shared" si="11"/>
        <v>23.616815407348639</v>
      </c>
      <c r="BF10" s="2" t="str">
        <v>N-Methyl-2-Pyrrolidone (NMP)</v>
      </c>
      <c r="BG10" s="2">
        <v>18</v>
      </c>
      <c r="BH10" s="2">
        <v>12.3</v>
      </c>
      <c r="BI10" s="2">
        <v>7.2</v>
      </c>
      <c r="BK10" s="2" t="str">
        <v>Isopropyl Ether</v>
      </c>
      <c r="BL10" s="2">
        <v>15.1</v>
      </c>
      <c r="BM10" s="2">
        <v>3.2</v>
      </c>
      <c r="BN10" s="2">
        <v>3.2</v>
      </c>
    </row>
    <row r="11" spans="1:66" x14ac:dyDescent="0.25">
      <c r="B11" s="67" t="s">
        <v>2465</v>
      </c>
      <c r="C11" s="2">
        <f>DMIN(A15:L101,"dD",$B$8:$L$9)</f>
        <v>15.5</v>
      </c>
      <c r="D11" s="2">
        <f>DMIN(A15:L101,"dD",$B$8:$L$9)</f>
        <v>15.5</v>
      </c>
      <c r="E11" s="2">
        <f>DMIN(A15:L101,"dD",$B$8:$L$9)</f>
        <v>15.5</v>
      </c>
      <c r="F11" s="5"/>
      <c r="G11" s="5"/>
      <c r="H11" s="5"/>
      <c r="I11" s="5"/>
      <c r="J11" s="5"/>
      <c r="K11" s="31"/>
      <c r="L11" s="68"/>
      <c r="AT11" s="2">
        <v>40</v>
      </c>
      <c r="AU11" s="2">
        <f>RADIANS(Tabla9[[#This Row],[Angle º]])</f>
        <v>0.69813170079773179</v>
      </c>
      <c r="AV11" s="2">
        <f t="shared" si="8"/>
        <v>22.370162077255799</v>
      </c>
      <c r="AW11" s="2">
        <f t="shared" si="9"/>
        <v>15.174442072100284</v>
      </c>
      <c r="AX11" s="2">
        <f t="shared" si="10"/>
        <v>12.611729558955368</v>
      </c>
      <c r="AY11" s="2">
        <f t="shared" si="11"/>
        <v>23.241417907273988</v>
      </c>
      <c r="BF11" s="2" t="str">
        <v>Methylene Dichloride (Dichloromethane)</v>
      </c>
      <c r="BG11" s="2">
        <v>17</v>
      </c>
      <c r="BH11" s="2">
        <v>7.3</v>
      </c>
      <c r="BI11" s="2">
        <v>7.1</v>
      </c>
      <c r="BK11" s="2" t="str">
        <v>Methanol</v>
      </c>
      <c r="BL11" s="2">
        <v>14.7</v>
      </c>
      <c r="BM11" s="2">
        <v>12.3</v>
      </c>
      <c r="BN11" s="2">
        <v>22.3</v>
      </c>
    </row>
    <row r="12" spans="1:66" x14ac:dyDescent="0.25">
      <c r="B12" s="67" t="s">
        <v>106</v>
      </c>
      <c r="C12" s="2">
        <f>C10-C11</f>
        <v>3</v>
      </c>
      <c r="D12" s="2">
        <f t="shared" ref="D12:E12" si="12">D10-D11</f>
        <v>0.89999999999999858</v>
      </c>
      <c r="E12" s="2">
        <f t="shared" si="12"/>
        <v>-1.8000000000000007</v>
      </c>
      <c r="F12" s="5"/>
      <c r="G12" s="5"/>
      <c r="H12" s="5"/>
      <c r="I12" s="5"/>
      <c r="J12" s="5"/>
      <c r="K12" s="31"/>
      <c r="L12" s="68"/>
      <c r="AT12" s="2">
        <v>45</v>
      </c>
      <c r="AU12" s="2">
        <f>RADIANS(Tabla9[[#This Row],[Angle º]])</f>
        <v>0.78539816339744828</v>
      </c>
      <c r="AV12" s="2">
        <f t="shared" si="8"/>
        <v>22.824809917791459</v>
      </c>
      <c r="AW12" s="2">
        <f t="shared" si="9"/>
        <v>14.757834082617757</v>
      </c>
      <c r="AX12" s="2">
        <f t="shared" si="10"/>
        <v>13.066377399491028</v>
      </c>
      <c r="AY12" s="2">
        <f t="shared" si="11"/>
        <v>22.824809917791463</v>
      </c>
      <c r="BF12" s="2" t="str">
        <v>Dimethyl Formamide (DMF)</v>
      </c>
      <c r="BG12" s="2">
        <v>17.399999999999999</v>
      </c>
      <c r="BH12" s="2">
        <v>13.7</v>
      </c>
      <c r="BI12" s="2">
        <v>11.3</v>
      </c>
      <c r="BK12" s="2" t="str">
        <v>Toluene</v>
      </c>
      <c r="BL12" s="2">
        <v>18</v>
      </c>
      <c r="BM12" s="2">
        <v>1.4</v>
      </c>
      <c r="BN12" s="2">
        <v>2</v>
      </c>
    </row>
    <row r="13" spans="1:66" x14ac:dyDescent="0.25">
      <c r="B13" s="59" t="s">
        <v>2581</v>
      </c>
      <c r="C13" s="70">
        <f>C10-C12/2</f>
        <v>17</v>
      </c>
      <c r="D13" s="70">
        <f t="shared" ref="D13:E13" si="13">D10-D12/2</f>
        <v>15.95</v>
      </c>
      <c r="E13" s="70">
        <f t="shared" si="13"/>
        <v>14.6</v>
      </c>
      <c r="F13" s="61"/>
      <c r="G13" s="61"/>
      <c r="H13" s="61"/>
      <c r="I13" s="61"/>
      <c r="J13" s="61"/>
      <c r="K13" s="62"/>
      <c r="L13" s="63"/>
      <c r="AT13" s="2">
        <v>50</v>
      </c>
      <c r="AU13" s="2">
        <f>RADIANS(Tabla9[[#This Row],[Angle º]])</f>
        <v>0.87266462599716477</v>
      </c>
      <c r="AV13" s="2">
        <f t="shared" si="8"/>
        <v>23.241417907273988</v>
      </c>
      <c r="AW13" s="2">
        <f t="shared" si="9"/>
        <v>14.303186242082097</v>
      </c>
      <c r="AX13" s="2">
        <f t="shared" si="10"/>
        <v>13.482985388973555</v>
      </c>
      <c r="AY13" s="2">
        <f t="shared" si="11"/>
        <v>22.370162077255799</v>
      </c>
      <c r="BF13" s="2" t="str">
        <v>Tetrahydrofuran (THF)</v>
      </c>
      <c r="BG13" s="2">
        <v>16.8</v>
      </c>
      <c r="BH13" s="2">
        <v>5.7</v>
      </c>
      <c r="BI13" s="2">
        <v>8</v>
      </c>
      <c r="BK13" s="2" t="str">
        <v>Xylene</v>
      </c>
      <c r="BL13" s="2">
        <v>17.8</v>
      </c>
      <c r="BM13" s="2">
        <v>1</v>
      </c>
      <c r="BN13" s="2">
        <v>3.1</v>
      </c>
    </row>
    <row r="14" spans="1:66" x14ac:dyDescent="0.25">
      <c r="AT14" s="2">
        <v>55</v>
      </c>
      <c r="AU14" s="2">
        <f>RADIANS(Tabla9[[#This Row],[Angle º]])</f>
        <v>0.95993108859688125</v>
      </c>
      <c r="AV14" s="2">
        <f t="shared" si="8"/>
        <v>23.616815407348639</v>
      </c>
      <c r="AW14" s="2">
        <f t="shared" si="9"/>
        <v>13.813958695083652</v>
      </c>
      <c r="AX14" s="2">
        <f t="shared" si="10"/>
        <v>13.858382889048208</v>
      </c>
      <c r="AY14" s="2">
        <f t="shared" si="11"/>
        <v>21.880934530257356</v>
      </c>
    </row>
    <row r="15" spans="1:66" s="3" customFormat="1" x14ac:dyDescent="0.25">
      <c r="A15" s="3" t="s">
        <v>2452</v>
      </c>
      <c r="B15" s="3" t="s">
        <v>3</v>
      </c>
      <c r="C15" s="3" t="s">
        <v>96</v>
      </c>
      <c r="D15" s="3" t="s">
        <v>97</v>
      </c>
      <c r="E15" s="3" t="s">
        <v>98</v>
      </c>
      <c r="F15" s="3" t="s">
        <v>4</v>
      </c>
      <c r="G15" s="30" t="s">
        <v>2607</v>
      </c>
      <c r="H15" s="3" t="s">
        <v>2510</v>
      </c>
      <c r="I15" s="3" t="s">
        <v>2603</v>
      </c>
      <c r="J15" s="3" t="s">
        <v>102</v>
      </c>
      <c r="L15" s="3" t="s">
        <v>87</v>
      </c>
      <c r="M15" s="3" t="s">
        <v>5</v>
      </c>
      <c r="N15" s="3" t="s">
        <v>99</v>
      </c>
      <c r="O15" s="3" t="s">
        <v>2570</v>
      </c>
      <c r="Q15" s="6"/>
      <c r="AT15" s="2">
        <v>60</v>
      </c>
      <c r="AU15" s="2">
        <f>RADIANS(Tabla9[[#This Row],[Angle º]])</f>
        <v>1.0471975511965976</v>
      </c>
      <c r="AV15" s="2">
        <f t="shared" si="8"/>
        <v>23.948145416368639</v>
      </c>
      <c r="AW15" s="2">
        <f t="shared" si="9"/>
        <v>13.293874758658752</v>
      </c>
      <c r="AX15" s="2">
        <f t="shared" si="10"/>
        <v>14.189712898068205</v>
      </c>
      <c r="AY15" s="2">
        <f t="shared" si="11"/>
        <v>21.360850593832456</v>
      </c>
    </row>
    <row r="16" spans="1:66" x14ac:dyDescent="0.25">
      <c r="A16" s="16" t="s">
        <v>765</v>
      </c>
      <c r="B16" s="33" t="str">
        <f>VLOOKUP(Tabla4[[#This Row],[CAS]],Tabla1[],2,FALSE)</f>
        <v>Acetone</v>
      </c>
      <c r="C16" s="2">
        <f>VLOOKUP(Tabla4[[#This Row],[CAS]],Tabla1[],3,FALSE)</f>
        <v>15.5</v>
      </c>
      <c r="D16" s="2">
        <f>VLOOKUP(Tabla4[[#This Row],[CAS]],Tabla1[],4,FALSE)</f>
        <v>10.4</v>
      </c>
      <c r="E16" s="2">
        <f>VLOOKUP(Tabla4[[#This Row],[CAS]],Tabla1[],5,FALSE)</f>
        <v>7</v>
      </c>
      <c r="F16" s="2">
        <f>VLOOKUP(Tabla4[[#This Row],[CAS]],Tabla1[],6,FALSE)</f>
        <v>73.8</v>
      </c>
      <c r="G16" s="2" t="str">
        <f t="shared" ref="G16:G25" si="14">IF(L16=1,IF(J16&lt;=1,"","WO"),IF(L16&lt;&gt;"",IF(J16&gt;1,"","WI"),""))</f>
        <v/>
      </c>
      <c r="H16" s="2" t="b">
        <f>ISNUMBER(SEARCH("w",Tabla4[[#This Row],[WI / WO]]))</f>
        <v>0</v>
      </c>
      <c r="I16" s="2">
        <f>L16</f>
        <v>1</v>
      </c>
      <c r="J16" s="5">
        <f t="shared" ref="J16:J25" si="15">IF(L16&lt;&gt;"",M16/R_,"")</f>
        <v>0.68144308846482826</v>
      </c>
      <c r="L16" s="21">
        <v>1</v>
      </c>
      <c r="M16" s="5">
        <f t="shared" ref="M16:M47" si="16">IF(L16&lt;&gt;"",SQRT(4*(C16-dD)^2+(D16-dP)^2+(E16-dH)^2),0)</f>
        <v>4.8168628636400497</v>
      </c>
      <c r="N16" s="5">
        <f>IF(L16=1,IF(M16&lt;R_,1,EXP(R_-M16)),IF(L16&lt;&gt;"",IF(M16&lt;R_,EXP(M16-R_),1),1))</f>
        <v>1</v>
      </c>
      <c r="O16" s="5">
        <f>IF(L16=1,M16, "")</f>
        <v>4.8168628636400497</v>
      </c>
      <c r="P16" s="5"/>
      <c r="AT16" s="2">
        <v>65</v>
      </c>
      <c r="AU16" s="2">
        <f>RADIANS(Tabla9[[#This Row],[Angle º]])</f>
        <v>1.1344640137963142</v>
      </c>
      <c r="AV16" s="2">
        <f t="shared" si="8"/>
        <v>24.232886312902814</v>
      </c>
      <c r="AW16" s="2">
        <f t="shared" si="9"/>
        <v>12.746892585598854</v>
      </c>
      <c r="AX16" s="2">
        <f t="shared" si="10"/>
        <v>14.474453794602383</v>
      </c>
      <c r="AY16" s="2">
        <f t="shared" si="11"/>
        <v>20.813868420772557</v>
      </c>
    </row>
    <row r="17" spans="1:51" x14ac:dyDescent="0.25">
      <c r="A17" s="16" t="s">
        <v>770</v>
      </c>
      <c r="B17" s="33" t="str">
        <f>VLOOKUP(Tabla4[[#This Row],[CAS]],Tabla1[],2,FALSE)</f>
        <v>Acetonitrile</v>
      </c>
      <c r="C17" s="2">
        <f>VLOOKUP(Tabla4[[#This Row],[CAS]],Tabla1[],3,FALSE)</f>
        <v>15.3</v>
      </c>
      <c r="D17" s="2">
        <f>VLOOKUP(Tabla4[[#This Row],[CAS]],Tabla1[],4,FALSE)</f>
        <v>18</v>
      </c>
      <c r="E17" s="2">
        <f>VLOOKUP(Tabla4[[#This Row],[CAS]],Tabla1[],5,FALSE)</f>
        <v>6.1</v>
      </c>
      <c r="F17" s="2">
        <f>VLOOKUP(Tabla4[[#This Row],[CAS]],Tabla1[],6,FALSE)</f>
        <v>52.9</v>
      </c>
      <c r="G17" s="2" t="str">
        <f t="shared" si="14"/>
        <v/>
      </c>
      <c r="H17" s="2" t="b">
        <f>ISNUMBER(SEARCH("w",Tabla4[[#This Row],[WI / WO]]))</f>
        <v>0</v>
      </c>
      <c r="I17" s="2">
        <f t="shared" ref="I17:I37" si="17">L17</f>
        <v>0</v>
      </c>
      <c r="J17" s="5">
        <f t="shared" si="15"/>
        <v>1.395558897052825</v>
      </c>
      <c r="L17" s="21">
        <v>0</v>
      </c>
      <c r="M17" s="5">
        <f t="shared" si="16"/>
        <v>9.8646767999073752</v>
      </c>
      <c r="N17" s="5">
        <f t="shared" ref="N17:N47" si="18">IF(L17=1,IF(M17&lt;R_,1,EXP(R_-M17)),IF(L17&lt;&gt;"",IF(M17&lt;R_,EXP(M17-R_),1),1))</f>
        <v>1</v>
      </c>
      <c r="O17" s="5" t="str">
        <f t="shared" ref="O17:O80" si="19">IF(L17=1,M17, "")</f>
        <v/>
      </c>
      <c r="P17" s="5"/>
      <c r="AT17" s="2">
        <v>70</v>
      </c>
      <c r="AU17" s="2">
        <f>RADIANS(Tabla9[[#This Row],[Angle º]])</f>
        <v>1.2217304763960306</v>
      </c>
      <c r="AV17" s="2">
        <f t="shared" si="8"/>
        <v>24.468871046797286</v>
      </c>
      <c r="AW17" s="2">
        <f t="shared" si="9"/>
        <v>12.177175040517813</v>
      </c>
      <c r="AX17" s="2">
        <f t="shared" si="10"/>
        <v>14.710438528496853</v>
      </c>
      <c r="AY17" s="2">
        <f t="shared" si="11"/>
        <v>20.244150875691517</v>
      </c>
    </row>
    <row r="18" spans="1:51" x14ac:dyDescent="0.25">
      <c r="A18" s="16" t="s">
        <v>874</v>
      </c>
      <c r="B18" s="33" t="str">
        <f>VLOOKUP(Tabla4[[#This Row],[CAS]],Tabla1[],2,FALSE)</f>
        <v>Benzene</v>
      </c>
      <c r="C18" s="2">
        <f>VLOOKUP(Tabla4[[#This Row],[CAS]],Tabla1[],3,FALSE)</f>
        <v>18.399999999999999</v>
      </c>
      <c r="D18" s="2">
        <f>VLOOKUP(Tabla4[[#This Row],[CAS]],Tabla1[],4,FALSE)</f>
        <v>0</v>
      </c>
      <c r="E18" s="2">
        <f>VLOOKUP(Tabla4[[#This Row],[CAS]],Tabla1[],5,FALSE)</f>
        <v>2</v>
      </c>
      <c r="F18" s="2">
        <f>VLOOKUP(Tabla4[[#This Row],[CAS]],Tabla1[],6,FALSE)</f>
        <v>52.9</v>
      </c>
      <c r="G18" s="2" t="str">
        <f t="shared" si="14"/>
        <v/>
      </c>
      <c r="H18" s="2" t="b">
        <f>ISNUMBER(SEARCH("w",Tabla4[[#This Row],[WI / WO]]))</f>
        <v>0</v>
      </c>
      <c r="I18" s="2">
        <f t="shared" si="17"/>
        <v>0</v>
      </c>
      <c r="J18" s="5">
        <f t="shared" si="15"/>
        <v>1.6338837995716209</v>
      </c>
      <c r="L18" s="21">
        <v>0</v>
      </c>
      <c r="M18" s="5">
        <f t="shared" si="16"/>
        <v>11.549305189065473</v>
      </c>
      <c r="N18" s="5">
        <f t="shared" si="18"/>
        <v>1</v>
      </c>
      <c r="O18" s="5" t="str">
        <f t="shared" si="19"/>
        <v/>
      </c>
      <c r="P18" s="5"/>
      <c r="AT18" s="2">
        <v>75</v>
      </c>
      <c r="AU18" s="2">
        <f>RADIANS(Tabla9[[#This Row],[Angle º]])</f>
        <v>1.3089969389957472</v>
      </c>
      <c r="AV18" s="2">
        <f t="shared" si="8"/>
        <v>24.65430363173564</v>
      </c>
      <c r="AW18" s="2">
        <f t="shared" si="9"/>
        <v>11.589058017938553</v>
      </c>
      <c r="AX18" s="2">
        <f t="shared" si="10"/>
        <v>14.895871113435209</v>
      </c>
      <c r="AY18" s="2">
        <f t="shared" si="11"/>
        <v>19.656033853112259</v>
      </c>
    </row>
    <row r="19" spans="1:51" x14ac:dyDescent="0.25">
      <c r="A19" s="16" t="s">
        <v>1028</v>
      </c>
      <c r="B19" s="33" t="str">
        <f>VLOOKUP(Tabla4[[#This Row],[CAS]],Tabla1[],2,FALSE)</f>
        <v>Chloroform</v>
      </c>
      <c r="C19" s="2">
        <f>VLOOKUP(Tabla4[[#This Row],[CAS]],Tabla1[],3,FALSE)</f>
        <v>17.8</v>
      </c>
      <c r="D19" s="2">
        <f>VLOOKUP(Tabla4[[#This Row],[CAS]],Tabla1[],4,FALSE)</f>
        <v>3.1</v>
      </c>
      <c r="E19" s="2">
        <f>VLOOKUP(Tabla4[[#This Row],[CAS]],Tabla1[],5,FALSE)</f>
        <v>5.7</v>
      </c>
      <c r="F19" s="2">
        <f>VLOOKUP(Tabla4[[#This Row],[CAS]],Tabla1[],6,FALSE)</f>
        <v>80.5</v>
      </c>
      <c r="G19" s="2" t="str">
        <f t="shared" si="14"/>
        <v/>
      </c>
      <c r="H19" s="2" t="b">
        <f>ISNUMBER(SEARCH("w",Tabla4[[#This Row],[WI / WO]]))</f>
        <v>0</v>
      </c>
      <c r="I19" s="2">
        <f t="shared" si="17"/>
        <v>1</v>
      </c>
      <c r="J19" s="5">
        <f t="shared" si="15"/>
        <v>0.99995142900359146</v>
      </c>
      <c r="L19" s="21">
        <v>1</v>
      </c>
      <c r="M19" s="5">
        <f t="shared" si="16"/>
        <v>7.0682775793679555</v>
      </c>
      <c r="N19" s="5">
        <f t="shared" si="18"/>
        <v>1</v>
      </c>
      <c r="O19" s="5">
        <f t="shared" si="19"/>
        <v>7.0682775793679555</v>
      </c>
      <c r="P19" s="5"/>
      <c r="AT19" s="2">
        <v>80</v>
      </c>
      <c r="AU19" s="2">
        <f>RADIANS(Tabla9[[#This Row],[Angle º]])</f>
        <v>1.3962634015954636</v>
      </c>
      <c r="AV19" s="2">
        <f t="shared" si="8"/>
        <v>24.787772813779242</v>
      </c>
      <c r="AW19" s="2">
        <f t="shared" si="9"/>
        <v>10.987017443517672</v>
      </c>
      <c r="AX19" s="2">
        <f t="shared" si="10"/>
        <v>15.029340295478807</v>
      </c>
      <c r="AY19" s="2">
        <f t="shared" si="11"/>
        <v>19.053993278691376</v>
      </c>
    </row>
    <row r="20" spans="1:51" x14ac:dyDescent="0.25">
      <c r="A20" s="16" t="s">
        <v>1720</v>
      </c>
      <c r="B20" s="33" t="str">
        <f>VLOOKUP(Tabla4[[#This Row],[CAS]],Tabla1[],2,FALSE)</f>
        <v>m-Cresol</v>
      </c>
      <c r="C20" s="2">
        <f>VLOOKUP(Tabla4[[#This Row],[CAS]],Tabla1[],3,FALSE)</f>
        <v>18.5</v>
      </c>
      <c r="D20" s="2">
        <f>VLOOKUP(Tabla4[[#This Row],[CAS]],Tabla1[],4,FALSE)</f>
        <v>6.5</v>
      </c>
      <c r="E20" s="2">
        <f>VLOOKUP(Tabla4[[#This Row],[CAS]],Tabla1[],5,FALSE)</f>
        <v>13.7</v>
      </c>
      <c r="F20" s="2">
        <f>VLOOKUP(Tabla4[[#This Row],[CAS]],Tabla1[],6,FALSE)</f>
        <v>105</v>
      </c>
      <c r="G20" s="2" t="str">
        <f t="shared" si="14"/>
        <v/>
      </c>
      <c r="H20" s="2" t="b">
        <f>ISNUMBER(SEARCH("w",Tabla4[[#This Row],[WI / WO]]))</f>
        <v>0</v>
      </c>
      <c r="I20" s="2">
        <f t="shared" si="17"/>
        <v>1</v>
      </c>
      <c r="J20" s="5">
        <f t="shared" si="15"/>
        <v>0.94008234210151587</v>
      </c>
      <c r="L20" s="21">
        <v>1</v>
      </c>
      <c r="M20" s="5">
        <f t="shared" si="16"/>
        <v>6.6450856998695231</v>
      </c>
      <c r="N20" s="5">
        <f t="shared" si="18"/>
        <v>1</v>
      </c>
      <c r="O20" s="5">
        <f t="shared" si="19"/>
        <v>6.6450856998695231</v>
      </c>
      <c r="P20" s="5"/>
      <c r="AT20" s="2">
        <v>85</v>
      </c>
      <c r="AU20" s="2">
        <f>RADIANS(Tabla9[[#This Row],[Angle º]])</f>
        <v>1.4835298641951802</v>
      </c>
      <c r="AV20" s="2">
        <f t="shared" si="8"/>
        <v>24.868262811861836</v>
      </c>
      <c r="AW20" s="2">
        <f t="shared" si="9"/>
        <v>10.375635209548548</v>
      </c>
      <c r="AX20" s="2">
        <f t="shared" si="10"/>
        <v>15.109830293561405</v>
      </c>
      <c r="AY20" s="2">
        <f t="shared" si="11"/>
        <v>18.442611044722252</v>
      </c>
    </row>
    <row r="21" spans="1:51" x14ac:dyDescent="0.25">
      <c r="A21" s="16" t="s">
        <v>1075</v>
      </c>
      <c r="B21" s="33" t="str">
        <f>VLOOKUP(Tabla4[[#This Row],[CAS]],Tabla1[],2,FALSE)</f>
        <v>Cyclohexane</v>
      </c>
      <c r="C21" s="2">
        <f>VLOOKUP(Tabla4[[#This Row],[CAS]],Tabla1[],3,FALSE)</f>
        <v>16.8</v>
      </c>
      <c r="D21" s="2">
        <f>VLOOKUP(Tabla4[[#This Row],[CAS]],Tabla1[],4,FALSE)</f>
        <v>0</v>
      </c>
      <c r="E21" s="2">
        <f>VLOOKUP(Tabla4[[#This Row],[CAS]],Tabla1[],5,FALSE)</f>
        <v>0.2</v>
      </c>
      <c r="F21" s="2">
        <f>VLOOKUP(Tabla4[[#This Row],[CAS]],Tabla1[],6,FALSE)</f>
        <v>108.9</v>
      </c>
      <c r="G21" s="2" t="str">
        <f t="shared" si="14"/>
        <v/>
      </c>
      <c r="H21" s="2" t="b">
        <f>ISNUMBER(SEARCH("w",Tabla4[[#This Row],[WI / WO]]))</f>
        <v>0</v>
      </c>
      <c r="I21" s="2">
        <f t="shared" si="17"/>
        <v>0</v>
      </c>
      <c r="J21" s="5">
        <f t="shared" si="15"/>
        <v>1.7971259990844373</v>
      </c>
      <c r="L21" s="21">
        <v>0</v>
      </c>
      <c r="M21" s="5">
        <f t="shared" si="16"/>
        <v>12.703202413826583</v>
      </c>
      <c r="N21" s="5">
        <f t="shared" si="18"/>
        <v>1</v>
      </c>
      <c r="O21" s="5" t="str">
        <f t="shared" si="19"/>
        <v/>
      </c>
      <c r="P21" s="5"/>
      <c r="AT21" s="2">
        <v>90</v>
      </c>
      <c r="AU21" s="2">
        <f>RADIANS(Tabla9[[#This Row],[Angle º]])</f>
        <v>1.5707963267948966</v>
      </c>
      <c r="AV21" s="2">
        <f t="shared" si="8"/>
        <v>24.895161048496831</v>
      </c>
      <c r="AW21" s="2">
        <f t="shared" si="9"/>
        <v>9.7595643039943738</v>
      </c>
      <c r="AX21" s="2">
        <f t="shared" si="10"/>
        <v>15.1367285301964</v>
      </c>
      <c r="AY21" s="2">
        <f t="shared" si="11"/>
        <v>17.826540139168078</v>
      </c>
    </row>
    <row r="22" spans="1:51" x14ac:dyDescent="0.25">
      <c r="A22" s="16" t="s">
        <v>1216</v>
      </c>
      <c r="B22" s="33" t="str">
        <f>VLOOKUP(Tabla4[[#This Row],[CAS]],Tabla1[],2,FALSE)</f>
        <v>Diethyl Ether</v>
      </c>
      <c r="C22" s="2">
        <f>VLOOKUP(Tabla4[[#This Row],[CAS]],Tabla1[],3,FALSE)</f>
        <v>14.5</v>
      </c>
      <c r="D22" s="2">
        <f>VLOOKUP(Tabla4[[#This Row],[CAS]],Tabla1[],4,FALSE)</f>
        <v>2.9</v>
      </c>
      <c r="E22" s="2">
        <f>VLOOKUP(Tabla4[[#This Row],[CAS]],Tabla1[],5,FALSE)</f>
        <v>4.5999999999999996</v>
      </c>
      <c r="F22" s="2">
        <f>VLOOKUP(Tabla4[[#This Row],[CAS]],Tabla1[],6,FALSE)</f>
        <v>104.7</v>
      </c>
      <c r="G22" s="2" t="str">
        <f t="shared" si="14"/>
        <v/>
      </c>
      <c r="H22" s="2" t="b">
        <f>ISNUMBER(SEARCH("w",Tabla4[[#This Row],[WI / WO]]))</f>
        <v>0</v>
      </c>
      <c r="I22" s="2">
        <f t="shared" si="17"/>
        <v>0</v>
      </c>
      <c r="J22" s="5">
        <f t="shared" si="15"/>
        <v>1.4381684953067502</v>
      </c>
      <c r="L22" s="21">
        <v>0</v>
      </c>
      <c r="M22" s="5">
        <f t="shared" si="16"/>
        <v>10.165867897063169</v>
      </c>
      <c r="N22" s="5">
        <f t="shared" si="18"/>
        <v>1</v>
      </c>
      <c r="O22" s="5" t="str">
        <f t="shared" si="19"/>
        <v/>
      </c>
      <c r="P22" s="5"/>
      <c r="AT22" s="2">
        <v>95</v>
      </c>
      <c r="AU22" s="2">
        <f>RADIANS(Tabla9[[#This Row],[Angle º]])</f>
        <v>1.6580627893946132</v>
      </c>
      <c r="AV22" s="2">
        <f t="shared" si="8"/>
        <v>24.868262811861836</v>
      </c>
      <c r="AW22" s="2">
        <f t="shared" si="9"/>
        <v>9.1434933984401994</v>
      </c>
      <c r="AX22" s="2">
        <f t="shared" si="10"/>
        <v>15.109830293561405</v>
      </c>
      <c r="AY22" s="2">
        <f t="shared" si="11"/>
        <v>17.210469233613903</v>
      </c>
    </row>
    <row r="23" spans="1:51" x14ac:dyDescent="0.25">
      <c r="A23" s="16" t="s">
        <v>1318</v>
      </c>
      <c r="B23" s="33" t="str">
        <f>VLOOKUP(Tabla4[[#This Row],[CAS]],Tabla1[],2,FALSE)</f>
        <v>Dimethyl Sulfoxide (DMSO)</v>
      </c>
      <c r="C23" s="2">
        <f>VLOOKUP(Tabla4[[#This Row],[CAS]],Tabla1[],3,FALSE)</f>
        <v>18.399999999999999</v>
      </c>
      <c r="D23" s="2">
        <f>VLOOKUP(Tabla4[[#This Row],[CAS]],Tabla1[],4,FALSE)</f>
        <v>16.399999999999999</v>
      </c>
      <c r="E23" s="2">
        <f>VLOOKUP(Tabla4[[#This Row],[CAS]],Tabla1[],5,FALSE)</f>
        <v>10.199999999999999</v>
      </c>
      <c r="F23" s="2">
        <f>VLOOKUP(Tabla4[[#This Row],[CAS]],Tabla1[],6,FALSE)</f>
        <v>71.3</v>
      </c>
      <c r="G23" s="2" t="str">
        <f t="shared" si="14"/>
        <v/>
      </c>
      <c r="H23" s="2" t="b">
        <f>ISNUMBER(SEARCH("w",Tabla4[[#This Row],[WI / WO]]))</f>
        <v>0</v>
      </c>
      <c r="I23" s="2">
        <f t="shared" si="17"/>
        <v>1</v>
      </c>
      <c r="J23" s="5">
        <f t="shared" si="15"/>
        <v>0.99990367508142752</v>
      </c>
      <c r="L23" s="21">
        <v>1</v>
      </c>
      <c r="M23" s="5">
        <f t="shared" si="16"/>
        <v>7.0679400249952451</v>
      </c>
      <c r="N23" s="5">
        <f t="shared" si="18"/>
        <v>1</v>
      </c>
      <c r="O23" s="5">
        <f t="shared" si="19"/>
        <v>7.0679400249952451</v>
      </c>
      <c r="P23" s="5"/>
      <c r="AT23" s="2">
        <v>100</v>
      </c>
      <c r="AU23" s="2">
        <f>RADIANS(Tabla9[[#This Row],[Angle º]])</f>
        <v>1.7453292519943295</v>
      </c>
      <c r="AV23" s="2">
        <f t="shared" si="8"/>
        <v>24.787772813779242</v>
      </c>
      <c r="AW23" s="2">
        <f t="shared" si="9"/>
        <v>8.5321111644710754</v>
      </c>
      <c r="AX23" s="2">
        <f t="shared" si="10"/>
        <v>15.029340295478807</v>
      </c>
      <c r="AY23" s="2">
        <f t="shared" si="11"/>
        <v>16.599086999644779</v>
      </c>
    </row>
    <row r="24" spans="1:51" x14ac:dyDescent="0.25">
      <c r="A24" s="16" t="s">
        <v>268</v>
      </c>
      <c r="B24" s="33" t="str">
        <f>VLOOKUP(Tabla4[[#This Row],[CAS]],Tabla1[],2,FALSE)</f>
        <v>1,4-Dioxane</v>
      </c>
      <c r="C24" s="2">
        <f>VLOOKUP(Tabla4[[#This Row],[CAS]],Tabla1[],3,FALSE)</f>
        <v>17.5</v>
      </c>
      <c r="D24" s="2">
        <f>VLOOKUP(Tabla4[[#This Row],[CAS]],Tabla1[],4,FALSE)</f>
        <v>1.8</v>
      </c>
      <c r="E24" s="2">
        <f>VLOOKUP(Tabla4[[#This Row],[CAS]],Tabla1[],5,FALSE)</f>
        <v>9</v>
      </c>
      <c r="F24" s="2">
        <f>VLOOKUP(Tabla4[[#This Row],[CAS]],Tabla1[],6,FALSE)</f>
        <v>85.7</v>
      </c>
      <c r="G24" s="2" t="str">
        <f t="shared" si="14"/>
        <v/>
      </c>
      <c r="H24" s="2" t="b">
        <f>ISNUMBER(SEARCH("w",Tabla4[[#This Row],[WI / WO]]))</f>
        <v>0</v>
      </c>
      <c r="I24" s="2">
        <f t="shared" si="17"/>
        <v>0</v>
      </c>
      <c r="J24" s="5">
        <f t="shared" si="15"/>
        <v>1.1374916935948733</v>
      </c>
      <c r="L24" s="21">
        <v>0</v>
      </c>
      <c r="M24" s="5">
        <f t="shared" si="16"/>
        <v>8.0404975695324996</v>
      </c>
      <c r="N24" s="5">
        <f t="shared" si="18"/>
        <v>1</v>
      </c>
      <c r="O24" s="5" t="str">
        <f t="shared" si="19"/>
        <v/>
      </c>
      <c r="P24" s="5"/>
      <c r="AT24" s="2">
        <v>105</v>
      </c>
      <c r="AU24" s="2">
        <f>RADIANS(Tabla9[[#This Row],[Angle º]])</f>
        <v>1.8325957145940461</v>
      </c>
      <c r="AV24" s="2">
        <f t="shared" si="8"/>
        <v>24.65430363173564</v>
      </c>
      <c r="AW24" s="2">
        <f t="shared" si="9"/>
        <v>7.9300705900501924</v>
      </c>
      <c r="AX24" s="2">
        <f t="shared" si="10"/>
        <v>14.895871113435209</v>
      </c>
      <c r="AY24" s="2">
        <f t="shared" si="11"/>
        <v>15.997046425223896</v>
      </c>
    </row>
    <row r="25" spans="1:51" x14ac:dyDescent="0.25">
      <c r="A25" s="16" t="s">
        <v>251</v>
      </c>
      <c r="B25" s="33" t="str">
        <f>VLOOKUP(Tabla4[[#This Row],[CAS]],Tabla1[],2,FALSE)</f>
        <v>1,3-Dioxolane</v>
      </c>
      <c r="C25" s="2">
        <f>VLOOKUP(Tabla4[[#This Row],[CAS]],Tabla1[],3,FALSE)</f>
        <v>18.100000000000001</v>
      </c>
      <c r="D25" s="2">
        <f>VLOOKUP(Tabla4[[#This Row],[CAS]],Tabla1[],4,FALSE)</f>
        <v>6.6</v>
      </c>
      <c r="E25" s="2">
        <f>VLOOKUP(Tabla4[[#This Row],[CAS]],Tabla1[],5,FALSE)</f>
        <v>9.3000000000000007</v>
      </c>
      <c r="F25" s="2">
        <f>VLOOKUP(Tabla4[[#This Row],[CAS]],Tabla1[],6,FALSE)</f>
        <v>69.900000000000006</v>
      </c>
      <c r="G25" s="2" t="str">
        <f t="shared" si="14"/>
        <v/>
      </c>
      <c r="H25" s="2" t="b">
        <f>ISNUMBER(SEARCH("w",Tabla4[[#This Row],[WI / WO]]))</f>
        <v>0</v>
      </c>
      <c r="I25" s="2">
        <f t="shared" si="17"/>
        <v>1</v>
      </c>
      <c r="J25" s="5">
        <f t="shared" si="15"/>
        <v>0.48595672986120764</v>
      </c>
      <c r="L25" s="21">
        <v>1</v>
      </c>
      <c r="M25" s="5">
        <f t="shared" si="16"/>
        <v>3.4350439017259577</v>
      </c>
      <c r="N25" s="5">
        <f t="shared" si="18"/>
        <v>1</v>
      </c>
      <c r="O25" s="5">
        <f t="shared" si="19"/>
        <v>3.4350439017259577</v>
      </c>
      <c r="P25" s="5"/>
      <c r="AT25" s="2">
        <v>110</v>
      </c>
      <c r="AU25" s="2">
        <f>RADIANS(Tabla9[[#This Row],[Angle º]])</f>
        <v>1.9198621771937625</v>
      </c>
      <c r="AV25" s="2">
        <f t="shared" si="8"/>
        <v>24.468871046797286</v>
      </c>
      <c r="AW25" s="2">
        <f t="shared" si="9"/>
        <v>7.3419535674709344</v>
      </c>
      <c r="AX25" s="2">
        <f t="shared" si="10"/>
        <v>14.710438528496855</v>
      </c>
      <c r="AY25" s="2">
        <f t="shared" si="11"/>
        <v>15.408929402644638</v>
      </c>
    </row>
    <row r="26" spans="1:51" x14ac:dyDescent="0.25">
      <c r="A26" s="16" t="s">
        <v>1370</v>
      </c>
      <c r="B26" s="33" t="str">
        <f>VLOOKUP(Tabla4[[#This Row],[CAS]],Tabla1[],2,FALSE)</f>
        <v>Ethanol</v>
      </c>
      <c r="C26" s="2">
        <f>VLOOKUP(Tabla4[[#This Row],[CAS]],Tabla1[],3,FALSE)</f>
        <v>15.8</v>
      </c>
      <c r="D26" s="2">
        <f>VLOOKUP(Tabla4[[#This Row],[CAS]],Tabla1[],4,FALSE)</f>
        <v>8.8000000000000007</v>
      </c>
      <c r="E26" s="2">
        <f>VLOOKUP(Tabla4[[#This Row],[CAS]],Tabla1[],5,FALSE)</f>
        <v>19.399999999999999</v>
      </c>
      <c r="F26" s="2">
        <f>VLOOKUP(Tabla4[[#This Row],[CAS]],Tabla1[],6,FALSE)</f>
        <v>58.6</v>
      </c>
      <c r="G26" s="2" t="str">
        <f t="shared" ref="G26:G37" si="20">IF(L26=1,IF(J26&lt;=1,"","WO"),IF(L26&lt;&gt;"",IF(J26&gt;1,"","WI"),""))</f>
        <v/>
      </c>
      <c r="H26" s="2" t="b">
        <f>ISNUMBER(SEARCH("w",Tabla4[[#This Row],[WI / WO]]))</f>
        <v>0</v>
      </c>
      <c r="I26" s="2">
        <f t="shared" si="17"/>
        <v>0</v>
      </c>
      <c r="J26" s="5">
        <f t="shared" ref="J26:J37" si="21">IF(L26&lt;&gt;"",M26/R_,"")</f>
        <v>1.70798676521944</v>
      </c>
      <c r="L26" s="21">
        <v>0</v>
      </c>
      <c r="M26" s="5">
        <f t="shared" si="16"/>
        <v>12.073110961486918</v>
      </c>
      <c r="N26" s="5">
        <f t="shared" si="18"/>
        <v>1</v>
      </c>
      <c r="O26" s="5" t="str">
        <f t="shared" si="19"/>
        <v/>
      </c>
      <c r="P26" s="5"/>
      <c r="AT26" s="2">
        <v>115</v>
      </c>
      <c r="AU26" s="2">
        <f>RADIANS(Tabla9[[#This Row],[Angle º]])</f>
        <v>2.0071286397934789</v>
      </c>
      <c r="AV26" s="2">
        <f t="shared" si="8"/>
        <v>24.232886312902814</v>
      </c>
      <c r="AW26" s="2">
        <f t="shared" si="9"/>
        <v>6.7722360223898939</v>
      </c>
      <c r="AX26" s="2">
        <f t="shared" si="10"/>
        <v>14.474453794602383</v>
      </c>
      <c r="AY26" s="2">
        <f t="shared" si="11"/>
        <v>14.839211857563598</v>
      </c>
    </row>
    <row r="27" spans="1:51" x14ac:dyDescent="0.25">
      <c r="A27" s="16" t="s">
        <v>1375</v>
      </c>
      <c r="B27" s="33" t="str">
        <f>VLOOKUP(Tabla4[[#This Row],[CAS]],Tabla1[],2,FALSE)</f>
        <v>Ethyl Acetate</v>
      </c>
      <c r="C27" s="2">
        <f>VLOOKUP(Tabla4[[#This Row],[CAS]],Tabla1[],3,FALSE)</f>
        <v>15.8</v>
      </c>
      <c r="D27" s="2">
        <f>VLOOKUP(Tabla4[[#This Row],[CAS]],Tabla1[],4,FALSE)</f>
        <v>5.3</v>
      </c>
      <c r="E27" s="2">
        <f>VLOOKUP(Tabla4[[#This Row],[CAS]],Tabla1[],5,FALSE)</f>
        <v>7.2</v>
      </c>
      <c r="F27" s="2">
        <f>VLOOKUP(Tabla4[[#This Row],[CAS]],Tabla1[],6,FALSE)</f>
        <v>98.6</v>
      </c>
      <c r="G27" s="2" t="str">
        <f t="shared" si="20"/>
        <v/>
      </c>
      <c r="H27" s="2" t="b">
        <f>ISNUMBER(SEARCH("w",Tabla4[[#This Row],[WI / WO]]))</f>
        <v>0</v>
      </c>
      <c r="I27" s="2">
        <f t="shared" si="17"/>
        <v>1</v>
      </c>
      <c r="J27" s="5">
        <f t="shared" si="21"/>
        <v>0.8613298156860304</v>
      </c>
      <c r="L27" s="21">
        <v>1</v>
      </c>
      <c r="M27" s="5">
        <f t="shared" si="16"/>
        <v>6.0884139449865575</v>
      </c>
      <c r="N27" s="5">
        <f t="shared" si="18"/>
        <v>1</v>
      </c>
      <c r="O27" s="5">
        <f t="shared" si="19"/>
        <v>6.0884139449865575</v>
      </c>
      <c r="P27" s="5"/>
      <c r="AT27" s="2">
        <v>120</v>
      </c>
      <c r="AU27" s="2">
        <f>RADIANS(Tabla9[[#This Row],[Angle º]])</f>
        <v>2.0943951023931953</v>
      </c>
      <c r="AV27" s="2">
        <f t="shared" si="8"/>
        <v>23.948145416368639</v>
      </c>
      <c r="AW27" s="2">
        <f t="shared" si="9"/>
        <v>6.2252538493299978</v>
      </c>
      <c r="AX27" s="2">
        <f t="shared" si="10"/>
        <v>14.189712898068207</v>
      </c>
      <c r="AY27" s="2">
        <f t="shared" si="11"/>
        <v>14.292229684503702</v>
      </c>
    </row>
    <row r="28" spans="1:51" x14ac:dyDescent="0.25">
      <c r="A28" s="16" t="s">
        <v>1609</v>
      </c>
      <c r="B28" s="33" t="str">
        <f>VLOOKUP(Tabla4[[#This Row],[CAS]],Tabla1[],2,FALSE)</f>
        <v>Hexane</v>
      </c>
      <c r="C28" s="2">
        <f>VLOOKUP(Tabla4[[#This Row],[CAS]],Tabla1[],3,FALSE)</f>
        <v>14.9</v>
      </c>
      <c r="D28" s="2">
        <f>VLOOKUP(Tabla4[[#This Row],[CAS]],Tabla1[],4,FALSE)</f>
        <v>0</v>
      </c>
      <c r="E28" s="2">
        <f>VLOOKUP(Tabla4[[#This Row],[CAS]],Tabla1[],5,FALSE)</f>
        <v>0</v>
      </c>
      <c r="F28" s="2">
        <f>VLOOKUP(Tabla4[[#This Row],[CAS]],Tabla1[],6,FALSE)</f>
        <v>131.4</v>
      </c>
      <c r="G28" s="2" t="str">
        <f t="shared" si="20"/>
        <v/>
      </c>
      <c r="H28" s="2" t="b">
        <f>ISNUMBER(SEARCH("w",Tabla4[[#This Row],[WI / WO]]))</f>
        <v>0</v>
      </c>
      <c r="I28" s="2">
        <f t="shared" si="17"/>
        <v>0</v>
      </c>
      <c r="J28" s="5">
        <f t="shared" si="21"/>
        <v>1.9735083303134873</v>
      </c>
      <c r="L28" s="21">
        <v>0</v>
      </c>
      <c r="M28" s="5">
        <f t="shared" si="16"/>
        <v>13.949982248388396</v>
      </c>
      <c r="N28" s="5">
        <f t="shared" si="18"/>
        <v>1</v>
      </c>
      <c r="O28" s="5" t="str">
        <f t="shared" si="19"/>
        <v/>
      </c>
      <c r="P28" s="5"/>
      <c r="AT28" s="2">
        <v>125</v>
      </c>
      <c r="AU28" s="2">
        <f>RADIANS(Tabla9[[#This Row],[Angle º]])</f>
        <v>2.1816615649929121</v>
      </c>
      <c r="AV28" s="2">
        <f t="shared" si="8"/>
        <v>23.616815407348639</v>
      </c>
      <c r="AW28" s="2">
        <f t="shared" si="9"/>
        <v>5.7051699129050952</v>
      </c>
      <c r="AX28" s="2">
        <f t="shared" si="10"/>
        <v>13.858382889048206</v>
      </c>
      <c r="AY28" s="2">
        <f t="shared" si="11"/>
        <v>13.772145748078799</v>
      </c>
    </row>
    <row r="29" spans="1:51" x14ac:dyDescent="0.25">
      <c r="A29" s="16" t="s">
        <v>1693</v>
      </c>
      <c r="B29" s="33" t="str">
        <f>VLOOKUP(Tabla4[[#This Row],[CAS]],Tabla1[],2,FALSE)</f>
        <v>Isopropyl Ether</v>
      </c>
      <c r="C29" s="2">
        <f>VLOOKUP(Tabla4[[#This Row],[CAS]],Tabla1[],3,FALSE)</f>
        <v>15.1</v>
      </c>
      <c r="D29" s="2">
        <f>VLOOKUP(Tabla4[[#This Row],[CAS]],Tabla1[],4,FALSE)</f>
        <v>3.2</v>
      </c>
      <c r="E29" s="2">
        <f>VLOOKUP(Tabla4[[#This Row],[CAS]],Tabla1[],5,FALSE)</f>
        <v>3.2</v>
      </c>
      <c r="F29" s="2" t="str">
        <f>VLOOKUP(Tabla4[[#This Row],[CAS]],Tabla1[],6,FALSE)</f>
        <v/>
      </c>
      <c r="G29" s="2" t="str">
        <f t="shared" si="20"/>
        <v/>
      </c>
      <c r="H29" s="2" t="b">
        <f>ISNUMBER(SEARCH("w",Tabla4[[#This Row],[WI / WO]]))</f>
        <v>0</v>
      </c>
      <c r="I29" s="2">
        <f t="shared" si="17"/>
        <v>0</v>
      </c>
      <c r="J29" s="5">
        <f t="shared" si="21"/>
        <v>1.3894548240813198</v>
      </c>
      <c r="L29" s="21">
        <v>0</v>
      </c>
      <c r="M29" s="5">
        <f t="shared" si="16"/>
        <v>9.8215294220689255</v>
      </c>
      <c r="N29" s="5">
        <f t="shared" si="18"/>
        <v>1</v>
      </c>
      <c r="O29" s="5" t="str">
        <f t="shared" si="19"/>
        <v/>
      </c>
      <c r="P29" s="5"/>
      <c r="AT29" s="2">
        <v>130</v>
      </c>
      <c r="AU29" s="2">
        <f>RADIANS(Tabla9[[#This Row],[Angle º]])</f>
        <v>2.2689280275926285</v>
      </c>
      <c r="AV29" s="2">
        <f t="shared" si="8"/>
        <v>23.241417907273988</v>
      </c>
      <c r="AW29" s="2">
        <f t="shared" si="9"/>
        <v>5.2159423659066508</v>
      </c>
      <c r="AX29" s="2">
        <f t="shared" si="10"/>
        <v>13.482985388973555</v>
      </c>
      <c r="AY29" s="2">
        <f t="shared" si="11"/>
        <v>13.282918201080355</v>
      </c>
    </row>
    <row r="30" spans="1:51" x14ac:dyDescent="0.25">
      <c r="A30" s="16" t="s">
        <v>1745</v>
      </c>
      <c r="B30" s="33" t="str">
        <f>VLOOKUP(Tabla4[[#This Row],[CAS]],Tabla1[],2,FALSE)</f>
        <v>Methanol</v>
      </c>
      <c r="C30" s="2">
        <f>VLOOKUP(Tabla4[[#This Row],[CAS]],Tabla1[],3,FALSE)</f>
        <v>14.7</v>
      </c>
      <c r="D30" s="2">
        <f>VLOOKUP(Tabla4[[#This Row],[CAS]],Tabla1[],4,FALSE)</f>
        <v>12.3</v>
      </c>
      <c r="E30" s="2">
        <f>VLOOKUP(Tabla4[[#This Row],[CAS]],Tabla1[],5,FALSE)</f>
        <v>22.3</v>
      </c>
      <c r="F30" s="2">
        <f>VLOOKUP(Tabla4[[#This Row],[CAS]],Tabla1[],6,FALSE)</f>
        <v>40.6</v>
      </c>
      <c r="G30" s="2" t="str">
        <f t="shared" si="20"/>
        <v/>
      </c>
      <c r="H30" s="2" t="b">
        <f>ISNUMBER(SEARCH("w",Tabla4[[#This Row],[WI / WO]]))</f>
        <v>0</v>
      </c>
      <c r="I30" s="2">
        <f t="shared" si="17"/>
        <v>0</v>
      </c>
      <c r="J30" s="5">
        <f t="shared" si="21"/>
        <v>2.2283329402092709</v>
      </c>
      <c r="L30" s="21">
        <v>0</v>
      </c>
      <c r="M30" s="5">
        <f t="shared" si="16"/>
        <v>15.751240814109275</v>
      </c>
      <c r="N30" s="5">
        <f t="shared" si="18"/>
        <v>1</v>
      </c>
      <c r="O30" s="5" t="str">
        <f t="shared" si="19"/>
        <v/>
      </c>
      <c r="P30" s="5"/>
      <c r="AT30" s="2">
        <v>135</v>
      </c>
      <c r="AU30" s="2">
        <f>RADIANS(Tabla9[[#This Row],[Angle º]])</f>
        <v>2.3561944901923448</v>
      </c>
      <c r="AV30" s="2">
        <f t="shared" si="8"/>
        <v>22.824809917791463</v>
      </c>
      <c r="AW30" s="2">
        <f t="shared" si="9"/>
        <v>4.7612945253709915</v>
      </c>
      <c r="AX30" s="2">
        <f t="shared" si="10"/>
        <v>13.066377399491028</v>
      </c>
      <c r="AY30" s="2">
        <f t="shared" si="11"/>
        <v>12.828270360544696</v>
      </c>
    </row>
    <row r="31" spans="1:51" x14ac:dyDescent="0.25">
      <c r="A31" s="16" t="s">
        <v>1783</v>
      </c>
      <c r="B31" s="33" t="str">
        <f>VLOOKUP(Tabla4[[#This Row],[CAS]],Tabla1[],2,FALSE)</f>
        <v>Methyl Ethyl Ketone (MEK)</v>
      </c>
      <c r="C31" s="2">
        <f>VLOOKUP(Tabla4[[#This Row],[CAS]],Tabla1[],3,FALSE)</f>
        <v>16</v>
      </c>
      <c r="D31" s="2">
        <f>VLOOKUP(Tabla4[[#This Row],[CAS]],Tabla1[],4,FALSE)</f>
        <v>9</v>
      </c>
      <c r="E31" s="2">
        <f>VLOOKUP(Tabla4[[#This Row],[CAS]],Tabla1[],5,FALSE)</f>
        <v>5.0999999999999996</v>
      </c>
      <c r="F31" s="2">
        <f>VLOOKUP(Tabla4[[#This Row],[CAS]],Tabla1[],6,FALSE)</f>
        <v>90.2</v>
      </c>
      <c r="G31" s="2" t="str">
        <f t="shared" si="20"/>
        <v/>
      </c>
      <c r="H31" s="2" t="b">
        <f>ISNUMBER(SEARCH("w",Tabla4[[#This Row],[WI / WO]]))</f>
        <v>0</v>
      </c>
      <c r="I31" s="2">
        <f t="shared" si="17"/>
        <v>1</v>
      </c>
      <c r="J31" s="5">
        <f t="shared" si="21"/>
        <v>0.67449739433637079</v>
      </c>
      <c r="L31" s="21">
        <v>1</v>
      </c>
      <c r="M31" s="5">
        <f t="shared" si="16"/>
        <v>4.7677663848938332</v>
      </c>
      <c r="N31" s="5">
        <f t="shared" si="18"/>
        <v>1</v>
      </c>
      <c r="O31" s="5">
        <f t="shared" si="19"/>
        <v>4.7677663848938332</v>
      </c>
      <c r="P31" s="5"/>
      <c r="AT31" s="2">
        <v>140</v>
      </c>
      <c r="AU31" s="2">
        <f>RADIANS(Tabla9[[#This Row],[Angle º]])</f>
        <v>2.4434609527920612</v>
      </c>
      <c r="AV31" s="2">
        <f t="shared" si="8"/>
        <v>22.370162077255802</v>
      </c>
      <c r="AW31" s="2">
        <f t="shared" si="9"/>
        <v>4.3446865358884637</v>
      </c>
      <c r="AX31" s="2">
        <f t="shared" si="10"/>
        <v>12.611729558955368</v>
      </c>
      <c r="AY31" s="2">
        <f t="shared" si="11"/>
        <v>12.411662371062167</v>
      </c>
    </row>
    <row r="32" spans="1:51" x14ac:dyDescent="0.25">
      <c r="A32" s="16" t="s">
        <v>1929</v>
      </c>
      <c r="B32" s="33" t="str">
        <f>VLOOKUP(Tabla4[[#This Row],[CAS]],Tabla1[],2,FALSE)</f>
        <v>N-Methyl-2-Pyrrolidone (NMP)</v>
      </c>
      <c r="C32" s="2">
        <f>VLOOKUP(Tabla4[[#This Row],[CAS]],Tabla1[],3,FALSE)</f>
        <v>18</v>
      </c>
      <c r="D32" s="2">
        <f>VLOOKUP(Tabla4[[#This Row],[CAS]],Tabla1[],4,FALSE)</f>
        <v>12.3</v>
      </c>
      <c r="E32" s="2">
        <f>VLOOKUP(Tabla4[[#This Row],[CAS]],Tabla1[],5,FALSE)</f>
        <v>7.2</v>
      </c>
      <c r="F32" s="2">
        <f>VLOOKUP(Tabla4[[#This Row],[CAS]],Tabla1[],6,FALSE)</f>
        <v>96.6</v>
      </c>
      <c r="G32" s="2" t="str">
        <f t="shared" si="20"/>
        <v/>
      </c>
      <c r="H32" s="2" t="b">
        <f>ISNUMBER(SEARCH("w",Tabla4[[#This Row],[WI / WO]]))</f>
        <v>0</v>
      </c>
      <c r="I32" s="2">
        <f t="shared" si="17"/>
        <v>1</v>
      </c>
      <c r="J32" s="5">
        <f t="shared" si="21"/>
        <v>0.38295826835030222</v>
      </c>
      <c r="L32" s="21">
        <v>1</v>
      </c>
      <c r="M32" s="5">
        <f t="shared" si="16"/>
        <v>2.7069868230612788</v>
      </c>
      <c r="N32" s="5">
        <f t="shared" si="18"/>
        <v>1</v>
      </c>
      <c r="O32" s="5">
        <f t="shared" si="19"/>
        <v>2.7069868230612788</v>
      </c>
      <c r="P32" s="5"/>
      <c r="AT32" s="2">
        <v>145</v>
      </c>
      <c r="AU32" s="2">
        <f>RADIANS(Tabla9[[#This Row],[Angle º]])</f>
        <v>2.530727415391778</v>
      </c>
      <c r="AV32" s="2">
        <f t="shared" si="8"/>
        <v>21.880934530257356</v>
      </c>
      <c r="AW32" s="2">
        <f t="shared" si="9"/>
        <v>3.9692890358138104</v>
      </c>
      <c r="AX32" s="2">
        <f t="shared" si="10"/>
        <v>12.122502011956922</v>
      </c>
      <c r="AY32" s="2">
        <f t="shared" si="11"/>
        <v>12.036264870987514</v>
      </c>
    </row>
    <row r="33" spans="1:51" ht="30" x14ac:dyDescent="0.25">
      <c r="A33" s="16" t="s">
        <v>1854</v>
      </c>
      <c r="B33" s="33" t="str">
        <f>VLOOKUP(Tabla4[[#This Row],[CAS]],Tabla1[],2,FALSE)</f>
        <v>Methylene Dichloride (Dichloromethane)</v>
      </c>
      <c r="C33" s="2">
        <f>VLOOKUP(Tabla4[[#This Row],[CAS]],Tabla1[],3,FALSE)</f>
        <v>17</v>
      </c>
      <c r="D33" s="2">
        <f>VLOOKUP(Tabla4[[#This Row],[CAS]],Tabla1[],4,FALSE)</f>
        <v>7.3</v>
      </c>
      <c r="E33" s="2">
        <f>VLOOKUP(Tabla4[[#This Row],[CAS]],Tabla1[],5,FALSE)</f>
        <v>7.1</v>
      </c>
      <c r="F33" s="2" t="str">
        <f>VLOOKUP(Tabla4[[#This Row],[CAS]],Tabla1[],6,FALSE)</f>
        <v/>
      </c>
      <c r="G33" s="2" t="str">
        <f t="shared" si="20"/>
        <v/>
      </c>
      <c r="H33" s="2" t="b">
        <f>ISNUMBER(SEARCH("w",Tabla4[[#This Row],[WI / WO]]))</f>
        <v>0</v>
      </c>
      <c r="I33" s="2">
        <f t="shared" si="17"/>
        <v>1</v>
      </c>
      <c r="J33" s="5">
        <f t="shared" si="21"/>
        <v>0.44104633522952857</v>
      </c>
      <c r="L33" s="21">
        <v>1</v>
      </c>
      <c r="M33" s="5">
        <f t="shared" si="16"/>
        <v>3.1175893471862652</v>
      </c>
      <c r="N33" s="5">
        <f t="shared" si="18"/>
        <v>1</v>
      </c>
      <c r="O33" s="5">
        <f t="shared" si="19"/>
        <v>3.1175893471862652</v>
      </c>
      <c r="P33" s="5"/>
      <c r="AT33" s="2">
        <v>150</v>
      </c>
      <c r="AU33" s="2">
        <f>RADIANS(Tabla9[[#This Row],[Angle º]])</f>
        <v>2.6179938779914944</v>
      </c>
      <c r="AV33" s="2">
        <f t="shared" si="8"/>
        <v>21.360850593832456</v>
      </c>
      <c r="AW33" s="2">
        <f t="shared" si="9"/>
        <v>3.637959026793812</v>
      </c>
      <c r="AX33" s="2">
        <f t="shared" si="10"/>
        <v>11.602418075532022</v>
      </c>
      <c r="AY33" s="2">
        <f t="shared" si="11"/>
        <v>11.704934861967516</v>
      </c>
    </row>
    <row r="34" spans="1:51" x14ac:dyDescent="0.25">
      <c r="A34" s="16" t="s">
        <v>1297</v>
      </c>
      <c r="B34" s="33" t="str">
        <f>VLOOKUP(Tabla4[[#This Row],[CAS]],Tabla1[],2,FALSE)</f>
        <v>Dimethyl Formamide (DMF)</v>
      </c>
      <c r="C34" s="2">
        <f>VLOOKUP(Tabla4[[#This Row],[CAS]],Tabla1[],3,FALSE)</f>
        <v>17.399999999999999</v>
      </c>
      <c r="D34" s="2">
        <f>VLOOKUP(Tabla4[[#This Row],[CAS]],Tabla1[],4,FALSE)</f>
        <v>13.7</v>
      </c>
      <c r="E34" s="2">
        <f>VLOOKUP(Tabla4[[#This Row],[CAS]],Tabla1[],5,FALSE)</f>
        <v>11.3</v>
      </c>
      <c r="F34" s="2" t="str">
        <f>VLOOKUP(Tabla4[[#This Row],[CAS]],Tabla1[],6,FALSE)</f>
        <v/>
      </c>
      <c r="G34" s="2" t="str">
        <f t="shared" si="20"/>
        <v/>
      </c>
      <c r="H34" s="2" t="b">
        <f>ISNUMBER(SEARCH("w",Tabla4[[#This Row],[WI / WO]]))</f>
        <v>0</v>
      </c>
      <c r="I34" s="2">
        <f t="shared" si="17"/>
        <v>1</v>
      </c>
      <c r="J34" s="5">
        <f t="shared" si="21"/>
        <v>0.73100473435563218</v>
      </c>
      <c r="L34" s="21">
        <v>1</v>
      </c>
      <c r="M34" s="5">
        <f t="shared" si="16"/>
        <v>5.1671953500845342</v>
      </c>
      <c r="N34" s="5">
        <f t="shared" si="18"/>
        <v>1</v>
      </c>
      <c r="O34" s="5">
        <f t="shared" si="19"/>
        <v>5.1671953500845342</v>
      </c>
      <c r="P34" s="5"/>
      <c r="AT34" s="2">
        <v>155</v>
      </c>
      <c r="AU34" s="2">
        <f>RADIANS(Tabla9[[#This Row],[Angle º]])</f>
        <v>2.7052603405912108</v>
      </c>
      <c r="AV34" s="2">
        <f t="shared" si="8"/>
        <v>20.813868420772557</v>
      </c>
      <c r="AW34" s="2">
        <f t="shared" si="9"/>
        <v>3.3532181302596369</v>
      </c>
      <c r="AX34" s="2">
        <f t="shared" si="10"/>
        <v>11.055435902472126</v>
      </c>
      <c r="AY34" s="2">
        <f t="shared" si="11"/>
        <v>11.420193965433342</v>
      </c>
    </row>
    <row r="35" spans="1:51" x14ac:dyDescent="0.25">
      <c r="A35" s="16" t="s">
        <v>2247</v>
      </c>
      <c r="B35" s="33" t="str">
        <f>VLOOKUP(Tabla4[[#This Row],[CAS]],Tabla1[],2,FALSE)</f>
        <v>Tetrahydrofuran (THF)</v>
      </c>
      <c r="C35" s="2">
        <f>VLOOKUP(Tabla4[[#This Row],[CAS]],Tabla1[],3,FALSE)</f>
        <v>16.8</v>
      </c>
      <c r="D35" s="2">
        <f>VLOOKUP(Tabla4[[#This Row],[CAS]],Tabla1[],4,FALSE)</f>
        <v>5.7</v>
      </c>
      <c r="E35" s="2">
        <f>VLOOKUP(Tabla4[[#This Row],[CAS]],Tabla1[],5,FALSE)</f>
        <v>8</v>
      </c>
      <c r="F35" s="2">
        <f>VLOOKUP(Tabla4[[#This Row],[CAS]],Tabla1[],6,FALSE)</f>
        <v>81.900000000000006</v>
      </c>
      <c r="G35" s="2" t="str">
        <f t="shared" si="20"/>
        <v/>
      </c>
      <c r="H35" s="2" t="b">
        <f>ISNUMBER(SEARCH("w",Tabla4[[#This Row],[WI / WO]]))</f>
        <v>0</v>
      </c>
      <c r="I35" s="2">
        <f t="shared" si="17"/>
        <v>1</v>
      </c>
      <c r="J35" s="5">
        <f t="shared" si="21"/>
        <v>0.64364855592501491</v>
      </c>
      <c r="L35" s="21">
        <v>1</v>
      </c>
      <c r="M35" s="5">
        <f t="shared" si="16"/>
        <v>4.5497076406708192</v>
      </c>
      <c r="N35" s="5">
        <f t="shared" si="18"/>
        <v>1</v>
      </c>
      <c r="O35" s="5">
        <f t="shared" si="19"/>
        <v>4.5497076406708192</v>
      </c>
      <c r="P35" s="5"/>
      <c r="AT35" s="2">
        <v>160</v>
      </c>
      <c r="AU35" s="2">
        <f>RADIANS(Tabla9[[#This Row],[Angle º]])</f>
        <v>2.7925268031909272</v>
      </c>
      <c r="AV35" s="2">
        <f t="shared" ref="AV35:AV66" si="22">$F$3*SIN(AU35)+ dD</f>
        <v>20.244150875691517</v>
      </c>
      <c r="AW35" s="2">
        <f t="shared" ref="AW35:AW66" si="23">$F$3*COS(AU35)+ dP</f>
        <v>3.1172333963651653</v>
      </c>
      <c r="AX35" s="2">
        <f t="shared" ref="AX35:AX66" si="24">$F$3*SIN(AU35)+  dH</f>
        <v>10.485718357391086</v>
      </c>
      <c r="AY35" s="2">
        <f t="shared" ref="AY35:AY66" si="25">$F$3*COS(AU35)+ dD</f>
        <v>11.184209231538869</v>
      </c>
    </row>
    <row r="36" spans="1:51" x14ac:dyDescent="0.25">
      <c r="A36" s="16" t="s">
        <v>2289</v>
      </c>
      <c r="B36" s="33" t="str">
        <f>VLOOKUP(Tabla4[[#This Row],[CAS]],Tabla1[],2,FALSE)</f>
        <v>Toluene</v>
      </c>
      <c r="C36" s="2">
        <f>VLOOKUP(Tabla4[[#This Row],[CAS]],Tabla1[],3,FALSE)</f>
        <v>18</v>
      </c>
      <c r="D36" s="2">
        <f>VLOOKUP(Tabla4[[#This Row],[CAS]],Tabla1[],4,FALSE)</f>
        <v>1.4</v>
      </c>
      <c r="E36" s="2">
        <f>VLOOKUP(Tabla4[[#This Row],[CAS]],Tabla1[],5,FALSE)</f>
        <v>2</v>
      </c>
      <c r="F36" s="2">
        <f>VLOOKUP(Tabla4[[#This Row],[CAS]],Tabla1[],6,FALSE)</f>
        <v>106.6</v>
      </c>
      <c r="G36" s="2" t="str">
        <f t="shared" si="20"/>
        <v/>
      </c>
      <c r="H36" s="2" t="b">
        <f>ISNUMBER(SEARCH("w",Tabla4[[#This Row],[WI / WO]]))</f>
        <v>0</v>
      </c>
      <c r="I36" s="2">
        <f t="shared" si="17"/>
        <v>0</v>
      </c>
      <c r="J36" s="5">
        <f t="shared" si="21"/>
        <v>1.4621803528937256</v>
      </c>
      <c r="L36" s="21">
        <v>0</v>
      </c>
      <c r="M36" s="5">
        <f t="shared" si="16"/>
        <v>10.335598615674288</v>
      </c>
      <c r="N36" s="5">
        <f t="shared" si="18"/>
        <v>1</v>
      </c>
      <c r="O36" s="5" t="str">
        <f t="shared" si="19"/>
        <v/>
      </c>
      <c r="P36" s="5"/>
      <c r="AT36" s="2">
        <v>165</v>
      </c>
      <c r="AU36" s="2">
        <f>RADIANS(Tabla9[[#This Row],[Angle º]])</f>
        <v>2.8797932657906435</v>
      </c>
      <c r="AV36" s="2">
        <f t="shared" si="22"/>
        <v>19.656033853112259</v>
      </c>
      <c r="AW36" s="2">
        <f t="shared" si="23"/>
        <v>2.931800811426811</v>
      </c>
      <c r="AX36" s="2">
        <f t="shared" si="24"/>
        <v>9.8976013348118279</v>
      </c>
      <c r="AY36" s="2">
        <f t="shared" si="25"/>
        <v>10.998776646600515</v>
      </c>
    </row>
    <row r="37" spans="1:51" x14ac:dyDescent="0.25">
      <c r="A37" s="16" t="s">
        <v>2441</v>
      </c>
      <c r="B37" s="33" t="str">
        <f>VLOOKUP(Tabla4[[#This Row],[CAS]],Tabla1[],2,FALSE)</f>
        <v>Xylene</v>
      </c>
      <c r="C37" s="2">
        <f>VLOOKUP(Tabla4[[#This Row],[CAS]],Tabla1[],3,FALSE)</f>
        <v>17.8</v>
      </c>
      <c r="D37" s="2">
        <f>VLOOKUP(Tabla4[[#This Row],[CAS]],Tabla1[],4,FALSE)</f>
        <v>1</v>
      </c>
      <c r="E37" s="2">
        <f>VLOOKUP(Tabla4[[#This Row],[CAS]],Tabla1[],5,FALSE)</f>
        <v>3.1</v>
      </c>
      <c r="F37" s="2">
        <f>VLOOKUP(Tabla4[[#This Row],[CAS]],Tabla1[],6,FALSE)</f>
        <v>123.9</v>
      </c>
      <c r="G37" s="2" t="str">
        <f t="shared" si="20"/>
        <v/>
      </c>
      <c r="H37" s="2" t="b">
        <f>ISNUMBER(SEARCH("w",Tabla4[[#This Row],[WI / WO]]))</f>
        <v>0</v>
      </c>
      <c r="I37" s="2">
        <f t="shared" si="17"/>
        <v>0</v>
      </c>
      <c r="J37" s="5">
        <f t="shared" si="21"/>
        <v>1.4246761187656389</v>
      </c>
      <c r="L37" s="21">
        <v>0</v>
      </c>
      <c r="M37" s="5">
        <f t="shared" si="16"/>
        <v>10.070495402128133</v>
      </c>
      <c r="N37" s="5">
        <f t="shared" si="18"/>
        <v>1</v>
      </c>
      <c r="O37" s="5" t="str">
        <f t="shared" si="19"/>
        <v/>
      </c>
      <c r="P37" s="5"/>
      <c r="AT37" s="2">
        <v>170</v>
      </c>
      <c r="AU37" s="2">
        <f>RADIANS(Tabla9[[#This Row],[Angle º]])</f>
        <v>2.9670597283903604</v>
      </c>
      <c r="AV37" s="2">
        <f t="shared" si="22"/>
        <v>19.053993278691376</v>
      </c>
      <c r="AW37" s="2">
        <f t="shared" si="23"/>
        <v>2.7983316293832114</v>
      </c>
      <c r="AX37" s="2">
        <f t="shared" si="24"/>
        <v>9.2955607603909431</v>
      </c>
      <c r="AY37" s="2">
        <f t="shared" si="25"/>
        <v>10.865307464556915</v>
      </c>
    </row>
    <row r="38" spans="1:51" x14ac:dyDescent="0.25">
      <c r="A38"/>
      <c r="L38" s="21"/>
      <c r="M38" s="5">
        <f t="shared" si="16"/>
        <v>0</v>
      </c>
      <c r="N38" s="5">
        <f t="shared" si="18"/>
        <v>1</v>
      </c>
      <c r="O38" s="5" t="str">
        <f t="shared" si="19"/>
        <v/>
      </c>
      <c r="P38" s="5"/>
      <c r="AT38" s="2">
        <v>175</v>
      </c>
      <c r="AU38" s="2">
        <f>RADIANS(Tabla9[[#This Row],[Angle º]])</f>
        <v>3.0543261909900767</v>
      </c>
      <c r="AV38" s="2">
        <f t="shared" si="22"/>
        <v>18.442611044722252</v>
      </c>
      <c r="AW38" s="2">
        <f t="shared" si="23"/>
        <v>2.7178416313006144</v>
      </c>
      <c r="AX38" s="2">
        <f t="shared" si="24"/>
        <v>8.6841785264218192</v>
      </c>
      <c r="AY38" s="2">
        <f t="shared" si="25"/>
        <v>10.784817466474319</v>
      </c>
    </row>
    <row r="39" spans="1:51" x14ac:dyDescent="0.25">
      <c r="L39" s="21"/>
      <c r="M39" s="5">
        <f t="shared" si="16"/>
        <v>0</v>
      </c>
      <c r="N39" s="5">
        <f t="shared" si="18"/>
        <v>1</v>
      </c>
      <c r="O39" s="5" t="str">
        <f t="shared" si="19"/>
        <v/>
      </c>
      <c r="P39" s="5"/>
      <c r="AT39" s="2">
        <v>180</v>
      </c>
      <c r="AU39" s="2">
        <f>RADIANS(Tabla9[[#This Row],[Angle º]])</f>
        <v>3.1415926535897931</v>
      </c>
      <c r="AV39" s="2">
        <f t="shared" si="22"/>
        <v>17.826540139168078</v>
      </c>
      <c r="AW39" s="2">
        <f t="shared" si="23"/>
        <v>2.6909433946656183</v>
      </c>
      <c r="AX39" s="2">
        <f t="shared" si="24"/>
        <v>8.0681076208676448</v>
      </c>
      <c r="AY39" s="2">
        <f t="shared" si="25"/>
        <v>10.757919229839322</v>
      </c>
    </row>
    <row r="40" spans="1:51" x14ac:dyDescent="0.25">
      <c r="L40" s="21"/>
      <c r="M40" s="5">
        <f t="shared" si="16"/>
        <v>0</v>
      </c>
      <c r="N40" s="5">
        <f t="shared" si="18"/>
        <v>1</v>
      </c>
      <c r="O40" s="5" t="str">
        <f t="shared" si="19"/>
        <v/>
      </c>
      <c r="P40" s="5"/>
      <c r="AT40" s="2">
        <v>185</v>
      </c>
      <c r="AU40" s="2">
        <f>RADIANS(Tabla9[[#This Row],[Angle º]])</f>
        <v>3.2288591161895095</v>
      </c>
      <c r="AV40" s="2">
        <f t="shared" si="22"/>
        <v>17.210469233613903</v>
      </c>
      <c r="AW40" s="2">
        <f t="shared" si="23"/>
        <v>2.7178416313006144</v>
      </c>
      <c r="AX40" s="2">
        <f t="shared" si="24"/>
        <v>7.4520367153134721</v>
      </c>
      <c r="AY40" s="2">
        <f t="shared" si="25"/>
        <v>10.784817466474319</v>
      </c>
    </row>
    <row r="41" spans="1:51" x14ac:dyDescent="0.25">
      <c r="L41" s="21"/>
      <c r="M41" s="5">
        <f t="shared" si="16"/>
        <v>0</v>
      </c>
      <c r="N41" s="5">
        <f t="shared" si="18"/>
        <v>1</v>
      </c>
      <c r="O41" s="5" t="str">
        <f t="shared" si="19"/>
        <v/>
      </c>
      <c r="P41" s="5"/>
      <c r="AT41" s="2">
        <v>190</v>
      </c>
      <c r="AU41" s="2">
        <f>RADIANS(Tabla9[[#This Row],[Angle º]])</f>
        <v>3.3161255787892263</v>
      </c>
      <c r="AV41" s="2">
        <f t="shared" si="22"/>
        <v>16.599086999644779</v>
      </c>
      <c r="AW41" s="2">
        <f t="shared" si="23"/>
        <v>2.7983316293832114</v>
      </c>
      <c r="AX41" s="2">
        <f t="shared" si="24"/>
        <v>6.8406544813443455</v>
      </c>
      <c r="AY41" s="2">
        <f t="shared" si="25"/>
        <v>10.865307464556915</v>
      </c>
    </row>
    <row r="42" spans="1:51" x14ac:dyDescent="0.25">
      <c r="L42" s="21"/>
      <c r="M42" s="5">
        <f t="shared" si="16"/>
        <v>0</v>
      </c>
      <c r="N42" s="5">
        <f t="shared" si="18"/>
        <v>1</v>
      </c>
      <c r="O42" s="5" t="str">
        <f t="shared" si="19"/>
        <v/>
      </c>
      <c r="P42" s="5"/>
      <c r="AT42" s="2">
        <v>195</v>
      </c>
      <c r="AU42" s="2">
        <f>RADIANS(Tabla9[[#This Row],[Angle º]])</f>
        <v>3.4033920413889427</v>
      </c>
      <c r="AV42" s="2">
        <f t="shared" si="22"/>
        <v>15.997046425223896</v>
      </c>
      <c r="AW42" s="2">
        <f t="shared" si="23"/>
        <v>2.9318008114268101</v>
      </c>
      <c r="AX42" s="2">
        <f t="shared" si="24"/>
        <v>6.2386139069234643</v>
      </c>
      <c r="AY42" s="2">
        <f t="shared" si="25"/>
        <v>10.998776646600515</v>
      </c>
    </row>
    <row r="43" spans="1:51" x14ac:dyDescent="0.25">
      <c r="L43" s="21"/>
      <c r="M43" s="5">
        <f t="shared" si="16"/>
        <v>0</v>
      </c>
      <c r="N43" s="5">
        <f t="shared" si="18"/>
        <v>1</v>
      </c>
      <c r="O43" s="5" t="str">
        <f t="shared" si="19"/>
        <v/>
      </c>
      <c r="P43" s="5"/>
      <c r="AT43" s="2">
        <v>200</v>
      </c>
      <c r="AU43" s="2">
        <f>RADIANS(Tabla9[[#This Row],[Angle º]])</f>
        <v>3.4906585039886591</v>
      </c>
      <c r="AV43" s="2">
        <f t="shared" si="22"/>
        <v>15.408929402644638</v>
      </c>
      <c r="AW43" s="2">
        <f t="shared" si="23"/>
        <v>3.1172333963651644</v>
      </c>
      <c r="AX43" s="2">
        <f t="shared" si="24"/>
        <v>5.6504968843442054</v>
      </c>
      <c r="AY43" s="2">
        <f t="shared" si="25"/>
        <v>11.184209231538869</v>
      </c>
    </row>
    <row r="44" spans="1:51" x14ac:dyDescent="0.25">
      <c r="L44" s="21"/>
      <c r="M44" s="5">
        <f t="shared" si="16"/>
        <v>0</v>
      </c>
      <c r="N44" s="5">
        <f t="shared" si="18"/>
        <v>1</v>
      </c>
      <c r="O44" s="5" t="str">
        <f t="shared" si="19"/>
        <v/>
      </c>
      <c r="P44" s="5"/>
      <c r="AT44" s="2">
        <v>205</v>
      </c>
      <c r="AU44" s="2">
        <f>RADIANS(Tabla9[[#This Row],[Angle º]])</f>
        <v>3.5779249665883754</v>
      </c>
      <c r="AV44" s="2">
        <f t="shared" si="22"/>
        <v>14.839211857563598</v>
      </c>
      <c r="AW44" s="2">
        <f t="shared" si="23"/>
        <v>3.353218130259636</v>
      </c>
      <c r="AX44" s="2">
        <f t="shared" si="24"/>
        <v>5.0807793392631648</v>
      </c>
      <c r="AY44" s="2">
        <f t="shared" si="25"/>
        <v>11.42019396543334</v>
      </c>
    </row>
    <row r="45" spans="1:51" x14ac:dyDescent="0.25">
      <c r="L45" s="21"/>
      <c r="M45" s="5">
        <f t="shared" si="16"/>
        <v>0</v>
      </c>
      <c r="N45" s="5">
        <f t="shared" si="18"/>
        <v>1</v>
      </c>
      <c r="O45" s="5" t="str">
        <f t="shared" si="19"/>
        <v/>
      </c>
      <c r="P45" s="5"/>
      <c r="AT45" s="2">
        <v>210</v>
      </c>
      <c r="AU45" s="2">
        <f>RADIANS(Tabla9[[#This Row],[Angle º]])</f>
        <v>3.6651914291880923</v>
      </c>
      <c r="AV45" s="2">
        <f t="shared" si="22"/>
        <v>14.292229684503699</v>
      </c>
      <c r="AW45" s="2">
        <f t="shared" si="23"/>
        <v>3.6379590267938129</v>
      </c>
      <c r="AX45" s="2">
        <f t="shared" si="24"/>
        <v>4.5337971662032661</v>
      </c>
      <c r="AY45" s="2">
        <f t="shared" si="25"/>
        <v>11.704934861967516</v>
      </c>
    </row>
    <row r="46" spans="1:51" x14ac:dyDescent="0.25">
      <c r="L46" s="21"/>
      <c r="M46" s="5">
        <f t="shared" si="16"/>
        <v>0</v>
      </c>
      <c r="N46" s="5">
        <f t="shared" si="18"/>
        <v>1</v>
      </c>
      <c r="O46" s="5" t="str">
        <f t="shared" si="19"/>
        <v/>
      </c>
      <c r="P46" s="5"/>
      <c r="AT46" s="2">
        <v>215</v>
      </c>
      <c r="AU46" s="2">
        <f>RADIANS(Tabla9[[#This Row],[Angle º]])</f>
        <v>3.7524578917878086</v>
      </c>
      <c r="AV46" s="2">
        <f t="shared" si="22"/>
        <v>13.772145748078799</v>
      </c>
      <c r="AW46" s="2">
        <f t="shared" si="23"/>
        <v>3.9692890358138113</v>
      </c>
      <c r="AX46" s="2">
        <f t="shared" si="24"/>
        <v>4.0137132297783662</v>
      </c>
      <c r="AY46" s="2">
        <f t="shared" si="25"/>
        <v>12.036264870987516</v>
      </c>
    </row>
    <row r="47" spans="1:51" x14ac:dyDescent="0.25">
      <c r="L47" s="21"/>
      <c r="M47" s="5">
        <f t="shared" si="16"/>
        <v>0</v>
      </c>
      <c r="N47" s="5">
        <f t="shared" si="18"/>
        <v>1</v>
      </c>
      <c r="O47" s="5" t="str">
        <f t="shared" si="19"/>
        <v/>
      </c>
      <c r="P47" s="5"/>
      <c r="AT47" s="2">
        <v>220</v>
      </c>
      <c r="AU47" s="2">
        <f>RADIANS(Tabla9[[#This Row],[Angle º]])</f>
        <v>3.839724354387525</v>
      </c>
      <c r="AV47" s="2">
        <f t="shared" si="22"/>
        <v>13.282918201080356</v>
      </c>
      <c r="AW47" s="2">
        <f t="shared" si="23"/>
        <v>4.3446865358884637</v>
      </c>
      <c r="AX47" s="2">
        <f t="shared" si="24"/>
        <v>3.5244856827799227</v>
      </c>
      <c r="AY47" s="2">
        <f t="shared" si="25"/>
        <v>12.411662371062167</v>
      </c>
    </row>
    <row r="48" spans="1:51" x14ac:dyDescent="0.25">
      <c r="L48" s="21"/>
      <c r="M48" s="5">
        <f t="shared" ref="M48:M79" si="26">IF(L48&lt;&gt;"",SQRT(4*(C48-dD)^2+(D48-dP)^2+(E48-dH)^2),0)</f>
        <v>0</v>
      </c>
      <c r="N48" s="5">
        <f t="shared" ref="N48:N79" si="27">IF(L48=1,IF(M48&lt;R_,1,EXP(R_-M48)),IF(L48&lt;&gt;"",IF(M48&lt;R_,EXP(M48-R_),1),1))</f>
        <v>1</v>
      </c>
      <c r="O48" s="5" t="str">
        <f t="shared" si="19"/>
        <v/>
      </c>
      <c r="P48" s="5"/>
      <c r="AT48" s="2">
        <v>225</v>
      </c>
      <c r="AU48" s="2">
        <f>RADIANS(Tabla9[[#This Row],[Angle º]])</f>
        <v>3.9269908169872414</v>
      </c>
      <c r="AV48" s="2">
        <f t="shared" si="22"/>
        <v>12.828270360544696</v>
      </c>
      <c r="AW48" s="2">
        <f t="shared" si="23"/>
        <v>4.7612945253709897</v>
      </c>
      <c r="AX48" s="2">
        <f t="shared" si="24"/>
        <v>3.0698378422442625</v>
      </c>
      <c r="AY48" s="2">
        <f t="shared" si="25"/>
        <v>12.828270360544693</v>
      </c>
    </row>
    <row r="49" spans="12:51" x14ac:dyDescent="0.25">
      <c r="L49" s="21"/>
      <c r="M49" s="5">
        <f t="shared" si="26"/>
        <v>0</v>
      </c>
      <c r="N49" s="5">
        <f t="shared" si="27"/>
        <v>1</v>
      </c>
      <c r="O49" s="5" t="str">
        <f t="shared" si="19"/>
        <v/>
      </c>
      <c r="P49" s="5"/>
      <c r="AT49" s="2">
        <v>230</v>
      </c>
      <c r="AU49" s="2">
        <f>RADIANS(Tabla9[[#This Row],[Angle º]])</f>
        <v>4.0142572795869578</v>
      </c>
      <c r="AV49" s="2">
        <f t="shared" si="22"/>
        <v>12.411662371062167</v>
      </c>
      <c r="AW49" s="2">
        <f t="shared" si="23"/>
        <v>5.2159423659066499</v>
      </c>
      <c r="AX49" s="2">
        <f t="shared" si="24"/>
        <v>2.6532298527617346</v>
      </c>
      <c r="AY49" s="2">
        <f t="shared" si="25"/>
        <v>13.282918201080353</v>
      </c>
    </row>
    <row r="50" spans="12:51" x14ac:dyDescent="0.25">
      <c r="L50" s="21"/>
      <c r="M50" s="5">
        <f t="shared" si="26"/>
        <v>0</v>
      </c>
      <c r="N50" s="5">
        <f t="shared" si="27"/>
        <v>1</v>
      </c>
      <c r="O50" s="5" t="str">
        <f t="shared" si="19"/>
        <v/>
      </c>
      <c r="P50" s="5"/>
      <c r="AT50" s="2">
        <v>235</v>
      </c>
      <c r="AU50" s="2">
        <f>RADIANS(Tabla9[[#This Row],[Angle º]])</f>
        <v>4.1015237421866741</v>
      </c>
      <c r="AV50" s="2">
        <f t="shared" si="22"/>
        <v>12.036264870987516</v>
      </c>
      <c r="AW50" s="2">
        <f t="shared" si="23"/>
        <v>5.7051699129050935</v>
      </c>
      <c r="AX50" s="2">
        <f t="shared" si="24"/>
        <v>2.2778323526870841</v>
      </c>
      <c r="AY50" s="2">
        <f t="shared" si="25"/>
        <v>13.772145748078797</v>
      </c>
    </row>
    <row r="51" spans="12:51" x14ac:dyDescent="0.25">
      <c r="L51" s="21"/>
      <c r="M51" s="5">
        <f t="shared" si="26"/>
        <v>0</v>
      </c>
      <c r="N51" s="5">
        <f t="shared" si="27"/>
        <v>1</v>
      </c>
      <c r="O51" s="5" t="str">
        <f t="shared" si="19"/>
        <v/>
      </c>
      <c r="P51" s="5"/>
      <c r="AT51" s="2">
        <v>240</v>
      </c>
      <c r="AU51" s="2">
        <f>RADIANS(Tabla9[[#This Row],[Angle º]])</f>
        <v>4.1887902047863905</v>
      </c>
      <c r="AV51" s="2">
        <f t="shared" si="22"/>
        <v>11.704934861967519</v>
      </c>
      <c r="AW51" s="2">
        <f t="shared" si="23"/>
        <v>6.2252538493299934</v>
      </c>
      <c r="AX51" s="2">
        <f t="shared" si="24"/>
        <v>1.9465023436670856</v>
      </c>
      <c r="AY51" s="2">
        <f t="shared" si="25"/>
        <v>14.292229684503697</v>
      </c>
    </row>
    <row r="52" spans="12:51" x14ac:dyDescent="0.25">
      <c r="L52" s="21"/>
      <c r="M52" s="5">
        <f t="shared" si="26"/>
        <v>0</v>
      </c>
      <c r="N52" s="5">
        <f t="shared" si="27"/>
        <v>1</v>
      </c>
      <c r="O52" s="5" t="str">
        <f t="shared" si="19"/>
        <v/>
      </c>
      <c r="P52" s="5"/>
      <c r="AT52" s="2">
        <v>245</v>
      </c>
      <c r="AU52" s="2">
        <f>RADIANS(Tabla9[[#This Row],[Angle º]])</f>
        <v>4.2760566673861078</v>
      </c>
      <c r="AV52" s="2">
        <f t="shared" si="22"/>
        <v>11.42019396543334</v>
      </c>
      <c r="AW52" s="2">
        <f t="shared" si="23"/>
        <v>6.7722360223898947</v>
      </c>
      <c r="AX52" s="2">
        <f t="shared" si="24"/>
        <v>1.661761447132907</v>
      </c>
      <c r="AY52" s="2">
        <f t="shared" si="25"/>
        <v>14.839211857563598</v>
      </c>
    </row>
    <row r="53" spans="12:51" x14ac:dyDescent="0.25">
      <c r="L53" s="21"/>
      <c r="M53" s="5">
        <f t="shared" si="26"/>
        <v>0</v>
      </c>
      <c r="N53" s="5">
        <f t="shared" si="27"/>
        <v>1</v>
      </c>
      <c r="O53" s="5" t="str">
        <f t="shared" si="19"/>
        <v/>
      </c>
      <c r="P53" s="5"/>
      <c r="AT53" s="2">
        <v>250</v>
      </c>
      <c r="AU53" s="2">
        <f>RADIANS(Tabla9[[#This Row],[Angle º]])</f>
        <v>4.3633231299858242</v>
      </c>
      <c r="AV53" s="2">
        <f t="shared" si="22"/>
        <v>11.184209231538869</v>
      </c>
      <c r="AW53" s="2">
        <f t="shared" si="23"/>
        <v>7.3419535674709353</v>
      </c>
      <c r="AX53" s="2">
        <f t="shared" si="24"/>
        <v>1.4257767132384354</v>
      </c>
      <c r="AY53" s="2">
        <f t="shared" si="25"/>
        <v>15.408929402644638</v>
      </c>
    </row>
    <row r="54" spans="12:51" x14ac:dyDescent="0.25">
      <c r="L54" s="21"/>
      <c r="M54" s="5">
        <f t="shared" si="26"/>
        <v>0</v>
      </c>
      <c r="N54" s="5">
        <f t="shared" si="27"/>
        <v>1</v>
      </c>
      <c r="O54" s="5" t="str">
        <f t="shared" si="19"/>
        <v/>
      </c>
      <c r="P54" s="5"/>
      <c r="AT54" s="2">
        <v>255</v>
      </c>
      <c r="AU54" s="2">
        <f>RADIANS(Tabla9[[#This Row],[Angle º]])</f>
        <v>4.4505895925855405</v>
      </c>
      <c r="AV54" s="2">
        <f t="shared" si="22"/>
        <v>10.998776646600515</v>
      </c>
      <c r="AW54" s="2">
        <f t="shared" si="23"/>
        <v>7.9300705900501942</v>
      </c>
      <c r="AX54" s="2">
        <f t="shared" si="24"/>
        <v>1.2403441283000811</v>
      </c>
      <c r="AY54" s="2">
        <f t="shared" si="25"/>
        <v>15.997046425223898</v>
      </c>
    </row>
    <row r="55" spans="12:51" x14ac:dyDescent="0.25">
      <c r="L55" s="21"/>
      <c r="M55" s="5">
        <f t="shared" si="26"/>
        <v>0</v>
      </c>
      <c r="N55" s="5">
        <f t="shared" si="27"/>
        <v>1</v>
      </c>
      <c r="O55" s="5" t="str">
        <f t="shared" si="19"/>
        <v/>
      </c>
      <c r="P55" s="5"/>
      <c r="AT55" s="2">
        <v>260</v>
      </c>
      <c r="AU55" s="2">
        <f>RADIANS(Tabla9[[#This Row],[Angle º]])</f>
        <v>4.5378560551852569</v>
      </c>
      <c r="AV55" s="2">
        <f t="shared" si="22"/>
        <v>10.865307464556915</v>
      </c>
      <c r="AW55" s="2">
        <f t="shared" si="23"/>
        <v>8.5321111644710754</v>
      </c>
      <c r="AX55" s="2">
        <f t="shared" si="24"/>
        <v>1.1068749462564824</v>
      </c>
      <c r="AY55" s="2">
        <f t="shared" si="25"/>
        <v>16.599086999644779</v>
      </c>
    </row>
    <row r="56" spans="12:51" x14ac:dyDescent="0.25">
      <c r="L56" s="21"/>
      <c r="M56" s="5">
        <f t="shared" si="26"/>
        <v>0</v>
      </c>
      <c r="N56" s="5">
        <f t="shared" si="27"/>
        <v>1</v>
      </c>
      <c r="O56" s="5" t="str">
        <f t="shared" si="19"/>
        <v/>
      </c>
      <c r="P56" s="5"/>
      <c r="AT56" s="2">
        <v>265</v>
      </c>
      <c r="AU56" s="2">
        <f>RADIANS(Tabla9[[#This Row],[Angle º]])</f>
        <v>4.6251225177849733</v>
      </c>
      <c r="AV56" s="2">
        <f t="shared" si="22"/>
        <v>10.784817466474319</v>
      </c>
      <c r="AW56" s="2">
        <f t="shared" si="23"/>
        <v>9.1434933984401994</v>
      </c>
      <c r="AX56" s="2">
        <f t="shared" si="24"/>
        <v>1.0263849481738854</v>
      </c>
      <c r="AY56" s="2">
        <f t="shared" si="25"/>
        <v>17.210469233613903</v>
      </c>
    </row>
    <row r="57" spans="12:51" x14ac:dyDescent="0.25">
      <c r="L57" s="21"/>
      <c r="M57" s="5">
        <f t="shared" si="26"/>
        <v>0</v>
      </c>
      <c r="N57" s="5">
        <f t="shared" si="27"/>
        <v>1</v>
      </c>
      <c r="O57" s="5" t="str">
        <f t="shared" si="19"/>
        <v/>
      </c>
      <c r="P57" s="5"/>
      <c r="AT57" s="2">
        <v>270</v>
      </c>
      <c r="AU57" s="2">
        <f>RADIANS(Tabla9[[#This Row],[Angle º]])</f>
        <v>4.7123889803846897</v>
      </c>
      <c r="AV57" s="2">
        <f t="shared" si="22"/>
        <v>10.757919229839322</v>
      </c>
      <c r="AW57" s="2">
        <f t="shared" si="23"/>
        <v>9.759564303994372</v>
      </c>
      <c r="AX57" s="2">
        <f t="shared" si="24"/>
        <v>0.99948671153888924</v>
      </c>
      <c r="AY57" s="2">
        <f t="shared" si="25"/>
        <v>17.826540139168078</v>
      </c>
    </row>
    <row r="58" spans="12:51" x14ac:dyDescent="0.25">
      <c r="L58" s="21"/>
      <c r="M58" s="5">
        <f t="shared" si="26"/>
        <v>0</v>
      </c>
      <c r="N58" s="5">
        <f t="shared" si="27"/>
        <v>1</v>
      </c>
      <c r="O58" s="5" t="str">
        <f t="shared" si="19"/>
        <v/>
      </c>
      <c r="P58" s="5"/>
      <c r="AT58" s="2">
        <v>275</v>
      </c>
      <c r="AU58" s="2">
        <f>RADIANS(Tabla9[[#This Row],[Angle º]])</f>
        <v>4.7996554429844061</v>
      </c>
      <c r="AV58" s="2">
        <f t="shared" si="22"/>
        <v>10.784817466474319</v>
      </c>
      <c r="AW58" s="2">
        <f t="shared" si="23"/>
        <v>10.375635209548546</v>
      </c>
      <c r="AX58" s="2">
        <f t="shared" si="24"/>
        <v>1.0263849481738854</v>
      </c>
      <c r="AY58" s="2">
        <f t="shared" si="25"/>
        <v>18.442611044722248</v>
      </c>
    </row>
    <row r="59" spans="12:51" x14ac:dyDescent="0.25">
      <c r="L59" s="21"/>
      <c r="M59" s="5">
        <f t="shared" si="26"/>
        <v>0</v>
      </c>
      <c r="N59" s="5">
        <f t="shared" si="27"/>
        <v>1</v>
      </c>
      <c r="O59" s="5" t="str">
        <f t="shared" si="19"/>
        <v/>
      </c>
      <c r="P59" s="5"/>
      <c r="AT59" s="2">
        <v>280</v>
      </c>
      <c r="AU59" s="2">
        <f>RADIANS(Tabla9[[#This Row],[Angle º]])</f>
        <v>4.8869219055841224</v>
      </c>
      <c r="AV59" s="2">
        <f t="shared" si="22"/>
        <v>10.865307464556913</v>
      </c>
      <c r="AW59" s="2">
        <f t="shared" si="23"/>
        <v>10.98701744351767</v>
      </c>
      <c r="AX59" s="2">
        <f t="shared" si="24"/>
        <v>1.1068749462564815</v>
      </c>
      <c r="AY59" s="2">
        <f t="shared" si="25"/>
        <v>19.053993278691372</v>
      </c>
    </row>
    <row r="60" spans="12:51" x14ac:dyDescent="0.25">
      <c r="L60" s="21"/>
      <c r="M60" s="5">
        <f t="shared" si="26"/>
        <v>0</v>
      </c>
      <c r="N60" s="5">
        <f t="shared" si="27"/>
        <v>1</v>
      </c>
      <c r="O60" s="5" t="str">
        <f t="shared" si="19"/>
        <v/>
      </c>
      <c r="P60" s="5"/>
      <c r="AT60" s="2">
        <v>285</v>
      </c>
      <c r="AU60" s="2">
        <f>RADIANS(Tabla9[[#This Row],[Angle º]])</f>
        <v>4.9741883681838388</v>
      </c>
      <c r="AV60" s="2">
        <f t="shared" si="22"/>
        <v>10.998776646600513</v>
      </c>
      <c r="AW60" s="2">
        <f t="shared" si="23"/>
        <v>11.589058017938552</v>
      </c>
      <c r="AX60" s="2">
        <f t="shared" si="24"/>
        <v>1.2403441283000802</v>
      </c>
      <c r="AY60" s="2">
        <f t="shared" si="25"/>
        <v>19.656033853112255</v>
      </c>
    </row>
    <row r="61" spans="12:51" x14ac:dyDescent="0.25">
      <c r="L61" s="21"/>
      <c r="M61" s="5">
        <f t="shared" si="26"/>
        <v>0</v>
      </c>
      <c r="N61" s="5">
        <f t="shared" si="27"/>
        <v>1</v>
      </c>
      <c r="O61" s="5" t="str">
        <f t="shared" si="19"/>
        <v/>
      </c>
      <c r="P61" s="5"/>
      <c r="AT61" s="2">
        <v>290</v>
      </c>
      <c r="AU61" s="2">
        <f>RADIANS(Tabla9[[#This Row],[Angle º]])</f>
        <v>5.0614548307835561</v>
      </c>
      <c r="AV61" s="2">
        <f t="shared" si="22"/>
        <v>11.184209231538869</v>
      </c>
      <c r="AW61" s="2">
        <f t="shared" si="23"/>
        <v>12.177175040517815</v>
      </c>
      <c r="AX61" s="2">
        <f t="shared" si="24"/>
        <v>1.4257767132384362</v>
      </c>
      <c r="AY61" s="2">
        <f t="shared" si="25"/>
        <v>20.24415087569152</v>
      </c>
    </row>
    <row r="62" spans="12:51" x14ac:dyDescent="0.25">
      <c r="L62" s="21"/>
      <c r="M62" s="5">
        <f t="shared" si="26"/>
        <v>0</v>
      </c>
      <c r="N62" s="5">
        <f t="shared" si="27"/>
        <v>1</v>
      </c>
      <c r="O62" s="5" t="str">
        <f t="shared" si="19"/>
        <v/>
      </c>
      <c r="P62" s="5"/>
      <c r="AT62" s="2">
        <v>295</v>
      </c>
      <c r="AU62" s="2">
        <f>RADIANS(Tabla9[[#This Row],[Angle º]])</f>
        <v>5.1487212933832724</v>
      </c>
      <c r="AV62" s="2">
        <f t="shared" si="22"/>
        <v>11.420193965433342</v>
      </c>
      <c r="AW62" s="2">
        <f t="shared" si="23"/>
        <v>12.746892585598856</v>
      </c>
      <c r="AX62" s="2">
        <f t="shared" si="24"/>
        <v>1.6617614471329079</v>
      </c>
      <c r="AY62" s="2">
        <f t="shared" si="25"/>
        <v>20.813868420772561</v>
      </c>
    </row>
    <row r="63" spans="12:51" x14ac:dyDescent="0.25">
      <c r="L63" s="21"/>
      <c r="M63" s="5">
        <f t="shared" si="26"/>
        <v>0</v>
      </c>
      <c r="N63" s="5">
        <f t="shared" si="27"/>
        <v>1</v>
      </c>
      <c r="O63" s="5" t="str">
        <f t="shared" si="19"/>
        <v/>
      </c>
      <c r="P63" s="5"/>
      <c r="AT63" s="2">
        <v>300</v>
      </c>
      <c r="AU63" s="2">
        <f>RADIANS(Tabla9[[#This Row],[Angle º]])</f>
        <v>5.2359877559829888</v>
      </c>
      <c r="AV63" s="2">
        <f t="shared" si="22"/>
        <v>11.704934861967516</v>
      </c>
      <c r="AW63" s="2">
        <f t="shared" si="23"/>
        <v>13.293874758658752</v>
      </c>
      <c r="AX63" s="2">
        <f t="shared" si="24"/>
        <v>1.9465023436670839</v>
      </c>
      <c r="AY63" s="2">
        <f t="shared" si="25"/>
        <v>21.360850593832456</v>
      </c>
    </row>
    <row r="64" spans="12:51" x14ac:dyDescent="0.25">
      <c r="L64" s="21"/>
      <c r="M64" s="5">
        <f t="shared" si="26"/>
        <v>0</v>
      </c>
      <c r="N64" s="5">
        <f t="shared" si="27"/>
        <v>1</v>
      </c>
      <c r="O64" s="5" t="str">
        <f t="shared" si="19"/>
        <v/>
      </c>
      <c r="P64" s="5"/>
      <c r="AT64" s="2">
        <v>305</v>
      </c>
      <c r="AU64" s="2">
        <f>RADIANS(Tabla9[[#This Row],[Angle º]])</f>
        <v>5.3232542185827052</v>
      </c>
      <c r="AV64" s="2">
        <f t="shared" si="22"/>
        <v>12.036264870987516</v>
      </c>
      <c r="AW64" s="2">
        <f t="shared" si="23"/>
        <v>13.813958695083652</v>
      </c>
      <c r="AX64" s="2">
        <f t="shared" si="24"/>
        <v>2.2778323526870823</v>
      </c>
      <c r="AY64" s="2">
        <f t="shared" si="25"/>
        <v>21.880934530257356</v>
      </c>
    </row>
    <row r="65" spans="12:51" x14ac:dyDescent="0.25">
      <c r="L65" s="21"/>
      <c r="M65" s="5">
        <f t="shared" si="26"/>
        <v>0</v>
      </c>
      <c r="N65" s="5">
        <f t="shared" si="27"/>
        <v>1</v>
      </c>
      <c r="O65" s="5" t="str">
        <f t="shared" si="19"/>
        <v/>
      </c>
      <c r="P65" s="5"/>
      <c r="AT65" s="2">
        <v>310</v>
      </c>
      <c r="AU65" s="2">
        <f>RADIANS(Tabla9[[#This Row],[Angle º]])</f>
        <v>5.4105206811824216</v>
      </c>
      <c r="AV65" s="2">
        <f t="shared" si="22"/>
        <v>12.411662371062167</v>
      </c>
      <c r="AW65" s="2">
        <f t="shared" si="23"/>
        <v>14.303186242082095</v>
      </c>
      <c r="AX65" s="2">
        <f t="shared" si="24"/>
        <v>2.6532298527617337</v>
      </c>
      <c r="AY65" s="2">
        <f t="shared" si="25"/>
        <v>22.370162077255799</v>
      </c>
    </row>
    <row r="66" spans="12:51" x14ac:dyDescent="0.25">
      <c r="L66" s="21"/>
      <c r="M66" s="5">
        <f t="shared" si="26"/>
        <v>0</v>
      </c>
      <c r="N66" s="5">
        <f t="shared" si="27"/>
        <v>1</v>
      </c>
      <c r="O66" s="5" t="str">
        <f t="shared" si="19"/>
        <v/>
      </c>
      <c r="P66" s="5"/>
      <c r="AT66" s="2">
        <v>315</v>
      </c>
      <c r="AU66" s="2">
        <f>RADIANS(Tabla9[[#This Row],[Angle º]])</f>
        <v>5.497787143782138</v>
      </c>
      <c r="AV66" s="2">
        <f t="shared" si="22"/>
        <v>12.828270360544693</v>
      </c>
      <c r="AW66" s="2">
        <f t="shared" si="23"/>
        <v>14.757834082617755</v>
      </c>
      <c r="AX66" s="2">
        <f t="shared" si="24"/>
        <v>3.0698378422442607</v>
      </c>
      <c r="AY66" s="2">
        <f t="shared" si="25"/>
        <v>22.824809917791459</v>
      </c>
    </row>
    <row r="67" spans="12:51" x14ac:dyDescent="0.25">
      <c r="L67" s="21"/>
      <c r="M67" s="5">
        <f t="shared" si="26"/>
        <v>0</v>
      </c>
      <c r="N67" s="5">
        <f t="shared" si="27"/>
        <v>1</v>
      </c>
      <c r="O67" s="5" t="str">
        <f t="shared" si="19"/>
        <v/>
      </c>
      <c r="P67" s="5"/>
      <c r="AT67" s="2">
        <v>320</v>
      </c>
      <c r="AU67" s="2">
        <f>RADIANS(Tabla9[[#This Row],[Angle º]])</f>
        <v>5.5850536063818543</v>
      </c>
      <c r="AV67" s="2">
        <f t="shared" ref="AV67:AV75" si="28">$F$3*SIN(AU67)+ dD</f>
        <v>13.282918201080353</v>
      </c>
      <c r="AW67" s="2">
        <f t="shared" ref="AW67:AW75" si="29">$F$3*COS(AU67)+ dP</f>
        <v>15.174442072100284</v>
      </c>
      <c r="AX67" s="2">
        <f t="shared" ref="AX67:AX75" si="30">$F$3*SIN(AU67)+  dH</f>
        <v>3.52448568277992</v>
      </c>
      <c r="AY67" s="2">
        <f t="shared" ref="AY67:AY75" si="31">$F$3*COS(AU67)+ dD</f>
        <v>23.241417907273988</v>
      </c>
    </row>
    <row r="68" spans="12:51" x14ac:dyDescent="0.25">
      <c r="L68" s="21"/>
      <c r="M68" s="5">
        <f t="shared" si="26"/>
        <v>0</v>
      </c>
      <c r="N68" s="5">
        <f t="shared" si="27"/>
        <v>1</v>
      </c>
      <c r="O68" s="5" t="str">
        <f t="shared" si="19"/>
        <v/>
      </c>
      <c r="P68" s="5"/>
      <c r="AT68" s="2">
        <v>325</v>
      </c>
      <c r="AU68" s="2">
        <f>RADIANS(Tabla9[[#This Row],[Angle º]])</f>
        <v>5.6723200689815707</v>
      </c>
      <c r="AV68" s="2">
        <f t="shared" si="28"/>
        <v>13.772145748078795</v>
      </c>
      <c r="AW68" s="2">
        <f t="shared" si="29"/>
        <v>15.549839572174935</v>
      </c>
      <c r="AX68" s="2">
        <f t="shared" si="30"/>
        <v>4.0137132297783635</v>
      </c>
      <c r="AY68" s="2">
        <f t="shared" si="31"/>
        <v>23.616815407348639</v>
      </c>
    </row>
    <row r="69" spans="12:51" x14ac:dyDescent="0.25">
      <c r="L69" s="21"/>
      <c r="M69" s="5">
        <f t="shared" si="26"/>
        <v>0</v>
      </c>
      <c r="N69" s="5">
        <f t="shared" si="27"/>
        <v>1</v>
      </c>
      <c r="O69" s="5" t="str">
        <f t="shared" si="19"/>
        <v/>
      </c>
      <c r="P69" s="5"/>
      <c r="AT69" s="2">
        <v>330</v>
      </c>
      <c r="AU69" s="2">
        <f>RADIANS(Tabla9[[#This Row],[Angle º]])</f>
        <v>5.7595865315812871</v>
      </c>
      <c r="AV69" s="2">
        <f t="shared" si="28"/>
        <v>14.292229684503697</v>
      </c>
      <c r="AW69" s="2">
        <f t="shared" si="29"/>
        <v>15.881169581194932</v>
      </c>
      <c r="AX69" s="2">
        <f t="shared" si="30"/>
        <v>4.5337971662032643</v>
      </c>
      <c r="AY69" s="2">
        <f t="shared" si="31"/>
        <v>23.948145416368636</v>
      </c>
    </row>
    <row r="70" spans="12:51" x14ac:dyDescent="0.25">
      <c r="L70" s="21"/>
      <c r="M70" s="5">
        <f t="shared" si="26"/>
        <v>0</v>
      </c>
      <c r="N70" s="5">
        <f t="shared" si="27"/>
        <v>1</v>
      </c>
      <c r="O70" s="5" t="str">
        <f t="shared" si="19"/>
        <v/>
      </c>
      <c r="P70" s="5"/>
      <c r="AT70" s="2">
        <v>335</v>
      </c>
      <c r="AU70" s="2">
        <f>RADIANS(Tabla9[[#This Row],[Angle º]])</f>
        <v>5.8468529941810043</v>
      </c>
      <c r="AV70" s="2">
        <f t="shared" si="28"/>
        <v>14.839211857563598</v>
      </c>
      <c r="AW70" s="2">
        <f t="shared" si="29"/>
        <v>16.165910477729113</v>
      </c>
      <c r="AX70" s="2">
        <f t="shared" si="30"/>
        <v>5.0807793392631648</v>
      </c>
      <c r="AY70" s="2">
        <f t="shared" si="31"/>
        <v>24.232886312902814</v>
      </c>
    </row>
    <row r="71" spans="12:51" x14ac:dyDescent="0.25">
      <c r="L71" s="21"/>
      <c r="M71" s="5">
        <f t="shared" si="26"/>
        <v>0</v>
      </c>
      <c r="N71" s="5">
        <f t="shared" si="27"/>
        <v>1</v>
      </c>
      <c r="O71" s="5" t="str">
        <f t="shared" si="19"/>
        <v/>
      </c>
      <c r="P71" s="5"/>
      <c r="AT71" s="2">
        <v>340</v>
      </c>
      <c r="AU71" s="2">
        <f>RADIANS(Tabla9[[#This Row],[Angle º]])</f>
        <v>5.9341194567807207</v>
      </c>
      <c r="AV71" s="2">
        <f t="shared" si="28"/>
        <v>15.408929402644638</v>
      </c>
      <c r="AW71" s="2">
        <f t="shared" si="29"/>
        <v>16.401895211623582</v>
      </c>
      <c r="AX71" s="2">
        <f t="shared" si="30"/>
        <v>5.6504968843442054</v>
      </c>
      <c r="AY71" s="2">
        <f t="shared" si="31"/>
        <v>24.468871046797286</v>
      </c>
    </row>
    <row r="72" spans="12:51" x14ac:dyDescent="0.25">
      <c r="L72" s="21"/>
      <c r="M72" s="5">
        <f t="shared" si="26"/>
        <v>0</v>
      </c>
      <c r="N72" s="5">
        <f t="shared" si="27"/>
        <v>1</v>
      </c>
      <c r="O72" s="5" t="str">
        <f t="shared" si="19"/>
        <v/>
      </c>
      <c r="P72" s="5"/>
      <c r="AT72" s="2">
        <v>345</v>
      </c>
      <c r="AU72" s="2">
        <f>RADIANS(Tabla9[[#This Row],[Angle º]])</f>
        <v>6.0213859193804371</v>
      </c>
      <c r="AV72" s="2">
        <f t="shared" si="28"/>
        <v>15.997046425223898</v>
      </c>
      <c r="AW72" s="2">
        <f t="shared" si="29"/>
        <v>16.587327796561937</v>
      </c>
      <c r="AX72" s="2">
        <f t="shared" si="30"/>
        <v>6.2386139069234652</v>
      </c>
      <c r="AY72" s="2">
        <f t="shared" si="31"/>
        <v>24.65430363173564</v>
      </c>
    </row>
    <row r="73" spans="12:51" x14ac:dyDescent="0.25">
      <c r="L73" s="21"/>
      <c r="M73" s="5">
        <f t="shared" si="26"/>
        <v>0</v>
      </c>
      <c r="N73" s="5">
        <f t="shared" si="27"/>
        <v>1</v>
      </c>
      <c r="O73" s="5" t="str">
        <f t="shared" si="19"/>
        <v/>
      </c>
      <c r="P73" s="5"/>
      <c r="AT73" s="2">
        <v>350</v>
      </c>
      <c r="AU73" s="2">
        <f>RADIANS(Tabla9[[#This Row],[Angle º]])</f>
        <v>6.1086523819801535</v>
      </c>
      <c r="AV73" s="2">
        <f t="shared" si="28"/>
        <v>16.599086999644779</v>
      </c>
      <c r="AW73" s="2">
        <f t="shared" si="29"/>
        <v>16.720796978605534</v>
      </c>
      <c r="AX73" s="2">
        <f t="shared" si="30"/>
        <v>6.8406544813443464</v>
      </c>
      <c r="AY73" s="2">
        <f t="shared" si="31"/>
        <v>24.787772813779242</v>
      </c>
    </row>
    <row r="74" spans="12:51" x14ac:dyDescent="0.25">
      <c r="L74" s="21"/>
      <c r="M74" s="5">
        <f t="shared" si="26"/>
        <v>0</v>
      </c>
      <c r="N74" s="5">
        <f t="shared" si="27"/>
        <v>1</v>
      </c>
      <c r="O74" s="5" t="str">
        <f t="shared" si="19"/>
        <v/>
      </c>
      <c r="P74" s="5"/>
      <c r="AT74" s="2">
        <v>355</v>
      </c>
      <c r="AU74" s="2">
        <f>RADIANS(Tabla9[[#This Row],[Angle º]])</f>
        <v>6.1959188445798699</v>
      </c>
      <c r="AV74" s="2">
        <f t="shared" si="28"/>
        <v>17.210469233613903</v>
      </c>
      <c r="AW74" s="2">
        <f t="shared" si="29"/>
        <v>16.801286976688132</v>
      </c>
      <c r="AX74" s="2">
        <f t="shared" si="30"/>
        <v>7.4520367153134695</v>
      </c>
      <c r="AY74" s="2">
        <f t="shared" si="31"/>
        <v>24.868262811861836</v>
      </c>
    </row>
    <row r="75" spans="12:51" x14ac:dyDescent="0.25">
      <c r="L75" s="21"/>
      <c r="M75" s="5">
        <f t="shared" si="26"/>
        <v>0</v>
      </c>
      <c r="N75" s="5">
        <f t="shared" si="27"/>
        <v>1</v>
      </c>
      <c r="O75" s="5" t="str">
        <f t="shared" si="19"/>
        <v/>
      </c>
      <c r="P75" s="5"/>
      <c r="AT75" s="2">
        <v>360</v>
      </c>
      <c r="AU75" s="2">
        <f>RADIANS(Tabla9[[#This Row],[Angle º]])</f>
        <v>6.2831853071795862</v>
      </c>
      <c r="AV75" s="2">
        <f t="shared" si="28"/>
        <v>17.826540139168078</v>
      </c>
      <c r="AW75" s="2">
        <f t="shared" si="29"/>
        <v>16.828185213323131</v>
      </c>
      <c r="AX75" s="2">
        <f t="shared" si="30"/>
        <v>8.068107620867643</v>
      </c>
      <c r="AY75" s="2">
        <f t="shared" si="31"/>
        <v>24.895161048496831</v>
      </c>
    </row>
    <row r="76" spans="12:51" x14ac:dyDescent="0.25">
      <c r="L76" s="21"/>
      <c r="M76" s="5">
        <f t="shared" si="26"/>
        <v>0</v>
      </c>
      <c r="N76" s="5">
        <f t="shared" si="27"/>
        <v>1</v>
      </c>
      <c r="O76" s="5" t="str">
        <f t="shared" si="19"/>
        <v/>
      </c>
      <c r="P76" s="5"/>
    </row>
    <row r="77" spans="12:51" x14ac:dyDescent="0.25">
      <c r="L77" s="21"/>
      <c r="M77" s="5">
        <f t="shared" si="26"/>
        <v>0</v>
      </c>
      <c r="N77" s="5">
        <f t="shared" si="27"/>
        <v>1</v>
      </c>
      <c r="O77" s="5" t="str">
        <f t="shared" si="19"/>
        <v/>
      </c>
      <c r="P77" s="5"/>
    </row>
    <row r="78" spans="12:51" x14ac:dyDescent="0.25">
      <c r="L78" s="21"/>
      <c r="M78" s="5">
        <f t="shared" si="26"/>
        <v>0</v>
      </c>
      <c r="N78" s="5">
        <f t="shared" si="27"/>
        <v>1</v>
      </c>
      <c r="O78" s="5" t="str">
        <f t="shared" si="19"/>
        <v/>
      </c>
      <c r="P78" s="5"/>
    </row>
    <row r="79" spans="12:51" x14ac:dyDescent="0.25">
      <c r="L79" s="21"/>
      <c r="M79" s="5">
        <f t="shared" si="26"/>
        <v>0</v>
      </c>
      <c r="N79" s="5">
        <f t="shared" si="27"/>
        <v>1</v>
      </c>
      <c r="O79" s="5" t="str">
        <f t="shared" si="19"/>
        <v/>
      </c>
      <c r="P79" s="5"/>
    </row>
    <row r="80" spans="12:51" x14ac:dyDescent="0.25">
      <c r="L80" s="21"/>
      <c r="M80" s="5">
        <f t="shared" ref="M80:M101" si="32">IF(L80&lt;&gt;"",SQRT(4*(C80-dD)^2+(D80-dP)^2+(E80-dH)^2),0)</f>
        <v>0</v>
      </c>
      <c r="N80" s="5">
        <f t="shared" ref="N80:N101" si="33">IF(L80=1,IF(M80&lt;R_,1,EXP(R_-M80)),IF(L80&lt;&gt;"",IF(M80&lt;R_,EXP(M80-R_),1),1))</f>
        <v>1</v>
      </c>
      <c r="O80" s="5" t="str">
        <f t="shared" si="19"/>
        <v/>
      </c>
      <c r="P80" s="5"/>
    </row>
    <row r="81" spans="12:16" x14ac:dyDescent="0.25">
      <c r="L81" s="21"/>
      <c r="M81" s="5">
        <f t="shared" si="32"/>
        <v>0</v>
      </c>
      <c r="N81" s="5">
        <f t="shared" si="33"/>
        <v>1</v>
      </c>
      <c r="O81" s="5" t="str">
        <f t="shared" ref="O81:O101" si="34">IF(L81=1,M81, "")</f>
        <v/>
      </c>
      <c r="P81" s="5"/>
    </row>
    <row r="82" spans="12:16" x14ac:dyDescent="0.25">
      <c r="L82" s="21"/>
      <c r="M82" s="5">
        <f t="shared" si="32"/>
        <v>0</v>
      </c>
      <c r="N82" s="5">
        <f t="shared" si="33"/>
        <v>1</v>
      </c>
      <c r="O82" s="5" t="str">
        <f t="shared" si="34"/>
        <v/>
      </c>
      <c r="P82" s="5"/>
    </row>
    <row r="83" spans="12:16" x14ac:dyDescent="0.25">
      <c r="L83" s="21"/>
      <c r="M83" s="5">
        <f t="shared" si="32"/>
        <v>0</v>
      </c>
      <c r="N83" s="5">
        <f t="shared" si="33"/>
        <v>1</v>
      </c>
      <c r="O83" s="5" t="str">
        <f t="shared" si="34"/>
        <v/>
      </c>
      <c r="P83" s="5"/>
    </row>
    <row r="84" spans="12:16" x14ac:dyDescent="0.25">
      <c r="L84" s="21"/>
      <c r="M84" s="5">
        <f t="shared" si="32"/>
        <v>0</v>
      </c>
      <c r="N84" s="5">
        <f t="shared" si="33"/>
        <v>1</v>
      </c>
      <c r="O84" s="5" t="str">
        <f t="shared" si="34"/>
        <v/>
      </c>
      <c r="P84" s="5"/>
    </row>
    <row r="85" spans="12:16" x14ac:dyDescent="0.25">
      <c r="L85" s="21"/>
      <c r="M85" s="5">
        <f t="shared" si="32"/>
        <v>0</v>
      </c>
      <c r="N85" s="5">
        <f t="shared" si="33"/>
        <v>1</v>
      </c>
      <c r="O85" s="5" t="str">
        <f t="shared" si="34"/>
        <v/>
      </c>
      <c r="P85" s="5"/>
    </row>
    <row r="86" spans="12:16" x14ac:dyDescent="0.25">
      <c r="L86" s="21"/>
      <c r="M86" s="5">
        <f t="shared" si="32"/>
        <v>0</v>
      </c>
      <c r="N86" s="5">
        <f t="shared" si="33"/>
        <v>1</v>
      </c>
      <c r="O86" s="5" t="str">
        <f t="shared" si="34"/>
        <v/>
      </c>
      <c r="P86" s="5"/>
    </row>
    <row r="87" spans="12:16" x14ac:dyDescent="0.25">
      <c r="L87" s="21"/>
      <c r="M87" s="5">
        <f t="shared" si="32"/>
        <v>0</v>
      </c>
      <c r="N87" s="5">
        <f t="shared" si="33"/>
        <v>1</v>
      </c>
      <c r="O87" s="5" t="str">
        <f t="shared" si="34"/>
        <v/>
      </c>
      <c r="P87" s="5"/>
    </row>
    <row r="88" spans="12:16" x14ac:dyDescent="0.25">
      <c r="L88" s="21"/>
      <c r="M88" s="5">
        <f t="shared" si="32"/>
        <v>0</v>
      </c>
      <c r="N88" s="5">
        <f t="shared" si="33"/>
        <v>1</v>
      </c>
      <c r="O88" s="5" t="str">
        <f t="shared" si="34"/>
        <v/>
      </c>
      <c r="P88" s="5"/>
    </row>
    <row r="89" spans="12:16" x14ac:dyDescent="0.25">
      <c r="L89" s="21"/>
      <c r="M89" s="5">
        <f t="shared" si="32"/>
        <v>0</v>
      </c>
      <c r="N89" s="5">
        <f t="shared" si="33"/>
        <v>1</v>
      </c>
      <c r="O89" s="5" t="str">
        <f t="shared" si="34"/>
        <v/>
      </c>
      <c r="P89" s="5"/>
    </row>
    <row r="90" spans="12:16" x14ac:dyDescent="0.25">
      <c r="L90" s="21"/>
      <c r="M90" s="5">
        <f t="shared" si="32"/>
        <v>0</v>
      </c>
      <c r="N90" s="5">
        <f t="shared" si="33"/>
        <v>1</v>
      </c>
      <c r="O90" s="5" t="str">
        <f t="shared" si="34"/>
        <v/>
      </c>
      <c r="P90" s="5"/>
    </row>
    <row r="91" spans="12:16" x14ac:dyDescent="0.25">
      <c r="L91" s="21"/>
      <c r="M91" s="5">
        <f t="shared" si="32"/>
        <v>0</v>
      </c>
      <c r="N91" s="5">
        <f t="shared" si="33"/>
        <v>1</v>
      </c>
      <c r="O91" s="5" t="str">
        <f t="shared" si="34"/>
        <v/>
      </c>
      <c r="P91" s="5"/>
    </row>
    <row r="92" spans="12:16" x14ac:dyDescent="0.25">
      <c r="L92" s="21"/>
      <c r="M92" s="5">
        <f t="shared" si="32"/>
        <v>0</v>
      </c>
      <c r="N92" s="5">
        <f t="shared" si="33"/>
        <v>1</v>
      </c>
      <c r="O92" s="5" t="str">
        <f t="shared" si="34"/>
        <v/>
      </c>
      <c r="P92" s="5"/>
    </row>
    <row r="93" spans="12:16" x14ac:dyDescent="0.25">
      <c r="L93" s="21"/>
      <c r="M93" s="5">
        <f t="shared" si="32"/>
        <v>0</v>
      </c>
      <c r="N93" s="5">
        <f t="shared" si="33"/>
        <v>1</v>
      </c>
      <c r="O93" s="5" t="str">
        <f t="shared" si="34"/>
        <v/>
      </c>
      <c r="P93" s="5"/>
    </row>
    <row r="94" spans="12:16" x14ac:dyDescent="0.25">
      <c r="L94" s="21"/>
      <c r="M94" s="5">
        <f t="shared" si="32"/>
        <v>0</v>
      </c>
      <c r="N94" s="5">
        <f t="shared" si="33"/>
        <v>1</v>
      </c>
      <c r="O94" s="5" t="str">
        <f t="shared" si="34"/>
        <v/>
      </c>
      <c r="P94" s="5"/>
    </row>
    <row r="95" spans="12:16" x14ac:dyDescent="0.25">
      <c r="L95" s="21"/>
      <c r="M95" s="5">
        <f t="shared" si="32"/>
        <v>0</v>
      </c>
      <c r="N95" s="5">
        <f t="shared" si="33"/>
        <v>1</v>
      </c>
      <c r="O95" s="5" t="str">
        <f t="shared" si="34"/>
        <v/>
      </c>
      <c r="P95" s="5"/>
    </row>
    <row r="96" spans="12:16" x14ac:dyDescent="0.25">
      <c r="L96" s="21"/>
      <c r="M96" s="5">
        <f t="shared" si="32"/>
        <v>0</v>
      </c>
      <c r="N96" s="5">
        <f t="shared" si="33"/>
        <v>1</v>
      </c>
      <c r="O96" s="5" t="str">
        <f t="shared" si="34"/>
        <v/>
      </c>
      <c r="P96" s="5"/>
    </row>
    <row r="97" spans="12:16" x14ac:dyDescent="0.25">
      <c r="L97" s="21"/>
      <c r="M97" s="5">
        <f t="shared" si="32"/>
        <v>0</v>
      </c>
      <c r="N97" s="5">
        <f t="shared" si="33"/>
        <v>1</v>
      </c>
      <c r="O97" s="5" t="str">
        <f t="shared" si="34"/>
        <v/>
      </c>
      <c r="P97" s="5"/>
    </row>
    <row r="98" spans="12:16" x14ac:dyDescent="0.25">
      <c r="L98" s="21"/>
      <c r="M98" s="5">
        <f t="shared" si="32"/>
        <v>0</v>
      </c>
      <c r="N98" s="5">
        <f t="shared" si="33"/>
        <v>1</v>
      </c>
      <c r="O98" s="5" t="str">
        <f t="shared" si="34"/>
        <v/>
      </c>
      <c r="P98" s="5"/>
    </row>
    <row r="99" spans="12:16" x14ac:dyDescent="0.25">
      <c r="L99" s="21"/>
      <c r="M99" s="5">
        <f t="shared" si="32"/>
        <v>0</v>
      </c>
      <c r="N99" s="5">
        <f t="shared" si="33"/>
        <v>1</v>
      </c>
      <c r="O99" s="5" t="str">
        <f t="shared" si="34"/>
        <v/>
      </c>
      <c r="P99" s="5"/>
    </row>
    <row r="100" spans="12:16" x14ac:dyDescent="0.25">
      <c r="L100" s="21"/>
      <c r="M100" s="5">
        <f t="shared" si="32"/>
        <v>0</v>
      </c>
      <c r="N100" s="5">
        <f t="shared" si="33"/>
        <v>1</v>
      </c>
      <c r="O100" s="5" t="str">
        <f t="shared" si="34"/>
        <v/>
      </c>
      <c r="P100" s="5"/>
    </row>
    <row r="101" spans="12:16" x14ac:dyDescent="0.25">
      <c r="L101" s="21"/>
      <c r="M101" s="5">
        <f t="shared" si="32"/>
        <v>0</v>
      </c>
      <c r="N101" s="5">
        <f t="shared" si="33"/>
        <v>1</v>
      </c>
      <c r="O101" s="5" t="str">
        <f t="shared" si="34"/>
        <v/>
      </c>
      <c r="P101" s="5"/>
    </row>
    <row r="102" spans="12:16" x14ac:dyDescent="0.25">
      <c r="N102" s="2">
        <f>(PRODUCT(N16:N101))^(1/$H$2)</f>
        <v>1</v>
      </c>
      <c r="O102" s="5">
        <f>MAX(O16:O101)</f>
        <v>7.0682775793679555</v>
      </c>
    </row>
  </sheetData>
  <conditionalFormatting sqref="L3">
    <cfRule type="iconSet" priority="3">
      <iconSet iconSet="3Symbols2">
        <cfvo type="percent" val="0"/>
        <cfvo type="num" val="0.9"/>
        <cfvo type="num" val="1"/>
      </iconSet>
    </cfRule>
  </conditionalFormatting>
  <pageMargins left="0.7" right="0.7" top="0.75" bottom="0.75" header="0.3" footer="0.3"/>
  <drawing r:id="rId1"/>
  <tableParts count="2">
    <tablePart r:id="rId2"/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36" id="{EDDC1CA5-A72A-4E27-BD52-87982C72C63B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2"/>
              <x14:cfIcon iconSet="3Symbols2" iconId="0"/>
            </x14:iconSet>
          </x14:cfRule>
          <xm:sqref>F6:J7</xm:sqref>
        </x14:conditionalFormatting>
        <x14:conditionalFormatting xmlns:xm="http://schemas.microsoft.com/office/excel/2006/main">
          <x14:cfRule type="iconSet" priority="2" id="{FD4A6F28-E915-4E05-A774-1BF25B9615A6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2"/>
              <x14:cfIcon iconSet="3Symbols2" iconId="0"/>
            </x14:iconSet>
          </x14:cfRule>
          <xm:sqref>F9:J13</xm:sqref>
        </x14:conditionalFormatting>
        <x14:conditionalFormatting xmlns:xm="http://schemas.microsoft.com/office/excel/2006/main">
          <x14:cfRule type="iconSet" priority="26" id="{091C8F3D-0B66-47B7-829D-DF7CF93E062D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2"/>
              <x14:cfIcon iconSet="3Symbols2" iconId="0"/>
            </x14:iconSet>
          </x14:cfRule>
          <xm:sqref>J16:J37</xm:sqref>
        </x14:conditionalFormatting>
        <x14:conditionalFormatting xmlns:xm="http://schemas.microsoft.com/office/excel/2006/main">
          <x14:cfRule type="iconSet" priority="1" id="{2D3F4C20-6A57-43C3-9FC9-2961880B69BF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2"/>
              <x14:cfIcon iconSet="3Symbols2" iconId="0"/>
            </x14:iconSet>
          </x14:cfRule>
          <xm:sqref>J8:K8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R115"/>
  <sheetViews>
    <sheetView showGridLines="0" topLeftCell="A19" zoomScale="70" zoomScaleNormal="70" workbookViewId="0">
      <selection activeCell="R13" sqref="R13"/>
    </sheetView>
  </sheetViews>
  <sheetFormatPr defaultColWidth="9.140625" defaultRowHeight="15" x14ac:dyDescent="0.25"/>
  <cols>
    <col min="1" max="1" width="21.5703125" style="2" bestFit="1" customWidth="1"/>
    <col min="2" max="2" width="34.140625" style="2" customWidth="1"/>
    <col min="3" max="3" width="10.42578125" style="2" customWidth="1"/>
    <col min="4" max="6" width="9.140625" style="2"/>
    <col min="7" max="7" width="9.140625" style="2" bestFit="1" customWidth="1"/>
    <col min="8" max="9" width="14" style="2" hidden="1" customWidth="1"/>
    <col min="10" max="10" width="9.7109375" style="2" customWidth="1"/>
    <col min="11" max="11" width="11.5703125" style="2" customWidth="1"/>
    <col min="12" max="12" width="10.42578125" style="2" customWidth="1"/>
    <col min="13" max="13" width="11.7109375" style="2" bestFit="1" customWidth="1"/>
    <col min="14" max="14" width="7.140625" style="2" bestFit="1" customWidth="1"/>
    <col min="15" max="15" width="10.5703125" style="2" customWidth="1"/>
    <col min="16" max="16" width="7.7109375" style="2" customWidth="1"/>
    <col min="17" max="17" width="2.7109375" style="2" customWidth="1"/>
    <col min="18" max="18" width="7.85546875" style="2" customWidth="1"/>
    <col min="19" max="19" width="21.5703125" style="2" bestFit="1" customWidth="1"/>
    <col min="20" max="21" width="10.7109375" style="2" bestFit="1" customWidth="1"/>
    <col min="22" max="26" width="9.140625" style="2"/>
    <col min="27" max="27" width="12.28515625" customWidth="1"/>
    <col min="38" max="38" width="10" style="2" customWidth="1"/>
    <col min="39" max="39" width="20.28515625" style="2" bestFit="1" customWidth="1"/>
    <col min="40" max="45" width="9.140625" style="2"/>
    <col min="46" max="46" width="9.28515625" style="2" customWidth="1"/>
    <col min="47" max="56" width="9.140625" style="2"/>
    <col min="57" max="57" width="17.42578125" style="28" bestFit="1" customWidth="1"/>
    <col min="58" max="58" width="17.42578125" style="2" bestFit="1" customWidth="1"/>
    <col min="59" max="61" width="9.140625" style="2"/>
    <col min="62" max="62" width="26.42578125" style="2" bestFit="1" customWidth="1"/>
    <col min="63" max="66" width="9.140625" style="2"/>
    <col min="67" max="67" width="37.42578125" style="2" bestFit="1" customWidth="1"/>
    <col min="68" max="16384" width="9.140625" style="2"/>
  </cols>
  <sheetData>
    <row r="1" spans="1:70" ht="15.75" x14ac:dyDescent="0.25">
      <c r="A1" s="47"/>
      <c r="D1" s="3" t="s">
        <v>119</v>
      </c>
      <c r="K1" s="2" t="s">
        <v>100</v>
      </c>
      <c r="L1" s="2">
        <v>1000000</v>
      </c>
      <c r="O1" s="2" t="s">
        <v>92</v>
      </c>
      <c r="P1" s="2">
        <f>COUNTIF(L19:L113,1)</f>
        <v>26</v>
      </c>
      <c r="AU1" s="29"/>
      <c r="BE1" s="20" t="s">
        <v>2606</v>
      </c>
      <c r="BJ1" s="3" t="s">
        <v>2604</v>
      </c>
      <c r="BO1" s="3" t="s">
        <v>2605</v>
      </c>
    </row>
    <row r="2" spans="1:70" ht="15.75" x14ac:dyDescent="0.25">
      <c r="A2" s="47"/>
      <c r="C2" s="3" t="s">
        <v>96</v>
      </c>
      <c r="D2" s="3" t="s">
        <v>97</v>
      </c>
      <c r="E2" s="3" t="s">
        <v>98</v>
      </c>
      <c r="F2" s="3" t="s">
        <v>1</v>
      </c>
      <c r="G2" s="3"/>
      <c r="H2" s="3"/>
      <c r="I2" s="3"/>
      <c r="J2" s="3"/>
      <c r="K2" s="2" t="s">
        <v>2572</v>
      </c>
      <c r="L2" s="2">
        <f>R105*L1</f>
        <v>898457.22168309474</v>
      </c>
      <c r="O2" s="2" t="s">
        <v>93</v>
      </c>
      <c r="P2" s="2">
        <f>COUNTIF(L19:L113,0)</f>
        <v>23</v>
      </c>
      <c r="AT2" s="2" t="s">
        <v>2489</v>
      </c>
      <c r="AU2" s="2" t="s">
        <v>2490</v>
      </c>
      <c r="AV2" s="2" t="s">
        <v>2492</v>
      </c>
      <c r="AW2" s="2" t="s">
        <v>2491</v>
      </c>
      <c r="AX2" s="2" t="s">
        <v>2493</v>
      </c>
      <c r="AY2" s="2" t="s">
        <v>2494</v>
      </c>
      <c r="AZ2" s="2" t="s">
        <v>2546</v>
      </c>
      <c r="BA2" s="2" t="s">
        <v>2547</v>
      </c>
      <c r="BB2" s="2" t="s">
        <v>2548</v>
      </c>
      <c r="BC2" s="2" t="s">
        <v>2549</v>
      </c>
      <c r="BF2" s="73" t="s">
        <v>96</v>
      </c>
      <c r="BG2" s="73" t="s">
        <v>97</v>
      </c>
      <c r="BH2" s="73" t="s">
        <v>98</v>
      </c>
      <c r="BK2" s="73" t="s">
        <v>96</v>
      </c>
      <c r="BL2" s="73" t="s">
        <v>97</v>
      </c>
      <c r="BM2" s="73" t="s">
        <v>98</v>
      </c>
      <c r="BP2" s="73" t="s">
        <v>96</v>
      </c>
      <c r="BQ2" s="73" t="s">
        <v>97</v>
      </c>
      <c r="BR2" s="73" t="s">
        <v>98</v>
      </c>
    </row>
    <row r="3" spans="1:70" x14ac:dyDescent="0.25">
      <c r="B3" s="2" t="s">
        <v>2574</v>
      </c>
      <c r="C3" s="48">
        <v>15.1533315769037</v>
      </c>
      <c r="D3" s="48">
        <v>3.8117288880368432</v>
      </c>
      <c r="E3" s="48">
        <v>8.7640383721148947</v>
      </c>
      <c r="F3" s="48">
        <v>5.8241035883583834</v>
      </c>
      <c r="G3" s="5"/>
      <c r="H3" s="5"/>
      <c r="I3" s="5"/>
      <c r="J3" s="5"/>
      <c r="K3" s="3" t="s">
        <v>101</v>
      </c>
      <c r="L3" s="32">
        <f>L2/L1</f>
        <v>0.89845722168309472</v>
      </c>
      <c r="O3" s="2" t="s">
        <v>94</v>
      </c>
      <c r="P3" s="2">
        <f>P1+P2</f>
        <v>49</v>
      </c>
      <c r="AT3" s="2">
        <v>0</v>
      </c>
      <c r="AU3" s="2">
        <f>RADIANS(Tabla911[[#This Row],[Angle º]])</f>
        <v>0</v>
      </c>
      <c r="AV3" s="2">
        <f t="shared" ref="AV3" si="0">$F$3*SIN(AU3)+ dD</f>
        <v>15.1533315769037</v>
      </c>
      <c r="AW3" s="2">
        <f t="shared" ref="AW3" si="1">$F$3*COS(AU3)+ dP</f>
        <v>9.6358324763952261</v>
      </c>
      <c r="AX3" s="2">
        <f t="shared" ref="AX3" si="2">$F$3*SIN(AU3)+  dH</f>
        <v>8.7640383721148947</v>
      </c>
      <c r="AY3" s="2">
        <f t="shared" ref="AY3" si="3">$F$3*COS(AU3)+ dD</f>
        <v>20.977435165262083</v>
      </c>
      <c r="AZ3" s="2">
        <f t="shared" ref="AZ3:AZ12" si="4">$F$4*SIN(AU3)+ $C$4</f>
        <v>17.755701334099104</v>
      </c>
      <c r="BA3" s="2">
        <f>$F$4*COS(AU3)+ $D$4</f>
        <v>16.681514375937503</v>
      </c>
      <c r="BB3" s="2">
        <f t="shared" ref="BB3:BB12" si="5">$F$4*SIN(AU3)+  $E$4</f>
        <v>8.1717074034439623</v>
      </c>
      <c r="BC3" s="2">
        <f t="shared" ref="BC3:BC12" si="6">$F$4*COS(AU3)+ $C$4</f>
        <v>23.013728207676117</v>
      </c>
      <c r="BE3" s="49" t="str" cm="1">
        <f t="array" ref="BE3:BH5">_xlfn._xlws.FILTER(Tabla48[[Solvents]:[dH]],Tabla48[AUX], "TODOS SON FALSOS")</f>
        <v>Ethylenediamine</v>
      </c>
      <c r="BF3" s="2">
        <v>16.600000000000001</v>
      </c>
      <c r="BG3" s="2">
        <v>8.8000000000000007</v>
      </c>
      <c r="BH3" s="2">
        <v>17</v>
      </c>
      <c r="BJ3" s="2" t="str" cm="1">
        <f t="array" ref="BJ3:BM28">_xlfn._xlws.FILTER(Tabla48[[Solvents]:[dH]],Tabla48[AUX2]=1, "TODOS SON FALSOS")</f>
        <v>Acetic Anhydride</v>
      </c>
      <c r="BK3" s="2">
        <v>16</v>
      </c>
      <c r="BL3" s="2">
        <v>11.7</v>
      </c>
      <c r="BM3" s="2">
        <v>10.199999999999999</v>
      </c>
      <c r="BO3" s="2" t="str" cm="1">
        <f t="array" ref="BO3:BR25">_xlfn._xlws.FILTER(Tabla48[[Solvents]:[dH]],Tabla48[AUX2]=0, "TODOS SON FALSOS")</f>
        <v>Aniline</v>
      </c>
      <c r="BP3" s="2">
        <v>20.100000000000001</v>
      </c>
      <c r="BQ3" s="2">
        <v>5.8</v>
      </c>
      <c r="BR3" s="2">
        <v>11.2</v>
      </c>
    </row>
    <row r="4" spans="1:70" x14ac:dyDescent="0.25">
      <c r="B4" s="2" t="s">
        <v>2575</v>
      </c>
      <c r="C4" s="48">
        <v>17.755701334099104</v>
      </c>
      <c r="D4" s="48">
        <v>11.423487502360491</v>
      </c>
      <c r="E4" s="48">
        <v>8.1717074034439623</v>
      </c>
      <c r="F4" s="48">
        <v>5.2580268735770126</v>
      </c>
      <c r="G4" s="5"/>
      <c r="H4" s="5"/>
      <c r="I4" s="5"/>
      <c r="J4" s="5"/>
      <c r="AA4" s="2"/>
      <c r="AB4" s="2"/>
      <c r="AT4" s="2">
        <v>5</v>
      </c>
      <c r="AU4" s="2">
        <f>RADIANS(Tabla911[[#This Row],[Angle º]])</f>
        <v>8.7266462599716474E-2</v>
      </c>
      <c r="AV4" s="2">
        <f t="shared" ref="AV4:AV6" si="7">$F$3*SIN(AU4)+ dD</f>
        <v>15.660935650986376</v>
      </c>
      <c r="AW4" s="2">
        <f t="shared" ref="AW4:AW6" si="8">$F$3*COS(AU4)+ dP</f>
        <v>9.6136700038965746</v>
      </c>
      <c r="AX4" s="2">
        <f t="shared" ref="AX4:AX6" si="9">$F$3*SIN(AU4)+  dH</f>
        <v>9.2716424461975713</v>
      </c>
      <c r="AY4" s="2">
        <f t="shared" ref="AY4:AY6" si="10">$F$3*COS(AU4)+ dD</f>
        <v>20.95527269276343</v>
      </c>
      <c r="AZ4" s="2">
        <f t="shared" si="4"/>
        <v>18.213968571652856</v>
      </c>
      <c r="BA4" s="2">
        <f t="shared" ref="BA4:BA12" si="11">$F$4*COS(AU4)+ $D$4</f>
        <v>16.661505996241829</v>
      </c>
      <c r="BB4" s="2">
        <f t="shared" si="5"/>
        <v>8.6299746409977143</v>
      </c>
      <c r="BC4" s="2">
        <f t="shared" si="6"/>
        <v>22.993719827980442</v>
      </c>
      <c r="BE4" s="28" t="str">
        <v>Furfural</v>
      </c>
      <c r="BF4" s="2">
        <v>18.600000000000001</v>
      </c>
      <c r="BG4" s="2">
        <v>14.9</v>
      </c>
      <c r="BH4" s="2">
        <v>5.0999999999999996</v>
      </c>
      <c r="BJ4" s="2" t="str">
        <v>Acetone</v>
      </c>
      <c r="BK4" s="2">
        <v>15.5</v>
      </c>
      <c r="BL4" s="2">
        <v>10.4</v>
      </c>
      <c r="BM4" s="2">
        <v>7</v>
      </c>
      <c r="BO4" s="2" t="str">
        <v>Benzene</v>
      </c>
      <c r="BP4" s="2">
        <v>18.399999999999999</v>
      </c>
      <c r="BQ4" s="2">
        <v>0</v>
      </c>
      <c r="BR4" s="2">
        <v>2</v>
      </c>
    </row>
    <row r="5" spans="1:70" x14ac:dyDescent="0.25">
      <c r="B5" s="7"/>
      <c r="F5" s="5"/>
      <c r="K5" s="31" t="s">
        <v>2573</v>
      </c>
      <c r="O5" s="2" t="s">
        <v>103</v>
      </c>
      <c r="P5" s="2">
        <f>COUNTIF(Tabla48[WI/WO],"WO")</f>
        <v>1</v>
      </c>
      <c r="AT5" s="2">
        <v>10</v>
      </c>
      <c r="AU5" s="2">
        <f>RADIANS(Tabla911[[#This Row],[Angle º]])</f>
        <v>0.17453292519943295</v>
      </c>
      <c r="AV5" s="2">
        <f t="shared" si="7"/>
        <v>16.164676551565563</v>
      </c>
      <c r="AW5" s="2">
        <f t="shared" si="8"/>
        <v>9.5473512561984002</v>
      </c>
      <c r="AX5" s="2">
        <f t="shared" si="9"/>
        <v>9.7753833467767581</v>
      </c>
      <c r="AY5" s="2">
        <f t="shared" si="10"/>
        <v>20.888953945065257</v>
      </c>
      <c r="AZ5" s="2">
        <f t="shared" si="4"/>
        <v>18.668748118819501</v>
      </c>
      <c r="BA5" s="2">
        <f t="shared" si="11"/>
        <v>16.601633133005674</v>
      </c>
      <c r="BB5" s="2">
        <f t="shared" si="5"/>
        <v>9.0847541881643572</v>
      </c>
      <c r="BC5" s="2">
        <f t="shared" si="6"/>
        <v>22.933846964744287</v>
      </c>
      <c r="BE5" s="28" t="str">
        <v>Dimethyl Maleate</v>
      </c>
      <c r="BF5" s="2">
        <v>16.3</v>
      </c>
      <c r="BG5" s="2">
        <v>8.3000000000000007</v>
      </c>
      <c r="BH5" s="2">
        <v>9.8000000000000007</v>
      </c>
      <c r="BJ5" s="2" t="str">
        <v>Acetophenone</v>
      </c>
      <c r="BK5" s="2">
        <v>18.8</v>
      </c>
      <c r="BL5" s="2">
        <v>9</v>
      </c>
      <c r="BM5" s="2">
        <v>4</v>
      </c>
      <c r="BO5" s="2" t="str">
        <v>Carbon Tetrachloride (0 Dipole Moment)</v>
      </c>
      <c r="BP5" s="2">
        <v>17.8</v>
      </c>
      <c r="BQ5" s="2">
        <v>0</v>
      </c>
      <c r="BR5" s="2">
        <v>0.6</v>
      </c>
    </row>
    <row r="6" spans="1:70" x14ac:dyDescent="0.25">
      <c r="B6" s="3"/>
      <c r="C6" s="75" t="s">
        <v>2576</v>
      </c>
      <c r="D6" s="75"/>
      <c r="E6" s="28">
        <f>COUNT(L19:L104)</f>
        <v>49</v>
      </c>
      <c r="G6" s="5"/>
      <c r="H6" s="5"/>
      <c r="I6" s="5"/>
      <c r="J6" s="5"/>
      <c r="K6" s="39" t="s">
        <v>2571</v>
      </c>
      <c r="L6" s="50">
        <f>(R_^(-1/E6))*(F4^(-1/E6))*R105</f>
        <v>0.83785682986526122</v>
      </c>
      <c r="O6" s="2" t="s">
        <v>104</v>
      </c>
      <c r="P6" s="2">
        <f>COUNTIF(Tabla48[WI/WO],"WI")</f>
        <v>2</v>
      </c>
      <c r="AT6" s="2">
        <v>15</v>
      </c>
      <c r="AU6" s="2">
        <f>RADIANS(Tabla911[[#This Row],[Angle º]])</f>
        <v>0.26179938779914941</v>
      </c>
      <c r="AV6" s="2">
        <f t="shared" si="7"/>
        <v>16.66072050622078</v>
      </c>
      <c r="AW6" s="2">
        <f t="shared" si="8"/>
        <v>9.4373809590150426</v>
      </c>
      <c r="AX6" s="2">
        <f t="shared" si="9"/>
        <v>10.271427301431975</v>
      </c>
      <c r="AY6" s="2">
        <f t="shared" si="10"/>
        <v>20.778983647881898</v>
      </c>
      <c r="AZ6" s="2">
        <f t="shared" si="4"/>
        <v>19.1165788286417</v>
      </c>
      <c r="BA6" s="2">
        <f t="shared" si="11"/>
        <v>16.502351454870492</v>
      </c>
      <c r="BB6" s="2">
        <f t="shared" si="5"/>
        <v>9.5325848979865579</v>
      </c>
      <c r="BC6" s="2">
        <f t="shared" si="6"/>
        <v>22.834565286609106</v>
      </c>
      <c r="BJ6" s="2" t="str">
        <v>Acetylacetone</v>
      </c>
      <c r="BK6" s="2">
        <v>16.100000000000001</v>
      </c>
      <c r="BL6" s="2">
        <v>10</v>
      </c>
      <c r="BM6" s="2">
        <v>6.2</v>
      </c>
      <c r="BO6" s="2" t="str">
        <v>Chloroform</v>
      </c>
      <c r="BP6" s="2">
        <v>17.8</v>
      </c>
      <c r="BQ6" s="2">
        <v>3.1</v>
      </c>
      <c r="BR6" s="2">
        <v>5.7</v>
      </c>
    </row>
    <row r="7" spans="1:70" x14ac:dyDescent="0.25">
      <c r="G7" s="5"/>
      <c r="H7" s="5"/>
      <c r="I7" s="5"/>
      <c r="J7" s="5"/>
      <c r="K7" s="31"/>
      <c r="AT7" s="2">
        <v>20</v>
      </c>
      <c r="AU7" s="2">
        <f>RADIANS(Tabla911[[#This Row],[Angle º]])</f>
        <v>0.3490658503988659</v>
      </c>
      <c r="AV7" s="2">
        <f t="shared" ref="AV7" si="12">$F$3*SIN(AU7)+ dD</f>
        <v>17.145292320937575</v>
      </c>
      <c r="AW7" s="2">
        <f t="shared" ref="AW7" si="13">$F$3*COS(AU7)+ dP</f>
        <v>9.2845960527099454</v>
      </c>
      <c r="AX7" s="2">
        <f t="shared" ref="AX7" si="14">$F$3*SIN(AU7)+  dH</f>
        <v>10.75599911614877</v>
      </c>
      <c r="AY7" s="2">
        <f t="shared" ref="AY7" si="15">$F$3*COS(AU7)+ dD</f>
        <v>20.6261987415768</v>
      </c>
      <c r="AZ7" s="2">
        <f t="shared" si="4"/>
        <v>19.554052439010132</v>
      </c>
      <c r="BA7" s="2">
        <f t="shared" si="11"/>
        <v>16.364416555354811</v>
      </c>
      <c r="BB7" s="2">
        <f t="shared" si="5"/>
        <v>9.97005850835499</v>
      </c>
      <c r="BC7" s="2">
        <f t="shared" si="6"/>
        <v>22.696630387093425</v>
      </c>
      <c r="BJ7" s="2" t="str">
        <v>Acrylonitrile</v>
      </c>
      <c r="BK7" s="2">
        <v>16</v>
      </c>
      <c r="BL7" s="2">
        <v>12.8</v>
      </c>
      <c r="BM7" s="2">
        <v>6.8</v>
      </c>
      <c r="BO7" s="2" t="str">
        <v>Cyclohexane</v>
      </c>
      <c r="BP7" s="2">
        <v>16.8</v>
      </c>
      <c r="BQ7" s="2">
        <v>0</v>
      </c>
      <c r="BR7" s="2">
        <v>0.2</v>
      </c>
    </row>
    <row r="8" spans="1:70" x14ac:dyDescent="0.25">
      <c r="AT8" s="2">
        <v>25</v>
      </c>
      <c r="AU8" s="2">
        <f>RADIANS(Tabla911[[#This Row],[Angle º]])</f>
        <v>0.43633231299858238</v>
      </c>
      <c r="AV8" s="3">
        <f t="shared" ref="AV8:AV12" si="16">$F$3*SIN(AU8)+ dD</f>
        <v>17.614704111613491</v>
      </c>
      <c r="AW8" s="3">
        <f t="shared" ref="AW8:AW12" si="17">$F$3*COS(AU8)+ dP</f>
        <v>9.0901593226741415</v>
      </c>
      <c r="AX8" s="3">
        <f t="shared" ref="AX8:AX12" si="18">$F$3*SIN(AU8)+  dH</f>
        <v>11.225410906824685</v>
      </c>
      <c r="AY8" s="3">
        <f t="shared" ref="AY8:AY12" si="19">$F$3*COS(AU8)+ dD</f>
        <v>20.431762011540997</v>
      </c>
      <c r="AZ8" s="3">
        <f t="shared" si="4"/>
        <v>19.977839511596105</v>
      </c>
      <c r="BA8" s="2">
        <f t="shared" si="11"/>
        <v>16.18887820233131</v>
      </c>
      <c r="BB8" s="3">
        <f t="shared" si="5"/>
        <v>10.393845580940964</v>
      </c>
      <c r="BC8" s="3">
        <f t="shared" si="6"/>
        <v>22.521092034069923</v>
      </c>
      <c r="BJ8" s="2" t="str">
        <v>γ-Butyrolactone (GBL)</v>
      </c>
      <c r="BK8" s="2">
        <v>18</v>
      </c>
      <c r="BL8" s="2">
        <v>16.600000000000001</v>
      </c>
      <c r="BM8" s="2">
        <v>7.4</v>
      </c>
      <c r="BO8" s="2" t="str">
        <v>Cyclohexanol</v>
      </c>
      <c r="BP8" s="2">
        <v>17.399999999999999</v>
      </c>
      <c r="BQ8" s="2">
        <v>4.0999999999999996</v>
      </c>
      <c r="BR8" s="2">
        <v>13.5</v>
      </c>
    </row>
    <row r="9" spans="1:70" x14ac:dyDescent="0.25">
      <c r="B9" s="64" t="s">
        <v>3</v>
      </c>
      <c r="C9" s="55" t="s">
        <v>96</v>
      </c>
      <c r="D9" s="55" t="s">
        <v>97</v>
      </c>
      <c r="E9" s="55" t="s">
        <v>98</v>
      </c>
      <c r="F9" s="55"/>
      <c r="G9" s="65"/>
      <c r="H9" s="55"/>
      <c r="I9" s="55"/>
      <c r="J9" s="55"/>
      <c r="K9" s="55"/>
      <c r="L9" s="66" t="s">
        <v>87</v>
      </c>
      <c r="AT9" s="2">
        <v>30</v>
      </c>
      <c r="AU9" s="2">
        <f>RADIANS(Tabla911[[#This Row],[Angle º]])</f>
        <v>0.52359877559829882</v>
      </c>
      <c r="AV9" s="2">
        <f t="shared" si="16"/>
        <v>18.065383371082891</v>
      </c>
      <c r="AW9" s="2">
        <f t="shared" si="17"/>
        <v>8.8555505498273099</v>
      </c>
      <c r="AX9" s="2">
        <f t="shared" si="18"/>
        <v>11.676090166294086</v>
      </c>
      <c r="AY9" s="2">
        <f t="shared" si="19"/>
        <v>20.197153238694167</v>
      </c>
      <c r="AZ9" s="2">
        <f t="shared" si="4"/>
        <v>20.384714770887609</v>
      </c>
      <c r="BA9" s="2">
        <f t="shared" si="11"/>
        <v>15.977072348659453</v>
      </c>
      <c r="BB9" s="2">
        <f t="shared" si="5"/>
        <v>10.800720840232469</v>
      </c>
      <c r="BC9" s="2">
        <f t="shared" si="6"/>
        <v>22.309286180398068</v>
      </c>
      <c r="BJ9" s="2" t="str">
        <v>Diacetone Alcohol</v>
      </c>
      <c r="BK9" s="2">
        <v>15.8</v>
      </c>
      <c r="BL9" s="2">
        <v>8.1999999999999993</v>
      </c>
      <c r="BM9" s="2">
        <v>10.8</v>
      </c>
      <c r="BO9" s="2" t="str">
        <v>Trans-Decahydronaphthalene</v>
      </c>
      <c r="BP9" s="2">
        <v>18</v>
      </c>
      <c r="BQ9" s="2">
        <v>0</v>
      </c>
      <c r="BR9" s="2">
        <v>0</v>
      </c>
    </row>
    <row r="10" spans="1:70" x14ac:dyDescent="0.25">
      <c r="B10" s="59"/>
      <c r="C10" s="18"/>
      <c r="D10" s="60"/>
      <c r="E10" s="18"/>
      <c r="F10" s="61"/>
      <c r="G10" s="61"/>
      <c r="H10" s="61"/>
      <c r="I10" s="61"/>
      <c r="J10" s="61"/>
      <c r="K10" s="62"/>
      <c r="L10" s="63">
        <v>1</v>
      </c>
      <c r="AT10" s="2">
        <v>35</v>
      </c>
      <c r="AU10" s="2">
        <f>RADIANS(Tabla911[[#This Row],[Angle º]])</f>
        <v>0.6108652381980153</v>
      </c>
      <c r="AV10" s="2">
        <f t="shared" si="16"/>
        <v>18.493900158053641</v>
      </c>
      <c r="AW10" s="2">
        <f t="shared" si="17"/>
        <v>8.5825552485914649</v>
      </c>
      <c r="AX10" s="2">
        <f t="shared" si="18"/>
        <v>12.104606953264836</v>
      </c>
      <c r="AY10" s="2">
        <f t="shared" si="19"/>
        <v>19.924157937458322</v>
      </c>
      <c r="AZ10" s="2">
        <f t="shared" si="4"/>
        <v>20.771581650483441</v>
      </c>
      <c r="BA10" s="2">
        <f t="shared" si="11"/>
        <v>15.730610964777558</v>
      </c>
      <c r="BB10" s="2">
        <f t="shared" si="5"/>
        <v>11.187587719828297</v>
      </c>
      <c r="BC10" s="2">
        <f t="shared" si="6"/>
        <v>22.062824796516171</v>
      </c>
      <c r="BJ10" s="2" t="str">
        <v>Diethyl Carbonate</v>
      </c>
      <c r="BK10" s="2">
        <v>15.1</v>
      </c>
      <c r="BL10" s="2">
        <v>6.3</v>
      </c>
      <c r="BM10" s="2">
        <v>3.5</v>
      </c>
      <c r="BO10" s="2" t="str">
        <v>Diethylene Glycol Monomethyl Ether</v>
      </c>
      <c r="BP10" s="2">
        <v>16.2</v>
      </c>
      <c r="BQ10" s="2">
        <v>7.8</v>
      </c>
      <c r="BR10" s="2">
        <v>12.6</v>
      </c>
    </row>
    <row r="11" spans="1:70" x14ac:dyDescent="0.25">
      <c r="B11" s="54" t="s">
        <v>2466</v>
      </c>
      <c r="C11" s="69">
        <f>DMAX(A18:L104,"dD",$B$9:$L$10)</f>
        <v>19</v>
      </c>
      <c r="D11" s="69">
        <f>DMAX(B18:M104,"dP",$B$9:$L$10)</f>
        <v>16.600000000000001</v>
      </c>
      <c r="E11" s="69">
        <f>DMAX(C18:N104,"dH",$B$9:$L$10)</f>
        <v>17</v>
      </c>
      <c r="F11" s="56"/>
      <c r="G11" s="56"/>
      <c r="H11" s="56"/>
      <c r="I11" s="56"/>
      <c r="J11" s="56"/>
      <c r="K11" s="57"/>
      <c r="L11" s="58"/>
      <c r="AT11" s="2">
        <v>40</v>
      </c>
      <c r="AU11" s="2">
        <f>RADIANS(Tabla911[[#This Row],[Angle º]])</f>
        <v>0.69813170079773179</v>
      </c>
      <c r="AV11" s="2">
        <f t="shared" si="16"/>
        <v>18.896993201031382</v>
      </c>
      <c r="AW11" s="2">
        <f t="shared" si="17"/>
        <v>8.2732510780480819</v>
      </c>
      <c r="AX11" s="2">
        <f t="shared" si="18"/>
        <v>12.507699996242575</v>
      </c>
      <c r="AY11" s="2">
        <f t="shared" si="19"/>
        <v>19.614853766914941</v>
      </c>
      <c r="AZ11" s="2">
        <f t="shared" si="4"/>
        <v>21.135495859833259</v>
      </c>
      <c r="BA11" s="2">
        <f t="shared" si="11"/>
        <v>15.451369770634415</v>
      </c>
      <c r="BB11" s="2">
        <f t="shared" si="5"/>
        <v>11.551501929178118</v>
      </c>
      <c r="BC11" s="2">
        <f t="shared" si="6"/>
        <v>21.783583602373028</v>
      </c>
      <c r="BJ11" s="2" t="str">
        <v>N,N-Dimethyl Acetamide</v>
      </c>
      <c r="BK11" s="2">
        <v>16.8</v>
      </c>
      <c r="BL11" s="2">
        <v>11.5</v>
      </c>
      <c r="BM11" s="2">
        <v>9.4</v>
      </c>
      <c r="BO11" s="2" t="str">
        <v>Ethanol</v>
      </c>
      <c r="BP11" s="2">
        <v>15.8</v>
      </c>
      <c r="BQ11" s="2">
        <v>8.8000000000000007</v>
      </c>
      <c r="BR11" s="2">
        <v>19.399999999999999</v>
      </c>
    </row>
    <row r="12" spans="1:70" x14ac:dyDescent="0.25">
      <c r="B12" s="67" t="s">
        <v>2465</v>
      </c>
      <c r="C12" s="2">
        <f>DMIN(A18:L104,"dD",$B$9:$L$10)</f>
        <v>15.1</v>
      </c>
      <c r="D12" s="2">
        <f>DMIN(B18:M104,"dP",$B$9:$L$10)</f>
        <v>1.8</v>
      </c>
      <c r="E12" s="2">
        <f>DMIN(C18:N104,"dH",$B$9:$L$10)</f>
        <v>3.5</v>
      </c>
      <c r="F12" s="5"/>
      <c r="G12" s="5"/>
      <c r="H12" s="5"/>
      <c r="I12" s="5"/>
      <c r="J12" s="5"/>
      <c r="K12" s="31"/>
      <c r="L12" s="68"/>
      <c r="AT12" s="2">
        <v>45</v>
      </c>
      <c r="AU12" s="2">
        <f>RADIANS(Tabla911[[#This Row],[Angle º]])</f>
        <v>0.78539816339744828</v>
      </c>
      <c r="AV12" s="2">
        <f t="shared" si="16"/>
        <v>19.271594718564817</v>
      </c>
      <c r="AW12" s="2">
        <f t="shared" si="17"/>
        <v>7.9299920296979618</v>
      </c>
      <c r="AX12" s="2">
        <f t="shared" si="18"/>
        <v>12.882301513776012</v>
      </c>
      <c r="AY12" s="2">
        <f t="shared" si="19"/>
        <v>19.271594718564817</v>
      </c>
      <c r="AZ12" s="2">
        <f t="shared" si="4"/>
        <v>21.47368779206651</v>
      </c>
      <c r="BA12" s="2">
        <f t="shared" si="11"/>
        <v>15.141473960327898</v>
      </c>
      <c r="BB12" s="2">
        <f t="shared" si="5"/>
        <v>11.88969386141137</v>
      </c>
      <c r="BC12" s="2">
        <f t="shared" si="6"/>
        <v>21.47368779206651</v>
      </c>
      <c r="BJ12" s="2" t="str">
        <v>Dimethyl Formamide (DMF)</v>
      </c>
      <c r="BK12" s="2">
        <v>17.399999999999999</v>
      </c>
      <c r="BL12" s="2">
        <v>13.7</v>
      </c>
      <c r="BM12" s="2">
        <v>11.3</v>
      </c>
      <c r="BO12" s="2" t="str">
        <v>Ethyl Benzene</v>
      </c>
      <c r="BP12" s="2">
        <v>17.8</v>
      </c>
      <c r="BQ12" s="2">
        <v>0.6</v>
      </c>
      <c r="BR12" s="2">
        <v>1.4</v>
      </c>
    </row>
    <row r="13" spans="1:70" x14ac:dyDescent="0.25">
      <c r="B13" s="67" t="s">
        <v>106</v>
      </c>
      <c r="C13" s="2">
        <f>C11-C12</f>
        <v>3.9000000000000004</v>
      </c>
      <c r="D13" s="2">
        <f t="shared" ref="D13:E13" si="20">D11-D12</f>
        <v>14.8</v>
      </c>
      <c r="E13" s="2">
        <f t="shared" si="20"/>
        <v>13.5</v>
      </c>
      <c r="F13" s="5"/>
      <c r="G13" s="5"/>
      <c r="H13" s="5"/>
      <c r="I13" s="5"/>
      <c r="J13" s="5"/>
      <c r="K13" s="31"/>
      <c r="L13" s="68"/>
      <c r="AT13" s="2">
        <v>50</v>
      </c>
      <c r="AU13" s="2">
        <f>RADIANS(Tabla911[[#This Row],[Angle º]])</f>
        <v>0.87266462599716477</v>
      </c>
      <c r="AV13" s="2">
        <f t="shared" ref="AV13:AV34" si="21">$F$3*SIN(AU13)+ dD</f>
        <v>19.614853766914941</v>
      </c>
      <c r="AW13" s="2">
        <f t="shared" ref="AW13:AW34" si="22">$F$3*COS(AU13)+ dP</f>
        <v>7.5553905121645251</v>
      </c>
      <c r="AX13" s="2">
        <f t="shared" ref="AX13:AX34" si="23">$F$3*SIN(AU13)+  dH</f>
        <v>13.225560562126134</v>
      </c>
      <c r="AY13" s="2">
        <f t="shared" ref="AY13:AY34" si="24">$F$3*COS(AU13)+ dD</f>
        <v>18.896993201031382</v>
      </c>
      <c r="AZ13" s="2">
        <f t="shared" ref="AZ13:AZ44" si="25">$F$4*SIN(AU13)+ $C$4</f>
        <v>21.783583602373028</v>
      </c>
      <c r="BA13" s="2">
        <f t="shared" ref="BA13:BA44" si="26">$F$4*COS(AU13)+ $D$4</f>
        <v>14.803282028094646</v>
      </c>
      <c r="BB13" s="2">
        <f t="shared" ref="BB13:BB44" si="27">$F$4*SIN(AU13)+  $E$4</f>
        <v>12.199589671717886</v>
      </c>
      <c r="BC13" s="2">
        <f t="shared" ref="BC13:BC44" si="28">$F$4*COS(AU13)+ $C$4</f>
        <v>21.135495859833259</v>
      </c>
      <c r="BJ13" s="2" t="str">
        <v>1,4-Dioxane</v>
      </c>
      <c r="BK13" s="2">
        <v>17.5</v>
      </c>
      <c r="BL13" s="2">
        <v>1.8</v>
      </c>
      <c r="BM13" s="2">
        <v>9</v>
      </c>
      <c r="BO13" s="2" t="str">
        <v>1,2-Dibromoethylene</v>
      </c>
      <c r="BP13" s="2">
        <v>17</v>
      </c>
      <c r="BQ13" s="2">
        <v>4.9000000000000004</v>
      </c>
      <c r="BR13" s="2">
        <v>3</v>
      </c>
    </row>
    <row r="14" spans="1:70" x14ac:dyDescent="0.25">
      <c r="B14" s="59" t="s">
        <v>2581</v>
      </c>
      <c r="C14" s="70">
        <f>C11-C13/2</f>
        <v>17.05</v>
      </c>
      <c r="D14" s="70">
        <f t="shared" ref="D14:E14" si="29">D11-D13/2</f>
        <v>9.2000000000000011</v>
      </c>
      <c r="E14" s="70">
        <f t="shared" si="29"/>
        <v>10.25</v>
      </c>
      <c r="F14" s="61"/>
      <c r="G14" s="61"/>
      <c r="H14" s="61"/>
      <c r="I14" s="61"/>
      <c r="J14" s="61"/>
      <c r="K14" s="62"/>
      <c r="L14" s="63"/>
      <c r="AT14" s="2">
        <v>55</v>
      </c>
      <c r="AU14" s="2">
        <f>RADIANS(Tabla911[[#This Row],[Angle º]])</f>
        <v>0.95993108859688125</v>
      </c>
      <c r="AV14" s="2">
        <f t="shared" si="21"/>
        <v>19.924157937458322</v>
      </c>
      <c r="AW14" s="2">
        <f t="shared" si="22"/>
        <v>7.1522974691867844</v>
      </c>
      <c r="AX14" s="2">
        <f t="shared" si="23"/>
        <v>13.534864732669517</v>
      </c>
      <c r="AY14" s="2">
        <f t="shared" si="24"/>
        <v>18.493900158053641</v>
      </c>
      <c r="AZ14" s="2">
        <f t="shared" si="25"/>
        <v>22.062824796516171</v>
      </c>
      <c r="BA14" s="2">
        <f t="shared" si="26"/>
        <v>14.439367818744827</v>
      </c>
      <c r="BB14" s="2">
        <f t="shared" si="27"/>
        <v>12.478830865861028</v>
      </c>
      <c r="BC14" s="2">
        <f t="shared" si="28"/>
        <v>20.771581650483441</v>
      </c>
      <c r="BJ14" s="2" t="str">
        <v>Ethyl Acetate</v>
      </c>
      <c r="BK14" s="2">
        <v>15.8</v>
      </c>
      <c r="BL14" s="2">
        <v>5.3</v>
      </c>
      <c r="BM14" s="2">
        <v>7.2</v>
      </c>
      <c r="BO14" s="2" t="str">
        <v>Formaldehyde</v>
      </c>
      <c r="BP14" s="2">
        <v>12.8</v>
      </c>
      <c r="BQ14" s="2">
        <v>14.4</v>
      </c>
      <c r="BR14" s="2">
        <v>15.4</v>
      </c>
    </row>
    <row r="15" spans="1:70" x14ac:dyDescent="0.25">
      <c r="AT15" s="2">
        <v>60</v>
      </c>
      <c r="AU15" s="2">
        <f>RADIANS(Tabla911[[#This Row],[Angle º]])</f>
        <v>1.0471975511965976</v>
      </c>
      <c r="AV15" s="2">
        <f t="shared" si="21"/>
        <v>20.197153238694167</v>
      </c>
      <c r="AW15" s="2">
        <f t="shared" si="22"/>
        <v>6.7237806822160353</v>
      </c>
      <c r="AX15" s="2">
        <f t="shared" si="23"/>
        <v>13.80786003390536</v>
      </c>
      <c r="AY15" s="2">
        <f t="shared" si="24"/>
        <v>18.065383371082891</v>
      </c>
      <c r="AZ15" s="2">
        <f t="shared" si="25"/>
        <v>22.309286180398065</v>
      </c>
      <c r="BA15" s="2">
        <f t="shared" si="26"/>
        <v>14.052500939148997</v>
      </c>
      <c r="BB15" s="2">
        <f t="shared" si="27"/>
        <v>12.725292249742925</v>
      </c>
      <c r="BC15" s="2">
        <f t="shared" si="28"/>
        <v>20.384714770887612</v>
      </c>
      <c r="BJ15" s="2" t="str">
        <v>Ethylenediamine</v>
      </c>
      <c r="BK15" s="2">
        <v>16.600000000000001</v>
      </c>
      <c r="BL15" s="2">
        <v>8.8000000000000007</v>
      </c>
      <c r="BM15" s="2">
        <v>17</v>
      </c>
      <c r="BO15" s="2" t="str">
        <v>Formic Acid</v>
      </c>
      <c r="BP15" s="2">
        <v>14.6</v>
      </c>
      <c r="BQ15" s="2">
        <v>10</v>
      </c>
      <c r="BR15" s="2">
        <v>14</v>
      </c>
    </row>
    <row r="16" spans="1:70" x14ac:dyDescent="0.25">
      <c r="A16" s="28"/>
      <c r="C16" s="3"/>
      <c r="D16" s="4"/>
      <c r="E16" s="3"/>
      <c r="F16" s="5"/>
      <c r="J16" s="5"/>
      <c r="K16" s="31"/>
      <c r="AT16" s="2">
        <v>65</v>
      </c>
      <c r="AU16" s="2">
        <f>RADIANS(Tabla911[[#This Row],[Angle º]])</f>
        <v>1.1344640137963142</v>
      </c>
      <c r="AV16" s="2">
        <f t="shared" si="21"/>
        <v>20.431762011540997</v>
      </c>
      <c r="AW16" s="2">
        <f t="shared" si="22"/>
        <v>6.2731014227466328</v>
      </c>
      <c r="AX16" s="2">
        <f t="shared" si="23"/>
        <v>14.042468806752193</v>
      </c>
      <c r="AY16" s="2">
        <f t="shared" si="24"/>
        <v>17.614704111613491</v>
      </c>
      <c r="AZ16" s="2">
        <f t="shared" si="25"/>
        <v>22.521092034069923</v>
      </c>
      <c r="BA16" s="2">
        <f t="shared" si="26"/>
        <v>13.645625679857492</v>
      </c>
      <c r="BB16" s="2">
        <f t="shared" si="27"/>
        <v>12.93709810341478</v>
      </c>
      <c r="BC16" s="2">
        <f t="shared" si="28"/>
        <v>19.977839511596105</v>
      </c>
      <c r="BJ16" s="2" t="str">
        <v>Isoamyl Acetate</v>
      </c>
      <c r="BK16" s="2">
        <v>15.3</v>
      </c>
      <c r="BL16" s="2">
        <v>3.1</v>
      </c>
      <c r="BM16" s="2">
        <v>7</v>
      </c>
      <c r="BO16" s="2" t="str">
        <v>Furfural</v>
      </c>
      <c r="BP16" s="2">
        <v>18.600000000000001</v>
      </c>
      <c r="BQ16" s="2">
        <v>14.9</v>
      </c>
      <c r="BR16" s="2">
        <v>5.0999999999999996</v>
      </c>
    </row>
    <row r="17" spans="1:70" x14ac:dyDescent="0.25">
      <c r="D17" s="4"/>
      <c r="M17" s="76" t="s">
        <v>2608</v>
      </c>
      <c r="N17" s="76"/>
      <c r="O17" s="76" t="s">
        <v>2609</v>
      </c>
      <c r="P17" s="76"/>
      <c r="R17" s="51"/>
      <c r="AT17" s="2">
        <v>70</v>
      </c>
      <c r="AU17" s="2">
        <f>RADIANS(Tabla911[[#This Row],[Angle º]])</f>
        <v>1.2217304763960306</v>
      </c>
      <c r="AV17" s="2">
        <f t="shared" si="21"/>
        <v>20.6261987415768</v>
      </c>
      <c r="AW17" s="2">
        <f t="shared" si="22"/>
        <v>5.8036896320707196</v>
      </c>
      <c r="AX17" s="2">
        <f t="shared" si="23"/>
        <v>14.236905536787997</v>
      </c>
      <c r="AY17" s="2">
        <f t="shared" si="24"/>
        <v>17.145292320937575</v>
      </c>
      <c r="AZ17" s="2">
        <f t="shared" si="25"/>
        <v>22.696630387093421</v>
      </c>
      <c r="BA17" s="2">
        <f t="shared" si="26"/>
        <v>13.221838607271518</v>
      </c>
      <c r="BB17" s="2">
        <f t="shared" si="27"/>
        <v>13.112636456438281</v>
      </c>
      <c r="BC17" s="2">
        <f t="shared" si="28"/>
        <v>19.554052439010132</v>
      </c>
      <c r="BJ17" s="2" t="str">
        <v>Isophorone</v>
      </c>
      <c r="BK17" s="2">
        <v>17</v>
      </c>
      <c r="BL17" s="2">
        <v>8</v>
      </c>
      <c r="BM17" s="2">
        <v>5</v>
      </c>
      <c r="BO17" s="2" t="str">
        <v>Hexane</v>
      </c>
      <c r="BP17" s="2">
        <v>14.9</v>
      </c>
      <c r="BQ17" s="2">
        <v>0</v>
      </c>
      <c r="BR17" s="2">
        <v>0</v>
      </c>
    </row>
    <row r="18" spans="1:70" s="3" customFormat="1" x14ac:dyDescent="0.25">
      <c r="A18" s="3" t="s">
        <v>2452</v>
      </c>
      <c r="B18" s="3" t="s">
        <v>3</v>
      </c>
      <c r="C18" s="3" t="s">
        <v>96</v>
      </c>
      <c r="D18" s="3" t="s">
        <v>97</v>
      </c>
      <c r="E18" s="3" t="s">
        <v>98</v>
      </c>
      <c r="F18" s="3" t="s">
        <v>4</v>
      </c>
      <c r="G18" s="30" t="s">
        <v>2577</v>
      </c>
      <c r="H18" s="3" t="s">
        <v>2510</v>
      </c>
      <c r="I18" s="3" t="s">
        <v>2603</v>
      </c>
      <c r="J18" s="3" t="s">
        <v>102</v>
      </c>
      <c r="K18" s="3" t="s">
        <v>2578</v>
      </c>
      <c r="L18" s="3" t="s">
        <v>87</v>
      </c>
      <c r="M18" s="3" t="s">
        <v>5</v>
      </c>
      <c r="N18" s="3" t="s">
        <v>99</v>
      </c>
      <c r="O18" s="3" t="s">
        <v>5</v>
      </c>
      <c r="P18" s="3" t="s">
        <v>99</v>
      </c>
      <c r="R18" s="3" t="s">
        <v>2579</v>
      </c>
      <c r="AT18" s="2">
        <v>75</v>
      </c>
      <c r="AU18" s="2">
        <f>RADIANS(Tabla911[[#This Row],[Angle º]])</f>
        <v>1.3089969389957472</v>
      </c>
      <c r="AV18" s="2">
        <f t="shared" si="21"/>
        <v>20.778983647881898</v>
      </c>
      <c r="AW18" s="2">
        <f t="shared" si="22"/>
        <v>5.3191178173539244</v>
      </c>
      <c r="AX18" s="2">
        <f t="shared" si="23"/>
        <v>14.389690443093095</v>
      </c>
      <c r="AY18" s="2">
        <f t="shared" si="24"/>
        <v>16.66072050622078</v>
      </c>
      <c r="AZ18" s="2">
        <f t="shared" si="25"/>
        <v>22.834565286609106</v>
      </c>
      <c r="BA18" s="2">
        <f t="shared" si="26"/>
        <v>12.784364996903086</v>
      </c>
      <c r="BB18" s="2">
        <f t="shared" si="27"/>
        <v>13.250571355953966</v>
      </c>
      <c r="BC18" s="2">
        <f t="shared" si="28"/>
        <v>19.1165788286417</v>
      </c>
      <c r="BE18" s="20"/>
      <c r="BJ18" s="2" t="str">
        <v>Methyl Acetate</v>
      </c>
      <c r="BK18" s="2">
        <v>15.5</v>
      </c>
      <c r="BL18" s="2">
        <v>7.2</v>
      </c>
      <c r="BM18" s="2">
        <v>7.6</v>
      </c>
      <c r="BO18" s="2" t="str">
        <v>Methanol</v>
      </c>
      <c r="BP18" s="2">
        <v>14.7</v>
      </c>
      <c r="BQ18" s="2">
        <v>12.3</v>
      </c>
      <c r="BR18" s="2">
        <v>22.3</v>
      </c>
    </row>
    <row r="19" spans="1:70" x14ac:dyDescent="0.25">
      <c r="A19" s="16" t="s">
        <v>764</v>
      </c>
      <c r="B19" s="33" t="str">
        <f>VLOOKUP(Tabla48[[#This Row],[CAS]],Tabla1[],2,FALSE)</f>
        <v>Acetic Anhydride</v>
      </c>
      <c r="C19" s="2">
        <f>VLOOKUP(Tabla48[[#This Row],[CAS]],Tabla1[],3,FALSE)</f>
        <v>16</v>
      </c>
      <c r="D19" s="2">
        <f>VLOOKUP(Tabla48[[#This Row],[CAS]],Tabla1[],4,FALSE)</f>
        <v>11.7</v>
      </c>
      <c r="E19" s="2">
        <f>VLOOKUP(Tabla48[[#This Row],[CAS]],Tabla1[],5,FALSE)</f>
        <v>10.199999999999999</v>
      </c>
      <c r="F19" s="2" t="str">
        <f>VLOOKUP(Tabla48[[#This Row],[CAS]],Tabla1[],6,FALSE)</f>
        <v/>
      </c>
      <c r="G19" s="2" t="str">
        <f t="shared" ref="G19:G66" si="30">IF(L19=1,IF(OR(J19&lt;=1,K19&lt;=1),"","WO"),IF(L19=0,IF(OR(J19&lt;1,K19&lt;1),"WI",""),""))</f>
        <v/>
      </c>
      <c r="H19" s="2" t="b">
        <f>ISNUMBER(SEARCH("w",Tabla48[[#This Row],[WI/WO]]))</f>
        <v>0</v>
      </c>
      <c r="I19" s="2">
        <f t="shared" ref="I19:I50" si="31">L19</f>
        <v>1</v>
      </c>
      <c r="J19" s="5">
        <f t="shared" ref="J19:J30" si="32">IF(L19&lt;&gt;"",M19/R_,"")</f>
        <v>1.4070433829580944</v>
      </c>
      <c r="K19" s="5">
        <f t="shared" ref="K19:K66" si="33">IF(L19&lt;&gt;"",O19/$F$4,"")</f>
        <v>0.77301371267808716</v>
      </c>
      <c r="L19" s="21">
        <v>1</v>
      </c>
      <c r="M19" s="5">
        <f t="shared" ref="M19:M50" si="34">IF(L19&lt;&gt;"",SQRT(4*(C19-dD)^2+(D19-dP)^2+(E19-dH)^2),0)</f>
        <v>8.1947664156621567</v>
      </c>
      <c r="N19" s="5">
        <f>IF(L19=1,IF(M19&lt;R_,1,EXP(R_-M19)),IF(L19&lt;&gt;"",IF(M19&lt;R_,EXP(M19-R_),1),1))</f>
        <v>9.3418785230681298E-2</v>
      </c>
      <c r="O19" s="5">
        <f t="shared" ref="O19:O50" si="35">IF(L19&lt;&gt;"",SQRT(4*(C19-$C$4)^2+(D19-$D$4)^2+(E19-$E$4)^2),0)</f>
        <v>4.0645268749049217</v>
      </c>
      <c r="P19" s="5">
        <f>IF(L19=1,IF(O19&lt;$F$4,1,EXP($F$4-O19)),IF(L19&lt;&gt;"",IF(O19&lt;$F$4,EXP(O19-$F$4),1),1))</f>
        <v>1</v>
      </c>
      <c r="R19" s="5">
        <f>IF(L19="",1,IF(AND(L19=1,OR(N19=1,P19=1)),1,MIN((N19), (P19))))</f>
        <v>1</v>
      </c>
      <c r="S19" s="5"/>
      <c r="AT19" s="2">
        <v>80</v>
      </c>
      <c r="AU19" s="2">
        <f>RADIANS(Tabla911[[#This Row],[Angle º]])</f>
        <v>1.3962634015954636</v>
      </c>
      <c r="AV19" s="2">
        <f t="shared" si="21"/>
        <v>20.888953945065257</v>
      </c>
      <c r="AW19" s="2">
        <f t="shared" si="22"/>
        <v>4.8230738626987062</v>
      </c>
      <c r="AX19" s="2">
        <f t="shared" si="23"/>
        <v>14.499660740276452</v>
      </c>
      <c r="AY19" s="2">
        <f t="shared" si="24"/>
        <v>16.164676551565563</v>
      </c>
      <c r="AZ19" s="2">
        <f t="shared" si="25"/>
        <v>22.933846964744287</v>
      </c>
      <c r="BA19" s="2">
        <f t="shared" si="26"/>
        <v>12.336534287080887</v>
      </c>
      <c r="BB19" s="2">
        <f t="shared" si="27"/>
        <v>13.349853034089145</v>
      </c>
      <c r="BC19" s="2">
        <f t="shared" si="28"/>
        <v>18.668748118819501</v>
      </c>
      <c r="BJ19" s="2" t="str">
        <v>Methyl Acrylate</v>
      </c>
      <c r="BK19" s="2">
        <v>15.3</v>
      </c>
      <c r="BL19" s="2">
        <v>6.7</v>
      </c>
      <c r="BM19" s="2">
        <v>9.4</v>
      </c>
      <c r="BO19" s="2" t="str">
        <v>Nitrobenzene</v>
      </c>
      <c r="BP19" s="2">
        <v>20</v>
      </c>
      <c r="BQ19" s="2">
        <v>10.6</v>
      </c>
      <c r="BR19" s="2">
        <v>3.1</v>
      </c>
    </row>
    <row r="20" spans="1:70" x14ac:dyDescent="0.25">
      <c r="A20" s="16" t="s">
        <v>765</v>
      </c>
      <c r="B20" s="33" t="str">
        <f>VLOOKUP(Tabla48[[#This Row],[CAS]],Tabla1[],2,FALSE)</f>
        <v>Acetone</v>
      </c>
      <c r="C20" s="2">
        <f>VLOOKUP(Tabla48[[#This Row],[CAS]],Tabla1[],3,FALSE)</f>
        <v>15.5</v>
      </c>
      <c r="D20" s="2">
        <f>VLOOKUP(Tabla48[[#This Row],[CAS]],Tabla1[],4,FALSE)</f>
        <v>10.4</v>
      </c>
      <c r="E20" s="2">
        <f>VLOOKUP(Tabla48[[#This Row],[CAS]],Tabla1[],5,FALSE)</f>
        <v>7</v>
      </c>
      <c r="F20" s="2">
        <f>VLOOKUP(Tabla48[[#This Row],[CAS]],Tabla1[],6,FALSE)</f>
        <v>73.8</v>
      </c>
      <c r="G20" s="2" t="str">
        <f t="shared" si="30"/>
        <v/>
      </c>
      <c r="H20" s="2" t="b">
        <f>ISNUMBER(SEARCH("w",Tabla48[[#This Row],[WI/WO]]))</f>
        <v>0</v>
      </c>
      <c r="I20" s="2">
        <f t="shared" si="31"/>
        <v>1</v>
      </c>
      <c r="J20" s="5">
        <f t="shared" si="32"/>
        <v>1.1770908058258094</v>
      </c>
      <c r="K20" s="5">
        <f t="shared" ref="K20:K30" si="36">IF(L20&lt;&gt;"",O20/$F$4,"")</f>
        <v>0.90758859102726464</v>
      </c>
      <c r="L20" s="21">
        <v>1</v>
      </c>
      <c r="M20" s="5">
        <f t="shared" si="34"/>
        <v>6.855498786033758</v>
      </c>
      <c r="N20" s="5">
        <f t="shared" ref="N20:N50" si="37">IF(L20=1,IF(M20&lt;R_,1,EXP(R_-M20)),IF(L20&lt;&gt;"",IF(M20&lt;R_,EXP(M20-R_),1),1))</f>
        <v>0.35650921259681773</v>
      </c>
      <c r="O20" s="5">
        <f t="shared" si="35"/>
        <v>4.7721252017732541</v>
      </c>
      <c r="P20" s="5">
        <f t="shared" ref="P20:P83" si="38">IF(L20=1,IF(O20&lt;$F$4,1,EXP($F$4-O20)),IF(L20&lt;&gt;"",IF(O20&lt;$F$4,EXP(O20-$F$4),1),1))</f>
        <v>1</v>
      </c>
      <c r="R20" s="5">
        <f t="shared" ref="R20:R83" si="39">IF(L20="",1,IF(AND(L20=1,OR(N20=1,P20=1)),1,MIN((N20), (P20))))</f>
        <v>1</v>
      </c>
      <c r="S20" s="5"/>
      <c r="AT20" s="2">
        <v>85</v>
      </c>
      <c r="AU20" s="2">
        <f>RADIANS(Tabla911[[#This Row],[Angle º]])</f>
        <v>1.4835298641951802</v>
      </c>
      <c r="AV20" s="2">
        <f t="shared" si="21"/>
        <v>20.95527269276343</v>
      </c>
      <c r="AW20" s="2">
        <f t="shared" si="22"/>
        <v>4.3193329621195193</v>
      </c>
      <c r="AX20" s="2">
        <f t="shared" si="23"/>
        <v>14.565979487974626</v>
      </c>
      <c r="AY20" s="2">
        <f t="shared" si="24"/>
        <v>15.660935650986376</v>
      </c>
      <c r="AZ20" s="2">
        <f t="shared" si="25"/>
        <v>22.993719827980442</v>
      </c>
      <c r="BA20" s="2">
        <f t="shared" si="26"/>
        <v>11.881754739914243</v>
      </c>
      <c r="BB20" s="2">
        <f t="shared" si="27"/>
        <v>13.409725897325298</v>
      </c>
      <c r="BC20" s="2">
        <f t="shared" si="28"/>
        <v>18.213968571652856</v>
      </c>
      <c r="BJ20" s="2" t="str">
        <v>Methyl Ethyl Ketone (MEK)</v>
      </c>
      <c r="BK20" s="2">
        <v>16</v>
      </c>
      <c r="BL20" s="2">
        <v>9</v>
      </c>
      <c r="BM20" s="2">
        <v>5.0999999999999996</v>
      </c>
      <c r="BO20" s="2" t="str">
        <v>Toluene</v>
      </c>
      <c r="BP20" s="2">
        <v>18</v>
      </c>
      <c r="BQ20" s="2">
        <v>1.4</v>
      </c>
      <c r="BR20" s="2">
        <v>2</v>
      </c>
    </row>
    <row r="21" spans="1:70" x14ac:dyDescent="0.25">
      <c r="A21" s="16" t="s">
        <v>772</v>
      </c>
      <c r="B21" s="33" t="str">
        <f>VLOOKUP(Tabla48[[#This Row],[CAS]],Tabla1[],2,FALSE)</f>
        <v>Acetophenone</v>
      </c>
      <c r="C21" s="2">
        <f>VLOOKUP(Tabla48[[#This Row],[CAS]],Tabla1[],3,FALSE)</f>
        <v>18.8</v>
      </c>
      <c r="D21" s="2">
        <f>VLOOKUP(Tabla48[[#This Row],[CAS]],Tabla1[],4,FALSE)</f>
        <v>9</v>
      </c>
      <c r="E21" s="2">
        <f>VLOOKUP(Tabla48[[#This Row],[CAS]],Tabla1[],5,FALSE)</f>
        <v>4</v>
      </c>
      <c r="F21" s="2" t="str">
        <f>VLOOKUP(Tabla48[[#This Row],[CAS]],Tabla1[],6,FALSE)</f>
        <v/>
      </c>
      <c r="G21" s="2" t="str">
        <f t="shared" si="30"/>
        <v/>
      </c>
      <c r="H21" s="2" t="b">
        <f>ISNUMBER(SEARCH("w",Tabla48[[#This Row],[WI/WO]]))</f>
        <v>0</v>
      </c>
      <c r="I21" s="2">
        <f t="shared" si="31"/>
        <v>1</v>
      </c>
      <c r="J21" s="5">
        <f t="shared" si="32"/>
        <v>1.7409336206112569</v>
      </c>
      <c r="K21" s="5">
        <f t="shared" si="36"/>
        <v>0.9998521701388926</v>
      </c>
      <c r="L21" s="21">
        <v>1</v>
      </c>
      <c r="M21" s="5">
        <f t="shared" si="34"/>
        <v>10.139377746895773</v>
      </c>
      <c r="N21" s="5">
        <f t="shared" si="37"/>
        <v>1.336288543475924E-2</v>
      </c>
      <c r="O21" s="5">
        <f t="shared" si="35"/>
        <v>5.2572495801945927</v>
      </c>
      <c r="P21" s="5">
        <f t="shared" si="38"/>
        <v>1</v>
      </c>
      <c r="R21" s="5">
        <f t="shared" si="39"/>
        <v>1</v>
      </c>
      <c r="S21" s="5"/>
      <c r="AT21" s="2">
        <v>90</v>
      </c>
      <c r="AU21" s="2">
        <f>RADIANS(Tabla911[[#This Row],[Angle º]])</f>
        <v>1.5707963267948966</v>
      </c>
      <c r="AV21" s="2">
        <f t="shared" si="21"/>
        <v>20.977435165262083</v>
      </c>
      <c r="AW21" s="2">
        <f t="shared" si="22"/>
        <v>3.8117288880368436</v>
      </c>
      <c r="AX21" s="2">
        <f t="shared" si="23"/>
        <v>14.588141960473278</v>
      </c>
      <c r="AY21" s="2">
        <f t="shared" si="24"/>
        <v>15.1533315769037</v>
      </c>
      <c r="AZ21" s="2">
        <f t="shared" si="25"/>
        <v>23.013728207676117</v>
      </c>
      <c r="BA21" s="2">
        <f t="shared" si="26"/>
        <v>11.423487502360491</v>
      </c>
      <c r="BB21" s="2">
        <f t="shared" si="27"/>
        <v>13.429734277020975</v>
      </c>
      <c r="BC21" s="2">
        <f t="shared" si="28"/>
        <v>17.755701334099104</v>
      </c>
      <c r="BJ21" s="2" t="str">
        <v>Methyl Isobutyl Ketone (MIBK)</v>
      </c>
      <c r="BK21" s="2">
        <v>15.3</v>
      </c>
      <c r="BL21" s="2">
        <v>6.1</v>
      </c>
      <c r="BM21" s="2">
        <v>4.0999999999999996</v>
      </c>
      <c r="BO21" s="2" t="str">
        <v>Trichloroethylene</v>
      </c>
      <c r="BP21" s="2">
        <v>18</v>
      </c>
      <c r="BQ21" s="2">
        <v>3.1</v>
      </c>
      <c r="BR21" s="2">
        <v>5.3</v>
      </c>
    </row>
    <row r="22" spans="1:70" x14ac:dyDescent="0.25">
      <c r="A22" s="16" t="s">
        <v>780</v>
      </c>
      <c r="B22" s="33" t="str">
        <f>VLOOKUP(Tabla48[[#This Row],[CAS]],Tabla1[],2,FALSE)</f>
        <v>Acetylacetone</v>
      </c>
      <c r="C22" s="2">
        <f>VLOOKUP(Tabla48[[#This Row],[CAS]],Tabla1[],3,FALSE)</f>
        <v>16.100000000000001</v>
      </c>
      <c r="D22" s="2">
        <f>VLOOKUP(Tabla48[[#This Row],[CAS]],Tabla1[],4,FALSE)</f>
        <v>10</v>
      </c>
      <c r="E22" s="2">
        <f>VLOOKUP(Tabla48[[#This Row],[CAS]],Tabla1[],5,FALSE)</f>
        <v>6.2</v>
      </c>
      <c r="F22" s="2" t="str">
        <f>VLOOKUP(Tabla48[[#This Row],[CAS]],Tabla1[],6,FALSE)</f>
        <v/>
      </c>
      <c r="G22" s="2" t="str">
        <f t="shared" si="30"/>
        <v/>
      </c>
      <c r="H22" s="2" t="b">
        <f>ISNUMBER(SEARCH("w",Tabla48[[#This Row],[WI/WO]]))</f>
        <v>0</v>
      </c>
      <c r="I22" s="2">
        <f t="shared" si="31"/>
        <v>1</v>
      </c>
      <c r="J22" s="5">
        <f t="shared" si="32"/>
        <v>1.195183135259668</v>
      </c>
      <c r="K22" s="5">
        <f t="shared" si="36"/>
        <v>0.78136662492524023</v>
      </c>
      <c r="L22" s="21">
        <v>1</v>
      </c>
      <c r="M22" s="5">
        <f t="shared" si="34"/>
        <v>6.9608703868112558</v>
      </c>
      <c r="N22" s="5">
        <f t="shared" si="37"/>
        <v>0.32085473460429231</v>
      </c>
      <c r="O22" s="5">
        <f t="shared" si="35"/>
        <v>4.108446711973083</v>
      </c>
      <c r="P22" s="5">
        <f t="shared" si="38"/>
        <v>1</v>
      </c>
      <c r="R22" s="5">
        <f t="shared" si="39"/>
        <v>1</v>
      </c>
      <c r="S22" s="5"/>
      <c r="AT22" s="2">
        <v>95</v>
      </c>
      <c r="AU22" s="2">
        <f>RADIANS(Tabla911[[#This Row],[Angle º]])</f>
        <v>1.6580627893946132</v>
      </c>
      <c r="AV22" s="2">
        <f t="shared" si="21"/>
        <v>20.95527269276343</v>
      </c>
      <c r="AW22" s="2">
        <f t="shared" si="22"/>
        <v>3.3041248139541666</v>
      </c>
      <c r="AX22" s="2">
        <f t="shared" si="23"/>
        <v>14.565979487974626</v>
      </c>
      <c r="AY22" s="2">
        <f t="shared" si="24"/>
        <v>14.645727502821023</v>
      </c>
      <c r="AZ22" s="2">
        <f t="shared" si="25"/>
        <v>22.993719827980442</v>
      </c>
      <c r="BA22" s="2">
        <f t="shared" si="26"/>
        <v>10.965220264806739</v>
      </c>
      <c r="BB22" s="2">
        <f t="shared" si="27"/>
        <v>13.409725897325298</v>
      </c>
      <c r="BC22" s="2">
        <f t="shared" si="28"/>
        <v>17.297434096545352</v>
      </c>
      <c r="BJ22" s="2" t="str">
        <v>Pyridine</v>
      </c>
      <c r="BK22" s="2">
        <v>19</v>
      </c>
      <c r="BL22" s="2">
        <v>8.8000000000000007</v>
      </c>
      <c r="BM22" s="2">
        <v>5.9</v>
      </c>
      <c r="BO22" s="2" t="str">
        <v>2,2,4-Trimethylpentane</v>
      </c>
      <c r="BP22" s="2">
        <v>14.1</v>
      </c>
      <c r="BQ22" s="2">
        <v>0</v>
      </c>
      <c r="BR22" s="2">
        <v>0</v>
      </c>
    </row>
    <row r="23" spans="1:70" x14ac:dyDescent="0.25">
      <c r="A23" s="16" t="s">
        <v>798</v>
      </c>
      <c r="B23" s="33" t="str">
        <f>VLOOKUP(Tabla48[[#This Row],[CAS]],Tabla1[],2,FALSE)</f>
        <v>Acrylonitrile</v>
      </c>
      <c r="C23" s="2">
        <f>VLOOKUP(Tabla48[[#This Row],[CAS]],Tabla1[],3,FALSE)</f>
        <v>16</v>
      </c>
      <c r="D23" s="2">
        <f>VLOOKUP(Tabla48[[#This Row],[CAS]],Tabla1[],4,FALSE)</f>
        <v>12.8</v>
      </c>
      <c r="E23" s="2">
        <f>VLOOKUP(Tabla48[[#This Row],[CAS]],Tabla1[],5,FALSE)</f>
        <v>6.8</v>
      </c>
      <c r="F23" s="2" t="str">
        <f>VLOOKUP(Tabla48[[#This Row],[CAS]],Tabla1[],6,FALSE)</f>
        <v/>
      </c>
      <c r="G23" s="2" t="str">
        <f t="shared" si="30"/>
        <v/>
      </c>
      <c r="H23" s="2" t="b">
        <f>ISNUMBER(SEARCH("w",Tabla48[[#This Row],[WI/WO]]))</f>
        <v>0</v>
      </c>
      <c r="I23" s="2">
        <f t="shared" si="31"/>
        <v>1</v>
      </c>
      <c r="J23" s="5">
        <f t="shared" si="32"/>
        <v>1.60623584767898</v>
      </c>
      <c r="K23" s="5">
        <f t="shared" si="36"/>
        <v>0.76326493993613709</v>
      </c>
      <c r="L23" s="21">
        <v>1</v>
      </c>
      <c r="M23" s="5">
        <f t="shared" si="34"/>
        <v>9.3548839642170165</v>
      </c>
      <c r="N23" s="5">
        <f t="shared" si="37"/>
        <v>2.9282055938986949E-2</v>
      </c>
      <c r="O23" s="5">
        <f t="shared" si="35"/>
        <v>4.0132675658433534</v>
      </c>
      <c r="P23" s="5">
        <f t="shared" si="38"/>
        <v>1</v>
      </c>
      <c r="R23" s="5">
        <f t="shared" si="39"/>
        <v>1</v>
      </c>
      <c r="S23" s="5"/>
      <c r="AT23" s="2">
        <v>100</v>
      </c>
      <c r="AU23" s="2">
        <f>RADIANS(Tabla911[[#This Row],[Angle º]])</f>
        <v>1.7453292519943295</v>
      </c>
      <c r="AV23" s="2">
        <f t="shared" si="21"/>
        <v>20.888953945065257</v>
      </c>
      <c r="AW23" s="2">
        <f t="shared" si="22"/>
        <v>2.8003839133749802</v>
      </c>
      <c r="AX23" s="2">
        <f t="shared" si="23"/>
        <v>14.499660740276452</v>
      </c>
      <c r="AY23" s="2">
        <f t="shared" si="24"/>
        <v>14.141986602241836</v>
      </c>
      <c r="AZ23" s="2">
        <f t="shared" si="25"/>
        <v>22.933846964744287</v>
      </c>
      <c r="BA23" s="2">
        <f t="shared" si="26"/>
        <v>10.510440717640096</v>
      </c>
      <c r="BB23" s="2">
        <f t="shared" si="27"/>
        <v>13.349853034089145</v>
      </c>
      <c r="BC23" s="2">
        <f t="shared" si="28"/>
        <v>16.842654549378707</v>
      </c>
      <c r="BJ23" s="2" t="str">
        <v>Tetrahydrofuran (THF)</v>
      </c>
      <c r="BK23" s="2">
        <v>16.8</v>
      </c>
      <c r="BL23" s="2">
        <v>5.7</v>
      </c>
      <c r="BM23" s="2">
        <v>8</v>
      </c>
      <c r="BO23" s="2" t="str">
        <v>Xylene</v>
      </c>
      <c r="BP23" s="2">
        <v>17.8</v>
      </c>
      <c r="BQ23" s="2">
        <v>1</v>
      </c>
      <c r="BR23" s="2">
        <v>3.1</v>
      </c>
    </row>
    <row r="24" spans="1:70" x14ac:dyDescent="0.25">
      <c r="A24" s="16" t="s">
        <v>857</v>
      </c>
      <c r="B24" s="33" t="str">
        <f>VLOOKUP(Tabla48[[#This Row],[CAS]],Tabla1[],2,FALSE)</f>
        <v>Aniline</v>
      </c>
      <c r="C24" s="2">
        <f>VLOOKUP(Tabla48[[#This Row],[CAS]],Tabla1[],3,FALSE)</f>
        <v>20.100000000000001</v>
      </c>
      <c r="D24" s="2">
        <f>VLOOKUP(Tabla48[[#This Row],[CAS]],Tabla1[],4,FALSE)</f>
        <v>5.8</v>
      </c>
      <c r="E24" s="2">
        <f>VLOOKUP(Tabla48[[#This Row],[CAS]],Tabla1[],5,FALSE)</f>
        <v>11.2</v>
      </c>
      <c r="F24" s="2" t="str">
        <f>VLOOKUP(Tabla48[[#This Row],[CAS]],Tabla1[],6,FALSE)</f>
        <v/>
      </c>
      <c r="G24" s="2" t="str">
        <f t="shared" si="30"/>
        <v/>
      </c>
      <c r="H24" s="2" t="b">
        <f>ISNUMBER(SEARCH("w",Tabla48[[#This Row],[WI/WO]]))</f>
        <v>0</v>
      </c>
      <c r="I24" s="2">
        <f t="shared" si="31"/>
        <v>0</v>
      </c>
      <c r="J24" s="5">
        <f t="shared" si="32"/>
        <v>1.7824209149607544</v>
      </c>
      <c r="K24" s="5">
        <f t="shared" si="36"/>
        <v>1.5068772187191461</v>
      </c>
      <c r="L24" s="21">
        <v>0</v>
      </c>
      <c r="M24" s="5">
        <f t="shared" si="34"/>
        <v>10.381004046787963</v>
      </c>
      <c r="N24" s="5">
        <f t="shared" si="37"/>
        <v>1</v>
      </c>
      <c r="O24" s="5">
        <f t="shared" si="35"/>
        <v>7.9232009112062558</v>
      </c>
      <c r="P24" s="5">
        <f t="shared" si="38"/>
        <v>1</v>
      </c>
      <c r="R24" s="5">
        <f t="shared" si="39"/>
        <v>1</v>
      </c>
      <c r="S24" s="5"/>
      <c r="AT24" s="2">
        <v>105</v>
      </c>
      <c r="AU24" s="2">
        <f>RADIANS(Tabla911[[#This Row],[Angle º]])</f>
        <v>1.8325957145940461</v>
      </c>
      <c r="AV24" s="2">
        <f t="shared" si="21"/>
        <v>20.778983647881898</v>
      </c>
      <c r="AW24" s="2">
        <f t="shared" si="22"/>
        <v>2.3043399587197611</v>
      </c>
      <c r="AX24" s="2">
        <f t="shared" si="23"/>
        <v>14.389690443093095</v>
      </c>
      <c r="AY24" s="2">
        <f t="shared" si="24"/>
        <v>13.645942647586617</v>
      </c>
      <c r="AZ24" s="2">
        <f t="shared" si="25"/>
        <v>22.834565286609106</v>
      </c>
      <c r="BA24" s="2">
        <f t="shared" si="26"/>
        <v>10.062610007817895</v>
      </c>
      <c r="BB24" s="2">
        <f t="shared" si="27"/>
        <v>13.250571355953966</v>
      </c>
      <c r="BC24" s="2">
        <f t="shared" si="28"/>
        <v>16.394823839556508</v>
      </c>
      <c r="BJ24" s="2" t="str">
        <v>Triethylphosphate</v>
      </c>
      <c r="BK24" s="2">
        <v>16.7</v>
      </c>
      <c r="BL24" s="2">
        <v>11.4</v>
      </c>
      <c r="BM24" s="2">
        <v>9.1999999999999993</v>
      </c>
      <c r="BO24" s="2" t="str">
        <v>p-Chlorotoluene</v>
      </c>
      <c r="BP24" s="2">
        <v>19.100000000000001</v>
      </c>
      <c r="BQ24" s="2">
        <v>6.2</v>
      </c>
      <c r="BR24" s="2">
        <v>2.6</v>
      </c>
    </row>
    <row r="25" spans="1:70" x14ac:dyDescent="0.25">
      <c r="A25" s="16" t="s">
        <v>874</v>
      </c>
      <c r="B25" s="33" t="str">
        <f>VLOOKUP(Tabla48[[#This Row],[CAS]],Tabla1[],2,FALSE)</f>
        <v>Benzene</v>
      </c>
      <c r="C25" s="2">
        <f>VLOOKUP(Tabla48[[#This Row],[CAS]],Tabla1[],3,FALSE)</f>
        <v>18.399999999999999</v>
      </c>
      <c r="D25" s="2">
        <f>VLOOKUP(Tabla48[[#This Row],[CAS]],Tabla1[],4,FALSE)</f>
        <v>0</v>
      </c>
      <c r="E25" s="2">
        <f>VLOOKUP(Tabla48[[#This Row],[CAS]],Tabla1[],5,FALSE)</f>
        <v>2</v>
      </c>
      <c r="F25" s="2">
        <f>VLOOKUP(Tabla48[[#This Row],[CAS]],Tabla1[],6,FALSE)</f>
        <v>52.9</v>
      </c>
      <c r="G25" s="2" t="str">
        <f t="shared" si="30"/>
        <v/>
      </c>
      <c r="H25" s="2" t="b">
        <f>ISNUMBER(SEARCH("w",Tabla48[[#This Row],[WI/WO]]))</f>
        <v>0</v>
      </c>
      <c r="I25" s="2">
        <f t="shared" si="31"/>
        <v>0</v>
      </c>
      <c r="J25" s="5">
        <f t="shared" si="32"/>
        <v>1.7378653079508779</v>
      </c>
      <c r="K25" s="5">
        <f t="shared" si="36"/>
        <v>2.4815116752575159</v>
      </c>
      <c r="L25" s="21">
        <v>0</v>
      </c>
      <c r="M25" s="5">
        <f t="shared" si="34"/>
        <v>10.121507576120255</v>
      </c>
      <c r="N25" s="5">
        <f t="shared" si="37"/>
        <v>1</v>
      </c>
      <c r="O25" s="5">
        <f t="shared" si="35"/>
        <v>13.047855075599131</v>
      </c>
      <c r="P25" s="5">
        <f t="shared" si="38"/>
        <v>1</v>
      </c>
      <c r="R25" s="5">
        <f t="shared" si="39"/>
        <v>1</v>
      </c>
      <c r="S25" s="5"/>
      <c r="AT25" s="2">
        <v>110</v>
      </c>
      <c r="AU25" s="2">
        <f>RADIANS(Tabla911[[#This Row],[Angle º]])</f>
        <v>1.9198621771937625</v>
      </c>
      <c r="AV25" s="2">
        <f t="shared" si="21"/>
        <v>20.6261987415768</v>
      </c>
      <c r="AW25" s="2">
        <f t="shared" si="22"/>
        <v>1.8197681440029674</v>
      </c>
      <c r="AX25" s="2">
        <f t="shared" si="23"/>
        <v>14.236905536787997</v>
      </c>
      <c r="AY25" s="2">
        <f t="shared" si="24"/>
        <v>13.161370832869824</v>
      </c>
      <c r="AZ25" s="2">
        <f t="shared" si="25"/>
        <v>22.696630387093425</v>
      </c>
      <c r="BA25" s="2">
        <f t="shared" si="26"/>
        <v>9.625136397449463</v>
      </c>
      <c r="BB25" s="2">
        <f t="shared" si="27"/>
        <v>13.112636456438281</v>
      </c>
      <c r="BC25" s="2">
        <f t="shared" si="28"/>
        <v>15.957350229188076</v>
      </c>
      <c r="BJ25" s="2" t="str">
        <v>2-Methyl Tetrahydrofuran</v>
      </c>
      <c r="BK25" s="2">
        <v>16.899999999999999</v>
      </c>
      <c r="BL25" s="2">
        <v>5</v>
      </c>
      <c r="BM25" s="2">
        <v>4.3</v>
      </c>
      <c r="BO25" s="2" t="str">
        <v>Dimethyl Maleate</v>
      </c>
      <c r="BP25" s="2">
        <v>16.3</v>
      </c>
      <c r="BQ25" s="2">
        <v>8.3000000000000007</v>
      </c>
      <c r="BR25" s="2">
        <v>9.8000000000000007</v>
      </c>
    </row>
    <row r="26" spans="1:70" x14ac:dyDescent="0.25">
      <c r="A26" s="16" t="s">
        <v>2449</v>
      </c>
      <c r="B26" s="33" t="str">
        <f>VLOOKUP(Tabla48[[#This Row],[CAS]],Tabla1[],2,FALSE)</f>
        <v>γ-Butyrolactone (GBL)</v>
      </c>
      <c r="C26" s="2">
        <f>VLOOKUP(Tabla48[[#This Row],[CAS]],Tabla1[],3,FALSE)</f>
        <v>18</v>
      </c>
      <c r="D26" s="2">
        <f>VLOOKUP(Tabla48[[#This Row],[CAS]],Tabla1[],4,FALSE)</f>
        <v>16.600000000000001</v>
      </c>
      <c r="E26" s="2">
        <f>VLOOKUP(Tabla48[[#This Row],[CAS]],Tabla1[],5,FALSE)</f>
        <v>7.4</v>
      </c>
      <c r="F26" s="2" t="str">
        <f>VLOOKUP(Tabla48[[#This Row],[CAS]],Tabla1[],6,FALSE)</f>
        <v/>
      </c>
      <c r="G26" s="2" t="str">
        <f t="shared" si="30"/>
        <v/>
      </c>
      <c r="H26" s="2" t="b">
        <f>ISNUMBER(SEARCH("w",Tabla48[[#This Row],[WI/WO]]))</f>
        <v>0</v>
      </c>
      <c r="I26" s="2">
        <f t="shared" si="31"/>
        <v>1</v>
      </c>
      <c r="J26" s="5">
        <f t="shared" si="32"/>
        <v>2.4149049396746651</v>
      </c>
      <c r="K26" s="5">
        <f t="shared" si="36"/>
        <v>0.99970507123461516</v>
      </c>
      <c r="L26" s="21">
        <v>1</v>
      </c>
      <c r="M26" s="5">
        <f t="shared" si="34"/>
        <v>14.064656524703603</v>
      </c>
      <c r="N26" s="5">
        <f t="shared" si="37"/>
        <v>2.6373837859463022E-4</v>
      </c>
      <c r="O26" s="5">
        <f t="shared" si="35"/>
        <v>5.2564761302028282</v>
      </c>
      <c r="P26" s="5">
        <f t="shared" si="38"/>
        <v>1</v>
      </c>
      <c r="R26" s="5">
        <f t="shared" si="39"/>
        <v>1</v>
      </c>
      <c r="S26" s="5"/>
      <c r="AT26" s="2">
        <v>115</v>
      </c>
      <c r="AU26" s="2">
        <f>RADIANS(Tabla911[[#This Row],[Angle º]])</f>
        <v>2.0071286397934789</v>
      </c>
      <c r="AV26" s="2">
        <f t="shared" si="21"/>
        <v>20.431762011540997</v>
      </c>
      <c r="AW26" s="2">
        <f t="shared" si="22"/>
        <v>1.3503563533270535</v>
      </c>
      <c r="AX26" s="2">
        <f t="shared" si="23"/>
        <v>14.042468806752193</v>
      </c>
      <c r="AY26" s="2">
        <f t="shared" si="24"/>
        <v>12.691959042193909</v>
      </c>
      <c r="AZ26" s="2">
        <f t="shared" si="25"/>
        <v>22.521092034069923</v>
      </c>
      <c r="BA26" s="2">
        <f t="shared" si="26"/>
        <v>9.2013493248634894</v>
      </c>
      <c r="BB26" s="2">
        <f t="shared" si="27"/>
        <v>12.93709810341478</v>
      </c>
      <c r="BC26" s="2">
        <f t="shared" si="28"/>
        <v>15.533563156602103</v>
      </c>
      <c r="BJ26" s="2" t="str">
        <v>Ethyl Aceto Acetate (Keto)</v>
      </c>
      <c r="BK26" s="2">
        <v>16.5</v>
      </c>
      <c r="BL26" s="2">
        <v>7.3</v>
      </c>
      <c r="BM26" s="2">
        <v>8.3000000000000007</v>
      </c>
    </row>
    <row r="27" spans="1:70" ht="30" x14ac:dyDescent="0.25">
      <c r="A27" s="16" t="s">
        <v>994</v>
      </c>
      <c r="B27" s="33" t="str">
        <f>VLOOKUP(Tabla48[[#This Row],[CAS]],Tabla1[],2,FALSE)</f>
        <v>Carbon Tetrachloride (0 Dipole Moment)</v>
      </c>
      <c r="C27" s="2">
        <f>VLOOKUP(Tabla48[[#This Row],[CAS]],Tabla1[],3,FALSE)</f>
        <v>17.8</v>
      </c>
      <c r="D27" s="2">
        <f>VLOOKUP(Tabla48[[#This Row],[CAS]],Tabla1[],4,FALSE)</f>
        <v>0</v>
      </c>
      <c r="E27" s="2">
        <f>VLOOKUP(Tabla48[[#This Row],[CAS]],Tabla1[],5,FALSE)</f>
        <v>0.6</v>
      </c>
      <c r="F27" s="2" t="str">
        <f>VLOOKUP(Tabla48[[#This Row],[CAS]],Tabla1[],6,FALSE)</f>
        <v/>
      </c>
      <c r="G27" s="2" t="str">
        <f t="shared" si="30"/>
        <v/>
      </c>
      <c r="H27" s="2" t="b">
        <f>ISNUMBER(SEARCH("w",Tabla48[[#This Row],[WI/WO]]))</f>
        <v>0</v>
      </c>
      <c r="I27" s="2">
        <f t="shared" si="31"/>
        <v>0</v>
      </c>
      <c r="J27" s="5">
        <f t="shared" si="32"/>
        <v>1.7942487616818352</v>
      </c>
      <c r="K27" s="5">
        <f t="shared" si="36"/>
        <v>2.6065440916468967</v>
      </c>
      <c r="L27" s="21">
        <v>0</v>
      </c>
      <c r="M27" s="5">
        <f t="shared" si="34"/>
        <v>10.449890651318762</v>
      </c>
      <c r="N27" s="5">
        <f t="shared" si="37"/>
        <v>1</v>
      </c>
      <c r="O27" s="5">
        <f t="shared" si="35"/>
        <v>13.705278881042766</v>
      </c>
      <c r="P27" s="5">
        <f t="shared" si="38"/>
        <v>1</v>
      </c>
      <c r="R27" s="5">
        <f t="shared" si="39"/>
        <v>1</v>
      </c>
      <c r="S27" s="5"/>
      <c r="AT27" s="2">
        <v>120</v>
      </c>
      <c r="AU27" s="2">
        <f>RADIANS(Tabla911[[#This Row],[Angle º]])</f>
        <v>2.0943951023931953</v>
      </c>
      <c r="AV27" s="2">
        <f t="shared" si="21"/>
        <v>20.197153238694167</v>
      </c>
      <c r="AW27" s="2">
        <f t="shared" si="22"/>
        <v>0.89967709385765282</v>
      </c>
      <c r="AX27" s="2">
        <f t="shared" si="23"/>
        <v>13.807860033905362</v>
      </c>
      <c r="AY27" s="2">
        <f t="shared" si="24"/>
        <v>12.24127978272451</v>
      </c>
      <c r="AZ27" s="2">
        <f t="shared" si="25"/>
        <v>22.309286180398068</v>
      </c>
      <c r="BA27" s="2">
        <f t="shared" si="26"/>
        <v>8.7944740655719862</v>
      </c>
      <c r="BB27" s="2">
        <f t="shared" si="27"/>
        <v>12.725292249742925</v>
      </c>
      <c r="BC27" s="2">
        <f t="shared" si="28"/>
        <v>15.1266878973106</v>
      </c>
      <c r="BJ27" s="2" t="str">
        <v>Methyl Aceto Acetate</v>
      </c>
      <c r="BK27" s="2">
        <v>16.399999999999999</v>
      </c>
      <c r="BL27" s="2">
        <v>8.6</v>
      </c>
      <c r="BM27" s="2">
        <v>8.9</v>
      </c>
    </row>
    <row r="28" spans="1:70" x14ac:dyDescent="0.25">
      <c r="A28" s="16" t="s">
        <v>1028</v>
      </c>
      <c r="B28" s="33" t="str">
        <f>VLOOKUP(Tabla48[[#This Row],[CAS]],Tabla1[],2,FALSE)</f>
        <v>Chloroform</v>
      </c>
      <c r="C28" s="2">
        <f>VLOOKUP(Tabla48[[#This Row],[CAS]],Tabla1[],3,FALSE)</f>
        <v>17.8</v>
      </c>
      <c r="D28" s="2">
        <f>VLOOKUP(Tabla48[[#This Row],[CAS]],Tabla1[],4,FALSE)</f>
        <v>3.1</v>
      </c>
      <c r="E28" s="2">
        <f>VLOOKUP(Tabla48[[#This Row],[CAS]],Tabla1[],5,FALSE)</f>
        <v>5.7</v>
      </c>
      <c r="F28" s="2">
        <f>VLOOKUP(Tabla48[[#This Row],[CAS]],Tabla1[],6,FALSE)</f>
        <v>80.5</v>
      </c>
      <c r="G28" s="2" t="str">
        <f t="shared" si="30"/>
        <v/>
      </c>
      <c r="H28" s="2" t="b">
        <f>ISNUMBER(SEARCH("w",Tabla48[[#This Row],[WI/WO]]))</f>
        <v>0</v>
      </c>
      <c r="I28" s="2">
        <f t="shared" si="31"/>
        <v>0</v>
      </c>
      <c r="J28" s="5">
        <f t="shared" si="32"/>
        <v>1.0572372439551363</v>
      </c>
      <c r="K28" s="5">
        <f t="shared" si="36"/>
        <v>1.6514143319076029</v>
      </c>
      <c r="L28" s="21">
        <v>0</v>
      </c>
      <c r="M28" s="5">
        <f t="shared" si="34"/>
        <v>6.157459226265237</v>
      </c>
      <c r="N28" s="5">
        <f t="shared" si="37"/>
        <v>1</v>
      </c>
      <c r="O28" s="5">
        <f t="shared" si="35"/>
        <v>8.6831809365804045</v>
      </c>
      <c r="P28" s="5">
        <f t="shared" si="38"/>
        <v>1</v>
      </c>
      <c r="R28" s="5">
        <f t="shared" si="39"/>
        <v>1</v>
      </c>
      <c r="S28" s="5"/>
      <c r="AT28" s="2">
        <v>125</v>
      </c>
      <c r="AU28" s="2">
        <f>RADIANS(Tabla911[[#This Row],[Angle º]])</f>
        <v>2.1816615649929121</v>
      </c>
      <c r="AV28" s="2">
        <f t="shared" si="21"/>
        <v>19.924157937458322</v>
      </c>
      <c r="AW28" s="2">
        <f t="shared" si="22"/>
        <v>0.47116030688690147</v>
      </c>
      <c r="AX28" s="2">
        <f t="shared" si="23"/>
        <v>13.534864732669517</v>
      </c>
      <c r="AY28" s="2">
        <f t="shared" si="24"/>
        <v>11.812762995753758</v>
      </c>
      <c r="AZ28" s="2">
        <f t="shared" si="25"/>
        <v>22.062824796516168</v>
      </c>
      <c r="BA28" s="2">
        <f t="shared" si="26"/>
        <v>8.4076071859761541</v>
      </c>
      <c r="BB28" s="2">
        <f t="shared" si="27"/>
        <v>12.478830865861028</v>
      </c>
      <c r="BC28" s="2">
        <f t="shared" si="28"/>
        <v>14.739821017714767</v>
      </c>
      <c r="BJ28" s="2" t="str">
        <v>Propionic Anhydride</v>
      </c>
      <c r="BK28" s="2">
        <v>15.8</v>
      </c>
      <c r="BL28" s="2">
        <v>9</v>
      </c>
      <c r="BM28" s="2">
        <v>7.7</v>
      </c>
    </row>
    <row r="29" spans="1:70" x14ac:dyDescent="0.25">
      <c r="A29" s="16" t="s">
        <v>1075</v>
      </c>
      <c r="B29" s="33" t="str">
        <f>VLOOKUP(Tabla48[[#This Row],[CAS]],Tabla1[],2,FALSE)</f>
        <v>Cyclohexane</v>
      </c>
      <c r="C29" s="2">
        <f>VLOOKUP(Tabla48[[#This Row],[CAS]],Tabla1[],3,FALSE)</f>
        <v>16.8</v>
      </c>
      <c r="D29" s="2">
        <f>VLOOKUP(Tabla48[[#This Row],[CAS]],Tabla1[],4,FALSE)</f>
        <v>0</v>
      </c>
      <c r="E29" s="2">
        <f>VLOOKUP(Tabla48[[#This Row],[CAS]],Tabla1[],5,FALSE)</f>
        <v>0.2</v>
      </c>
      <c r="F29" s="2">
        <f>VLOOKUP(Tabla48[[#This Row],[CAS]],Tabla1[],6,FALSE)</f>
        <v>108.9</v>
      </c>
      <c r="G29" s="2" t="str">
        <f t="shared" si="30"/>
        <v/>
      </c>
      <c r="H29" s="2" t="b">
        <f>ISNUMBER(SEARCH("w",Tabla48[[#This Row],[WI/WO]]))</f>
        <v>0</v>
      </c>
      <c r="I29" s="2">
        <f t="shared" si="31"/>
        <v>0</v>
      </c>
      <c r="J29" s="5">
        <f t="shared" si="32"/>
        <v>1.7059617861887486</v>
      </c>
      <c r="K29" s="5">
        <f t="shared" si="36"/>
        <v>2.6741018683078774</v>
      </c>
      <c r="L29" s="21">
        <v>0</v>
      </c>
      <c r="M29" s="5">
        <f t="shared" si="34"/>
        <v>9.9356981605441685</v>
      </c>
      <c r="N29" s="5">
        <f t="shared" si="37"/>
        <v>1</v>
      </c>
      <c r="O29" s="5">
        <f t="shared" si="35"/>
        <v>14.060499486245316</v>
      </c>
      <c r="P29" s="5">
        <f t="shared" si="38"/>
        <v>1</v>
      </c>
      <c r="R29" s="5">
        <f t="shared" si="39"/>
        <v>1</v>
      </c>
      <c r="S29" s="5"/>
      <c r="AT29" s="2">
        <v>130</v>
      </c>
      <c r="AU29" s="2">
        <f>RADIANS(Tabla911[[#This Row],[Angle º]])</f>
        <v>2.2689280275926285</v>
      </c>
      <c r="AV29" s="2">
        <f t="shared" si="21"/>
        <v>19.614853766914941</v>
      </c>
      <c r="AW29" s="2">
        <f t="shared" si="22"/>
        <v>6.8067263909161291E-2</v>
      </c>
      <c r="AX29" s="2">
        <f t="shared" si="23"/>
        <v>13.225560562126134</v>
      </c>
      <c r="AY29" s="2">
        <f t="shared" si="24"/>
        <v>11.409669952776017</v>
      </c>
      <c r="AZ29" s="2">
        <f t="shared" si="25"/>
        <v>21.783583602373028</v>
      </c>
      <c r="BA29" s="2">
        <f t="shared" si="26"/>
        <v>8.0436929766263354</v>
      </c>
      <c r="BB29" s="2">
        <f t="shared" si="27"/>
        <v>12.199589671717886</v>
      </c>
      <c r="BC29" s="2">
        <f t="shared" si="28"/>
        <v>14.375906808364949</v>
      </c>
    </row>
    <row r="30" spans="1:70" x14ac:dyDescent="0.25">
      <c r="A30" s="16" t="s">
        <v>1077</v>
      </c>
      <c r="B30" s="33" t="str">
        <f>VLOOKUP(Tabla48[[#This Row],[CAS]],Tabla1[],2,FALSE)</f>
        <v>Cyclohexanol</v>
      </c>
      <c r="C30" s="2">
        <f>VLOOKUP(Tabla48[[#This Row],[CAS]],Tabla1[],3,FALSE)</f>
        <v>17.399999999999999</v>
      </c>
      <c r="D30" s="2">
        <f>VLOOKUP(Tabla48[[#This Row],[CAS]],Tabla1[],4,FALSE)</f>
        <v>4.0999999999999996</v>
      </c>
      <c r="E30" s="2">
        <f>VLOOKUP(Tabla48[[#This Row],[CAS]],Tabla1[],5,FALSE)</f>
        <v>13.5</v>
      </c>
      <c r="F30" s="2">
        <f>VLOOKUP(Tabla48[[#This Row],[CAS]],Tabla1[],6,FALSE)</f>
        <v>105.7</v>
      </c>
      <c r="G30" s="2" t="str">
        <f t="shared" si="30"/>
        <v/>
      </c>
      <c r="H30" s="2" t="b">
        <f>ISNUMBER(SEARCH("w",Tabla48[[#This Row],[WI/WO]]))</f>
        <v>0</v>
      </c>
      <c r="I30" s="2">
        <f t="shared" si="31"/>
        <v>0</v>
      </c>
      <c r="J30" s="5">
        <f t="shared" si="32"/>
        <v>1.122012265619946</v>
      </c>
      <c r="K30" s="5">
        <f t="shared" si="36"/>
        <v>1.7277616030714416</v>
      </c>
      <c r="L30" s="21">
        <v>0</v>
      </c>
      <c r="M30" s="5">
        <f t="shared" si="34"/>
        <v>6.5347156623792477</v>
      </c>
      <c r="N30" s="5">
        <f t="shared" si="37"/>
        <v>1</v>
      </c>
      <c r="O30" s="5">
        <f t="shared" si="35"/>
        <v>9.084616940084139</v>
      </c>
      <c r="P30" s="5">
        <f t="shared" si="38"/>
        <v>1</v>
      </c>
      <c r="R30" s="5">
        <f t="shared" si="39"/>
        <v>1</v>
      </c>
      <c r="S30" s="5"/>
      <c r="AT30" s="2">
        <v>135</v>
      </c>
      <c r="AU30" s="2">
        <f>RADIANS(Tabla911[[#This Row],[Angle º]])</f>
        <v>2.3561944901923448</v>
      </c>
      <c r="AV30" s="2">
        <f t="shared" si="21"/>
        <v>19.271594718564817</v>
      </c>
      <c r="AW30" s="2">
        <f t="shared" si="22"/>
        <v>-0.30653425362427411</v>
      </c>
      <c r="AX30" s="2">
        <f t="shared" si="23"/>
        <v>12.882301513776014</v>
      </c>
      <c r="AY30" s="2">
        <f t="shared" si="24"/>
        <v>11.035068435242582</v>
      </c>
      <c r="AZ30" s="2">
        <f t="shared" si="25"/>
        <v>21.47368779206651</v>
      </c>
      <c r="BA30" s="2">
        <f t="shared" si="26"/>
        <v>7.7055010443930838</v>
      </c>
      <c r="BB30" s="2">
        <f t="shared" si="27"/>
        <v>11.88969386141137</v>
      </c>
      <c r="BC30" s="2">
        <f t="shared" si="28"/>
        <v>14.037714876131698</v>
      </c>
    </row>
    <row r="31" spans="1:70" x14ac:dyDescent="0.25">
      <c r="A31" s="16" t="s">
        <v>2297</v>
      </c>
      <c r="B31" s="33" t="str">
        <f>VLOOKUP(Tabla48[[#This Row],[CAS]],Tabla1[],2,FALSE)</f>
        <v>Trans-Decahydronaphthalene</v>
      </c>
      <c r="C31" s="2">
        <f>VLOOKUP(Tabla48[[#This Row],[CAS]],Tabla1[],3,FALSE)</f>
        <v>18</v>
      </c>
      <c r="D31" s="2">
        <f>VLOOKUP(Tabla48[[#This Row],[CAS]],Tabla1[],4,FALSE)</f>
        <v>0</v>
      </c>
      <c r="E31" s="2">
        <f>VLOOKUP(Tabla48[[#This Row],[CAS]],Tabla1[],5,FALSE)</f>
        <v>0</v>
      </c>
      <c r="F31" s="2" t="str">
        <f>VLOOKUP(Tabla48[[#This Row],[CAS]],Tabla1[],6,FALSE)</f>
        <v/>
      </c>
      <c r="G31" s="2" t="str">
        <f t="shared" si="30"/>
        <v/>
      </c>
      <c r="H31" s="2" t="b">
        <f>ISNUMBER(SEARCH("w",Tabla48[[#This Row],[WI/WO]]))</f>
        <v>0</v>
      </c>
      <c r="I31" s="2">
        <f t="shared" si="31"/>
        <v>0</v>
      </c>
      <c r="J31" s="5">
        <f t="shared" ref="J31:J58" si="40">IF(L31&lt;&gt;"",M31/R_,"")</f>
        <v>1.910057973037762</v>
      </c>
      <c r="K31" s="5">
        <f t="shared" si="33"/>
        <v>2.6728432965510027</v>
      </c>
      <c r="L31" s="21">
        <v>0</v>
      </c>
      <c r="M31" s="5">
        <f t="shared" si="34"/>
        <v>11.12437549474177</v>
      </c>
      <c r="N31" s="5">
        <f t="shared" si="37"/>
        <v>1</v>
      </c>
      <c r="O31" s="5">
        <f t="shared" si="35"/>
        <v>14.053881882125344</v>
      </c>
      <c r="P31" s="5">
        <f t="shared" si="38"/>
        <v>1</v>
      </c>
      <c r="R31" s="5">
        <f t="shared" si="39"/>
        <v>1</v>
      </c>
      <c r="S31" s="5"/>
      <c r="AT31" s="2">
        <v>140</v>
      </c>
      <c r="AU31" s="2">
        <f>RADIANS(Tabla911[[#This Row],[Angle º]])</f>
        <v>2.4434609527920612</v>
      </c>
      <c r="AV31" s="2">
        <f t="shared" si="21"/>
        <v>18.896993201031382</v>
      </c>
      <c r="AW31" s="2">
        <f t="shared" si="22"/>
        <v>-0.64979330197439511</v>
      </c>
      <c r="AX31" s="2">
        <f t="shared" si="23"/>
        <v>12.507699996242577</v>
      </c>
      <c r="AY31" s="2">
        <f t="shared" si="24"/>
        <v>10.691809386892462</v>
      </c>
      <c r="AZ31" s="2">
        <f t="shared" si="25"/>
        <v>21.135495859833259</v>
      </c>
      <c r="BA31" s="2">
        <f t="shared" si="26"/>
        <v>7.3956052340865677</v>
      </c>
      <c r="BB31" s="2">
        <f t="shared" si="27"/>
        <v>11.551501929178119</v>
      </c>
      <c r="BC31" s="2">
        <f t="shared" si="28"/>
        <v>13.72781906582518</v>
      </c>
    </row>
    <row r="32" spans="1:70" x14ac:dyDescent="0.25">
      <c r="A32" s="16" t="s">
        <v>1170</v>
      </c>
      <c r="B32" s="33" t="str">
        <f>VLOOKUP(Tabla48[[#This Row],[CAS]],Tabla1[],2,FALSE)</f>
        <v>Diacetone Alcohol</v>
      </c>
      <c r="C32" s="2">
        <f>VLOOKUP(Tabla48[[#This Row],[CAS]],Tabla1[],3,FALSE)</f>
        <v>15.8</v>
      </c>
      <c r="D32" s="2">
        <f>VLOOKUP(Tabla48[[#This Row],[CAS]],Tabla1[],4,FALSE)</f>
        <v>8.1999999999999993</v>
      </c>
      <c r="E32" s="2">
        <f>VLOOKUP(Tabla48[[#This Row],[CAS]],Tabla1[],5,FALSE)</f>
        <v>10.8</v>
      </c>
      <c r="F32" s="2">
        <f>VLOOKUP(Tabla48[[#This Row],[CAS]],Tabla1[],6,FALSE)</f>
        <v>124.3</v>
      </c>
      <c r="G32" s="2" t="str">
        <f t="shared" si="30"/>
        <v/>
      </c>
      <c r="H32" s="2" t="b">
        <f>ISNUMBER(SEARCH("w",Tabla48[[#This Row],[WI/WO]]))</f>
        <v>0</v>
      </c>
      <c r="I32" s="2">
        <f t="shared" si="31"/>
        <v>1</v>
      </c>
      <c r="J32" s="5">
        <f t="shared" si="40"/>
        <v>0.85978428608641511</v>
      </c>
      <c r="K32" s="5">
        <f t="shared" si="33"/>
        <v>1.0858548451701466</v>
      </c>
      <c r="L32" s="21">
        <v>1</v>
      </c>
      <c r="M32" s="5">
        <f t="shared" si="34"/>
        <v>5.0074727458100412</v>
      </c>
      <c r="N32" s="5">
        <f t="shared" si="37"/>
        <v>1</v>
      </c>
      <c r="O32" s="5">
        <f t="shared" si="35"/>
        <v>5.7094539567084368</v>
      </c>
      <c r="P32" s="5">
        <f t="shared" si="38"/>
        <v>0.63671885221971236</v>
      </c>
      <c r="R32" s="5">
        <f t="shared" si="39"/>
        <v>1</v>
      </c>
      <c r="S32" s="5"/>
      <c r="AT32" s="2">
        <v>145</v>
      </c>
      <c r="AU32" s="2">
        <f>RADIANS(Tabla911[[#This Row],[Angle º]])</f>
        <v>2.530727415391778</v>
      </c>
      <c r="AV32" s="2">
        <f t="shared" si="21"/>
        <v>18.493900158053641</v>
      </c>
      <c r="AW32" s="2">
        <f t="shared" si="22"/>
        <v>-0.95909747251777988</v>
      </c>
      <c r="AX32" s="2">
        <f t="shared" si="23"/>
        <v>12.104606953264835</v>
      </c>
      <c r="AY32" s="2">
        <f t="shared" si="24"/>
        <v>10.382505216349077</v>
      </c>
      <c r="AZ32" s="2">
        <f t="shared" si="25"/>
        <v>20.771581650483437</v>
      </c>
      <c r="BA32" s="2">
        <f t="shared" si="26"/>
        <v>7.1163640399434236</v>
      </c>
      <c r="BB32" s="2">
        <f t="shared" si="27"/>
        <v>11.187587719828297</v>
      </c>
      <c r="BC32" s="2">
        <f t="shared" si="28"/>
        <v>13.448577871682037</v>
      </c>
    </row>
    <row r="33" spans="1:55" x14ac:dyDescent="0.25">
      <c r="A33" s="16" t="s">
        <v>1215</v>
      </c>
      <c r="B33" s="33" t="str">
        <f>VLOOKUP(Tabla48[[#This Row],[CAS]],Tabla1[],2,FALSE)</f>
        <v>Diethyl Carbonate</v>
      </c>
      <c r="C33" s="2">
        <f>VLOOKUP(Tabla48[[#This Row],[CAS]],Tabla1[],3,FALSE)</f>
        <v>15.1</v>
      </c>
      <c r="D33" s="2">
        <f>VLOOKUP(Tabla48[[#This Row],[CAS]],Tabla1[],4,FALSE)</f>
        <v>6.3</v>
      </c>
      <c r="E33" s="2">
        <f>VLOOKUP(Tabla48[[#This Row],[CAS]],Tabla1[],5,FALSE)</f>
        <v>3.5</v>
      </c>
      <c r="F33" s="2" t="str">
        <f>VLOOKUP(Tabla48[[#This Row],[CAS]],Tabla1[],6,FALSE)</f>
        <v/>
      </c>
      <c r="G33" s="2" t="str">
        <f t="shared" si="30"/>
        <v/>
      </c>
      <c r="H33" s="2" t="b">
        <f>ISNUMBER(SEARCH("w",Tabla48[[#This Row],[WI/WO]]))</f>
        <v>0</v>
      </c>
      <c r="I33" s="2">
        <f t="shared" si="31"/>
        <v>1</v>
      </c>
      <c r="J33" s="5">
        <f t="shared" si="40"/>
        <v>0.99989367903258941</v>
      </c>
      <c r="K33" s="5">
        <f t="shared" si="33"/>
        <v>1.6611143966851689</v>
      </c>
      <c r="L33" s="21">
        <v>1</v>
      </c>
      <c r="M33" s="5">
        <f t="shared" si="34"/>
        <v>5.8234843640305698</v>
      </c>
      <c r="N33" s="5">
        <f t="shared" si="37"/>
        <v>1</v>
      </c>
      <c r="O33" s="5">
        <f t="shared" si="35"/>
        <v>8.7341841378562837</v>
      </c>
      <c r="P33" s="5">
        <f t="shared" si="38"/>
        <v>3.0926023523859317E-2</v>
      </c>
      <c r="R33" s="5">
        <f t="shared" si="39"/>
        <v>1</v>
      </c>
      <c r="S33" s="5"/>
      <c r="AT33" s="2">
        <v>150</v>
      </c>
      <c r="AU33" s="2">
        <f>RADIANS(Tabla911[[#This Row],[Angle º]])</f>
        <v>2.6179938779914944</v>
      </c>
      <c r="AV33" s="2">
        <f t="shared" si="21"/>
        <v>18.065383371082891</v>
      </c>
      <c r="AW33" s="2">
        <f t="shared" si="22"/>
        <v>-1.232092773753624</v>
      </c>
      <c r="AX33" s="2">
        <f t="shared" si="23"/>
        <v>11.676090166294086</v>
      </c>
      <c r="AY33" s="2">
        <f t="shared" si="24"/>
        <v>10.109509915113232</v>
      </c>
      <c r="AZ33" s="2">
        <f t="shared" si="25"/>
        <v>20.384714770887609</v>
      </c>
      <c r="BA33" s="2">
        <f t="shared" si="26"/>
        <v>6.8699026560615284</v>
      </c>
      <c r="BB33" s="2">
        <f t="shared" si="27"/>
        <v>10.800720840232469</v>
      </c>
      <c r="BC33" s="2">
        <f t="shared" si="28"/>
        <v>13.202116487800142</v>
      </c>
    </row>
    <row r="34" spans="1:55" ht="30" x14ac:dyDescent="0.25">
      <c r="A34" s="16" t="s">
        <v>1255</v>
      </c>
      <c r="B34" s="33" t="str">
        <f>VLOOKUP(Tabla48[[#This Row],[CAS]],Tabla1[],2,FALSE)</f>
        <v>Diethylene Glycol Monomethyl Ether</v>
      </c>
      <c r="C34" s="2">
        <f>VLOOKUP(Tabla48[[#This Row],[CAS]],Tabla1[],3,FALSE)</f>
        <v>16.2</v>
      </c>
      <c r="D34" s="2">
        <f>VLOOKUP(Tabla48[[#This Row],[CAS]],Tabla1[],4,FALSE)</f>
        <v>7.8</v>
      </c>
      <c r="E34" s="2">
        <f>VLOOKUP(Tabla48[[#This Row],[CAS]],Tabla1[],5,FALSE)</f>
        <v>12.6</v>
      </c>
      <c r="F34" s="2" t="str">
        <f>VLOOKUP(Tabla48[[#This Row],[CAS]],Tabla1[],6,FALSE)</f>
        <v/>
      </c>
      <c r="G34" s="2" t="str">
        <f t="shared" si="30"/>
        <v/>
      </c>
      <c r="H34" s="2" t="b">
        <f>ISNUMBER(SEARCH("w",Tabla48[[#This Row],[WI/WO]]))</f>
        <v>0</v>
      </c>
      <c r="I34" s="2">
        <f t="shared" si="31"/>
        <v>0</v>
      </c>
      <c r="J34" s="5">
        <f t="shared" si="40"/>
        <v>1.015835392398124</v>
      </c>
      <c r="K34" s="5">
        <f t="shared" si="33"/>
        <v>1.238693560386998</v>
      </c>
      <c r="L34" s="21">
        <v>0</v>
      </c>
      <c r="M34" s="5">
        <f t="shared" si="34"/>
        <v>5.9163305540473612</v>
      </c>
      <c r="N34" s="5">
        <f t="shared" si="37"/>
        <v>1</v>
      </c>
      <c r="O34" s="5">
        <f t="shared" si="35"/>
        <v>6.5130840286416252</v>
      </c>
      <c r="P34" s="5">
        <f t="shared" si="38"/>
        <v>1</v>
      </c>
      <c r="R34" s="5">
        <f t="shared" si="39"/>
        <v>1</v>
      </c>
      <c r="S34" s="5"/>
      <c r="AT34" s="2">
        <v>155</v>
      </c>
      <c r="AU34" s="2">
        <f>RADIANS(Tabla911[[#This Row],[Angle º]])</f>
        <v>2.7052603405912108</v>
      </c>
      <c r="AV34" s="2">
        <f t="shared" si="21"/>
        <v>17.614704111613491</v>
      </c>
      <c r="AW34" s="2">
        <f t="shared" si="22"/>
        <v>-1.4667015466004556</v>
      </c>
      <c r="AX34" s="2">
        <f t="shared" si="23"/>
        <v>11.225410906824685</v>
      </c>
      <c r="AY34" s="2">
        <f t="shared" si="24"/>
        <v>9.8749011422664008</v>
      </c>
      <c r="AZ34" s="2">
        <f t="shared" si="25"/>
        <v>19.977839511596105</v>
      </c>
      <c r="BA34" s="2">
        <f t="shared" si="26"/>
        <v>6.6580968023896734</v>
      </c>
      <c r="BB34" s="2">
        <f t="shared" si="27"/>
        <v>10.393845580940964</v>
      </c>
      <c r="BC34" s="2">
        <f t="shared" si="28"/>
        <v>12.990310634128287</v>
      </c>
    </row>
    <row r="35" spans="1:55" x14ac:dyDescent="0.25">
      <c r="A35" s="16" t="s">
        <v>1871</v>
      </c>
      <c r="B35" s="33" t="str">
        <f>VLOOKUP(Tabla48[[#This Row],[CAS]],Tabla1[],2,FALSE)</f>
        <v>N,N-Dimethyl Acetamide</v>
      </c>
      <c r="C35" s="2">
        <f>VLOOKUP(Tabla48[[#This Row],[CAS]],Tabla1[],3,FALSE)</f>
        <v>16.8</v>
      </c>
      <c r="D35" s="2">
        <f>VLOOKUP(Tabla48[[#This Row],[CAS]],Tabla1[],4,FALSE)</f>
        <v>11.5</v>
      </c>
      <c r="E35" s="2">
        <f>VLOOKUP(Tabla48[[#This Row],[CAS]],Tabla1[],5,FALSE)</f>
        <v>9.4</v>
      </c>
      <c r="F35" s="2">
        <f>VLOOKUP(Tabla48[[#This Row],[CAS]],Tabla1[],6,FALSE)</f>
        <v>93</v>
      </c>
      <c r="G35" s="2" t="str">
        <f t="shared" si="30"/>
        <v/>
      </c>
      <c r="H35" s="2" t="b">
        <f>ISNUMBER(SEARCH("w",Tabla48[[#This Row],[WI/WO]]))</f>
        <v>0</v>
      </c>
      <c r="I35" s="2">
        <f t="shared" si="31"/>
        <v>1</v>
      </c>
      <c r="J35" s="5">
        <f t="shared" si="40"/>
        <v>1.4402368193029076</v>
      </c>
      <c r="K35" s="5">
        <f>IF(L35&lt;&gt;"",O35/$F$4,"")</f>
        <v>0.43235368653013695</v>
      </c>
      <c r="L35" s="21">
        <v>1</v>
      </c>
      <c r="M35" s="5">
        <f t="shared" si="34"/>
        <v>8.3880884273879293</v>
      </c>
      <c r="N35" s="5">
        <f t="shared" si="37"/>
        <v>7.6997306440729052E-2</v>
      </c>
      <c r="O35" s="5">
        <f t="shared" si="35"/>
        <v>2.2733273026655518</v>
      </c>
      <c r="P35" s="5">
        <f t="shared" si="38"/>
        <v>1</v>
      </c>
      <c r="R35" s="5">
        <f t="shared" si="39"/>
        <v>1</v>
      </c>
      <c r="S35" s="5"/>
      <c r="AT35" s="2">
        <v>160</v>
      </c>
      <c r="AU35" s="2">
        <f>RADIANS(Tabla911[[#This Row],[Angle º]])</f>
        <v>2.7925268031909272</v>
      </c>
      <c r="AV35" s="2">
        <f t="shared" ref="AV35:AV66" si="41">$F$3*SIN(AU35)+ dD</f>
        <v>17.145292320937575</v>
      </c>
      <c r="AW35" s="2">
        <f t="shared" ref="AW35:AW66" si="42">$F$3*COS(AU35)+ dP</f>
        <v>-1.6611382766362595</v>
      </c>
      <c r="AX35" s="2">
        <f t="shared" ref="AX35:AX66" si="43">$F$3*SIN(AU35)+  dH</f>
        <v>10.755999116148772</v>
      </c>
      <c r="AY35" s="2">
        <f t="shared" ref="AY35:AY66" si="44">$F$3*COS(AU35)+ dD</f>
        <v>9.6804644122305969</v>
      </c>
      <c r="AZ35" s="2">
        <f t="shared" si="25"/>
        <v>19.554052439010132</v>
      </c>
      <c r="BA35" s="2">
        <f t="shared" si="26"/>
        <v>6.4825584493661719</v>
      </c>
      <c r="BB35" s="2">
        <f t="shared" si="27"/>
        <v>9.9700585083549917</v>
      </c>
      <c r="BC35" s="2">
        <f t="shared" si="28"/>
        <v>12.814772281104785</v>
      </c>
    </row>
    <row r="36" spans="1:55" x14ac:dyDescent="0.25">
      <c r="A36" s="16" t="s">
        <v>1297</v>
      </c>
      <c r="B36" s="33" t="str">
        <f>VLOOKUP(Tabla48[[#This Row],[CAS]],Tabla1[],2,FALSE)</f>
        <v>Dimethyl Formamide (DMF)</v>
      </c>
      <c r="C36" s="2">
        <f>VLOOKUP(Tabla48[[#This Row],[CAS]],Tabla1[],3,FALSE)</f>
        <v>17.399999999999999</v>
      </c>
      <c r="D36" s="2">
        <f>VLOOKUP(Tabla48[[#This Row],[CAS]],Tabla1[],4,FALSE)</f>
        <v>13.7</v>
      </c>
      <c r="E36" s="2">
        <f>VLOOKUP(Tabla48[[#This Row],[CAS]],Tabla1[],5,FALSE)</f>
        <v>11.3</v>
      </c>
      <c r="F36" s="2" t="str">
        <f>VLOOKUP(Tabla48[[#This Row],[CAS]],Tabla1[],6,FALSE)</f>
        <v/>
      </c>
      <c r="G36" s="2" t="str">
        <f t="shared" si="30"/>
        <v/>
      </c>
      <c r="H36" s="2" t="b">
        <f>ISNUMBER(SEARCH("w",Tabla48[[#This Row],[WI/WO]]))</f>
        <v>0</v>
      </c>
      <c r="I36" s="2">
        <f t="shared" si="31"/>
        <v>1</v>
      </c>
      <c r="J36" s="5">
        <f t="shared" si="40"/>
        <v>1.9150472714321027</v>
      </c>
      <c r="K36" s="5">
        <f t="shared" si="33"/>
        <v>0.74815221527438691</v>
      </c>
      <c r="L36" s="21">
        <v>1</v>
      </c>
      <c r="M36" s="5">
        <f t="shared" si="34"/>
        <v>11.153433685423641</v>
      </c>
      <c r="N36" s="5">
        <f t="shared" si="37"/>
        <v>4.847316156145534E-3</v>
      </c>
      <c r="O36" s="5">
        <f t="shared" si="35"/>
        <v>3.9338044534389005</v>
      </c>
      <c r="P36" s="5">
        <f t="shared" si="38"/>
        <v>1</v>
      </c>
      <c r="R36" s="5">
        <f t="shared" si="39"/>
        <v>1</v>
      </c>
      <c r="S36" s="5"/>
      <c r="AT36" s="2">
        <v>165</v>
      </c>
      <c r="AU36" s="2">
        <f>RADIANS(Tabla911[[#This Row],[Angle º]])</f>
        <v>2.8797932657906435</v>
      </c>
      <c r="AV36" s="2">
        <f t="shared" si="41"/>
        <v>16.660720506220784</v>
      </c>
      <c r="AW36" s="2">
        <f t="shared" si="42"/>
        <v>-1.8139231829413558</v>
      </c>
      <c r="AX36" s="2">
        <f t="shared" si="43"/>
        <v>10.271427301431977</v>
      </c>
      <c r="AY36" s="2">
        <f t="shared" si="44"/>
        <v>9.5276795059255015</v>
      </c>
      <c r="AZ36" s="2">
        <f t="shared" si="25"/>
        <v>19.1165788286417</v>
      </c>
      <c r="BA36" s="2">
        <f t="shared" si="26"/>
        <v>6.344623549850489</v>
      </c>
      <c r="BB36" s="2">
        <f t="shared" si="27"/>
        <v>9.5325848979865579</v>
      </c>
      <c r="BC36" s="2">
        <f t="shared" si="28"/>
        <v>12.676837381589102</v>
      </c>
    </row>
    <row r="37" spans="1:55" x14ac:dyDescent="0.25">
      <c r="A37" s="16" t="s">
        <v>268</v>
      </c>
      <c r="B37" s="33" t="str">
        <f>VLOOKUP(Tabla48[[#This Row],[CAS]],Tabla1[],2,FALSE)</f>
        <v>1,4-Dioxane</v>
      </c>
      <c r="C37" s="2">
        <f>VLOOKUP(Tabla48[[#This Row],[CAS]],Tabla1[],3,FALSE)</f>
        <v>17.5</v>
      </c>
      <c r="D37" s="2">
        <f>VLOOKUP(Tabla48[[#This Row],[CAS]],Tabla1[],4,FALSE)</f>
        <v>1.8</v>
      </c>
      <c r="E37" s="2">
        <f>VLOOKUP(Tabla48[[#This Row],[CAS]],Tabla1[],5,FALSE)</f>
        <v>9</v>
      </c>
      <c r="F37" s="2">
        <f>VLOOKUP(Tabla48[[#This Row],[CAS]],Tabla1[],6,FALSE)</f>
        <v>85.7</v>
      </c>
      <c r="G37" s="2" t="str">
        <f t="shared" si="30"/>
        <v/>
      </c>
      <c r="H37" s="2" t="b">
        <f>ISNUMBER(SEARCH("w",Tabla48[[#This Row],[WI/WO]]))</f>
        <v>0</v>
      </c>
      <c r="I37" s="2">
        <f t="shared" si="31"/>
        <v>1</v>
      </c>
      <c r="J37" s="5">
        <f t="shared" si="40"/>
        <v>0.87769129725003148</v>
      </c>
      <c r="K37" s="5">
        <f t="shared" si="33"/>
        <v>1.8395866385116837</v>
      </c>
      <c r="L37" s="21">
        <v>1</v>
      </c>
      <c r="M37" s="5">
        <f t="shared" si="34"/>
        <v>5.1117650337848328</v>
      </c>
      <c r="N37" s="5">
        <f t="shared" si="37"/>
        <v>1</v>
      </c>
      <c r="O37" s="5">
        <f t="shared" si="35"/>
        <v>9.6725959815676337</v>
      </c>
      <c r="P37" s="5">
        <f t="shared" si="38"/>
        <v>1.2099766694753987E-2</v>
      </c>
      <c r="R37" s="5">
        <f t="shared" si="39"/>
        <v>1</v>
      </c>
      <c r="S37" s="5"/>
      <c r="AT37" s="2">
        <v>170</v>
      </c>
      <c r="AU37" s="2">
        <f>RADIANS(Tabla911[[#This Row],[Angle º]])</f>
        <v>2.9670597283903604</v>
      </c>
      <c r="AV37" s="2">
        <f t="shared" si="41"/>
        <v>16.164676551565563</v>
      </c>
      <c r="AW37" s="2">
        <f t="shared" si="42"/>
        <v>-1.9238934801247143</v>
      </c>
      <c r="AX37" s="2">
        <f t="shared" si="43"/>
        <v>9.7753833467767581</v>
      </c>
      <c r="AY37" s="2">
        <f t="shared" si="44"/>
        <v>9.4177092087421421</v>
      </c>
      <c r="AZ37" s="2">
        <f t="shared" si="25"/>
        <v>18.668748118819501</v>
      </c>
      <c r="BA37" s="2">
        <f t="shared" si="26"/>
        <v>6.2453418717153077</v>
      </c>
      <c r="BB37" s="2">
        <f t="shared" si="27"/>
        <v>9.0847541881643572</v>
      </c>
      <c r="BC37" s="2">
        <f t="shared" si="28"/>
        <v>12.577555703453921</v>
      </c>
    </row>
    <row r="38" spans="1:55" x14ac:dyDescent="0.25">
      <c r="A38" s="16" t="s">
        <v>1370</v>
      </c>
      <c r="B38" s="33" t="str">
        <f>VLOOKUP(Tabla48[[#This Row],[CAS]],Tabla1[],2,FALSE)</f>
        <v>Ethanol</v>
      </c>
      <c r="C38" s="2">
        <f>VLOOKUP(Tabla48[[#This Row],[CAS]],Tabla1[],3,FALSE)</f>
        <v>15.8</v>
      </c>
      <c r="D38" s="2">
        <f>VLOOKUP(Tabla48[[#This Row],[CAS]],Tabla1[],4,FALSE)</f>
        <v>8.8000000000000007</v>
      </c>
      <c r="E38" s="2">
        <f>VLOOKUP(Tabla48[[#This Row],[CAS]],Tabla1[],5,FALSE)</f>
        <v>19.399999999999999</v>
      </c>
      <c r="F38" s="2">
        <f>VLOOKUP(Tabla48[[#This Row],[CAS]],Tabla1[],6,FALSE)</f>
        <v>58.6</v>
      </c>
      <c r="G38" s="2" t="str">
        <f t="shared" si="30"/>
        <v/>
      </c>
      <c r="H38" s="2" t="b">
        <f>ISNUMBER(SEARCH("w",Tabla48[[#This Row],[WI/WO]]))</f>
        <v>0</v>
      </c>
      <c r="I38" s="2">
        <f t="shared" si="31"/>
        <v>0</v>
      </c>
      <c r="J38" s="5">
        <f t="shared" si="40"/>
        <v>2.0292560727077453</v>
      </c>
      <c r="K38" s="5">
        <f t="shared" si="33"/>
        <v>2.315707994743613</v>
      </c>
      <c r="L38" s="21">
        <v>0</v>
      </c>
      <c r="M38" s="5">
        <f t="shared" si="34"/>
        <v>11.81859757475522</v>
      </c>
      <c r="N38" s="5">
        <f t="shared" si="37"/>
        <v>1</v>
      </c>
      <c r="O38" s="5">
        <f t="shared" si="35"/>
        <v>12.176054867719053</v>
      </c>
      <c r="P38" s="5">
        <f t="shared" si="38"/>
        <v>1</v>
      </c>
      <c r="R38" s="5">
        <f t="shared" si="39"/>
        <v>1</v>
      </c>
      <c r="S38" s="5"/>
      <c r="AT38" s="2">
        <v>175</v>
      </c>
      <c r="AU38" s="2">
        <f>RADIANS(Tabla911[[#This Row],[Angle º]])</f>
        <v>3.0543261909900767</v>
      </c>
      <c r="AV38" s="2">
        <f t="shared" si="41"/>
        <v>15.660935650986376</v>
      </c>
      <c r="AW38" s="2">
        <f t="shared" si="42"/>
        <v>-1.9902122278228886</v>
      </c>
      <c r="AX38" s="2">
        <f t="shared" si="43"/>
        <v>9.2716424461975713</v>
      </c>
      <c r="AY38" s="2">
        <f t="shared" si="44"/>
        <v>9.3513904610439678</v>
      </c>
      <c r="AZ38" s="2">
        <f t="shared" si="25"/>
        <v>18.213968571652856</v>
      </c>
      <c r="BA38" s="2">
        <f t="shared" si="26"/>
        <v>6.1854690084791537</v>
      </c>
      <c r="BB38" s="2">
        <f t="shared" si="27"/>
        <v>8.6299746409977143</v>
      </c>
      <c r="BC38" s="2">
        <f t="shared" si="28"/>
        <v>12.517682840217766</v>
      </c>
    </row>
    <row r="39" spans="1:55" x14ac:dyDescent="0.25">
      <c r="A39" s="16" t="s">
        <v>1375</v>
      </c>
      <c r="B39" s="33" t="str">
        <f>VLOOKUP(Tabla48[[#This Row],[CAS]],Tabla1[],2,FALSE)</f>
        <v>Ethyl Acetate</v>
      </c>
      <c r="C39" s="2">
        <f>VLOOKUP(Tabla48[[#This Row],[CAS]],Tabla1[],3,FALSE)</f>
        <v>15.8</v>
      </c>
      <c r="D39" s="2">
        <f>VLOOKUP(Tabla48[[#This Row],[CAS]],Tabla1[],4,FALSE)</f>
        <v>5.3</v>
      </c>
      <c r="E39" s="2">
        <f>VLOOKUP(Tabla48[[#This Row],[CAS]],Tabla1[],5,FALSE)</f>
        <v>7.2</v>
      </c>
      <c r="F39" s="2">
        <f>VLOOKUP(Tabla48[[#This Row],[CAS]],Tabla1[],6,FALSE)</f>
        <v>98.6</v>
      </c>
      <c r="G39" s="2" t="str">
        <f t="shared" si="30"/>
        <v/>
      </c>
      <c r="H39" s="2" t="b">
        <f>ISNUMBER(SEARCH("w",Tabla48[[#This Row],[WI/WO]]))</f>
        <v>0</v>
      </c>
      <c r="I39" s="2">
        <f t="shared" si="31"/>
        <v>1</v>
      </c>
      <c r="J39" s="5">
        <f t="shared" si="40"/>
        <v>0.43212169324461991</v>
      </c>
      <c r="K39" s="5">
        <f t="shared" si="33"/>
        <v>1.3942080516699877</v>
      </c>
      <c r="L39" s="21">
        <v>1</v>
      </c>
      <c r="M39" s="5">
        <f t="shared" si="34"/>
        <v>2.5167215042334914</v>
      </c>
      <c r="N39" s="5">
        <f t="shared" si="37"/>
        <v>1</v>
      </c>
      <c r="O39" s="5">
        <f t="shared" si="35"/>
        <v>7.3307834030382439</v>
      </c>
      <c r="P39" s="5">
        <f t="shared" si="38"/>
        <v>0.1258384258484537</v>
      </c>
      <c r="R39" s="5">
        <f t="shared" si="39"/>
        <v>1</v>
      </c>
      <c r="S39" s="5"/>
      <c r="AT39" s="2">
        <v>180</v>
      </c>
      <c r="AU39" s="2">
        <f>RADIANS(Tabla911[[#This Row],[Angle º]])</f>
        <v>3.1415926535897931</v>
      </c>
      <c r="AV39" s="2">
        <f t="shared" si="41"/>
        <v>15.1533315769037</v>
      </c>
      <c r="AW39" s="2">
        <f t="shared" si="42"/>
        <v>-2.0123747003215402</v>
      </c>
      <c r="AX39" s="2">
        <f t="shared" si="43"/>
        <v>8.7640383721148947</v>
      </c>
      <c r="AY39" s="2">
        <f t="shared" si="44"/>
        <v>9.3292279885453162</v>
      </c>
      <c r="AZ39" s="2">
        <f t="shared" si="25"/>
        <v>17.755701334099104</v>
      </c>
      <c r="BA39" s="2">
        <f t="shared" si="26"/>
        <v>6.1654606287834781</v>
      </c>
      <c r="BB39" s="2">
        <f t="shared" si="27"/>
        <v>8.1717074034439623</v>
      </c>
      <c r="BC39" s="2">
        <f t="shared" si="28"/>
        <v>12.497674460522092</v>
      </c>
    </row>
    <row r="40" spans="1:55" x14ac:dyDescent="0.25">
      <c r="A40" s="16" t="s">
        <v>1386</v>
      </c>
      <c r="B40" s="33" t="str">
        <f>VLOOKUP(Tabla48[[#This Row],[CAS]],Tabla1[],2,FALSE)</f>
        <v>Ethyl Benzene</v>
      </c>
      <c r="C40" s="2">
        <f>VLOOKUP(Tabla48[[#This Row],[CAS]],Tabla1[],3,FALSE)</f>
        <v>17.8</v>
      </c>
      <c r="D40" s="2">
        <f>VLOOKUP(Tabla48[[#This Row],[CAS]],Tabla1[],4,FALSE)</f>
        <v>0.6</v>
      </c>
      <c r="E40" s="2">
        <f>VLOOKUP(Tabla48[[#This Row],[CAS]],Tabla1[],5,FALSE)</f>
        <v>1.4</v>
      </c>
      <c r="F40" s="2">
        <f>VLOOKUP(Tabla48[[#This Row],[CAS]],Tabla1[],6,FALSE)</f>
        <v>122.8</v>
      </c>
      <c r="G40" s="2" t="str">
        <f t="shared" si="30"/>
        <v/>
      </c>
      <c r="H40" s="2" t="b">
        <f>ISNUMBER(SEARCH("w",Tabla48[[#This Row],[WI/WO]]))</f>
        <v>0</v>
      </c>
      <c r="I40" s="2">
        <f t="shared" si="31"/>
        <v>0</v>
      </c>
      <c r="J40" s="5">
        <f t="shared" si="40"/>
        <v>1.6519283708127033</v>
      </c>
      <c r="K40" s="5">
        <f t="shared" si="33"/>
        <v>2.4282123106979707</v>
      </c>
      <c r="L40" s="21">
        <v>0</v>
      </c>
      <c r="M40" s="5">
        <f t="shared" si="34"/>
        <v>9.6210019521612828</v>
      </c>
      <c r="N40" s="5">
        <f t="shared" si="37"/>
        <v>1</v>
      </c>
      <c r="O40" s="5">
        <f t="shared" si="35"/>
        <v>12.767605584400464</v>
      </c>
      <c r="P40" s="5">
        <f t="shared" si="38"/>
        <v>1</v>
      </c>
      <c r="R40" s="5">
        <f t="shared" si="39"/>
        <v>1</v>
      </c>
      <c r="S40" s="5"/>
      <c r="AT40" s="2">
        <v>185</v>
      </c>
      <c r="AU40" s="2">
        <f>RADIANS(Tabla911[[#This Row],[Angle º]])</f>
        <v>3.2288591161895095</v>
      </c>
      <c r="AV40" s="2">
        <f t="shared" si="41"/>
        <v>14.645727502821025</v>
      </c>
      <c r="AW40" s="2">
        <f t="shared" si="42"/>
        <v>-1.9902122278228886</v>
      </c>
      <c r="AX40" s="2">
        <f t="shared" si="43"/>
        <v>8.2564342980322198</v>
      </c>
      <c r="AY40" s="2">
        <f t="shared" si="44"/>
        <v>9.3513904610439678</v>
      </c>
      <c r="AZ40" s="2">
        <f t="shared" si="25"/>
        <v>17.297434096545352</v>
      </c>
      <c r="BA40" s="2">
        <f t="shared" si="26"/>
        <v>6.1854690084791537</v>
      </c>
      <c r="BB40" s="2">
        <f t="shared" si="27"/>
        <v>7.7134401658902121</v>
      </c>
      <c r="BC40" s="2">
        <f t="shared" si="28"/>
        <v>12.517682840217766</v>
      </c>
    </row>
    <row r="41" spans="1:55" x14ac:dyDescent="0.25">
      <c r="A41" s="16" t="s">
        <v>201</v>
      </c>
      <c r="B41" s="33" t="str">
        <f>VLOOKUP(Tabla48[[#This Row],[CAS]],Tabla1[],2,FALSE)</f>
        <v>1,2-Dibromoethylene</v>
      </c>
      <c r="C41" s="2">
        <f>VLOOKUP(Tabla48[[#This Row],[CAS]],Tabla1[],3,FALSE)</f>
        <v>17</v>
      </c>
      <c r="D41" s="2">
        <f>VLOOKUP(Tabla48[[#This Row],[CAS]],Tabla1[],4,FALSE)</f>
        <v>4.9000000000000004</v>
      </c>
      <c r="E41" s="2">
        <f>VLOOKUP(Tabla48[[#This Row],[CAS]],Tabla1[],5,FALSE)</f>
        <v>3</v>
      </c>
      <c r="F41" s="2" t="str">
        <f>VLOOKUP(Tabla48[[#This Row],[CAS]],Tabla1[],6,FALSE)</f>
        <v/>
      </c>
      <c r="G41" s="2" t="str">
        <f t="shared" si="30"/>
        <v/>
      </c>
      <c r="H41" s="2" t="b">
        <f>ISNUMBER(SEARCH("w",Tabla48[[#This Row],[WI/WO]]))</f>
        <v>0</v>
      </c>
      <c r="I41" s="2">
        <f t="shared" si="31"/>
        <v>0</v>
      </c>
      <c r="J41" s="5">
        <f t="shared" si="40"/>
        <v>1.1901837939367106</v>
      </c>
      <c r="K41" s="5">
        <f t="shared" si="33"/>
        <v>1.6091392447949864</v>
      </c>
      <c r="L41" s="21">
        <v>0</v>
      </c>
      <c r="M41" s="5">
        <f t="shared" si="34"/>
        <v>6.9317537050727909</v>
      </c>
      <c r="N41" s="5">
        <f t="shared" si="37"/>
        <v>1</v>
      </c>
      <c r="O41" s="5">
        <f t="shared" si="35"/>
        <v>8.4608973924594579</v>
      </c>
      <c r="P41" s="5">
        <f t="shared" si="38"/>
        <v>1</v>
      </c>
      <c r="R41" s="5">
        <f t="shared" si="39"/>
        <v>1</v>
      </c>
      <c r="S41" s="5"/>
      <c r="AT41" s="2">
        <v>190</v>
      </c>
      <c r="AU41" s="2">
        <f>RADIANS(Tabla911[[#This Row],[Angle º]])</f>
        <v>3.3161255787892263</v>
      </c>
      <c r="AV41" s="2">
        <f t="shared" si="41"/>
        <v>14.141986602241836</v>
      </c>
      <c r="AW41" s="2">
        <f t="shared" si="42"/>
        <v>-1.9238934801247143</v>
      </c>
      <c r="AX41" s="2">
        <f t="shared" si="43"/>
        <v>7.7526933974530312</v>
      </c>
      <c r="AY41" s="2">
        <f t="shared" si="44"/>
        <v>9.4177092087421421</v>
      </c>
      <c r="AZ41" s="2">
        <f t="shared" si="25"/>
        <v>16.842654549378707</v>
      </c>
      <c r="BA41" s="2">
        <f t="shared" si="26"/>
        <v>6.2453418717153077</v>
      </c>
      <c r="BB41" s="2">
        <f t="shared" si="27"/>
        <v>7.2586606187235665</v>
      </c>
      <c r="BC41" s="2">
        <f t="shared" si="28"/>
        <v>12.577555703453921</v>
      </c>
    </row>
    <row r="42" spans="1:55" x14ac:dyDescent="0.25">
      <c r="A42" s="16" t="s">
        <v>1509</v>
      </c>
      <c r="B42" s="33" t="str">
        <f>VLOOKUP(Tabla48[[#This Row],[CAS]],Tabla1[],2,FALSE)</f>
        <v>Ethylenediamine</v>
      </c>
      <c r="C42" s="2">
        <f>VLOOKUP(Tabla48[[#This Row],[CAS]],Tabla1[],3,FALSE)</f>
        <v>16.600000000000001</v>
      </c>
      <c r="D42" s="2">
        <f>VLOOKUP(Tabla48[[#This Row],[CAS]],Tabla1[],4,FALSE)</f>
        <v>8.8000000000000007</v>
      </c>
      <c r="E42" s="2">
        <f>VLOOKUP(Tabla48[[#This Row],[CAS]],Tabla1[],5,FALSE)</f>
        <v>17</v>
      </c>
      <c r="F42" s="2" t="str">
        <f>VLOOKUP(Tabla48[[#This Row],[CAS]],Tabla1[],6,FALSE)</f>
        <v/>
      </c>
      <c r="G42" s="2" t="str">
        <f t="shared" si="30"/>
        <v>WO</v>
      </c>
      <c r="H42" s="2" t="b">
        <f>ISNUMBER(SEARCH("w",Tabla48[[#This Row],[WI/WO]]))</f>
        <v>1</v>
      </c>
      <c r="I42" s="2">
        <f t="shared" si="31"/>
        <v>1</v>
      </c>
      <c r="J42" s="5">
        <f t="shared" si="40"/>
        <v>1.726294688969237</v>
      </c>
      <c r="K42" s="5">
        <f t="shared" si="33"/>
        <v>1.80590054816403</v>
      </c>
      <c r="L42" s="21">
        <v>1</v>
      </c>
      <c r="M42" s="5">
        <f t="shared" si="34"/>
        <v>10.054119092589753</v>
      </c>
      <c r="N42" s="5">
        <f t="shared" si="37"/>
        <v>1.455216492653514E-2</v>
      </c>
      <c r="O42" s="5">
        <f t="shared" si="35"/>
        <v>9.4954736132539281</v>
      </c>
      <c r="P42" s="5">
        <f t="shared" si="38"/>
        <v>1.4444425178253027E-2</v>
      </c>
      <c r="R42" s="5">
        <f t="shared" si="39"/>
        <v>1.4444425178253027E-2</v>
      </c>
      <c r="S42" s="5"/>
      <c r="AT42" s="2">
        <v>195</v>
      </c>
      <c r="AU42" s="2">
        <f>RADIANS(Tabla911[[#This Row],[Angle º]])</f>
        <v>3.4033920413889427</v>
      </c>
      <c r="AV42" s="2">
        <f t="shared" si="41"/>
        <v>13.645942647586619</v>
      </c>
      <c r="AW42" s="2">
        <f t="shared" si="42"/>
        <v>-1.8139231829413558</v>
      </c>
      <c r="AX42" s="2">
        <f t="shared" si="43"/>
        <v>7.256649442797813</v>
      </c>
      <c r="AY42" s="2">
        <f t="shared" si="44"/>
        <v>9.5276795059255015</v>
      </c>
      <c r="AZ42" s="2">
        <f t="shared" si="25"/>
        <v>16.394823839556508</v>
      </c>
      <c r="BA42" s="2">
        <f t="shared" si="26"/>
        <v>6.3446235498504882</v>
      </c>
      <c r="BB42" s="2">
        <f t="shared" si="27"/>
        <v>6.8108299089013666</v>
      </c>
      <c r="BC42" s="2">
        <f t="shared" si="28"/>
        <v>12.676837381589102</v>
      </c>
    </row>
    <row r="43" spans="1:55" x14ac:dyDescent="0.25">
      <c r="A43" s="16" t="s">
        <v>1535</v>
      </c>
      <c r="B43" s="33" t="str">
        <f>VLOOKUP(Tabla48[[#This Row],[CAS]],Tabla1[],2,FALSE)</f>
        <v>Formaldehyde</v>
      </c>
      <c r="C43" s="2">
        <f>VLOOKUP(Tabla48[[#This Row],[CAS]],Tabla1[],3,FALSE)</f>
        <v>12.8</v>
      </c>
      <c r="D43" s="2">
        <f>VLOOKUP(Tabla48[[#This Row],[CAS]],Tabla1[],4,FALSE)</f>
        <v>14.4</v>
      </c>
      <c r="E43" s="2">
        <f>VLOOKUP(Tabla48[[#This Row],[CAS]],Tabla1[],5,FALSE)</f>
        <v>15.4</v>
      </c>
      <c r="F43" s="2" t="str">
        <f>VLOOKUP(Tabla48[[#This Row],[CAS]],Tabla1[],6,FALSE)</f>
        <v/>
      </c>
      <c r="G43" s="2" t="str">
        <f t="shared" si="30"/>
        <v/>
      </c>
      <c r="H43" s="2" t="b">
        <f>ISNUMBER(SEARCH("w",Tabla48[[#This Row],[WI/WO]]))</f>
        <v>0</v>
      </c>
      <c r="I43" s="2">
        <f t="shared" si="31"/>
        <v>0</v>
      </c>
      <c r="J43" s="5">
        <f t="shared" si="40"/>
        <v>2.2926975314001914</v>
      </c>
      <c r="K43" s="5">
        <f t="shared" si="33"/>
        <v>2.400737666123435</v>
      </c>
      <c r="L43" s="21">
        <v>0</v>
      </c>
      <c r="M43" s="5">
        <f t="shared" si="34"/>
        <v>13.352907919648262</v>
      </c>
      <c r="N43" s="5">
        <f t="shared" si="37"/>
        <v>1</v>
      </c>
      <c r="O43" s="5">
        <f t="shared" si="35"/>
        <v>12.62314316488558</v>
      </c>
      <c r="P43" s="5">
        <f t="shared" si="38"/>
        <v>1</v>
      </c>
      <c r="R43" s="5">
        <f t="shared" si="39"/>
        <v>1</v>
      </c>
      <c r="S43" s="5"/>
      <c r="AT43" s="2">
        <v>200</v>
      </c>
      <c r="AU43" s="2">
        <f>RADIANS(Tabla911[[#This Row],[Angle º]])</f>
        <v>3.4906585039886591</v>
      </c>
      <c r="AV43" s="2">
        <f t="shared" si="41"/>
        <v>13.161370832869824</v>
      </c>
      <c r="AW43" s="2">
        <f t="shared" si="42"/>
        <v>-1.6611382766362595</v>
      </c>
      <c r="AX43" s="2">
        <f t="shared" si="43"/>
        <v>6.7720776280810195</v>
      </c>
      <c r="AY43" s="2">
        <f t="shared" si="44"/>
        <v>9.6804644122305969</v>
      </c>
      <c r="AZ43" s="2">
        <f t="shared" si="25"/>
        <v>15.957350229188076</v>
      </c>
      <c r="BA43" s="2">
        <f t="shared" si="26"/>
        <v>6.482558449366171</v>
      </c>
      <c r="BB43" s="2">
        <f t="shared" si="27"/>
        <v>6.3733562985329346</v>
      </c>
      <c r="BC43" s="2">
        <f t="shared" si="28"/>
        <v>12.814772281104784</v>
      </c>
    </row>
    <row r="44" spans="1:55" x14ac:dyDescent="0.25">
      <c r="A44" s="16" t="s">
        <v>1539</v>
      </c>
      <c r="B44" s="33" t="str">
        <f>VLOOKUP(Tabla48[[#This Row],[CAS]],Tabla1[],2,FALSE)</f>
        <v>Formic Acid</v>
      </c>
      <c r="C44" s="2">
        <f>VLOOKUP(Tabla48[[#This Row],[CAS]],Tabla1[],3,FALSE)</f>
        <v>14.6</v>
      </c>
      <c r="D44" s="2">
        <f>VLOOKUP(Tabla48[[#This Row],[CAS]],Tabla1[],4,FALSE)</f>
        <v>10</v>
      </c>
      <c r="E44" s="2">
        <f>VLOOKUP(Tabla48[[#This Row],[CAS]],Tabla1[],5,FALSE)</f>
        <v>14</v>
      </c>
      <c r="F44" s="2" t="str">
        <f>VLOOKUP(Tabla48[[#This Row],[CAS]],Tabla1[],6,FALSE)</f>
        <v/>
      </c>
      <c r="G44" s="2" t="str">
        <f t="shared" si="30"/>
        <v/>
      </c>
      <c r="H44" s="2" t="b">
        <f>ISNUMBER(SEARCH("w",Tabla48[[#This Row],[WI/WO]]))</f>
        <v>0</v>
      </c>
      <c r="I44" s="2">
        <f t="shared" si="31"/>
        <v>0</v>
      </c>
      <c r="J44" s="5">
        <f t="shared" si="40"/>
        <v>1.4047419746411283</v>
      </c>
      <c r="K44" s="5">
        <f t="shared" si="33"/>
        <v>1.656132927485815</v>
      </c>
      <c r="L44" s="21">
        <v>0</v>
      </c>
      <c r="M44" s="5">
        <f t="shared" si="34"/>
        <v>8.1813627752250362</v>
      </c>
      <c r="N44" s="5">
        <f t="shared" si="37"/>
        <v>1</v>
      </c>
      <c r="O44" s="5">
        <f t="shared" si="35"/>
        <v>8.707991438936185</v>
      </c>
      <c r="P44" s="5">
        <f t="shared" si="38"/>
        <v>1</v>
      </c>
      <c r="R44" s="5">
        <f t="shared" si="39"/>
        <v>1</v>
      </c>
      <c r="S44" s="5"/>
      <c r="AT44" s="2">
        <v>205</v>
      </c>
      <c r="AU44" s="2">
        <f>RADIANS(Tabla911[[#This Row],[Angle º]])</f>
        <v>3.5779249665883754</v>
      </c>
      <c r="AV44" s="2">
        <f t="shared" si="41"/>
        <v>12.691959042193911</v>
      </c>
      <c r="AW44" s="2">
        <f t="shared" si="42"/>
        <v>-1.4667015466004556</v>
      </c>
      <c r="AX44" s="2">
        <f t="shared" si="43"/>
        <v>6.3026658374051054</v>
      </c>
      <c r="AY44" s="2">
        <f t="shared" si="44"/>
        <v>9.8749011422664008</v>
      </c>
      <c r="AZ44" s="2">
        <f t="shared" si="25"/>
        <v>15.533563156602103</v>
      </c>
      <c r="BA44" s="2">
        <f t="shared" si="26"/>
        <v>6.6580968023896725</v>
      </c>
      <c r="BB44" s="2">
        <f t="shared" si="27"/>
        <v>5.949569225946961</v>
      </c>
      <c r="BC44" s="2">
        <f t="shared" si="28"/>
        <v>12.990310634128285</v>
      </c>
    </row>
    <row r="45" spans="1:55" x14ac:dyDescent="0.25">
      <c r="A45" s="16" t="s">
        <v>1547</v>
      </c>
      <c r="B45" s="33" t="str">
        <f>VLOOKUP(Tabla48[[#This Row],[CAS]],Tabla1[],2,FALSE)</f>
        <v>Furfural</v>
      </c>
      <c r="C45" s="2">
        <f>VLOOKUP(Tabla48[[#This Row],[CAS]],Tabla1[],3,FALSE)</f>
        <v>18.600000000000001</v>
      </c>
      <c r="D45" s="2">
        <f>VLOOKUP(Tabla48[[#This Row],[CAS]],Tabla1[],4,FALSE)</f>
        <v>14.9</v>
      </c>
      <c r="E45" s="2">
        <f>VLOOKUP(Tabla48[[#This Row],[CAS]],Tabla1[],5,FALSE)</f>
        <v>5.0999999999999996</v>
      </c>
      <c r="F45" s="2" t="str">
        <f>VLOOKUP(Tabla48[[#This Row],[CAS]],Tabla1[],6,FALSE)</f>
        <v/>
      </c>
      <c r="G45" s="2" t="str">
        <f t="shared" si="30"/>
        <v>WI</v>
      </c>
      <c r="H45" s="2" t="b">
        <f>ISNUMBER(SEARCH("w",Tabla48[[#This Row],[WI/WO]]))</f>
        <v>1</v>
      </c>
      <c r="I45" s="2">
        <f t="shared" si="31"/>
        <v>0</v>
      </c>
      <c r="J45" s="5">
        <f t="shared" si="40"/>
        <v>2.3283782791766887</v>
      </c>
      <c r="K45" s="5">
        <f t="shared" si="33"/>
        <v>0.93892452108866931</v>
      </c>
      <c r="L45" s="21">
        <v>0</v>
      </c>
      <c r="M45" s="5">
        <f t="shared" si="34"/>
        <v>13.560716290808671</v>
      </c>
      <c r="N45" s="5">
        <f t="shared" si="37"/>
        <v>1</v>
      </c>
      <c r="O45" s="5">
        <f t="shared" si="35"/>
        <v>4.9368903641446495</v>
      </c>
      <c r="P45" s="5">
        <f t="shared" si="38"/>
        <v>0.7253242306326857</v>
      </c>
      <c r="R45" s="5">
        <f t="shared" si="39"/>
        <v>0.7253242306326857</v>
      </c>
      <c r="S45" s="5"/>
      <c r="AT45" s="2">
        <v>210</v>
      </c>
      <c r="AU45" s="2">
        <f>RADIANS(Tabla911[[#This Row],[Angle º]])</f>
        <v>3.6651914291880923</v>
      </c>
      <c r="AV45" s="2">
        <f t="shared" si="41"/>
        <v>12.241279782724508</v>
      </c>
      <c r="AW45" s="2">
        <f t="shared" si="42"/>
        <v>-1.2320927737536231</v>
      </c>
      <c r="AX45" s="2">
        <f t="shared" si="43"/>
        <v>5.851986577935703</v>
      </c>
      <c r="AY45" s="2">
        <f t="shared" si="44"/>
        <v>10.109509915113232</v>
      </c>
      <c r="AZ45" s="2">
        <f t="shared" ref="AZ45:AZ66" si="45">$F$4*SIN(AU45)+ $C$4</f>
        <v>15.126687897310598</v>
      </c>
      <c r="BA45" s="2">
        <f t="shared" ref="BA45:BA67" si="46">$F$4*COS(AU45)+ $D$4</f>
        <v>6.8699026560615293</v>
      </c>
      <c r="BB45" s="2">
        <f t="shared" ref="BB45:BB66" si="47">$F$4*SIN(AU45)+  $E$4</f>
        <v>5.542693966655456</v>
      </c>
      <c r="BC45" s="2">
        <f t="shared" ref="BC45:BC66" si="48">$F$4*COS(AU45)+ $C$4</f>
        <v>13.202116487800144</v>
      </c>
    </row>
    <row r="46" spans="1:55" x14ac:dyDescent="0.25">
      <c r="A46" s="16" t="s">
        <v>1609</v>
      </c>
      <c r="B46" s="33" t="str">
        <f>VLOOKUP(Tabla48[[#This Row],[CAS]],Tabla1[],2,FALSE)</f>
        <v>Hexane</v>
      </c>
      <c r="C46" s="2">
        <f>VLOOKUP(Tabla48[[#This Row],[CAS]],Tabla1[],3,FALSE)</f>
        <v>14.9</v>
      </c>
      <c r="D46" s="2">
        <f>VLOOKUP(Tabla48[[#This Row],[CAS]],Tabla1[],4,FALSE)</f>
        <v>0</v>
      </c>
      <c r="E46" s="2">
        <f>VLOOKUP(Tabla48[[#This Row],[CAS]],Tabla1[],5,FALSE)</f>
        <v>0</v>
      </c>
      <c r="F46" s="2">
        <f>VLOOKUP(Tabla48[[#This Row],[CAS]],Tabla1[],6,FALSE)</f>
        <v>131.4</v>
      </c>
      <c r="G46" s="2" t="str">
        <f t="shared" si="30"/>
        <v/>
      </c>
      <c r="H46" s="2" t="b">
        <f>ISNUMBER(SEARCH("w",Tabla48[[#This Row],[WI/WO]]))</f>
        <v>0</v>
      </c>
      <c r="I46" s="2">
        <f t="shared" si="31"/>
        <v>0</v>
      </c>
      <c r="J46" s="5">
        <f t="shared" si="40"/>
        <v>1.6432561238896517</v>
      </c>
      <c r="K46" s="5">
        <f t="shared" si="33"/>
        <v>2.8836334989153833</v>
      </c>
      <c r="L46" s="21">
        <v>0</v>
      </c>
      <c r="M46" s="5">
        <f t="shared" si="34"/>
        <v>9.5704938877376087</v>
      </c>
      <c r="N46" s="5">
        <f t="shared" si="37"/>
        <v>1</v>
      </c>
      <c r="O46" s="5">
        <f t="shared" si="35"/>
        <v>15.162222430843995</v>
      </c>
      <c r="P46" s="5">
        <f t="shared" si="38"/>
        <v>1</v>
      </c>
      <c r="R46" s="5">
        <f t="shared" si="39"/>
        <v>1</v>
      </c>
      <c r="S46" s="5"/>
      <c r="AT46" s="2">
        <v>215</v>
      </c>
      <c r="AU46" s="2">
        <f>RADIANS(Tabla911[[#This Row],[Angle º]])</f>
        <v>3.7524578917878086</v>
      </c>
      <c r="AV46" s="2">
        <f t="shared" si="41"/>
        <v>11.812762995753758</v>
      </c>
      <c r="AW46" s="2">
        <f t="shared" si="42"/>
        <v>-0.95909747251777899</v>
      </c>
      <c r="AX46" s="2">
        <f t="shared" si="43"/>
        <v>5.423469790964953</v>
      </c>
      <c r="AY46" s="2">
        <f t="shared" si="44"/>
        <v>10.382505216349077</v>
      </c>
      <c r="AZ46" s="2">
        <f t="shared" si="45"/>
        <v>14.739821017714767</v>
      </c>
      <c r="BA46" s="2">
        <f t="shared" si="46"/>
        <v>7.1163640399434245</v>
      </c>
      <c r="BB46" s="2">
        <f t="shared" si="47"/>
        <v>5.1558270870596266</v>
      </c>
      <c r="BC46" s="2">
        <f t="shared" si="48"/>
        <v>13.448577871682037</v>
      </c>
    </row>
    <row r="47" spans="1:55" x14ac:dyDescent="0.25">
      <c r="A47" s="16" t="s">
        <v>1653</v>
      </c>
      <c r="B47" s="33" t="str">
        <f>VLOOKUP(Tabla48[[#This Row],[CAS]],Tabla1[],2,FALSE)</f>
        <v>Isoamyl Acetate</v>
      </c>
      <c r="C47" s="2">
        <f>VLOOKUP(Tabla48[[#This Row],[CAS]],Tabla1[],3,FALSE)</f>
        <v>15.3</v>
      </c>
      <c r="D47" s="2">
        <f>VLOOKUP(Tabla48[[#This Row],[CAS]],Tabla1[],4,FALSE)</f>
        <v>3.1</v>
      </c>
      <c r="E47" s="2">
        <f>VLOOKUP(Tabla48[[#This Row],[CAS]],Tabla1[],5,FALSE)</f>
        <v>7</v>
      </c>
      <c r="F47" s="2" t="str">
        <f>VLOOKUP(Tabla48[[#This Row],[CAS]],Tabla1[],6,FALSE)</f>
        <v/>
      </c>
      <c r="G47" s="2" t="str">
        <f t="shared" si="30"/>
        <v/>
      </c>
      <c r="H47" s="2" t="b">
        <f>ISNUMBER(SEARCH("w",Tabla48[[#This Row],[WI/WO]]))</f>
        <v>0</v>
      </c>
      <c r="I47" s="2">
        <f t="shared" si="31"/>
        <v>1</v>
      </c>
      <c r="J47" s="5">
        <f t="shared" si="40"/>
        <v>0.33046993193680335</v>
      </c>
      <c r="K47" s="5">
        <f t="shared" si="33"/>
        <v>1.8515037499541407</v>
      </c>
      <c r="L47" s="21">
        <v>1</v>
      </c>
      <c r="M47" s="5">
        <f t="shared" si="34"/>
        <v>1.9246911164376872</v>
      </c>
      <c r="N47" s="5">
        <f t="shared" si="37"/>
        <v>1</v>
      </c>
      <c r="O47" s="5">
        <f t="shared" si="35"/>
        <v>9.7352564737874854</v>
      </c>
      <c r="P47" s="5">
        <f t="shared" si="38"/>
        <v>1.1364854772902144E-2</v>
      </c>
      <c r="R47" s="5">
        <f t="shared" si="39"/>
        <v>1</v>
      </c>
      <c r="S47" s="5"/>
      <c r="AT47" s="2">
        <v>220</v>
      </c>
      <c r="AU47" s="2">
        <f>RADIANS(Tabla911[[#This Row],[Angle º]])</f>
        <v>3.839724354387525</v>
      </c>
      <c r="AV47" s="2">
        <f t="shared" si="41"/>
        <v>11.409669952776019</v>
      </c>
      <c r="AW47" s="2">
        <f t="shared" si="42"/>
        <v>-0.649793301974396</v>
      </c>
      <c r="AX47" s="2">
        <f t="shared" si="43"/>
        <v>5.0203767479872141</v>
      </c>
      <c r="AY47" s="2">
        <f t="shared" si="44"/>
        <v>10.69180938689246</v>
      </c>
      <c r="AZ47" s="2">
        <f t="shared" si="45"/>
        <v>14.375906808364949</v>
      </c>
      <c r="BA47" s="2">
        <f t="shared" si="46"/>
        <v>7.3956052340865668</v>
      </c>
      <c r="BB47" s="2">
        <f t="shared" si="47"/>
        <v>4.791912877709807</v>
      </c>
      <c r="BC47" s="2">
        <f t="shared" si="48"/>
        <v>13.72781906582518</v>
      </c>
    </row>
    <row r="48" spans="1:55" x14ac:dyDescent="0.25">
      <c r="A48" s="16" t="s">
        <v>1681</v>
      </c>
      <c r="B48" s="33" t="str">
        <f>VLOOKUP(Tabla48[[#This Row],[CAS]],Tabla1[],2,FALSE)</f>
        <v>Isophorone</v>
      </c>
      <c r="C48" s="2">
        <f>VLOOKUP(Tabla48[[#This Row],[CAS]],Tabla1[],3,FALSE)</f>
        <v>17</v>
      </c>
      <c r="D48" s="2">
        <f>VLOOKUP(Tabla48[[#This Row],[CAS]],Tabla1[],4,FALSE)</f>
        <v>8</v>
      </c>
      <c r="E48" s="2">
        <f>VLOOKUP(Tabla48[[#This Row],[CAS]],Tabla1[],5,FALSE)</f>
        <v>5</v>
      </c>
      <c r="F48" s="2">
        <f>VLOOKUP(Tabla48[[#This Row],[CAS]],Tabla1[],6,FALSE)</f>
        <v>150.30000000000001</v>
      </c>
      <c r="G48" s="2" t="str">
        <f t="shared" si="30"/>
        <v/>
      </c>
      <c r="H48" s="2" t="b">
        <f>ISNUMBER(SEARCH("w",Tabla48[[#This Row],[WI/WO]]))</f>
        <v>0</v>
      </c>
      <c r="I48" s="2">
        <f t="shared" si="31"/>
        <v>1</v>
      </c>
      <c r="J48" s="5">
        <f t="shared" si="40"/>
        <v>1.1562750850389678</v>
      </c>
      <c r="K48" s="5">
        <f t="shared" si="33"/>
        <v>0.9329623304552499</v>
      </c>
      <c r="L48" s="21">
        <v>1</v>
      </c>
      <c r="M48" s="5">
        <f t="shared" si="34"/>
        <v>6.7342658719048476</v>
      </c>
      <c r="N48" s="5">
        <f t="shared" si="37"/>
        <v>0.40245890627516412</v>
      </c>
      <c r="O48" s="5">
        <f t="shared" si="35"/>
        <v>4.9055410055687414</v>
      </c>
      <c r="P48" s="5">
        <f t="shared" si="38"/>
        <v>1</v>
      </c>
      <c r="R48" s="5">
        <f t="shared" si="39"/>
        <v>1</v>
      </c>
      <c r="S48" s="5"/>
      <c r="AT48" s="2">
        <v>225</v>
      </c>
      <c r="AU48" s="2">
        <f>RADIANS(Tabla911[[#This Row],[Angle º]])</f>
        <v>3.9269908169872414</v>
      </c>
      <c r="AV48" s="2">
        <f t="shared" si="41"/>
        <v>11.035068435242582</v>
      </c>
      <c r="AW48" s="2">
        <f t="shared" si="42"/>
        <v>-0.306534253624275</v>
      </c>
      <c r="AX48" s="2">
        <f t="shared" si="43"/>
        <v>4.6457752304537774</v>
      </c>
      <c r="AY48" s="2">
        <f t="shared" si="44"/>
        <v>11.035068435242582</v>
      </c>
      <c r="AZ48" s="2">
        <f t="shared" si="45"/>
        <v>14.037714876131698</v>
      </c>
      <c r="BA48" s="2">
        <f t="shared" si="46"/>
        <v>7.7055010443930829</v>
      </c>
      <c r="BB48" s="2">
        <f t="shared" si="47"/>
        <v>4.4537209454765554</v>
      </c>
      <c r="BC48" s="2">
        <f t="shared" si="48"/>
        <v>14.037714876131696</v>
      </c>
    </row>
    <row r="49" spans="1:55" x14ac:dyDescent="0.25">
      <c r="A49" s="16" t="s">
        <v>1745</v>
      </c>
      <c r="B49" s="33" t="str">
        <f>VLOOKUP(Tabla48[[#This Row],[CAS]],Tabla1[],2,FALSE)</f>
        <v>Methanol</v>
      </c>
      <c r="C49" s="2">
        <f>VLOOKUP(Tabla48[[#This Row],[CAS]],Tabla1[],3,FALSE)</f>
        <v>14.7</v>
      </c>
      <c r="D49" s="2">
        <f>VLOOKUP(Tabla48[[#This Row],[CAS]],Tabla1[],4,FALSE)</f>
        <v>12.3</v>
      </c>
      <c r="E49" s="2">
        <f>VLOOKUP(Tabla48[[#This Row],[CAS]],Tabla1[],5,FALSE)</f>
        <v>22.3</v>
      </c>
      <c r="F49" s="2">
        <f>VLOOKUP(Tabla48[[#This Row],[CAS]],Tabla1[],6,FALSE)</f>
        <v>40.6</v>
      </c>
      <c r="G49" s="2" t="str">
        <f t="shared" si="30"/>
        <v/>
      </c>
      <c r="H49" s="2" t="b">
        <f>ISNUMBER(SEARCH("w",Tabla48[[#This Row],[WI/WO]]))</f>
        <v>0</v>
      </c>
      <c r="I49" s="2">
        <f t="shared" si="31"/>
        <v>0</v>
      </c>
      <c r="J49" s="5">
        <f t="shared" si="40"/>
        <v>2.7477137959278815</v>
      </c>
      <c r="K49" s="5">
        <f t="shared" si="33"/>
        <v>2.9323492452017832</v>
      </c>
      <c r="L49" s="21">
        <v>0</v>
      </c>
      <c r="M49" s="5">
        <f t="shared" si="34"/>
        <v>16.002969778645408</v>
      </c>
      <c r="N49" s="5">
        <f t="shared" si="37"/>
        <v>1</v>
      </c>
      <c r="O49" s="5">
        <f t="shared" si="35"/>
        <v>15.418371133984245</v>
      </c>
      <c r="P49" s="5">
        <f t="shared" si="38"/>
        <v>1</v>
      </c>
      <c r="R49" s="5">
        <f t="shared" si="39"/>
        <v>1</v>
      </c>
      <c r="S49" s="5"/>
      <c r="AT49" s="2">
        <v>230</v>
      </c>
      <c r="AU49" s="2">
        <f>RADIANS(Tabla911[[#This Row],[Angle º]])</f>
        <v>4.0142572795869578</v>
      </c>
      <c r="AV49" s="2">
        <f t="shared" si="41"/>
        <v>10.691809386892462</v>
      </c>
      <c r="AW49" s="2">
        <f t="shared" si="42"/>
        <v>6.8067263909160847E-2</v>
      </c>
      <c r="AX49" s="2">
        <f t="shared" si="43"/>
        <v>4.3025161821036564</v>
      </c>
      <c r="AY49" s="2">
        <f t="shared" si="44"/>
        <v>11.409669952776017</v>
      </c>
      <c r="AZ49" s="2">
        <f t="shared" si="45"/>
        <v>13.72781906582518</v>
      </c>
      <c r="BA49" s="2">
        <f t="shared" si="46"/>
        <v>8.0436929766263354</v>
      </c>
      <c r="BB49" s="2">
        <f t="shared" si="47"/>
        <v>4.1438251351700393</v>
      </c>
      <c r="BC49" s="2">
        <f t="shared" si="48"/>
        <v>14.375906808364949</v>
      </c>
    </row>
    <row r="50" spans="1:55" x14ac:dyDescent="0.25">
      <c r="A50" s="16" t="s">
        <v>1753</v>
      </c>
      <c r="B50" s="33" t="str">
        <f>VLOOKUP(Tabla48[[#This Row],[CAS]],Tabla1[],2,FALSE)</f>
        <v>Methyl Acetate</v>
      </c>
      <c r="C50" s="2">
        <f>VLOOKUP(Tabla48[[#This Row],[CAS]],Tabla1[],3,FALSE)</f>
        <v>15.5</v>
      </c>
      <c r="D50" s="2">
        <f>VLOOKUP(Tabla48[[#This Row],[CAS]],Tabla1[],4,FALSE)</f>
        <v>7.2</v>
      </c>
      <c r="E50" s="2">
        <f>VLOOKUP(Tabla48[[#This Row],[CAS]],Tabla1[],5,FALSE)</f>
        <v>7.6</v>
      </c>
      <c r="F50" s="2">
        <f>VLOOKUP(Tabla48[[#This Row],[CAS]],Tabla1[],6,FALSE)</f>
        <v>79.8</v>
      </c>
      <c r="G50" s="2" t="str">
        <f t="shared" si="30"/>
        <v/>
      </c>
      <c r="H50" s="2" t="b">
        <f>ISNUMBER(SEARCH("w",Tabla48[[#This Row],[WI/WO]]))</f>
        <v>0</v>
      </c>
      <c r="I50" s="2">
        <f t="shared" si="31"/>
        <v>1</v>
      </c>
      <c r="J50" s="5">
        <f t="shared" si="40"/>
        <v>0.62655492321485362</v>
      </c>
      <c r="K50" s="5">
        <f t="shared" si="33"/>
        <v>1.180336841142448</v>
      </c>
      <c r="L50" s="21">
        <v>1</v>
      </c>
      <c r="M50" s="5">
        <f t="shared" si="34"/>
        <v>3.6491207765992404</v>
      </c>
      <c r="N50" s="5">
        <f t="shared" si="37"/>
        <v>1</v>
      </c>
      <c r="O50" s="5">
        <f t="shared" si="35"/>
        <v>6.2062428305999928</v>
      </c>
      <c r="P50" s="5">
        <f t="shared" si="38"/>
        <v>0.38743160188895875</v>
      </c>
      <c r="R50" s="5">
        <f t="shared" si="39"/>
        <v>1</v>
      </c>
      <c r="S50" s="5"/>
      <c r="AT50" s="2">
        <v>235</v>
      </c>
      <c r="AU50" s="2">
        <f>RADIANS(Tabla911[[#This Row],[Angle º]])</f>
        <v>4.1015237421866741</v>
      </c>
      <c r="AV50" s="2">
        <f t="shared" si="41"/>
        <v>10.382505216349077</v>
      </c>
      <c r="AW50" s="2">
        <f t="shared" si="42"/>
        <v>0.47116030688690014</v>
      </c>
      <c r="AX50" s="2">
        <f t="shared" si="43"/>
        <v>3.9932120115602734</v>
      </c>
      <c r="AY50" s="2">
        <f t="shared" si="44"/>
        <v>11.812762995753756</v>
      </c>
      <c r="AZ50" s="2">
        <f t="shared" si="45"/>
        <v>13.448577871682039</v>
      </c>
      <c r="BA50" s="2">
        <f t="shared" si="46"/>
        <v>8.4076071859761541</v>
      </c>
      <c r="BB50" s="2">
        <f t="shared" si="47"/>
        <v>3.864583941026897</v>
      </c>
      <c r="BC50" s="2">
        <f t="shared" si="48"/>
        <v>14.739821017714767</v>
      </c>
    </row>
    <row r="51" spans="1:55" x14ac:dyDescent="0.25">
      <c r="A51" s="16" t="s">
        <v>1759</v>
      </c>
      <c r="B51" s="33" t="str">
        <f>VLOOKUP(Tabla48[[#This Row],[CAS]],Tabla1[],2,FALSE)</f>
        <v>Methyl Acrylate</v>
      </c>
      <c r="C51" s="2">
        <f>VLOOKUP(Tabla48[[#This Row],[CAS]],Tabla1[],3,FALSE)</f>
        <v>15.3</v>
      </c>
      <c r="D51" s="2">
        <f>VLOOKUP(Tabla48[[#This Row],[CAS]],Tabla1[],4,FALSE)</f>
        <v>6.7</v>
      </c>
      <c r="E51" s="2">
        <f>VLOOKUP(Tabla48[[#This Row],[CAS]],Tabla1[],5,FALSE)</f>
        <v>9.4</v>
      </c>
      <c r="F51" s="2" t="str">
        <f>VLOOKUP(Tabla48[[#This Row],[CAS]],Tabla1[],6,FALSE)</f>
        <v/>
      </c>
      <c r="G51" s="2" t="str">
        <f t="shared" si="30"/>
        <v/>
      </c>
      <c r="H51" s="2" t="b">
        <f>ISNUMBER(SEARCH("w",Tabla48[[#This Row],[WI/WO]]))</f>
        <v>0</v>
      </c>
      <c r="I51" s="2">
        <f t="shared" ref="I51:I67" si="49">L51</f>
        <v>1</v>
      </c>
      <c r="J51" s="5">
        <f t="shared" si="40"/>
        <v>0.51028791365899251</v>
      </c>
      <c r="K51" s="5">
        <f t="shared" si="33"/>
        <v>1.3168456654380734</v>
      </c>
      <c r="L51" s="21">
        <v>1</v>
      </c>
      <c r="M51" s="5">
        <f t="shared" ref="M51:M82" si="50">IF(L51&lt;&gt;"",SQRT(4*(C51-dD)^2+(D51-dP)^2+(E51-dH)^2),0)</f>
        <v>2.971969669037251</v>
      </c>
      <c r="N51" s="5">
        <f t="shared" ref="N51:N82" si="51">IF(L51=1,IF(M51&lt;R_,1,EXP(R_-M51)),IF(L51&lt;&gt;"",IF(M51&lt;R_,EXP(M51-R_),1),1))</f>
        <v>1</v>
      </c>
      <c r="O51" s="5">
        <f t="shared" ref="O51:O82" si="52">IF(L51&lt;&gt;"",SQRT(4*(C51-$C$4)^2+(D51-$D$4)^2+(E51-$E$4)^2),0)</f>
        <v>6.9240098972267932</v>
      </c>
      <c r="P51" s="5">
        <f t="shared" si="38"/>
        <v>0.18900477047174671</v>
      </c>
      <c r="R51" s="5">
        <f t="shared" si="39"/>
        <v>1</v>
      </c>
      <c r="S51" s="5"/>
      <c r="AT51" s="2">
        <v>240</v>
      </c>
      <c r="AU51" s="2">
        <f>RADIANS(Tabla911[[#This Row],[Angle º]])</f>
        <v>4.1887902047863905</v>
      </c>
      <c r="AV51" s="2">
        <f t="shared" si="41"/>
        <v>10.109509915113234</v>
      </c>
      <c r="AW51" s="2">
        <f t="shared" si="42"/>
        <v>0.89967709385764882</v>
      </c>
      <c r="AX51" s="2">
        <f t="shared" si="43"/>
        <v>3.7202167103244292</v>
      </c>
      <c r="AY51" s="2">
        <f t="shared" si="44"/>
        <v>12.241279782724504</v>
      </c>
      <c r="AZ51" s="2">
        <f t="shared" si="45"/>
        <v>13.202116487800144</v>
      </c>
      <c r="BA51" s="2">
        <f t="shared" si="46"/>
        <v>8.7944740655719826</v>
      </c>
      <c r="BB51" s="2">
        <f t="shared" si="47"/>
        <v>3.6181225571450017</v>
      </c>
      <c r="BC51" s="2">
        <f t="shared" si="48"/>
        <v>15.126687897310596</v>
      </c>
    </row>
    <row r="52" spans="1:55" x14ac:dyDescent="0.25">
      <c r="A52" s="16" t="s">
        <v>1783</v>
      </c>
      <c r="B52" s="33" t="str">
        <f>VLOOKUP(Tabla48[[#This Row],[CAS]],Tabla1[],2,FALSE)</f>
        <v>Methyl Ethyl Ketone (MEK)</v>
      </c>
      <c r="C52" s="2">
        <f>VLOOKUP(Tabla48[[#This Row],[CAS]],Tabla1[],3,FALSE)</f>
        <v>16</v>
      </c>
      <c r="D52" s="2">
        <f>VLOOKUP(Tabla48[[#This Row],[CAS]],Tabla1[],4,FALSE)</f>
        <v>9</v>
      </c>
      <c r="E52" s="2">
        <f>VLOOKUP(Tabla48[[#This Row],[CAS]],Tabla1[],5,FALSE)</f>
        <v>5.0999999999999996</v>
      </c>
      <c r="F52" s="2">
        <f>VLOOKUP(Tabla48[[#This Row],[CAS]],Tabla1[],6,FALSE)</f>
        <v>90.2</v>
      </c>
      <c r="G52" s="2" t="str">
        <f t="shared" si="30"/>
        <v/>
      </c>
      <c r="H52" s="2" t="b">
        <f>ISNUMBER(SEARCH("w",Tabla48[[#This Row],[WI/WO]]))</f>
        <v>0</v>
      </c>
      <c r="I52" s="2">
        <f t="shared" si="49"/>
        <v>1</v>
      </c>
      <c r="J52" s="5">
        <f t="shared" si="40"/>
        <v>1.1286692178286648</v>
      </c>
      <c r="K52" s="5">
        <f t="shared" si="33"/>
        <v>0.99985133079113986</v>
      </c>
      <c r="L52" s="21">
        <v>1</v>
      </c>
      <c r="M52" s="5">
        <f t="shared" si="50"/>
        <v>6.5734864416255769</v>
      </c>
      <c r="N52" s="5">
        <f t="shared" si="51"/>
        <v>0.47265816218937956</v>
      </c>
      <c r="O52" s="5">
        <f t="shared" si="52"/>
        <v>5.2572451668815523</v>
      </c>
      <c r="P52" s="5">
        <f t="shared" si="38"/>
        <v>1</v>
      </c>
      <c r="R52" s="5">
        <f t="shared" si="39"/>
        <v>1</v>
      </c>
      <c r="S52" s="5"/>
      <c r="AT52" s="2">
        <v>245</v>
      </c>
      <c r="AU52" s="2">
        <f>RADIANS(Tabla911[[#This Row],[Angle º]])</f>
        <v>4.2760566673861078</v>
      </c>
      <c r="AV52" s="2">
        <f t="shared" si="41"/>
        <v>9.8749011422664008</v>
      </c>
      <c r="AW52" s="2">
        <f t="shared" si="42"/>
        <v>1.3503563533270548</v>
      </c>
      <c r="AX52" s="2">
        <f t="shared" si="43"/>
        <v>3.4856079374775959</v>
      </c>
      <c r="AY52" s="2">
        <f t="shared" si="44"/>
        <v>12.691959042193911</v>
      </c>
      <c r="AZ52" s="2">
        <f t="shared" si="45"/>
        <v>12.990310634128285</v>
      </c>
      <c r="BA52" s="2">
        <f t="shared" si="46"/>
        <v>9.2013493248634912</v>
      </c>
      <c r="BB52" s="2">
        <f t="shared" si="47"/>
        <v>3.4063167034731441</v>
      </c>
      <c r="BC52" s="2">
        <f t="shared" si="48"/>
        <v>15.533563156602105</v>
      </c>
    </row>
    <row r="53" spans="1:55" x14ac:dyDescent="0.25">
      <c r="A53" s="16" t="s">
        <v>1803</v>
      </c>
      <c r="B53" s="33" t="str">
        <f>VLOOKUP(Tabla48[[#This Row],[CAS]],Tabla1[],2,FALSE)</f>
        <v>Methyl Isobutyl Ketone (MIBK)</v>
      </c>
      <c r="C53" s="2">
        <f>VLOOKUP(Tabla48[[#This Row],[CAS]],Tabla1[],3,FALSE)</f>
        <v>15.3</v>
      </c>
      <c r="D53" s="2">
        <f>VLOOKUP(Tabla48[[#This Row],[CAS]],Tabla1[],4,FALSE)</f>
        <v>6.1</v>
      </c>
      <c r="E53" s="2">
        <f>VLOOKUP(Tabla48[[#This Row],[CAS]],Tabla1[],5,FALSE)</f>
        <v>4.0999999999999996</v>
      </c>
      <c r="F53" s="2" t="str">
        <f>VLOOKUP(Tabla48[[#This Row],[CAS]],Tabla1[],6,FALSE)</f>
        <v/>
      </c>
      <c r="G53" s="2" t="str">
        <f t="shared" si="30"/>
        <v/>
      </c>
      <c r="H53" s="2" t="b">
        <f>ISNUMBER(SEARCH("w",Tabla48[[#This Row],[WI/WO]]))</f>
        <v>0</v>
      </c>
      <c r="I53" s="2">
        <f t="shared" si="49"/>
        <v>1</v>
      </c>
      <c r="J53" s="5">
        <f t="shared" si="40"/>
        <v>0.89342691686404052</v>
      </c>
      <c r="K53" s="5">
        <f t="shared" si="33"/>
        <v>1.5802587658017995</v>
      </c>
      <c r="L53" s="21">
        <v>1</v>
      </c>
      <c r="M53" s="5">
        <f t="shared" si="50"/>
        <v>5.2034109124438253</v>
      </c>
      <c r="N53" s="5">
        <f t="shared" si="51"/>
        <v>1</v>
      </c>
      <c r="O53" s="5">
        <f t="shared" si="52"/>
        <v>8.309043057791504</v>
      </c>
      <c r="P53" s="5">
        <f t="shared" si="38"/>
        <v>4.7310823443610352E-2</v>
      </c>
      <c r="R53" s="5">
        <f t="shared" si="39"/>
        <v>1</v>
      </c>
      <c r="S53" s="5"/>
      <c r="AT53" s="2">
        <v>250</v>
      </c>
      <c r="AU53" s="2">
        <f>RADIANS(Tabla911[[#This Row],[Angle º]])</f>
        <v>4.3633231299858242</v>
      </c>
      <c r="AV53" s="2">
        <f t="shared" si="41"/>
        <v>9.6804644122305969</v>
      </c>
      <c r="AW53" s="2">
        <f t="shared" si="42"/>
        <v>1.8197681440029685</v>
      </c>
      <c r="AX53" s="2">
        <f t="shared" si="43"/>
        <v>3.291171207441792</v>
      </c>
      <c r="AY53" s="2">
        <f t="shared" si="44"/>
        <v>13.161370832869824</v>
      </c>
      <c r="AZ53" s="2">
        <f t="shared" si="45"/>
        <v>12.814772281104784</v>
      </c>
      <c r="BA53" s="2">
        <f t="shared" si="46"/>
        <v>9.625136397449463</v>
      </c>
      <c r="BB53" s="2">
        <f t="shared" si="47"/>
        <v>3.2307783504496426</v>
      </c>
      <c r="BC53" s="2">
        <f t="shared" si="48"/>
        <v>15.957350229188076</v>
      </c>
    </row>
    <row r="54" spans="1:55" x14ac:dyDescent="0.25">
      <c r="A54" s="16" t="s">
        <v>1951</v>
      </c>
      <c r="B54" s="33" t="str">
        <f>VLOOKUP(Tabla48[[#This Row],[CAS]],Tabla1[],2,FALSE)</f>
        <v>Nitrobenzene</v>
      </c>
      <c r="C54" s="2">
        <f>VLOOKUP(Tabla48[[#This Row],[CAS]],Tabla1[],3,FALSE)</f>
        <v>20</v>
      </c>
      <c r="D54" s="2">
        <f>VLOOKUP(Tabla48[[#This Row],[CAS]],Tabla1[],4,FALSE)</f>
        <v>10.6</v>
      </c>
      <c r="E54" s="2">
        <f>VLOOKUP(Tabla48[[#This Row],[CAS]],Tabla1[],5,FALSE)</f>
        <v>3.1</v>
      </c>
      <c r="F54" s="2" t="str">
        <f>VLOOKUP(Tabla48[[#This Row],[CAS]],Tabla1[],6,FALSE)</f>
        <v/>
      </c>
      <c r="G54" s="2" t="str">
        <f t="shared" si="30"/>
        <v/>
      </c>
      <c r="H54" s="2" t="b">
        <f>ISNUMBER(SEARCH("w",Tabla48[[#This Row],[WI/WO]]))</f>
        <v>0</v>
      </c>
      <c r="I54" s="2">
        <f t="shared" si="49"/>
        <v>0</v>
      </c>
      <c r="J54" s="5">
        <f t="shared" si="40"/>
        <v>2.2526308516448315</v>
      </c>
      <c r="K54" s="5">
        <f t="shared" si="33"/>
        <v>1.2975587441515439</v>
      </c>
      <c r="L54" s="21">
        <v>0</v>
      </c>
      <c r="M54" s="5">
        <f t="shared" si="50"/>
        <v>13.119555426311464</v>
      </c>
      <c r="N54" s="5">
        <f t="shared" si="51"/>
        <v>1</v>
      </c>
      <c r="O54" s="5">
        <f t="shared" si="52"/>
        <v>6.8225987467936573</v>
      </c>
      <c r="P54" s="5">
        <f t="shared" si="38"/>
        <v>1</v>
      </c>
      <c r="R54" s="5">
        <f t="shared" si="39"/>
        <v>1</v>
      </c>
      <c r="S54" s="5"/>
      <c r="AT54" s="2">
        <v>255</v>
      </c>
      <c r="AU54" s="2">
        <f>RADIANS(Tabla911[[#This Row],[Angle º]])</f>
        <v>4.4505895925855405</v>
      </c>
      <c r="AV54" s="2">
        <f t="shared" si="41"/>
        <v>9.5276795059255015</v>
      </c>
      <c r="AW54" s="2">
        <f t="shared" si="42"/>
        <v>2.3043399587197628</v>
      </c>
      <c r="AX54" s="2">
        <f t="shared" si="43"/>
        <v>3.1383863011366957</v>
      </c>
      <c r="AY54" s="2">
        <f t="shared" si="44"/>
        <v>13.645942647586619</v>
      </c>
      <c r="AZ54" s="2">
        <f t="shared" si="45"/>
        <v>12.676837381589102</v>
      </c>
      <c r="BA54" s="2">
        <f t="shared" si="46"/>
        <v>10.062610007817897</v>
      </c>
      <c r="BB54" s="2">
        <f t="shared" si="47"/>
        <v>3.0928434509339597</v>
      </c>
      <c r="BC54" s="2">
        <f t="shared" si="48"/>
        <v>16.394823839556508</v>
      </c>
    </row>
    <row r="55" spans="1:55" x14ac:dyDescent="0.25">
      <c r="A55" s="16" t="s">
        <v>2185</v>
      </c>
      <c r="B55" s="33" t="str">
        <f>VLOOKUP(Tabla48[[#This Row],[CAS]],Tabla1[],2,FALSE)</f>
        <v>Pyridine</v>
      </c>
      <c r="C55" s="2">
        <f>VLOOKUP(Tabla48[[#This Row],[CAS]],Tabla1[],3,FALSE)</f>
        <v>19</v>
      </c>
      <c r="D55" s="2">
        <f>VLOOKUP(Tabla48[[#This Row],[CAS]],Tabla1[],4,FALSE)</f>
        <v>8.8000000000000007</v>
      </c>
      <c r="E55" s="2">
        <f>VLOOKUP(Tabla48[[#This Row],[CAS]],Tabla1[],5,FALSE)</f>
        <v>5.9</v>
      </c>
      <c r="F55" s="2" t="str">
        <f>VLOOKUP(Tabla48[[#This Row],[CAS]],Tabla1[],6,FALSE)</f>
        <v/>
      </c>
      <c r="G55" s="2" t="str">
        <f t="shared" si="30"/>
        <v/>
      </c>
      <c r="H55" s="2" t="b">
        <f>ISNUMBER(SEARCH("w",Tabla48[[#This Row],[WI/WO]]))</f>
        <v>0</v>
      </c>
      <c r="I55" s="2">
        <f t="shared" si="49"/>
        <v>1</v>
      </c>
      <c r="J55" s="5">
        <f t="shared" si="40"/>
        <v>1.6493325154719864</v>
      </c>
      <c r="K55" s="5">
        <f t="shared" si="33"/>
        <v>0.81217093334508639</v>
      </c>
      <c r="L55" s="21">
        <v>1</v>
      </c>
      <c r="M55" s="5">
        <f t="shared" si="50"/>
        <v>9.6058834217565554</v>
      </c>
      <c r="N55" s="5">
        <f t="shared" si="51"/>
        <v>2.2782106964161573E-2</v>
      </c>
      <c r="O55" s="5">
        <f t="shared" si="52"/>
        <v>4.2704165934665888</v>
      </c>
      <c r="P55" s="5">
        <f t="shared" si="38"/>
        <v>1</v>
      </c>
      <c r="R55" s="5">
        <f t="shared" si="39"/>
        <v>1</v>
      </c>
      <c r="S55" s="5"/>
      <c r="AT55" s="2">
        <v>260</v>
      </c>
      <c r="AU55" s="2">
        <f>RADIANS(Tabla911[[#This Row],[Angle º]])</f>
        <v>4.5378560551852569</v>
      </c>
      <c r="AV55" s="2">
        <f t="shared" si="41"/>
        <v>9.4177092087421421</v>
      </c>
      <c r="AW55" s="2">
        <f t="shared" si="42"/>
        <v>2.8003839133749802</v>
      </c>
      <c r="AX55" s="2">
        <f t="shared" si="43"/>
        <v>3.0284160039533372</v>
      </c>
      <c r="AY55" s="2">
        <f t="shared" si="44"/>
        <v>14.141986602241836</v>
      </c>
      <c r="AZ55" s="2">
        <f t="shared" si="45"/>
        <v>12.577555703453921</v>
      </c>
      <c r="BA55" s="2">
        <f t="shared" si="46"/>
        <v>10.510440717640096</v>
      </c>
      <c r="BB55" s="2">
        <f t="shared" si="47"/>
        <v>2.9935617727987793</v>
      </c>
      <c r="BC55" s="2">
        <f t="shared" si="48"/>
        <v>16.842654549378707</v>
      </c>
    </row>
    <row r="56" spans="1:55" x14ac:dyDescent="0.25">
      <c r="A56" s="16" t="s">
        <v>2247</v>
      </c>
      <c r="B56" s="33" t="str">
        <f>VLOOKUP(Tabla48[[#This Row],[CAS]],Tabla1[],2,FALSE)</f>
        <v>Tetrahydrofuran (THF)</v>
      </c>
      <c r="C56" s="2">
        <f>VLOOKUP(Tabla48[[#This Row],[CAS]],Tabla1[],3,FALSE)</f>
        <v>16.8</v>
      </c>
      <c r="D56" s="2">
        <f>VLOOKUP(Tabla48[[#This Row],[CAS]],Tabla1[],4,FALSE)</f>
        <v>5.7</v>
      </c>
      <c r="E56" s="2">
        <f>VLOOKUP(Tabla48[[#This Row],[CAS]],Tabla1[],5,FALSE)</f>
        <v>8</v>
      </c>
      <c r="F56" s="2">
        <f>VLOOKUP(Tabla48[[#This Row],[CAS]],Tabla1[],6,FALSE)</f>
        <v>81.900000000000006</v>
      </c>
      <c r="G56" s="2" t="str">
        <f t="shared" si="30"/>
        <v/>
      </c>
      <c r="H56" s="2" t="b">
        <f>ISNUMBER(SEARCH("w",Tabla48[[#This Row],[WI/WO]]))</f>
        <v>0</v>
      </c>
      <c r="I56" s="2">
        <f t="shared" si="49"/>
        <v>1</v>
      </c>
      <c r="J56" s="5">
        <f t="shared" si="40"/>
        <v>0.66488998597356552</v>
      </c>
      <c r="K56" s="5">
        <f t="shared" si="33"/>
        <v>1.1480844848592999</v>
      </c>
      <c r="L56" s="21">
        <v>1</v>
      </c>
      <c r="M56" s="5">
        <f t="shared" si="50"/>
        <v>3.8723881531721984</v>
      </c>
      <c r="N56" s="5">
        <f t="shared" si="51"/>
        <v>1</v>
      </c>
      <c r="O56" s="5">
        <f t="shared" si="52"/>
        <v>6.0366590745270203</v>
      </c>
      <c r="P56" s="5">
        <f t="shared" si="38"/>
        <v>0.45903344761757237</v>
      </c>
      <c r="R56" s="5">
        <f t="shared" si="39"/>
        <v>1</v>
      </c>
      <c r="S56" s="5"/>
      <c r="AT56" s="2">
        <v>265</v>
      </c>
      <c r="AU56" s="2">
        <f>RADIANS(Tabla911[[#This Row],[Angle º]])</f>
        <v>4.6251225177849733</v>
      </c>
      <c r="AV56" s="2">
        <f t="shared" si="41"/>
        <v>9.3513904610439678</v>
      </c>
      <c r="AW56" s="2">
        <f t="shared" si="42"/>
        <v>3.3041248139541666</v>
      </c>
      <c r="AX56" s="2">
        <f t="shared" si="43"/>
        <v>2.9620972562551628</v>
      </c>
      <c r="AY56" s="2">
        <f t="shared" si="44"/>
        <v>14.645727502821023</v>
      </c>
      <c r="AZ56" s="2">
        <f t="shared" si="45"/>
        <v>12.517682840217766</v>
      </c>
      <c r="BA56" s="2">
        <f t="shared" si="46"/>
        <v>10.965220264806739</v>
      </c>
      <c r="BB56" s="2">
        <f t="shared" si="47"/>
        <v>2.9336889095626253</v>
      </c>
      <c r="BC56" s="2">
        <f t="shared" si="48"/>
        <v>17.297434096545352</v>
      </c>
    </row>
    <row r="57" spans="1:55" x14ac:dyDescent="0.25">
      <c r="A57" s="16" t="s">
        <v>2289</v>
      </c>
      <c r="B57" s="33" t="str">
        <f>VLOOKUP(Tabla48[[#This Row],[CAS]],Tabla1[],2,FALSE)</f>
        <v>Toluene</v>
      </c>
      <c r="C57" s="2">
        <f>VLOOKUP(Tabla48[[#This Row],[CAS]],Tabla1[],3,FALSE)</f>
        <v>18</v>
      </c>
      <c r="D57" s="2">
        <f>VLOOKUP(Tabla48[[#This Row],[CAS]],Tabla1[],4,FALSE)</f>
        <v>1.4</v>
      </c>
      <c r="E57" s="2">
        <f>VLOOKUP(Tabla48[[#This Row],[CAS]],Tabla1[],5,FALSE)</f>
        <v>2</v>
      </c>
      <c r="F57" s="2">
        <f>VLOOKUP(Tabla48[[#This Row],[CAS]],Tabla1[],6,FALSE)</f>
        <v>106.6</v>
      </c>
      <c r="G57" s="2" t="str">
        <f t="shared" si="30"/>
        <v/>
      </c>
      <c r="H57" s="2" t="b">
        <f>ISNUMBER(SEARCH("w",Tabla48[[#This Row],[WI/WO]]))</f>
        <v>0</v>
      </c>
      <c r="I57" s="2">
        <f t="shared" si="49"/>
        <v>0</v>
      </c>
      <c r="J57" s="5">
        <f t="shared" si="40"/>
        <v>1.5734969960074134</v>
      </c>
      <c r="K57" s="5">
        <f t="shared" si="33"/>
        <v>2.240631149275996</v>
      </c>
      <c r="L57" s="21">
        <v>0</v>
      </c>
      <c r="M57" s="5">
        <f t="shared" si="50"/>
        <v>9.164209500717913</v>
      </c>
      <c r="N57" s="5">
        <f t="shared" si="51"/>
        <v>1</v>
      </c>
      <c r="O57" s="5">
        <f t="shared" si="52"/>
        <v>11.781298796666935</v>
      </c>
      <c r="P57" s="5">
        <f t="shared" si="38"/>
        <v>1</v>
      </c>
      <c r="R57" s="5">
        <f t="shared" si="39"/>
        <v>1</v>
      </c>
      <c r="S57" s="5"/>
      <c r="AT57" s="2">
        <v>270</v>
      </c>
      <c r="AU57" s="2">
        <f>RADIANS(Tabla911[[#This Row],[Angle º]])</f>
        <v>4.7123889803846897</v>
      </c>
      <c r="AV57" s="2">
        <f t="shared" si="41"/>
        <v>9.3292279885453162</v>
      </c>
      <c r="AW57" s="2">
        <f t="shared" si="42"/>
        <v>3.8117288880368423</v>
      </c>
      <c r="AX57" s="2">
        <f t="shared" si="43"/>
        <v>2.9399347837565113</v>
      </c>
      <c r="AY57" s="2">
        <f t="shared" si="44"/>
        <v>15.153331576903698</v>
      </c>
      <c r="AZ57" s="2">
        <f t="shared" si="45"/>
        <v>12.497674460522092</v>
      </c>
      <c r="BA57" s="2">
        <f t="shared" si="46"/>
        <v>11.423487502360489</v>
      </c>
      <c r="BB57" s="2">
        <f t="shared" si="47"/>
        <v>2.9136805298669497</v>
      </c>
      <c r="BC57" s="2">
        <f t="shared" si="48"/>
        <v>17.755701334099104</v>
      </c>
    </row>
    <row r="58" spans="1:55" x14ac:dyDescent="0.25">
      <c r="A58" s="16" t="s">
        <v>2313</v>
      </c>
      <c r="B58" s="33" t="str">
        <f>VLOOKUP(Tabla48[[#This Row],[CAS]],Tabla1[],2,FALSE)</f>
        <v>Trichloroethylene</v>
      </c>
      <c r="C58" s="2">
        <f>VLOOKUP(Tabla48[[#This Row],[CAS]],Tabla1[],3,FALSE)</f>
        <v>18</v>
      </c>
      <c r="D58" s="2">
        <f>VLOOKUP(Tabla48[[#This Row],[CAS]],Tabla1[],4,FALSE)</f>
        <v>3.1</v>
      </c>
      <c r="E58" s="2">
        <f>VLOOKUP(Tabla48[[#This Row],[CAS]],Tabla1[],5,FALSE)</f>
        <v>5.3</v>
      </c>
      <c r="F58" s="2" t="str">
        <f>VLOOKUP(Tabla48[[#This Row],[CAS]],Tabla1[],6,FALSE)</f>
        <v/>
      </c>
      <c r="G58" s="2" t="str">
        <f t="shared" si="30"/>
        <v/>
      </c>
      <c r="H58" s="2" t="b">
        <f>ISNUMBER(SEARCH("w",Tabla48[[#This Row],[WI/WO]]))</f>
        <v>0</v>
      </c>
      <c r="I58" s="2">
        <f t="shared" si="49"/>
        <v>0</v>
      </c>
      <c r="J58" s="5">
        <f t="shared" si="40"/>
        <v>1.1507785827223147</v>
      </c>
      <c r="K58" s="5">
        <f t="shared" si="33"/>
        <v>1.6771493179992498</v>
      </c>
      <c r="L58" s="21">
        <v>0</v>
      </c>
      <c r="M58" s="5">
        <f t="shared" si="50"/>
        <v>6.7022536730390083</v>
      </c>
      <c r="N58" s="5">
        <f t="shared" si="51"/>
        <v>1</v>
      </c>
      <c r="O58" s="5">
        <f t="shared" si="52"/>
        <v>8.8184961850414147</v>
      </c>
      <c r="P58" s="5">
        <f t="shared" si="38"/>
        <v>1</v>
      </c>
      <c r="R58" s="5">
        <f t="shared" si="39"/>
        <v>1</v>
      </c>
      <c r="S58" s="5"/>
      <c r="AT58" s="2">
        <v>275</v>
      </c>
      <c r="AU58" s="2">
        <f>RADIANS(Tabla911[[#This Row],[Angle º]])</f>
        <v>4.7996554429844061</v>
      </c>
      <c r="AV58" s="2">
        <f t="shared" si="41"/>
        <v>9.3513904610439678</v>
      </c>
      <c r="AW58" s="2">
        <f t="shared" si="42"/>
        <v>4.3193329621195176</v>
      </c>
      <c r="AX58" s="2">
        <f t="shared" si="43"/>
        <v>2.9620972562551628</v>
      </c>
      <c r="AY58" s="2">
        <f t="shared" si="44"/>
        <v>15.660935650986374</v>
      </c>
      <c r="AZ58" s="2">
        <f t="shared" si="45"/>
        <v>12.517682840217766</v>
      </c>
      <c r="BA58" s="2">
        <f t="shared" si="46"/>
        <v>11.881754739914241</v>
      </c>
      <c r="BB58" s="2">
        <f t="shared" si="47"/>
        <v>2.9336889095626253</v>
      </c>
      <c r="BC58" s="2">
        <f t="shared" si="48"/>
        <v>18.213968571652853</v>
      </c>
    </row>
    <row r="59" spans="1:55" x14ac:dyDescent="0.25">
      <c r="A59" s="16" t="s">
        <v>2341</v>
      </c>
      <c r="B59" s="33" t="str">
        <f>VLOOKUP(Tabla48[[#This Row],[CAS]],Tabla1[],2,FALSE)</f>
        <v>Triethylphosphate</v>
      </c>
      <c r="C59" s="2">
        <f>VLOOKUP(Tabla48[[#This Row],[CAS]],Tabla1[],3,FALSE)</f>
        <v>16.7</v>
      </c>
      <c r="D59" s="2">
        <f>VLOOKUP(Tabla48[[#This Row],[CAS]],Tabla1[],4,FALSE)</f>
        <v>11.4</v>
      </c>
      <c r="E59" s="2">
        <f>VLOOKUP(Tabla48[[#This Row],[CAS]],Tabla1[],5,FALSE)</f>
        <v>9.1999999999999993</v>
      </c>
      <c r="F59" s="2" t="str">
        <f>VLOOKUP(Tabla48[[#This Row],[CAS]],Tabla1[],6,FALSE)</f>
        <v/>
      </c>
      <c r="G59" s="2" t="str">
        <f t="shared" si="30"/>
        <v/>
      </c>
      <c r="H59" s="2" t="b">
        <f>ISNUMBER(SEARCH("w",Tabla48[[#This Row],[WI/WO]]))</f>
        <v>0</v>
      </c>
      <c r="I59" s="2">
        <f t="shared" si="49"/>
        <v>1</v>
      </c>
      <c r="J59" s="5">
        <f t="shared" ref="J59:J75" si="53">IF(L59&lt;&gt;"",M59/R_,"")</f>
        <v>1.4089953948259473</v>
      </c>
      <c r="K59" s="5">
        <f t="shared" si="33"/>
        <v>0.44667093704390787</v>
      </c>
      <c r="L59" s="21">
        <v>1</v>
      </c>
      <c r="M59" s="5">
        <f t="shared" si="50"/>
        <v>8.206135134986237</v>
      </c>
      <c r="N59" s="5">
        <f t="shared" si="51"/>
        <v>9.2362747553954183E-2</v>
      </c>
      <c r="O59" s="5">
        <f t="shared" si="52"/>
        <v>2.3486077906226934</v>
      </c>
      <c r="P59" s="5">
        <f t="shared" si="38"/>
        <v>1</v>
      </c>
      <c r="R59" s="5">
        <f t="shared" si="39"/>
        <v>1</v>
      </c>
      <c r="S59" s="5"/>
      <c r="AT59" s="2">
        <v>280</v>
      </c>
      <c r="AU59" s="2">
        <f>RADIANS(Tabla911[[#This Row],[Angle º]])</f>
        <v>4.8869219055841224</v>
      </c>
      <c r="AV59" s="2">
        <f t="shared" si="41"/>
        <v>9.4177092087421421</v>
      </c>
      <c r="AW59" s="2">
        <f t="shared" si="42"/>
        <v>4.8230738626987044</v>
      </c>
      <c r="AX59" s="2">
        <f t="shared" si="43"/>
        <v>3.0284160039533363</v>
      </c>
      <c r="AY59" s="2">
        <f t="shared" si="44"/>
        <v>16.164676551565559</v>
      </c>
      <c r="AZ59" s="2">
        <f t="shared" si="45"/>
        <v>12.577555703453921</v>
      </c>
      <c r="BA59" s="2">
        <f t="shared" si="46"/>
        <v>12.336534287080884</v>
      </c>
      <c r="BB59" s="2">
        <f t="shared" si="47"/>
        <v>2.9935617727987784</v>
      </c>
      <c r="BC59" s="2">
        <f t="shared" si="48"/>
        <v>18.668748118819497</v>
      </c>
    </row>
    <row r="60" spans="1:55" x14ac:dyDescent="0.25">
      <c r="A60" s="16" t="s">
        <v>384</v>
      </c>
      <c r="B60" s="33" t="str">
        <f>VLOOKUP(Tabla48[[#This Row],[CAS]],Tabla1[],2,FALSE)</f>
        <v>2,2,4-Trimethylpentane</v>
      </c>
      <c r="C60" s="2">
        <f>VLOOKUP(Tabla48[[#This Row],[CAS]],Tabla1[],3,FALSE)</f>
        <v>14.1</v>
      </c>
      <c r="D60" s="2">
        <f>VLOOKUP(Tabla48[[#This Row],[CAS]],Tabla1[],4,FALSE)</f>
        <v>0</v>
      </c>
      <c r="E60" s="2">
        <f>VLOOKUP(Tabla48[[#This Row],[CAS]],Tabla1[],5,FALSE)</f>
        <v>0</v>
      </c>
      <c r="F60" s="2" t="str">
        <f>VLOOKUP(Tabla48[[#This Row],[CAS]],Tabla1[],6,FALSE)</f>
        <v/>
      </c>
      <c r="G60" s="2" t="str">
        <f t="shared" si="30"/>
        <v/>
      </c>
      <c r="H60" s="2" t="b">
        <f>ISNUMBER(SEARCH("w",Tabla48[[#This Row],[WI/WO]]))</f>
        <v>0</v>
      </c>
      <c r="I60" s="2">
        <f t="shared" si="49"/>
        <v>0</v>
      </c>
      <c r="J60" s="5">
        <f t="shared" si="53"/>
        <v>1.6803452424817229</v>
      </c>
      <c r="K60" s="5">
        <f t="shared" si="33"/>
        <v>3.0114793980650272</v>
      </c>
      <c r="L60" s="21">
        <v>0</v>
      </c>
      <c r="M60" s="5">
        <f t="shared" si="50"/>
        <v>9.78650475641874</v>
      </c>
      <c r="N60" s="5">
        <f t="shared" si="51"/>
        <v>1</v>
      </c>
      <c r="O60" s="5">
        <f t="shared" si="52"/>
        <v>15.834439604249438</v>
      </c>
      <c r="P60" s="5">
        <f t="shared" si="38"/>
        <v>1</v>
      </c>
      <c r="R60" s="5">
        <f t="shared" si="39"/>
        <v>1</v>
      </c>
      <c r="S60" s="5"/>
      <c r="AT60" s="2">
        <v>285</v>
      </c>
      <c r="AU60" s="2">
        <f>RADIANS(Tabla911[[#This Row],[Angle º]])</f>
        <v>4.9741883681838388</v>
      </c>
      <c r="AV60" s="2">
        <f t="shared" si="41"/>
        <v>9.5276795059254997</v>
      </c>
      <c r="AW60" s="2">
        <f t="shared" si="42"/>
        <v>5.3191178173539218</v>
      </c>
      <c r="AX60" s="2">
        <f t="shared" si="43"/>
        <v>3.1383863011366948</v>
      </c>
      <c r="AY60" s="2">
        <f t="shared" si="44"/>
        <v>16.660720506220777</v>
      </c>
      <c r="AZ60" s="2">
        <f t="shared" si="45"/>
        <v>12.676837381589101</v>
      </c>
      <c r="BA60" s="2">
        <f t="shared" si="46"/>
        <v>12.784364996903083</v>
      </c>
      <c r="BB60" s="2">
        <f t="shared" si="47"/>
        <v>3.0928434509339588</v>
      </c>
      <c r="BC60" s="2">
        <f t="shared" si="48"/>
        <v>19.116578828641696</v>
      </c>
    </row>
    <row r="61" spans="1:55" x14ac:dyDescent="0.25">
      <c r="A61" s="16" t="s">
        <v>2441</v>
      </c>
      <c r="B61" s="33" t="str">
        <f>VLOOKUP(Tabla48[[#This Row],[CAS]],Tabla1[],2,FALSE)</f>
        <v>Xylene</v>
      </c>
      <c r="C61" s="2">
        <f>VLOOKUP(Tabla48[[#This Row],[CAS]],Tabla1[],3,FALSE)</f>
        <v>17.8</v>
      </c>
      <c r="D61" s="2">
        <f>VLOOKUP(Tabla48[[#This Row],[CAS]],Tabla1[],4,FALSE)</f>
        <v>1</v>
      </c>
      <c r="E61" s="2">
        <f>VLOOKUP(Tabla48[[#This Row],[CAS]],Tabla1[],5,FALSE)</f>
        <v>3.1</v>
      </c>
      <c r="F61" s="2">
        <f>VLOOKUP(Tabla48[[#This Row],[CAS]],Tabla1[],6,FALSE)</f>
        <v>123.9</v>
      </c>
      <c r="G61" s="2" t="str">
        <f t="shared" si="30"/>
        <v/>
      </c>
      <c r="H61" s="2" t="b">
        <f>ISNUMBER(SEARCH("w",Tabla48[[#This Row],[WI/WO]]))</f>
        <v>0</v>
      </c>
      <c r="I61" s="2">
        <f t="shared" si="49"/>
        <v>0</v>
      </c>
      <c r="J61" s="5">
        <f t="shared" si="53"/>
        <v>1.4159448192115345</v>
      </c>
      <c r="K61" s="5">
        <f t="shared" si="33"/>
        <v>2.2046677791931666</v>
      </c>
      <c r="L61" s="21">
        <v>0</v>
      </c>
      <c r="M61" s="5">
        <f t="shared" si="50"/>
        <v>8.2466093024873608</v>
      </c>
      <c r="N61" s="5">
        <f t="shared" si="51"/>
        <v>1</v>
      </c>
      <c r="O61" s="5">
        <f t="shared" si="52"/>
        <v>11.592202430307022</v>
      </c>
      <c r="P61" s="5">
        <f t="shared" si="38"/>
        <v>1</v>
      </c>
      <c r="R61" s="5">
        <f t="shared" si="39"/>
        <v>1</v>
      </c>
      <c r="S61" s="5"/>
      <c r="U61" s="3"/>
      <c r="V61" s="3"/>
      <c r="W61" s="3"/>
      <c r="X61" s="3"/>
      <c r="AT61" s="2">
        <v>290</v>
      </c>
      <c r="AU61" s="2">
        <f>RADIANS(Tabla911[[#This Row],[Angle º]])</f>
        <v>5.0614548307835561</v>
      </c>
      <c r="AV61" s="2">
        <f t="shared" si="41"/>
        <v>9.6804644122305969</v>
      </c>
      <c r="AW61" s="2">
        <f t="shared" si="42"/>
        <v>5.8036896320707205</v>
      </c>
      <c r="AX61" s="2">
        <f t="shared" si="43"/>
        <v>3.291171207441792</v>
      </c>
      <c r="AY61" s="2">
        <f t="shared" si="44"/>
        <v>17.145292320937578</v>
      </c>
      <c r="AZ61" s="2">
        <f t="shared" si="45"/>
        <v>12.814772281104785</v>
      </c>
      <c r="BA61" s="2">
        <f t="shared" si="46"/>
        <v>13.22183860727152</v>
      </c>
      <c r="BB61" s="2">
        <f t="shared" si="47"/>
        <v>3.2307783504496435</v>
      </c>
      <c r="BC61" s="2">
        <f t="shared" si="48"/>
        <v>19.554052439010132</v>
      </c>
    </row>
    <row r="62" spans="1:55" x14ac:dyDescent="0.25">
      <c r="A62" s="16" t="s">
        <v>2042</v>
      </c>
      <c r="B62" s="33" t="str">
        <f>VLOOKUP(Tabla48[[#This Row],[CAS]],Tabla1[],2,FALSE)</f>
        <v>p-Chlorotoluene</v>
      </c>
      <c r="C62" s="2">
        <f>VLOOKUP(Tabla48[[#This Row],[CAS]],Tabla1[],3,FALSE)</f>
        <v>19.100000000000001</v>
      </c>
      <c r="D62" s="2">
        <f>VLOOKUP(Tabla48[[#This Row],[CAS]],Tabla1[],4,FALSE)</f>
        <v>6.2</v>
      </c>
      <c r="E62" s="2">
        <f>VLOOKUP(Tabla48[[#This Row],[CAS]],Tabla1[],5,FALSE)</f>
        <v>2.6</v>
      </c>
      <c r="F62" s="2" t="str">
        <f>VLOOKUP(Tabla48[[#This Row],[CAS]],Tabla1[],6,FALSE)</f>
        <v/>
      </c>
      <c r="G62" s="2" t="str">
        <f t="shared" si="30"/>
        <v/>
      </c>
      <c r="H62" s="2" t="b">
        <f>ISNUMBER(SEARCH("w",Tabla48[[#This Row],[WI/WO]]))</f>
        <v>0</v>
      </c>
      <c r="I62" s="2">
        <f t="shared" si="49"/>
        <v>0</v>
      </c>
      <c r="J62" s="5">
        <f t="shared" si="53"/>
        <v>1.7677953358754768</v>
      </c>
      <c r="K62" s="5">
        <f t="shared" si="33"/>
        <v>1.5398830202520537</v>
      </c>
      <c r="L62" s="21">
        <v>0</v>
      </c>
      <c r="M62" s="5">
        <f t="shared" si="50"/>
        <v>10.295823159155578</v>
      </c>
      <c r="N62" s="5">
        <f t="shared" si="51"/>
        <v>1</v>
      </c>
      <c r="O62" s="5">
        <f t="shared" si="52"/>
        <v>8.0967463026502333</v>
      </c>
      <c r="P62" s="5">
        <f t="shared" si="38"/>
        <v>1</v>
      </c>
      <c r="R62" s="5">
        <f t="shared" si="39"/>
        <v>1</v>
      </c>
      <c r="S62" s="5"/>
      <c r="U62" s="5"/>
      <c r="V62" s="5"/>
      <c r="W62" s="5"/>
      <c r="X62" s="5"/>
      <c r="AT62" s="2">
        <v>295</v>
      </c>
      <c r="AU62" s="2">
        <f>RADIANS(Tabla911[[#This Row],[Angle º]])</f>
        <v>5.1487212933832724</v>
      </c>
      <c r="AV62" s="2">
        <f t="shared" si="41"/>
        <v>9.8749011422664008</v>
      </c>
      <c r="AW62" s="2">
        <f t="shared" si="42"/>
        <v>6.2731014227466346</v>
      </c>
      <c r="AX62" s="2">
        <f t="shared" si="43"/>
        <v>3.4856079374775959</v>
      </c>
      <c r="AY62" s="2">
        <f t="shared" si="44"/>
        <v>17.614704111613491</v>
      </c>
      <c r="AZ62" s="2">
        <f t="shared" si="45"/>
        <v>12.990310634128287</v>
      </c>
      <c r="BA62" s="2">
        <f t="shared" si="46"/>
        <v>13.645625679857492</v>
      </c>
      <c r="BB62" s="2">
        <f t="shared" si="47"/>
        <v>3.406316703473145</v>
      </c>
      <c r="BC62" s="2">
        <f t="shared" si="48"/>
        <v>19.977839511596105</v>
      </c>
    </row>
    <row r="63" spans="1:55" x14ac:dyDescent="0.25">
      <c r="A63" s="16" t="s">
        <v>557</v>
      </c>
      <c r="B63" s="33" t="str">
        <f>VLOOKUP(Tabla48[[#This Row],[CAS]],Tabla1[],2,FALSE)</f>
        <v>2-Methyl Tetrahydrofuran</v>
      </c>
      <c r="C63" s="2">
        <f>VLOOKUP(Tabla48[[#This Row],[CAS]],Tabla1[],3,FALSE)</f>
        <v>16.899999999999999</v>
      </c>
      <c r="D63" s="2">
        <f>VLOOKUP(Tabla48[[#This Row],[CAS]],Tabla1[],4,FALSE)</f>
        <v>5</v>
      </c>
      <c r="E63" s="2">
        <f>VLOOKUP(Tabla48[[#This Row],[CAS]],Tabla1[],5,FALSE)</f>
        <v>4.3</v>
      </c>
      <c r="F63" s="2" t="str">
        <f>VLOOKUP(Tabla48[[#This Row],[CAS]],Tabla1[],6,FALSE)</f>
        <v/>
      </c>
      <c r="G63" s="2" t="str">
        <f t="shared" si="30"/>
        <v/>
      </c>
      <c r="H63" s="2" t="b">
        <f>ISNUMBER(SEARCH("w",Tabla48[[#This Row],[WI/WO]]))</f>
        <v>0</v>
      </c>
      <c r="I63" s="2">
        <f t="shared" si="49"/>
        <v>1</v>
      </c>
      <c r="J63" s="5">
        <f t="shared" si="53"/>
        <v>0.99442503426930262</v>
      </c>
      <c r="K63" s="5">
        <f t="shared" si="33"/>
        <v>1.4630711474073552</v>
      </c>
      <c r="L63" s="21">
        <v>1</v>
      </c>
      <c r="M63" s="5">
        <f t="shared" si="50"/>
        <v>5.7916344104412536</v>
      </c>
      <c r="N63" s="5">
        <f t="shared" si="51"/>
        <v>1</v>
      </c>
      <c r="O63" s="5">
        <f t="shared" si="52"/>
        <v>7.6928674110230286</v>
      </c>
      <c r="P63" s="5">
        <f t="shared" si="38"/>
        <v>8.7611716722315519E-2</v>
      </c>
      <c r="R63" s="5">
        <f t="shared" si="39"/>
        <v>1</v>
      </c>
      <c r="S63" s="5"/>
      <c r="X63" s="5"/>
      <c r="AT63" s="2">
        <v>300</v>
      </c>
      <c r="AU63" s="2">
        <f>RADIANS(Tabla911[[#This Row],[Angle º]])</f>
        <v>5.2359877559829888</v>
      </c>
      <c r="AV63" s="2">
        <f t="shared" si="41"/>
        <v>10.109509915113232</v>
      </c>
      <c r="AW63" s="2">
        <f t="shared" si="42"/>
        <v>6.7237806822160353</v>
      </c>
      <c r="AX63" s="2">
        <f t="shared" si="43"/>
        <v>3.7202167103244284</v>
      </c>
      <c r="AY63" s="2">
        <f t="shared" si="44"/>
        <v>18.065383371082891</v>
      </c>
      <c r="AZ63" s="2">
        <f t="shared" si="45"/>
        <v>13.202116487800144</v>
      </c>
      <c r="BA63" s="2">
        <f t="shared" si="46"/>
        <v>14.052500939148997</v>
      </c>
      <c r="BB63" s="2">
        <f t="shared" si="47"/>
        <v>3.6181225571450009</v>
      </c>
      <c r="BC63" s="2">
        <f t="shared" si="48"/>
        <v>20.384714770887612</v>
      </c>
    </row>
    <row r="64" spans="1:55" x14ac:dyDescent="0.25">
      <c r="A64" s="16" t="s">
        <v>1377</v>
      </c>
      <c r="B64" s="33" t="str">
        <f>VLOOKUP(Tabla48[[#This Row],[CAS]],Tabla1[],2,FALSE)</f>
        <v>Ethyl Aceto Acetate (Keto)</v>
      </c>
      <c r="C64" s="2">
        <f>VLOOKUP(Tabla48[[#This Row],[CAS]],Tabla1[],3,FALSE)</f>
        <v>16.5</v>
      </c>
      <c r="D64" s="2">
        <f>VLOOKUP(Tabla48[[#This Row],[CAS]],Tabla1[],4,FALSE)</f>
        <v>7.3</v>
      </c>
      <c r="E64" s="2">
        <f>VLOOKUP(Tabla48[[#This Row],[CAS]],Tabla1[],5,FALSE)</f>
        <v>8.3000000000000007</v>
      </c>
      <c r="F64" s="2" t="str">
        <f>VLOOKUP(Tabla48[[#This Row],[CAS]],Tabla1[],6,FALSE)</f>
        <v/>
      </c>
      <c r="G64" s="2" t="str">
        <f t="shared" si="30"/>
        <v/>
      </c>
      <c r="H64" s="2" t="b">
        <f>ISNUMBER(SEARCH("w",Tabla48[[#This Row],[WI/WO]]))</f>
        <v>0</v>
      </c>
      <c r="I64" s="2">
        <f t="shared" si="49"/>
        <v>1</v>
      </c>
      <c r="J64" s="5">
        <f t="shared" si="53"/>
        <v>0.76087486518398173</v>
      </c>
      <c r="K64" s="5">
        <f t="shared" si="33"/>
        <v>0.91855323347454954</v>
      </c>
      <c r="L64" s="21">
        <v>1</v>
      </c>
      <c r="M64" s="5">
        <f t="shared" si="50"/>
        <v>4.4314140326097293</v>
      </c>
      <c r="N64" s="5">
        <f t="shared" si="51"/>
        <v>1</v>
      </c>
      <c r="O64" s="5">
        <f t="shared" si="52"/>
        <v>4.8297775864202412</v>
      </c>
      <c r="P64" s="5">
        <f t="shared" si="38"/>
        <v>1</v>
      </c>
      <c r="R64" s="5">
        <f t="shared" si="39"/>
        <v>1</v>
      </c>
      <c r="S64" s="5"/>
      <c r="AT64" s="2">
        <v>305</v>
      </c>
      <c r="AU64" s="2">
        <f>RADIANS(Tabla911[[#This Row],[Angle º]])</f>
        <v>5.3232542185827052</v>
      </c>
      <c r="AV64" s="2">
        <f t="shared" si="41"/>
        <v>10.382505216349077</v>
      </c>
      <c r="AW64" s="2">
        <f t="shared" si="42"/>
        <v>7.1522974691867844</v>
      </c>
      <c r="AX64" s="2">
        <f t="shared" si="43"/>
        <v>3.9932120115602725</v>
      </c>
      <c r="AY64" s="2">
        <f t="shared" si="44"/>
        <v>18.493900158053641</v>
      </c>
      <c r="AZ64" s="2">
        <f t="shared" si="45"/>
        <v>13.448577871682037</v>
      </c>
      <c r="BA64" s="2">
        <f t="shared" si="46"/>
        <v>14.439367818744826</v>
      </c>
      <c r="BB64" s="2">
        <f t="shared" si="47"/>
        <v>3.8645839410268961</v>
      </c>
      <c r="BC64" s="2">
        <f t="shared" si="48"/>
        <v>20.771581650483441</v>
      </c>
    </row>
    <row r="65" spans="1:55" x14ac:dyDescent="0.25">
      <c r="A65" s="16" t="s">
        <v>1755</v>
      </c>
      <c r="B65" s="33" t="str">
        <f>VLOOKUP(Tabla48[[#This Row],[CAS]],Tabla1[],2,FALSE)</f>
        <v>Methyl Aceto Acetate</v>
      </c>
      <c r="C65" s="2">
        <f>VLOOKUP(Tabla48[[#This Row],[CAS]],Tabla1[],3,FALSE)</f>
        <v>16.399999999999999</v>
      </c>
      <c r="D65" s="2">
        <f>VLOOKUP(Tabla48[[#This Row],[CAS]],Tabla1[],4,FALSE)</f>
        <v>8.6</v>
      </c>
      <c r="E65" s="2">
        <f>VLOOKUP(Tabla48[[#This Row],[CAS]],Tabla1[],5,FALSE)</f>
        <v>8.9</v>
      </c>
      <c r="F65" s="2" t="str">
        <f>VLOOKUP(Tabla48[[#This Row],[CAS]],Tabla1[],6,FALSE)</f>
        <v/>
      </c>
      <c r="G65" s="2" t="str">
        <f t="shared" si="30"/>
        <v/>
      </c>
      <c r="H65" s="2" t="b">
        <f>ISNUMBER(SEARCH("w",Tabla48[[#This Row],[WI/WO]]))</f>
        <v>0</v>
      </c>
      <c r="I65" s="2">
        <f t="shared" si="49"/>
        <v>1</v>
      </c>
      <c r="J65" s="5">
        <f t="shared" si="53"/>
        <v>0.92722510035765937</v>
      </c>
      <c r="K65" s="5">
        <f t="shared" si="33"/>
        <v>0.75726749042803154</v>
      </c>
      <c r="L65" s="21">
        <v>1</v>
      </c>
      <c r="M65" s="5">
        <f t="shared" si="50"/>
        <v>5.4002550342090059</v>
      </c>
      <c r="N65" s="5">
        <f t="shared" si="51"/>
        <v>1</v>
      </c>
      <c r="O65" s="5">
        <f t="shared" si="52"/>
        <v>3.9817328151568128</v>
      </c>
      <c r="P65" s="5">
        <f t="shared" si="38"/>
        <v>1</v>
      </c>
      <c r="R65" s="5">
        <f t="shared" si="39"/>
        <v>1</v>
      </c>
      <c r="S65" s="5"/>
      <c r="AT65" s="2">
        <v>310</v>
      </c>
      <c r="AU65" s="2">
        <f>RADIANS(Tabla911[[#This Row],[Angle º]])</f>
        <v>5.4105206811824216</v>
      </c>
      <c r="AV65" s="2">
        <f t="shared" si="41"/>
        <v>10.691809386892459</v>
      </c>
      <c r="AW65" s="2">
        <f t="shared" si="42"/>
        <v>7.5553905121645242</v>
      </c>
      <c r="AX65" s="2">
        <f t="shared" si="43"/>
        <v>4.3025161821036546</v>
      </c>
      <c r="AY65" s="2">
        <f t="shared" si="44"/>
        <v>18.896993201031382</v>
      </c>
      <c r="AZ65" s="2">
        <f t="shared" si="45"/>
        <v>13.72781906582518</v>
      </c>
      <c r="BA65" s="2">
        <f t="shared" si="46"/>
        <v>14.803282028094646</v>
      </c>
      <c r="BB65" s="2">
        <f t="shared" si="47"/>
        <v>4.1438251351700384</v>
      </c>
      <c r="BC65" s="2">
        <f t="shared" si="48"/>
        <v>21.135495859833259</v>
      </c>
    </row>
    <row r="66" spans="1:55" x14ac:dyDescent="0.25">
      <c r="A66" s="16" t="s">
        <v>2134</v>
      </c>
      <c r="B66" s="33" t="str">
        <f>VLOOKUP(Tabla48[[#This Row],[CAS]],Tabla1[],2,FALSE)</f>
        <v>Propionic Anhydride</v>
      </c>
      <c r="C66" s="2">
        <f>VLOOKUP(Tabla48[[#This Row],[CAS]],Tabla1[],3,FALSE)</f>
        <v>15.8</v>
      </c>
      <c r="D66" s="2">
        <f>VLOOKUP(Tabla48[[#This Row],[CAS]],Tabla1[],4,FALSE)</f>
        <v>9</v>
      </c>
      <c r="E66" s="2">
        <f>VLOOKUP(Tabla48[[#This Row],[CAS]],Tabla1[],5,FALSE)</f>
        <v>7.7</v>
      </c>
      <c r="F66" s="2" t="str">
        <f>VLOOKUP(Tabla48[[#This Row],[CAS]],Tabla1[],6,FALSE)</f>
        <v/>
      </c>
      <c r="G66" s="2" t="str">
        <f t="shared" si="30"/>
        <v/>
      </c>
      <c r="H66" s="2" t="b">
        <f>ISNUMBER(SEARCH("w",Tabla48[[#This Row],[WI/WO]]))</f>
        <v>0</v>
      </c>
      <c r="I66" s="2">
        <f t="shared" si="49"/>
        <v>1</v>
      </c>
      <c r="J66" s="5">
        <f t="shared" si="53"/>
        <v>0.93609005569806536</v>
      </c>
      <c r="K66" s="5">
        <f t="shared" si="33"/>
        <v>0.87969480730879002</v>
      </c>
      <c r="L66" s="21">
        <v>1</v>
      </c>
      <c r="M66" s="5">
        <f t="shared" si="50"/>
        <v>5.4518854524177014</v>
      </c>
      <c r="N66" s="5">
        <f t="shared" si="51"/>
        <v>1</v>
      </c>
      <c r="O66" s="5">
        <f t="shared" si="52"/>
        <v>4.62545893737577</v>
      </c>
      <c r="P66" s="5">
        <f t="shared" si="38"/>
        <v>1</v>
      </c>
      <c r="R66" s="5">
        <f t="shared" si="39"/>
        <v>1</v>
      </c>
      <c r="S66" s="5"/>
      <c r="AT66" s="2">
        <v>315</v>
      </c>
      <c r="AU66" s="2">
        <f>RADIANS(Tabla911[[#This Row],[Angle º]])</f>
        <v>5.497787143782138</v>
      </c>
      <c r="AV66" s="2">
        <f t="shared" si="41"/>
        <v>11.035068435242582</v>
      </c>
      <c r="AW66" s="2">
        <f t="shared" si="42"/>
        <v>7.92999202969796</v>
      </c>
      <c r="AX66" s="2">
        <f t="shared" si="43"/>
        <v>4.6457752304537765</v>
      </c>
      <c r="AY66" s="2">
        <f t="shared" si="44"/>
        <v>19.271594718564817</v>
      </c>
      <c r="AZ66" s="2">
        <f t="shared" si="45"/>
        <v>14.037714876131696</v>
      </c>
      <c r="BA66" s="2">
        <f t="shared" si="46"/>
        <v>15.141473960327897</v>
      </c>
      <c r="BB66" s="2">
        <f t="shared" si="47"/>
        <v>4.4537209454765545</v>
      </c>
      <c r="BC66" s="2">
        <f t="shared" si="48"/>
        <v>21.47368779206651</v>
      </c>
    </row>
    <row r="67" spans="1:55" x14ac:dyDescent="0.25">
      <c r="A67" s="16" t="s">
        <v>1303</v>
      </c>
      <c r="B67" s="33" t="str">
        <f>VLOOKUP(Tabla48[[#This Row],[CAS]],Tabla1[],2,FALSE)</f>
        <v>Dimethyl Maleate</v>
      </c>
      <c r="C67" s="2">
        <f>VLOOKUP(Tabla48[[#This Row],[CAS]],Tabla1[],3,FALSE)</f>
        <v>16.3</v>
      </c>
      <c r="D67" s="2">
        <f>VLOOKUP(Tabla48[[#This Row],[CAS]],Tabla1[],4,FALSE)</f>
        <v>8.3000000000000007</v>
      </c>
      <c r="E67" s="2">
        <f>VLOOKUP(Tabla48[[#This Row],[CAS]],Tabla1[],5,FALSE)</f>
        <v>9.8000000000000007</v>
      </c>
      <c r="F67" s="2" t="str">
        <f>VLOOKUP(Tabla48[[#This Row],[CAS]],Tabla1[],6,FALSE)</f>
        <v/>
      </c>
      <c r="G67" s="2" t="str">
        <f t="shared" ref="G67" si="54">IF(L67=1,IF(OR(J67&lt;=1,K67&lt;=1),"","WO"),IF(L67=0,IF(OR(J67&lt;1,K67&lt;1),"WI",""),""))</f>
        <v>WI</v>
      </c>
      <c r="H67" s="2" t="b">
        <f>ISNUMBER(SEARCH("w",Tabla48[[#This Row],[WI/WO]]))</f>
        <v>1</v>
      </c>
      <c r="I67" s="2">
        <f t="shared" si="49"/>
        <v>0</v>
      </c>
      <c r="J67" s="5">
        <f t="shared" ref="J67" si="55">IF(L67&lt;&gt;"",M67/R_,"")</f>
        <v>0.88350057894733192</v>
      </c>
      <c r="K67" s="5">
        <f t="shared" ref="K67" si="56">IF(L67&lt;&gt;"",O67/$F$4,"")</f>
        <v>0.86912394743181842</v>
      </c>
      <c r="L67" s="21">
        <v>0</v>
      </c>
      <c r="M67" s="5">
        <f t="shared" si="50"/>
        <v>5.1455988921638651</v>
      </c>
      <c r="N67" s="5">
        <f t="shared" si="51"/>
        <v>0.50737510534555008</v>
      </c>
      <c r="O67" s="5">
        <f t="shared" si="52"/>
        <v>4.5698770720658359</v>
      </c>
      <c r="P67" s="5">
        <f t="shared" si="38"/>
        <v>0.50250494338702445</v>
      </c>
      <c r="R67" s="5">
        <f t="shared" si="39"/>
        <v>0.50250494338702445</v>
      </c>
      <c r="S67" s="5"/>
      <c r="V67" s="5"/>
      <c r="AT67" s="2">
        <v>320</v>
      </c>
      <c r="AU67" s="2">
        <f>RADIANS(Tabla911[[#This Row],[Angle º]])</f>
        <v>5.5850536063818543</v>
      </c>
      <c r="AV67" s="2">
        <f t="shared" ref="AV67:AV75" si="57">$F$3*SIN(AU67)+ dD</f>
        <v>11.409669952776017</v>
      </c>
      <c r="AW67" s="2">
        <f t="shared" ref="AW67:AW75" si="58">$F$3*COS(AU67)+ dP</f>
        <v>8.2732510780480819</v>
      </c>
      <c r="AX67" s="2">
        <f t="shared" ref="AX67:AX75" si="59">$F$3*SIN(AU67)+  dH</f>
        <v>5.0203767479872115</v>
      </c>
      <c r="AY67" s="2">
        <f t="shared" ref="AY67:AY75" si="60">$F$3*COS(AU67)+ dD</f>
        <v>19.614853766914937</v>
      </c>
      <c r="AZ67" s="2">
        <f t="shared" ref="AZ67:AZ75" si="61">$F$4*SIN(AU67)+ $C$4</f>
        <v>14.375906808364947</v>
      </c>
      <c r="BA67" s="2">
        <f t="shared" si="46"/>
        <v>15.451369770634413</v>
      </c>
      <c r="BB67" s="2">
        <f t="shared" ref="BB67:BB75" si="62">$F$4*SIN(AU67)+  $E$4</f>
        <v>4.7919128777098052</v>
      </c>
      <c r="BC67" s="2">
        <f t="shared" ref="BC67:BC75" si="63">$F$4*COS(AU67)+ $C$4</f>
        <v>21.783583602373028</v>
      </c>
    </row>
    <row r="68" spans="1:55" x14ac:dyDescent="0.25">
      <c r="L68" s="21"/>
      <c r="M68" s="5">
        <f t="shared" si="50"/>
        <v>0</v>
      </c>
      <c r="N68" s="5">
        <f t="shared" si="51"/>
        <v>1</v>
      </c>
      <c r="O68" s="5">
        <f t="shared" si="52"/>
        <v>0</v>
      </c>
      <c r="P68" s="5">
        <f t="shared" si="38"/>
        <v>1</v>
      </c>
      <c r="R68" s="5">
        <f t="shared" si="39"/>
        <v>1</v>
      </c>
      <c r="S68" s="5"/>
      <c r="V68" s="5"/>
      <c r="AT68" s="2">
        <v>325</v>
      </c>
      <c r="AU68" s="2">
        <f>RADIANS(Tabla911[[#This Row],[Angle º]])</f>
        <v>5.6723200689815707</v>
      </c>
      <c r="AV68" s="2">
        <f t="shared" si="57"/>
        <v>11.812762995753756</v>
      </c>
      <c r="AW68" s="2">
        <f t="shared" si="58"/>
        <v>8.5825552485914649</v>
      </c>
      <c r="AX68" s="2">
        <f t="shared" si="59"/>
        <v>5.4234697909649512</v>
      </c>
      <c r="AY68" s="2">
        <f t="shared" si="60"/>
        <v>19.924157937458322</v>
      </c>
      <c r="AZ68" s="2">
        <f t="shared" si="61"/>
        <v>14.739821017714767</v>
      </c>
      <c r="BA68" s="2">
        <f t="shared" ref="BA68:BA75" si="64">$F$4*COS(AU68)+ $D$4</f>
        <v>15.730610964777556</v>
      </c>
      <c r="BB68" s="2">
        <f t="shared" si="62"/>
        <v>5.1558270870596248</v>
      </c>
      <c r="BC68" s="2">
        <f t="shared" si="63"/>
        <v>22.062824796516168</v>
      </c>
    </row>
    <row r="69" spans="1:55" x14ac:dyDescent="0.25">
      <c r="L69" s="21"/>
      <c r="M69" s="5">
        <f t="shared" si="50"/>
        <v>0</v>
      </c>
      <c r="N69" s="5">
        <f t="shared" si="51"/>
        <v>1</v>
      </c>
      <c r="O69" s="5">
        <f t="shared" si="52"/>
        <v>0</v>
      </c>
      <c r="P69" s="5">
        <f t="shared" si="38"/>
        <v>1</v>
      </c>
      <c r="R69" s="5">
        <f t="shared" si="39"/>
        <v>1</v>
      </c>
      <c r="S69" s="5"/>
      <c r="V69" s="5"/>
      <c r="AT69" s="2">
        <v>330</v>
      </c>
      <c r="AU69" s="2">
        <f>RADIANS(Tabla911[[#This Row],[Angle º]])</f>
        <v>5.7595865315812871</v>
      </c>
      <c r="AV69" s="2">
        <f t="shared" si="57"/>
        <v>12.241279782724504</v>
      </c>
      <c r="AW69" s="2">
        <f t="shared" si="58"/>
        <v>8.8555505498273082</v>
      </c>
      <c r="AX69" s="2">
        <f t="shared" si="59"/>
        <v>5.8519865779357003</v>
      </c>
      <c r="AY69" s="2">
        <f t="shared" si="60"/>
        <v>20.197153238694163</v>
      </c>
      <c r="AZ69" s="2">
        <f t="shared" si="61"/>
        <v>15.126687897310596</v>
      </c>
      <c r="BA69" s="2">
        <f t="shared" si="64"/>
        <v>15.977072348659451</v>
      </c>
      <c r="BB69" s="2">
        <f t="shared" si="62"/>
        <v>5.5426939666554542</v>
      </c>
      <c r="BC69" s="2">
        <f t="shared" si="63"/>
        <v>22.309286180398065</v>
      </c>
    </row>
    <row r="70" spans="1:55" x14ac:dyDescent="0.25">
      <c r="L70" s="21"/>
      <c r="M70" s="5">
        <f t="shared" si="50"/>
        <v>0</v>
      </c>
      <c r="N70" s="5">
        <f t="shared" si="51"/>
        <v>1</v>
      </c>
      <c r="O70" s="5">
        <f t="shared" si="52"/>
        <v>0</v>
      </c>
      <c r="P70" s="5">
        <f t="shared" si="38"/>
        <v>1</v>
      </c>
      <c r="R70" s="5">
        <f t="shared" si="39"/>
        <v>1</v>
      </c>
      <c r="S70" s="5"/>
      <c r="V70" s="5"/>
      <c r="AT70" s="2">
        <v>335</v>
      </c>
      <c r="AU70" s="2">
        <f>RADIANS(Tabla911[[#This Row],[Angle º]])</f>
        <v>5.8468529941810043</v>
      </c>
      <c r="AV70" s="2">
        <f t="shared" si="57"/>
        <v>12.691959042193911</v>
      </c>
      <c r="AW70" s="2">
        <f t="shared" si="58"/>
        <v>9.0901593226741415</v>
      </c>
      <c r="AX70" s="2">
        <f t="shared" si="59"/>
        <v>6.3026658374051063</v>
      </c>
      <c r="AY70" s="2">
        <f t="shared" si="60"/>
        <v>20.431762011540997</v>
      </c>
      <c r="AZ70" s="2">
        <f t="shared" si="61"/>
        <v>15.533563156602103</v>
      </c>
      <c r="BA70" s="2">
        <f t="shared" si="64"/>
        <v>16.18887820233131</v>
      </c>
      <c r="BB70" s="2">
        <f t="shared" si="62"/>
        <v>5.9495692259469619</v>
      </c>
      <c r="BC70" s="2">
        <f t="shared" si="63"/>
        <v>22.521092034069923</v>
      </c>
    </row>
    <row r="71" spans="1:55" x14ac:dyDescent="0.25">
      <c r="L71" s="21"/>
      <c r="M71" s="5">
        <f t="shared" si="50"/>
        <v>0</v>
      </c>
      <c r="N71" s="5">
        <f t="shared" si="51"/>
        <v>1</v>
      </c>
      <c r="O71" s="5">
        <f t="shared" si="52"/>
        <v>0</v>
      </c>
      <c r="P71" s="5">
        <f t="shared" si="38"/>
        <v>1</v>
      </c>
      <c r="R71" s="5">
        <f t="shared" si="39"/>
        <v>1</v>
      </c>
      <c r="S71" s="5"/>
      <c r="V71" s="5"/>
      <c r="W71" s="5"/>
      <c r="X71" s="5"/>
      <c r="Y71" s="5"/>
      <c r="AT71" s="2">
        <v>340</v>
      </c>
      <c r="AU71" s="2">
        <f>RADIANS(Tabla911[[#This Row],[Angle º]])</f>
        <v>5.9341194567807207</v>
      </c>
      <c r="AV71" s="2">
        <f t="shared" si="57"/>
        <v>13.161370832869824</v>
      </c>
      <c r="AW71" s="2">
        <f t="shared" si="58"/>
        <v>9.2845960527099454</v>
      </c>
      <c r="AX71" s="2">
        <f t="shared" si="59"/>
        <v>6.7720776280810195</v>
      </c>
      <c r="AY71" s="2">
        <f t="shared" si="60"/>
        <v>20.6261987415768</v>
      </c>
      <c r="AZ71" s="2">
        <f t="shared" si="61"/>
        <v>15.957350229188076</v>
      </c>
      <c r="BA71" s="2">
        <f t="shared" si="64"/>
        <v>16.364416555354811</v>
      </c>
      <c r="BB71" s="2">
        <f t="shared" si="62"/>
        <v>6.3733562985329355</v>
      </c>
      <c r="BC71" s="2">
        <f t="shared" si="63"/>
        <v>22.696630387093425</v>
      </c>
    </row>
    <row r="72" spans="1:55" x14ac:dyDescent="0.25">
      <c r="B72" s="33"/>
      <c r="J72" s="5" t="str">
        <f t="shared" si="53"/>
        <v/>
      </c>
      <c r="L72" s="21"/>
      <c r="M72" s="5">
        <f t="shared" si="50"/>
        <v>0</v>
      </c>
      <c r="N72" s="5">
        <f t="shared" si="51"/>
        <v>1</v>
      </c>
      <c r="O72" s="5">
        <f t="shared" si="52"/>
        <v>0</v>
      </c>
      <c r="P72" s="5">
        <f t="shared" si="38"/>
        <v>1</v>
      </c>
      <c r="R72" s="5">
        <f t="shared" si="39"/>
        <v>1</v>
      </c>
      <c r="S72" s="5"/>
      <c r="V72" s="5"/>
      <c r="W72" s="5"/>
      <c r="X72" s="5"/>
      <c r="Y72" s="5"/>
      <c r="AT72" s="2">
        <v>345</v>
      </c>
      <c r="AU72" s="2">
        <f>RADIANS(Tabla911[[#This Row],[Angle º]])</f>
        <v>6.0213859193804371</v>
      </c>
      <c r="AV72" s="2">
        <f t="shared" si="57"/>
        <v>13.645942647586619</v>
      </c>
      <c r="AW72" s="2">
        <f t="shared" si="58"/>
        <v>9.4373809590150426</v>
      </c>
      <c r="AX72" s="2">
        <f t="shared" si="59"/>
        <v>7.2566494427978139</v>
      </c>
      <c r="AY72" s="2">
        <f t="shared" si="60"/>
        <v>20.778983647881898</v>
      </c>
      <c r="AZ72" s="2">
        <f t="shared" si="61"/>
        <v>16.394823839556508</v>
      </c>
      <c r="BA72" s="2">
        <f t="shared" si="64"/>
        <v>16.502351454870492</v>
      </c>
      <c r="BB72" s="2">
        <f t="shared" si="62"/>
        <v>6.8108299089013675</v>
      </c>
      <c r="BC72" s="2">
        <f t="shared" si="63"/>
        <v>22.834565286609106</v>
      </c>
    </row>
    <row r="73" spans="1:55" x14ac:dyDescent="0.25">
      <c r="B73" s="33"/>
      <c r="J73" s="5" t="str">
        <f t="shared" si="53"/>
        <v/>
      </c>
      <c r="L73" s="21"/>
      <c r="M73" s="5">
        <f t="shared" si="50"/>
        <v>0</v>
      </c>
      <c r="N73" s="5">
        <f t="shared" si="51"/>
        <v>1</v>
      </c>
      <c r="O73" s="5">
        <f t="shared" si="52"/>
        <v>0</v>
      </c>
      <c r="P73" s="5">
        <f t="shared" si="38"/>
        <v>1</v>
      </c>
      <c r="R73" s="5">
        <f t="shared" si="39"/>
        <v>1</v>
      </c>
      <c r="S73" s="5"/>
      <c r="V73" s="5"/>
      <c r="AT73" s="2">
        <v>350</v>
      </c>
      <c r="AU73" s="2">
        <f>RADIANS(Tabla911[[#This Row],[Angle º]])</f>
        <v>6.1086523819801535</v>
      </c>
      <c r="AV73" s="2">
        <f t="shared" si="57"/>
        <v>14.141986602241836</v>
      </c>
      <c r="AW73" s="2">
        <f t="shared" si="58"/>
        <v>9.5473512561984002</v>
      </c>
      <c r="AX73" s="2">
        <f t="shared" si="59"/>
        <v>7.7526933974530312</v>
      </c>
      <c r="AY73" s="2">
        <f t="shared" si="60"/>
        <v>20.888953945065257</v>
      </c>
      <c r="AZ73" s="2">
        <f t="shared" si="61"/>
        <v>16.842654549378707</v>
      </c>
      <c r="BA73" s="2">
        <f t="shared" si="64"/>
        <v>16.601633133005674</v>
      </c>
      <c r="BB73" s="2">
        <f t="shared" si="62"/>
        <v>7.2586606187235665</v>
      </c>
      <c r="BC73" s="2">
        <f t="shared" si="63"/>
        <v>22.933846964744287</v>
      </c>
    </row>
    <row r="74" spans="1:55" x14ac:dyDescent="0.25">
      <c r="B74" s="33"/>
      <c r="J74" s="5" t="str">
        <f t="shared" si="53"/>
        <v/>
      </c>
      <c r="L74" s="21"/>
      <c r="M74" s="5">
        <f t="shared" si="50"/>
        <v>0</v>
      </c>
      <c r="N74" s="5">
        <f t="shared" si="51"/>
        <v>1</v>
      </c>
      <c r="O74" s="5">
        <f t="shared" si="52"/>
        <v>0</v>
      </c>
      <c r="P74" s="5">
        <f t="shared" si="38"/>
        <v>1</v>
      </c>
      <c r="R74" s="5">
        <f t="shared" si="39"/>
        <v>1</v>
      </c>
      <c r="S74" s="5"/>
      <c r="V74" s="5"/>
      <c r="AT74" s="2">
        <v>355</v>
      </c>
      <c r="AU74" s="2">
        <f>RADIANS(Tabla911[[#This Row],[Angle º]])</f>
        <v>6.1959188445798699</v>
      </c>
      <c r="AV74" s="2">
        <f t="shared" si="57"/>
        <v>14.645727502821023</v>
      </c>
      <c r="AW74" s="2">
        <f t="shared" si="58"/>
        <v>9.6136700038965746</v>
      </c>
      <c r="AX74" s="2">
        <f t="shared" si="59"/>
        <v>8.2564342980322181</v>
      </c>
      <c r="AY74" s="2">
        <f t="shared" si="60"/>
        <v>20.95527269276343</v>
      </c>
      <c r="AZ74" s="2">
        <f t="shared" si="61"/>
        <v>17.297434096545352</v>
      </c>
      <c r="BA74" s="2">
        <f t="shared" si="64"/>
        <v>16.661505996241829</v>
      </c>
      <c r="BB74" s="2">
        <f t="shared" si="62"/>
        <v>7.7134401658902103</v>
      </c>
      <c r="BC74" s="2">
        <f t="shared" si="63"/>
        <v>22.993719827980442</v>
      </c>
    </row>
    <row r="75" spans="1:55" x14ac:dyDescent="0.25">
      <c r="B75" s="33"/>
      <c r="J75" s="5" t="str">
        <f t="shared" si="53"/>
        <v/>
      </c>
      <c r="L75" s="21"/>
      <c r="M75" s="5">
        <f t="shared" si="50"/>
        <v>0</v>
      </c>
      <c r="N75" s="5">
        <f t="shared" si="51"/>
        <v>1</v>
      </c>
      <c r="O75" s="5">
        <f t="shared" si="52"/>
        <v>0</v>
      </c>
      <c r="P75" s="5">
        <f t="shared" si="38"/>
        <v>1</v>
      </c>
      <c r="R75" s="5">
        <f t="shared" si="39"/>
        <v>1</v>
      </c>
      <c r="S75" s="5"/>
      <c r="V75" s="5"/>
      <c r="AT75" s="2">
        <v>360</v>
      </c>
      <c r="AU75" s="2">
        <f>RADIANS(Tabla911[[#This Row],[Angle º]])</f>
        <v>6.2831853071795862</v>
      </c>
      <c r="AV75" s="2">
        <f t="shared" si="57"/>
        <v>15.153331576903698</v>
      </c>
      <c r="AW75" s="2">
        <f t="shared" si="58"/>
        <v>9.6358324763952261</v>
      </c>
      <c r="AX75" s="2">
        <f t="shared" si="59"/>
        <v>8.7640383721148929</v>
      </c>
      <c r="AY75" s="2">
        <f t="shared" si="60"/>
        <v>20.977435165262083</v>
      </c>
      <c r="AZ75" s="2">
        <f t="shared" si="61"/>
        <v>17.755701334099104</v>
      </c>
      <c r="BA75" s="2">
        <f t="shared" si="64"/>
        <v>16.681514375937503</v>
      </c>
      <c r="BB75" s="2">
        <f t="shared" si="62"/>
        <v>8.1717074034439605</v>
      </c>
      <c r="BC75" s="2">
        <f t="shared" si="63"/>
        <v>23.013728207676117</v>
      </c>
    </row>
    <row r="76" spans="1:55" x14ac:dyDescent="0.25">
      <c r="L76" s="21"/>
      <c r="M76" s="5">
        <f t="shared" si="50"/>
        <v>0</v>
      </c>
      <c r="N76" s="5">
        <f t="shared" si="51"/>
        <v>1</v>
      </c>
      <c r="O76" s="5">
        <f t="shared" si="52"/>
        <v>0</v>
      </c>
      <c r="P76" s="5">
        <f t="shared" si="38"/>
        <v>1</v>
      </c>
      <c r="R76" s="5">
        <f t="shared" si="39"/>
        <v>1</v>
      </c>
      <c r="S76" s="5"/>
      <c r="V76" s="5"/>
    </row>
    <row r="77" spans="1:55" x14ac:dyDescent="0.25">
      <c r="L77" s="21"/>
      <c r="M77" s="5">
        <f t="shared" si="50"/>
        <v>0</v>
      </c>
      <c r="N77" s="5">
        <f t="shared" si="51"/>
        <v>1</v>
      </c>
      <c r="O77" s="5">
        <f t="shared" si="52"/>
        <v>0</v>
      </c>
      <c r="P77" s="5">
        <f t="shared" si="38"/>
        <v>1</v>
      </c>
      <c r="R77" s="5">
        <f t="shared" si="39"/>
        <v>1</v>
      </c>
      <c r="S77" s="5"/>
      <c r="V77" s="5"/>
    </row>
    <row r="78" spans="1:55" x14ac:dyDescent="0.25">
      <c r="L78" s="21"/>
      <c r="M78" s="5">
        <f t="shared" si="50"/>
        <v>0</v>
      </c>
      <c r="N78" s="5">
        <f t="shared" si="51"/>
        <v>1</v>
      </c>
      <c r="O78" s="5">
        <f t="shared" si="52"/>
        <v>0</v>
      </c>
      <c r="P78" s="5">
        <f t="shared" si="38"/>
        <v>1</v>
      </c>
      <c r="R78" s="5">
        <f t="shared" si="39"/>
        <v>1</v>
      </c>
      <c r="S78" s="5"/>
      <c r="V78" s="5"/>
    </row>
    <row r="79" spans="1:55" x14ac:dyDescent="0.25">
      <c r="L79" s="21"/>
      <c r="M79" s="5">
        <f t="shared" si="50"/>
        <v>0</v>
      </c>
      <c r="N79" s="5">
        <f t="shared" si="51"/>
        <v>1</v>
      </c>
      <c r="O79" s="5">
        <f t="shared" si="52"/>
        <v>0</v>
      </c>
      <c r="P79" s="5">
        <f t="shared" si="38"/>
        <v>1</v>
      </c>
      <c r="R79" s="5">
        <f t="shared" si="39"/>
        <v>1</v>
      </c>
      <c r="S79" s="5"/>
      <c r="V79" s="5"/>
    </row>
    <row r="80" spans="1:55" x14ac:dyDescent="0.25">
      <c r="L80" s="21"/>
      <c r="M80" s="5">
        <f t="shared" si="50"/>
        <v>0</v>
      </c>
      <c r="N80" s="5">
        <f t="shared" si="51"/>
        <v>1</v>
      </c>
      <c r="O80" s="5">
        <f t="shared" si="52"/>
        <v>0</v>
      </c>
      <c r="P80" s="5">
        <f t="shared" si="38"/>
        <v>1</v>
      </c>
      <c r="R80" s="5">
        <f t="shared" si="39"/>
        <v>1</v>
      </c>
      <c r="S80" s="5"/>
      <c r="V80" s="5"/>
    </row>
    <row r="81" spans="12:22" x14ac:dyDescent="0.25">
      <c r="L81" s="21"/>
      <c r="M81" s="5">
        <f t="shared" si="50"/>
        <v>0</v>
      </c>
      <c r="N81" s="5">
        <f t="shared" si="51"/>
        <v>1</v>
      </c>
      <c r="O81" s="5">
        <f t="shared" si="52"/>
        <v>0</v>
      </c>
      <c r="P81" s="5">
        <f t="shared" si="38"/>
        <v>1</v>
      </c>
      <c r="R81" s="5">
        <f t="shared" si="39"/>
        <v>1</v>
      </c>
      <c r="S81" s="5"/>
      <c r="V81" s="5"/>
    </row>
    <row r="82" spans="12:22" x14ac:dyDescent="0.25">
      <c r="L82" s="21"/>
      <c r="M82" s="5">
        <f t="shared" si="50"/>
        <v>0</v>
      </c>
      <c r="N82" s="5">
        <f t="shared" si="51"/>
        <v>1</v>
      </c>
      <c r="O82" s="5">
        <f t="shared" si="52"/>
        <v>0</v>
      </c>
      <c r="P82" s="5">
        <f t="shared" si="38"/>
        <v>1</v>
      </c>
      <c r="R82" s="5">
        <f t="shared" si="39"/>
        <v>1</v>
      </c>
      <c r="S82" s="5"/>
      <c r="V82" s="5"/>
    </row>
    <row r="83" spans="12:22" x14ac:dyDescent="0.25">
      <c r="L83" s="21"/>
      <c r="M83" s="5">
        <f t="shared" ref="M83:M104" si="65">IF(L83&lt;&gt;"",SQRT(4*(C83-dD)^2+(D83-dP)^2+(E83-dH)^2),0)</f>
        <v>0</v>
      </c>
      <c r="N83" s="5">
        <f t="shared" ref="N83:N104" si="66">IF(L83=1,IF(M83&lt;R_,1,EXP(R_-M83)),IF(L83&lt;&gt;"",IF(M83&lt;R_,EXP(M83-R_),1),1))</f>
        <v>1</v>
      </c>
      <c r="O83" s="5">
        <f t="shared" ref="O83:O104" si="67">IF(L83&lt;&gt;"",SQRT(4*(C83-$C$4)^2+(D83-$D$4)^2+(E83-$E$4)^2),0)</f>
        <v>0</v>
      </c>
      <c r="P83" s="5">
        <f t="shared" si="38"/>
        <v>1</v>
      </c>
      <c r="R83" s="5">
        <f t="shared" si="39"/>
        <v>1</v>
      </c>
      <c r="S83" s="5"/>
      <c r="V83" s="5"/>
    </row>
    <row r="84" spans="12:22" x14ac:dyDescent="0.25">
      <c r="L84" s="21"/>
      <c r="M84" s="5">
        <f t="shared" si="65"/>
        <v>0</v>
      </c>
      <c r="N84" s="5">
        <f t="shared" si="66"/>
        <v>1</v>
      </c>
      <c r="O84" s="5">
        <f t="shared" si="67"/>
        <v>0</v>
      </c>
      <c r="P84" s="5">
        <f t="shared" ref="P84:P104" si="68">IF(L84=1,IF(O84&lt;$F$4,1,EXP($F$4-O84)),IF(L84&lt;&gt;"",IF(O84&lt;$F$4,EXP(O84-$F$4),1),1))</f>
        <v>1</v>
      </c>
      <c r="R84" s="5">
        <f t="shared" ref="R84:R104" si="69">IF(L84="",1,IF(AND(L84=1,OR(N84=1,P84=1)),1,MIN((N84), (P84))))</f>
        <v>1</v>
      </c>
      <c r="S84" s="5"/>
      <c r="V84" s="5"/>
    </row>
    <row r="85" spans="12:22" x14ac:dyDescent="0.25">
      <c r="L85" s="21"/>
      <c r="M85" s="5">
        <f t="shared" si="65"/>
        <v>0</v>
      </c>
      <c r="N85" s="5">
        <f t="shared" si="66"/>
        <v>1</v>
      </c>
      <c r="O85" s="5">
        <f t="shared" si="67"/>
        <v>0</v>
      </c>
      <c r="P85" s="5">
        <f t="shared" si="68"/>
        <v>1</v>
      </c>
      <c r="R85" s="5">
        <f t="shared" si="69"/>
        <v>1</v>
      </c>
      <c r="S85" s="5"/>
      <c r="V85" s="5"/>
    </row>
    <row r="86" spans="12:22" x14ac:dyDescent="0.25">
      <c r="L86" s="21"/>
      <c r="M86" s="5">
        <f t="shared" si="65"/>
        <v>0</v>
      </c>
      <c r="N86" s="5">
        <f t="shared" si="66"/>
        <v>1</v>
      </c>
      <c r="O86" s="5">
        <f t="shared" si="67"/>
        <v>0</v>
      </c>
      <c r="P86" s="5">
        <f t="shared" si="68"/>
        <v>1</v>
      </c>
      <c r="R86" s="5">
        <f t="shared" si="69"/>
        <v>1</v>
      </c>
      <c r="S86" s="5"/>
      <c r="V86" s="5"/>
    </row>
    <row r="87" spans="12:22" x14ac:dyDescent="0.25">
      <c r="L87" s="21"/>
      <c r="M87" s="5">
        <f t="shared" si="65"/>
        <v>0</v>
      </c>
      <c r="N87" s="5">
        <f t="shared" si="66"/>
        <v>1</v>
      </c>
      <c r="O87" s="5">
        <f t="shared" si="67"/>
        <v>0</v>
      </c>
      <c r="P87" s="5">
        <f t="shared" si="68"/>
        <v>1</v>
      </c>
      <c r="R87" s="5">
        <f t="shared" si="69"/>
        <v>1</v>
      </c>
      <c r="S87" s="5"/>
      <c r="V87" s="5"/>
    </row>
    <row r="88" spans="12:22" x14ac:dyDescent="0.25">
      <c r="L88" s="21"/>
      <c r="M88" s="5">
        <f t="shared" si="65"/>
        <v>0</v>
      </c>
      <c r="N88" s="5">
        <f t="shared" si="66"/>
        <v>1</v>
      </c>
      <c r="O88" s="5">
        <f t="shared" si="67"/>
        <v>0</v>
      </c>
      <c r="P88" s="5">
        <f t="shared" si="68"/>
        <v>1</v>
      </c>
      <c r="R88" s="5">
        <f t="shared" si="69"/>
        <v>1</v>
      </c>
      <c r="S88" s="5"/>
      <c r="V88" s="5"/>
    </row>
    <row r="89" spans="12:22" x14ac:dyDescent="0.25">
      <c r="L89" s="21"/>
      <c r="M89" s="5">
        <f t="shared" si="65"/>
        <v>0</v>
      </c>
      <c r="N89" s="5">
        <f t="shared" si="66"/>
        <v>1</v>
      </c>
      <c r="O89" s="5">
        <f t="shared" si="67"/>
        <v>0</v>
      </c>
      <c r="P89" s="5">
        <f t="shared" si="68"/>
        <v>1</v>
      </c>
      <c r="R89" s="5">
        <f t="shared" si="69"/>
        <v>1</v>
      </c>
      <c r="S89" s="5"/>
      <c r="V89" s="5"/>
    </row>
    <row r="90" spans="12:22" x14ac:dyDescent="0.25">
      <c r="L90" s="21"/>
      <c r="M90" s="5">
        <f t="shared" si="65"/>
        <v>0</v>
      </c>
      <c r="N90" s="5">
        <f t="shared" si="66"/>
        <v>1</v>
      </c>
      <c r="O90" s="5">
        <f t="shared" si="67"/>
        <v>0</v>
      </c>
      <c r="P90" s="5">
        <f t="shared" si="68"/>
        <v>1</v>
      </c>
      <c r="R90" s="5">
        <f t="shared" si="69"/>
        <v>1</v>
      </c>
      <c r="S90" s="5"/>
      <c r="V90" s="5"/>
    </row>
    <row r="91" spans="12:22" x14ac:dyDescent="0.25">
      <c r="L91" s="21"/>
      <c r="M91" s="5">
        <f t="shared" si="65"/>
        <v>0</v>
      </c>
      <c r="N91" s="5">
        <f t="shared" si="66"/>
        <v>1</v>
      </c>
      <c r="O91" s="5">
        <f t="shared" si="67"/>
        <v>0</v>
      </c>
      <c r="P91" s="5">
        <f t="shared" si="68"/>
        <v>1</v>
      </c>
      <c r="R91" s="5">
        <f t="shared" si="69"/>
        <v>1</v>
      </c>
      <c r="S91" s="5"/>
      <c r="V91" s="5"/>
    </row>
    <row r="92" spans="12:22" x14ac:dyDescent="0.25">
      <c r="L92" s="21"/>
      <c r="M92" s="5">
        <f t="shared" si="65"/>
        <v>0</v>
      </c>
      <c r="N92" s="5">
        <f t="shared" si="66"/>
        <v>1</v>
      </c>
      <c r="O92" s="5">
        <f t="shared" si="67"/>
        <v>0</v>
      </c>
      <c r="P92" s="5">
        <f t="shared" si="68"/>
        <v>1</v>
      </c>
      <c r="R92" s="5">
        <f t="shared" si="69"/>
        <v>1</v>
      </c>
      <c r="S92" s="5"/>
      <c r="V92" s="5"/>
    </row>
    <row r="93" spans="12:22" x14ac:dyDescent="0.25">
      <c r="L93" s="21"/>
      <c r="M93" s="5">
        <f t="shared" si="65"/>
        <v>0</v>
      </c>
      <c r="N93" s="5">
        <f t="shared" si="66"/>
        <v>1</v>
      </c>
      <c r="O93" s="5">
        <f t="shared" si="67"/>
        <v>0</v>
      </c>
      <c r="P93" s="5">
        <f t="shared" si="68"/>
        <v>1</v>
      </c>
      <c r="R93" s="5">
        <f t="shared" si="69"/>
        <v>1</v>
      </c>
      <c r="S93" s="5"/>
      <c r="V93" s="5"/>
    </row>
    <row r="94" spans="12:22" x14ac:dyDescent="0.25">
      <c r="L94" s="21"/>
      <c r="M94" s="5">
        <f t="shared" si="65"/>
        <v>0</v>
      </c>
      <c r="N94" s="5">
        <f t="shared" si="66"/>
        <v>1</v>
      </c>
      <c r="O94" s="5">
        <f t="shared" si="67"/>
        <v>0</v>
      </c>
      <c r="P94" s="5">
        <f t="shared" si="68"/>
        <v>1</v>
      </c>
      <c r="R94" s="5">
        <f t="shared" si="69"/>
        <v>1</v>
      </c>
      <c r="S94" s="5"/>
      <c r="V94" s="5"/>
    </row>
    <row r="95" spans="12:22" x14ac:dyDescent="0.25">
      <c r="L95" s="21"/>
      <c r="M95" s="5">
        <f t="shared" si="65"/>
        <v>0</v>
      </c>
      <c r="N95" s="5">
        <f t="shared" si="66"/>
        <v>1</v>
      </c>
      <c r="O95" s="5">
        <f t="shared" si="67"/>
        <v>0</v>
      </c>
      <c r="P95" s="5">
        <f t="shared" si="68"/>
        <v>1</v>
      </c>
      <c r="R95" s="5">
        <f t="shared" si="69"/>
        <v>1</v>
      </c>
      <c r="S95" s="5"/>
      <c r="V95" s="5"/>
    </row>
    <row r="96" spans="12:22" x14ac:dyDescent="0.25">
      <c r="L96" s="21"/>
      <c r="M96" s="5">
        <f t="shared" si="65"/>
        <v>0</v>
      </c>
      <c r="N96" s="5">
        <f t="shared" si="66"/>
        <v>1</v>
      </c>
      <c r="O96" s="5">
        <f t="shared" si="67"/>
        <v>0</v>
      </c>
      <c r="P96" s="5">
        <f t="shared" si="68"/>
        <v>1</v>
      </c>
      <c r="R96" s="5">
        <f t="shared" si="69"/>
        <v>1</v>
      </c>
      <c r="S96" s="5"/>
      <c r="V96" s="5"/>
    </row>
    <row r="97" spans="12:22" x14ac:dyDescent="0.25">
      <c r="L97" s="21"/>
      <c r="M97" s="5">
        <f t="shared" si="65"/>
        <v>0</v>
      </c>
      <c r="N97" s="5">
        <f t="shared" si="66"/>
        <v>1</v>
      </c>
      <c r="O97" s="5">
        <f t="shared" si="67"/>
        <v>0</v>
      </c>
      <c r="P97" s="5">
        <f t="shared" si="68"/>
        <v>1</v>
      </c>
      <c r="R97" s="5">
        <f t="shared" si="69"/>
        <v>1</v>
      </c>
      <c r="S97" s="5"/>
      <c r="V97" s="5"/>
    </row>
    <row r="98" spans="12:22" x14ac:dyDescent="0.25">
      <c r="L98" s="21"/>
      <c r="M98" s="5">
        <f t="shared" si="65"/>
        <v>0</v>
      </c>
      <c r="N98" s="5">
        <f t="shared" si="66"/>
        <v>1</v>
      </c>
      <c r="O98" s="5">
        <f t="shared" si="67"/>
        <v>0</v>
      </c>
      <c r="P98" s="5">
        <f t="shared" si="68"/>
        <v>1</v>
      </c>
      <c r="R98" s="5">
        <f t="shared" si="69"/>
        <v>1</v>
      </c>
      <c r="S98" s="5"/>
      <c r="V98" s="5"/>
    </row>
    <row r="99" spans="12:22" x14ac:dyDescent="0.25">
      <c r="L99" s="21"/>
      <c r="M99" s="5">
        <f t="shared" si="65"/>
        <v>0</v>
      </c>
      <c r="N99" s="5">
        <f t="shared" si="66"/>
        <v>1</v>
      </c>
      <c r="O99" s="5">
        <f t="shared" si="67"/>
        <v>0</v>
      </c>
      <c r="P99" s="5">
        <f t="shared" si="68"/>
        <v>1</v>
      </c>
      <c r="R99" s="5">
        <f t="shared" si="69"/>
        <v>1</v>
      </c>
      <c r="S99" s="5"/>
      <c r="V99" s="5"/>
    </row>
    <row r="100" spans="12:22" x14ac:dyDescent="0.25">
      <c r="L100" s="21"/>
      <c r="M100" s="5">
        <f t="shared" si="65"/>
        <v>0</v>
      </c>
      <c r="N100" s="5">
        <f t="shared" si="66"/>
        <v>1</v>
      </c>
      <c r="O100" s="5">
        <f t="shared" si="67"/>
        <v>0</v>
      </c>
      <c r="P100" s="5">
        <f t="shared" si="68"/>
        <v>1</v>
      </c>
      <c r="R100" s="5">
        <f t="shared" si="69"/>
        <v>1</v>
      </c>
      <c r="S100" s="5"/>
      <c r="V100" s="5"/>
    </row>
    <row r="101" spans="12:22" x14ac:dyDescent="0.25">
      <c r="L101" s="21"/>
      <c r="M101" s="5">
        <f t="shared" si="65"/>
        <v>0</v>
      </c>
      <c r="N101" s="5">
        <f t="shared" si="66"/>
        <v>1</v>
      </c>
      <c r="O101" s="5">
        <f t="shared" si="67"/>
        <v>0</v>
      </c>
      <c r="P101" s="5">
        <f t="shared" si="68"/>
        <v>1</v>
      </c>
      <c r="R101" s="5">
        <f t="shared" si="69"/>
        <v>1</v>
      </c>
      <c r="S101" s="5"/>
      <c r="V101" s="5"/>
    </row>
    <row r="102" spans="12:22" x14ac:dyDescent="0.25">
      <c r="L102" s="21"/>
      <c r="M102" s="5">
        <f t="shared" si="65"/>
        <v>0</v>
      </c>
      <c r="N102" s="5">
        <f t="shared" si="66"/>
        <v>1</v>
      </c>
      <c r="O102" s="5">
        <f t="shared" si="67"/>
        <v>0</v>
      </c>
      <c r="P102" s="5">
        <f t="shared" si="68"/>
        <v>1</v>
      </c>
      <c r="R102" s="5">
        <f t="shared" si="69"/>
        <v>1</v>
      </c>
      <c r="S102" s="5"/>
      <c r="V102" s="5"/>
    </row>
    <row r="103" spans="12:22" x14ac:dyDescent="0.25">
      <c r="L103" s="21"/>
      <c r="M103" s="5">
        <f t="shared" si="65"/>
        <v>0</v>
      </c>
      <c r="N103" s="5">
        <f t="shared" si="66"/>
        <v>1</v>
      </c>
      <c r="O103" s="5">
        <f t="shared" si="67"/>
        <v>0</v>
      </c>
      <c r="P103" s="5">
        <f t="shared" si="68"/>
        <v>1</v>
      </c>
      <c r="R103" s="5">
        <f t="shared" si="69"/>
        <v>1</v>
      </c>
      <c r="S103" s="5"/>
      <c r="V103" s="5"/>
    </row>
    <row r="104" spans="12:22" x14ac:dyDescent="0.25">
      <c r="L104" s="21"/>
      <c r="M104" s="5">
        <f t="shared" si="65"/>
        <v>0</v>
      </c>
      <c r="N104" s="5">
        <f t="shared" si="66"/>
        <v>1</v>
      </c>
      <c r="O104" s="5">
        <f t="shared" si="67"/>
        <v>0</v>
      </c>
      <c r="P104" s="5">
        <f t="shared" si="68"/>
        <v>1</v>
      </c>
      <c r="R104" s="5">
        <f t="shared" si="69"/>
        <v>1</v>
      </c>
      <c r="S104" s="5"/>
      <c r="V104" s="5"/>
    </row>
    <row r="105" spans="12:22" x14ac:dyDescent="0.25">
      <c r="N105" s="53">
        <f>PRODUCT(N19:N104)^(1/E6)</f>
        <v>0.43091282637896594</v>
      </c>
      <c r="O105" s="5"/>
      <c r="P105" s="53">
        <f>PRODUCT(P19:P104)^(1/E6)</f>
        <v>0.55311180822540329</v>
      </c>
      <c r="R105" s="53">
        <f>PRODUCT(R19:R104)^(1/E6)</f>
        <v>0.89845722168309472</v>
      </c>
      <c r="S105" s="5"/>
      <c r="V105" s="5"/>
    </row>
    <row r="106" spans="12:22" x14ac:dyDescent="0.25">
      <c r="V106" s="5"/>
    </row>
    <row r="107" spans="12:22" x14ac:dyDescent="0.25">
      <c r="V107" s="5"/>
    </row>
    <row r="108" spans="12:22" x14ac:dyDescent="0.25">
      <c r="V108" s="5"/>
    </row>
    <row r="109" spans="12:22" x14ac:dyDescent="0.25">
      <c r="V109" s="5"/>
    </row>
    <row r="110" spans="12:22" x14ac:dyDescent="0.25">
      <c r="V110" s="5"/>
    </row>
    <row r="111" spans="12:22" x14ac:dyDescent="0.25">
      <c r="V111" s="5"/>
    </row>
    <row r="112" spans="12:22" x14ac:dyDescent="0.25">
      <c r="V112" s="5"/>
    </row>
    <row r="113" spans="22:22" x14ac:dyDescent="0.25">
      <c r="V113" s="5"/>
    </row>
    <row r="114" spans="22:22" x14ac:dyDescent="0.25">
      <c r="V114" s="5"/>
    </row>
    <row r="115" spans="22:22" x14ac:dyDescent="0.25">
      <c r="V115" s="5"/>
    </row>
  </sheetData>
  <mergeCells count="3">
    <mergeCell ref="C6:D6"/>
    <mergeCell ref="M17:N17"/>
    <mergeCell ref="O17:P17"/>
  </mergeCells>
  <conditionalFormatting sqref="L3">
    <cfRule type="iconSet" priority="2">
      <iconSet iconSet="3Symbols2">
        <cfvo type="percent" val="0"/>
        <cfvo type="num" val="0.85"/>
        <cfvo type="num" val="1"/>
      </iconSet>
    </cfRule>
  </conditionalFormatting>
  <pageMargins left="0.7" right="0.7" top="0.75" bottom="0.75" header="0.3" footer="0.3"/>
  <pageSetup paperSize="9" orientation="portrait" r:id="rId1"/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35" id="{C60F7F6F-B6AC-4726-8009-CD69E7B11803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2"/>
              <x14:cfIcon iconSet="3Symbols2" iconId="0"/>
            </x14:iconSet>
          </x14:cfRule>
          <xm:sqref>F10:J14 J16 G6:J7 F16</xm:sqref>
        </x14:conditionalFormatting>
        <x14:conditionalFormatting xmlns:xm="http://schemas.microsoft.com/office/excel/2006/main">
          <x14:cfRule type="iconSet" priority="1" id="{20846E06-F7EF-4981-B157-91CA89F143CD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2"/>
              <x14:cfIcon iconSet="3Symbols2" iconId="0"/>
            </x14:iconSet>
          </x14:cfRule>
          <xm:sqref>J9:K9</xm:sqref>
        </x14:conditionalFormatting>
        <x14:conditionalFormatting xmlns:xm="http://schemas.microsoft.com/office/excel/2006/main">
          <x14:cfRule type="iconSet" priority="4" id="{D9B9600A-4030-4B96-BBEE-5C529F51FEB0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2"/>
              <x14:cfIcon iconSet="3Symbols2" iconId="0"/>
            </x14:iconSet>
          </x14:cfRule>
          <xm:sqref>J18:K67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DE93"/>
  <sheetViews>
    <sheetView showGridLines="0" topLeftCell="A19" zoomScale="70" zoomScaleNormal="70" workbookViewId="0">
      <selection activeCell="AA45" sqref="AA45"/>
    </sheetView>
  </sheetViews>
  <sheetFormatPr defaultColWidth="9.140625" defaultRowHeight="15" x14ac:dyDescent="0.25"/>
  <cols>
    <col min="1" max="1" width="26.140625" style="2" customWidth="1"/>
    <col min="2" max="2" width="36.140625" style="2" customWidth="1"/>
    <col min="3" max="3" width="6.42578125" style="2" customWidth="1"/>
    <col min="4" max="4" width="8" style="2" customWidth="1"/>
    <col min="5" max="5" width="6.7109375" style="2" customWidth="1"/>
    <col min="6" max="6" width="8.42578125" style="2" customWidth="1"/>
    <col min="7" max="7" width="9.7109375" style="2" customWidth="1"/>
    <col min="8" max="8" width="7.5703125" customWidth="1"/>
    <col min="9" max="9" width="9.5703125" style="2" hidden="1" customWidth="1"/>
    <col min="10" max="10" width="9.42578125" style="2" hidden="1" customWidth="1"/>
    <col min="11" max="11" width="9.5703125" style="2" hidden="1" customWidth="1"/>
    <col min="12" max="12" width="6.85546875" style="2" bestFit="1" customWidth="1"/>
    <col min="13" max="13" width="14.7109375" style="2" customWidth="1"/>
    <col min="14" max="14" width="13.140625" style="2" customWidth="1"/>
    <col min="15" max="15" width="11.5703125" style="2" customWidth="1"/>
    <col min="16" max="16" width="8" style="2" hidden="1" customWidth="1"/>
    <col min="17" max="17" width="9.42578125" style="2" customWidth="1"/>
    <col min="18" max="18" width="10.42578125" style="2" customWidth="1"/>
    <col min="19" max="19" width="46.5703125" style="2" customWidth="1"/>
    <col min="20" max="20" width="8.85546875" style="2" bestFit="1" customWidth="1"/>
    <col min="21" max="21" width="20.28515625" style="2" bestFit="1" customWidth="1"/>
    <col min="22" max="22" width="12.7109375" style="2" customWidth="1"/>
    <col min="23" max="23" width="10.7109375" style="2" customWidth="1"/>
    <col min="24" max="24" width="12.5703125" style="2" bestFit="1" customWidth="1"/>
    <col min="25" max="25" width="10.5703125" style="2" customWidth="1"/>
    <col min="26" max="26" width="9.85546875" style="2" customWidth="1"/>
    <col min="27" max="27" width="7.7109375" style="2" bestFit="1" customWidth="1"/>
    <col min="28" max="28" width="12.28515625" style="2" customWidth="1"/>
    <col min="29" max="29" width="8.28515625" style="2" hidden="1" customWidth="1"/>
    <col min="30" max="30" width="8.140625" style="2" hidden="1" customWidth="1"/>
    <col min="31" max="31" width="8.28515625" style="2" hidden="1" customWidth="1"/>
    <col min="32" max="32" width="12.28515625" style="2" bestFit="1" customWidth="1"/>
    <col min="33" max="34" width="3.140625" style="2" bestFit="1" customWidth="1"/>
    <col min="35" max="35" width="6.140625" style="2" bestFit="1" customWidth="1"/>
    <col min="36" max="37" width="5.140625" style="2" bestFit="1" customWidth="1"/>
    <col min="38" max="38" width="12.28515625" style="2" bestFit="1" customWidth="1"/>
    <col min="39" max="41" width="9.140625" style="2"/>
    <col min="48" max="54" width="9.140625" style="2"/>
    <col min="55" max="58" width="0" style="2" hidden="1" customWidth="1"/>
    <col min="59" max="67" width="9.140625" style="2"/>
    <col min="68" max="86" width="0" style="2" hidden="1" customWidth="1"/>
    <col min="87" max="87" width="9.140625" style="2"/>
    <col min="88" max="88" width="9.28515625" style="2" customWidth="1"/>
    <col min="89" max="89" width="9.140625" style="2"/>
    <col min="90" max="90" width="11.85546875" style="2" bestFit="1" customWidth="1"/>
    <col min="91" max="93" width="9.140625" style="2"/>
    <col min="94" max="94" width="20.28515625" style="2" bestFit="1" customWidth="1"/>
    <col min="95" max="105" width="9.140625" style="2"/>
    <col min="106" max="106" width="10.42578125" style="2" bestFit="1" customWidth="1"/>
    <col min="107" max="107" width="10.140625" style="2" bestFit="1" customWidth="1"/>
    <col min="108" max="109" width="10.42578125" style="2" bestFit="1" customWidth="1"/>
    <col min="110" max="16384" width="9.140625" style="2"/>
  </cols>
  <sheetData>
    <row r="1" spans="1:109" ht="15.75" thickBot="1" x14ac:dyDescent="0.3">
      <c r="D1" s="3" t="s">
        <v>120</v>
      </c>
      <c r="R1" s="39" t="s">
        <v>2517</v>
      </c>
      <c r="CK1" s="29"/>
      <c r="CL1" s="77" t="s">
        <v>2545</v>
      </c>
      <c r="CM1" s="78"/>
      <c r="CN1" s="78"/>
      <c r="CO1" s="79"/>
      <c r="CP1" s="77" t="str">
        <f>_xlfn.XLOOKUP(1,Tabla8[Selec. Solvent],Tabla8[Solvents])</f>
        <v>Vinyl Butyl Sulfide</v>
      </c>
      <c r="CQ1" s="78"/>
      <c r="CR1" s="78"/>
      <c r="CS1" s="79"/>
      <c r="CT1" s="77" t="str">
        <f>_xlfn.XLOOKUP(2,Tabla8[Selec. Solvent],Tabla8[Solvents])</f>
        <v>Vinyl Chloride</v>
      </c>
      <c r="CU1" s="78"/>
      <c r="CV1" s="78"/>
      <c r="CW1" s="79"/>
      <c r="CX1" s="77" t="str">
        <f>_xlfn.XLOOKUP(3,Tabla8[Selec. Solvent],Tabla8[Solvents])</f>
        <v>Vinyl Ether</v>
      </c>
      <c r="CY1" s="78"/>
      <c r="CZ1" s="78"/>
      <c r="DA1" s="79"/>
      <c r="DB1" s="77" t="str">
        <f>_xlfn.XLOOKUP(4,Tabla8[Selec. Solvent],Tabla8[Solvents])</f>
        <v>Vinyl Ethyl Carbitol</v>
      </c>
      <c r="DC1" s="78"/>
      <c r="DD1" s="78"/>
      <c r="DE1" s="79"/>
    </row>
    <row r="2" spans="1:109" ht="15.75" thickBot="1" x14ac:dyDescent="0.3">
      <c r="C2" s="3" t="s">
        <v>96</v>
      </c>
      <c r="D2" s="3" t="s">
        <v>97</v>
      </c>
      <c r="E2" s="3" t="s">
        <v>98</v>
      </c>
      <c r="F2" s="3" t="s">
        <v>1</v>
      </c>
      <c r="G2" s="3"/>
      <c r="O2" s="4"/>
      <c r="P2" s="4"/>
      <c r="R2" s="14"/>
      <c r="S2" s="10" t="s">
        <v>116</v>
      </c>
      <c r="T2" s="10" t="s">
        <v>96</v>
      </c>
      <c r="U2" s="10" t="s">
        <v>97</v>
      </c>
      <c r="V2" s="10" t="s">
        <v>98</v>
      </c>
      <c r="W2" s="10" t="s">
        <v>5</v>
      </c>
      <c r="X2" s="10" t="s">
        <v>102</v>
      </c>
      <c r="AC2" s="3" t="s">
        <v>108</v>
      </c>
      <c r="AD2" s="3" t="s">
        <v>109</v>
      </c>
      <c r="AE2" s="3" t="s">
        <v>110</v>
      </c>
      <c r="CJ2" s="2" t="s">
        <v>2489</v>
      </c>
      <c r="CK2" s="2" t="s">
        <v>2490</v>
      </c>
      <c r="CL2" s="2" t="s">
        <v>2492</v>
      </c>
      <c r="CM2" s="2" t="s">
        <v>2491</v>
      </c>
      <c r="CN2" s="2" t="s">
        <v>2493</v>
      </c>
      <c r="CO2" s="2" t="s">
        <v>2494</v>
      </c>
      <c r="CP2" s="2" t="s">
        <v>2546</v>
      </c>
      <c r="CQ2" s="2" t="s">
        <v>2547</v>
      </c>
      <c r="CR2" s="2" t="s">
        <v>2548</v>
      </c>
      <c r="CS2" s="2" t="s">
        <v>2549</v>
      </c>
      <c r="CT2" s="2" t="s">
        <v>2550</v>
      </c>
      <c r="CU2" s="2" t="s">
        <v>2551</v>
      </c>
      <c r="CV2" s="2" t="s">
        <v>2552</v>
      </c>
      <c r="CW2" s="2" t="s">
        <v>2553</v>
      </c>
      <c r="CX2" s="2" t="s">
        <v>2554</v>
      </c>
      <c r="CY2" s="2" t="s">
        <v>2555</v>
      </c>
      <c r="CZ2" s="2" t="s">
        <v>2556</v>
      </c>
      <c r="DA2" s="2" t="s">
        <v>2557</v>
      </c>
      <c r="DB2" s="2" t="s">
        <v>2558</v>
      </c>
      <c r="DC2" s="2" t="s">
        <v>2559</v>
      </c>
      <c r="DD2" s="2" t="s">
        <v>2560</v>
      </c>
      <c r="DE2" s="2" t="s">
        <v>2561</v>
      </c>
    </row>
    <row r="3" spans="1:109" x14ac:dyDescent="0.25">
      <c r="B3" s="2" t="s">
        <v>2</v>
      </c>
      <c r="C3" s="21">
        <v>15.4</v>
      </c>
      <c r="D3" s="21">
        <v>5.4</v>
      </c>
      <c r="E3" s="21">
        <v>8</v>
      </c>
      <c r="F3" s="71"/>
      <c r="G3" s="3"/>
      <c r="O3" s="5"/>
      <c r="P3" s="5"/>
      <c r="R3" s="2" t="s">
        <v>114</v>
      </c>
      <c r="S3" s="2" t="str" cm="1">
        <f t="array" ref="S3:V3">_xlfn._xlws.FILTER(Tabla8[[Solvents]:[dH]], Tabla8[Selec. Solvent]=1, "Input value 1 in Selec. Solvent")</f>
        <v>Vinyl Butyl Sulfide</v>
      </c>
      <c r="T3" s="2">
        <v>16</v>
      </c>
      <c r="U3" s="2">
        <v>5</v>
      </c>
      <c r="V3" s="2">
        <v>5.4</v>
      </c>
      <c r="W3" s="5">
        <f>SQRT(4*(T3-dD)^2+(U3-dP)^2+(V3-dH)^2)</f>
        <v>2.8913664589601913</v>
      </c>
      <c r="X3" s="5" t="str">
        <f>IFERROR(W3/R_, "No Data in R")</f>
        <v>No Data in R</v>
      </c>
      <c r="AC3" s="4">
        <f>SUM(Tabla8[Partial dD])</f>
        <v>15.304</v>
      </c>
      <c r="AD3" s="4">
        <f>SUM(Tabla8[Partial dP])</f>
        <v>4.4119999999999999</v>
      </c>
      <c r="AE3" s="4">
        <f>SUM(Tabla8[Partial dH])</f>
        <v>4.7489999999999997</v>
      </c>
      <c r="CJ3" s="2">
        <v>0</v>
      </c>
      <c r="CK3" s="2">
        <f>RADIANS(Tabla3[[#This Row],[Angle º]])</f>
        <v>0</v>
      </c>
      <c r="CL3" s="2">
        <f t="shared" ref="CL3:CL34" si="0">$F$3*SIN(CK3)+ dD</f>
        <v>15.4</v>
      </c>
      <c r="CM3" s="2">
        <f t="shared" ref="CM3:CM34" si="1">$F$3*COS(CK3)+ dP</f>
        <v>5.4</v>
      </c>
      <c r="CN3" s="2">
        <f t="shared" ref="CN3:CN34" si="2">$F$3*SIN(CK3)+  dH</f>
        <v>8</v>
      </c>
      <c r="CO3" s="2">
        <f t="shared" ref="CO3:CO34" si="3">$F$3*COS(CK3)+ dD</f>
        <v>15.4</v>
      </c>
      <c r="CP3" s="2">
        <f xml:space="preserve"> (_xlfn.XLOOKUP(1,Tabla8[Selec. Solvent],Tabla8[Radius]))*SIN(CK3)+ _xlfn.XLOOKUP(1,Tabla8[Selec. Solvent],Tabla8[dD])</f>
        <v>16</v>
      </c>
      <c r="CQ3" s="2">
        <f xml:space="preserve"> _xlfn.XLOOKUP(1,Tabla8[Selec. Solvent],Tabla8[Radius])*COS(CK3)+ _xlfn.XLOOKUP(1,Tabla8[Selec. Solvent],Tabla8[dP])</f>
        <v>5</v>
      </c>
      <c r="CR3" s="2">
        <f xml:space="preserve"> _xlfn.XLOOKUP(1,Tabla8[Selec. Solvent],Tabla8[Radius])*SIN(CK3)+  _xlfn.XLOOKUP(1,Tabla8[Selec. Solvent],Tabla8[dH])</f>
        <v>5.4</v>
      </c>
      <c r="CS3" s="2">
        <f xml:space="preserve">  _xlfn.XLOOKUP(1,Tabla8[Selec. Solvent],Tabla8[Radius])*COS(CK3)+ _xlfn.XLOOKUP(1,Tabla8[Selec. Solvent],Tabla8[dD])</f>
        <v>16</v>
      </c>
      <c r="CT3" s="2">
        <f xml:space="preserve"> (_xlfn.XLOOKUP(2,Tabla8[Selec. Solvent],Tabla8[Radius]))*SIN(CK3)+ _xlfn.XLOOKUP(2,Tabla8[Selec. Solvent],Tabla8[dD])</f>
        <v>16</v>
      </c>
      <c r="CU3" s="2">
        <f xml:space="preserve"> _xlfn.XLOOKUP(2,Tabla8[Selec. Solvent],Tabla8[Radius])*COS(CK3)+ _xlfn.XLOOKUP(2,Tabla8[Selec. Solvent],Tabla8[dP])</f>
        <v>6.5</v>
      </c>
      <c r="CV3" s="2">
        <f xml:space="preserve"> _xlfn.XLOOKUP(2,Tabla8[Selec. Solvent],Tabla8[Radius])*SIN(CK3)+  _xlfn.XLOOKUP(2,Tabla8[Selec. Solvent],Tabla8[dH])</f>
        <v>2.4</v>
      </c>
      <c r="CW3" s="2">
        <f xml:space="preserve">  _xlfn.XLOOKUP(2,Tabla8[Selec. Solvent],Tabla8[Radius])*COS(CK3)+ _xlfn.XLOOKUP(2,Tabla8[Selec. Solvent],Tabla8[dD])</f>
        <v>16</v>
      </c>
      <c r="CX3" s="2">
        <f xml:space="preserve"> (_xlfn.XLOOKUP(3,Tabla8[Selec. Solvent],Tabla8[Radius]))*SIN(CK3)+ _xlfn.XLOOKUP(3,Tabla8[Selec. Solvent],Tabla8[dD])</f>
        <v>14.8</v>
      </c>
      <c r="CY3" s="2">
        <f xml:space="preserve"> _xlfn.XLOOKUP(3,Tabla8[Selec. Solvent],Tabla8[Radius])*COS(CK3)+ _xlfn.XLOOKUP(3,Tabla8[Selec. Solvent],Tabla8[dP])</f>
        <v>4.2</v>
      </c>
      <c r="CZ3" s="2">
        <f xml:space="preserve"> _xlfn.XLOOKUP(3,Tabla8[Selec. Solvent],Tabla8[Radius])*SIN(CK3)+  _xlfn.XLOOKUP(3,Tabla8[Selec. Solvent],Tabla8[dH])</f>
        <v>5.8</v>
      </c>
      <c r="DA3" s="2">
        <f xml:space="preserve">  _xlfn.XLOOKUP(,Tabla8[Selec. Solvent],Tabla8[Radius])*COS(CK3)+ _xlfn.XLOOKUP(3,Tabla8[Selec. Solvent],Tabla8[dD])</f>
        <v>14.8</v>
      </c>
      <c r="DB3" s="2">
        <f xml:space="preserve"> (_xlfn.XLOOKUP(4,Tabla8[Selec. Solvent],Tabla8[Radius]))*SIN(CK3)+ _xlfn.XLOOKUP(4,Tabla8[Selec. Solvent],Tabla8[dD])</f>
        <v>15.9</v>
      </c>
      <c r="DC3" s="2">
        <f xml:space="preserve"> _xlfn.XLOOKUP(4,Tabla8[Selec. Solvent],Tabla8[Radius])*COS(CK3)+ _xlfn.XLOOKUP(4,Tabla8[Selec. Solvent],Tabla8[dP])</f>
        <v>6</v>
      </c>
      <c r="DD3" s="2">
        <f xml:space="preserve"> _xlfn.XLOOKUP(4,Tabla8[Selec. Solvent],Tabla8[Radius])*SIN(CK3)+  _xlfn.XLOOKUP(4,Tabla8[Selec. Solvent],Tabla8[dH])</f>
        <v>6.6</v>
      </c>
      <c r="DE3" s="2">
        <f xml:space="preserve">  _xlfn.XLOOKUP(4,Tabla8[Selec. Solvent],Tabla8[Radius])*COS(CK3)+ _xlfn.XLOOKUP(4,Tabla8[Selec. Solvent],Tabla8[dD])</f>
        <v>15.9</v>
      </c>
    </row>
    <row r="4" spans="1:109" x14ac:dyDescent="0.25">
      <c r="B4" s="4" t="s">
        <v>107</v>
      </c>
      <c r="C4" s="4">
        <f>AC3</f>
        <v>15.304</v>
      </c>
      <c r="D4" s="4">
        <f>AD3</f>
        <v>4.4119999999999999</v>
      </c>
      <c r="E4" s="4">
        <f>AE3</f>
        <v>4.7489999999999997</v>
      </c>
      <c r="F4" s="3" t="s">
        <v>5</v>
      </c>
      <c r="G4" s="5">
        <f>SQRT(4*(C4-dD)^2+(D4-dP)^2+(E4-dH)^2)</f>
        <v>3.4032350785686263</v>
      </c>
      <c r="L4" s="3"/>
      <c r="M4" s="5"/>
      <c r="O4" s="5"/>
      <c r="P4" s="5"/>
      <c r="R4" s="2" t="s">
        <v>115</v>
      </c>
      <c r="S4" s="2" t="str" cm="1">
        <f t="array" ref="S4:V4">_xlfn._xlws.FILTER(Tabla8[[Solvents]:[dH]], Tabla8[Selec. Solvent]=2, "Input value 2 in Selec. Solvent")</f>
        <v>Vinyl Chloride</v>
      </c>
      <c r="T4" s="2">
        <v>16</v>
      </c>
      <c r="U4" s="2">
        <v>6.5</v>
      </c>
      <c r="V4" s="2">
        <v>2.4</v>
      </c>
      <c r="W4" s="5">
        <f>SQRT(4*(T4-dD)^2+(U4-dP)^2+(V4-dH)^2)</f>
        <v>5.8318093247293321</v>
      </c>
      <c r="X4" s="5" t="str">
        <f>IFERROR(W4/R_, "No Data in R")</f>
        <v>No Data in R</v>
      </c>
      <c r="CJ4" s="2">
        <v>5</v>
      </c>
      <c r="CK4" s="2">
        <f>RADIANS(Tabla3[[#This Row],[Angle º]])</f>
        <v>8.7266462599716474E-2</v>
      </c>
      <c r="CL4" s="2">
        <f t="shared" si="0"/>
        <v>15.4</v>
      </c>
      <c r="CM4" s="2">
        <f t="shared" si="1"/>
        <v>5.4</v>
      </c>
      <c r="CN4" s="2">
        <f t="shared" si="2"/>
        <v>8</v>
      </c>
      <c r="CO4" s="2">
        <f t="shared" si="3"/>
        <v>15.4</v>
      </c>
      <c r="CP4" s="2">
        <f xml:space="preserve"> (_xlfn.XLOOKUP(1,Tabla8[Selec. Solvent],Tabla8[Radius]))*SIN(CK4)+ _xlfn.XLOOKUP(1,Tabla8[Selec. Solvent],Tabla8[dD])</f>
        <v>16</v>
      </c>
      <c r="CQ4" s="2">
        <f xml:space="preserve"> _xlfn.XLOOKUP(1,Tabla8[Selec. Solvent],Tabla8[Radius])*COS(CK4)+ _xlfn.XLOOKUP(1,Tabla8[Selec. Solvent],Tabla8[dP])</f>
        <v>5</v>
      </c>
      <c r="CR4" s="2">
        <f xml:space="preserve"> _xlfn.XLOOKUP(1,Tabla8[Selec. Solvent],Tabla8[Radius])*SIN(CK4)+  _xlfn.XLOOKUP(1,Tabla8[Selec. Solvent],Tabla8[dH])</f>
        <v>5.4</v>
      </c>
      <c r="CS4" s="2">
        <f xml:space="preserve">  _xlfn.XLOOKUP(1,Tabla8[Selec. Solvent],Tabla8[Radius])*COS(CK4)+ _xlfn.XLOOKUP(1,Tabla8[Selec. Solvent],Tabla8[dD])</f>
        <v>16</v>
      </c>
      <c r="CT4" s="2">
        <f xml:space="preserve"> (_xlfn.XLOOKUP(2,Tabla8[Selec. Solvent],Tabla8[Radius]))*SIN(CK4)+ _xlfn.XLOOKUP(2,Tabla8[Selec. Solvent],Tabla8[dD])</f>
        <v>16</v>
      </c>
      <c r="CU4" s="2">
        <f xml:space="preserve"> _xlfn.XLOOKUP(2,Tabla8[Selec. Solvent],Tabla8[Radius])*COS(CK4)+ _xlfn.XLOOKUP(2,Tabla8[Selec. Solvent],Tabla8[dP])</f>
        <v>6.5</v>
      </c>
      <c r="CV4" s="2">
        <f xml:space="preserve"> _xlfn.XLOOKUP(2,Tabla8[Selec. Solvent],Tabla8[Radius])*SIN(CK4)+  _xlfn.XLOOKUP(2,Tabla8[Selec. Solvent],Tabla8[dH])</f>
        <v>2.4</v>
      </c>
      <c r="CW4" s="2">
        <f xml:space="preserve">  _xlfn.XLOOKUP(2,Tabla8[Selec. Solvent],Tabla8[Radius])*COS(CK4)+ _xlfn.XLOOKUP(2,Tabla8[Selec. Solvent],Tabla8[dD])</f>
        <v>16</v>
      </c>
      <c r="CX4" s="2">
        <f xml:space="preserve"> (_xlfn.XLOOKUP(3,Tabla8[Selec. Solvent],Tabla8[Radius]))*SIN(CK4)+ _xlfn.XLOOKUP(3,Tabla8[Selec. Solvent],Tabla8[dD])</f>
        <v>14.8</v>
      </c>
      <c r="CY4" s="2">
        <f xml:space="preserve"> _xlfn.XLOOKUP(3,Tabla8[Selec. Solvent],Tabla8[Radius])*COS(CK4)+ _xlfn.XLOOKUP(3,Tabla8[Selec. Solvent],Tabla8[dP])</f>
        <v>4.2</v>
      </c>
      <c r="CZ4" s="2">
        <f xml:space="preserve"> _xlfn.XLOOKUP(3,Tabla8[Selec. Solvent],Tabla8[Radius])*SIN(CK4)+  _xlfn.XLOOKUP(3,Tabla8[Selec. Solvent],Tabla8[dH])</f>
        <v>5.8</v>
      </c>
      <c r="DA4" s="2">
        <f xml:space="preserve">  _xlfn.XLOOKUP(,Tabla8[Selec. Solvent],Tabla8[Radius])*COS(CK4)+ _xlfn.XLOOKUP(3,Tabla8[Selec. Solvent],Tabla8[dD])</f>
        <v>14.8</v>
      </c>
      <c r="DB4" s="2">
        <f xml:space="preserve"> (_xlfn.XLOOKUP(4,Tabla8[Selec. Solvent],Tabla8[Radius]))*SIN(CK4)+ _xlfn.XLOOKUP(4,Tabla8[Selec. Solvent],Tabla8[dD])</f>
        <v>15.9</v>
      </c>
      <c r="DC4" s="2">
        <f xml:space="preserve"> _xlfn.XLOOKUP(4,Tabla8[Selec. Solvent],Tabla8[Radius])*COS(CK4)+ _xlfn.XLOOKUP(4,Tabla8[Selec. Solvent],Tabla8[dP])</f>
        <v>6</v>
      </c>
      <c r="DD4" s="2">
        <f xml:space="preserve"> _xlfn.XLOOKUP(4,Tabla8[Selec. Solvent],Tabla8[Radius])*SIN(CK4)+  _xlfn.XLOOKUP(4,Tabla8[Selec. Solvent],Tabla8[dH])</f>
        <v>6.6</v>
      </c>
      <c r="DE4" s="2">
        <f xml:space="preserve">  _xlfn.XLOOKUP(4,Tabla8[Selec. Solvent],Tabla8[Radius])*COS(CK4)+ _xlfn.XLOOKUP(4,Tabla8[Selec. Solvent],Tabla8[dD])</f>
        <v>15.9</v>
      </c>
    </row>
    <row r="5" spans="1:109" x14ac:dyDescent="0.25">
      <c r="B5" s="2" t="s">
        <v>106</v>
      </c>
      <c r="C5" s="4">
        <f>dD-C4</f>
        <v>9.6000000000000085E-2</v>
      </c>
      <c r="D5" s="4">
        <f>dP-D4</f>
        <v>0.98800000000000043</v>
      </c>
      <c r="E5" s="4">
        <f>dH-E4</f>
        <v>3.2510000000000003</v>
      </c>
      <c r="F5" s="3" t="s">
        <v>102</v>
      </c>
      <c r="G5" s="42" t="str">
        <f>IFERROR(G4/R_, "No Data in R")</f>
        <v>No Data in R</v>
      </c>
      <c r="L5" s="3"/>
      <c r="M5" s="5"/>
      <c r="O5" s="5"/>
      <c r="P5" s="5"/>
      <c r="CJ5" s="2">
        <v>10</v>
      </c>
      <c r="CK5" s="2">
        <f>RADIANS(Tabla3[[#This Row],[Angle º]])</f>
        <v>0.17453292519943295</v>
      </c>
      <c r="CL5" s="2">
        <f t="shared" si="0"/>
        <v>15.4</v>
      </c>
      <c r="CM5" s="2">
        <f t="shared" si="1"/>
        <v>5.4</v>
      </c>
      <c r="CN5" s="2">
        <f t="shared" si="2"/>
        <v>8</v>
      </c>
      <c r="CO5" s="2">
        <f t="shared" si="3"/>
        <v>15.4</v>
      </c>
      <c r="CP5" s="2">
        <f xml:space="preserve"> (_xlfn.XLOOKUP(1,Tabla8[Selec. Solvent],Tabla8[Radius]))*SIN(CK5)+ _xlfn.XLOOKUP(1,Tabla8[Selec. Solvent],Tabla8[dD])</f>
        <v>16</v>
      </c>
      <c r="CQ5" s="2">
        <f xml:space="preserve"> _xlfn.XLOOKUP(1,Tabla8[Selec. Solvent],Tabla8[Radius])*COS(CK5)+ _xlfn.XLOOKUP(1,Tabla8[Selec. Solvent],Tabla8[dP])</f>
        <v>5</v>
      </c>
      <c r="CR5" s="2">
        <f xml:space="preserve"> _xlfn.XLOOKUP(1,Tabla8[Selec. Solvent],Tabla8[Radius])*SIN(CK5)+  _xlfn.XLOOKUP(1,Tabla8[Selec. Solvent],Tabla8[dH])</f>
        <v>5.4</v>
      </c>
      <c r="CS5" s="2">
        <f xml:space="preserve">  _xlfn.XLOOKUP(1,Tabla8[Selec. Solvent],Tabla8[Radius])*COS(CK5)+ _xlfn.XLOOKUP(1,Tabla8[Selec. Solvent],Tabla8[dD])</f>
        <v>16</v>
      </c>
      <c r="CT5" s="2">
        <f xml:space="preserve"> (_xlfn.XLOOKUP(2,Tabla8[Selec. Solvent],Tabla8[Radius]))*SIN(CK5)+ _xlfn.XLOOKUP(2,Tabla8[Selec. Solvent],Tabla8[dD])</f>
        <v>16</v>
      </c>
      <c r="CU5" s="2">
        <f xml:space="preserve"> _xlfn.XLOOKUP(2,Tabla8[Selec. Solvent],Tabla8[Radius])*COS(CK5)+ _xlfn.XLOOKUP(2,Tabla8[Selec. Solvent],Tabla8[dP])</f>
        <v>6.5</v>
      </c>
      <c r="CV5" s="2">
        <f xml:space="preserve"> _xlfn.XLOOKUP(2,Tabla8[Selec. Solvent],Tabla8[Radius])*SIN(CK5)+  _xlfn.XLOOKUP(2,Tabla8[Selec. Solvent],Tabla8[dH])</f>
        <v>2.4</v>
      </c>
      <c r="CW5" s="2">
        <f xml:space="preserve">  _xlfn.XLOOKUP(2,Tabla8[Selec. Solvent],Tabla8[Radius])*COS(CK5)+ _xlfn.XLOOKUP(2,Tabla8[Selec. Solvent],Tabla8[dD])</f>
        <v>16</v>
      </c>
      <c r="CX5" s="2">
        <f xml:space="preserve"> (_xlfn.XLOOKUP(3,Tabla8[Selec. Solvent],Tabla8[Radius]))*SIN(CK5)+ _xlfn.XLOOKUP(3,Tabla8[Selec. Solvent],Tabla8[dD])</f>
        <v>14.8</v>
      </c>
      <c r="CY5" s="2">
        <f xml:space="preserve"> _xlfn.XLOOKUP(3,Tabla8[Selec. Solvent],Tabla8[Radius])*COS(CK5)+ _xlfn.XLOOKUP(3,Tabla8[Selec. Solvent],Tabla8[dP])</f>
        <v>4.2</v>
      </c>
      <c r="CZ5" s="2">
        <f xml:space="preserve"> _xlfn.XLOOKUP(3,Tabla8[Selec. Solvent],Tabla8[Radius])*SIN(CK5)+  _xlfn.XLOOKUP(3,Tabla8[Selec. Solvent],Tabla8[dH])</f>
        <v>5.8</v>
      </c>
      <c r="DA5" s="2">
        <f xml:space="preserve">  _xlfn.XLOOKUP(,Tabla8[Selec. Solvent],Tabla8[Radius])*COS(CK5)+ _xlfn.XLOOKUP(3,Tabla8[Selec. Solvent],Tabla8[dD])</f>
        <v>14.8</v>
      </c>
      <c r="DB5" s="2">
        <f xml:space="preserve"> (_xlfn.XLOOKUP(4,Tabla8[Selec. Solvent],Tabla8[Radius]))*SIN(CK5)+ _xlfn.XLOOKUP(4,Tabla8[Selec. Solvent],Tabla8[dD])</f>
        <v>15.9</v>
      </c>
      <c r="DC5" s="2">
        <f xml:space="preserve"> _xlfn.XLOOKUP(4,Tabla8[Selec. Solvent],Tabla8[Radius])*COS(CK5)+ _xlfn.XLOOKUP(4,Tabla8[Selec. Solvent],Tabla8[dP])</f>
        <v>6</v>
      </c>
      <c r="DD5" s="2">
        <f xml:space="preserve"> _xlfn.XLOOKUP(4,Tabla8[Selec. Solvent],Tabla8[Radius])*SIN(CK5)+  _xlfn.XLOOKUP(4,Tabla8[Selec. Solvent],Tabla8[dH])</f>
        <v>6.6</v>
      </c>
      <c r="DE5" s="2">
        <f xml:space="preserve">  _xlfn.XLOOKUP(4,Tabla8[Selec. Solvent],Tabla8[Radius])*COS(CK5)+ _xlfn.XLOOKUP(4,Tabla8[Selec. Solvent],Tabla8[dD])</f>
        <v>15.9</v>
      </c>
    </row>
    <row r="6" spans="1:109" ht="15.75" thickBot="1" x14ac:dyDescent="0.3">
      <c r="R6" s="13" t="s">
        <v>2455</v>
      </c>
      <c r="S6" s="13" t="s">
        <v>2456</v>
      </c>
      <c r="T6" s="26" t="s">
        <v>96</v>
      </c>
      <c r="U6" s="26" t="s">
        <v>97</v>
      </c>
      <c r="V6" s="26" t="s">
        <v>98</v>
      </c>
      <c r="W6" s="26" t="s">
        <v>5</v>
      </c>
      <c r="X6" s="26" t="s">
        <v>102</v>
      </c>
      <c r="CJ6" s="2">
        <v>15</v>
      </c>
      <c r="CK6" s="2">
        <f>RADIANS(Tabla3[[#This Row],[Angle º]])</f>
        <v>0.26179938779914941</v>
      </c>
      <c r="CL6" s="2">
        <f t="shared" si="0"/>
        <v>15.4</v>
      </c>
      <c r="CM6" s="2">
        <f t="shared" si="1"/>
        <v>5.4</v>
      </c>
      <c r="CN6" s="2">
        <f t="shared" si="2"/>
        <v>8</v>
      </c>
      <c r="CO6" s="2">
        <f t="shared" si="3"/>
        <v>15.4</v>
      </c>
      <c r="CP6" s="2">
        <f xml:space="preserve"> (_xlfn.XLOOKUP(1,Tabla8[Selec. Solvent],Tabla8[Radius]))*SIN(CK6)+ _xlfn.XLOOKUP(1,Tabla8[Selec. Solvent],Tabla8[dD])</f>
        <v>16</v>
      </c>
      <c r="CQ6" s="2">
        <f xml:space="preserve"> _xlfn.XLOOKUP(1,Tabla8[Selec. Solvent],Tabla8[Radius])*COS(CK6)+ _xlfn.XLOOKUP(1,Tabla8[Selec. Solvent],Tabla8[dP])</f>
        <v>5</v>
      </c>
      <c r="CR6" s="2">
        <f xml:space="preserve"> _xlfn.XLOOKUP(1,Tabla8[Selec. Solvent],Tabla8[Radius])*SIN(CK6)+  _xlfn.XLOOKUP(1,Tabla8[Selec. Solvent],Tabla8[dH])</f>
        <v>5.4</v>
      </c>
      <c r="CS6" s="2">
        <f xml:space="preserve">  _xlfn.XLOOKUP(1,Tabla8[Selec. Solvent],Tabla8[Radius])*COS(CK6)+ _xlfn.XLOOKUP(1,Tabla8[Selec. Solvent],Tabla8[dD])</f>
        <v>16</v>
      </c>
      <c r="CT6" s="2">
        <f xml:space="preserve"> (_xlfn.XLOOKUP(2,Tabla8[Selec. Solvent],Tabla8[Radius]))*SIN(CK6)+ _xlfn.XLOOKUP(2,Tabla8[Selec. Solvent],Tabla8[dD])</f>
        <v>16</v>
      </c>
      <c r="CU6" s="2">
        <f xml:space="preserve"> _xlfn.XLOOKUP(2,Tabla8[Selec. Solvent],Tabla8[Radius])*COS(CK6)+ _xlfn.XLOOKUP(2,Tabla8[Selec. Solvent],Tabla8[dP])</f>
        <v>6.5</v>
      </c>
      <c r="CV6" s="2">
        <f xml:space="preserve"> _xlfn.XLOOKUP(2,Tabla8[Selec. Solvent],Tabla8[Radius])*SIN(CK6)+  _xlfn.XLOOKUP(2,Tabla8[Selec. Solvent],Tabla8[dH])</f>
        <v>2.4</v>
      </c>
      <c r="CW6" s="2">
        <f xml:space="preserve">  _xlfn.XLOOKUP(2,Tabla8[Selec. Solvent],Tabla8[Radius])*COS(CK6)+ _xlfn.XLOOKUP(2,Tabla8[Selec. Solvent],Tabla8[dD])</f>
        <v>16</v>
      </c>
      <c r="CX6" s="2">
        <f xml:space="preserve"> (_xlfn.XLOOKUP(3,Tabla8[Selec. Solvent],Tabla8[Radius]))*SIN(CK6)+ _xlfn.XLOOKUP(3,Tabla8[Selec. Solvent],Tabla8[dD])</f>
        <v>14.8</v>
      </c>
      <c r="CY6" s="2">
        <f xml:space="preserve"> _xlfn.XLOOKUP(3,Tabla8[Selec. Solvent],Tabla8[Radius])*COS(CK6)+ _xlfn.XLOOKUP(3,Tabla8[Selec. Solvent],Tabla8[dP])</f>
        <v>4.2</v>
      </c>
      <c r="CZ6" s="2">
        <f xml:space="preserve"> _xlfn.XLOOKUP(3,Tabla8[Selec. Solvent],Tabla8[Radius])*SIN(CK6)+  _xlfn.XLOOKUP(3,Tabla8[Selec. Solvent],Tabla8[dH])</f>
        <v>5.8</v>
      </c>
      <c r="DA6" s="2">
        <f xml:space="preserve">  _xlfn.XLOOKUP(,Tabla8[Selec. Solvent],Tabla8[Radius])*COS(CK6)+ _xlfn.XLOOKUP(3,Tabla8[Selec. Solvent],Tabla8[dD])</f>
        <v>14.8</v>
      </c>
      <c r="DB6" s="2">
        <f xml:space="preserve"> (_xlfn.XLOOKUP(4,Tabla8[Selec. Solvent],Tabla8[Radius]))*SIN(CK6)+ _xlfn.XLOOKUP(4,Tabla8[Selec. Solvent],Tabla8[dD])</f>
        <v>15.9</v>
      </c>
      <c r="DC6" s="2">
        <f xml:space="preserve"> _xlfn.XLOOKUP(4,Tabla8[Selec. Solvent],Tabla8[Radius])*COS(CK6)+ _xlfn.XLOOKUP(4,Tabla8[Selec. Solvent],Tabla8[dP])</f>
        <v>6</v>
      </c>
      <c r="DD6" s="2">
        <f xml:space="preserve"> _xlfn.XLOOKUP(4,Tabla8[Selec. Solvent],Tabla8[Radius])*SIN(CK6)+  _xlfn.XLOOKUP(4,Tabla8[Selec. Solvent],Tabla8[dH])</f>
        <v>6.6</v>
      </c>
      <c r="DE6" s="2">
        <f xml:space="preserve">  _xlfn.XLOOKUP(4,Tabla8[Selec. Solvent],Tabla8[Radius])*COS(CK6)+ _xlfn.XLOOKUP(4,Tabla8[Selec. Solvent],Tabla8[dD])</f>
        <v>15.9</v>
      </c>
    </row>
    <row r="7" spans="1:109" x14ac:dyDescent="0.25">
      <c r="H7" s="3" t="s">
        <v>2481</v>
      </c>
      <c r="R7" s="2">
        <v>100</v>
      </c>
      <c r="S7" s="2">
        <f>100-R7</f>
        <v>0</v>
      </c>
      <c r="T7" s="4">
        <f t="shared" ref="T7:V17" si="4">($R7*T$3+$S7*T$4)/100</f>
        <v>16</v>
      </c>
      <c r="U7" s="4">
        <f t="shared" si="4"/>
        <v>5</v>
      </c>
      <c r="V7" s="4">
        <f t="shared" si="4"/>
        <v>5.4</v>
      </c>
      <c r="W7" s="5">
        <f t="shared" ref="W7:W17" si="5">SQRT(4*(T7-dD)^2+(U7-dP)^2+(V7-dH)^2)</f>
        <v>2.8913664589601913</v>
      </c>
      <c r="X7" s="5" t="str">
        <f t="shared" ref="X7:X17" si="6">IFERROR(W7/R_, "No data in R")</f>
        <v>No data in R</v>
      </c>
      <c r="CJ7" s="2">
        <v>20</v>
      </c>
      <c r="CK7" s="2">
        <f>RADIANS(Tabla3[[#This Row],[Angle º]])</f>
        <v>0.3490658503988659</v>
      </c>
      <c r="CL7" s="2">
        <f t="shared" si="0"/>
        <v>15.4</v>
      </c>
      <c r="CM7" s="2">
        <f t="shared" si="1"/>
        <v>5.4</v>
      </c>
      <c r="CN7" s="2">
        <f t="shared" si="2"/>
        <v>8</v>
      </c>
      <c r="CO7" s="2">
        <f t="shared" si="3"/>
        <v>15.4</v>
      </c>
      <c r="CP7" s="2">
        <f xml:space="preserve"> (_xlfn.XLOOKUP(1,Tabla8[Selec. Solvent],Tabla8[Radius]))*SIN(CK7)+ _xlfn.XLOOKUP(1,Tabla8[Selec. Solvent],Tabla8[dD])</f>
        <v>16</v>
      </c>
      <c r="CQ7" s="2">
        <f xml:space="preserve"> _xlfn.XLOOKUP(1,Tabla8[Selec. Solvent],Tabla8[Radius])*COS(CK7)+ _xlfn.XLOOKUP(1,Tabla8[Selec. Solvent],Tabla8[dP])</f>
        <v>5</v>
      </c>
      <c r="CR7" s="2">
        <f xml:space="preserve"> _xlfn.XLOOKUP(1,Tabla8[Selec. Solvent],Tabla8[Radius])*SIN(CK7)+  _xlfn.XLOOKUP(1,Tabla8[Selec. Solvent],Tabla8[dH])</f>
        <v>5.4</v>
      </c>
      <c r="CS7" s="2">
        <f xml:space="preserve">  _xlfn.XLOOKUP(1,Tabla8[Selec. Solvent],Tabla8[Radius])*COS(CK7)+ _xlfn.XLOOKUP(1,Tabla8[Selec. Solvent],Tabla8[dD])</f>
        <v>16</v>
      </c>
      <c r="CT7" s="2">
        <f xml:space="preserve"> (_xlfn.XLOOKUP(2,Tabla8[Selec. Solvent],Tabla8[Radius]))*SIN(CK7)+ _xlfn.XLOOKUP(2,Tabla8[Selec. Solvent],Tabla8[dD])</f>
        <v>16</v>
      </c>
      <c r="CU7" s="2">
        <f xml:space="preserve"> _xlfn.XLOOKUP(2,Tabla8[Selec. Solvent],Tabla8[Radius])*COS(CK7)+ _xlfn.XLOOKUP(2,Tabla8[Selec. Solvent],Tabla8[dP])</f>
        <v>6.5</v>
      </c>
      <c r="CV7" s="2">
        <f xml:space="preserve"> _xlfn.XLOOKUP(2,Tabla8[Selec. Solvent],Tabla8[Radius])*SIN(CK7)+  _xlfn.XLOOKUP(2,Tabla8[Selec. Solvent],Tabla8[dH])</f>
        <v>2.4</v>
      </c>
      <c r="CW7" s="2">
        <f xml:space="preserve">  _xlfn.XLOOKUP(2,Tabla8[Selec. Solvent],Tabla8[Radius])*COS(CK7)+ _xlfn.XLOOKUP(2,Tabla8[Selec. Solvent],Tabla8[dD])</f>
        <v>16</v>
      </c>
      <c r="CX7" s="2">
        <f xml:space="preserve"> (_xlfn.XLOOKUP(3,Tabla8[Selec. Solvent],Tabla8[Radius]))*SIN(CK7)+ _xlfn.XLOOKUP(3,Tabla8[Selec. Solvent],Tabla8[dD])</f>
        <v>14.8</v>
      </c>
      <c r="CY7" s="2">
        <f xml:space="preserve"> _xlfn.XLOOKUP(3,Tabla8[Selec. Solvent],Tabla8[Radius])*COS(CK7)+ _xlfn.XLOOKUP(3,Tabla8[Selec. Solvent],Tabla8[dP])</f>
        <v>4.2</v>
      </c>
      <c r="CZ7" s="2">
        <f xml:space="preserve"> _xlfn.XLOOKUP(3,Tabla8[Selec. Solvent],Tabla8[Radius])*SIN(CK7)+  _xlfn.XLOOKUP(3,Tabla8[Selec. Solvent],Tabla8[dH])</f>
        <v>5.8</v>
      </c>
      <c r="DA7" s="2">
        <f xml:space="preserve">  _xlfn.XLOOKUP(,Tabla8[Selec. Solvent],Tabla8[Radius])*COS(CK7)+ _xlfn.XLOOKUP(3,Tabla8[Selec. Solvent],Tabla8[dD])</f>
        <v>14.8</v>
      </c>
      <c r="DB7" s="2">
        <f xml:space="preserve"> (_xlfn.XLOOKUP(4,Tabla8[Selec. Solvent],Tabla8[Radius]))*SIN(CK7)+ _xlfn.XLOOKUP(4,Tabla8[Selec. Solvent],Tabla8[dD])</f>
        <v>15.9</v>
      </c>
      <c r="DC7" s="2">
        <f xml:space="preserve"> _xlfn.XLOOKUP(4,Tabla8[Selec. Solvent],Tabla8[Radius])*COS(CK7)+ _xlfn.XLOOKUP(4,Tabla8[Selec. Solvent],Tabla8[dP])</f>
        <v>6</v>
      </c>
      <c r="DD7" s="2">
        <f xml:space="preserve"> _xlfn.XLOOKUP(4,Tabla8[Selec. Solvent],Tabla8[Radius])*SIN(CK7)+  _xlfn.XLOOKUP(4,Tabla8[Selec. Solvent],Tabla8[dH])</f>
        <v>6.6</v>
      </c>
      <c r="DE7" s="2">
        <f xml:space="preserve">  _xlfn.XLOOKUP(4,Tabla8[Selec. Solvent],Tabla8[Radius])*COS(CK7)+ _xlfn.XLOOKUP(4,Tabla8[Selec. Solvent],Tabla8[dD])</f>
        <v>15.9</v>
      </c>
    </row>
    <row r="8" spans="1:109" x14ac:dyDescent="0.25">
      <c r="H8" s="2">
        <f>SUM(Tabla8[%])</f>
        <v>100</v>
      </c>
      <c r="R8" s="2">
        <v>90</v>
      </c>
      <c r="S8" s="2">
        <f t="shared" ref="S8:S17" si="7">100-R8</f>
        <v>10</v>
      </c>
      <c r="T8" s="4">
        <f t="shared" si="4"/>
        <v>16</v>
      </c>
      <c r="U8" s="4">
        <f t="shared" si="4"/>
        <v>5.15</v>
      </c>
      <c r="V8" s="4">
        <f t="shared" si="4"/>
        <v>5.1000000000000005</v>
      </c>
      <c r="W8" s="5">
        <f t="shared" si="5"/>
        <v>3.1484122982862321</v>
      </c>
      <c r="X8" s="5" t="str">
        <f t="shared" si="6"/>
        <v>No data in R</v>
      </c>
      <c r="CJ8" s="2">
        <v>25</v>
      </c>
      <c r="CK8" s="2">
        <f>RADIANS(Tabla3[[#This Row],[Angle º]])</f>
        <v>0.43633231299858238</v>
      </c>
      <c r="CL8" s="2">
        <f t="shared" si="0"/>
        <v>15.4</v>
      </c>
      <c r="CM8" s="2">
        <f t="shared" si="1"/>
        <v>5.4</v>
      </c>
      <c r="CN8" s="2">
        <f t="shared" si="2"/>
        <v>8</v>
      </c>
      <c r="CO8" s="2">
        <f t="shared" si="3"/>
        <v>15.4</v>
      </c>
      <c r="CP8" s="2">
        <f xml:space="preserve"> (_xlfn.XLOOKUP(1,Tabla8[Selec. Solvent],Tabla8[Radius]))*SIN(CK8)+ _xlfn.XLOOKUP(1,Tabla8[Selec. Solvent],Tabla8[dD])</f>
        <v>16</v>
      </c>
      <c r="CQ8" s="2">
        <f xml:space="preserve"> _xlfn.XLOOKUP(1,Tabla8[Selec. Solvent],Tabla8[Radius])*COS(CK8)+ _xlfn.XLOOKUP(1,Tabla8[Selec. Solvent],Tabla8[dP])</f>
        <v>5</v>
      </c>
      <c r="CR8" s="2">
        <f xml:space="preserve"> _xlfn.XLOOKUP(1,Tabla8[Selec. Solvent],Tabla8[Radius])*SIN(CK8)+  _xlfn.XLOOKUP(1,Tabla8[Selec. Solvent],Tabla8[dH])</f>
        <v>5.4</v>
      </c>
      <c r="CS8" s="2">
        <f xml:space="preserve">  _xlfn.XLOOKUP(1,Tabla8[Selec. Solvent],Tabla8[Radius])*COS(CK8)+ _xlfn.XLOOKUP(1,Tabla8[Selec. Solvent],Tabla8[dD])</f>
        <v>16</v>
      </c>
      <c r="CT8" s="2">
        <f xml:space="preserve"> (_xlfn.XLOOKUP(2,Tabla8[Selec. Solvent],Tabla8[Radius]))*SIN(CK8)+ _xlfn.XLOOKUP(2,Tabla8[Selec. Solvent],Tabla8[dD])</f>
        <v>16</v>
      </c>
      <c r="CU8" s="2">
        <f xml:space="preserve"> _xlfn.XLOOKUP(2,Tabla8[Selec. Solvent],Tabla8[Radius])*COS(CK8)+ _xlfn.XLOOKUP(2,Tabla8[Selec. Solvent],Tabla8[dP])</f>
        <v>6.5</v>
      </c>
      <c r="CV8" s="2">
        <f xml:space="preserve"> _xlfn.XLOOKUP(2,Tabla8[Selec. Solvent],Tabla8[Radius])*SIN(CK8)+  _xlfn.XLOOKUP(2,Tabla8[Selec. Solvent],Tabla8[dH])</f>
        <v>2.4</v>
      </c>
      <c r="CW8" s="2">
        <f xml:space="preserve">  _xlfn.XLOOKUP(2,Tabla8[Selec. Solvent],Tabla8[Radius])*COS(CK8)+ _xlfn.XLOOKUP(2,Tabla8[Selec. Solvent],Tabla8[dD])</f>
        <v>16</v>
      </c>
      <c r="CX8" s="2">
        <f xml:space="preserve"> (_xlfn.XLOOKUP(3,Tabla8[Selec. Solvent],Tabla8[Radius]))*SIN(CK8)+ _xlfn.XLOOKUP(3,Tabla8[Selec. Solvent],Tabla8[dD])</f>
        <v>14.8</v>
      </c>
      <c r="CY8" s="2">
        <f xml:space="preserve"> _xlfn.XLOOKUP(3,Tabla8[Selec. Solvent],Tabla8[Radius])*COS(CK8)+ _xlfn.XLOOKUP(3,Tabla8[Selec. Solvent],Tabla8[dP])</f>
        <v>4.2</v>
      </c>
      <c r="CZ8" s="2">
        <f xml:space="preserve"> _xlfn.XLOOKUP(3,Tabla8[Selec. Solvent],Tabla8[Radius])*SIN(CK8)+  _xlfn.XLOOKUP(3,Tabla8[Selec. Solvent],Tabla8[dH])</f>
        <v>5.8</v>
      </c>
      <c r="DA8" s="2">
        <f xml:space="preserve">  _xlfn.XLOOKUP(,Tabla8[Selec. Solvent],Tabla8[Radius])*COS(CK8)+ _xlfn.XLOOKUP(3,Tabla8[Selec. Solvent],Tabla8[dD])</f>
        <v>14.8</v>
      </c>
      <c r="DB8" s="2">
        <f xml:space="preserve"> (_xlfn.XLOOKUP(4,Tabla8[Selec. Solvent],Tabla8[Radius]))*SIN(CK8)+ _xlfn.XLOOKUP(4,Tabla8[Selec. Solvent],Tabla8[dD])</f>
        <v>15.9</v>
      </c>
      <c r="DC8" s="2">
        <f xml:space="preserve"> _xlfn.XLOOKUP(4,Tabla8[Selec. Solvent],Tabla8[Radius])*COS(CK8)+ _xlfn.XLOOKUP(4,Tabla8[Selec. Solvent],Tabla8[dP])</f>
        <v>6</v>
      </c>
      <c r="DD8" s="2">
        <f xml:space="preserve"> _xlfn.XLOOKUP(4,Tabla8[Selec. Solvent],Tabla8[Radius])*SIN(CK8)+  _xlfn.XLOOKUP(4,Tabla8[Selec. Solvent],Tabla8[dH])</f>
        <v>6.6</v>
      </c>
      <c r="DE8" s="2">
        <f xml:space="preserve">  _xlfn.XLOOKUP(4,Tabla8[Selec. Solvent],Tabla8[Radius])*COS(CK8)+ _xlfn.XLOOKUP(4,Tabla8[Selec. Solvent],Tabla8[dD])</f>
        <v>15.9</v>
      </c>
    </row>
    <row r="9" spans="1:109" ht="15.75" thickBot="1" x14ac:dyDescent="0.3">
      <c r="A9" s="10" t="s">
        <v>2452</v>
      </c>
      <c r="B9" s="10" t="s">
        <v>3</v>
      </c>
      <c r="C9" s="10" t="s">
        <v>96</v>
      </c>
      <c r="D9" s="10" t="s">
        <v>97</v>
      </c>
      <c r="E9" s="10" t="s">
        <v>98</v>
      </c>
      <c r="F9" s="10" t="s">
        <v>4</v>
      </c>
      <c r="G9" s="10" t="s">
        <v>5</v>
      </c>
      <c r="H9" s="10" t="s">
        <v>0</v>
      </c>
      <c r="I9" s="11" t="s">
        <v>111</v>
      </c>
      <c r="J9" s="11" t="s">
        <v>112</v>
      </c>
      <c r="K9" s="11" t="s">
        <v>113</v>
      </c>
      <c r="L9" s="13" t="s">
        <v>2482</v>
      </c>
      <c r="M9" s="13" t="s">
        <v>2543</v>
      </c>
      <c r="N9" s="13" t="s">
        <v>2522</v>
      </c>
      <c r="O9" s="13" t="s">
        <v>2521</v>
      </c>
      <c r="P9" s="7"/>
      <c r="R9" s="2">
        <v>80</v>
      </c>
      <c r="S9" s="2">
        <f t="shared" si="7"/>
        <v>20</v>
      </c>
      <c r="T9" s="4">
        <f t="shared" si="4"/>
        <v>16</v>
      </c>
      <c r="U9" s="4">
        <f t="shared" si="4"/>
        <v>5.3</v>
      </c>
      <c r="V9" s="4">
        <f t="shared" si="4"/>
        <v>4.8</v>
      </c>
      <c r="W9" s="5">
        <f t="shared" si="5"/>
        <v>3.419064199455752</v>
      </c>
      <c r="X9" s="5" t="str">
        <f t="shared" si="6"/>
        <v>No data in R</v>
      </c>
      <c r="CJ9" s="2">
        <v>30</v>
      </c>
      <c r="CK9" s="2">
        <f>RADIANS(Tabla3[[#This Row],[Angle º]])</f>
        <v>0.52359877559829882</v>
      </c>
      <c r="CL9" s="2">
        <f t="shared" si="0"/>
        <v>15.4</v>
      </c>
      <c r="CM9" s="2">
        <f t="shared" si="1"/>
        <v>5.4</v>
      </c>
      <c r="CN9" s="2">
        <f t="shared" si="2"/>
        <v>8</v>
      </c>
      <c r="CO9" s="2">
        <f t="shared" si="3"/>
        <v>15.4</v>
      </c>
      <c r="CP9" s="2">
        <f xml:space="preserve"> (_xlfn.XLOOKUP(1,Tabla8[Selec. Solvent],Tabla8[Radius]))*SIN(CK9)+ _xlfn.XLOOKUP(1,Tabla8[Selec. Solvent],Tabla8[dD])</f>
        <v>16</v>
      </c>
      <c r="CQ9" s="2">
        <f xml:space="preserve"> _xlfn.XLOOKUP(1,Tabla8[Selec. Solvent],Tabla8[Radius])*COS(CK9)+ _xlfn.XLOOKUP(1,Tabla8[Selec. Solvent],Tabla8[dP])</f>
        <v>5</v>
      </c>
      <c r="CR9" s="2">
        <f xml:space="preserve"> _xlfn.XLOOKUP(1,Tabla8[Selec. Solvent],Tabla8[Radius])*SIN(CK9)+  _xlfn.XLOOKUP(1,Tabla8[Selec. Solvent],Tabla8[dH])</f>
        <v>5.4</v>
      </c>
      <c r="CS9" s="2">
        <f xml:space="preserve">  _xlfn.XLOOKUP(1,Tabla8[Selec. Solvent],Tabla8[Radius])*COS(CK9)+ _xlfn.XLOOKUP(1,Tabla8[Selec. Solvent],Tabla8[dD])</f>
        <v>16</v>
      </c>
      <c r="CT9" s="2">
        <f xml:space="preserve"> (_xlfn.XLOOKUP(2,Tabla8[Selec. Solvent],Tabla8[Radius]))*SIN(CK9)+ _xlfn.XLOOKUP(2,Tabla8[Selec. Solvent],Tabla8[dD])</f>
        <v>16</v>
      </c>
      <c r="CU9" s="2">
        <f xml:space="preserve"> _xlfn.XLOOKUP(2,Tabla8[Selec. Solvent],Tabla8[Radius])*COS(CK9)+ _xlfn.XLOOKUP(2,Tabla8[Selec. Solvent],Tabla8[dP])</f>
        <v>6.5</v>
      </c>
      <c r="CV9" s="2">
        <f xml:space="preserve"> _xlfn.XLOOKUP(2,Tabla8[Selec. Solvent],Tabla8[Radius])*SIN(CK9)+  _xlfn.XLOOKUP(2,Tabla8[Selec. Solvent],Tabla8[dH])</f>
        <v>2.4</v>
      </c>
      <c r="CW9" s="2">
        <f xml:space="preserve">  _xlfn.XLOOKUP(2,Tabla8[Selec. Solvent],Tabla8[Radius])*COS(CK9)+ _xlfn.XLOOKUP(2,Tabla8[Selec. Solvent],Tabla8[dD])</f>
        <v>16</v>
      </c>
      <c r="CX9" s="2">
        <f xml:space="preserve"> (_xlfn.XLOOKUP(3,Tabla8[Selec. Solvent],Tabla8[Radius]))*SIN(CK9)+ _xlfn.XLOOKUP(3,Tabla8[Selec. Solvent],Tabla8[dD])</f>
        <v>14.8</v>
      </c>
      <c r="CY9" s="2">
        <f xml:space="preserve"> _xlfn.XLOOKUP(3,Tabla8[Selec. Solvent],Tabla8[Radius])*COS(CK9)+ _xlfn.XLOOKUP(3,Tabla8[Selec. Solvent],Tabla8[dP])</f>
        <v>4.2</v>
      </c>
      <c r="CZ9" s="2">
        <f xml:space="preserve"> _xlfn.XLOOKUP(3,Tabla8[Selec. Solvent],Tabla8[Radius])*SIN(CK9)+  _xlfn.XLOOKUP(3,Tabla8[Selec. Solvent],Tabla8[dH])</f>
        <v>5.8</v>
      </c>
      <c r="DA9" s="2">
        <f xml:space="preserve">  _xlfn.XLOOKUP(,Tabla8[Selec. Solvent],Tabla8[Radius])*COS(CK9)+ _xlfn.XLOOKUP(3,Tabla8[Selec. Solvent],Tabla8[dD])</f>
        <v>14.8</v>
      </c>
      <c r="DB9" s="2">
        <f xml:space="preserve"> (_xlfn.XLOOKUP(4,Tabla8[Selec. Solvent],Tabla8[Radius]))*SIN(CK9)+ _xlfn.XLOOKUP(4,Tabla8[Selec. Solvent],Tabla8[dD])</f>
        <v>15.9</v>
      </c>
      <c r="DC9" s="2">
        <f xml:space="preserve"> _xlfn.XLOOKUP(4,Tabla8[Selec. Solvent],Tabla8[Radius])*COS(CK9)+ _xlfn.XLOOKUP(4,Tabla8[Selec. Solvent],Tabla8[dP])</f>
        <v>6</v>
      </c>
      <c r="DD9" s="2">
        <f xml:space="preserve"> _xlfn.XLOOKUP(4,Tabla8[Selec. Solvent],Tabla8[Radius])*SIN(CK9)+  _xlfn.XLOOKUP(4,Tabla8[Selec. Solvent],Tabla8[dH])</f>
        <v>6.6</v>
      </c>
      <c r="DE9" s="2">
        <f xml:space="preserve">  _xlfn.XLOOKUP(4,Tabla8[Selec. Solvent],Tabla8[Radius])*COS(CK9)+ _xlfn.XLOOKUP(4,Tabla8[Selec. Solvent],Tabla8[dD])</f>
        <v>15.9</v>
      </c>
    </row>
    <row r="10" spans="1:109" x14ac:dyDescent="0.25">
      <c r="A10" s="16" t="s">
        <v>2394</v>
      </c>
      <c r="B10" s="2" t="str">
        <f>VLOOKUP(Tabla8[[#This Row],[CAS]],Tabla1[],2,FALSE)</f>
        <v>Vinyl Butyl Ether</v>
      </c>
      <c r="C10" s="4">
        <f>VLOOKUP(Tabla8[[#This Row],[CAS]],Tabla1[],3,FALSE)</f>
        <v>15.2</v>
      </c>
      <c r="D10" s="4">
        <f>VLOOKUP(Tabla8[[#This Row],[CAS]],Tabla1[],4,FALSE)</f>
        <v>4.0999999999999996</v>
      </c>
      <c r="E10" s="4">
        <f>VLOOKUP(Tabla8[[#This Row],[CAS]],Tabla1[],5,FALSE)</f>
        <v>5.0999999999999996</v>
      </c>
      <c r="F10" s="2" t="str">
        <f>VLOOKUP(Tabla8[[#This Row],[CAS]],Tabla1[],6,FALSE)</f>
        <v/>
      </c>
      <c r="G10" s="4">
        <f>SQRT(4*  (dD-Tabla8[[#This Row],[dD]])^2    +   (dP-Tabla8[[#This Row],[dP]])^2   +    (dH-Tabla8[[#This Row],[dH]])^2)</f>
        <v>3.2031234756093943</v>
      </c>
      <c r="H10" s="16">
        <v>87</v>
      </c>
      <c r="I10" s="2">
        <f>IF(Tabla8[[#This Row],[%]]&lt;&gt;"",Tabla8[[#This Row],[%]]/100*Tabla8[[#This Row],[dD]],"")</f>
        <v>13.224</v>
      </c>
      <c r="J10" s="2">
        <f>IF(Tabla8[[#This Row],[%]]&lt;&gt;"",Tabla8[[#This Row],[%]]/100*Tabla8[[#This Row],[dP]],"")</f>
        <v>3.5669999999999997</v>
      </c>
      <c r="K10" s="2">
        <f>IF(Tabla8[[#This Row],[%]]&lt;&gt;"",Tabla8[[#This Row],[%]]/100*Tabla8[[#This Row],[dH]],"")</f>
        <v>4.4369999999999994</v>
      </c>
      <c r="L10" s="2">
        <f>VLOOKUP(Tabla8[[#This Row],[CAS]],Tabla1[],8,FALSE)</f>
        <v>0</v>
      </c>
      <c r="M10" s="5" t="str">
        <f>IF((Tabla8[[#This Row],[Radius]])=0, "No Radius", SQRT(Tabla8[[#This Row],[Distance]]^2)-(Tabla8[[#This Row],[Radius]]+ R_))</f>
        <v>No Radius</v>
      </c>
      <c r="N10" s="16"/>
      <c r="O10" s="40" t="str">
        <f>IFERROR(_xlfn.XLOOKUP(Tabla8[[#This Row],[Selec. Solvent]], Tabla12[Nº],Tabla12[% Total]), "-")</f>
        <v>-</v>
      </c>
      <c r="R10" s="2">
        <v>70</v>
      </c>
      <c r="S10" s="2">
        <f t="shared" si="7"/>
        <v>30</v>
      </c>
      <c r="T10" s="4">
        <f t="shared" si="4"/>
        <v>16</v>
      </c>
      <c r="U10" s="4">
        <f t="shared" si="4"/>
        <v>5.45</v>
      </c>
      <c r="V10" s="4">
        <f t="shared" si="4"/>
        <v>4.5</v>
      </c>
      <c r="W10" s="5">
        <f t="shared" si="5"/>
        <v>3.7003378224156775</v>
      </c>
      <c r="X10" s="5" t="str">
        <f t="shared" si="6"/>
        <v>No data in R</v>
      </c>
      <c r="CJ10" s="2">
        <v>35</v>
      </c>
      <c r="CK10" s="2">
        <f>RADIANS(Tabla3[[#This Row],[Angle º]])</f>
        <v>0.6108652381980153</v>
      </c>
      <c r="CL10" s="2">
        <f t="shared" si="0"/>
        <v>15.4</v>
      </c>
      <c r="CM10" s="2">
        <f t="shared" si="1"/>
        <v>5.4</v>
      </c>
      <c r="CN10" s="2">
        <f t="shared" si="2"/>
        <v>8</v>
      </c>
      <c r="CO10" s="2">
        <f t="shared" si="3"/>
        <v>15.4</v>
      </c>
      <c r="CP10" s="2">
        <f xml:space="preserve"> (_xlfn.XLOOKUP(1,Tabla8[Selec. Solvent],Tabla8[Radius]))*SIN(CK10)+ _xlfn.XLOOKUP(1,Tabla8[Selec. Solvent],Tabla8[dD])</f>
        <v>16</v>
      </c>
      <c r="CQ10" s="2">
        <f xml:space="preserve"> _xlfn.XLOOKUP(1,Tabla8[Selec. Solvent],Tabla8[Radius])*COS(CK10)+ _xlfn.XLOOKUP(1,Tabla8[Selec. Solvent],Tabla8[dP])</f>
        <v>5</v>
      </c>
      <c r="CR10" s="2">
        <f xml:space="preserve"> _xlfn.XLOOKUP(1,Tabla8[Selec. Solvent],Tabla8[Radius])*SIN(CK10)+  _xlfn.XLOOKUP(1,Tabla8[Selec. Solvent],Tabla8[dH])</f>
        <v>5.4</v>
      </c>
      <c r="CS10" s="2">
        <f xml:space="preserve">  _xlfn.XLOOKUP(1,Tabla8[Selec. Solvent],Tabla8[Radius])*COS(CK10)+ _xlfn.XLOOKUP(1,Tabla8[Selec. Solvent],Tabla8[dD])</f>
        <v>16</v>
      </c>
      <c r="CT10" s="2">
        <f xml:space="preserve"> (_xlfn.XLOOKUP(2,Tabla8[Selec. Solvent],Tabla8[Radius]))*SIN(CK10)+ _xlfn.XLOOKUP(2,Tabla8[Selec. Solvent],Tabla8[dD])</f>
        <v>16</v>
      </c>
      <c r="CU10" s="2">
        <f xml:space="preserve"> _xlfn.XLOOKUP(2,Tabla8[Selec. Solvent],Tabla8[Radius])*COS(CK10)+ _xlfn.XLOOKUP(2,Tabla8[Selec. Solvent],Tabla8[dP])</f>
        <v>6.5</v>
      </c>
      <c r="CV10" s="2">
        <f xml:space="preserve"> _xlfn.XLOOKUP(2,Tabla8[Selec. Solvent],Tabla8[Radius])*SIN(CK10)+  _xlfn.XLOOKUP(2,Tabla8[Selec. Solvent],Tabla8[dH])</f>
        <v>2.4</v>
      </c>
      <c r="CW10" s="2">
        <f xml:space="preserve">  _xlfn.XLOOKUP(2,Tabla8[Selec. Solvent],Tabla8[Radius])*COS(CK10)+ _xlfn.XLOOKUP(2,Tabla8[Selec. Solvent],Tabla8[dD])</f>
        <v>16</v>
      </c>
      <c r="CX10" s="2">
        <f xml:space="preserve"> (_xlfn.XLOOKUP(3,Tabla8[Selec. Solvent],Tabla8[Radius]))*SIN(CK10)+ _xlfn.XLOOKUP(3,Tabla8[Selec. Solvent],Tabla8[dD])</f>
        <v>14.8</v>
      </c>
      <c r="CY10" s="2">
        <f xml:space="preserve"> _xlfn.XLOOKUP(3,Tabla8[Selec. Solvent],Tabla8[Radius])*COS(CK10)+ _xlfn.XLOOKUP(3,Tabla8[Selec. Solvent],Tabla8[dP])</f>
        <v>4.2</v>
      </c>
      <c r="CZ10" s="2">
        <f xml:space="preserve"> _xlfn.XLOOKUP(3,Tabla8[Selec. Solvent],Tabla8[Radius])*SIN(CK10)+  _xlfn.XLOOKUP(3,Tabla8[Selec. Solvent],Tabla8[dH])</f>
        <v>5.8</v>
      </c>
      <c r="DA10" s="2">
        <f xml:space="preserve">  _xlfn.XLOOKUP(,Tabla8[Selec. Solvent],Tabla8[Radius])*COS(CK10)+ _xlfn.XLOOKUP(3,Tabla8[Selec. Solvent],Tabla8[dD])</f>
        <v>14.8</v>
      </c>
      <c r="DB10" s="2">
        <f xml:space="preserve"> (_xlfn.XLOOKUP(4,Tabla8[Selec. Solvent],Tabla8[Radius]))*SIN(CK10)+ _xlfn.XLOOKUP(4,Tabla8[Selec. Solvent],Tabla8[dD])</f>
        <v>15.9</v>
      </c>
      <c r="DC10" s="2">
        <f xml:space="preserve"> _xlfn.XLOOKUP(4,Tabla8[Selec. Solvent],Tabla8[Radius])*COS(CK10)+ _xlfn.XLOOKUP(4,Tabla8[Selec. Solvent],Tabla8[dP])</f>
        <v>6</v>
      </c>
      <c r="DD10" s="2">
        <f xml:space="preserve"> _xlfn.XLOOKUP(4,Tabla8[Selec. Solvent],Tabla8[Radius])*SIN(CK10)+  _xlfn.XLOOKUP(4,Tabla8[Selec. Solvent],Tabla8[dH])</f>
        <v>6.6</v>
      </c>
      <c r="DE10" s="2">
        <f xml:space="preserve">  _xlfn.XLOOKUP(4,Tabla8[Selec. Solvent],Tabla8[Radius])*COS(CK10)+ _xlfn.XLOOKUP(4,Tabla8[Selec. Solvent],Tabla8[dD])</f>
        <v>15.9</v>
      </c>
    </row>
    <row r="11" spans="1:109" x14ac:dyDescent="0.25">
      <c r="A11" s="16" t="s">
        <v>2396</v>
      </c>
      <c r="B11" s="2" t="str">
        <f>VLOOKUP(Tabla8[[#This Row],[CAS]],Tabla1[],2,FALSE)</f>
        <v>Vinyl Butyl Sulfide</v>
      </c>
      <c r="C11" s="4">
        <f>VLOOKUP(Tabla8[[#This Row],[CAS]],Tabla1[],3,FALSE)</f>
        <v>16</v>
      </c>
      <c r="D11" s="4">
        <f>VLOOKUP(Tabla8[[#This Row],[CAS]],Tabla1[],4,FALSE)</f>
        <v>5</v>
      </c>
      <c r="E11" s="4">
        <f>VLOOKUP(Tabla8[[#This Row],[CAS]],Tabla1[],5,FALSE)</f>
        <v>5.4</v>
      </c>
      <c r="F11" s="2" t="str">
        <f>VLOOKUP(Tabla8[[#This Row],[CAS]],Tabla1[],6,FALSE)</f>
        <v/>
      </c>
      <c r="G11" s="4">
        <f>SQRT(4*  (dD-Tabla8[[#This Row],[dD]])^2    +   (dP-Tabla8[[#This Row],[dP]])^2   +    (dH-Tabla8[[#This Row],[dH]])^2)</f>
        <v>2.8913664589601913</v>
      </c>
      <c r="H11" s="16"/>
      <c r="I11" s="2" t="str">
        <f>IF(Tabla8[[#This Row],[%]]&lt;&gt;"",Tabla8[[#This Row],[%]]/100*Tabla8[[#This Row],[dD]],"")</f>
        <v/>
      </c>
      <c r="J11" s="2" t="str">
        <f>IF(Tabla8[[#This Row],[%]]&lt;&gt;"",Tabla8[[#This Row],[%]]/100*Tabla8[[#This Row],[dP]],"")</f>
        <v/>
      </c>
      <c r="K11" s="2" t="str">
        <f>IF(Tabla8[[#This Row],[%]]&lt;&gt;"",Tabla8[[#This Row],[%]]/100*Tabla8[[#This Row],[dH]],"")</f>
        <v/>
      </c>
      <c r="L11" s="2">
        <f>VLOOKUP(Tabla8[[#This Row],[CAS]],Tabla1[],8,FALSE)</f>
        <v>0</v>
      </c>
      <c r="M11" s="5" t="str">
        <f>IF((Tabla8[[#This Row],[Radius]])=0, "No Radius", SQRT(Tabla8[[#This Row],[Distance]]^2)-(Tabla8[[#This Row],[Radius]]+ R_))</f>
        <v>No Radius</v>
      </c>
      <c r="N11" s="16">
        <v>1</v>
      </c>
      <c r="O11" s="40">
        <f>IFERROR(_xlfn.XLOOKUP(Tabla8[[#This Row],[Selec. Solvent]], Tabla12[Nº],Tabla12[% Total]), "-")</f>
        <v>0</v>
      </c>
      <c r="R11" s="2">
        <v>60</v>
      </c>
      <c r="S11" s="2">
        <f t="shared" si="7"/>
        <v>40</v>
      </c>
      <c r="T11" s="4">
        <f t="shared" si="4"/>
        <v>16</v>
      </c>
      <c r="U11" s="4">
        <f t="shared" si="4"/>
        <v>5.6</v>
      </c>
      <c r="V11" s="4">
        <f t="shared" si="4"/>
        <v>4.2</v>
      </c>
      <c r="W11" s="5">
        <f t="shared" si="5"/>
        <v>3.9899874686520005</v>
      </c>
      <c r="X11" s="5" t="str">
        <f t="shared" si="6"/>
        <v>No data in R</v>
      </c>
      <c r="CJ11" s="2">
        <v>40</v>
      </c>
      <c r="CK11" s="2">
        <f>RADIANS(Tabla3[[#This Row],[Angle º]])</f>
        <v>0.69813170079773179</v>
      </c>
      <c r="CL11" s="2">
        <f t="shared" si="0"/>
        <v>15.4</v>
      </c>
      <c r="CM11" s="2">
        <f t="shared" si="1"/>
        <v>5.4</v>
      </c>
      <c r="CN11" s="2">
        <f t="shared" si="2"/>
        <v>8</v>
      </c>
      <c r="CO11" s="2">
        <f t="shared" si="3"/>
        <v>15.4</v>
      </c>
      <c r="CP11" s="2">
        <f xml:space="preserve"> (_xlfn.XLOOKUP(1,Tabla8[Selec. Solvent],Tabla8[Radius]))*SIN(CK11)+ _xlfn.XLOOKUP(1,Tabla8[Selec. Solvent],Tabla8[dD])</f>
        <v>16</v>
      </c>
      <c r="CQ11" s="2">
        <f xml:space="preserve"> _xlfn.XLOOKUP(1,Tabla8[Selec. Solvent],Tabla8[Radius])*COS(CK11)+ _xlfn.XLOOKUP(1,Tabla8[Selec. Solvent],Tabla8[dP])</f>
        <v>5</v>
      </c>
      <c r="CR11" s="2">
        <f xml:space="preserve"> _xlfn.XLOOKUP(1,Tabla8[Selec. Solvent],Tabla8[Radius])*SIN(CK11)+  _xlfn.XLOOKUP(1,Tabla8[Selec. Solvent],Tabla8[dH])</f>
        <v>5.4</v>
      </c>
      <c r="CS11" s="2">
        <f xml:space="preserve">  _xlfn.XLOOKUP(1,Tabla8[Selec. Solvent],Tabla8[Radius])*COS(CK11)+ _xlfn.XLOOKUP(1,Tabla8[Selec. Solvent],Tabla8[dD])</f>
        <v>16</v>
      </c>
      <c r="CT11" s="2">
        <f xml:space="preserve"> (_xlfn.XLOOKUP(2,Tabla8[Selec. Solvent],Tabla8[Radius]))*SIN(CK11)+ _xlfn.XLOOKUP(2,Tabla8[Selec. Solvent],Tabla8[dD])</f>
        <v>16</v>
      </c>
      <c r="CU11" s="2">
        <f xml:space="preserve"> _xlfn.XLOOKUP(2,Tabla8[Selec. Solvent],Tabla8[Radius])*COS(CK11)+ _xlfn.XLOOKUP(2,Tabla8[Selec. Solvent],Tabla8[dP])</f>
        <v>6.5</v>
      </c>
      <c r="CV11" s="2">
        <f xml:space="preserve"> _xlfn.XLOOKUP(2,Tabla8[Selec. Solvent],Tabla8[Radius])*SIN(CK11)+  _xlfn.XLOOKUP(2,Tabla8[Selec. Solvent],Tabla8[dH])</f>
        <v>2.4</v>
      </c>
      <c r="CW11" s="2">
        <f xml:space="preserve">  _xlfn.XLOOKUP(2,Tabla8[Selec. Solvent],Tabla8[Radius])*COS(CK11)+ _xlfn.XLOOKUP(2,Tabla8[Selec. Solvent],Tabla8[dD])</f>
        <v>16</v>
      </c>
      <c r="CX11" s="2">
        <f xml:space="preserve"> (_xlfn.XLOOKUP(3,Tabla8[Selec. Solvent],Tabla8[Radius]))*SIN(CK11)+ _xlfn.XLOOKUP(3,Tabla8[Selec. Solvent],Tabla8[dD])</f>
        <v>14.8</v>
      </c>
      <c r="CY11" s="2">
        <f xml:space="preserve"> _xlfn.XLOOKUP(3,Tabla8[Selec. Solvent],Tabla8[Radius])*COS(CK11)+ _xlfn.XLOOKUP(3,Tabla8[Selec. Solvent],Tabla8[dP])</f>
        <v>4.2</v>
      </c>
      <c r="CZ11" s="2">
        <f xml:space="preserve"> _xlfn.XLOOKUP(3,Tabla8[Selec. Solvent],Tabla8[Radius])*SIN(CK11)+  _xlfn.XLOOKUP(3,Tabla8[Selec. Solvent],Tabla8[dH])</f>
        <v>5.8</v>
      </c>
      <c r="DA11" s="2">
        <f xml:space="preserve">  _xlfn.XLOOKUP(,Tabla8[Selec. Solvent],Tabla8[Radius])*COS(CK11)+ _xlfn.XLOOKUP(3,Tabla8[Selec. Solvent],Tabla8[dD])</f>
        <v>14.8</v>
      </c>
      <c r="DB11" s="2">
        <f xml:space="preserve"> (_xlfn.XLOOKUP(4,Tabla8[Selec. Solvent],Tabla8[Radius]))*SIN(CK11)+ _xlfn.XLOOKUP(4,Tabla8[Selec. Solvent],Tabla8[dD])</f>
        <v>15.9</v>
      </c>
      <c r="DC11" s="2">
        <f xml:space="preserve"> _xlfn.XLOOKUP(4,Tabla8[Selec. Solvent],Tabla8[Radius])*COS(CK11)+ _xlfn.XLOOKUP(4,Tabla8[Selec. Solvent],Tabla8[dP])</f>
        <v>6</v>
      </c>
      <c r="DD11" s="2">
        <f xml:space="preserve"> _xlfn.XLOOKUP(4,Tabla8[Selec. Solvent],Tabla8[Radius])*SIN(CK11)+  _xlfn.XLOOKUP(4,Tabla8[Selec. Solvent],Tabla8[dH])</f>
        <v>6.6</v>
      </c>
      <c r="DE11" s="2">
        <f xml:space="preserve">  _xlfn.XLOOKUP(4,Tabla8[Selec. Solvent],Tabla8[Radius])*COS(CK11)+ _xlfn.XLOOKUP(4,Tabla8[Selec. Solvent],Tabla8[dD])</f>
        <v>15.9</v>
      </c>
    </row>
    <row r="12" spans="1:109" x14ac:dyDescent="0.25">
      <c r="A12" s="16" t="s">
        <v>2398</v>
      </c>
      <c r="B12" s="2" t="str">
        <f>VLOOKUP(Tabla8[[#This Row],[CAS]],Tabla1[],2,FALSE)</f>
        <v>Vinyl Butyrate</v>
      </c>
      <c r="C12" s="4">
        <f>VLOOKUP(Tabla8[[#This Row],[CAS]],Tabla1[],3,FALSE)</f>
        <v>15.6</v>
      </c>
      <c r="D12" s="4">
        <f>VLOOKUP(Tabla8[[#This Row],[CAS]],Tabla1[],4,FALSE)</f>
        <v>3.9</v>
      </c>
      <c r="E12" s="4">
        <f>VLOOKUP(Tabla8[[#This Row],[CAS]],Tabla1[],5,FALSE)</f>
        <v>6.9</v>
      </c>
      <c r="F12" s="2" t="str">
        <f>VLOOKUP(Tabla8[[#This Row],[CAS]],Tabla1[],6,FALSE)</f>
        <v/>
      </c>
      <c r="G12" s="4">
        <f>SQRT(4*  (dD-Tabla8[[#This Row],[dD]])^2    +   (dP-Tabla8[[#This Row],[dP]])^2   +    (dH-Tabla8[[#This Row],[dH]])^2)</f>
        <v>1.9026297590440446</v>
      </c>
      <c r="H12" s="16"/>
      <c r="I12" s="2" t="str">
        <f>IF(Tabla8[[#This Row],[%]]&lt;&gt;"",Tabla8[[#This Row],[%]]/100*Tabla8[[#This Row],[dD]],"")</f>
        <v/>
      </c>
      <c r="J12" s="2" t="str">
        <f>IF(Tabla8[[#This Row],[%]]&lt;&gt;"",Tabla8[[#This Row],[%]]/100*Tabla8[[#This Row],[dP]],"")</f>
        <v/>
      </c>
      <c r="K12" s="2" t="str">
        <f>IF(Tabla8[[#This Row],[%]]&lt;&gt;"",Tabla8[[#This Row],[%]]/100*Tabla8[[#This Row],[dH]],"")</f>
        <v/>
      </c>
      <c r="L12" s="2">
        <f>VLOOKUP(Tabla8[[#This Row],[CAS]],Tabla1[],8,FALSE)</f>
        <v>0</v>
      </c>
      <c r="M12" s="5" t="str">
        <f>IF((Tabla8[[#This Row],[Radius]])=0, "No Radius", SQRT(Tabla8[[#This Row],[Distance]]^2)-(Tabla8[[#This Row],[Radius]]+ R_))</f>
        <v>No Radius</v>
      </c>
      <c r="N12" s="16"/>
      <c r="O12" s="40" t="str">
        <f>IFERROR(_xlfn.XLOOKUP(Tabla8[[#This Row],[Selec. Solvent]], Tabla12[Nº],Tabla12[% Total]), "-")</f>
        <v>-</v>
      </c>
      <c r="R12" s="2">
        <v>50</v>
      </c>
      <c r="S12" s="2">
        <f t="shared" si="7"/>
        <v>50</v>
      </c>
      <c r="T12" s="4">
        <f>($R12*T$3+$S12*T$4)/100</f>
        <v>16</v>
      </c>
      <c r="U12" s="4">
        <f t="shared" si="4"/>
        <v>5.75</v>
      </c>
      <c r="V12" s="4">
        <f t="shared" si="4"/>
        <v>3.9</v>
      </c>
      <c r="W12" s="5">
        <f t="shared" si="5"/>
        <v>4.2863154340295573</v>
      </c>
      <c r="X12" s="5" t="str">
        <f t="shared" si="6"/>
        <v>No data in R</v>
      </c>
      <c r="BH12" s="2" t="s">
        <v>2480</v>
      </c>
      <c r="BI12" s="2" t="s">
        <v>114</v>
      </c>
      <c r="BJ12" s="2" t="s">
        <v>115</v>
      </c>
      <c r="BK12" s="2" t="s">
        <v>96</v>
      </c>
      <c r="BL12" s="2" t="s">
        <v>97</v>
      </c>
      <c r="BM12" s="2" t="s">
        <v>98</v>
      </c>
      <c r="CJ12" s="2">
        <v>45</v>
      </c>
      <c r="CK12" s="2">
        <f>RADIANS(Tabla3[[#This Row],[Angle º]])</f>
        <v>0.78539816339744828</v>
      </c>
      <c r="CL12" s="2">
        <f t="shared" si="0"/>
        <v>15.4</v>
      </c>
      <c r="CM12" s="2">
        <f t="shared" si="1"/>
        <v>5.4</v>
      </c>
      <c r="CN12" s="2">
        <f t="shared" si="2"/>
        <v>8</v>
      </c>
      <c r="CO12" s="2">
        <f t="shared" si="3"/>
        <v>15.4</v>
      </c>
      <c r="CP12" s="2">
        <f xml:space="preserve"> (_xlfn.XLOOKUP(1,Tabla8[Selec. Solvent],Tabla8[Radius]))*SIN(CK12)+ _xlfn.XLOOKUP(1,Tabla8[Selec. Solvent],Tabla8[dD])</f>
        <v>16</v>
      </c>
      <c r="CQ12" s="2">
        <f xml:space="preserve"> _xlfn.XLOOKUP(1,Tabla8[Selec. Solvent],Tabla8[Radius])*COS(CK12)+ _xlfn.XLOOKUP(1,Tabla8[Selec. Solvent],Tabla8[dP])</f>
        <v>5</v>
      </c>
      <c r="CR12" s="2">
        <f xml:space="preserve"> _xlfn.XLOOKUP(1,Tabla8[Selec. Solvent],Tabla8[Radius])*SIN(CK12)+  _xlfn.XLOOKUP(1,Tabla8[Selec. Solvent],Tabla8[dH])</f>
        <v>5.4</v>
      </c>
      <c r="CS12" s="2">
        <f xml:space="preserve">  _xlfn.XLOOKUP(1,Tabla8[Selec. Solvent],Tabla8[Radius])*COS(CK12)+ _xlfn.XLOOKUP(1,Tabla8[Selec. Solvent],Tabla8[dD])</f>
        <v>16</v>
      </c>
      <c r="CT12" s="2">
        <f xml:space="preserve"> (_xlfn.XLOOKUP(2,Tabla8[Selec. Solvent],Tabla8[Radius]))*SIN(CK12)+ _xlfn.XLOOKUP(2,Tabla8[Selec. Solvent],Tabla8[dD])</f>
        <v>16</v>
      </c>
      <c r="CU12" s="2">
        <f xml:space="preserve"> _xlfn.XLOOKUP(2,Tabla8[Selec. Solvent],Tabla8[Radius])*COS(CK12)+ _xlfn.XLOOKUP(2,Tabla8[Selec. Solvent],Tabla8[dP])</f>
        <v>6.5</v>
      </c>
      <c r="CV12" s="2">
        <f xml:space="preserve"> _xlfn.XLOOKUP(2,Tabla8[Selec. Solvent],Tabla8[Radius])*SIN(CK12)+  _xlfn.XLOOKUP(2,Tabla8[Selec. Solvent],Tabla8[dH])</f>
        <v>2.4</v>
      </c>
      <c r="CW12" s="2">
        <f xml:space="preserve">  _xlfn.XLOOKUP(2,Tabla8[Selec. Solvent],Tabla8[Radius])*COS(CK12)+ _xlfn.XLOOKUP(2,Tabla8[Selec. Solvent],Tabla8[dD])</f>
        <v>16</v>
      </c>
      <c r="CX12" s="2">
        <f xml:space="preserve"> (_xlfn.XLOOKUP(3,Tabla8[Selec. Solvent],Tabla8[Radius]))*SIN(CK12)+ _xlfn.XLOOKUP(3,Tabla8[Selec. Solvent],Tabla8[dD])</f>
        <v>14.8</v>
      </c>
      <c r="CY12" s="2">
        <f xml:space="preserve"> _xlfn.XLOOKUP(3,Tabla8[Selec. Solvent],Tabla8[Radius])*COS(CK12)+ _xlfn.XLOOKUP(3,Tabla8[Selec. Solvent],Tabla8[dP])</f>
        <v>4.2</v>
      </c>
      <c r="CZ12" s="2">
        <f xml:space="preserve"> _xlfn.XLOOKUP(3,Tabla8[Selec. Solvent],Tabla8[Radius])*SIN(CK12)+  _xlfn.XLOOKUP(3,Tabla8[Selec. Solvent],Tabla8[dH])</f>
        <v>5.8</v>
      </c>
      <c r="DA12" s="2">
        <f xml:space="preserve">  _xlfn.XLOOKUP(,Tabla8[Selec. Solvent],Tabla8[Radius])*COS(CK12)+ _xlfn.XLOOKUP(3,Tabla8[Selec. Solvent],Tabla8[dD])</f>
        <v>14.8</v>
      </c>
      <c r="DB12" s="2">
        <f xml:space="preserve"> (_xlfn.XLOOKUP(4,Tabla8[Selec. Solvent],Tabla8[Radius]))*SIN(CK12)+ _xlfn.XLOOKUP(4,Tabla8[Selec. Solvent],Tabla8[dD])</f>
        <v>15.9</v>
      </c>
      <c r="DC12" s="2">
        <f xml:space="preserve"> _xlfn.XLOOKUP(4,Tabla8[Selec. Solvent],Tabla8[Radius])*COS(CK12)+ _xlfn.XLOOKUP(4,Tabla8[Selec. Solvent],Tabla8[dP])</f>
        <v>6</v>
      </c>
      <c r="DD12" s="2">
        <f xml:space="preserve"> _xlfn.XLOOKUP(4,Tabla8[Selec. Solvent],Tabla8[Radius])*SIN(CK12)+  _xlfn.XLOOKUP(4,Tabla8[Selec. Solvent],Tabla8[dH])</f>
        <v>6.6</v>
      </c>
      <c r="DE12" s="2">
        <f xml:space="preserve">  _xlfn.XLOOKUP(4,Tabla8[Selec. Solvent],Tabla8[Radius])*COS(CK12)+ _xlfn.XLOOKUP(4,Tabla8[Selec. Solvent],Tabla8[dD])</f>
        <v>15.9</v>
      </c>
    </row>
    <row r="13" spans="1:109" x14ac:dyDescent="0.25">
      <c r="A13" s="16" t="s">
        <v>2400</v>
      </c>
      <c r="B13" s="2" t="str">
        <f>VLOOKUP(Tabla8[[#This Row],[CAS]],Tabla1[],2,FALSE)</f>
        <v>Vinyl Carbitol</v>
      </c>
      <c r="C13" s="4">
        <f>VLOOKUP(Tabla8[[#This Row],[CAS]],Tabla1[],3,FALSE)</f>
        <v>16.3</v>
      </c>
      <c r="D13" s="4">
        <f>VLOOKUP(Tabla8[[#This Row],[CAS]],Tabla1[],4,FALSE)</f>
        <v>7.5</v>
      </c>
      <c r="E13" s="4">
        <f>VLOOKUP(Tabla8[[#This Row],[CAS]],Tabla1[],5,FALSE)</f>
        <v>13.8</v>
      </c>
      <c r="F13" s="2" t="str">
        <f>VLOOKUP(Tabla8[[#This Row],[CAS]],Tabla1[],6,FALSE)</f>
        <v/>
      </c>
      <c r="G13" s="4">
        <f>SQRT(4*  (dD-Tabla8[[#This Row],[dD]])^2    +   (dP-Tabla8[[#This Row],[dP]])^2   +    (dH-Tabla8[[#This Row],[dH]])^2)</f>
        <v>6.4257295305669384</v>
      </c>
      <c r="H13" s="16"/>
      <c r="I13" s="2" t="str">
        <f>IF(Tabla8[[#This Row],[%]]&lt;&gt;"",Tabla8[[#This Row],[%]]/100*Tabla8[[#This Row],[dD]],"")</f>
        <v/>
      </c>
      <c r="J13" s="2" t="str">
        <f>IF(Tabla8[[#This Row],[%]]&lt;&gt;"",Tabla8[[#This Row],[%]]/100*Tabla8[[#This Row],[dP]],"")</f>
        <v/>
      </c>
      <c r="K13" s="2" t="str">
        <f>IF(Tabla8[[#This Row],[%]]&lt;&gt;"",Tabla8[[#This Row],[%]]/100*Tabla8[[#This Row],[dH]],"")</f>
        <v/>
      </c>
      <c r="L13" s="2">
        <f>VLOOKUP(Tabla8[[#This Row],[CAS]],Tabla1[],8,FALSE)</f>
        <v>0</v>
      </c>
      <c r="M13" s="5" t="str">
        <f>IF((Tabla8[[#This Row],[Radius]])=0, "No Radius", SQRT(Tabla8[[#This Row],[Distance]]^2)-(Tabla8[[#This Row],[Radius]]+ R_))</f>
        <v>No Radius</v>
      </c>
      <c r="N13" s="16"/>
      <c r="O13" s="40" t="str">
        <f>IFERROR(_xlfn.XLOOKUP(Tabla8[[#This Row],[Selec. Solvent]], Tabla12[Nº],Tabla12[% Total]), "-")</f>
        <v>-</v>
      </c>
      <c r="R13" s="2">
        <v>40</v>
      </c>
      <c r="S13" s="2">
        <f t="shared" si="7"/>
        <v>60</v>
      </c>
      <c r="T13" s="4">
        <f t="shared" si="4"/>
        <v>16</v>
      </c>
      <c r="U13" s="4">
        <f t="shared" si="4"/>
        <v>5.9</v>
      </c>
      <c r="V13" s="4">
        <f t="shared" si="4"/>
        <v>3.6</v>
      </c>
      <c r="W13" s="5">
        <f t="shared" si="5"/>
        <v>4.5880278987817853</v>
      </c>
      <c r="X13" s="5" t="str">
        <f t="shared" si="6"/>
        <v>No data in R</v>
      </c>
      <c r="BH13" s="2">
        <f>MIN(Tabla5[Distance])</f>
        <v>2.8913664589601913</v>
      </c>
      <c r="BI13" s="2" cm="1">
        <f t="array" ref="BI13">_xlfn._xlws.FILTER(Tabla5[S1 (%)],Tabla5[Distance]=$BH$13)</f>
        <v>100</v>
      </c>
      <c r="BJ13" s="2" cm="1">
        <f t="array" ref="BJ13">_xlfn._xlws.FILTER(Tabla5[S2 (%)],Tabla5[Distance]=$BH$13)</f>
        <v>0</v>
      </c>
      <c r="BK13" s="2" cm="1">
        <f t="array" ref="BK13">_xlfn._xlws.FILTER(Tabla5[dD],Tabla5[Distance]=$BH$13)</f>
        <v>16</v>
      </c>
      <c r="BL13" s="2" cm="1">
        <f t="array" ref="BL13">_xlfn._xlws.FILTER(Tabla5[dP],Tabla5[Distance]=$BH$13)</f>
        <v>5</v>
      </c>
      <c r="BM13" s="2" cm="1">
        <f t="array" ref="BM13">_xlfn._xlws.FILTER(Tabla5[dH],Tabla5[Distance]=$BH$13)</f>
        <v>5.4</v>
      </c>
      <c r="BN13" s="2">
        <f>MIN(Tabla8[Distance])</f>
        <v>1.4696938456699069</v>
      </c>
      <c r="CJ13" s="2">
        <v>50</v>
      </c>
      <c r="CK13" s="2">
        <f>RADIANS(Tabla3[[#This Row],[Angle º]])</f>
        <v>0.87266462599716477</v>
      </c>
      <c r="CL13" s="2">
        <f t="shared" si="0"/>
        <v>15.4</v>
      </c>
      <c r="CM13" s="2">
        <f t="shared" si="1"/>
        <v>5.4</v>
      </c>
      <c r="CN13" s="2">
        <f t="shared" si="2"/>
        <v>8</v>
      </c>
      <c r="CO13" s="2">
        <f t="shared" si="3"/>
        <v>15.4</v>
      </c>
      <c r="CP13" s="2">
        <f xml:space="preserve"> (_xlfn.XLOOKUP(1,Tabla8[Selec. Solvent],Tabla8[Radius]))*SIN(CK13)+ _xlfn.XLOOKUP(1,Tabla8[Selec. Solvent],Tabla8[dD])</f>
        <v>16</v>
      </c>
      <c r="CQ13" s="2">
        <f xml:space="preserve"> _xlfn.XLOOKUP(1,Tabla8[Selec. Solvent],Tabla8[Radius])*COS(CK13)+ _xlfn.XLOOKUP(1,Tabla8[Selec. Solvent],Tabla8[dP])</f>
        <v>5</v>
      </c>
      <c r="CR13" s="2">
        <f xml:space="preserve"> _xlfn.XLOOKUP(1,Tabla8[Selec. Solvent],Tabla8[Radius])*SIN(CK13)+  _xlfn.XLOOKUP(1,Tabla8[Selec. Solvent],Tabla8[dH])</f>
        <v>5.4</v>
      </c>
      <c r="CS13" s="2">
        <f xml:space="preserve">  _xlfn.XLOOKUP(1,Tabla8[Selec. Solvent],Tabla8[Radius])*COS(CK13)+ _xlfn.XLOOKUP(1,Tabla8[Selec. Solvent],Tabla8[dD])</f>
        <v>16</v>
      </c>
      <c r="CT13" s="2">
        <f xml:space="preserve"> (_xlfn.XLOOKUP(2,Tabla8[Selec. Solvent],Tabla8[Radius]))*SIN(CK13)+ _xlfn.XLOOKUP(2,Tabla8[Selec. Solvent],Tabla8[dD])</f>
        <v>16</v>
      </c>
      <c r="CU13" s="2">
        <f xml:space="preserve"> _xlfn.XLOOKUP(2,Tabla8[Selec. Solvent],Tabla8[Radius])*COS(CK13)+ _xlfn.XLOOKUP(2,Tabla8[Selec. Solvent],Tabla8[dP])</f>
        <v>6.5</v>
      </c>
      <c r="CV13" s="2">
        <f xml:space="preserve"> _xlfn.XLOOKUP(2,Tabla8[Selec. Solvent],Tabla8[Radius])*SIN(CK13)+  _xlfn.XLOOKUP(2,Tabla8[Selec. Solvent],Tabla8[dH])</f>
        <v>2.4</v>
      </c>
      <c r="CW13" s="2">
        <f xml:space="preserve">  _xlfn.XLOOKUP(2,Tabla8[Selec. Solvent],Tabla8[Radius])*COS(CK13)+ _xlfn.XLOOKUP(2,Tabla8[Selec. Solvent],Tabla8[dD])</f>
        <v>16</v>
      </c>
      <c r="CX13" s="2">
        <f xml:space="preserve"> (_xlfn.XLOOKUP(3,Tabla8[Selec. Solvent],Tabla8[Radius]))*SIN(CK13)+ _xlfn.XLOOKUP(3,Tabla8[Selec. Solvent],Tabla8[dD])</f>
        <v>14.8</v>
      </c>
      <c r="CY13" s="2">
        <f xml:space="preserve"> _xlfn.XLOOKUP(3,Tabla8[Selec. Solvent],Tabla8[Radius])*COS(CK13)+ _xlfn.XLOOKUP(3,Tabla8[Selec. Solvent],Tabla8[dP])</f>
        <v>4.2</v>
      </c>
      <c r="CZ13" s="2">
        <f xml:space="preserve"> _xlfn.XLOOKUP(3,Tabla8[Selec. Solvent],Tabla8[Radius])*SIN(CK13)+  _xlfn.XLOOKUP(3,Tabla8[Selec. Solvent],Tabla8[dH])</f>
        <v>5.8</v>
      </c>
      <c r="DA13" s="2">
        <f xml:space="preserve">  _xlfn.XLOOKUP(,Tabla8[Selec. Solvent],Tabla8[Radius])*COS(CK13)+ _xlfn.XLOOKUP(3,Tabla8[Selec. Solvent],Tabla8[dD])</f>
        <v>14.8</v>
      </c>
      <c r="DB13" s="2">
        <f xml:space="preserve"> (_xlfn.XLOOKUP(4,Tabla8[Selec. Solvent],Tabla8[Radius]))*SIN(CK13)+ _xlfn.XLOOKUP(4,Tabla8[Selec. Solvent],Tabla8[dD])</f>
        <v>15.9</v>
      </c>
      <c r="DC13" s="2">
        <f xml:space="preserve"> _xlfn.XLOOKUP(4,Tabla8[Selec. Solvent],Tabla8[Radius])*COS(CK13)+ _xlfn.XLOOKUP(4,Tabla8[Selec. Solvent],Tabla8[dP])</f>
        <v>6</v>
      </c>
      <c r="DD13" s="2">
        <f xml:space="preserve"> _xlfn.XLOOKUP(4,Tabla8[Selec. Solvent],Tabla8[Radius])*SIN(CK13)+  _xlfn.XLOOKUP(4,Tabla8[Selec. Solvent],Tabla8[dH])</f>
        <v>6.6</v>
      </c>
      <c r="DE13" s="2">
        <f xml:space="preserve">  _xlfn.XLOOKUP(4,Tabla8[Selec. Solvent],Tabla8[Radius])*COS(CK13)+ _xlfn.XLOOKUP(4,Tabla8[Selec. Solvent],Tabla8[dD])</f>
        <v>15.9</v>
      </c>
    </row>
    <row r="14" spans="1:109" x14ac:dyDescent="0.25">
      <c r="A14" s="16" t="s">
        <v>2402</v>
      </c>
      <c r="B14" s="2" t="str">
        <f>VLOOKUP(Tabla8[[#This Row],[CAS]],Tabla1[],2,FALSE)</f>
        <v>Vinyl Chloride</v>
      </c>
      <c r="C14" s="4">
        <f>VLOOKUP(Tabla8[[#This Row],[CAS]],Tabla1[],3,FALSE)</f>
        <v>16</v>
      </c>
      <c r="D14" s="4">
        <f>VLOOKUP(Tabla8[[#This Row],[CAS]],Tabla1[],4,FALSE)</f>
        <v>6.5</v>
      </c>
      <c r="E14" s="4">
        <f>VLOOKUP(Tabla8[[#This Row],[CAS]],Tabla1[],5,FALSE)</f>
        <v>2.4</v>
      </c>
      <c r="F14" s="2" t="str">
        <f>VLOOKUP(Tabla8[[#This Row],[CAS]],Tabla1[],6,FALSE)</f>
        <v/>
      </c>
      <c r="G14" s="4">
        <f>SQRT(4*  (dD-Tabla8[[#This Row],[dD]])^2    +   (dP-Tabla8[[#This Row],[dP]])^2   +    (dH-Tabla8[[#This Row],[dH]])^2)</f>
        <v>5.8318093247293321</v>
      </c>
      <c r="H14" s="16">
        <v>13</v>
      </c>
      <c r="I14" s="2">
        <f>IF(Tabla8[[#This Row],[%]]&lt;&gt;"",Tabla8[[#This Row],[%]]/100*Tabla8[[#This Row],[dD]],"")</f>
        <v>2.08</v>
      </c>
      <c r="J14" s="2">
        <f>IF(Tabla8[[#This Row],[%]]&lt;&gt;"",Tabla8[[#This Row],[%]]/100*Tabla8[[#This Row],[dP]],"")</f>
        <v>0.84499999999999997</v>
      </c>
      <c r="K14" s="2">
        <f>IF(Tabla8[[#This Row],[%]]&lt;&gt;"",Tabla8[[#This Row],[%]]/100*Tabla8[[#This Row],[dH]],"")</f>
        <v>0.312</v>
      </c>
      <c r="L14" s="2">
        <f>VLOOKUP(Tabla8[[#This Row],[CAS]],Tabla1[],8,FALSE)</f>
        <v>0</v>
      </c>
      <c r="M14" s="5" t="str">
        <f>IF((Tabla8[[#This Row],[Radius]])=0, "No Radius", SQRT(Tabla8[[#This Row],[Distance]]^2)-(Tabla8[[#This Row],[Radius]]+ R_))</f>
        <v>No Radius</v>
      </c>
      <c r="N14" s="45">
        <v>2</v>
      </c>
      <c r="O14" s="40">
        <f>IFERROR(_xlfn.XLOOKUP(Tabla8[[#This Row],[Selec. Solvent]], Tabla12[Nº],Tabla12[% Total]), "-")</f>
        <v>0</v>
      </c>
      <c r="R14" s="2">
        <v>30</v>
      </c>
      <c r="S14" s="2">
        <f t="shared" si="7"/>
        <v>70</v>
      </c>
      <c r="T14" s="4">
        <f t="shared" si="4"/>
        <v>16</v>
      </c>
      <c r="U14" s="4">
        <f t="shared" si="4"/>
        <v>6.05</v>
      </c>
      <c r="V14" s="4">
        <f t="shared" si="4"/>
        <v>3.3</v>
      </c>
      <c r="W14" s="5">
        <f t="shared" si="5"/>
        <v>4.8941291360159269</v>
      </c>
      <c r="X14" s="5" t="str">
        <f t="shared" si="6"/>
        <v>No data in R</v>
      </c>
      <c r="CJ14" s="2">
        <v>55</v>
      </c>
      <c r="CK14" s="2">
        <f>RADIANS(Tabla3[[#This Row],[Angle º]])</f>
        <v>0.95993108859688125</v>
      </c>
      <c r="CL14" s="2">
        <f t="shared" si="0"/>
        <v>15.4</v>
      </c>
      <c r="CM14" s="2">
        <f t="shared" si="1"/>
        <v>5.4</v>
      </c>
      <c r="CN14" s="2">
        <f t="shared" si="2"/>
        <v>8</v>
      </c>
      <c r="CO14" s="2">
        <f t="shared" si="3"/>
        <v>15.4</v>
      </c>
      <c r="CP14" s="2">
        <f xml:space="preserve"> (_xlfn.XLOOKUP(1,Tabla8[Selec. Solvent],Tabla8[Radius]))*SIN(CK14)+ _xlfn.XLOOKUP(1,Tabla8[Selec. Solvent],Tabla8[dD])</f>
        <v>16</v>
      </c>
      <c r="CQ14" s="2">
        <f xml:space="preserve"> _xlfn.XLOOKUP(1,Tabla8[Selec. Solvent],Tabla8[Radius])*COS(CK14)+ _xlfn.XLOOKUP(1,Tabla8[Selec. Solvent],Tabla8[dP])</f>
        <v>5</v>
      </c>
      <c r="CR14" s="2">
        <f xml:space="preserve"> _xlfn.XLOOKUP(1,Tabla8[Selec. Solvent],Tabla8[Radius])*SIN(CK14)+  _xlfn.XLOOKUP(1,Tabla8[Selec. Solvent],Tabla8[dH])</f>
        <v>5.4</v>
      </c>
      <c r="CS14" s="2">
        <f xml:space="preserve">  _xlfn.XLOOKUP(1,Tabla8[Selec. Solvent],Tabla8[Radius])*COS(CK14)+ _xlfn.XLOOKUP(1,Tabla8[Selec. Solvent],Tabla8[dD])</f>
        <v>16</v>
      </c>
      <c r="CT14" s="2">
        <f xml:space="preserve"> (_xlfn.XLOOKUP(2,Tabla8[Selec. Solvent],Tabla8[Radius]))*SIN(CK14)+ _xlfn.XLOOKUP(2,Tabla8[Selec. Solvent],Tabla8[dD])</f>
        <v>16</v>
      </c>
      <c r="CU14" s="2">
        <f xml:space="preserve"> _xlfn.XLOOKUP(2,Tabla8[Selec. Solvent],Tabla8[Radius])*COS(CK14)+ _xlfn.XLOOKUP(2,Tabla8[Selec. Solvent],Tabla8[dP])</f>
        <v>6.5</v>
      </c>
      <c r="CV14" s="2">
        <f xml:space="preserve"> _xlfn.XLOOKUP(2,Tabla8[Selec. Solvent],Tabla8[Radius])*SIN(CK14)+  _xlfn.XLOOKUP(2,Tabla8[Selec. Solvent],Tabla8[dH])</f>
        <v>2.4</v>
      </c>
      <c r="CW14" s="2">
        <f xml:space="preserve">  _xlfn.XLOOKUP(2,Tabla8[Selec. Solvent],Tabla8[Radius])*COS(CK14)+ _xlfn.XLOOKUP(2,Tabla8[Selec. Solvent],Tabla8[dD])</f>
        <v>16</v>
      </c>
      <c r="CX14" s="2">
        <f xml:space="preserve"> (_xlfn.XLOOKUP(3,Tabla8[Selec. Solvent],Tabla8[Radius]))*SIN(CK14)+ _xlfn.XLOOKUP(3,Tabla8[Selec. Solvent],Tabla8[dD])</f>
        <v>14.8</v>
      </c>
      <c r="CY14" s="2">
        <f xml:space="preserve"> _xlfn.XLOOKUP(3,Tabla8[Selec. Solvent],Tabla8[Radius])*COS(CK14)+ _xlfn.XLOOKUP(3,Tabla8[Selec. Solvent],Tabla8[dP])</f>
        <v>4.2</v>
      </c>
      <c r="CZ14" s="2">
        <f xml:space="preserve"> _xlfn.XLOOKUP(3,Tabla8[Selec. Solvent],Tabla8[Radius])*SIN(CK14)+  _xlfn.XLOOKUP(3,Tabla8[Selec. Solvent],Tabla8[dH])</f>
        <v>5.8</v>
      </c>
      <c r="DA14" s="2">
        <f xml:space="preserve">  _xlfn.XLOOKUP(,Tabla8[Selec. Solvent],Tabla8[Radius])*COS(CK14)+ _xlfn.XLOOKUP(3,Tabla8[Selec. Solvent],Tabla8[dD])</f>
        <v>14.8</v>
      </c>
      <c r="DB14" s="2">
        <f xml:space="preserve"> (_xlfn.XLOOKUP(4,Tabla8[Selec. Solvent],Tabla8[Radius]))*SIN(CK14)+ _xlfn.XLOOKUP(4,Tabla8[Selec. Solvent],Tabla8[dD])</f>
        <v>15.9</v>
      </c>
      <c r="DC14" s="2">
        <f xml:space="preserve"> _xlfn.XLOOKUP(4,Tabla8[Selec. Solvent],Tabla8[Radius])*COS(CK14)+ _xlfn.XLOOKUP(4,Tabla8[Selec. Solvent],Tabla8[dP])</f>
        <v>6</v>
      </c>
      <c r="DD14" s="2">
        <f xml:space="preserve"> _xlfn.XLOOKUP(4,Tabla8[Selec. Solvent],Tabla8[Radius])*SIN(CK14)+  _xlfn.XLOOKUP(4,Tabla8[Selec. Solvent],Tabla8[dH])</f>
        <v>6.6</v>
      </c>
      <c r="DE14" s="2">
        <f xml:space="preserve">  _xlfn.XLOOKUP(4,Tabla8[Selec. Solvent],Tabla8[Radius])*COS(CK14)+ _xlfn.XLOOKUP(4,Tabla8[Selec. Solvent],Tabla8[dD])</f>
        <v>15.9</v>
      </c>
    </row>
    <row r="15" spans="1:109" x14ac:dyDescent="0.25">
      <c r="A15" s="16" t="s">
        <v>2404</v>
      </c>
      <c r="B15" s="2" t="str">
        <f>VLOOKUP(Tabla8[[#This Row],[CAS]],Tabla1[],2,FALSE)</f>
        <v>Vinyl Crotonate</v>
      </c>
      <c r="C15" s="4">
        <f>VLOOKUP(Tabla8[[#This Row],[CAS]],Tabla1[],3,FALSE)</f>
        <v>15.9</v>
      </c>
      <c r="D15" s="4">
        <f>VLOOKUP(Tabla8[[#This Row],[CAS]],Tabla1[],4,FALSE)</f>
        <v>5</v>
      </c>
      <c r="E15" s="4">
        <f>VLOOKUP(Tabla8[[#This Row],[CAS]],Tabla1[],5,FALSE)</f>
        <v>9</v>
      </c>
      <c r="F15" s="2" t="str">
        <f>VLOOKUP(Tabla8[[#This Row],[CAS]],Tabla1[],6,FALSE)</f>
        <v/>
      </c>
      <c r="G15" s="4">
        <f>SQRT(4*  (dD-Tabla8[[#This Row],[dD]])^2    +   (dP-Tabla8[[#This Row],[dP]])^2   +    (dH-Tabla8[[#This Row],[dH]])^2)</f>
        <v>1.4696938456699069</v>
      </c>
      <c r="H15" s="16"/>
      <c r="I15" s="2" t="str">
        <f>IF(Tabla8[[#This Row],[%]]&lt;&gt;"",Tabla8[[#This Row],[%]]/100*Tabla8[[#This Row],[dD]],"")</f>
        <v/>
      </c>
      <c r="J15" s="2" t="str">
        <f>IF(Tabla8[[#This Row],[%]]&lt;&gt;"",Tabla8[[#This Row],[%]]/100*Tabla8[[#This Row],[dP]],"")</f>
        <v/>
      </c>
      <c r="K15" s="2" t="str">
        <f>IF(Tabla8[[#This Row],[%]]&lt;&gt;"",Tabla8[[#This Row],[%]]/100*Tabla8[[#This Row],[dH]],"")</f>
        <v/>
      </c>
      <c r="L15" s="2">
        <f>VLOOKUP(Tabla8[[#This Row],[CAS]],Tabla1[],8,FALSE)</f>
        <v>0</v>
      </c>
      <c r="M15" s="5" t="str">
        <f>IF((Tabla8[[#This Row],[Radius]])=0, "No Radius", SQRT(Tabla8[[#This Row],[Distance]]^2)-(Tabla8[[#This Row],[Radius]]+ R_))</f>
        <v>No Radius</v>
      </c>
      <c r="N15" s="45"/>
      <c r="O15" s="40" t="str">
        <f>IFERROR(_xlfn.XLOOKUP(Tabla8[[#This Row],[Selec. Solvent]], Tabla12[Nº],Tabla12[% Total]), "-")</f>
        <v>-</v>
      </c>
      <c r="R15" s="2">
        <v>20</v>
      </c>
      <c r="S15" s="2">
        <f t="shared" si="7"/>
        <v>80</v>
      </c>
      <c r="T15" s="4">
        <f t="shared" si="4"/>
        <v>16</v>
      </c>
      <c r="U15" s="4">
        <f t="shared" si="4"/>
        <v>6.2</v>
      </c>
      <c r="V15" s="4">
        <f t="shared" si="4"/>
        <v>3</v>
      </c>
      <c r="W15" s="5">
        <f t="shared" si="5"/>
        <v>5.2038447325030752</v>
      </c>
      <c r="X15" s="5" t="str">
        <f t="shared" si="6"/>
        <v>No data in R</v>
      </c>
      <c r="CJ15" s="2">
        <v>60</v>
      </c>
      <c r="CK15" s="2">
        <f>RADIANS(Tabla3[[#This Row],[Angle º]])</f>
        <v>1.0471975511965976</v>
      </c>
      <c r="CL15" s="2">
        <f t="shared" si="0"/>
        <v>15.4</v>
      </c>
      <c r="CM15" s="2">
        <f t="shared" si="1"/>
        <v>5.4</v>
      </c>
      <c r="CN15" s="2">
        <f t="shared" si="2"/>
        <v>8</v>
      </c>
      <c r="CO15" s="2">
        <f t="shared" si="3"/>
        <v>15.4</v>
      </c>
      <c r="CP15" s="2">
        <f xml:space="preserve"> (_xlfn.XLOOKUP(1,Tabla8[Selec. Solvent],Tabla8[Radius]))*SIN(CK15)+ _xlfn.XLOOKUP(1,Tabla8[Selec. Solvent],Tabla8[dD])</f>
        <v>16</v>
      </c>
      <c r="CQ15" s="2">
        <f xml:space="preserve"> _xlfn.XLOOKUP(1,Tabla8[Selec. Solvent],Tabla8[Radius])*COS(CK15)+ _xlfn.XLOOKUP(1,Tabla8[Selec. Solvent],Tabla8[dP])</f>
        <v>5</v>
      </c>
      <c r="CR15" s="2">
        <f xml:space="preserve"> _xlfn.XLOOKUP(1,Tabla8[Selec. Solvent],Tabla8[Radius])*SIN(CK15)+  _xlfn.XLOOKUP(1,Tabla8[Selec. Solvent],Tabla8[dH])</f>
        <v>5.4</v>
      </c>
      <c r="CS15" s="2">
        <f xml:space="preserve">  _xlfn.XLOOKUP(1,Tabla8[Selec. Solvent],Tabla8[Radius])*COS(CK15)+ _xlfn.XLOOKUP(1,Tabla8[Selec. Solvent],Tabla8[dD])</f>
        <v>16</v>
      </c>
      <c r="CT15" s="2">
        <f xml:space="preserve"> (_xlfn.XLOOKUP(2,Tabla8[Selec. Solvent],Tabla8[Radius]))*SIN(CK15)+ _xlfn.XLOOKUP(2,Tabla8[Selec. Solvent],Tabla8[dD])</f>
        <v>16</v>
      </c>
      <c r="CU15" s="2">
        <f xml:space="preserve"> _xlfn.XLOOKUP(2,Tabla8[Selec. Solvent],Tabla8[Radius])*COS(CK15)+ _xlfn.XLOOKUP(2,Tabla8[Selec. Solvent],Tabla8[dP])</f>
        <v>6.5</v>
      </c>
      <c r="CV15" s="2">
        <f xml:space="preserve"> _xlfn.XLOOKUP(2,Tabla8[Selec. Solvent],Tabla8[Radius])*SIN(CK15)+  _xlfn.XLOOKUP(2,Tabla8[Selec. Solvent],Tabla8[dH])</f>
        <v>2.4</v>
      </c>
      <c r="CW15" s="2">
        <f xml:space="preserve">  _xlfn.XLOOKUP(2,Tabla8[Selec. Solvent],Tabla8[Radius])*COS(CK15)+ _xlfn.XLOOKUP(2,Tabla8[Selec. Solvent],Tabla8[dD])</f>
        <v>16</v>
      </c>
      <c r="CX15" s="2">
        <f xml:space="preserve"> (_xlfn.XLOOKUP(3,Tabla8[Selec. Solvent],Tabla8[Radius]))*SIN(CK15)+ _xlfn.XLOOKUP(3,Tabla8[Selec. Solvent],Tabla8[dD])</f>
        <v>14.8</v>
      </c>
      <c r="CY15" s="2">
        <f xml:space="preserve"> _xlfn.XLOOKUP(3,Tabla8[Selec. Solvent],Tabla8[Radius])*COS(CK15)+ _xlfn.XLOOKUP(3,Tabla8[Selec. Solvent],Tabla8[dP])</f>
        <v>4.2</v>
      </c>
      <c r="CZ15" s="2">
        <f xml:space="preserve"> _xlfn.XLOOKUP(3,Tabla8[Selec. Solvent],Tabla8[Radius])*SIN(CK15)+  _xlfn.XLOOKUP(3,Tabla8[Selec. Solvent],Tabla8[dH])</f>
        <v>5.8</v>
      </c>
      <c r="DA15" s="2">
        <f xml:space="preserve">  _xlfn.XLOOKUP(,Tabla8[Selec. Solvent],Tabla8[Radius])*COS(CK15)+ _xlfn.XLOOKUP(3,Tabla8[Selec. Solvent],Tabla8[dD])</f>
        <v>14.8</v>
      </c>
      <c r="DB15" s="2">
        <f xml:space="preserve"> (_xlfn.XLOOKUP(4,Tabla8[Selec. Solvent],Tabla8[Radius]))*SIN(CK15)+ _xlfn.XLOOKUP(4,Tabla8[Selec. Solvent],Tabla8[dD])</f>
        <v>15.9</v>
      </c>
      <c r="DC15" s="2">
        <f xml:space="preserve"> _xlfn.XLOOKUP(4,Tabla8[Selec. Solvent],Tabla8[Radius])*COS(CK15)+ _xlfn.XLOOKUP(4,Tabla8[Selec. Solvent],Tabla8[dP])</f>
        <v>6</v>
      </c>
      <c r="DD15" s="2">
        <f xml:space="preserve"> _xlfn.XLOOKUP(4,Tabla8[Selec. Solvent],Tabla8[Radius])*SIN(CK15)+  _xlfn.XLOOKUP(4,Tabla8[Selec. Solvent],Tabla8[dH])</f>
        <v>6.6</v>
      </c>
      <c r="DE15" s="2">
        <f xml:space="preserve">  _xlfn.XLOOKUP(4,Tabla8[Selec. Solvent],Tabla8[Radius])*COS(CK15)+ _xlfn.XLOOKUP(4,Tabla8[Selec. Solvent],Tabla8[dD])</f>
        <v>15.9</v>
      </c>
    </row>
    <row r="16" spans="1:109" x14ac:dyDescent="0.25">
      <c r="A16" s="16" t="s">
        <v>2406</v>
      </c>
      <c r="B16" s="2" t="str">
        <f>VLOOKUP(Tabla8[[#This Row],[CAS]],Tabla1[],2,FALSE)</f>
        <v>Vinyl Ether</v>
      </c>
      <c r="C16" s="4">
        <f>VLOOKUP(Tabla8[[#This Row],[CAS]],Tabla1[],3,FALSE)</f>
        <v>14.8</v>
      </c>
      <c r="D16" s="4">
        <f>VLOOKUP(Tabla8[[#This Row],[CAS]],Tabla1[],4,FALSE)</f>
        <v>4.2</v>
      </c>
      <c r="E16" s="4">
        <f>VLOOKUP(Tabla8[[#This Row],[CAS]],Tabla1[],5,FALSE)</f>
        <v>5.8</v>
      </c>
      <c r="F16" s="2" t="str">
        <f>VLOOKUP(Tabla8[[#This Row],[CAS]],Tabla1[],6,FALSE)</f>
        <v/>
      </c>
      <c r="G16" s="4">
        <f>SQRT(4*  (dD-Tabla8[[#This Row],[dD]])^2    +   (dP-Tabla8[[#This Row],[dP]])^2   +    (dH-Tabla8[[#This Row],[dH]])^2)</f>
        <v>2.7784887978899611</v>
      </c>
      <c r="H16" s="16"/>
      <c r="I16" s="2" t="str">
        <f>IF(Tabla8[[#This Row],[%]]&lt;&gt;"",Tabla8[[#This Row],[%]]/100*Tabla8[[#This Row],[dD]],"")</f>
        <v/>
      </c>
      <c r="J16" s="2" t="str">
        <f>IF(Tabla8[[#This Row],[%]]&lt;&gt;"",Tabla8[[#This Row],[%]]/100*Tabla8[[#This Row],[dP]],"")</f>
        <v/>
      </c>
      <c r="K16" s="2" t="str">
        <f>IF(Tabla8[[#This Row],[%]]&lt;&gt;"",Tabla8[[#This Row],[%]]/100*Tabla8[[#This Row],[dH]],"")</f>
        <v/>
      </c>
      <c r="L16" s="2">
        <f>VLOOKUP(Tabla8[[#This Row],[CAS]],Tabla1[],8,FALSE)</f>
        <v>0</v>
      </c>
      <c r="M16" s="5" t="str">
        <f>IF((Tabla8[[#This Row],[Radius]])=0, "No Radius", SQRT(Tabla8[[#This Row],[Distance]]^2)-(Tabla8[[#This Row],[Radius]]+ R_))</f>
        <v>No Radius</v>
      </c>
      <c r="N16" s="16">
        <v>3</v>
      </c>
      <c r="O16" s="41">
        <f>IFERROR(_xlfn.XLOOKUP(Tabla8[[#This Row],[Selec. Solvent]], Tabla12[Nº],Tabla12[% Total]), "-")</f>
        <v>0.24771878943809225</v>
      </c>
      <c r="R16" s="2">
        <v>10</v>
      </c>
      <c r="S16" s="2">
        <f t="shared" si="7"/>
        <v>90</v>
      </c>
      <c r="T16" s="4">
        <f t="shared" si="4"/>
        <v>16</v>
      </c>
      <c r="U16" s="4">
        <f t="shared" si="4"/>
        <v>6.35</v>
      </c>
      <c r="V16" s="4">
        <f t="shared" si="4"/>
        <v>2.7</v>
      </c>
      <c r="W16" s="5">
        <f t="shared" si="5"/>
        <v>5.5165659608129403</v>
      </c>
      <c r="X16" s="5" t="str">
        <f t="shared" si="6"/>
        <v>No data in R</v>
      </c>
      <c r="CJ16" s="2">
        <v>65</v>
      </c>
      <c r="CK16" s="2">
        <f>RADIANS(Tabla3[[#This Row],[Angle º]])</f>
        <v>1.1344640137963142</v>
      </c>
      <c r="CL16" s="2">
        <f t="shared" si="0"/>
        <v>15.4</v>
      </c>
      <c r="CM16" s="2">
        <f t="shared" si="1"/>
        <v>5.4</v>
      </c>
      <c r="CN16" s="2">
        <f t="shared" si="2"/>
        <v>8</v>
      </c>
      <c r="CO16" s="2">
        <f t="shared" si="3"/>
        <v>15.4</v>
      </c>
      <c r="CP16" s="2">
        <f xml:space="preserve"> (_xlfn.XLOOKUP(1,Tabla8[Selec. Solvent],Tabla8[Radius]))*SIN(CK16)+ _xlfn.XLOOKUP(1,Tabla8[Selec. Solvent],Tabla8[dD])</f>
        <v>16</v>
      </c>
      <c r="CQ16" s="2">
        <f xml:space="preserve"> _xlfn.XLOOKUP(1,Tabla8[Selec. Solvent],Tabla8[Radius])*COS(CK16)+ _xlfn.XLOOKUP(1,Tabla8[Selec. Solvent],Tabla8[dP])</f>
        <v>5</v>
      </c>
      <c r="CR16" s="2">
        <f xml:space="preserve"> _xlfn.XLOOKUP(1,Tabla8[Selec. Solvent],Tabla8[Radius])*SIN(CK16)+  _xlfn.XLOOKUP(1,Tabla8[Selec. Solvent],Tabla8[dH])</f>
        <v>5.4</v>
      </c>
      <c r="CS16" s="2">
        <f xml:space="preserve">  _xlfn.XLOOKUP(1,Tabla8[Selec. Solvent],Tabla8[Radius])*COS(CK16)+ _xlfn.XLOOKUP(1,Tabla8[Selec. Solvent],Tabla8[dD])</f>
        <v>16</v>
      </c>
      <c r="CT16" s="2">
        <f xml:space="preserve"> (_xlfn.XLOOKUP(2,Tabla8[Selec. Solvent],Tabla8[Radius]))*SIN(CK16)+ _xlfn.XLOOKUP(2,Tabla8[Selec. Solvent],Tabla8[dD])</f>
        <v>16</v>
      </c>
      <c r="CU16" s="2">
        <f xml:space="preserve"> _xlfn.XLOOKUP(2,Tabla8[Selec. Solvent],Tabla8[Radius])*COS(CK16)+ _xlfn.XLOOKUP(2,Tabla8[Selec. Solvent],Tabla8[dP])</f>
        <v>6.5</v>
      </c>
      <c r="CV16" s="2">
        <f xml:space="preserve"> _xlfn.XLOOKUP(2,Tabla8[Selec. Solvent],Tabla8[Radius])*SIN(CK16)+  _xlfn.XLOOKUP(2,Tabla8[Selec. Solvent],Tabla8[dH])</f>
        <v>2.4</v>
      </c>
      <c r="CW16" s="2">
        <f xml:space="preserve">  _xlfn.XLOOKUP(2,Tabla8[Selec. Solvent],Tabla8[Radius])*COS(CK16)+ _xlfn.XLOOKUP(2,Tabla8[Selec. Solvent],Tabla8[dD])</f>
        <v>16</v>
      </c>
      <c r="CX16" s="2">
        <f xml:space="preserve"> (_xlfn.XLOOKUP(3,Tabla8[Selec. Solvent],Tabla8[Radius]))*SIN(CK16)+ _xlfn.XLOOKUP(3,Tabla8[Selec. Solvent],Tabla8[dD])</f>
        <v>14.8</v>
      </c>
      <c r="CY16" s="2">
        <f xml:space="preserve"> _xlfn.XLOOKUP(3,Tabla8[Selec. Solvent],Tabla8[Radius])*COS(CK16)+ _xlfn.XLOOKUP(3,Tabla8[Selec. Solvent],Tabla8[dP])</f>
        <v>4.2</v>
      </c>
      <c r="CZ16" s="2">
        <f xml:space="preserve"> _xlfn.XLOOKUP(3,Tabla8[Selec. Solvent],Tabla8[Radius])*SIN(CK16)+  _xlfn.XLOOKUP(3,Tabla8[Selec. Solvent],Tabla8[dH])</f>
        <v>5.8</v>
      </c>
      <c r="DA16" s="2">
        <f xml:space="preserve">  _xlfn.XLOOKUP(,Tabla8[Selec. Solvent],Tabla8[Radius])*COS(CK16)+ _xlfn.XLOOKUP(3,Tabla8[Selec. Solvent],Tabla8[dD])</f>
        <v>14.8</v>
      </c>
      <c r="DB16" s="2">
        <f xml:space="preserve"> (_xlfn.XLOOKUP(4,Tabla8[Selec. Solvent],Tabla8[Radius]))*SIN(CK16)+ _xlfn.XLOOKUP(4,Tabla8[Selec. Solvent],Tabla8[dD])</f>
        <v>15.9</v>
      </c>
      <c r="DC16" s="2">
        <f xml:space="preserve"> _xlfn.XLOOKUP(4,Tabla8[Selec. Solvent],Tabla8[Radius])*COS(CK16)+ _xlfn.XLOOKUP(4,Tabla8[Selec. Solvent],Tabla8[dP])</f>
        <v>6</v>
      </c>
      <c r="DD16" s="2">
        <f xml:space="preserve"> _xlfn.XLOOKUP(4,Tabla8[Selec. Solvent],Tabla8[Radius])*SIN(CK16)+  _xlfn.XLOOKUP(4,Tabla8[Selec. Solvent],Tabla8[dH])</f>
        <v>6.6</v>
      </c>
      <c r="DE16" s="2">
        <f xml:space="preserve">  _xlfn.XLOOKUP(4,Tabla8[Selec. Solvent],Tabla8[Radius])*COS(CK16)+ _xlfn.XLOOKUP(4,Tabla8[Selec. Solvent],Tabla8[dD])</f>
        <v>15.9</v>
      </c>
    </row>
    <row r="17" spans="1:109" x14ac:dyDescent="0.25">
      <c r="A17" s="16" t="s">
        <v>2408</v>
      </c>
      <c r="B17" s="2" t="str">
        <f>VLOOKUP(Tabla8[[#This Row],[CAS]],Tabla1[],2,FALSE)</f>
        <v>Vinyl Ethyl Carbitol</v>
      </c>
      <c r="C17" s="4">
        <f>VLOOKUP(Tabla8[[#This Row],[CAS]],Tabla1[],3,FALSE)</f>
        <v>15.9</v>
      </c>
      <c r="D17" s="4">
        <f>VLOOKUP(Tabla8[[#This Row],[CAS]],Tabla1[],4,FALSE)</f>
        <v>6</v>
      </c>
      <c r="E17" s="4">
        <f>VLOOKUP(Tabla8[[#This Row],[CAS]],Tabla1[],5,FALSE)</f>
        <v>6.6</v>
      </c>
      <c r="F17" s="2" t="str">
        <f>VLOOKUP(Tabla8[[#This Row],[CAS]],Tabla1[],6,FALSE)</f>
        <v/>
      </c>
      <c r="G17" s="4">
        <f>SQRT(4*  (dD-Tabla8[[#This Row],[dD]])^2    +   (dP-Tabla8[[#This Row],[dP]])^2   +    (dH-Tabla8[[#This Row],[dH]])^2)</f>
        <v>1.8220867158288601</v>
      </c>
      <c r="H17" s="16"/>
      <c r="I17" s="2" t="str">
        <f>IF(Tabla8[[#This Row],[%]]&lt;&gt;"",Tabla8[[#This Row],[%]]/100*Tabla8[[#This Row],[dD]],"")</f>
        <v/>
      </c>
      <c r="J17" s="2" t="str">
        <f>IF(Tabla8[[#This Row],[%]]&lt;&gt;"",Tabla8[[#This Row],[%]]/100*Tabla8[[#This Row],[dP]],"")</f>
        <v/>
      </c>
      <c r="K17" s="2" t="str">
        <f>IF(Tabla8[[#This Row],[%]]&lt;&gt;"",Tabla8[[#This Row],[%]]/100*Tabla8[[#This Row],[dH]],"")</f>
        <v/>
      </c>
      <c r="L17" s="2">
        <f>VLOOKUP(Tabla8[[#This Row],[CAS]],Tabla1[],8,FALSE)</f>
        <v>0</v>
      </c>
      <c r="M17" s="5" t="str">
        <f>IF((Tabla8[[#This Row],[Radius]])=0, "No Radius", SQRT(Tabla8[[#This Row],[Distance]]^2)-(Tabla8[[#This Row],[Radius]]+ R_))</f>
        <v>No Radius</v>
      </c>
      <c r="N17" s="16">
        <v>4</v>
      </c>
      <c r="O17" s="40">
        <f>IFERROR(_xlfn.XLOOKUP(Tabla8[[#This Row],[Selec. Solvent]], Tabla12[Nº],Tabla12[% Total]), "-")</f>
        <v>0.75228122000030961</v>
      </c>
      <c r="R17" s="2">
        <v>0</v>
      </c>
      <c r="S17" s="2">
        <f t="shared" si="7"/>
        <v>100</v>
      </c>
      <c r="T17" s="4">
        <f t="shared" si="4"/>
        <v>16</v>
      </c>
      <c r="U17" s="4">
        <f t="shared" si="4"/>
        <v>6.5</v>
      </c>
      <c r="V17" s="4">
        <f t="shared" si="4"/>
        <v>2.4</v>
      </c>
      <c r="W17" s="5">
        <f t="shared" si="5"/>
        <v>5.8318093247293321</v>
      </c>
      <c r="X17" s="5" t="str">
        <f t="shared" si="6"/>
        <v>No data in R</v>
      </c>
      <c r="CJ17" s="2">
        <v>70</v>
      </c>
      <c r="CK17" s="2">
        <f>RADIANS(Tabla3[[#This Row],[Angle º]])</f>
        <v>1.2217304763960306</v>
      </c>
      <c r="CL17" s="2">
        <f t="shared" si="0"/>
        <v>15.4</v>
      </c>
      <c r="CM17" s="2">
        <f t="shared" si="1"/>
        <v>5.4</v>
      </c>
      <c r="CN17" s="2">
        <f t="shared" si="2"/>
        <v>8</v>
      </c>
      <c r="CO17" s="2">
        <f t="shared" si="3"/>
        <v>15.4</v>
      </c>
      <c r="CP17" s="2">
        <f xml:space="preserve"> (_xlfn.XLOOKUP(1,Tabla8[Selec. Solvent],Tabla8[Radius]))*SIN(CK17)+ _xlfn.XLOOKUP(1,Tabla8[Selec. Solvent],Tabla8[dD])</f>
        <v>16</v>
      </c>
      <c r="CQ17" s="2">
        <f xml:space="preserve"> _xlfn.XLOOKUP(1,Tabla8[Selec. Solvent],Tabla8[Radius])*COS(CK17)+ _xlfn.XLOOKUP(1,Tabla8[Selec. Solvent],Tabla8[dP])</f>
        <v>5</v>
      </c>
      <c r="CR17" s="2">
        <f xml:space="preserve"> _xlfn.XLOOKUP(1,Tabla8[Selec. Solvent],Tabla8[Radius])*SIN(CK17)+  _xlfn.XLOOKUP(1,Tabla8[Selec. Solvent],Tabla8[dH])</f>
        <v>5.4</v>
      </c>
      <c r="CS17" s="2">
        <f xml:space="preserve">  _xlfn.XLOOKUP(1,Tabla8[Selec. Solvent],Tabla8[Radius])*COS(CK17)+ _xlfn.XLOOKUP(1,Tabla8[Selec. Solvent],Tabla8[dD])</f>
        <v>16</v>
      </c>
      <c r="CT17" s="2">
        <f xml:space="preserve"> (_xlfn.XLOOKUP(2,Tabla8[Selec. Solvent],Tabla8[Radius]))*SIN(CK17)+ _xlfn.XLOOKUP(2,Tabla8[Selec. Solvent],Tabla8[dD])</f>
        <v>16</v>
      </c>
      <c r="CU17" s="2">
        <f xml:space="preserve"> _xlfn.XLOOKUP(2,Tabla8[Selec. Solvent],Tabla8[Radius])*COS(CK17)+ _xlfn.XLOOKUP(2,Tabla8[Selec. Solvent],Tabla8[dP])</f>
        <v>6.5</v>
      </c>
      <c r="CV17" s="2">
        <f xml:space="preserve"> _xlfn.XLOOKUP(2,Tabla8[Selec. Solvent],Tabla8[Radius])*SIN(CK17)+  _xlfn.XLOOKUP(2,Tabla8[Selec. Solvent],Tabla8[dH])</f>
        <v>2.4</v>
      </c>
      <c r="CW17" s="2">
        <f xml:space="preserve">  _xlfn.XLOOKUP(2,Tabla8[Selec. Solvent],Tabla8[Radius])*COS(CK17)+ _xlfn.XLOOKUP(2,Tabla8[Selec. Solvent],Tabla8[dD])</f>
        <v>16</v>
      </c>
      <c r="CX17" s="2">
        <f xml:space="preserve"> (_xlfn.XLOOKUP(3,Tabla8[Selec. Solvent],Tabla8[Radius]))*SIN(CK17)+ _xlfn.XLOOKUP(3,Tabla8[Selec. Solvent],Tabla8[dD])</f>
        <v>14.8</v>
      </c>
      <c r="CY17" s="2">
        <f xml:space="preserve"> _xlfn.XLOOKUP(3,Tabla8[Selec. Solvent],Tabla8[Radius])*COS(CK17)+ _xlfn.XLOOKUP(3,Tabla8[Selec. Solvent],Tabla8[dP])</f>
        <v>4.2</v>
      </c>
      <c r="CZ17" s="2">
        <f xml:space="preserve"> _xlfn.XLOOKUP(3,Tabla8[Selec. Solvent],Tabla8[Radius])*SIN(CK17)+  _xlfn.XLOOKUP(3,Tabla8[Selec. Solvent],Tabla8[dH])</f>
        <v>5.8</v>
      </c>
      <c r="DA17" s="2">
        <f xml:space="preserve">  _xlfn.XLOOKUP(,Tabla8[Selec. Solvent],Tabla8[Radius])*COS(CK17)+ _xlfn.XLOOKUP(3,Tabla8[Selec. Solvent],Tabla8[dD])</f>
        <v>14.8</v>
      </c>
      <c r="DB17" s="2">
        <f xml:space="preserve"> (_xlfn.XLOOKUP(4,Tabla8[Selec. Solvent],Tabla8[Radius]))*SIN(CK17)+ _xlfn.XLOOKUP(4,Tabla8[Selec. Solvent],Tabla8[dD])</f>
        <v>15.9</v>
      </c>
      <c r="DC17" s="2">
        <f xml:space="preserve"> _xlfn.XLOOKUP(4,Tabla8[Selec. Solvent],Tabla8[Radius])*COS(CK17)+ _xlfn.XLOOKUP(4,Tabla8[Selec. Solvent],Tabla8[dP])</f>
        <v>6</v>
      </c>
      <c r="DD17" s="2">
        <f xml:space="preserve"> _xlfn.XLOOKUP(4,Tabla8[Selec. Solvent],Tabla8[Radius])*SIN(CK17)+  _xlfn.XLOOKUP(4,Tabla8[Selec. Solvent],Tabla8[dH])</f>
        <v>6.6</v>
      </c>
      <c r="DE17" s="2">
        <f xml:space="preserve">  _xlfn.XLOOKUP(4,Tabla8[Selec. Solvent],Tabla8[Radius])*COS(CK17)+ _xlfn.XLOOKUP(4,Tabla8[Selec. Solvent],Tabla8[dD])</f>
        <v>15.9</v>
      </c>
    </row>
    <row r="18" spans="1:109" x14ac:dyDescent="0.25">
      <c r="A18" s="74"/>
      <c r="C18" s="4"/>
      <c r="D18" s="4"/>
      <c r="E18" s="4"/>
      <c r="G18" s="4"/>
      <c r="H18" s="74"/>
      <c r="M18" s="5"/>
      <c r="N18" s="74"/>
      <c r="O18" s="40"/>
      <c r="CJ18" s="2">
        <v>75</v>
      </c>
      <c r="CK18" s="2">
        <f>RADIANS(Tabla3[[#This Row],[Angle º]])</f>
        <v>1.3089969389957472</v>
      </c>
      <c r="CL18" s="2">
        <f t="shared" si="0"/>
        <v>15.4</v>
      </c>
      <c r="CM18" s="2">
        <f t="shared" si="1"/>
        <v>5.4</v>
      </c>
      <c r="CN18" s="2">
        <f t="shared" si="2"/>
        <v>8</v>
      </c>
      <c r="CO18" s="2">
        <f t="shared" si="3"/>
        <v>15.4</v>
      </c>
      <c r="CP18" s="2">
        <f xml:space="preserve"> (_xlfn.XLOOKUP(1,Tabla8[Selec. Solvent],Tabla8[Radius]))*SIN(CK18)+ _xlfn.XLOOKUP(1,Tabla8[Selec. Solvent],Tabla8[dD])</f>
        <v>16</v>
      </c>
      <c r="CQ18" s="2">
        <f xml:space="preserve"> _xlfn.XLOOKUP(1,Tabla8[Selec. Solvent],Tabla8[Radius])*COS(CK18)+ _xlfn.XLOOKUP(1,Tabla8[Selec. Solvent],Tabla8[dP])</f>
        <v>5</v>
      </c>
      <c r="CR18" s="2">
        <f xml:space="preserve"> _xlfn.XLOOKUP(1,Tabla8[Selec. Solvent],Tabla8[Radius])*SIN(CK18)+  _xlfn.XLOOKUP(1,Tabla8[Selec. Solvent],Tabla8[dH])</f>
        <v>5.4</v>
      </c>
      <c r="CS18" s="2">
        <f xml:space="preserve">  _xlfn.XLOOKUP(1,Tabla8[Selec. Solvent],Tabla8[Radius])*COS(CK18)+ _xlfn.XLOOKUP(1,Tabla8[Selec. Solvent],Tabla8[dD])</f>
        <v>16</v>
      </c>
      <c r="CT18" s="2">
        <f xml:space="preserve"> (_xlfn.XLOOKUP(2,Tabla8[Selec. Solvent],Tabla8[Radius]))*SIN(CK18)+ _xlfn.XLOOKUP(2,Tabla8[Selec. Solvent],Tabla8[dD])</f>
        <v>16</v>
      </c>
      <c r="CU18" s="2">
        <f xml:space="preserve"> _xlfn.XLOOKUP(2,Tabla8[Selec. Solvent],Tabla8[Radius])*COS(CK18)+ _xlfn.XLOOKUP(2,Tabla8[Selec. Solvent],Tabla8[dP])</f>
        <v>6.5</v>
      </c>
      <c r="CV18" s="2">
        <f xml:space="preserve"> _xlfn.XLOOKUP(2,Tabla8[Selec. Solvent],Tabla8[Radius])*SIN(CK18)+  _xlfn.XLOOKUP(2,Tabla8[Selec. Solvent],Tabla8[dH])</f>
        <v>2.4</v>
      </c>
      <c r="CW18" s="2">
        <f xml:space="preserve">  _xlfn.XLOOKUP(2,Tabla8[Selec. Solvent],Tabla8[Radius])*COS(CK18)+ _xlfn.XLOOKUP(2,Tabla8[Selec. Solvent],Tabla8[dD])</f>
        <v>16</v>
      </c>
      <c r="CX18" s="2">
        <f xml:space="preserve"> (_xlfn.XLOOKUP(3,Tabla8[Selec. Solvent],Tabla8[Radius]))*SIN(CK18)+ _xlfn.XLOOKUP(3,Tabla8[Selec. Solvent],Tabla8[dD])</f>
        <v>14.8</v>
      </c>
      <c r="CY18" s="2">
        <f xml:space="preserve"> _xlfn.XLOOKUP(3,Tabla8[Selec. Solvent],Tabla8[Radius])*COS(CK18)+ _xlfn.XLOOKUP(3,Tabla8[Selec. Solvent],Tabla8[dP])</f>
        <v>4.2</v>
      </c>
      <c r="CZ18" s="2">
        <f xml:space="preserve"> _xlfn.XLOOKUP(3,Tabla8[Selec. Solvent],Tabla8[Radius])*SIN(CK18)+  _xlfn.XLOOKUP(3,Tabla8[Selec. Solvent],Tabla8[dH])</f>
        <v>5.8</v>
      </c>
      <c r="DA18" s="2">
        <f xml:space="preserve">  _xlfn.XLOOKUP(,Tabla8[Selec. Solvent],Tabla8[Radius])*COS(CK18)+ _xlfn.XLOOKUP(3,Tabla8[Selec. Solvent],Tabla8[dD])</f>
        <v>14.8</v>
      </c>
      <c r="DB18" s="2">
        <f xml:space="preserve"> (_xlfn.XLOOKUP(4,Tabla8[Selec. Solvent],Tabla8[Radius]))*SIN(CK18)+ _xlfn.XLOOKUP(4,Tabla8[Selec. Solvent],Tabla8[dD])</f>
        <v>15.9</v>
      </c>
      <c r="DC18" s="2">
        <f xml:space="preserve"> _xlfn.XLOOKUP(4,Tabla8[Selec. Solvent],Tabla8[Radius])*COS(CK18)+ _xlfn.XLOOKUP(4,Tabla8[Selec. Solvent],Tabla8[dP])</f>
        <v>6</v>
      </c>
      <c r="DD18" s="2">
        <f xml:space="preserve"> _xlfn.XLOOKUP(4,Tabla8[Selec. Solvent],Tabla8[Radius])*SIN(CK18)+  _xlfn.XLOOKUP(4,Tabla8[Selec. Solvent],Tabla8[dH])</f>
        <v>6.6</v>
      </c>
      <c r="DE18" s="2">
        <f xml:space="preserve">  _xlfn.XLOOKUP(4,Tabla8[Selec. Solvent],Tabla8[Radius])*COS(CK18)+ _xlfn.XLOOKUP(4,Tabla8[Selec. Solvent],Tabla8[dD])</f>
        <v>15.9</v>
      </c>
    </row>
    <row r="19" spans="1:109" ht="15.75" thickBot="1" x14ac:dyDescent="0.3">
      <c r="A19" s="74"/>
      <c r="C19" s="4"/>
      <c r="D19" s="4"/>
      <c r="E19" s="4"/>
      <c r="G19" s="4"/>
      <c r="H19" s="74"/>
      <c r="M19" s="5"/>
      <c r="N19" s="74"/>
      <c r="O19" s="40"/>
      <c r="R19" s="10" t="s">
        <v>5</v>
      </c>
      <c r="S19" s="10" t="s">
        <v>2513</v>
      </c>
      <c r="T19" s="10" t="s">
        <v>4</v>
      </c>
      <c r="U19" s="10" t="s">
        <v>117</v>
      </c>
      <c r="V19" s="10" t="s">
        <v>118</v>
      </c>
      <c r="CJ19" s="2">
        <v>80</v>
      </c>
      <c r="CK19" s="2">
        <f>RADIANS(Tabla3[[#This Row],[Angle º]])</f>
        <v>1.3962634015954636</v>
      </c>
      <c r="CL19" s="2">
        <f t="shared" si="0"/>
        <v>15.4</v>
      </c>
      <c r="CM19" s="2">
        <f t="shared" si="1"/>
        <v>5.4</v>
      </c>
      <c r="CN19" s="2">
        <f t="shared" si="2"/>
        <v>8</v>
      </c>
      <c r="CO19" s="2">
        <f t="shared" si="3"/>
        <v>15.4</v>
      </c>
      <c r="CP19" s="2">
        <f xml:space="preserve"> (_xlfn.XLOOKUP(1,Tabla8[Selec. Solvent],Tabla8[Radius]))*SIN(CK19)+ _xlfn.XLOOKUP(1,Tabla8[Selec. Solvent],Tabla8[dD])</f>
        <v>16</v>
      </c>
      <c r="CQ19" s="2">
        <f xml:space="preserve"> _xlfn.XLOOKUP(1,Tabla8[Selec. Solvent],Tabla8[Radius])*COS(CK19)+ _xlfn.XLOOKUP(1,Tabla8[Selec. Solvent],Tabla8[dP])</f>
        <v>5</v>
      </c>
      <c r="CR19" s="2">
        <f xml:space="preserve"> _xlfn.XLOOKUP(1,Tabla8[Selec. Solvent],Tabla8[Radius])*SIN(CK19)+  _xlfn.XLOOKUP(1,Tabla8[Selec. Solvent],Tabla8[dH])</f>
        <v>5.4</v>
      </c>
      <c r="CS19" s="2">
        <f xml:space="preserve">  _xlfn.XLOOKUP(1,Tabla8[Selec. Solvent],Tabla8[Radius])*COS(CK19)+ _xlfn.XLOOKUP(1,Tabla8[Selec. Solvent],Tabla8[dD])</f>
        <v>16</v>
      </c>
      <c r="CT19" s="2">
        <f xml:space="preserve"> (_xlfn.XLOOKUP(2,Tabla8[Selec. Solvent],Tabla8[Radius]))*SIN(CK19)+ _xlfn.XLOOKUP(2,Tabla8[Selec. Solvent],Tabla8[dD])</f>
        <v>16</v>
      </c>
      <c r="CU19" s="2">
        <f xml:space="preserve"> _xlfn.XLOOKUP(2,Tabla8[Selec. Solvent],Tabla8[Radius])*COS(CK19)+ _xlfn.XLOOKUP(2,Tabla8[Selec. Solvent],Tabla8[dP])</f>
        <v>6.5</v>
      </c>
      <c r="CV19" s="2">
        <f xml:space="preserve"> _xlfn.XLOOKUP(2,Tabla8[Selec. Solvent],Tabla8[Radius])*SIN(CK19)+  _xlfn.XLOOKUP(2,Tabla8[Selec. Solvent],Tabla8[dH])</f>
        <v>2.4</v>
      </c>
      <c r="CW19" s="2">
        <f xml:space="preserve">  _xlfn.XLOOKUP(2,Tabla8[Selec. Solvent],Tabla8[Radius])*COS(CK19)+ _xlfn.XLOOKUP(2,Tabla8[Selec. Solvent],Tabla8[dD])</f>
        <v>16</v>
      </c>
      <c r="CX19" s="2">
        <f xml:space="preserve"> (_xlfn.XLOOKUP(3,Tabla8[Selec. Solvent],Tabla8[Radius]))*SIN(CK19)+ _xlfn.XLOOKUP(3,Tabla8[Selec. Solvent],Tabla8[dD])</f>
        <v>14.8</v>
      </c>
      <c r="CY19" s="2">
        <f xml:space="preserve"> _xlfn.XLOOKUP(3,Tabla8[Selec. Solvent],Tabla8[Radius])*COS(CK19)+ _xlfn.XLOOKUP(3,Tabla8[Selec. Solvent],Tabla8[dP])</f>
        <v>4.2</v>
      </c>
      <c r="CZ19" s="2">
        <f xml:space="preserve"> _xlfn.XLOOKUP(3,Tabla8[Selec. Solvent],Tabla8[Radius])*SIN(CK19)+  _xlfn.XLOOKUP(3,Tabla8[Selec. Solvent],Tabla8[dH])</f>
        <v>5.8</v>
      </c>
      <c r="DA19" s="2">
        <f xml:space="preserve">  _xlfn.XLOOKUP(,Tabla8[Selec. Solvent],Tabla8[Radius])*COS(CK19)+ _xlfn.XLOOKUP(3,Tabla8[Selec. Solvent],Tabla8[dD])</f>
        <v>14.8</v>
      </c>
      <c r="DB19" s="2">
        <f xml:space="preserve"> (_xlfn.XLOOKUP(4,Tabla8[Selec. Solvent],Tabla8[Radius]))*SIN(CK19)+ _xlfn.XLOOKUP(4,Tabla8[Selec. Solvent],Tabla8[dD])</f>
        <v>15.9</v>
      </c>
      <c r="DC19" s="2">
        <f xml:space="preserve"> _xlfn.XLOOKUP(4,Tabla8[Selec. Solvent],Tabla8[Radius])*COS(CK19)+ _xlfn.XLOOKUP(4,Tabla8[Selec. Solvent],Tabla8[dP])</f>
        <v>6</v>
      </c>
      <c r="DD19" s="2">
        <f xml:space="preserve"> _xlfn.XLOOKUP(4,Tabla8[Selec. Solvent],Tabla8[Radius])*SIN(CK19)+  _xlfn.XLOOKUP(4,Tabla8[Selec. Solvent],Tabla8[dH])</f>
        <v>6.6</v>
      </c>
      <c r="DE19" s="2">
        <f xml:space="preserve">  _xlfn.XLOOKUP(4,Tabla8[Selec. Solvent],Tabla8[Radius])*COS(CK19)+ _xlfn.XLOOKUP(4,Tabla8[Selec. Solvent],Tabla8[dD])</f>
        <v>15.9</v>
      </c>
    </row>
    <row r="20" spans="1:109" x14ac:dyDescent="0.25">
      <c r="A20" s="74"/>
      <c r="C20" s="4"/>
      <c r="D20" s="4"/>
      <c r="E20" s="4"/>
      <c r="G20" s="4"/>
      <c r="H20" s="74"/>
      <c r="M20" s="5"/>
      <c r="N20" s="74"/>
      <c r="O20" s="40"/>
      <c r="R20" s="24">
        <f>MIN(W7:W17)</f>
        <v>2.8913664589601913</v>
      </c>
      <c r="S20" s="16">
        <v>25</v>
      </c>
      <c r="T20" s="2" t="str" cm="1">
        <f t="array" ref="T20">IFERROR(((_xlfn._xlws.FILTER(Tabla8[MVol],Tabla8[Selec. Solvent]=1))*$BI$13*0.01 + (_xlfn._xlws.FILTER(Tabla8[MVol],Tabla8[Selec. Solvent]=2))*$BJ$13*0.01), "No MVol")</f>
        <v>No MVol</v>
      </c>
      <c r="U20" s="8">
        <f>8.3*(Temperature+273.15)</f>
        <v>2474.645</v>
      </c>
      <c r="V20" s="52" t="str">
        <f>IFERROR(MVolChi*Distance^2/(4*RT), "No MVol")</f>
        <v>No MVol</v>
      </c>
      <c r="CJ20" s="2">
        <v>85</v>
      </c>
      <c r="CK20" s="2">
        <f>RADIANS(Tabla3[[#This Row],[Angle º]])</f>
        <v>1.4835298641951802</v>
      </c>
      <c r="CL20" s="2">
        <f t="shared" si="0"/>
        <v>15.4</v>
      </c>
      <c r="CM20" s="2">
        <f t="shared" si="1"/>
        <v>5.4</v>
      </c>
      <c r="CN20" s="2">
        <f t="shared" si="2"/>
        <v>8</v>
      </c>
      <c r="CO20" s="2">
        <f t="shared" si="3"/>
        <v>15.4</v>
      </c>
      <c r="CP20" s="2">
        <f xml:space="preserve"> (_xlfn.XLOOKUP(1,Tabla8[Selec. Solvent],Tabla8[Radius]))*SIN(CK20)+ _xlfn.XLOOKUP(1,Tabla8[Selec. Solvent],Tabla8[dD])</f>
        <v>16</v>
      </c>
      <c r="CQ20" s="2">
        <f xml:space="preserve"> _xlfn.XLOOKUP(1,Tabla8[Selec. Solvent],Tabla8[Radius])*COS(CK20)+ _xlfn.XLOOKUP(1,Tabla8[Selec. Solvent],Tabla8[dP])</f>
        <v>5</v>
      </c>
      <c r="CR20" s="2">
        <f xml:space="preserve"> _xlfn.XLOOKUP(1,Tabla8[Selec. Solvent],Tabla8[Radius])*SIN(CK20)+  _xlfn.XLOOKUP(1,Tabla8[Selec. Solvent],Tabla8[dH])</f>
        <v>5.4</v>
      </c>
      <c r="CS20" s="2">
        <f xml:space="preserve">  _xlfn.XLOOKUP(1,Tabla8[Selec. Solvent],Tabla8[Radius])*COS(CK20)+ _xlfn.XLOOKUP(1,Tabla8[Selec. Solvent],Tabla8[dD])</f>
        <v>16</v>
      </c>
      <c r="CT20" s="2">
        <f xml:space="preserve"> (_xlfn.XLOOKUP(2,Tabla8[Selec. Solvent],Tabla8[Radius]))*SIN(CK20)+ _xlfn.XLOOKUP(2,Tabla8[Selec. Solvent],Tabla8[dD])</f>
        <v>16</v>
      </c>
      <c r="CU20" s="2">
        <f xml:space="preserve"> _xlfn.XLOOKUP(2,Tabla8[Selec. Solvent],Tabla8[Radius])*COS(CK20)+ _xlfn.XLOOKUP(2,Tabla8[Selec. Solvent],Tabla8[dP])</f>
        <v>6.5</v>
      </c>
      <c r="CV20" s="2">
        <f xml:space="preserve"> _xlfn.XLOOKUP(2,Tabla8[Selec. Solvent],Tabla8[Radius])*SIN(CK20)+  _xlfn.XLOOKUP(2,Tabla8[Selec. Solvent],Tabla8[dH])</f>
        <v>2.4</v>
      </c>
      <c r="CW20" s="2">
        <f xml:space="preserve">  _xlfn.XLOOKUP(2,Tabla8[Selec. Solvent],Tabla8[Radius])*COS(CK20)+ _xlfn.XLOOKUP(2,Tabla8[Selec. Solvent],Tabla8[dD])</f>
        <v>16</v>
      </c>
      <c r="CX20" s="2">
        <f xml:space="preserve"> (_xlfn.XLOOKUP(3,Tabla8[Selec. Solvent],Tabla8[Radius]))*SIN(CK20)+ _xlfn.XLOOKUP(3,Tabla8[Selec. Solvent],Tabla8[dD])</f>
        <v>14.8</v>
      </c>
      <c r="CY20" s="2">
        <f xml:space="preserve"> _xlfn.XLOOKUP(3,Tabla8[Selec. Solvent],Tabla8[Radius])*COS(CK20)+ _xlfn.XLOOKUP(3,Tabla8[Selec. Solvent],Tabla8[dP])</f>
        <v>4.2</v>
      </c>
      <c r="CZ20" s="2">
        <f xml:space="preserve"> _xlfn.XLOOKUP(3,Tabla8[Selec. Solvent],Tabla8[Radius])*SIN(CK20)+  _xlfn.XLOOKUP(3,Tabla8[Selec. Solvent],Tabla8[dH])</f>
        <v>5.8</v>
      </c>
      <c r="DA20" s="2">
        <f xml:space="preserve">  _xlfn.XLOOKUP(,Tabla8[Selec. Solvent],Tabla8[Radius])*COS(CK20)+ _xlfn.XLOOKUP(3,Tabla8[Selec. Solvent],Tabla8[dD])</f>
        <v>14.8</v>
      </c>
      <c r="DB20" s="2">
        <f xml:space="preserve"> (_xlfn.XLOOKUP(4,Tabla8[Selec. Solvent],Tabla8[Radius]))*SIN(CK20)+ _xlfn.XLOOKUP(4,Tabla8[Selec. Solvent],Tabla8[dD])</f>
        <v>15.9</v>
      </c>
      <c r="DC20" s="2">
        <f xml:space="preserve"> _xlfn.XLOOKUP(4,Tabla8[Selec. Solvent],Tabla8[Radius])*COS(CK20)+ _xlfn.XLOOKUP(4,Tabla8[Selec. Solvent],Tabla8[dP])</f>
        <v>6</v>
      </c>
      <c r="DD20" s="2">
        <f xml:space="preserve"> _xlfn.XLOOKUP(4,Tabla8[Selec. Solvent],Tabla8[Radius])*SIN(CK20)+  _xlfn.XLOOKUP(4,Tabla8[Selec. Solvent],Tabla8[dH])</f>
        <v>6.6</v>
      </c>
      <c r="DE20" s="2">
        <f xml:space="preserve">  _xlfn.XLOOKUP(4,Tabla8[Selec. Solvent],Tabla8[Radius])*COS(CK20)+ _xlfn.XLOOKUP(4,Tabla8[Selec. Solvent],Tabla8[dD])</f>
        <v>15.9</v>
      </c>
    </row>
    <row r="21" spans="1:109" x14ac:dyDescent="0.25">
      <c r="A21" s="74"/>
      <c r="C21" s="4"/>
      <c r="D21" s="4"/>
      <c r="E21" s="4"/>
      <c r="G21" s="4"/>
      <c r="H21" s="74"/>
      <c r="M21" s="5"/>
      <c r="N21" s="74"/>
      <c r="O21" s="40"/>
      <c r="CJ21" s="2">
        <v>90</v>
      </c>
      <c r="CK21" s="2">
        <f>RADIANS(Tabla3[[#This Row],[Angle º]])</f>
        <v>1.5707963267948966</v>
      </c>
      <c r="CL21" s="2">
        <f t="shared" si="0"/>
        <v>15.4</v>
      </c>
      <c r="CM21" s="2">
        <f t="shared" si="1"/>
        <v>5.4</v>
      </c>
      <c r="CN21" s="2">
        <f t="shared" si="2"/>
        <v>8</v>
      </c>
      <c r="CO21" s="2">
        <f t="shared" si="3"/>
        <v>15.4</v>
      </c>
      <c r="CP21" s="2">
        <f xml:space="preserve"> (_xlfn.XLOOKUP(1,Tabla8[Selec. Solvent],Tabla8[Radius]))*SIN(CK21)+ _xlfn.XLOOKUP(1,Tabla8[Selec. Solvent],Tabla8[dD])</f>
        <v>16</v>
      </c>
      <c r="CQ21" s="2">
        <f xml:space="preserve"> _xlfn.XLOOKUP(1,Tabla8[Selec. Solvent],Tabla8[Radius])*COS(CK21)+ _xlfn.XLOOKUP(1,Tabla8[Selec. Solvent],Tabla8[dP])</f>
        <v>5</v>
      </c>
      <c r="CR21" s="2">
        <f xml:space="preserve"> _xlfn.XLOOKUP(1,Tabla8[Selec. Solvent],Tabla8[Radius])*SIN(CK21)+  _xlfn.XLOOKUP(1,Tabla8[Selec. Solvent],Tabla8[dH])</f>
        <v>5.4</v>
      </c>
      <c r="CS21" s="2">
        <f xml:space="preserve">  _xlfn.XLOOKUP(1,Tabla8[Selec. Solvent],Tabla8[Radius])*COS(CK21)+ _xlfn.XLOOKUP(1,Tabla8[Selec. Solvent],Tabla8[dD])</f>
        <v>16</v>
      </c>
      <c r="CT21" s="2">
        <f xml:space="preserve"> (_xlfn.XLOOKUP(2,Tabla8[Selec. Solvent],Tabla8[Radius]))*SIN(CK21)+ _xlfn.XLOOKUP(2,Tabla8[Selec. Solvent],Tabla8[dD])</f>
        <v>16</v>
      </c>
      <c r="CU21" s="2">
        <f xml:space="preserve"> _xlfn.XLOOKUP(2,Tabla8[Selec. Solvent],Tabla8[Radius])*COS(CK21)+ _xlfn.XLOOKUP(2,Tabla8[Selec. Solvent],Tabla8[dP])</f>
        <v>6.5</v>
      </c>
      <c r="CV21" s="2">
        <f xml:space="preserve"> _xlfn.XLOOKUP(2,Tabla8[Selec. Solvent],Tabla8[Radius])*SIN(CK21)+  _xlfn.XLOOKUP(2,Tabla8[Selec. Solvent],Tabla8[dH])</f>
        <v>2.4</v>
      </c>
      <c r="CW21" s="2">
        <f xml:space="preserve">  _xlfn.XLOOKUP(2,Tabla8[Selec. Solvent],Tabla8[Radius])*COS(CK21)+ _xlfn.XLOOKUP(2,Tabla8[Selec. Solvent],Tabla8[dD])</f>
        <v>16</v>
      </c>
      <c r="CX21" s="2">
        <f xml:space="preserve"> (_xlfn.XLOOKUP(3,Tabla8[Selec. Solvent],Tabla8[Radius]))*SIN(CK21)+ _xlfn.XLOOKUP(3,Tabla8[Selec. Solvent],Tabla8[dD])</f>
        <v>14.8</v>
      </c>
      <c r="CY21" s="2">
        <f xml:space="preserve"> _xlfn.XLOOKUP(3,Tabla8[Selec. Solvent],Tabla8[Radius])*COS(CK21)+ _xlfn.XLOOKUP(3,Tabla8[Selec. Solvent],Tabla8[dP])</f>
        <v>4.2</v>
      </c>
      <c r="CZ21" s="2">
        <f xml:space="preserve"> _xlfn.XLOOKUP(3,Tabla8[Selec. Solvent],Tabla8[Radius])*SIN(CK21)+  _xlfn.XLOOKUP(3,Tabla8[Selec. Solvent],Tabla8[dH])</f>
        <v>5.8</v>
      </c>
      <c r="DA21" s="2">
        <f xml:space="preserve">  _xlfn.XLOOKUP(,Tabla8[Selec. Solvent],Tabla8[Radius])*COS(CK21)+ _xlfn.XLOOKUP(3,Tabla8[Selec. Solvent],Tabla8[dD])</f>
        <v>14.8</v>
      </c>
      <c r="DB21" s="2">
        <f xml:space="preserve"> (_xlfn.XLOOKUP(4,Tabla8[Selec. Solvent],Tabla8[Radius]))*SIN(CK21)+ _xlfn.XLOOKUP(4,Tabla8[Selec. Solvent],Tabla8[dD])</f>
        <v>15.9</v>
      </c>
      <c r="DC21" s="2">
        <f xml:space="preserve"> _xlfn.XLOOKUP(4,Tabla8[Selec. Solvent],Tabla8[Radius])*COS(CK21)+ _xlfn.XLOOKUP(4,Tabla8[Selec. Solvent],Tabla8[dP])</f>
        <v>6</v>
      </c>
      <c r="DD21" s="2">
        <f xml:space="preserve"> _xlfn.XLOOKUP(4,Tabla8[Selec. Solvent],Tabla8[Radius])*SIN(CK21)+  _xlfn.XLOOKUP(4,Tabla8[Selec. Solvent],Tabla8[dH])</f>
        <v>6.6</v>
      </c>
      <c r="DE21" s="2">
        <f xml:space="preserve">  _xlfn.XLOOKUP(4,Tabla8[Selec. Solvent],Tabla8[Radius])*COS(CK21)+ _xlfn.XLOOKUP(4,Tabla8[Selec. Solvent],Tabla8[dD])</f>
        <v>15.9</v>
      </c>
    </row>
    <row r="22" spans="1:109" x14ac:dyDescent="0.25">
      <c r="A22" s="74"/>
      <c r="C22" s="4"/>
      <c r="D22" s="4"/>
      <c r="E22" s="4"/>
      <c r="G22" s="4"/>
      <c r="H22" s="74"/>
      <c r="M22" s="5"/>
      <c r="N22" s="74"/>
      <c r="O22" s="40"/>
      <c r="CJ22" s="2">
        <v>95</v>
      </c>
      <c r="CK22" s="2">
        <f>RADIANS(Tabla3[[#This Row],[Angle º]])</f>
        <v>1.6580627893946132</v>
      </c>
      <c r="CL22" s="2">
        <f t="shared" si="0"/>
        <v>15.4</v>
      </c>
      <c r="CM22" s="2">
        <f t="shared" si="1"/>
        <v>5.4</v>
      </c>
      <c r="CN22" s="2">
        <f t="shared" si="2"/>
        <v>8</v>
      </c>
      <c r="CO22" s="2">
        <f t="shared" si="3"/>
        <v>15.4</v>
      </c>
      <c r="CP22" s="2">
        <f xml:space="preserve"> (_xlfn.XLOOKUP(1,Tabla8[Selec. Solvent],Tabla8[Radius]))*SIN(CK22)+ _xlfn.XLOOKUP(1,Tabla8[Selec. Solvent],Tabla8[dD])</f>
        <v>16</v>
      </c>
      <c r="CQ22" s="2">
        <f xml:space="preserve"> _xlfn.XLOOKUP(1,Tabla8[Selec. Solvent],Tabla8[Radius])*COS(CK22)+ _xlfn.XLOOKUP(1,Tabla8[Selec. Solvent],Tabla8[dP])</f>
        <v>5</v>
      </c>
      <c r="CR22" s="2">
        <f xml:space="preserve"> _xlfn.XLOOKUP(1,Tabla8[Selec. Solvent],Tabla8[Radius])*SIN(CK22)+  _xlfn.XLOOKUP(1,Tabla8[Selec. Solvent],Tabla8[dH])</f>
        <v>5.4</v>
      </c>
      <c r="CS22" s="2">
        <f xml:space="preserve">  _xlfn.XLOOKUP(1,Tabla8[Selec. Solvent],Tabla8[Radius])*COS(CK22)+ _xlfn.XLOOKUP(1,Tabla8[Selec. Solvent],Tabla8[dD])</f>
        <v>16</v>
      </c>
      <c r="CT22" s="2">
        <f xml:space="preserve"> (_xlfn.XLOOKUP(2,Tabla8[Selec. Solvent],Tabla8[Radius]))*SIN(CK22)+ _xlfn.XLOOKUP(2,Tabla8[Selec. Solvent],Tabla8[dD])</f>
        <v>16</v>
      </c>
      <c r="CU22" s="2">
        <f xml:space="preserve"> _xlfn.XLOOKUP(2,Tabla8[Selec. Solvent],Tabla8[Radius])*COS(CK22)+ _xlfn.XLOOKUP(2,Tabla8[Selec. Solvent],Tabla8[dP])</f>
        <v>6.5</v>
      </c>
      <c r="CV22" s="2">
        <f xml:space="preserve"> _xlfn.XLOOKUP(2,Tabla8[Selec. Solvent],Tabla8[Radius])*SIN(CK22)+  _xlfn.XLOOKUP(2,Tabla8[Selec. Solvent],Tabla8[dH])</f>
        <v>2.4</v>
      </c>
      <c r="CW22" s="2">
        <f xml:space="preserve">  _xlfn.XLOOKUP(2,Tabla8[Selec. Solvent],Tabla8[Radius])*COS(CK22)+ _xlfn.XLOOKUP(2,Tabla8[Selec. Solvent],Tabla8[dD])</f>
        <v>16</v>
      </c>
      <c r="CX22" s="2">
        <f xml:space="preserve"> (_xlfn.XLOOKUP(3,Tabla8[Selec. Solvent],Tabla8[Radius]))*SIN(CK22)+ _xlfn.XLOOKUP(3,Tabla8[Selec. Solvent],Tabla8[dD])</f>
        <v>14.8</v>
      </c>
      <c r="CY22" s="2">
        <f xml:space="preserve"> _xlfn.XLOOKUP(3,Tabla8[Selec. Solvent],Tabla8[Radius])*COS(CK22)+ _xlfn.XLOOKUP(3,Tabla8[Selec. Solvent],Tabla8[dP])</f>
        <v>4.2</v>
      </c>
      <c r="CZ22" s="2">
        <f xml:space="preserve"> _xlfn.XLOOKUP(3,Tabla8[Selec. Solvent],Tabla8[Radius])*SIN(CK22)+  _xlfn.XLOOKUP(3,Tabla8[Selec. Solvent],Tabla8[dH])</f>
        <v>5.8</v>
      </c>
      <c r="DA22" s="2">
        <f xml:space="preserve">  _xlfn.XLOOKUP(,Tabla8[Selec. Solvent],Tabla8[Radius])*COS(CK22)+ _xlfn.XLOOKUP(3,Tabla8[Selec. Solvent],Tabla8[dD])</f>
        <v>14.8</v>
      </c>
      <c r="DB22" s="2">
        <f xml:space="preserve"> (_xlfn.XLOOKUP(4,Tabla8[Selec. Solvent],Tabla8[Radius]))*SIN(CK22)+ _xlfn.XLOOKUP(4,Tabla8[Selec. Solvent],Tabla8[dD])</f>
        <v>15.9</v>
      </c>
      <c r="DC22" s="2">
        <f xml:space="preserve"> _xlfn.XLOOKUP(4,Tabla8[Selec. Solvent],Tabla8[Radius])*COS(CK22)+ _xlfn.XLOOKUP(4,Tabla8[Selec. Solvent],Tabla8[dP])</f>
        <v>6</v>
      </c>
      <c r="DD22" s="2">
        <f xml:space="preserve"> _xlfn.XLOOKUP(4,Tabla8[Selec. Solvent],Tabla8[Radius])*SIN(CK22)+  _xlfn.XLOOKUP(4,Tabla8[Selec. Solvent],Tabla8[dH])</f>
        <v>6.6</v>
      </c>
      <c r="DE22" s="2">
        <f xml:space="preserve">  _xlfn.XLOOKUP(4,Tabla8[Selec. Solvent],Tabla8[Radius])*COS(CK22)+ _xlfn.XLOOKUP(4,Tabla8[Selec. Solvent],Tabla8[dD])</f>
        <v>15.9</v>
      </c>
    </row>
    <row r="23" spans="1:109" x14ac:dyDescent="0.25">
      <c r="A23" s="74"/>
      <c r="C23" s="4"/>
      <c r="D23" s="4"/>
      <c r="E23" s="4"/>
      <c r="G23" s="4"/>
      <c r="H23" s="74"/>
      <c r="M23" s="5"/>
      <c r="N23" s="74"/>
      <c r="O23" s="40"/>
      <c r="R23" s="39" t="s">
        <v>2544</v>
      </c>
      <c r="CJ23" s="2">
        <v>100</v>
      </c>
      <c r="CK23" s="2">
        <f>RADIANS(Tabla3[[#This Row],[Angle º]])</f>
        <v>1.7453292519943295</v>
      </c>
      <c r="CL23" s="2">
        <f t="shared" si="0"/>
        <v>15.4</v>
      </c>
      <c r="CM23" s="2">
        <f t="shared" si="1"/>
        <v>5.4</v>
      </c>
      <c r="CN23" s="2">
        <f t="shared" si="2"/>
        <v>8</v>
      </c>
      <c r="CO23" s="2">
        <f t="shared" si="3"/>
        <v>15.4</v>
      </c>
      <c r="CP23" s="2">
        <f xml:space="preserve"> (_xlfn.XLOOKUP(1,Tabla8[Selec. Solvent],Tabla8[Radius]))*SIN(CK23)+ _xlfn.XLOOKUP(1,Tabla8[Selec. Solvent],Tabla8[dD])</f>
        <v>16</v>
      </c>
      <c r="CQ23" s="2">
        <f xml:space="preserve"> _xlfn.XLOOKUP(1,Tabla8[Selec. Solvent],Tabla8[Radius])*COS(CK23)+ _xlfn.XLOOKUP(1,Tabla8[Selec. Solvent],Tabla8[dP])</f>
        <v>5</v>
      </c>
      <c r="CR23" s="2">
        <f xml:space="preserve"> _xlfn.XLOOKUP(1,Tabla8[Selec. Solvent],Tabla8[Radius])*SIN(CK23)+  _xlfn.XLOOKUP(1,Tabla8[Selec. Solvent],Tabla8[dH])</f>
        <v>5.4</v>
      </c>
      <c r="CS23" s="2">
        <f xml:space="preserve">  _xlfn.XLOOKUP(1,Tabla8[Selec. Solvent],Tabla8[Radius])*COS(CK23)+ _xlfn.XLOOKUP(1,Tabla8[Selec. Solvent],Tabla8[dD])</f>
        <v>16</v>
      </c>
      <c r="CT23" s="2">
        <f xml:space="preserve"> (_xlfn.XLOOKUP(2,Tabla8[Selec. Solvent],Tabla8[Radius]))*SIN(CK23)+ _xlfn.XLOOKUP(2,Tabla8[Selec. Solvent],Tabla8[dD])</f>
        <v>16</v>
      </c>
      <c r="CU23" s="2">
        <f xml:space="preserve"> _xlfn.XLOOKUP(2,Tabla8[Selec. Solvent],Tabla8[Radius])*COS(CK23)+ _xlfn.XLOOKUP(2,Tabla8[Selec. Solvent],Tabla8[dP])</f>
        <v>6.5</v>
      </c>
      <c r="CV23" s="2">
        <f xml:space="preserve"> _xlfn.XLOOKUP(2,Tabla8[Selec. Solvent],Tabla8[Radius])*SIN(CK23)+  _xlfn.XLOOKUP(2,Tabla8[Selec. Solvent],Tabla8[dH])</f>
        <v>2.4</v>
      </c>
      <c r="CW23" s="2">
        <f xml:space="preserve">  _xlfn.XLOOKUP(2,Tabla8[Selec. Solvent],Tabla8[Radius])*COS(CK23)+ _xlfn.XLOOKUP(2,Tabla8[Selec. Solvent],Tabla8[dD])</f>
        <v>16</v>
      </c>
      <c r="CX23" s="2">
        <f xml:space="preserve"> (_xlfn.XLOOKUP(3,Tabla8[Selec. Solvent],Tabla8[Radius]))*SIN(CK23)+ _xlfn.XLOOKUP(3,Tabla8[Selec. Solvent],Tabla8[dD])</f>
        <v>14.8</v>
      </c>
      <c r="CY23" s="2">
        <f xml:space="preserve"> _xlfn.XLOOKUP(3,Tabla8[Selec. Solvent],Tabla8[Radius])*COS(CK23)+ _xlfn.XLOOKUP(3,Tabla8[Selec. Solvent],Tabla8[dP])</f>
        <v>4.2</v>
      </c>
      <c r="CZ23" s="2">
        <f xml:space="preserve"> _xlfn.XLOOKUP(3,Tabla8[Selec. Solvent],Tabla8[Radius])*SIN(CK23)+  _xlfn.XLOOKUP(3,Tabla8[Selec. Solvent],Tabla8[dH])</f>
        <v>5.8</v>
      </c>
      <c r="DA23" s="2">
        <f xml:space="preserve">  _xlfn.XLOOKUP(,Tabla8[Selec. Solvent],Tabla8[Radius])*COS(CK23)+ _xlfn.XLOOKUP(3,Tabla8[Selec. Solvent],Tabla8[dD])</f>
        <v>14.8</v>
      </c>
      <c r="DB23" s="2">
        <f xml:space="preserve"> (_xlfn.XLOOKUP(4,Tabla8[Selec. Solvent],Tabla8[Radius]))*SIN(CK23)+ _xlfn.XLOOKUP(4,Tabla8[Selec. Solvent],Tabla8[dD])</f>
        <v>15.9</v>
      </c>
      <c r="DC23" s="2">
        <f xml:space="preserve"> _xlfn.XLOOKUP(4,Tabla8[Selec. Solvent],Tabla8[Radius])*COS(CK23)+ _xlfn.XLOOKUP(4,Tabla8[Selec. Solvent],Tabla8[dP])</f>
        <v>6</v>
      </c>
      <c r="DD23" s="2">
        <f xml:space="preserve"> _xlfn.XLOOKUP(4,Tabla8[Selec. Solvent],Tabla8[Radius])*SIN(CK23)+  _xlfn.XLOOKUP(4,Tabla8[Selec. Solvent],Tabla8[dH])</f>
        <v>6.6</v>
      </c>
      <c r="DE23" s="2">
        <f xml:space="preserve">  _xlfn.XLOOKUP(4,Tabla8[Selec. Solvent],Tabla8[Radius])*COS(CK23)+ _xlfn.XLOOKUP(4,Tabla8[Selec. Solvent],Tabla8[dD])</f>
        <v>15.9</v>
      </c>
    </row>
    <row r="24" spans="1:109" ht="15.75" thickBot="1" x14ac:dyDescent="0.3">
      <c r="C24" s="4"/>
      <c r="D24" s="4"/>
      <c r="E24" s="4"/>
      <c r="H24" s="2"/>
      <c r="R24" s="10" t="s">
        <v>2514</v>
      </c>
      <c r="S24" s="10" t="s">
        <v>116</v>
      </c>
      <c r="T24" s="10" t="s">
        <v>96</v>
      </c>
      <c r="U24" s="10" t="s">
        <v>97</v>
      </c>
      <c r="V24" s="10" t="s">
        <v>98</v>
      </c>
      <c r="W24" s="10" t="s">
        <v>2515</v>
      </c>
      <c r="X24" s="10" t="s">
        <v>2516</v>
      </c>
      <c r="Y24" s="10" t="s">
        <v>2518</v>
      </c>
      <c r="Z24" s="10" t="s">
        <v>2563</v>
      </c>
      <c r="AA24" s="10" t="s">
        <v>2564</v>
      </c>
      <c r="AB24" s="3"/>
      <c r="CJ24" s="2">
        <v>105</v>
      </c>
      <c r="CK24" s="2">
        <f>RADIANS(Tabla3[[#This Row],[Angle º]])</f>
        <v>1.8325957145940461</v>
      </c>
      <c r="CL24" s="2">
        <f t="shared" si="0"/>
        <v>15.4</v>
      </c>
      <c r="CM24" s="2">
        <f t="shared" si="1"/>
        <v>5.4</v>
      </c>
      <c r="CN24" s="2">
        <f t="shared" si="2"/>
        <v>8</v>
      </c>
      <c r="CO24" s="2">
        <f t="shared" si="3"/>
        <v>15.4</v>
      </c>
      <c r="CP24" s="2">
        <f xml:space="preserve"> (_xlfn.XLOOKUP(1,Tabla8[Selec. Solvent],Tabla8[Radius]))*SIN(CK24)+ _xlfn.XLOOKUP(1,Tabla8[Selec. Solvent],Tabla8[dD])</f>
        <v>16</v>
      </c>
      <c r="CQ24" s="2">
        <f xml:space="preserve"> _xlfn.XLOOKUP(1,Tabla8[Selec. Solvent],Tabla8[Radius])*COS(CK24)+ _xlfn.XLOOKUP(1,Tabla8[Selec. Solvent],Tabla8[dP])</f>
        <v>5</v>
      </c>
      <c r="CR24" s="2">
        <f xml:space="preserve"> _xlfn.XLOOKUP(1,Tabla8[Selec. Solvent],Tabla8[Radius])*SIN(CK24)+  _xlfn.XLOOKUP(1,Tabla8[Selec. Solvent],Tabla8[dH])</f>
        <v>5.4</v>
      </c>
      <c r="CS24" s="2">
        <f xml:space="preserve">  _xlfn.XLOOKUP(1,Tabla8[Selec. Solvent],Tabla8[Radius])*COS(CK24)+ _xlfn.XLOOKUP(1,Tabla8[Selec. Solvent],Tabla8[dD])</f>
        <v>16</v>
      </c>
      <c r="CT24" s="2">
        <f xml:space="preserve"> (_xlfn.XLOOKUP(2,Tabla8[Selec. Solvent],Tabla8[Radius]))*SIN(CK24)+ _xlfn.XLOOKUP(2,Tabla8[Selec. Solvent],Tabla8[dD])</f>
        <v>16</v>
      </c>
      <c r="CU24" s="2">
        <f xml:space="preserve"> _xlfn.XLOOKUP(2,Tabla8[Selec. Solvent],Tabla8[Radius])*COS(CK24)+ _xlfn.XLOOKUP(2,Tabla8[Selec. Solvent],Tabla8[dP])</f>
        <v>6.5</v>
      </c>
      <c r="CV24" s="2">
        <f xml:space="preserve"> _xlfn.XLOOKUP(2,Tabla8[Selec. Solvent],Tabla8[Radius])*SIN(CK24)+  _xlfn.XLOOKUP(2,Tabla8[Selec. Solvent],Tabla8[dH])</f>
        <v>2.4</v>
      </c>
      <c r="CW24" s="2">
        <f xml:space="preserve">  _xlfn.XLOOKUP(2,Tabla8[Selec. Solvent],Tabla8[Radius])*COS(CK24)+ _xlfn.XLOOKUP(2,Tabla8[Selec. Solvent],Tabla8[dD])</f>
        <v>16</v>
      </c>
      <c r="CX24" s="2">
        <f xml:space="preserve"> (_xlfn.XLOOKUP(3,Tabla8[Selec. Solvent],Tabla8[Radius]))*SIN(CK24)+ _xlfn.XLOOKUP(3,Tabla8[Selec. Solvent],Tabla8[dD])</f>
        <v>14.8</v>
      </c>
      <c r="CY24" s="2">
        <f xml:space="preserve"> _xlfn.XLOOKUP(3,Tabla8[Selec. Solvent],Tabla8[Radius])*COS(CK24)+ _xlfn.XLOOKUP(3,Tabla8[Selec. Solvent],Tabla8[dP])</f>
        <v>4.2</v>
      </c>
      <c r="CZ24" s="2">
        <f xml:space="preserve"> _xlfn.XLOOKUP(3,Tabla8[Selec. Solvent],Tabla8[Radius])*SIN(CK24)+  _xlfn.XLOOKUP(3,Tabla8[Selec. Solvent],Tabla8[dH])</f>
        <v>5.8</v>
      </c>
      <c r="DA24" s="2">
        <f xml:space="preserve">  _xlfn.XLOOKUP(,Tabla8[Selec. Solvent],Tabla8[Radius])*COS(CK24)+ _xlfn.XLOOKUP(3,Tabla8[Selec. Solvent],Tabla8[dD])</f>
        <v>14.8</v>
      </c>
      <c r="DB24" s="2">
        <f xml:space="preserve"> (_xlfn.XLOOKUP(4,Tabla8[Selec. Solvent],Tabla8[Radius]))*SIN(CK24)+ _xlfn.XLOOKUP(4,Tabla8[Selec. Solvent],Tabla8[dD])</f>
        <v>15.9</v>
      </c>
      <c r="DC24" s="2">
        <f xml:space="preserve"> _xlfn.XLOOKUP(4,Tabla8[Selec. Solvent],Tabla8[Radius])*COS(CK24)+ _xlfn.XLOOKUP(4,Tabla8[Selec. Solvent],Tabla8[dP])</f>
        <v>6</v>
      </c>
      <c r="DD24" s="2">
        <f xml:space="preserve"> _xlfn.XLOOKUP(4,Tabla8[Selec. Solvent],Tabla8[Radius])*SIN(CK24)+  _xlfn.XLOOKUP(4,Tabla8[Selec. Solvent],Tabla8[dH])</f>
        <v>6.6</v>
      </c>
      <c r="DE24" s="2">
        <f xml:space="preserve">  _xlfn.XLOOKUP(4,Tabla8[Selec. Solvent],Tabla8[Radius])*COS(CK24)+ _xlfn.XLOOKUP(4,Tabla8[Selec. Solvent],Tabla8[dD])</f>
        <v>15.9</v>
      </c>
    </row>
    <row r="25" spans="1:109" x14ac:dyDescent="0.25">
      <c r="C25" s="4"/>
      <c r="D25" s="4"/>
      <c r="E25" s="4"/>
      <c r="H25" s="2"/>
      <c r="R25" s="2">
        <v>1</v>
      </c>
      <c r="S25" s="2" t="str">
        <f>_xlfn.XLOOKUP(Tabla12[[#This Row],[Nº]], Tabla8[Selec. Solvent],Tabla8[Solvents], "Select Solvent",0 )</f>
        <v>Vinyl Butyl Sulfide</v>
      </c>
      <c r="T25" s="5">
        <f>IFERROR( (_xlfn.XLOOKUP(Tabla12[[#This Row],[Nº]], Tabla8[Selec. Solvent],Tabla8[dD], "Select Solvent",0 ))*Tabla12[[#This Row],[% Total]], "")</f>
        <v>0</v>
      </c>
      <c r="U25" s="5">
        <f xml:space="preserve"> IFERROR((_xlfn.XLOOKUP(Tabla12[[#This Row],[Nº]],Tabla8[Selec. Solvent],Tabla8[dP], "Select Solvent",0 )) * Tabla12[[#This Row],[% Total]], "")</f>
        <v>0</v>
      </c>
      <c r="V25" s="5">
        <f>IFERROR((_xlfn.XLOOKUP(Tabla12[[#This Row],[Nº]],Tabla8[Selec. Solvent],Tabla8[dH], "Select Solvent",0 )) * Tabla12[[#This Row],[% Total]], "")</f>
        <v>0</v>
      </c>
      <c r="W25" s="37">
        <v>0</v>
      </c>
      <c r="X25" s="37">
        <v>1</v>
      </c>
      <c r="Y25" s="36">
        <v>0</v>
      </c>
      <c r="Z25" s="44">
        <v>5</v>
      </c>
      <c r="AA25" s="34">
        <f>Tabla12[[#This Row],[Price (Unit)]]*Tabla12[[#This Row],[% Total]]</f>
        <v>0</v>
      </c>
      <c r="AB25" s="36"/>
      <c r="CJ25" s="2">
        <v>110</v>
      </c>
      <c r="CK25" s="2">
        <f>RADIANS(Tabla3[[#This Row],[Angle º]])</f>
        <v>1.9198621771937625</v>
      </c>
      <c r="CL25" s="2">
        <f t="shared" si="0"/>
        <v>15.4</v>
      </c>
      <c r="CM25" s="2">
        <f t="shared" si="1"/>
        <v>5.4</v>
      </c>
      <c r="CN25" s="2">
        <f t="shared" si="2"/>
        <v>8</v>
      </c>
      <c r="CO25" s="2">
        <f t="shared" si="3"/>
        <v>15.4</v>
      </c>
      <c r="CP25" s="2">
        <f xml:space="preserve"> (_xlfn.XLOOKUP(1,Tabla8[Selec. Solvent],Tabla8[Radius]))*SIN(CK25)+ _xlfn.XLOOKUP(1,Tabla8[Selec. Solvent],Tabla8[dD])</f>
        <v>16</v>
      </c>
      <c r="CQ25" s="2">
        <f xml:space="preserve"> _xlfn.XLOOKUP(1,Tabla8[Selec. Solvent],Tabla8[Radius])*COS(CK25)+ _xlfn.XLOOKUP(1,Tabla8[Selec. Solvent],Tabla8[dP])</f>
        <v>5</v>
      </c>
      <c r="CR25" s="2">
        <f xml:space="preserve"> _xlfn.XLOOKUP(1,Tabla8[Selec. Solvent],Tabla8[Radius])*SIN(CK25)+  _xlfn.XLOOKUP(1,Tabla8[Selec. Solvent],Tabla8[dH])</f>
        <v>5.4</v>
      </c>
      <c r="CS25" s="2">
        <f xml:space="preserve">  _xlfn.XLOOKUP(1,Tabla8[Selec. Solvent],Tabla8[Radius])*COS(CK25)+ _xlfn.XLOOKUP(1,Tabla8[Selec. Solvent],Tabla8[dD])</f>
        <v>16</v>
      </c>
      <c r="CT25" s="2">
        <f xml:space="preserve"> (_xlfn.XLOOKUP(2,Tabla8[Selec. Solvent],Tabla8[Radius]))*SIN(CK25)+ _xlfn.XLOOKUP(2,Tabla8[Selec. Solvent],Tabla8[dD])</f>
        <v>16</v>
      </c>
      <c r="CU25" s="2">
        <f xml:space="preserve"> _xlfn.XLOOKUP(2,Tabla8[Selec. Solvent],Tabla8[Radius])*COS(CK25)+ _xlfn.XLOOKUP(2,Tabla8[Selec. Solvent],Tabla8[dP])</f>
        <v>6.5</v>
      </c>
      <c r="CV25" s="2">
        <f xml:space="preserve"> _xlfn.XLOOKUP(2,Tabla8[Selec. Solvent],Tabla8[Radius])*SIN(CK25)+  _xlfn.XLOOKUP(2,Tabla8[Selec. Solvent],Tabla8[dH])</f>
        <v>2.4</v>
      </c>
      <c r="CW25" s="2">
        <f xml:space="preserve">  _xlfn.XLOOKUP(2,Tabla8[Selec. Solvent],Tabla8[Radius])*COS(CK25)+ _xlfn.XLOOKUP(2,Tabla8[Selec. Solvent],Tabla8[dD])</f>
        <v>16</v>
      </c>
      <c r="CX25" s="2">
        <f xml:space="preserve"> (_xlfn.XLOOKUP(3,Tabla8[Selec. Solvent],Tabla8[Radius]))*SIN(CK25)+ _xlfn.XLOOKUP(3,Tabla8[Selec. Solvent],Tabla8[dD])</f>
        <v>14.8</v>
      </c>
      <c r="CY25" s="2">
        <f xml:space="preserve"> _xlfn.XLOOKUP(3,Tabla8[Selec. Solvent],Tabla8[Radius])*COS(CK25)+ _xlfn.XLOOKUP(3,Tabla8[Selec. Solvent],Tabla8[dP])</f>
        <v>4.2</v>
      </c>
      <c r="CZ25" s="2">
        <f xml:space="preserve"> _xlfn.XLOOKUP(3,Tabla8[Selec. Solvent],Tabla8[Radius])*SIN(CK25)+  _xlfn.XLOOKUP(3,Tabla8[Selec. Solvent],Tabla8[dH])</f>
        <v>5.8</v>
      </c>
      <c r="DA25" s="2">
        <f xml:space="preserve">  _xlfn.XLOOKUP(,Tabla8[Selec. Solvent],Tabla8[Radius])*COS(CK25)+ _xlfn.XLOOKUP(3,Tabla8[Selec. Solvent],Tabla8[dD])</f>
        <v>14.8</v>
      </c>
      <c r="DB25" s="2">
        <f xml:space="preserve"> (_xlfn.XLOOKUP(4,Tabla8[Selec. Solvent],Tabla8[Radius]))*SIN(CK25)+ _xlfn.XLOOKUP(4,Tabla8[Selec. Solvent],Tabla8[dD])</f>
        <v>15.9</v>
      </c>
      <c r="DC25" s="2">
        <f xml:space="preserve"> _xlfn.XLOOKUP(4,Tabla8[Selec. Solvent],Tabla8[Radius])*COS(CK25)+ _xlfn.XLOOKUP(4,Tabla8[Selec. Solvent],Tabla8[dP])</f>
        <v>6</v>
      </c>
      <c r="DD25" s="2">
        <f xml:space="preserve"> _xlfn.XLOOKUP(4,Tabla8[Selec. Solvent],Tabla8[Radius])*SIN(CK25)+  _xlfn.XLOOKUP(4,Tabla8[Selec. Solvent],Tabla8[dH])</f>
        <v>6.6</v>
      </c>
      <c r="DE25" s="2">
        <f xml:space="preserve">  _xlfn.XLOOKUP(4,Tabla8[Selec. Solvent],Tabla8[Radius])*COS(CK25)+ _xlfn.XLOOKUP(4,Tabla8[Selec. Solvent],Tabla8[dD])</f>
        <v>15.9</v>
      </c>
    </row>
    <row r="26" spans="1:109" x14ac:dyDescent="0.25">
      <c r="C26" s="4"/>
      <c r="D26" s="4"/>
      <c r="E26" s="4"/>
      <c r="H26" s="2"/>
      <c r="R26" s="2">
        <v>2</v>
      </c>
      <c r="S26" s="2" t="str">
        <f>_xlfn.XLOOKUP(Tabla12[[#This Row],[Nº]], Tabla8[Selec. Solvent],Tabla8[Solvents], "Select Solvent",0 )</f>
        <v>Vinyl Chloride</v>
      </c>
      <c r="T26" s="5">
        <f>IFERROR( (_xlfn.XLOOKUP(Tabla12[[#This Row],[Nº]], Tabla8[Selec. Solvent],Tabla8[dD], "Select Solvent",0 ))*Tabla12[[#This Row],[% Total]], "")</f>
        <v>0</v>
      </c>
      <c r="U26" s="5">
        <f xml:space="preserve"> IFERROR((_xlfn.XLOOKUP(Tabla12[[#This Row],[Nº]],Tabla8[Selec. Solvent],Tabla8[dP], "Select Solvent",0 )) * Tabla12[[#This Row],[% Total]], "")</f>
        <v>0</v>
      </c>
      <c r="V26" s="5">
        <f>IFERROR((_xlfn.XLOOKUP(Tabla12[[#This Row],[Nº]],Tabla8[Selec. Solvent],Tabla8[dH], "Select Solvent",0 )) * Tabla12[[#This Row],[% Total]], "")</f>
        <v>0</v>
      </c>
      <c r="W26" s="37">
        <v>0</v>
      </c>
      <c r="X26" s="37">
        <v>1</v>
      </c>
      <c r="Y26" s="36">
        <v>0</v>
      </c>
      <c r="Z26" s="44">
        <v>3</v>
      </c>
      <c r="AA26" s="34">
        <f>Tabla12[[#This Row],[Price (Unit)]]*Tabla12[[#This Row],[% Total]]</f>
        <v>0</v>
      </c>
      <c r="AB26" s="36"/>
      <c r="CJ26" s="2">
        <v>115</v>
      </c>
      <c r="CK26" s="2">
        <f>RADIANS(Tabla3[[#This Row],[Angle º]])</f>
        <v>2.0071286397934789</v>
      </c>
      <c r="CL26" s="2">
        <f t="shared" si="0"/>
        <v>15.4</v>
      </c>
      <c r="CM26" s="2">
        <f t="shared" si="1"/>
        <v>5.4</v>
      </c>
      <c r="CN26" s="2">
        <f t="shared" si="2"/>
        <v>8</v>
      </c>
      <c r="CO26" s="2">
        <f t="shared" si="3"/>
        <v>15.4</v>
      </c>
      <c r="CP26" s="2">
        <f xml:space="preserve"> (_xlfn.XLOOKUP(1,Tabla8[Selec. Solvent],Tabla8[Radius]))*SIN(CK26)+ _xlfn.XLOOKUP(1,Tabla8[Selec. Solvent],Tabla8[dD])</f>
        <v>16</v>
      </c>
      <c r="CQ26" s="2">
        <f xml:space="preserve"> _xlfn.XLOOKUP(1,Tabla8[Selec. Solvent],Tabla8[Radius])*COS(CK26)+ _xlfn.XLOOKUP(1,Tabla8[Selec. Solvent],Tabla8[dP])</f>
        <v>5</v>
      </c>
      <c r="CR26" s="2">
        <f xml:space="preserve"> _xlfn.XLOOKUP(1,Tabla8[Selec. Solvent],Tabla8[Radius])*SIN(CK26)+  _xlfn.XLOOKUP(1,Tabla8[Selec. Solvent],Tabla8[dH])</f>
        <v>5.4</v>
      </c>
      <c r="CS26" s="2">
        <f xml:space="preserve">  _xlfn.XLOOKUP(1,Tabla8[Selec. Solvent],Tabla8[Radius])*COS(CK26)+ _xlfn.XLOOKUP(1,Tabla8[Selec. Solvent],Tabla8[dD])</f>
        <v>16</v>
      </c>
      <c r="CT26" s="2">
        <f xml:space="preserve"> (_xlfn.XLOOKUP(2,Tabla8[Selec. Solvent],Tabla8[Radius]))*SIN(CK26)+ _xlfn.XLOOKUP(2,Tabla8[Selec. Solvent],Tabla8[dD])</f>
        <v>16</v>
      </c>
      <c r="CU26" s="2">
        <f xml:space="preserve"> _xlfn.XLOOKUP(2,Tabla8[Selec. Solvent],Tabla8[Radius])*COS(CK26)+ _xlfn.XLOOKUP(2,Tabla8[Selec. Solvent],Tabla8[dP])</f>
        <v>6.5</v>
      </c>
      <c r="CV26" s="2">
        <f xml:space="preserve"> _xlfn.XLOOKUP(2,Tabla8[Selec. Solvent],Tabla8[Radius])*SIN(CK26)+  _xlfn.XLOOKUP(2,Tabla8[Selec. Solvent],Tabla8[dH])</f>
        <v>2.4</v>
      </c>
      <c r="CW26" s="2">
        <f xml:space="preserve">  _xlfn.XLOOKUP(2,Tabla8[Selec. Solvent],Tabla8[Radius])*COS(CK26)+ _xlfn.XLOOKUP(2,Tabla8[Selec. Solvent],Tabla8[dD])</f>
        <v>16</v>
      </c>
      <c r="CX26" s="2">
        <f xml:space="preserve"> (_xlfn.XLOOKUP(3,Tabla8[Selec. Solvent],Tabla8[Radius]))*SIN(CK26)+ _xlfn.XLOOKUP(3,Tabla8[Selec. Solvent],Tabla8[dD])</f>
        <v>14.8</v>
      </c>
      <c r="CY26" s="2">
        <f xml:space="preserve"> _xlfn.XLOOKUP(3,Tabla8[Selec. Solvent],Tabla8[Radius])*COS(CK26)+ _xlfn.XLOOKUP(3,Tabla8[Selec. Solvent],Tabla8[dP])</f>
        <v>4.2</v>
      </c>
      <c r="CZ26" s="2">
        <f xml:space="preserve"> _xlfn.XLOOKUP(3,Tabla8[Selec. Solvent],Tabla8[Radius])*SIN(CK26)+  _xlfn.XLOOKUP(3,Tabla8[Selec. Solvent],Tabla8[dH])</f>
        <v>5.8</v>
      </c>
      <c r="DA26" s="2">
        <f xml:space="preserve">  _xlfn.XLOOKUP(,Tabla8[Selec. Solvent],Tabla8[Radius])*COS(CK26)+ _xlfn.XLOOKUP(3,Tabla8[Selec. Solvent],Tabla8[dD])</f>
        <v>14.8</v>
      </c>
      <c r="DB26" s="2">
        <f xml:space="preserve"> (_xlfn.XLOOKUP(4,Tabla8[Selec. Solvent],Tabla8[Radius]))*SIN(CK26)+ _xlfn.XLOOKUP(4,Tabla8[Selec. Solvent],Tabla8[dD])</f>
        <v>15.9</v>
      </c>
      <c r="DC26" s="2">
        <f xml:space="preserve"> _xlfn.XLOOKUP(4,Tabla8[Selec. Solvent],Tabla8[Radius])*COS(CK26)+ _xlfn.XLOOKUP(4,Tabla8[Selec. Solvent],Tabla8[dP])</f>
        <v>6</v>
      </c>
      <c r="DD26" s="2">
        <f xml:space="preserve"> _xlfn.XLOOKUP(4,Tabla8[Selec. Solvent],Tabla8[Radius])*SIN(CK26)+  _xlfn.XLOOKUP(4,Tabla8[Selec. Solvent],Tabla8[dH])</f>
        <v>6.6</v>
      </c>
      <c r="DE26" s="2">
        <f xml:space="preserve">  _xlfn.XLOOKUP(4,Tabla8[Selec. Solvent],Tabla8[Radius])*COS(CK26)+ _xlfn.XLOOKUP(4,Tabla8[Selec. Solvent],Tabla8[dD])</f>
        <v>15.9</v>
      </c>
    </row>
    <row r="27" spans="1:109" x14ac:dyDescent="0.25">
      <c r="C27" s="4"/>
      <c r="D27" s="4"/>
      <c r="E27" s="4"/>
      <c r="H27" s="2"/>
      <c r="R27" s="2">
        <v>3</v>
      </c>
      <c r="S27" s="2" t="str">
        <f>_xlfn.XLOOKUP(Tabla12[[#This Row],[Nº]], Tabla8[Selec. Solvent],Tabla8[Solvents], "Select Solvent",0 )</f>
        <v>Vinyl Ether</v>
      </c>
      <c r="T27" s="5">
        <f>IFERROR( (_xlfn.XLOOKUP(Tabla12[[#This Row],[Nº]], Tabla8[Selec. Solvent],Tabla8[dD], "Select Solvent",0 ))*Tabla12[[#This Row],[% Total]], "")</f>
        <v>3.6662380836837656</v>
      </c>
      <c r="U27" s="5">
        <f xml:space="preserve"> IFERROR((_xlfn.XLOOKUP(Tabla12[[#This Row],[Nº]],Tabla8[Selec. Solvent],Tabla8[dP], "Select Solvent",0 )) * Tabla12[[#This Row],[% Total]], "")</f>
        <v>1.0404189156399875</v>
      </c>
      <c r="V27" s="5">
        <f>IFERROR((_xlfn.XLOOKUP(Tabla12[[#This Row],[Nº]],Tabla8[Selec. Solvent],Tabla8[dH], "Select Solvent",0 )) * Tabla12[[#This Row],[% Total]], "")</f>
        <v>1.436768978740935</v>
      </c>
      <c r="W27" s="37">
        <v>0</v>
      </c>
      <c r="X27" s="37">
        <v>1</v>
      </c>
      <c r="Y27" s="36">
        <v>0.24771878943809225</v>
      </c>
      <c r="Z27" s="44">
        <v>2.8</v>
      </c>
      <c r="AA27" s="34">
        <f>Tabla12[[#This Row],[Price (Unit)]]*Tabla12[[#This Row],[% Total]]</f>
        <v>0.69361261042665823</v>
      </c>
      <c r="AB27" s="36"/>
      <c r="CJ27" s="2">
        <v>120</v>
      </c>
      <c r="CK27" s="2">
        <f>RADIANS(Tabla3[[#This Row],[Angle º]])</f>
        <v>2.0943951023931953</v>
      </c>
      <c r="CL27" s="2">
        <f t="shared" si="0"/>
        <v>15.4</v>
      </c>
      <c r="CM27" s="2">
        <f t="shared" si="1"/>
        <v>5.4</v>
      </c>
      <c r="CN27" s="2">
        <f t="shared" si="2"/>
        <v>8</v>
      </c>
      <c r="CO27" s="2">
        <f t="shared" si="3"/>
        <v>15.4</v>
      </c>
      <c r="CP27" s="2">
        <f xml:space="preserve"> (_xlfn.XLOOKUP(1,Tabla8[Selec. Solvent],Tabla8[Radius]))*SIN(CK27)+ _xlfn.XLOOKUP(1,Tabla8[Selec. Solvent],Tabla8[dD])</f>
        <v>16</v>
      </c>
      <c r="CQ27" s="2">
        <f xml:space="preserve"> _xlfn.XLOOKUP(1,Tabla8[Selec. Solvent],Tabla8[Radius])*COS(CK27)+ _xlfn.XLOOKUP(1,Tabla8[Selec. Solvent],Tabla8[dP])</f>
        <v>5</v>
      </c>
      <c r="CR27" s="2">
        <f xml:space="preserve"> _xlfn.XLOOKUP(1,Tabla8[Selec. Solvent],Tabla8[Radius])*SIN(CK27)+  _xlfn.XLOOKUP(1,Tabla8[Selec. Solvent],Tabla8[dH])</f>
        <v>5.4</v>
      </c>
      <c r="CS27" s="2">
        <f xml:space="preserve">  _xlfn.XLOOKUP(1,Tabla8[Selec. Solvent],Tabla8[Radius])*COS(CK27)+ _xlfn.XLOOKUP(1,Tabla8[Selec. Solvent],Tabla8[dD])</f>
        <v>16</v>
      </c>
      <c r="CT27" s="2">
        <f xml:space="preserve"> (_xlfn.XLOOKUP(2,Tabla8[Selec. Solvent],Tabla8[Radius]))*SIN(CK27)+ _xlfn.XLOOKUP(2,Tabla8[Selec. Solvent],Tabla8[dD])</f>
        <v>16</v>
      </c>
      <c r="CU27" s="2">
        <f xml:space="preserve"> _xlfn.XLOOKUP(2,Tabla8[Selec. Solvent],Tabla8[Radius])*COS(CK27)+ _xlfn.XLOOKUP(2,Tabla8[Selec. Solvent],Tabla8[dP])</f>
        <v>6.5</v>
      </c>
      <c r="CV27" s="2">
        <f xml:space="preserve"> _xlfn.XLOOKUP(2,Tabla8[Selec. Solvent],Tabla8[Radius])*SIN(CK27)+  _xlfn.XLOOKUP(2,Tabla8[Selec. Solvent],Tabla8[dH])</f>
        <v>2.4</v>
      </c>
      <c r="CW27" s="2">
        <f xml:space="preserve">  _xlfn.XLOOKUP(2,Tabla8[Selec. Solvent],Tabla8[Radius])*COS(CK27)+ _xlfn.XLOOKUP(2,Tabla8[Selec. Solvent],Tabla8[dD])</f>
        <v>16</v>
      </c>
      <c r="CX27" s="2">
        <f xml:space="preserve"> (_xlfn.XLOOKUP(3,Tabla8[Selec. Solvent],Tabla8[Radius]))*SIN(CK27)+ _xlfn.XLOOKUP(3,Tabla8[Selec. Solvent],Tabla8[dD])</f>
        <v>14.8</v>
      </c>
      <c r="CY27" s="2">
        <f xml:space="preserve"> _xlfn.XLOOKUP(3,Tabla8[Selec. Solvent],Tabla8[Radius])*COS(CK27)+ _xlfn.XLOOKUP(3,Tabla8[Selec. Solvent],Tabla8[dP])</f>
        <v>4.2</v>
      </c>
      <c r="CZ27" s="2">
        <f xml:space="preserve"> _xlfn.XLOOKUP(3,Tabla8[Selec. Solvent],Tabla8[Radius])*SIN(CK27)+  _xlfn.XLOOKUP(3,Tabla8[Selec. Solvent],Tabla8[dH])</f>
        <v>5.8</v>
      </c>
      <c r="DA27" s="2">
        <f xml:space="preserve">  _xlfn.XLOOKUP(,Tabla8[Selec. Solvent],Tabla8[Radius])*COS(CK27)+ _xlfn.XLOOKUP(3,Tabla8[Selec. Solvent],Tabla8[dD])</f>
        <v>14.8</v>
      </c>
      <c r="DB27" s="2">
        <f xml:space="preserve"> (_xlfn.XLOOKUP(4,Tabla8[Selec. Solvent],Tabla8[Radius]))*SIN(CK27)+ _xlfn.XLOOKUP(4,Tabla8[Selec. Solvent],Tabla8[dD])</f>
        <v>15.9</v>
      </c>
      <c r="DC27" s="2">
        <f xml:space="preserve"> _xlfn.XLOOKUP(4,Tabla8[Selec. Solvent],Tabla8[Radius])*COS(CK27)+ _xlfn.XLOOKUP(4,Tabla8[Selec. Solvent],Tabla8[dP])</f>
        <v>6</v>
      </c>
      <c r="DD27" s="2">
        <f xml:space="preserve"> _xlfn.XLOOKUP(4,Tabla8[Selec. Solvent],Tabla8[Radius])*SIN(CK27)+  _xlfn.XLOOKUP(4,Tabla8[Selec. Solvent],Tabla8[dH])</f>
        <v>6.6</v>
      </c>
      <c r="DE27" s="2">
        <f xml:space="preserve">  _xlfn.XLOOKUP(4,Tabla8[Selec. Solvent],Tabla8[Radius])*COS(CK27)+ _xlfn.XLOOKUP(4,Tabla8[Selec. Solvent],Tabla8[dD])</f>
        <v>15.9</v>
      </c>
    </row>
    <row r="28" spans="1:109" x14ac:dyDescent="0.25">
      <c r="C28" s="4"/>
      <c r="D28" s="4"/>
      <c r="E28" s="4"/>
      <c r="H28" s="2"/>
      <c r="R28" s="2">
        <v>4</v>
      </c>
      <c r="S28" s="2" t="str">
        <f>_xlfn.XLOOKUP(Tabla12[[#This Row],[Nº]], Tabla8[Selec. Solvent],Tabla8[Solvents], "Select Solvent",0 )</f>
        <v>Vinyl Ethyl Carbitol</v>
      </c>
      <c r="T28" s="5">
        <f>IFERROR( (_xlfn.XLOOKUP(Tabla12[[#This Row],[Nº]], Tabla8[Selec. Solvent],Tabla8[dD], "Select Solvent",0 ))*Tabla12[[#This Row],[% Total]], "")</f>
        <v>11.961271398004923</v>
      </c>
      <c r="U28" s="5">
        <f xml:space="preserve"> IFERROR((_xlfn.XLOOKUP(Tabla12[[#This Row],[Nº]],Tabla8[Selec. Solvent],Tabla8[dP], "Select Solvent",0 )) * Tabla12[[#This Row],[% Total]], "")</f>
        <v>4.5136873200018579</v>
      </c>
      <c r="V28" s="5">
        <f>IFERROR((_xlfn.XLOOKUP(Tabla12[[#This Row],[Nº]],Tabla8[Selec. Solvent],Tabla8[dH], "Select Solvent",0 )) * Tabla12[[#This Row],[% Total]], "")</f>
        <v>4.9650560520020433</v>
      </c>
      <c r="W28" s="37">
        <v>0</v>
      </c>
      <c r="X28" s="37">
        <v>1</v>
      </c>
      <c r="Y28" s="36">
        <v>0.75228122000030961</v>
      </c>
      <c r="Z28" s="44">
        <v>8</v>
      </c>
      <c r="AA28" s="34">
        <f>Tabla12[[#This Row],[Price (Unit)]]*Tabla12[[#This Row],[% Total]]</f>
        <v>6.0182497600024769</v>
      </c>
      <c r="AB28" s="36"/>
      <c r="CJ28" s="2">
        <v>125</v>
      </c>
      <c r="CK28" s="2">
        <f>RADIANS(Tabla3[[#This Row],[Angle º]])</f>
        <v>2.1816615649929121</v>
      </c>
      <c r="CL28" s="2">
        <f t="shared" si="0"/>
        <v>15.4</v>
      </c>
      <c r="CM28" s="2">
        <f t="shared" si="1"/>
        <v>5.4</v>
      </c>
      <c r="CN28" s="2">
        <f t="shared" si="2"/>
        <v>8</v>
      </c>
      <c r="CO28" s="2">
        <f t="shared" si="3"/>
        <v>15.4</v>
      </c>
      <c r="CP28" s="2">
        <f xml:space="preserve"> (_xlfn.XLOOKUP(1,Tabla8[Selec. Solvent],Tabla8[Radius]))*SIN(CK28)+ _xlfn.XLOOKUP(1,Tabla8[Selec. Solvent],Tabla8[dD])</f>
        <v>16</v>
      </c>
      <c r="CQ28" s="2">
        <f xml:space="preserve"> _xlfn.XLOOKUP(1,Tabla8[Selec. Solvent],Tabla8[Radius])*COS(CK28)+ _xlfn.XLOOKUP(1,Tabla8[Selec. Solvent],Tabla8[dP])</f>
        <v>5</v>
      </c>
      <c r="CR28" s="2">
        <f xml:space="preserve"> _xlfn.XLOOKUP(1,Tabla8[Selec. Solvent],Tabla8[Radius])*SIN(CK28)+  _xlfn.XLOOKUP(1,Tabla8[Selec. Solvent],Tabla8[dH])</f>
        <v>5.4</v>
      </c>
      <c r="CS28" s="2">
        <f xml:space="preserve">  _xlfn.XLOOKUP(1,Tabla8[Selec. Solvent],Tabla8[Radius])*COS(CK28)+ _xlfn.XLOOKUP(1,Tabla8[Selec. Solvent],Tabla8[dD])</f>
        <v>16</v>
      </c>
      <c r="CT28" s="2">
        <f xml:space="preserve"> (_xlfn.XLOOKUP(2,Tabla8[Selec. Solvent],Tabla8[Radius]))*SIN(CK28)+ _xlfn.XLOOKUP(2,Tabla8[Selec. Solvent],Tabla8[dD])</f>
        <v>16</v>
      </c>
      <c r="CU28" s="2">
        <f xml:space="preserve"> _xlfn.XLOOKUP(2,Tabla8[Selec. Solvent],Tabla8[Radius])*COS(CK28)+ _xlfn.XLOOKUP(2,Tabla8[Selec. Solvent],Tabla8[dP])</f>
        <v>6.5</v>
      </c>
      <c r="CV28" s="2">
        <f xml:space="preserve"> _xlfn.XLOOKUP(2,Tabla8[Selec. Solvent],Tabla8[Radius])*SIN(CK28)+  _xlfn.XLOOKUP(2,Tabla8[Selec. Solvent],Tabla8[dH])</f>
        <v>2.4</v>
      </c>
      <c r="CW28" s="2">
        <f xml:space="preserve">  _xlfn.XLOOKUP(2,Tabla8[Selec. Solvent],Tabla8[Radius])*COS(CK28)+ _xlfn.XLOOKUP(2,Tabla8[Selec. Solvent],Tabla8[dD])</f>
        <v>16</v>
      </c>
      <c r="CX28" s="2">
        <f xml:space="preserve"> (_xlfn.XLOOKUP(3,Tabla8[Selec. Solvent],Tabla8[Radius]))*SIN(CK28)+ _xlfn.XLOOKUP(3,Tabla8[Selec. Solvent],Tabla8[dD])</f>
        <v>14.8</v>
      </c>
      <c r="CY28" s="2">
        <f xml:space="preserve"> _xlfn.XLOOKUP(3,Tabla8[Selec. Solvent],Tabla8[Radius])*COS(CK28)+ _xlfn.XLOOKUP(3,Tabla8[Selec. Solvent],Tabla8[dP])</f>
        <v>4.2</v>
      </c>
      <c r="CZ28" s="2">
        <f xml:space="preserve"> _xlfn.XLOOKUP(3,Tabla8[Selec. Solvent],Tabla8[Radius])*SIN(CK28)+  _xlfn.XLOOKUP(3,Tabla8[Selec. Solvent],Tabla8[dH])</f>
        <v>5.8</v>
      </c>
      <c r="DA28" s="2">
        <f xml:space="preserve">  _xlfn.XLOOKUP(,Tabla8[Selec. Solvent],Tabla8[Radius])*COS(CK28)+ _xlfn.XLOOKUP(3,Tabla8[Selec. Solvent],Tabla8[dD])</f>
        <v>14.8</v>
      </c>
      <c r="DB28" s="2">
        <f xml:space="preserve"> (_xlfn.XLOOKUP(4,Tabla8[Selec. Solvent],Tabla8[Radius]))*SIN(CK28)+ _xlfn.XLOOKUP(4,Tabla8[Selec. Solvent],Tabla8[dD])</f>
        <v>15.9</v>
      </c>
      <c r="DC28" s="2">
        <f xml:space="preserve"> _xlfn.XLOOKUP(4,Tabla8[Selec. Solvent],Tabla8[Radius])*COS(CK28)+ _xlfn.XLOOKUP(4,Tabla8[Selec. Solvent],Tabla8[dP])</f>
        <v>6</v>
      </c>
      <c r="DD28" s="2">
        <f xml:space="preserve"> _xlfn.XLOOKUP(4,Tabla8[Selec. Solvent],Tabla8[Radius])*SIN(CK28)+  _xlfn.XLOOKUP(4,Tabla8[Selec. Solvent],Tabla8[dH])</f>
        <v>6.6</v>
      </c>
      <c r="DE28" s="2">
        <f xml:space="preserve">  _xlfn.XLOOKUP(4,Tabla8[Selec. Solvent],Tabla8[Radius])*COS(CK28)+ _xlfn.XLOOKUP(4,Tabla8[Selec. Solvent],Tabla8[dD])</f>
        <v>15.9</v>
      </c>
    </row>
    <row r="29" spans="1:109" x14ac:dyDescent="0.25">
      <c r="I29" s="4"/>
      <c r="J29" s="4"/>
      <c r="K29" s="4"/>
      <c r="L29" s="4"/>
      <c r="M29" s="4"/>
      <c r="N29" s="4"/>
      <c r="O29" s="4"/>
      <c r="P29" s="4"/>
      <c r="X29" s="3" t="s">
        <v>94</v>
      </c>
      <c r="Y29" s="32">
        <f>SUM(Tabla12[% Total])</f>
        <v>1.0000000094384018</v>
      </c>
      <c r="Z29" s="32" t="s">
        <v>94</v>
      </c>
      <c r="AA29" s="43">
        <f>SUM(Tabla12[Price])</f>
        <v>6.7118623704291354</v>
      </c>
      <c r="AB29" s="32"/>
      <c r="CJ29" s="2">
        <v>130</v>
      </c>
      <c r="CK29" s="2">
        <f>RADIANS(Tabla3[[#This Row],[Angle º]])</f>
        <v>2.2689280275926285</v>
      </c>
      <c r="CL29" s="2">
        <f t="shared" si="0"/>
        <v>15.4</v>
      </c>
      <c r="CM29" s="2">
        <f t="shared" si="1"/>
        <v>5.4</v>
      </c>
      <c r="CN29" s="2">
        <f t="shared" si="2"/>
        <v>8</v>
      </c>
      <c r="CO29" s="2">
        <f t="shared" si="3"/>
        <v>15.4</v>
      </c>
      <c r="CP29" s="2">
        <f xml:space="preserve"> (_xlfn.XLOOKUP(1,Tabla8[Selec. Solvent],Tabla8[Radius]))*SIN(CK29)+ _xlfn.XLOOKUP(1,Tabla8[Selec. Solvent],Tabla8[dD])</f>
        <v>16</v>
      </c>
      <c r="CQ29" s="2">
        <f xml:space="preserve"> _xlfn.XLOOKUP(1,Tabla8[Selec. Solvent],Tabla8[Radius])*COS(CK29)+ _xlfn.XLOOKUP(1,Tabla8[Selec. Solvent],Tabla8[dP])</f>
        <v>5</v>
      </c>
      <c r="CR29" s="2">
        <f xml:space="preserve"> _xlfn.XLOOKUP(1,Tabla8[Selec. Solvent],Tabla8[Radius])*SIN(CK29)+  _xlfn.XLOOKUP(1,Tabla8[Selec. Solvent],Tabla8[dH])</f>
        <v>5.4</v>
      </c>
      <c r="CS29" s="2">
        <f xml:space="preserve">  _xlfn.XLOOKUP(1,Tabla8[Selec. Solvent],Tabla8[Radius])*COS(CK29)+ _xlfn.XLOOKUP(1,Tabla8[Selec. Solvent],Tabla8[dD])</f>
        <v>16</v>
      </c>
      <c r="CT29" s="2">
        <f xml:space="preserve"> (_xlfn.XLOOKUP(2,Tabla8[Selec. Solvent],Tabla8[Radius]))*SIN(CK29)+ _xlfn.XLOOKUP(2,Tabla8[Selec. Solvent],Tabla8[dD])</f>
        <v>16</v>
      </c>
      <c r="CU29" s="2">
        <f xml:space="preserve"> _xlfn.XLOOKUP(2,Tabla8[Selec. Solvent],Tabla8[Radius])*COS(CK29)+ _xlfn.XLOOKUP(2,Tabla8[Selec. Solvent],Tabla8[dP])</f>
        <v>6.5</v>
      </c>
      <c r="CV29" s="2">
        <f xml:space="preserve"> _xlfn.XLOOKUP(2,Tabla8[Selec. Solvent],Tabla8[Radius])*SIN(CK29)+  _xlfn.XLOOKUP(2,Tabla8[Selec. Solvent],Tabla8[dH])</f>
        <v>2.4</v>
      </c>
      <c r="CW29" s="2">
        <f xml:space="preserve">  _xlfn.XLOOKUP(2,Tabla8[Selec. Solvent],Tabla8[Radius])*COS(CK29)+ _xlfn.XLOOKUP(2,Tabla8[Selec. Solvent],Tabla8[dD])</f>
        <v>16</v>
      </c>
      <c r="CX29" s="2">
        <f xml:space="preserve"> (_xlfn.XLOOKUP(3,Tabla8[Selec. Solvent],Tabla8[Radius]))*SIN(CK29)+ _xlfn.XLOOKUP(3,Tabla8[Selec. Solvent],Tabla8[dD])</f>
        <v>14.8</v>
      </c>
      <c r="CY29" s="2">
        <f xml:space="preserve"> _xlfn.XLOOKUP(3,Tabla8[Selec. Solvent],Tabla8[Radius])*COS(CK29)+ _xlfn.XLOOKUP(3,Tabla8[Selec. Solvent],Tabla8[dP])</f>
        <v>4.2</v>
      </c>
      <c r="CZ29" s="2">
        <f xml:space="preserve"> _xlfn.XLOOKUP(3,Tabla8[Selec. Solvent],Tabla8[Radius])*SIN(CK29)+  _xlfn.XLOOKUP(3,Tabla8[Selec. Solvent],Tabla8[dH])</f>
        <v>5.8</v>
      </c>
      <c r="DA29" s="2">
        <f xml:space="preserve">  _xlfn.XLOOKUP(,Tabla8[Selec. Solvent],Tabla8[Radius])*COS(CK29)+ _xlfn.XLOOKUP(3,Tabla8[Selec. Solvent],Tabla8[dD])</f>
        <v>14.8</v>
      </c>
      <c r="DB29" s="2">
        <f xml:space="preserve"> (_xlfn.XLOOKUP(4,Tabla8[Selec. Solvent],Tabla8[Radius]))*SIN(CK29)+ _xlfn.XLOOKUP(4,Tabla8[Selec. Solvent],Tabla8[dD])</f>
        <v>15.9</v>
      </c>
      <c r="DC29" s="2">
        <f xml:space="preserve"> _xlfn.XLOOKUP(4,Tabla8[Selec. Solvent],Tabla8[Radius])*COS(CK29)+ _xlfn.XLOOKUP(4,Tabla8[Selec. Solvent],Tabla8[dP])</f>
        <v>6</v>
      </c>
      <c r="DD29" s="2">
        <f xml:space="preserve"> _xlfn.XLOOKUP(4,Tabla8[Selec. Solvent],Tabla8[Radius])*SIN(CK29)+  _xlfn.XLOOKUP(4,Tabla8[Selec. Solvent],Tabla8[dH])</f>
        <v>6.6</v>
      </c>
      <c r="DE29" s="2">
        <f xml:space="preserve">  _xlfn.XLOOKUP(4,Tabla8[Selec. Solvent],Tabla8[Radius])*COS(CK29)+ _xlfn.XLOOKUP(4,Tabla8[Selec. Solvent],Tabla8[dD])</f>
        <v>15.9</v>
      </c>
    </row>
    <row r="30" spans="1:109" x14ac:dyDescent="0.25">
      <c r="I30" s="4"/>
      <c r="J30" s="4"/>
      <c r="K30" s="4"/>
      <c r="L30" s="4"/>
      <c r="M30" s="4"/>
      <c r="N30" s="4"/>
      <c r="O30" s="4"/>
      <c r="P30" s="4"/>
      <c r="S30" s="2" t="s">
        <v>94</v>
      </c>
      <c r="T30" s="35">
        <f>SUM(Tabla12[dD])</f>
        <v>15.627509481688689</v>
      </c>
      <c r="U30" s="35">
        <f>SUM(Tabla12[dP])</f>
        <v>5.5541062356418456</v>
      </c>
      <c r="V30" s="35">
        <f>SUM(Tabla12[dH])</f>
        <v>6.4018250307429785</v>
      </c>
      <c r="Y30" s="34"/>
      <c r="Z30" s="34"/>
      <c r="AA30" s="34"/>
      <c r="AB30" s="34"/>
      <c r="CJ30" s="2">
        <v>135</v>
      </c>
      <c r="CK30" s="2">
        <f>RADIANS(Tabla3[[#This Row],[Angle º]])</f>
        <v>2.3561944901923448</v>
      </c>
      <c r="CL30" s="2">
        <f t="shared" si="0"/>
        <v>15.4</v>
      </c>
      <c r="CM30" s="2">
        <f t="shared" si="1"/>
        <v>5.4</v>
      </c>
      <c r="CN30" s="2">
        <f t="shared" si="2"/>
        <v>8</v>
      </c>
      <c r="CO30" s="2">
        <f t="shared" si="3"/>
        <v>15.4</v>
      </c>
      <c r="CP30" s="2">
        <f xml:space="preserve"> (_xlfn.XLOOKUP(1,Tabla8[Selec. Solvent],Tabla8[Radius]))*SIN(CK30)+ _xlfn.XLOOKUP(1,Tabla8[Selec. Solvent],Tabla8[dD])</f>
        <v>16</v>
      </c>
      <c r="CQ30" s="2">
        <f xml:space="preserve"> _xlfn.XLOOKUP(1,Tabla8[Selec. Solvent],Tabla8[Radius])*COS(CK30)+ _xlfn.XLOOKUP(1,Tabla8[Selec. Solvent],Tabla8[dP])</f>
        <v>5</v>
      </c>
      <c r="CR30" s="2">
        <f xml:space="preserve"> _xlfn.XLOOKUP(1,Tabla8[Selec. Solvent],Tabla8[Radius])*SIN(CK30)+  _xlfn.XLOOKUP(1,Tabla8[Selec. Solvent],Tabla8[dH])</f>
        <v>5.4</v>
      </c>
      <c r="CS30" s="2">
        <f xml:space="preserve">  _xlfn.XLOOKUP(1,Tabla8[Selec. Solvent],Tabla8[Radius])*COS(CK30)+ _xlfn.XLOOKUP(1,Tabla8[Selec. Solvent],Tabla8[dD])</f>
        <v>16</v>
      </c>
      <c r="CT30" s="2">
        <f xml:space="preserve"> (_xlfn.XLOOKUP(2,Tabla8[Selec. Solvent],Tabla8[Radius]))*SIN(CK30)+ _xlfn.XLOOKUP(2,Tabla8[Selec. Solvent],Tabla8[dD])</f>
        <v>16</v>
      </c>
      <c r="CU30" s="2">
        <f xml:space="preserve"> _xlfn.XLOOKUP(2,Tabla8[Selec. Solvent],Tabla8[Radius])*COS(CK30)+ _xlfn.XLOOKUP(2,Tabla8[Selec. Solvent],Tabla8[dP])</f>
        <v>6.5</v>
      </c>
      <c r="CV30" s="2">
        <f xml:space="preserve"> _xlfn.XLOOKUP(2,Tabla8[Selec. Solvent],Tabla8[Radius])*SIN(CK30)+  _xlfn.XLOOKUP(2,Tabla8[Selec. Solvent],Tabla8[dH])</f>
        <v>2.4</v>
      </c>
      <c r="CW30" s="2">
        <f xml:space="preserve">  _xlfn.XLOOKUP(2,Tabla8[Selec. Solvent],Tabla8[Radius])*COS(CK30)+ _xlfn.XLOOKUP(2,Tabla8[Selec. Solvent],Tabla8[dD])</f>
        <v>16</v>
      </c>
      <c r="CX30" s="2">
        <f xml:space="preserve"> (_xlfn.XLOOKUP(3,Tabla8[Selec. Solvent],Tabla8[Radius]))*SIN(CK30)+ _xlfn.XLOOKUP(3,Tabla8[Selec. Solvent],Tabla8[dD])</f>
        <v>14.8</v>
      </c>
      <c r="CY30" s="2">
        <f xml:space="preserve"> _xlfn.XLOOKUP(3,Tabla8[Selec. Solvent],Tabla8[Radius])*COS(CK30)+ _xlfn.XLOOKUP(3,Tabla8[Selec. Solvent],Tabla8[dP])</f>
        <v>4.2</v>
      </c>
      <c r="CZ30" s="2">
        <f xml:space="preserve"> _xlfn.XLOOKUP(3,Tabla8[Selec. Solvent],Tabla8[Radius])*SIN(CK30)+  _xlfn.XLOOKUP(3,Tabla8[Selec. Solvent],Tabla8[dH])</f>
        <v>5.8</v>
      </c>
      <c r="DA30" s="2">
        <f xml:space="preserve">  _xlfn.XLOOKUP(,Tabla8[Selec. Solvent],Tabla8[Radius])*COS(CK30)+ _xlfn.XLOOKUP(3,Tabla8[Selec. Solvent],Tabla8[dD])</f>
        <v>14.8</v>
      </c>
      <c r="DB30" s="2">
        <f xml:space="preserve"> (_xlfn.XLOOKUP(4,Tabla8[Selec. Solvent],Tabla8[Radius]))*SIN(CK30)+ _xlfn.XLOOKUP(4,Tabla8[Selec. Solvent],Tabla8[dD])</f>
        <v>15.9</v>
      </c>
      <c r="DC30" s="2">
        <f xml:space="preserve"> _xlfn.XLOOKUP(4,Tabla8[Selec. Solvent],Tabla8[Radius])*COS(CK30)+ _xlfn.XLOOKUP(4,Tabla8[Selec. Solvent],Tabla8[dP])</f>
        <v>6</v>
      </c>
      <c r="DD30" s="2">
        <f xml:space="preserve"> _xlfn.XLOOKUP(4,Tabla8[Selec. Solvent],Tabla8[Radius])*SIN(CK30)+  _xlfn.XLOOKUP(4,Tabla8[Selec. Solvent],Tabla8[dH])</f>
        <v>6.6</v>
      </c>
      <c r="DE30" s="2">
        <f xml:space="preserve">  _xlfn.XLOOKUP(4,Tabla8[Selec. Solvent],Tabla8[Radius])*COS(CK30)+ _xlfn.XLOOKUP(4,Tabla8[Selec. Solvent],Tabla8[dD])</f>
        <v>15.9</v>
      </c>
    </row>
    <row r="31" spans="1:109" x14ac:dyDescent="0.25">
      <c r="I31" s="4"/>
      <c r="J31" s="4"/>
      <c r="K31" s="4"/>
      <c r="L31" s="4"/>
      <c r="M31" s="4"/>
      <c r="N31" s="4"/>
      <c r="O31" s="4"/>
      <c r="P31" s="4"/>
      <c r="S31" s="2" t="s">
        <v>2520</v>
      </c>
      <c r="T31" s="4" t="str" cm="1">
        <f t="array" ref="T31" xml:space="preserve"> IFERROR((_xlfn._xlws.FILTER(Tabla8[MVol], Tabla8[Selec. Solvent] =R25)*Y25) + (_xlfn._xlws.FILTER(Tabla8[MVol], Tabla8[Selec. Solvent] =R26)*Y26)  +  (_xlfn._xlws.FILTER(Tabla8[MVol], Tabla8[Selec. Solvent] =R27)*Y27)  +  (_xlfn._xlws.FILTER(Tabla8[MVol], Tabla8[Selec. Solvent] =R28)*Y28), "No MVol")</f>
        <v>No MVol</v>
      </c>
      <c r="X31" s="3" t="s">
        <v>5</v>
      </c>
      <c r="Y31" s="35">
        <f>SQRT(4*(dD-$T$30)^2 + (dP-$U$30)^2 + (dH-$V$30)^2)</f>
        <v>1.6688182109673912</v>
      </c>
      <c r="Z31" s="35"/>
      <c r="AA31" s="35"/>
      <c r="AB31" s="35"/>
      <c r="CJ31" s="2">
        <v>140</v>
      </c>
      <c r="CK31" s="2">
        <f>RADIANS(Tabla3[[#This Row],[Angle º]])</f>
        <v>2.4434609527920612</v>
      </c>
      <c r="CL31" s="2">
        <f t="shared" si="0"/>
        <v>15.4</v>
      </c>
      <c r="CM31" s="2">
        <f t="shared" si="1"/>
        <v>5.4</v>
      </c>
      <c r="CN31" s="2">
        <f t="shared" si="2"/>
        <v>8</v>
      </c>
      <c r="CO31" s="2">
        <f t="shared" si="3"/>
        <v>15.4</v>
      </c>
      <c r="CP31" s="2">
        <f xml:space="preserve"> (_xlfn.XLOOKUP(1,Tabla8[Selec. Solvent],Tabla8[Radius]))*SIN(CK31)+ _xlfn.XLOOKUP(1,Tabla8[Selec. Solvent],Tabla8[dD])</f>
        <v>16</v>
      </c>
      <c r="CQ31" s="2">
        <f xml:space="preserve"> _xlfn.XLOOKUP(1,Tabla8[Selec. Solvent],Tabla8[Radius])*COS(CK31)+ _xlfn.XLOOKUP(1,Tabla8[Selec. Solvent],Tabla8[dP])</f>
        <v>5</v>
      </c>
      <c r="CR31" s="2">
        <f xml:space="preserve"> _xlfn.XLOOKUP(1,Tabla8[Selec. Solvent],Tabla8[Radius])*SIN(CK31)+  _xlfn.XLOOKUP(1,Tabla8[Selec. Solvent],Tabla8[dH])</f>
        <v>5.4</v>
      </c>
      <c r="CS31" s="2">
        <f xml:space="preserve">  _xlfn.XLOOKUP(1,Tabla8[Selec. Solvent],Tabla8[Radius])*COS(CK31)+ _xlfn.XLOOKUP(1,Tabla8[Selec. Solvent],Tabla8[dD])</f>
        <v>16</v>
      </c>
      <c r="CT31" s="2">
        <f xml:space="preserve"> (_xlfn.XLOOKUP(2,Tabla8[Selec. Solvent],Tabla8[Radius]))*SIN(CK31)+ _xlfn.XLOOKUP(2,Tabla8[Selec. Solvent],Tabla8[dD])</f>
        <v>16</v>
      </c>
      <c r="CU31" s="2">
        <f xml:space="preserve"> _xlfn.XLOOKUP(2,Tabla8[Selec. Solvent],Tabla8[Radius])*COS(CK31)+ _xlfn.XLOOKUP(2,Tabla8[Selec. Solvent],Tabla8[dP])</f>
        <v>6.5</v>
      </c>
      <c r="CV31" s="2">
        <f xml:space="preserve"> _xlfn.XLOOKUP(2,Tabla8[Selec. Solvent],Tabla8[Radius])*SIN(CK31)+  _xlfn.XLOOKUP(2,Tabla8[Selec. Solvent],Tabla8[dH])</f>
        <v>2.4</v>
      </c>
      <c r="CW31" s="2">
        <f xml:space="preserve">  _xlfn.XLOOKUP(2,Tabla8[Selec. Solvent],Tabla8[Radius])*COS(CK31)+ _xlfn.XLOOKUP(2,Tabla8[Selec. Solvent],Tabla8[dD])</f>
        <v>16</v>
      </c>
      <c r="CX31" s="2">
        <f xml:space="preserve"> (_xlfn.XLOOKUP(3,Tabla8[Selec. Solvent],Tabla8[Radius]))*SIN(CK31)+ _xlfn.XLOOKUP(3,Tabla8[Selec. Solvent],Tabla8[dD])</f>
        <v>14.8</v>
      </c>
      <c r="CY31" s="2">
        <f xml:space="preserve"> _xlfn.XLOOKUP(3,Tabla8[Selec. Solvent],Tabla8[Radius])*COS(CK31)+ _xlfn.XLOOKUP(3,Tabla8[Selec. Solvent],Tabla8[dP])</f>
        <v>4.2</v>
      </c>
      <c r="CZ31" s="2">
        <f xml:space="preserve"> _xlfn.XLOOKUP(3,Tabla8[Selec. Solvent],Tabla8[Radius])*SIN(CK31)+  _xlfn.XLOOKUP(3,Tabla8[Selec. Solvent],Tabla8[dH])</f>
        <v>5.8</v>
      </c>
      <c r="DA31" s="2">
        <f xml:space="preserve">  _xlfn.XLOOKUP(,Tabla8[Selec. Solvent],Tabla8[Radius])*COS(CK31)+ _xlfn.XLOOKUP(3,Tabla8[Selec. Solvent],Tabla8[dD])</f>
        <v>14.8</v>
      </c>
      <c r="DB31" s="2">
        <f xml:space="preserve"> (_xlfn.XLOOKUP(4,Tabla8[Selec. Solvent],Tabla8[Radius]))*SIN(CK31)+ _xlfn.XLOOKUP(4,Tabla8[Selec. Solvent],Tabla8[dD])</f>
        <v>15.9</v>
      </c>
      <c r="DC31" s="2">
        <f xml:space="preserve"> _xlfn.XLOOKUP(4,Tabla8[Selec. Solvent],Tabla8[Radius])*COS(CK31)+ _xlfn.XLOOKUP(4,Tabla8[Selec. Solvent],Tabla8[dP])</f>
        <v>6</v>
      </c>
      <c r="DD31" s="2">
        <f xml:space="preserve"> _xlfn.XLOOKUP(4,Tabla8[Selec. Solvent],Tabla8[Radius])*SIN(CK31)+  _xlfn.XLOOKUP(4,Tabla8[Selec. Solvent],Tabla8[dH])</f>
        <v>6.6</v>
      </c>
      <c r="DE31" s="2">
        <f xml:space="preserve">  _xlfn.XLOOKUP(4,Tabla8[Selec. Solvent],Tabla8[Radius])*COS(CK31)+ _xlfn.XLOOKUP(4,Tabla8[Selec. Solvent],Tabla8[dD])</f>
        <v>15.9</v>
      </c>
    </row>
    <row r="32" spans="1:109" x14ac:dyDescent="0.25">
      <c r="I32" s="4"/>
      <c r="J32" s="4"/>
      <c r="K32" s="4"/>
      <c r="L32" s="4"/>
      <c r="M32" s="4"/>
      <c r="N32" s="4"/>
      <c r="O32" s="4"/>
      <c r="P32" s="4"/>
      <c r="X32" s="3" t="s">
        <v>2519</v>
      </c>
      <c r="Y32" s="38" t="str">
        <f>IFERROR(($T$31*$Y$31^2)/(4*RT*Temperature), "No MVol")</f>
        <v>No MVol</v>
      </c>
      <c r="CJ32" s="2">
        <v>145</v>
      </c>
      <c r="CK32" s="2">
        <f>RADIANS(Tabla3[[#This Row],[Angle º]])</f>
        <v>2.530727415391778</v>
      </c>
      <c r="CL32" s="2">
        <f t="shared" si="0"/>
        <v>15.4</v>
      </c>
      <c r="CM32" s="2">
        <f t="shared" si="1"/>
        <v>5.4</v>
      </c>
      <c r="CN32" s="2">
        <f t="shared" si="2"/>
        <v>8</v>
      </c>
      <c r="CO32" s="2">
        <f t="shared" si="3"/>
        <v>15.4</v>
      </c>
      <c r="CP32" s="2">
        <f xml:space="preserve"> (_xlfn.XLOOKUP(1,Tabla8[Selec. Solvent],Tabla8[Radius]))*SIN(CK32)+ _xlfn.XLOOKUP(1,Tabla8[Selec. Solvent],Tabla8[dD])</f>
        <v>16</v>
      </c>
      <c r="CQ32" s="2">
        <f xml:space="preserve"> _xlfn.XLOOKUP(1,Tabla8[Selec. Solvent],Tabla8[Radius])*COS(CK32)+ _xlfn.XLOOKUP(1,Tabla8[Selec. Solvent],Tabla8[dP])</f>
        <v>5</v>
      </c>
      <c r="CR32" s="2">
        <f xml:space="preserve"> _xlfn.XLOOKUP(1,Tabla8[Selec. Solvent],Tabla8[Radius])*SIN(CK32)+  _xlfn.XLOOKUP(1,Tabla8[Selec. Solvent],Tabla8[dH])</f>
        <v>5.4</v>
      </c>
      <c r="CS32" s="2">
        <f xml:space="preserve">  _xlfn.XLOOKUP(1,Tabla8[Selec. Solvent],Tabla8[Radius])*COS(CK32)+ _xlfn.XLOOKUP(1,Tabla8[Selec. Solvent],Tabla8[dD])</f>
        <v>16</v>
      </c>
      <c r="CT32" s="2">
        <f xml:space="preserve"> (_xlfn.XLOOKUP(2,Tabla8[Selec. Solvent],Tabla8[Radius]))*SIN(CK32)+ _xlfn.XLOOKUP(2,Tabla8[Selec. Solvent],Tabla8[dD])</f>
        <v>16</v>
      </c>
      <c r="CU32" s="2">
        <f xml:space="preserve"> _xlfn.XLOOKUP(2,Tabla8[Selec. Solvent],Tabla8[Radius])*COS(CK32)+ _xlfn.XLOOKUP(2,Tabla8[Selec. Solvent],Tabla8[dP])</f>
        <v>6.5</v>
      </c>
      <c r="CV32" s="2">
        <f xml:space="preserve"> _xlfn.XLOOKUP(2,Tabla8[Selec. Solvent],Tabla8[Radius])*SIN(CK32)+  _xlfn.XLOOKUP(2,Tabla8[Selec. Solvent],Tabla8[dH])</f>
        <v>2.4</v>
      </c>
      <c r="CW32" s="2">
        <f xml:space="preserve">  _xlfn.XLOOKUP(2,Tabla8[Selec. Solvent],Tabla8[Radius])*COS(CK32)+ _xlfn.XLOOKUP(2,Tabla8[Selec. Solvent],Tabla8[dD])</f>
        <v>16</v>
      </c>
      <c r="CX32" s="2">
        <f xml:space="preserve"> (_xlfn.XLOOKUP(3,Tabla8[Selec. Solvent],Tabla8[Radius]))*SIN(CK32)+ _xlfn.XLOOKUP(3,Tabla8[Selec. Solvent],Tabla8[dD])</f>
        <v>14.8</v>
      </c>
      <c r="CY32" s="2">
        <f xml:space="preserve"> _xlfn.XLOOKUP(3,Tabla8[Selec. Solvent],Tabla8[Radius])*COS(CK32)+ _xlfn.XLOOKUP(3,Tabla8[Selec. Solvent],Tabla8[dP])</f>
        <v>4.2</v>
      </c>
      <c r="CZ32" s="2">
        <f xml:space="preserve"> _xlfn.XLOOKUP(3,Tabla8[Selec. Solvent],Tabla8[Radius])*SIN(CK32)+  _xlfn.XLOOKUP(3,Tabla8[Selec. Solvent],Tabla8[dH])</f>
        <v>5.8</v>
      </c>
      <c r="DA32" s="2">
        <f xml:space="preserve">  _xlfn.XLOOKUP(,Tabla8[Selec. Solvent],Tabla8[Radius])*COS(CK32)+ _xlfn.XLOOKUP(3,Tabla8[Selec. Solvent],Tabla8[dD])</f>
        <v>14.8</v>
      </c>
      <c r="DB32" s="2">
        <f xml:space="preserve"> (_xlfn.XLOOKUP(4,Tabla8[Selec. Solvent],Tabla8[Radius]))*SIN(CK32)+ _xlfn.XLOOKUP(4,Tabla8[Selec. Solvent],Tabla8[dD])</f>
        <v>15.9</v>
      </c>
      <c r="DC32" s="2">
        <f xml:space="preserve"> _xlfn.XLOOKUP(4,Tabla8[Selec. Solvent],Tabla8[Radius])*COS(CK32)+ _xlfn.XLOOKUP(4,Tabla8[Selec. Solvent],Tabla8[dP])</f>
        <v>6</v>
      </c>
      <c r="DD32" s="2">
        <f xml:space="preserve"> _xlfn.XLOOKUP(4,Tabla8[Selec. Solvent],Tabla8[Radius])*SIN(CK32)+  _xlfn.XLOOKUP(4,Tabla8[Selec. Solvent],Tabla8[dH])</f>
        <v>6.6</v>
      </c>
      <c r="DE32" s="2">
        <f xml:space="preserve">  _xlfn.XLOOKUP(4,Tabla8[Selec. Solvent],Tabla8[Radius])*COS(CK32)+ _xlfn.XLOOKUP(4,Tabla8[Selec. Solvent],Tabla8[dD])</f>
        <v>15.9</v>
      </c>
    </row>
    <row r="33" spans="9:109" x14ac:dyDescent="0.25">
      <c r="I33" s="4"/>
      <c r="J33" s="4"/>
      <c r="K33" s="4"/>
      <c r="L33" s="4"/>
      <c r="M33" s="4"/>
      <c r="N33" s="4"/>
      <c r="O33" s="4"/>
      <c r="P33" s="4"/>
      <c r="CJ33" s="2">
        <v>150</v>
      </c>
      <c r="CK33" s="2">
        <f>RADIANS(Tabla3[[#This Row],[Angle º]])</f>
        <v>2.6179938779914944</v>
      </c>
      <c r="CL33" s="2">
        <f t="shared" si="0"/>
        <v>15.4</v>
      </c>
      <c r="CM33" s="2">
        <f t="shared" si="1"/>
        <v>5.4</v>
      </c>
      <c r="CN33" s="2">
        <f t="shared" si="2"/>
        <v>8</v>
      </c>
      <c r="CO33" s="2">
        <f t="shared" si="3"/>
        <v>15.4</v>
      </c>
      <c r="CP33" s="2">
        <f xml:space="preserve"> (_xlfn.XLOOKUP(1,Tabla8[Selec. Solvent],Tabla8[Radius]))*SIN(CK33)+ _xlfn.XLOOKUP(1,Tabla8[Selec. Solvent],Tabla8[dD])</f>
        <v>16</v>
      </c>
      <c r="CQ33" s="2">
        <f xml:space="preserve"> _xlfn.XLOOKUP(1,Tabla8[Selec. Solvent],Tabla8[Radius])*COS(CK33)+ _xlfn.XLOOKUP(1,Tabla8[Selec. Solvent],Tabla8[dP])</f>
        <v>5</v>
      </c>
      <c r="CR33" s="2">
        <f xml:space="preserve"> _xlfn.XLOOKUP(1,Tabla8[Selec. Solvent],Tabla8[Radius])*SIN(CK33)+  _xlfn.XLOOKUP(1,Tabla8[Selec. Solvent],Tabla8[dH])</f>
        <v>5.4</v>
      </c>
      <c r="CS33" s="2">
        <f xml:space="preserve">  _xlfn.XLOOKUP(1,Tabla8[Selec. Solvent],Tabla8[Radius])*COS(CK33)+ _xlfn.XLOOKUP(1,Tabla8[Selec. Solvent],Tabla8[dD])</f>
        <v>16</v>
      </c>
      <c r="CT33" s="2">
        <f xml:space="preserve"> (_xlfn.XLOOKUP(2,Tabla8[Selec. Solvent],Tabla8[Radius]))*SIN(CK33)+ _xlfn.XLOOKUP(2,Tabla8[Selec. Solvent],Tabla8[dD])</f>
        <v>16</v>
      </c>
      <c r="CU33" s="2">
        <f xml:space="preserve"> _xlfn.XLOOKUP(2,Tabla8[Selec. Solvent],Tabla8[Radius])*COS(CK33)+ _xlfn.XLOOKUP(2,Tabla8[Selec. Solvent],Tabla8[dP])</f>
        <v>6.5</v>
      </c>
      <c r="CV33" s="2">
        <f xml:space="preserve"> _xlfn.XLOOKUP(2,Tabla8[Selec. Solvent],Tabla8[Radius])*SIN(CK33)+  _xlfn.XLOOKUP(2,Tabla8[Selec. Solvent],Tabla8[dH])</f>
        <v>2.4</v>
      </c>
      <c r="CW33" s="2">
        <f xml:space="preserve">  _xlfn.XLOOKUP(2,Tabla8[Selec. Solvent],Tabla8[Radius])*COS(CK33)+ _xlfn.XLOOKUP(2,Tabla8[Selec. Solvent],Tabla8[dD])</f>
        <v>16</v>
      </c>
      <c r="CX33" s="2">
        <f xml:space="preserve"> (_xlfn.XLOOKUP(3,Tabla8[Selec. Solvent],Tabla8[Radius]))*SIN(CK33)+ _xlfn.XLOOKUP(3,Tabla8[Selec. Solvent],Tabla8[dD])</f>
        <v>14.8</v>
      </c>
      <c r="CY33" s="2">
        <f xml:space="preserve"> _xlfn.XLOOKUP(3,Tabla8[Selec. Solvent],Tabla8[Radius])*COS(CK33)+ _xlfn.XLOOKUP(3,Tabla8[Selec. Solvent],Tabla8[dP])</f>
        <v>4.2</v>
      </c>
      <c r="CZ33" s="2">
        <f xml:space="preserve"> _xlfn.XLOOKUP(3,Tabla8[Selec. Solvent],Tabla8[Radius])*SIN(CK33)+  _xlfn.XLOOKUP(3,Tabla8[Selec. Solvent],Tabla8[dH])</f>
        <v>5.8</v>
      </c>
      <c r="DA33" s="2">
        <f xml:space="preserve">  _xlfn.XLOOKUP(,Tabla8[Selec. Solvent],Tabla8[Radius])*COS(CK33)+ _xlfn.XLOOKUP(3,Tabla8[Selec. Solvent],Tabla8[dD])</f>
        <v>14.8</v>
      </c>
      <c r="DB33" s="2">
        <f xml:space="preserve"> (_xlfn.XLOOKUP(4,Tabla8[Selec. Solvent],Tabla8[Radius]))*SIN(CK33)+ _xlfn.XLOOKUP(4,Tabla8[Selec. Solvent],Tabla8[dD])</f>
        <v>15.9</v>
      </c>
      <c r="DC33" s="2">
        <f xml:space="preserve"> _xlfn.XLOOKUP(4,Tabla8[Selec. Solvent],Tabla8[Radius])*COS(CK33)+ _xlfn.XLOOKUP(4,Tabla8[Selec. Solvent],Tabla8[dP])</f>
        <v>6</v>
      </c>
      <c r="DD33" s="2">
        <f xml:space="preserve"> _xlfn.XLOOKUP(4,Tabla8[Selec. Solvent],Tabla8[Radius])*SIN(CK33)+  _xlfn.XLOOKUP(4,Tabla8[Selec. Solvent],Tabla8[dH])</f>
        <v>6.6</v>
      </c>
      <c r="DE33" s="2">
        <f xml:space="preserve">  _xlfn.XLOOKUP(4,Tabla8[Selec. Solvent],Tabla8[Radius])*COS(CK33)+ _xlfn.XLOOKUP(4,Tabla8[Selec. Solvent],Tabla8[dD])</f>
        <v>15.9</v>
      </c>
    </row>
    <row r="34" spans="9:109" x14ac:dyDescent="0.25">
      <c r="I34" s="4"/>
      <c r="J34" s="4"/>
      <c r="K34" s="4"/>
      <c r="L34" s="4"/>
      <c r="M34" s="4"/>
      <c r="N34" s="4"/>
      <c r="O34" s="4"/>
      <c r="P34" s="4"/>
      <c r="CJ34" s="2">
        <v>155</v>
      </c>
      <c r="CK34" s="2">
        <f>RADIANS(Tabla3[[#This Row],[Angle º]])</f>
        <v>2.7052603405912108</v>
      </c>
      <c r="CL34" s="2">
        <f t="shared" si="0"/>
        <v>15.4</v>
      </c>
      <c r="CM34" s="2">
        <f t="shared" si="1"/>
        <v>5.4</v>
      </c>
      <c r="CN34" s="2">
        <f t="shared" si="2"/>
        <v>8</v>
      </c>
      <c r="CO34" s="2">
        <f t="shared" si="3"/>
        <v>15.4</v>
      </c>
      <c r="CP34" s="2">
        <f xml:space="preserve"> (_xlfn.XLOOKUP(1,Tabla8[Selec. Solvent],Tabla8[Radius]))*SIN(CK34)+ _xlfn.XLOOKUP(1,Tabla8[Selec. Solvent],Tabla8[dD])</f>
        <v>16</v>
      </c>
      <c r="CQ34" s="2">
        <f xml:space="preserve"> _xlfn.XLOOKUP(1,Tabla8[Selec. Solvent],Tabla8[Radius])*COS(CK34)+ _xlfn.XLOOKUP(1,Tabla8[Selec. Solvent],Tabla8[dP])</f>
        <v>5</v>
      </c>
      <c r="CR34" s="2">
        <f xml:space="preserve"> _xlfn.XLOOKUP(1,Tabla8[Selec. Solvent],Tabla8[Radius])*SIN(CK34)+  _xlfn.XLOOKUP(1,Tabla8[Selec. Solvent],Tabla8[dH])</f>
        <v>5.4</v>
      </c>
      <c r="CS34" s="2">
        <f xml:space="preserve">  _xlfn.XLOOKUP(1,Tabla8[Selec. Solvent],Tabla8[Radius])*COS(CK34)+ _xlfn.XLOOKUP(1,Tabla8[Selec. Solvent],Tabla8[dD])</f>
        <v>16</v>
      </c>
      <c r="CT34" s="2">
        <f xml:space="preserve"> (_xlfn.XLOOKUP(2,Tabla8[Selec. Solvent],Tabla8[Radius]))*SIN(CK34)+ _xlfn.XLOOKUP(2,Tabla8[Selec. Solvent],Tabla8[dD])</f>
        <v>16</v>
      </c>
      <c r="CU34" s="2">
        <f xml:space="preserve"> _xlfn.XLOOKUP(2,Tabla8[Selec. Solvent],Tabla8[Radius])*COS(CK34)+ _xlfn.XLOOKUP(2,Tabla8[Selec. Solvent],Tabla8[dP])</f>
        <v>6.5</v>
      </c>
      <c r="CV34" s="2">
        <f xml:space="preserve"> _xlfn.XLOOKUP(2,Tabla8[Selec. Solvent],Tabla8[Radius])*SIN(CK34)+  _xlfn.XLOOKUP(2,Tabla8[Selec. Solvent],Tabla8[dH])</f>
        <v>2.4</v>
      </c>
      <c r="CW34" s="2">
        <f xml:space="preserve">  _xlfn.XLOOKUP(2,Tabla8[Selec. Solvent],Tabla8[Radius])*COS(CK34)+ _xlfn.XLOOKUP(2,Tabla8[Selec. Solvent],Tabla8[dD])</f>
        <v>16</v>
      </c>
      <c r="CX34" s="2">
        <f xml:space="preserve"> (_xlfn.XLOOKUP(3,Tabla8[Selec. Solvent],Tabla8[Radius]))*SIN(CK34)+ _xlfn.XLOOKUP(3,Tabla8[Selec. Solvent],Tabla8[dD])</f>
        <v>14.8</v>
      </c>
      <c r="CY34" s="2">
        <f xml:space="preserve"> _xlfn.XLOOKUP(3,Tabla8[Selec. Solvent],Tabla8[Radius])*COS(CK34)+ _xlfn.XLOOKUP(3,Tabla8[Selec. Solvent],Tabla8[dP])</f>
        <v>4.2</v>
      </c>
      <c r="CZ34" s="2">
        <f xml:space="preserve"> _xlfn.XLOOKUP(3,Tabla8[Selec. Solvent],Tabla8[Radius])*SIN(CK34)+  _xlfn.XLOOKUP(3,Tabla8[Selec. Solvent],Tabla8[dH])</f>
        <v>5.8</v>
      </c>
      <c r="DA34" s="2">
        <f xml:space="preserve">  _xlfn.XLOOKUP(,Tabla8[Selec. Solvent],Tabla8[Radius])*COS(CK34)+ _xlfn.XLOOKUP(3,Tabla8[Selec. Solvent],Tabla8[dD])</f>
        <v>14.8</v>
      </c>
      <c r="DB34" s="2">
        <f xml:space="preserve"> (_xlfn.XLOOKUP(4,Tabla8[Selec. Solvent],Tabla8[Radius]))*SIN(CK34)+ _xlfn.XLOOKUP(4,Tabla8[Selec. Solvent],Tabla8[dD])</f>
        <v>15.9</v>
      </c>
      <c r="DC34" s="2">
        <f xml:space="preserve"> _xlfn.XLOOKUP(4,Tabla8[Selec. Solvent],Tabla8[Radius])*COS(CK34)+ _xlfn.XLOOKUP(4,Tabla8[Selec. Solvent],Tabla8[dP])</f>
        <v>6</v>
      </c>
      <c r="DD34" s="2">
        <f xml:space="preserve"> _xlfn.XLOOKUP(4,Tabla8[Selec. Solvent],Tabla8[Radius])*SIN(CK34)+  _xlfn.XLOOKUP(4,Tabla8[Selec. Solvent],Tabla8[dH])</f>
        <v>6.6</v>
      </c>
      <c r="DE34" s="2">
        <f xml:space="preserve">  _xlfn.XLOOKUP(4,Tabla8[Selec. Solvent],Tabla8[Radius])*COS(CK34)+ _xlfn.XLOOKUP(4,Tabla8[Selec. Solvent],Tabla8[dD])</f>
        <v>15.9</v>
      </c>
    </row>
    <row r="35" spans="9:109" x14ac:dyDescent="0.25">
      <c r="I35" s="4"/>
      <c r="J35" s="4"/>
      <c r="K35" s="4"/>
      <c r="L35" s="4"/>
      <c r="M35" s="4"/>
      <c r="N35" s="4"/>
      <c r="O35" s="4"/>
      <c r="P35" s="4"/>
      <c r="CJ35" s="2">
        <v>160</v>
      </c>
      <c r="CK35" s="2">
        <f>RADIANS(Tabla3[[#This Row],[Angle º]])</f>
        <v>2.7925268031909272</v>
      </c>
      <c r="CL35" s="2">
        <f t="shared" ref="CL35:CL66" si="8">$F$3*SIN(CK35)+ dD</f>
        <v>15.4</v>
      </c>
      <c r="CM35" s="2">
        <f t="shared" ref="CM35:CM66" si="9">$F$3*COS(CK35)+ dP</f>
        <v>5.4</v>
      </c>
      <c r="CN35" s="2">
        <f t="shared" ref="CN35:CN66" si="10">$F$3*SIN(CK35)+  dH</f>
        <v>8</v>
      </c>
      <c r="CO35" s="2">
        <f t="shared" ref="CO35:CO66" si="11">$F$3*COS(CK35)+ dD</f>
        <v>15.4</v>
      </c>
      <c r="CP35" s="2">
        <f xml:space="preserve"> (_xlfn.XLOOKUP(1,Tabla8[Selec. Solvent],Tabla8[Radius]))*SIN(CK35)+ _xlfn.XLOOKUP(1,Tabla8[Selec. Solvent],Tabla8[dD])</f>
        <v>16</v>
      </c>
      <c r="CQ35" s="2">
        <f xml:space="preserve"> _xlfn.XLOOKUP(1,Tabla8[Selec. Solvent],Tabla8[Radius])*COS(CK35)+ _xlfn.XLOOKUP(1,Tabla8[Selec. Solvent],Tabla8[dP])</f>
        <v>5</v>
      </c>
      <c r="CR35" s="2">
        <f xml:space="preserve"> _xlfn.XLOOKUP(1,Tabla8[Selec. Solvent],Tabla8[Radius])*SIN(CK35)+  _xlfn.XLOOKUP(1,Tabla8[Selec. Solvent],Tabla8[dH])</f>
        <v>5.4</v>
      </c>
      <c r="CS35" s="2">
        <f xml:space="preserve">  _xlfn.XLOOKUP(1,Tabla8[Selec. Solvent],Tabla8[Radius])*COS(CK35)+ _xlfn.XLOOKUP(1,Tabla8[Selec. Solvent],Tabla8[dD])</f>
        <v>16</v>
      </c>
      <c r="CT35" s="2">
        <f xml:space="preserve"> (_xlfn.XLOOKUP(2,Tabla8[Selec. Solvent],Tabla8[Radius]))*SIN(CK35)+ _xlfn.XLOOKUP(2,Tabla8[Selec. Solvent],Tabla8[dD])</f>
        <v>16</v>
      </c>
      <c r="CU35" s="2">
        <f xml:space="preserve"> _xlfn.XLOOKUP(2,Tabla8[Selec. Solvent],Tabla8[Radius])*COS(CK35)+ _xlfn.XLOOKUP(2,Tabla8[Selec. Solvent],Tabla8[dP])</f>
        <v>6.5</v>
      </c>
      <c r="CV35" s="2">
        <f xml:space="preserve"> _xlfn.XLOOKUP(2,Tabla8[Selec. Solvent],Tabla8[Radius])*SIN(CK35)+  _xlfn.XLOOKUP(2,Tabla8[Selec. Solvent],Tabla8[dH])</f>
        <v>2.4</v>
      </c>
      <c r="CW35" s="2">
        <f xml:space="preserve">  _xlfn.XLOOKUP(2,Tabla8[Selec. Solvent],Tabla8[Radius])*COS(CK35)+ _xlfn.XLOOKUP(2,Tabla8[Selec. Solvent],Tabla8[dD])</f>
        <v>16</v>
      </c>
      <c r="CX35" s="2">
        <f xml:space="preserve"> (_xlfn.XLOOKUP(3,Tabla8[Selec. Solvent],Tabla8[Radius]))*SIN(CK35)+ _xlfn.XLOOKUP(3,Tabla8[Selec. Solvent],Tabla8[dD])</f>
        <v>14.8</v>
      </c>
      <c r="CY35" s="2">
        <f xml:space="preserve"> _xlfn.XLOOKUP(3,Tabla8[Selec. Solvent],Tabla8[Radius])*COS(CK35)+ _xlfn.XLOOKUP(3,Tabla8[Selec. Solvent],Tabla8[dP])</f>
        <v>4.2</v>
      </c>
      <c r="CZ35" s="2">
        <f xml:space="preserve"> _xlfn.XLOOKUP(3,Tabla8[Selec. Solvent],Tabla8[Radius])*SIN(CK35)+  _xlfn.XLOOKUP(3,Tabla8[Selec. Solvent],Tabla8[dH])</f>
        <v>5.8</v>
      </c>
      <c r="DA35" s="2">
        <f xml:space="preserve">  _xlfn.XLOOKUP(,Tabla8[Selec. Solvent],Tabla8[Radius])*COS(CK35)+ _xlfn.XLOOKUP(3,Tabla8[Selec. Solvent],Tabla8[dD])</f>
        <v>14.8</v>
      </c>
      <c r="DB35" s="2">
        <f xml:space="preserve"> (_xlfn.XLOOKUP(4,Tabla8[Selec. Solvent],Tabla8[Radius]))*SIN(CK35)+ _xlfn.XLOOKUP(4,Tabla8[Selec. Solvent],Tabla8[dD])</f>
        <v>15.9</v>
      </c>
      <c r="DC35" s="2">
        <f xml:space="preserve"> _xlfn.XLOOKUP(4,Tabla8[Selec. Solvent],Tabla8[Radius])*COS(CK35)+ _xlfn.XLOOKUP(4,Tabla8[Selec. Solvent],Tabla8[dP])</f>
        <v>6</v>
      </c>
      <c r="DD35" s="2">
        <f xml:space="preserve"> _xlfn.XLOOKUP(4,Tabla8[Selec. Solvent],Tabla8[Radius])*SIN(CK35)+  _xlfn.XLOOKUP(4,Tabla8[Selec. Solvent],Tabla8[dH])</f>
        <v>6.6</v>
      </c>
      <c r="DE35" s="2">
        <f xml:space="preserve">  _xlfn.XLOOKUP(4,Tabla8[Selec. Solvent],Tabla8[Radius])*COS(CK35)+ _xlfn.XLOOKUP(4,Tabla8[Selec. Solvent],Tabla8[dD])</f>
        <v>15.9</v>
      </c>
    </row>
    <row r="36" spans="9:109" x14ac:dyDescent="0.25">
      <c r="I36" s="4"/>
      <c r="J36" s="4"/>
      <c r="K36" s="4"/>
      <c r="L36" s="4"/>
      <c r="M36" s="4"/>
      <c r="N36" s="4"/>
      <c r="O36" s="4"/>
      <c r="P36" s="4"/>
      <c r="CJ36" s="2">
        <v>165</v>
      </c>
      <c r="CK36" s="2">
        <f>RADIANS(Tabla3[[#This Row],[Angle º]])</f>
        <v>2.8797932657906435</v>
      </c>
      <c r="CL36" s="2">
        <f t="shared" si="8"/>
        <v>15.4</v>
      </c>
      <c r="CM36" s="2">
        <f t="shared" si="9"/>
        <v>5.4</v>
      </c>
      <c r="CN36" s="2">
        <f t="shared" si="10"/>
        <v>8</v>
      </c>
      <c r="CO36" s="2">
        <f t="shared" si="11"/>
        <v>15.4</v>
      </c>
      <c r="CP36" s="2">
        <f xml:space="preserve"> (_xlfn.XLOOKUP(1,Tabla8[Selec. Solvent],Tabla8[Radius]))*SIN(CK36)+ _xlfn.XLOOKUP(1,Tabla8[Selec. Solvent],Tabla8[dD])</f>
        <v>16</v>
      </c>
      <c r="CQ36" s="2">
        <f xml:space="preserve"> _xlfn.XLOOKUP(1,Tabla8[Selec. Solvent],Tabla8[Radius])*COS(CK36)+ _xlfn.XLOOKUP(1,Tabla8[Selec. Solvent],Tabla8[dP])</f>
        <v>5</v>
      </c>
      <c r="CR36" s="2">
        <f xml:space="preserve"> _xlfn.XLOOKUP(1,Tabla8[Selec. Solvent],Tabla8[Radius])*SIN(CK36)+  _xlfn.XLOOKUP(1,Tabla8[Selec. Solvent],Tabla8[dH])</f>
        <v>5.4</v>
      </c>
      <c r="CS36" s="2">
        <f xml:space="preserve">  _xlfn.XLOOKUP(1,Tabla8[Selec. Solvent],Tabla8[Radius])*COS(CK36)+ _xlfn.XLOOKUP(1,Tabla8[Selec. Solvent],Tabla8[dD])</f>
        <v>16</v>
      </c>
      <c r="CT36" s="2">
        <f xml:space="preserve"> (_xlfn.XLOOKUP(2,Tabla8[Selec. Solvent],Tabla8[Radius]))*SIN(CK36)+ _xlfn.XLOOKUP(2,Tabla8[Selec. Solvent],Tabla8[dD])</f>
        <v>16</v>
      </c>
      <c r="CU36" s="2">
        <f xml:space="preserve"> _xlfn.XLOOKUP(2,Tabla8[Selec. Solvent],Tabla8[Radius])*COS(CK36)+ _xlfn.XLOOKUP(2,Tabla8[Selec. Solvent],Tabla8[dP])</f>
        <v>6.5</v>
      </c>
      <c r="CV36" s="2">
        <f xml:space="preserve"> _xlfn.XLOOKUP(2,Tabla8[Selec. Solvent],Tabla8[Radius])*SIN(CK36)+  _xlfn.XLOOKUP(2,Tabla8[Selec. Solvent],Tabla8[dH])</f>
        <v>2.4</v>
      </c>
      <c r="CW36" s="2">
        <f xml:space="preserve">  _xlfn.XLOOKUP(2,Tabla8[Selec. Solvent],Tabla8[Radius])*COS(CK36)+ _xlfn.XLOOKUP(2,Tabla8[Selec. Solvent],Tabla8[dD])</f>
        <v>16</v>
      </c>
      <c r="CX36" s="2">
        <f xml:space="preserve"> (_xlfn.XLOOKUP(3,Tabla8[Selec. Solvent],Tabla8[Radius]))*SIN(CK36)+ _xlfn.XLOOKUP(3,Tabla8[Selec. Solvent],Tabla8[dD])</f>
        <v>14.8</v>
      </c>
      <c r="CY36" s="2">
        <f xml:space="preserve"> _xlfn.XLOOKUP(3,Tabla8[Selec. Solvent],Tabla8[Radius])*COS(CK36)+ _xlfn.XLOOKUP(3,Tabla8[Selec. Solvent],Tabla8[dP])</f>
        <v>4.2</v>
      </c>
      <c r="CZ36" s="2">
        <f xml:space="preserve"> _xlfn.XLOOKUP(3,Tabla8[Selec. Solvent],Tabla8[Radius])*SIN(CK36)+  _xlfn.XLOOKUP(3,Tabla8[Selec. Solvent],Tabla8[dH])</f>
        <v>5.8</v>
      </c>
      <c r="DA36" s="2">
        <f xml:space="preserve">  _xlfn.XLOOKUP(,Tabla8[Selec. Solvent],Tabla8[Radius])*COS(CK36)+ _xlfn.XLOOKUP(3,Tabla8[Selec. Solvent],Tabla8[dD])</f>
        <v>14.8</v>
      </c>
      <c r="DB36" s="2">
        <f xml:space="preserve"> (_xlfn.XLOOKUP(4,Tabla8[Selec. Solvent],Tabla8[Radius]))*SIN(CK36)+ _xlfn.XLOOKUP(4,Tabla8[Selec. Solvent],Tabla8[dD])</f>
        <v>15.9</v>
      </c>
      <c r="DC36" s="2">
        <f xml:space="preserve"> _xlfn.XLOOKUP(4,Tabla8[Selec. Solvent],Tabla8[Radius])*COS(CK36)+ _xlfn.XLOOKUP(4,Tabla8[Selec. Solvent],Tabla8[dP])</f>
        <v>6</v>
      </c>
      <c r="DD36" s="2">
        <f xml:space="preserve"> _xlfn.XLOOKUP(4,Tabla8[Selec. Solvent],Tabla8[Radius])*SIN(CK36)+  _xlfn.XLOOKUP(4,Tabla8[Selec. Solvent],Tabla8[dH])</f>
        <v>6.6</v>
      </c>
      <c r="DE36" s="2">
        <f xml:space="preserve">  _xlfn.XLOOKUP(4,Tabla8[Selec. Solvent],Tabla8[Radius])*COS(CK36)+ _xlfn.XLOOKUP(4,Tabla8[Selec. Solvent],Tabla8[dD])</f>
        <v>15.9</v>
      </c>
    </row>
    <row r="37" spans="9:109" x14ac:dyDescent="0.25">
      <c r="I37" s="4"/>
      <c r="J37" s="4"/>
      <c r="K37" s="4"/>
      <c r="L37" s="4"/>
      <c r="M37" s="4"/>
      <c r="N37" s="4"/>
      <c r="O37" s="4"/>
      <c r="P37" s="4"/>
      <c r="CJ37" s="2">
        <v>170</v>
      </c>
      <c r="CK37" s="2">
        <f>RADIANS(Tabla3[[#This Row],[Angle º]])</f>
        <v>2.9670597283903604</v>
      </c>
      <c r="CL37" s="2">
        <f t="shared" si="8"/>
        <v>15.4</v>
      </c>
      <c r="CM37" s="2">
        <f t="shared" si="9"/>
        <v>5.4</v>
      </c>
      <c r="CN37" s="2">
        <f t="shared" si="10"/>
        <v>8</v>
      </c>
      <c r="CO37" s="2">
        <f t="shared" si="11"/>
        <v>15.4</v>
      </c>
      <c r="CP37" s="2">
        <f xml:space="preserve"> (_xlfn.XLOOKUP(1,Tabla8[Selec. Solvent],Tabla8[Radius]))*SIN(CK37)+ _xlfn.XLOOKUP(1,Tabla8[Selec. Solvent],Tabla8[dD])</f>
        <v>16</v>
      </c>
      <c r="CQ37" s="2">
        <f xml:space="preserve"> _xlfn.XLOOKUP(1,Tabla8[Selec. Solvent],Tabla8[Radius])*COS(CK37)+ _xlfn.XLOOKUP(1,Tabla8[Selec. Solvent],Tabla8[dP])</f>
        <v>5</v>
      </c>
      <c r="CR37" s="2">
        <f xml:space="preserve"> _xlfn.XLOOKUP(1,Tabla8[Selec. Solvent],Tabla8[Radius])*SIN(CK37)+  _xlfn.XLOOKUP(1,Tabla8[Selec. Solvent],Tabla8[dH])</f>
        <v>5.4</v>
      </c>
      <c r="CS37" s="2">
        <f xml:space="preserve">  _xlfn.XLOOKUP(1,Tabla8[Selec. Solvent],Tabla8[Radius])*COS(CK37)+ _xlfn.XLOOKUP(1,Tabla8[Selec. Solvent],Tabla8[dD])</f>
        <v>16</v>
      </c>
      <c r="CT37" s="2">
        <f xml:space="preserve"> (_xlfn.XLOOKUP(2,Tabla8[Selec. Solvent],Tabla8[Radius]))*SIN(CK37)+ _xlfn.XLOOKUP(2,Tabla8[Selec. Solvent],Tabla8[dD])</f>
        <v>16</v>
      </c>
      <c r="CU37" s="2">
        <f xml:space="preserve"> _xlfn.XLOOKUP(2,Tabla8[Selec. Solvent],Tabla8[Radius])*COS(CK37)+ _xlfn.XLOOKUP(2,Tabla8[Selec. Solvent],Tabla8[dP])</f>
        <v>6.5</v>
      </c>
      <c r="CV37" s="2">
        <f xml:space="preserve"> _xlfn.XLOOKUP(2,Tabla8[Selec. Solvent],Tabla8[Radius])*SIN(CK37)+  _xlfn.XLOOKUP(2,Tabla8[Selec. Solvent],Tabla8[dH])</f>
        <v>2.4</v>
      </c>
      <c r="CW37" s="2">
        <f xml:space="preserve">  _xlfn.XLOOKUP(2,Tabla8[Selec. Solvent],Tabla8[Radius])*COS(CK37)+ _xlfn.XLOOKUP(2,Tabla8[Selec. Solvent],Tabla8[dD])</f>
        <v>16</v>
      </c>
      <c r="CX37" s="2">
        <f xml:space="preserve"> (_xlfn.XLOOKUP(3,Tabla8[Selec. Solvent],Tabla8[Radius]))*SIN(CK37)+ _xlfn.XLOOKUP(3,Tabla8[Selec. Solvent],Tabla8[dD])</f>
        <v>14.8</v>
      </c>
      <c r="CY37" s="2">
        <f xml:space="preserve"> _xlfn.XLOOKUP(3,Tabla8[Selec. Solvent],Tabla8[Radius])*COS(CK37)+ _xlfn.XLOOKUP(3,Tabla8[Selec. Solvent],Tabla8[dP])</f>
        <v>4.2</v>
      </c>
      <c r="CZ37" s="2">
        <f xml:space="preserve"> _xlfn.XLOOKUP(3,Tabla8[Selec. Solvent],Tabla8[Radius])*SIN(CK37)+  _xlfn.XLOOKUP(3,Tabla8[Selec. Solvent],Tabla8[dH])</f>
        <v>5.8</v>
      </c>
      <c r="DA37" s="2">
        <f xml:space="preserve">  _xlfn.XLOOKUP(,Tabla8[Selec. Solvent],Tabla8[Radius])*COS(CK37)+ _xlfn.XLOOKUP(3,Tabla8[Selec. Solvent],Tabla8[dD])</f>
        <v>14.8</v>
      </c>
      <c r="DB37" s="2">
        <f xml:space="preserve"> (_xlfn.XLOOKUP(4,Tabla8[Selec. Solvent],Tabla8[Radius]))*SIN(CK37)+ _xlfn.XLOOKUP(4,Tabla8[Selec. Solvent],Tabla8[dD])</f>
        <v>15.9</v>
      </c>
      <c r="DC37" s="2">
        <f xml:space="preserve"> _xlfn.XLOOKUP(4,Tabla8[Selec. Solvent],Tabla8[Radius])*COS(CK37)+ _xlfn.XLOOKUP(4,Tabla8[Selec. Solvent],Tabla8[dP])</f>
        <v>6</v>
      </c>
      <c r="DD37" s="2">
        <f xml:space="preserve"> _xlfn.XLOOKUP(4,Tabla8[Selec. Solvent],Tabla8[Radius])*SIN(CK37)+  _xlfn.XLOOKUP(4,Tabla8[Selec. Solvent],Tabla8[dH])</f>
        <v>6.6</v>
      </c>
      <c r="DE37" s="2">
        <f xml:space="preserve">  _xlfn.XLOOKUP(4,Tabla8[Selec. Solvent],Tabla8[Radius])*COS(CK37)+ _xlfn.XLOOKUP(4,Tabla8[Selec. Solvent],Tabla8[dD])</f>
        <v>15.9</v>
      </c>
    </row>
    <row r="38" spans="9:109" x14ac:dyDescent="0.25">
      <c r="I38" s="4"/>
      <c r="J38" s="4"/>
      <c r="K38" s="4"/>
      <c r="L38" s="4"/>
      <c r="M38" s="4"/>
      <c r="N38" s="4"/>
      <c r="O38" s="4"/>
      <c r="P38" s="4"/>
      <c r="CJ38" s="2">
        <v>175</v>
      </c>
      <c r="CK38" s="2">
        <f>RADIANS(Tabla3[[#This Row],[Angle º]])</f>
        <v>3.0543261909900767</v>
      </c>
      <c r="CL38" s="2">
        <f t="shared" si="8"/>
        <v>15.4</v>
      </c>
      <c r="CM38" s="2">
        <f t="shared" si="9"/>
        <v>5.4</v>
      </c>
      <c r="CN38" s="2">
        <f t="shared" si="10"/>
        <v>8</v>
      </c>
      <c r="CO38" s="2">
        <f t="shared" si="11"/>
        <v>15.4</v>
      </c>
      <c r="CP38" s="2">
        <f xml:space="preserve"> (_xlfn.XLOOKUP(1,Tabla8[Selec. Solvent],Tabla8[Radius]))*SIN(CK38)+ _xlfn.XLOOKUP(1,Tabla8[Selec. Solvent],Tabla8[dD])</f>
        <v>16</v>
      </c>
      <c r="CQ38" s="2">
        <f xml:space="preserve"> _xlfn.XLOOKUP(1,Tabla8[Selec. Solvent],Tabla8[Radius])*COS(CK38)+ _xlfn.XLOOKUP(1,Tabla8[Selec. Solvent],Tabla8[dP])</f>
        <v>5</v>
      </c>
      <c r="CR38" s="2">
        <f xml:space="preserve"> _xlfn.XLOOKUP(1,Tabla8[Selec. Solvent],Tabla8[Radius])*SIN(CK38)+  _xlfn.XLOOKUP(1,Tabla8[Selec. Solvent],Tabla8[dH])</f>
        <v>5.4</v>
      </c>
      <c r="CS38" s="2">
        <f xml:space="preserve">  _xlfn.XLOOKUP(1,Tabla8[Selec. Solvent],Tabla8[Radius])*COS(CK38)+ _xlfn.XLOOKUP(1,Tabla8[Selec. Solvent],Tabla8[dD])</f>
        <v>16</v>
      </c>
      <c r="CT38" s="2">
        <f xml:space="preserve"> (_xlfn.XLOOKUP(2,Tabla8[Selec. Solvent],Tabla8[Radius]))*SIN(CK38)+ _xlfn.XLOOKUP(2,Tabla8[Selec. Solvent],Tabla8[dD])</f>
        <v>16</v>
      </c>
      <c r="CU38" s="2">
        <f xml:space="preserve"> _xlfn.XLOOKUP(2,Tabla8[Selec. Solvent],Tabla8[Radius])*COS(CK38)+ _xlfn.XLOOKUP(2,Tabla8[Selec. Solvent],Tabla8[dP])</f>
        <v>6.5</v>
      </c>
      <c r="CV38" s="2">
        <f xml:space="preserve"> _xlfn.XLOOKUP(2,Tabla8[Selec. Solvent],Tabla8[Radius])*SIN(CK38)+  _xlfn.XLOOKUP(2,Tabla8[Selec. Solvent],Tabla8[dH])</f>
        <v>2.4</v>
      </c>
      <c r="CW38" s="2">
        <f xml:space="preserve">  _xlfn.XLOOKUP(2,Tabla8[Selec. Solvent],Tabla8[Radius])*COS(CK38)+ _xlfn.XLOOKUP(2,Tabla8[Selec. Solvent],Tabla8[dD])</f>
        <v>16</v>
      </c>
      <c r="CX38" s="2">
        <f xml:space="preserve"> (_xlfn.XLOOKUP(3,Tabla8[Selec. Solvent],Tabla8[Radius]))*SIN(CK38)+ _xlfn.XLOOKUP(3,Tabla8[Selec. Solvent],Tabla8[dD])</f>
        <v>14.8</v>
      </c>
      <c r="CY38" s="2">
        <f xml:space="preserve"> _xlfn.XLOOKUP(3,Tabla8[Selec. Solvent],Tabla8[Radius])*COS(CK38)+ _xlfn.XLOOKUP(3,Tabla8[Selec. Solvent],Tabla8[dP])</f>
        <v>4.2</v>
      </c>
      <c r="CZ38" s="2">
        <f xml:space="preserve"> _xlfn.XLOOKUP(3,Tabla8[Selec. Solvent],Tabla8[Radius])*SIN(CK38)+  _xlfn.XLOOKUP(3,Tabla8[Selec. Solvent],Tabla8[dH])</f>
        <v>5.8</v>
      </c>
      <c r="DA38" s="2">
        <f xml:space="preserve">  _xlfn.XLOOKUP(,Tabla8[Selec. Solvent],Tabla8[Radius])*COS(CK38)+ _xlfn.XLOOKUP(3,Tabla8[Selec. Solvent],Tabla8[dD])</f>
        <v>14.8</v>
      </c>
      <c r="DB38" s="2">
        <f xml:space="preserve"> (_xlfn.XLOOKUP(4,Tabla8[Selec. Solvent],Tabla8[Radius]))*SIN(CK38)+ _xlfn.XLOOKUP(4,Tabla8[Selec. Solvent],Tabla8[dD])</f>
        <v>15.9</v>
      </c>
      <c r="DC38" s="2">
        <f xml:space="preserve"> _xlfn.XLOOKUP(4,Tabla8[Selec. Solvent],Tabla8[Radius])*COS(CK38)+ _xlfn.XLOOKUP(4,Tabla8[Selec. Solvent],Tabla8[dP])</f>
        <v>6</v>
      </c>
      <c r="DD38" s="2">
        <f xml:space="preserve"> _xlfn.XLOOKUP(4,Tabla8[Selec. Solvent],Tabla8[Radius])*SIN(CK38)+  _xlfn.XLOOKUP(4,Tabla8[Selec. Solvent],Tabla8[dH])</f>
        <v>6.6</v>
      </c>
      <c r="DE38" s="2">
        <f xml:space="preserve">  _xlfn.XLOOKUP(4,Tabla8[Selec. Solvent],Tabla8[Radius])*COS(CK38)+ _xlfn.XLOOKUP(4,Tabla8[Selec. Solvent],Tabla8[dD])</f>
        <v>15.9</v>
      </c>
    </row>
    <row r="39" spans="9:109" x14ac:dyDescent="0.25">
      <c r="I39" s="4"/>
      <c r="J39" s="4"/>
      <c r="K39" s="4"/>
      <c r="L39" s="4"/>
      <c r="M39" s="4"/>
      <c r="N39" s="4"/>
      <c r="O39" s="4"/>
      <c r="P39" s="4"/>
      <c r="CJ39" s="2">
        <v>180</v>
      </c>
      <c r="CK39" s="2">
        <f>RADIANS(Tabla3[[#This Row],[Angle º]])</f>
        <v>3.1415926535897931</v>
      </c>
      <c r="CL39" s="2">
        <f t="shared" si="8"/>
        <v>15.4</v>
      </c>
      <c r="CM39" s="2">
        <f t="shared" si="9"/>
        <v>5.4</v>
      </c>
      <c r="CN39" s="2">
        <f t="shared" si="10"/>
        <v>8</v>
      </c>
      <c r="CO39" s="2">
        <f t="shared" si="11"/>
        <v>15.4</v>
      </c>
      <c r="CP39" s="2">
        <f xml:space="preserve"> (_xlfn.XLOOKUP(1,Tabla8[Selec. Solvent],Tabla8[Radius]))*SIN(CK39)+ _xlfn.XLOOKUP(1,Tabla8[Selec. Solvent],Tabla8[dD])</f>
        <v>16</v>
      </c>
      <c r="CQ39" s="2">
        <f xml:space="preserve"> _xlfn.XLOOKUP(1,Tabla8[Selec. Solvent],Tabla8[Radius])*COS(CK39)+ _xlfn.XLOOKUP(1,Tabla8[Selec. Solvent],Tabla8[dP])</f>
        <v>5</v>
      </c>
      <c r="CR39" s="2">
        <f xml:space="preserve"> _xlfn.XLOOKUP(1,Tabla8[Selec. Solvent],Tabla8[Radius])*SIN(CK39)+  _xlfn.XLOOKUP(1,Tabla8[Selec. Solvent],Tabla8[dH])</f>
        <v>5.4</v>
      </c>
      <c r="CS39" s="2">
        <f xml:space="preserve">  _xlfn.XLOOKUP(1,Tabla8[Selec. Solvent],Tabla8[Radius])*COS(CK39)+ _xlfn.XLOOKUP(1,Tabla8[Selec. Solvent],Tabla8[dD])</f>
        <v>16</v>
      </c>
      <c r="CT39" s="2">
        <f xml:space="preserve"> (_xlfn.XLOOKUP(2,Tabla8[Selec. Solvent],Tabla8[Radius]))*SIN(CK39)+ _xlfn.XLOOKUP(2,Tabla8[Selec. Solvent],Tabla8[dD])</f>
        <v>16</v>
      </c>
      <c r="CU39" s="2">
        <f xml:space="preserve"> _xlfn.XLOOKUP(2,Tabla8[Selec. Solvent],Tabla8[Radius])*COS(CK39)+ _xlfn.XLOOKUP(2,Tabla8[Selec. Solvent],Tabla8[dP])</f>
        <v>6.5</v>
      </c>
      <c r="CV39" s="2">
        <f xml:space="preserve"> _xlfn.XLOOKUP(2,Tabla8[Selec. Solvent],Tabla8[Radius])*SIN(CK39)+  _xlfn.XLOOKUP(2,Tabla8[Selec. Solvent],Tabla8[dH])</f>
        <v>2.4</v>
      </c>
      <c r="CW39" s="2">
        <f xml:space="preserve">  _xlfn.XLOOKUP(2,Tabla8[Selec. Solvent],Tabla8[Radius])*COS(CK39)+ _xlfn.XLOOKUP(2,Tabla8[Selec. Solvent],Tabla8[dD])</f>
        <v>16</v>
      </c>
      <c r="CX39" s="2">
        <f xml:space="preserve"> (_xlfn.XLOOKUP(3,Tabla8[Selec. Solvent],Tabla8[Radius]))*SIN(CK39)+ _xlfn.XLOOKUP(3,Tabla8[Selec. Solvent],Tabla8[dD])</f>
        <v>14.8</v>
      </c>
      <c r="CY39" s="2">
        <f xml:space="preserve"> _xlfn.XLOOKUP(3,Tabla8[Selec. Solvent],Tabla8[Radius])*COS(CK39)+ _xlfn.XLOOKUP(3,Tabla8[Selec. Solvent],Tabla8[dP])</f>
        <v>4.2</v>
      </c>
      <c r="CZ39" s="2">
        <f xml:space="preserve"> _xlfn.XLOOKUP(3,Tabla8[Selec. Solvent],Tabla8[Radius])*SIN(CK39)+  _xlfn.XLOOKUP(3,Tabla8[Selec. Solvent],Tabla8[dH])</f>
        <v>5.8</v>
      </c>
      <c r="DA39" s="2">
        <f xml:space="preserve">  _xlfn.XLOOKUP(,Tabla8[Selec. Solvent],Tabla8[Radius])*COS(CK39)+ _xlfn.XLOOKUP(3,Tabla8[Selec. Solvent],Tabla8[dD])</f>
        <v>14.8</v>
      </c>
      <c r="DB39" s="2">
        <f xml:space="preserve"> (_xlfn.XLOOKUP(4,Tabla8[Selec. Solvent],Tabla8[Radius]))*SIN(CK39)+ _xlfn.XLOOKUP(4,Tabla8[Selec. Solvent],Tabla8[dD])</f>
        <v>15.9</v>
      </c>
      <c r="DC39" s="2">
        <f xml:space="preserve"> _xlfn.XLOOKUP(4,Tabla8[Selec. Solvent],Tabla8[Radius])*COS(CK39)+ _xlfn.XLOOKUP(4,Tabla8[Selec. Solvent],Tabla8[dP])</f>
        <v>6</v>
      </c>
      <c r="DD39" s="2">
        <f xml:space="preserve"> _xlfn.XLOOKUP(4,Tabla8[Selec. Solvent],Tabla8[Radius])*SIN(CK39)+  _xlfn.XLOOKUP(4,Tabla8[Selec. Solvent],Tabla8[dH])</f>
        <v>6.6</v>
      </c>
      <c r="DE39" s="2">
        <f xml:space="preserve">  _xlfn.XLOOKUP(4,Tabla8[Selec. Solvent],Tabla8[Radius])*COS(CK39)+ _xlfn.XLOOKUP(4,Tabla8[Selec. Solvent],Tabla8[dD])</f>
        <v>15.9</v>
      </c>
    </row>
    <row r="40" spans="9:109" x14ac:dyDescent="0.25">
      <c r="I40" s="4"/>
      <c r="J40" s="4"/>
      <c r="K40" s="4"/>
      <c r="L40" s="4"/>
      <c r="M40" s="4"/>
      <c r="N40" s="4"/>
      <c r="O40" s="4"/>
      <c r="P40" s="4"/>
      <c r="CJ40" s="2">
        <v>185</v>
      </c>
      <c r="CK40" s="2">
        <f>RADIANS(Tabla3[[#This Row],[Angle º]])</f>
        <v>3.2288591161895095</v>
      </c>
      <c r="CL40" s="2">
        <f t="shared" si="8"/>
        <v>15.4</v>
      </c>
      <c r="CM40" s="2">
        <f t="shared" si="9"/>
        <v>5.4</v>
      </c>
      <c r="CN40" s="2">
        <f t="shared" si="10"/>
        <v>8</v>
      </c>
      <c r="CO40" s="2">
        <f t="shared" si="11"/>
        <v>15.4</v>
      </c>
      <c r="CP40" s="2">
        <f xml:space="preserve"> (_xlfn.XLOOKUP(1,Tabla8[Selec. Solvent],Tabla8[Radius]))*SIN(CK40)+ _xlfn.XLOOKUP(1,Tabla8[Selec. Solvent],Tabla8[dD])</f>
        <v>16</v>
      </c>
      <c r="CQ40" s="2">
        <f xml:space="preserve"> _xlfn.XLOOKUP(1,Tabla8[Selec. Solvent],Tabla8[Radius])*COS(CK40)+ _xlfn.XLOOKUP(1,Tabla8[Selec. Solvent],Tabla8[dP])</f>
        <v>5</v>
      </c>
      <c r="CR40" s="2">
        <f xml:space="preserve"> _xlfn.XLOOKUP(1,Tabla8[Selec. Solvent],Tabla8[Radius])*SIN(CK40)+  _xlfn.XLOOKUP(1,Tabla8[Selec. Solvent],Tabla8[dH])</f>
        <v>5.4</v>
      </c>
      <c r="CS40" s="2">
        <f xml:space="preserve">  _xlfn.XLOOKUP(1,Tabla8[Selec. Solvent],Tabla8[Radius])*COS(CK40)+ _xlfn.XLOOKUP(1,Tabla8[Selec. Solvent],Tabla8[dD])</f>
        <v>16</v>
      </c>
      <c r="CT40" s="2">
        <f xml:space="preserve"> (_xlfn.XLOOKUP(2,Tabla8[Selec. Solvent],Tabla8[Radius]))*SIN(CK40)+ _xlfn.XLOOKUP(2,Tabla8[Selec. Solvent],Tabla8[dD])</f>
        <v>16</v>
      </c>
      <c r="CU40" s="2">
        <f xml:space="preserve"> _xlfn.XLOOKUP(2,Tabla8[Selec. Solvent],Tabla8[Radius])*COS(CK40)+ _xlfn.XLOOKUP(2,Tabla8[Selec. Solvent],Tabla8[dP])</f>
        <v>6.5</v>
      </c>
      <c r="CV40" s="2">
        <f xml:space="preserve"> _xlfn.XLOOKUP(2,Tabla8[Selec. Solvent],Tabla8[Radius])*SIN(CK40)+  _xlfn.XLOOKUP(2,Tabla8[Selec. Solvent],Tabla8[dH])</f>
        <v>2.4</v>
      </c>
      <c r="CW40" s="2">
        <f xml:space="preserve">  _xlfn.XLOOKUP(2,Tabla8[Selec. Solvent],Tabla8[Radius])*COS(CK40)+ _xlfn.XLOOKUP(2,Tabla8[Selec. Solvent],Tabla8[dD])</f>
        <v>16</v>
      </c>
      <c r="CX40" s="2">
        <f xml:space="preserve"> (_xlfn.XLOOKUP(3,Tabla8[Selec. Solvent],Tabla8[Radius]))*SIN(CK40)+ _xlfn.XLOOKUP(3,Tabla8[Selec. Solvent],Tabla8[dD])</f>
        <v>14.8</v>
      </c>
      <c r="CY40" s="2">
        <f xml:space="preserve"> _xlfn.XLOOKUP(3,Tabla8[Selec. Solvent],Tabla8[Radius])*COS(CK40)+ _xlfn.XLOOKUP(3,Tabla8[Selec. Solvent],Tabla8[dP])</f>
        <v>4.2</v>
      </c>
      <c r="CZ40" s="2">
        <f xml:space="preserve"> _xlfn.XLOOKUP(3,Tabla8[Selec. Solvent],Tabla8[Radius])*SIN(CK40)+  _xlfn.XLOOKUP(3,Tabla8[Selec. Solvent],Tabla8[dH])</f>
        <v>5.8</v>
      </c>
      <c r="DA40" s="2">
        <f xml:space="preserve">  _xlfn.XLOOKUP(,Tabla8[Selec. Solvent],Tabla8[Radius])*COS(CK40)+ _xlfn.XLOOKUP(3,Tabla8[Selec. Solvent],Tabla8[dD])</f>
        <v>14.8</v>
      </c>
      <c r="DB40" s="2">
        <f xml:space="preserve"> (_xlfn.XLOOKUP(4,Tabla8[Selec. Solvent],Tabla8[Radius]))*SIN(CK40)+ _xlfn.XLOOKUP(4,Tabla8[Selec. Solvent],Tabla8[dD])</f>
        <v>15.9</v>
      </c>
      <c r="DC40" s="2">
        <f xml:space="preserve"> _xlfn.XLOOKUP(4,Tabla8[Selec. Solvent],Tabla8[Radius])*COS(CK40)+ _xlfn.XLOOKUP(4,Tabla8[Selec. Solvent],Tabla8[dP])</f>
        <v>6</v>
      </c>
      <c r="DD40" s="2">
        <f xml:space="preserve"> _xlfn.XLOOKUP(4,Tabla8[Selec. Solvent],Tabla8[Radius])*SIN(CK40)+  _xlfn.XLOOKUP(4,Tabla8[Selec. Solvent],Tabla8[dH])</f>
        <v>6.6</v>
      </c>
      <c r="DE40" s="2">
        <f xml:space="preserve">  _xlfn.XLOOKUP(4,Tabla8[Selec. Solvent],Tabla8[Radius])*COS(CK40)+ _xlfn.XLOOKUP(4,Tabla8[Selec. Solvent],Tabla8[dD])</f>
        <v>15.9</v>
      </c>
    </row>
    <row r="41" spans="9:109" x14ac:dyDescent="0.25">
      <c r="I41" s="4"/>
      <c r="J41" s="4"/>
      <c r="K41" s="4"/>
      <c r="L41" s="4"/>
      <c r="M41" s="4"/>
      <c r="N41" s="4"/>
      <c r="O41" s="4"/>
      <c r="P41" s="4"/>
      <c r="CJ41" s="2">
        <v>190</v>
      </c>
      <c r="CK41" s="2">
        <f>RADIANS(Tabla3[[#This Row],[Angle º]])</f>
        <v>3.3161255787892263</v>
      </c>
      <c r="CL41" s="2">
        <f t="shared" si="8"/>
        <v>15.4</v>
      </c>
      <c r="CM41" s="2">
        <f t="shared" si="9"/>
        <v>5.4</v>
      </c>
      <c r="CN41" s="2">
        <f t="shared" si="10"/>
        <v>8</v>
      </c>
      <c r="CO41" s="2">
        <f t="shared" si="11"/>
        <v>15.4</v>
      </c>
      <c r="CP41" s="2">
        <f xml:space="preserve"> (_xlfn.XLOOKUP(1,Tabla8[Selec. Solvent],Tabla8[Radius]))*SIN(CK41)+ _xlfn.XLOOKUP(1,Tabla8[Selec. Solvent],Tabla8[dD])</f>
        <v>16</v>
      </c>
      <c r="CQ41" s="2">
        <f xml:space="preserve"> _xlfn.XLOOKUP(1,Tabla8[Selec. Solvent],Tabla8[Radius])*COS(CK41)+ _xlfn.XLOOKUP(1,Tabla8[Selec. Solvent],Tabla8[dP])</f>
        <v>5</v>
      </c>
      <c r="CR41" s="2">
        <f xml:space="preserve"> _xlfn.XLOOKUP(1,Tabla8[Selec. Solvent],Tabla8[Radius])*SIN(CK41)+  _xlfn.XLOOKUP(1,Tabla8[Selec. Solvent],Tabla8[dH])</f>
        <v>5.4</v>
      </c>
      <c r="CS41" s="2">
        <f xml:space="preserve">  _xlfn.XLOOKUP(1,Tabla8[Selec. Solvent],Tabla8[Radius])*COS(CK41)+ _xlfn.XLOOKUP(1,Tabla8[Selec. Solvent],Tabla8[dD])</f>
        <v>16</v>
      </c>
      <c r="CT41" s="2">
        <f xml:space="preserve"> (_xlfn.XLOOKUP(2,Tabla8[Selec. Solvent],Tabla8[Radius]))*SIN(CK41)+ _xlfn.XLOOKUP(2,Tabla8[Selec. Solvent],Tabla8[dD])</f>
        <v>16</v>
      </c>
      <c r="CU41" s="2">
        <f xml:space="preserve"> _xlfn.XLOOKUP(2,Tabla8[Selec. Solvent],Tabla8[Radius])*COS(CK41)+ _xlfn.XLOOKUP(2,Tabla8[Selec. Solvent],Tabla8[dP])</f>
        <v>6.5</v>
      </c>
      <c r="CV41" s="2">
        <f xml:space="preserve"> _xlfn.XLOOKUP(2,Tabla8[Selec. Solvent],Tabla8[Radius])*SIN(CK41)+  _xlfn.XLOOKUP(2,Tabla8[Selec. Solvent],Tabla8[dH])</f>
        <v>2.4</v>
      </c>
      <c r="CW41" s="2">
        <f xml:space="preserve">  _xlfn.XLOOKUP(2,Tabla8[Selec. Solvent],Tabla8[Radius])*COS(CK41)+ _xlfn.XLOOKUP(2,Tabla8[Selec. Solvent],Tabla8[dD])</f>
        <v>16</v>
      </c>
      <c r="CX41" s="2">
        <f xml:space="preserve"> (_xlfn.XLOOKUP(3,Tabla8[Selec. Solvent],Tabla8[Radius]))*SIN(CK41)+ _xlfn.XLOOKUP(3,Tabla8[Selec. Solvent],Tabla8[dD])</f>
        <v>14.8</v>
      </c>
      <c r="CY41" s="2">
        <f xml:space="preserve"> _xlfn.XLOOKUP(3,Tabla8[Selec. Solvent],Tabla8[Radius])*COS(CK41)+ _xlfn.XLOOKUP(3,Tabla8[Selec. Solvent],Tabla8[dP])</f>
        <v>4.2</v>
      </c>
      <c r="CZ41" s="2">
        <f xml:space="preserve"> _xlfn.XLOOKUP(3,Tabla8[Selec. Solvent],Tabla8[Radius])*SIN(CK41)+  _xlfn.XLOOKUP(3,Tabla8[Selec. Solvent],Tabla8[dH])</f>
        <v>5.8</v>
      </c>
      <c r="DA41" s="2">
        <f xml:space="preserve">  _xlfn.XLOOKUP(,Tabla8[Selec. Solvent],Tabla8[Radius])*COS(CK41)+ _xlfn.XLOOKUP(3,Tabla8[Selec. Solvent],Tabla8[dD])</f>
        <v>14.8</v>
      </c>
      <c r="DB41" s="2">
        <f xml:space="preserve"> (_xlfn.XLOOKUP(4,Tabla8[Selec. Solvent],Tabla8[Radius]))*SIN(CK41)+ _xlfn.XLOOKUP(4,Tabla8[Selec. Solvent],Tabla8[dD])</f>
        <v>15.9</v>
      </c>
      <c r="DC41" s="2">
        <f xml:space="preserve"> _xlfn.XLOOKUP(4,Tabla8[Selec. Solvent],Tabla8[Radius])*COS(CK41)+ _xlfn.XLOOKUP(4,Tabla8[Selec. Solvent],Tabla8[dP])</f>
        <v>6</v>
      </c>
      <c r="DD41" s="2">
        <f xml:space="preserve"> _xlfn.XLOOKUP(4,Tabla8[Selec. Solvent],Tabla8[Radius])*SIN(CK41)+  _xlfn.XLOOKUP(4,Tabla8[Selec. Solvent],Tabla8[dH])</f>
        <v>6.6</v>
      </c>
      <c r="DE41" s="2">
        <f xml:space="preserve">  _xlfn.XLOOKUP(4,Tabla8[Selec. Solvent],Tabla8[Radius])*COS(CK41)+ _xlfn.XLOOKUP(4,Tabla8[Selec. Solvent],Tabla8[dD])</f>
        <v>15.9</v>
      </c>
    </row>
    <row r="42" spans="9:109" x14ac:dyDescent="0.25">
      <c r="I42" s="4"/>
      <c r="J42" s="4"/>
      <c r="K42" s="4"/>
      <c r="L42" s="4"/>
      <c r="M42" s="4"/>
      <c r="N42" s="4"/>
      <c r="O42" s="4"/>
      <c r="P42" s="4"/>
      <c r="CJ42" s="2">
        <v>195</v>
      </c>
      <c r="CK42" s="2">
        <f>RADIANS(Tabla3[[#This Row],[Angle º]])</f>
        <v>3.4033920413889427</v>
      </c>
      <c r="CL42" s="2">
        <f t="shared" si="8"/>
        <v>15.4</v>
      </c>
      <c r="CM42" s="2">
        <f t="shared" si="9"/>
        <v>5.4</v>
      </c>
      <c r="CN42" s="2">
        <f t="shared" si="10"/>
        <v>8</v>
      </c>
      <c r="CO42" s="2">
        <f t="shared" si="11"/>
        <v>15.4</v>
      </c>
      <c r="CP42" s="2">
        <f xml:space="preserve"> (_xlfn.XLOOKUP(1,Tabla8[Selec. Solvent],Tabla8[Radius]))*SIN(CK42)+ _xlfn.XLOOKUP(1,Tabla8[Selec. Solvent],Tabla8[dD])</f>
        <v>16</v>
      </c>
      <c r="CQ42" s="2">
        <f xml:space="preserve"> _xlfn.XLOOKUP(1,Tabla8[Selec. Solvent],Tabla8[Radius])*COS(CK42)+ _xlfn.XLOOKUP(1,Tabla8[Selec. Solvent],Tabla8[dP])</f>
        <v>5</v>
      </c>
      <c r="CR42" s="2">
        <f xml:space="preserve"> _xlfn.XLOOKUP(1,Tabla8[Selec. Solvent],Tabla8[Radius])*SIN(CK42)+  _xlfn.XLOOKUP(1,Tabla8[Selec. Solvent],Tabla8[dH])</f>
        <v>5.4</v>
      </c>
      <c r="CS42" s="2">
        <f xml:space="preserve">  _xlfn.XLOOKUP(1,Tabla8[Selec. Solvent],Tabla8[Radius])*COS(CK42)+ _xlfn.XLOOKUP(1,Tabla8[Selec. Solvent],Tabla8[dD])</f>
        <v>16</v>
      </c>
      <c r="CT42" s="2">
        <f xml:space="preserve"> (_xlfn.XLOOKUP(2,Tabla8[Selec. Solvent],Tabla8[Radius]))*SIN(CK42)+ _xlfn.XLOOKUP(2,Tabla8[Selec. Solvent],Tabla8[dD])</f>
        <v>16</v>
      </c>
      <c r="CU42" s="2">
        <f xml:space="preserve"> _xlfn.XLOOKUP(2,Tabla8[Selec. Solvent],Tabla8[Radius])*COS(CK42)+ _xlfn.XLOOKUP(2,Tabla8[Selec. Solvent],Tabla8[dP])</f>
        <v>6.5</v>
      </c>
      <c r="CV42" s="2">
        <f xml:space="preserve"> _xlfn.XLOOKUP(2,Tabla8[Selec. Solvent],Tabla8[Radius])*SIN(CK42)+  _xlfn.XLOOKUP(2,Tabla8[Selec. Solvent],Tabla8[dH])</f>
        <v>2.4</v>
      </c>
      <c r="CW42" s="2">
        <f xml:space="preserve">  _xlfn.XLOOKUP(2,Tabla8[Selec. Solvent],Tabla8[Radius])*COS(CK42)+ _xlfn.XLOOKUP(2,Tabla8[Selec. Solvent],Tabla8[dD])</f>
        <v>16</v>
      </c>
      <c r="CX42" s="2">
        <f xml:space="preserve"> (_xlfn.XLOOKUP(3,Tabla8[Selec. Solvent],Tabla8[Radius]))*SIN(CK42)+ _xlfn.XLOOKUP(3,Tabla8[Selec. Solvent],Tabla8[dD])</f>
        <v>14.8</v>
      </c>
      <c r="CY42" s="2">
        <f xml:space="preserve"> _xlfn.XLOOKUP(3,Tabla8[Selec. Solvent],Tabla8[Radius])*COS(CK42)+ _xlfn.XLOOKUP(3,Tabla8[Selec. Solvent],Tabla8[dP])</f>
        <v>4.2</v>
      </c>
      <c r="CZ42" s="2">
        <f xml:space="preserve"> _xlfn.XLOOKUP(3,Tabla8[Selec. Solvent],Tabla8[Radius])*SIN(CK42)+  _xlfn.XLOOKUP(3,Tabla8[Selec. Solvent],Tabla8[dH])</f>
        <v>5.8</v>
      </c>
      <c r="DA42" s="2">
        <f xml:space="preserve">  _xlfn.XLOOKUP(,Tabla8[Selec. Solvent],Tabla8[Radius])*COS(CK42)+ _xlfn.XLOOKUP(3,Tabla8[Selec. Solvent],Tabla8[dD])</f>
        <v>14.8</v>
      </c>
      <c r="DB42" s="2">
        <f xml:space="preserve"> (_xlfn.XLOOKUP(4,Tabla8[Selec. Solvent],Tabla8[Radius]))*SIN(CK42)+ _xlfn.XLOOKUP(4,Tabla8[Selec. Solvent],Tabla8[dD])</f>
        <v>15.9</v>
      </c>
      <c r="DC42" s="2">
        <f xml:space="preserve"> _xlfn.XLOOKUP(4,Tabla8[Selec. Solvent],Tabla8[Radius])*COS(CK42)+ _xlfn.XLOOKUP(4,Tabla8[Selec. Solvent],Tabla8[dP])</f>
        <v>6</v>
      </c>
      <c r="DD42" s="2">
        <f xml:space="preserve"> _xlfn.XLOOKUP(4,Tabla8[Selec. Solvent],Tabla8[Radius])*SIN(CK42)+  _xlfn.XLOOKUP(4,Tabla8[Selec. Solvent],Tabla8[dH])</f>
        <v>6.6</v>
      </c>
      <c r="DE42" s="2">
        <f xml:space="preserve">  _xlfn.XLOOKUP(4,Tabla8[Selec. Solvent],Tabla8[Radius])*COS(CK42)+ _xlfn.XLOOKUP(4,Tabla8[Selec. Solvent],Tabla8[dD])</f>
        <v>15.9</v>
      </c>
    </row>
    <row r="43" spans="9:109" x14ac:dyDescent="0.25">
      <c r="I43" s="4"/>
      <c r="J43" s="4"/>
      <c r="K43" s="4"/>
      <c r="L43" s="4"/>
      <c r="M43" s="4"/>
      <c r="N43" s="4"/>
      <c r="O43" s="4"/>
      <c r="P43" s="4"/>
      <c r="CJ43" s="2">
        <v>200</v>
      </c>
      <c r="CK43" s="2">
        <f>RADIANS(Tabla3[[#This Row],[Angle º]])</f>
        <v>3.4906585039886591</v>
      </c>
      <c r="CL43" s="2">
        <f t="shared" si="8"/>
        <v>15.4</v>
      </c>
      <c r="CM43" s="2">
        <f t="shared" si="9"/>
        <v>5.4</v>
      </c>
      <c r="CN43" s="2">
        <f t="shared" si="10"/>
        <v>8</v>
      </c>
      <c r="CO43" s="2">
        <f t="shared" si="11"/>
        <v>15.4</v>
      </c>
      <c r="CP43" s="2">
        <f xml:space="preserve"> (_xlfn.XLOOKUP(1,Tabla8[Selec. Solvent],Tabla8[Radius]))*SIN(CK43)+ _xlfn.XLOOKUP(1,Tabla8[Selec. Solvent],Tabla8[dD])</f>
        <v>16</v>
      </c>
      <c r="CQ43" s="2">
        <f xml:space="preserve"> _xlfn.XLOOKUP(1,Tabla8[Selec. Solvent],Tabla8[Radius])*COS(CK43)+ _xlfn.XLOOKUP(1,Tabla8[Selec. Solvent],Tabla8[dP])</f>
        <v>5</v>
      </c>
      <c r="CR43" s="2">
        <f xml:space="preserve"> _xlfn.XLOOKUP(1,Tabla8[Selec. Solvent],Tabla8[Radius])*SIN(CK43)+  _xlfn.XLOOKUP(1,Tabla8[Selec. Solvent],Tabla8[dH])</f>
        <v>5.4</v>
      </c>
      <c r="CS43" s="2">
        <f xml:space="preserve">  _xlfn.XLOOKUP(1,Tabla8[Selec. Solvent],Tabla8[Radius])*COS(CK43)+ _xlfn.XLOOKUP(1,Tabla8[Selec. Solvent],Tabla8[dD])</f>
        <v>16</v>
      </c>
      <c r="CT43" s="2">
        <f xml:space="preserve"> (_xlfn.XLOOKUP(2,Tabla8[Selec. Solvent],Tabla8[Radius]))*SIN(CK43)+ _xlfn.XLOOKUP(2,Tabla8[Selec. Solvent],Tabla8[dD])</f>
        <v>16</v>
      </c>
      <c r="CU43" s="2">
        <f xml:space="preserve"> _xlfn.XLOOKUP(2,Tabla8[Selec. Solvent],Tabla8[Radius])*COS(CK43)+ _xlfn.XLOOKUP(2,Tabla8[Selec. Solvent],Tabla8[dP])</f>
        <v>6.5</v>
      </c>
      <c r="CV43" s="2">
        <f xml:space="preserve"> _xlfn.XLOOKUP(2,Tabla8[Selec. Solvent],Tabla8[Radius])*SIN(CK43)+  _xlfn.XLOOKUP(2,Tabla8[Selec. Solvent],Tabla8[dH])</f>
        <v>2.4</v>
      </c>
      <c r="CW43" s="2">
        <f xml:space="preserve">  _xlfn.XLOOKUP(2,Tabla8[Selec. Solvent],Tabla8[Radius])*COS(CK43)+ _xlfn.XLOOKUP(2,Tabla8[Selec. Solvent],Tabla8[dD])</f>
        <v>16</v>
      </c>
      <c r="CX43" s="2">
        <f xml:space="preserve"> (_xlfn.XLOOKUP(3,Tabla8[Selec. Solvent],Tabla8[Radius]))*SIN(CK43)+ _xlfn.XLOOKUP(3,Tabla8[Selec. Solvent],Tabla8[dD])</f>
        <v>14.8</v>
      </c>
      <c r="CY43" s="2">
        <f xml:space="preserve"> _xlfn.XLOOKUP(3,Tabla8[Selec. Solvent],Tabla8[Radius])*COS(CK43)+ _xlfn.XLOOKUP(3,Tabla8[Selec. Solvent],Tabla8[dP])</f>
        <v>4.2</v>
      </c>
      <c r="CZ43" s="2">
        <f xml:space="preserve"> _xlfn.XLOOKUP(3,Tabla8[Selec. Solvent],Tabla8[Radius])*SIN(CK43)+  _xlfn.XLOOKUP(3,Tabla8[Selec. Solvent],Tabla8[dH])</f>
        <v>5.8</v>
      </c>
      <c r="DA43" s="2">
        <f xml:space="preserve">  _xlfn.XLOOKUP(,Tabla8[Selec. Solvent],Tabla8[Radius])*COS(CK43)+ _xlfn.XLOOKUP(3,Tabla8[Selec. Solvent],Tabla8[dD])</f>
        <v>14.8</v>
      </c>
      <c r="DB43" s="2">
        <f xml:space="preserve"> (_xlfn.XLOOKUP(4,Tabla8[Selec. Solvent],Tabla8[Radius]))*SIN(CK43)+ _xlfn.XLOOKUP(4,Tabla8[Selec. Solvent],Tabla8[dD])</f>
        <v>15.9</v>
      </c>
      <c r="DC43" s="2">
        <f xml:space="preserve"> _xlfn.XLOOKUP(4,Tabla8[Selec. Solvent],Tabla8[Radius])*COS(CK43)+ _xlfn.XLOOKUP(4,Tabla8[Selec. Solvent],Tabla8[dP])</f>
        <v>6</v>
      </c>
      <c r="DD43" s="2">
        <f xml:space="preserve"> _xlfn.XLOOKUP(4,Tabla8[Selec. Solvent],Tabla8[Radius])*SIN(CK43)+  _xlfn.XLOOKUP(4,Tabla8[Selec. Solvent],Tabla8[dH])</f>
        <v>6.6</v>
      </c>
      <c r="DE43" s="2">
        <f xml:space="preserve">  _xlfn.XLOOKUP(4,Tabla8[Selec. Solvent],Tabla8[Radius])*COS(CK43)+ _xlfn.XLOOKUP(4,Tabla8[Selec. Solvent],Tabla8[dD])</f>
        <v>15.9</v>
      </c>
    </row>
    <row r="44" spans="9:109" x14ac:dyDescent="0.25">
      <c r="I44" s="4"/>
      <c r="J44" s="4"/>
      <c r="K44" s="4"/>
      <c r="L44" s="4"/>
      <c r="M44" s="4"/>
      <c r="N44" s="4"/>
      <c r="O44" s="4"/>
      <c r="P44" s="4"/>
      <c r="CJ44" s="2">
        <v>205</v>
      </c>
      <c r="CK44" s="2">
        <f>RADIANS(Tabla3[[#This Row],[Angle º]])</f>
        <v>3.5779249665883754</v>
      </c>
      <c r="CL44" s="2">
        <f t="shared" si="8"/>
        <v>15.4</v>
      </c>
      <c r="CM44" s="2">
        <f t="shared" si="9"/>
        <v>5.4</v>
      </c>
      <c r="CN44" s="2">
        <f t="shared" si="10"/>
        <v>8</v>
      </c>
      <c r="CO44" s="2">
        <f t="shared" si="11"/>
        <v>15.4</v>
      </c>
      <c r="CP44" s="2">
        <f xml:space="preserve"> (_xlfn.XLOOKUP(1,Tabla8[Selec. Solvent],Tabla8[Radius]))*SIN(CK44)+ _xlfn.XLOOKUP(1,Tabla8[Selec. Solvent],Tabla8[dD])</f>
        <v>16</v>
      </c>
      <c r="CQ44" s="2">
        <f xml:space="preserve"> _xlfn.XLOOKUP(1,Tabla8[Selec. Solvent],Tabla8[Radius])*COS(CK44)+ _xlfn.XLOOKUP(1,Tabla8[Selec. Solvent],Tabla8[dP])</f>
        <v>5</v>
      </c>
      <c r="CR44" s="2">
        <f xml:space="preserve"> _xlfn.XLOOKUP(1,Tabla8[Selec. Solvent],Tabla8[Radius])*SIN(CK44)+  _xlfn.XLOOKUP(1,Tabla8[Selec. Solvent],Tabla8[dH])</f>
        <v>5.4</v>
      </c>
      <c r="CS44" s="2">
        <f xml:space="preserve">  _xlfn.XLOOKUP(1,Tabla8[Selec. Solvent],Tabla8[Radius])*COS(CK44)+ _xlfn.XLOOKUP(1,Tabla8[Selec. Solvent],Tabla8[dD])</f>
        <v>16</v>
      </c>
      <c r="CT44" s="2">
        <f xml:space="preserve"> (_xlfn.XLOOKUP(2,Tabla8[Selec. Solvent],Tabla8[Radius]))*SIN(CK44)+ _xlfn.XLOOKUP(2,Tabla8[Selec. Solvent],Tabla8[dD])</f>
        <v>16</v>
      </c>
      <c r="CU44" s="2">
        <f xml:space="preserve"> _xlfn.XLOOKUP(2,Tabla8[Selec. Solvent],Tabla8[Radius])*COS(CK44)+ _xlfn.XLOOKUP(2,Tabla8[Selec. Solvent],Tabla8[dP])</f>
        <v>6.5</v>
      </c>
      <c r="CV44" s="2">
        <f xml:space="preserve"> _xlfn.XLOOKUP(2,Tabla8[Selec. Solvent],Tabla8[Radius])*SIN(CK44)+  _xlfn.XLOOKUP(2,Tabla8[Selec. Solvent],Tabla8[dH])</f>
        <v>2.4</v>
      </c>
      <c r="CW44" s="2">
        <f xml:space="preserve">  _xlfn.XLOOKUP(2,Tabla8[Selec. Solvent],Tabla8[Radius])*COS(CK44)+ _xlfn.XLOOKUP(2,Tabla8[Selec. Solvent],Tabla8[dD])</f>
        <v>16</v>
      </c>
      <c r="CX44" s="2">
        <f xml:space="preserve"> (_xlfn.XLOOKUP(3,Tabla8[Selec. Solvent],Tabla8[Radius]))*SIN(CK44)+ _xlfn.XLOOKUP(3,Tabla8[Selec. Solvent],Tabla8[dD])</f>
        <v>14.8</v>
      </c>
      <c r="CY44" s="2">
        <f xml:space="preserve"> _xlfn.XLOOKUP(3,Tabla8[Selec. Solvent],Tabla8[Radius])*COS(CK44)+ _xlfn.XLOOKUP(3,Tabla8[Selec. Solvent],Tabla8[dP])</f>
        <v>4.2</v>
      </c>
      <c r="CZ44" s="2">
        <f xml:space="preserve"> _xlfn.XLOOKUP(3,Tabla8[Selec. Solvent],Tabla8[Radius])*SIN(CK44)+  _xlfn.XLOOKUP(3,Tabla8[Selec. Solvent],Tabla8[dH])</f>
        <v>5.8</v>
      </c>
      <c r="DA44" s="2">
        <f xml:space="preserve">  _xlfn.XLOOKUP(,Tabla8[Selec. Solvent],Tabla8[Radius])*COS(CK44)+ _xlfn.XLOOKUP(3,Tabla8[Selec. Solvent],Tabla8[dD])</f>
        <v>14.8</v>
      </c>
      <c r="DB44" s="2">
        <f xml:space="preserve"> (_xlfn.XLOOKUP(4,Tabla8[Selec. Solvent],Tabla8[Radius]))*SIN(CK44)+ _xlfn.XLOOKUP(4,Tabla8[Selec. Solvent],Tabla8[dD])</f>
        <v>15.9</v>
      </c>
      <c r="DC44" s="2">
        <f xml:space="preserve"> _xlfn.XLOOKUP(4,Tabla8[Selec. Solvent],Tabla8[Radius])*COS(CK44)+ _xlfn.XLOOKUP(4,Tabla8[Selec. Solvent],Tabla8[dP])</f>
        <v>6</v>
      </c>
      <c r="DD44" s="2">
        <f xml:space="preserve"> _xlfn.XLOOKUP(4,Tabla8[Selec. Solvent],Tabla8[Radius])*SIN(CK44)+  _xlfn.XLOOKUP(4,Tabla8[Selec. Solvent],Tabla8[dH])</f>
        <v>6.6</v>
      </c>
      <c r="DE44" s="2">
        <f xml:space="preserve">  _xlfn.XLOOKUP(4,Tabla8[Selec. Solvent],Tabla8[Radius])*COS(CK44)+ _xlfn.XLOOKUP(4,Tabla8[Selec. Solvent],Tabla8[dD])</f>
        <v>15.9</v>
      </c>
    </row>
    <row r="45" spans="9:109" x14ac:dyDescent="0.25">
      <c r="I45" s="4"/>
      <c r="J45" s="4"/>
      <c r="K45" s="4"/>
      <c r="L45" s="4"/>
      <c r="M45" s="4"/>
      <c r="N45" s="4"/>
      <c r="O45" s="4"/>
      <c r="P45" s="4"/>
      <c r="CJ45" s="2">
        <v>210</v>
      </c>
      <c r="CK45" s="2">
        <f>RADIANS(Tabla3[[#This Row],[Angle º]])</f>
        <v>3.6651914291880923</v>
      </c>
      <c r="CL45" s="2">
        <f t="shared" si="8"/>
        <v>15.4</v>
      </c>
      <c r="CM45" s="2">
        <f t="shared" si="9"/>
        <v>5.4</v>
      </c>
      <c r="CN45" s="2">
        <f t="shared" si="10"/>
        <v>8</v>
      </c>
      <c r="CO45" s="2">
        <f t="shared" si="11"/>
        <v>15.4</v>
      </c>
      <c r="CP45" s="2">
        <f xml:space="preserve"> (_xlfn.XLOOKUP(1,Tabla8[Selec. Solvent],Tabla8[Radius]))*SIN(CK45)+ _xlfn.XLOOKUP(1,Tabla8[Selec. Solvent],Tabla8[dD])</f>
        <v>16</v>
      </c>
      <c r="CQ45" s="2">
        <f xml:space="preserve"> _xlfn.XLOOKUP(1,Tabla8[Selec. Solvent],Tabla8[Radius])*COS(CK45)+ _xlfn.XLOOKUP(1,Tabla8[Selec. Solvent],Tabla8[dP])</f>
        <v>5</v>
      </c>
      <c r="CR45" s="2">
        <f xml:space="preserve"> _xlfn.XLOOKUP(1,Tabla8[Selec. Solvent],Tabla8[Radius])*SIN(CK45)+  _xlfn.XLOOKUP(1,Tabla8[Selec. Solvent],Tabla8[dH])</f>
        <v>5.4</v>
      </c>
      <c r="CS45" s="2">
        <f xml:space="preserve">  _xlfn.XLOOKUP(1,Tabla8[Selec. Solvent],Tabla8[Radius])*COS(CK45)+ _xlfn.XLOOKUP(1,Tabla8[Selec. Solvent],Tabla8[dD])</f>
        <v>16</v>
      </c>
      <c r="CT45" s="2">
        <f xml:space="preserve"> (_xlfn.XLOOKUP(2,Tabla8[Selec. Solvent],Tabla8[Radius]))*SIN(CK45)+ _xlfn.XLOOKUP(2,Tabla8[Selec. Solvent],Tabla8[dD])</f>
        <v>16</v>
      </c>
      <c r="CU45" s="2">
        <f xml:space="preserve"> _xlfn.XLOOKUP(2,Tabla8[Selec. Solvent],Tabla8[Radius])*COS(CK45)+ _xlfn.XLOOKUP(2,Tabla8[Selec. Solvent],Tabla8[dP])</f>
        <v>6.5</v>
      </c>
      <c r="CV45" s="2">
        <f xml:space="preserve"> _xlfn.XLOOKUP(2,Tabla8[Selec. Solvent],Tabla8[Radius])*SIN(CK45)+  _xlfn.XLOOKUP(2,Tabla8[Selec. Solvent],Tabla8[dH])</f>
        <v>2.4</v>
      </c>
      <c r="CW45" s="2">
        <f xml:space="preserve">  _xlfn.XLOOKUP(2,Tabla8[Selec. Solvent],Tabla8[Radius])*COS(CK45)+ _xlfn.XLOOKUP(2,Tabla8[Selec. Solvent],Tabla8[dD])</f>
        <v>16</v>
      </c>
      <c r="CX45" s="2">
        <f xml:space="preserve"> (_xlfn.XLOOKUP(3,Tabla8[Selec. Solvent],Tabla8[Radius]))*SIN(CK45)+ _xlfn.XLOOKUP(3,Tabla8[Selec. Solvent],Tabla8[dD])</f>
        <v>14.8</v>
      </c>
      <c r="CY45" s="2">
        <f xml:space="preserve"> _xlfn.XLOOKUP(3,Tabla8[Selec. Solvent],Tabla8[Radius])*COS(CK45)+ _xlfn.XLOOKUP(3,Tabla8[Selec. Solvent],Tabla8[dP])</f>
        <v>4.2</v>
      </c>
      <c r="CZ45" s="2">
        <f xml:space="preserve"> _xlfn.XLOOKUP(3,Tabla8[Selec. Solvent],Tabla8[Radius])*SIN(CK45)+  _xlfn.XLOOKUP(3,Tabla8[Selec. Solvent],Tabla8[dH])</f>
        <v>5.8</v>
      </c>
      <c r="DA45" s="2">
        <f xml:space="preserve">  _xlfn.XLOOKUP(,Tabla8[Selec. Solvent],Tabla8[Radius])*COS(CK45)+ _xlfn.XLOOKUP(3,Tabla8[Selec. Solvent],Tabla8[dD])</f>
        <v>14.8</v>
      </c>
      <c r="DB45" s="2">
        <f xml:space="preserve"> (_xlfn.XLOOKUP(4,Tabla8[Selec. Solvent],Tabla8[Radius]))*SIN(CK45)+ _xlfn.XLOOKUP(4,Tabla8[Selec. Solvent],Tabla8[dD])</f>
        <v>15.9</v>
      </c>
      <c r="DC45" s="2">
        <f xml:space="preserve"> _xlfn.XLOOKUP(4,Tabla8[Selec. Solvent],Tabla8[Radius])*COS(CK45)+ _xlfn.XLOOKUP(4,Tabla8[Selec. Solvent],Tabla8[dP])</f>
        <v>6</v>
      </c>
      <c r="DD45" s="2">
        <f xml:space="preserve"> _xlfn.XLOOKUP(4,Tabla8[Selec. Solvent],Tabla8[Radius])*SIN(CK45)+  _xlfn.XLOOKUP(4,Tabla8[Selec. Solvent],Tabla8[dH])</f>
        <v>6.6</v>
      </c>
      <c r="DE45" s="2">
        <f xml:space="preserve">  _xlfn.XLOOKUP(4,Tabla8[Selec. Solvent],Tabla8[Radius])*COS(CK45)+ _xlfn.XLOOKUP(4,Tabla8[Selec. Solvent],Tabla8[dD])</f>
        <v>15.9</v>
      </c>
    </row>
    <row r="46" spans="9:109" x14ac:dyDescent="0.25">
      <c r="I46" s="4"/>
      <c r="J46" s="4"/>
      <c r="K46" s="4"/>
      <c r="L46" s="4"/>
      <c r="M46" s="4"/>
      <c r="N46" s="4"/>
      <c r="O46" s="4"/>
      <c r="P46" s="4"/>
      <c r="CJ46" s="2">
        <v>215</v>
      </c>
      <c r="CK46" s="2">
        <f>RADIANS(Tabla3[[#This Row],[Angle º]])</f>
        <v>3.7524578917878086</v>
      </c>
      <c r="CL46" s="2">
        <f t="shared" si="8"/>
        <v>15.4</v>
      </c>
      <c r="CM46" s="2">
        <f t="shared" si="9"/>
        <v>5.4</v>
      </c>
      <c r="CN46" s="2">
        <f t="shared" si="10"/>
        <v>8</v>
      </c>
      <c r="CO46" s="2">
        <f t="shared" si="11"/>
        <v>15.4</v>
      </c>
      <c r="CP46" s="2">
        <f xml:space="preserve"> (_xlfn.XLOOKUP(1,Tabla8[Selec. Solvent],Tabla8[Radius]))*SIN(CK46)+ _xlfn.XLOOKUP(1,Tabla8[Selec. Solvent],Tabla8[dD])</f>
        <v>16</v>
      </c>
      <c r="CQ46" s="2">
        <f xml:space="preserve"> _xlfn.XLOOKUP(1,Tabla8[Selec. Solvent],Tabla8[Radius])*COS(CK46)+ _xlfn.XLOOKUP(1,Tabla8[Selec. Solvent],Tabla8[dP])</f>
        <v>5</v>
      </c>
      <c r="CR46" s="2">
        <f xml:space="preserve"> _xlfn.XLOOKUP(1,Tabla8[Selec. Solvent],Tabla8[Radius])*SIN(CK46)+  _xlfn.XLOOKUP(1,Tabla8[Selec. Solvent],Tabla8[dH])</f>
        <v>5.4</v>
      </c>
      <c r="CS46" s="2">
        <f xml:space="preserve">  _xlfn.XLOOKUP(1,Tabla8[Selec. Solvent],Tabla8[Radius])*COS(CK46)+ _xlfn.XLOOKUP(1,Tabla8[Selec. Solvent],Tabla8[dD])</f>
        <v>16</v>
      </c>
      <c r="CT46" s="2">
        <f xml:space="preserve"> (_xlfn.XLOOKUP(2,Tabla8[Selec. Solvent],Tabla8[Radius]))*SIN(CK46)+ _xlfn.XLOOKUP(2,Tabla8[Selec. Solvent],Tabla8[dD])</f>
        <v>16</v>
      </c>
      <c r="CU46" s="2">
        <f xml:space="preserve"> _xlfn.XLOOKUP(2,Tabla8[Selec. Solvent],Tabla8[Radius])*COS(CK46)+ _xlfn.XLOOKUP(2,Tabla8[Selec. Solvent],Tabla8[dP])</f>
        <v>6.5</v>
      </c>
      <c r="CV46" s="2">
        <f xml:space="preserve"> _xlfn.XLOOKUP(2,Tabla8[Selec. Solvent],Tabla8[Radius])*SIN(CK46)+  _xlfn.XLOOKUP(2,Tabla8[Selec. Solvent],Tabla8[dH])</f>
        <v>2.4</v>
      </c>
      <c r="CW46" s="2">
        <f xml:space="preserve">  _xlfn.XLOOKUP(2,Tabla8[Selec. Solvent],Tabla8[Radius])*COS(CK46)+ _xlfn.XLOOKUP(2,Tabla8[Selec. Solvent],Tabla8[dD])</f>
        <v>16</v>
      </c>
      <c r="CX46" s="2">
        <f xml:space="preserve"> (_xlfn.XLOOKUP(3,Tabla8[Selec. Solvent],Tabla8[Radius]))*SIN(CK46)+ _xlfn.XLOOKUP(3,Tabla8[Selec. Solvent],Tabla8[dD])</f>
        <v>14.8</v>
      </c>
      <c r="CY46" s="2">
        <f xml:space="preserve"> _xlfn.XLOOKUP(3,Tabla8[Selec. Solvent],Tabla8[Radius])*COS(CK46)+ _xlfn.XLOOKUP(3,Tabla8[Selec. Solvent],Tabla8[dP])</f>
        <v>4.2</v>
      </c>
      <c r="CZ46" s="2">
        <f xml:space="preserve"> _xlfn.XLOOKUP(3,Tabla8[Selec. Solvent],Tabla8[Radius])*SIN(CK46)+  _xlfn.XLOOKUP(3,Tabla8[Selec. Solvent],Tabla8[dH])</f>
        <v>5.8</v>
      </c>
      <c r="DA46" s="2">
        <f xml:space="preserve">  _xlfn.XLOOKUP(,Tabla8[Selec. Solvent],Tabla8[Radius])*COS(CK46)+ _xlfn.XLOOKUP(3,Tabla8[Selec. Solvent],Tabla8[dD])</f>
        <v>14.8</v>
      </c>
      <c r="DB46" s="2">
        <f xml:space="preserve"> (_xlfn.XLOOKUP(4,Tabla8[Selec. Solvent],Tabla8[Radius]))*SIN(CK46)+ _xlfn.XLOOKUP(4,Tabla8[Selec. Solvent],Tabla8[dD])</f>
        <v>15.9</v>
      </c>
      <c r="DC46" s="2">
        <f xml:space="preserve"> _xlfn.XLOOKUP(4,Tabla8[Selec. Solvent],Tabla8[Radius])*COS(CK46)+ _xlfn.XLOOKUP(4,Tabla8[Selec. Solvent],Tabla8[dP])</f>
        <v>6</v>
      </c>
      <c r="DD46" s="2">
        <f xml:space="preserve"> _xlfn.XLOOKUP(4,Tabla8[Selec. Solvent],Tabla8[Radius])*SIN(CK46)+  _xlfn.XLOOKUP(4,Tabla8[Selec. Solvent],Tabla8[dH])</f>
        <v>6.6</v>
      </c>
      <c r="DE46" s="2">
        <f xml:space="preserve">  _xlfn.XLOOKUP(4,Tabla8[Selec. Solvent],Tabla8[Radius])*COS(CK46)+ _xlfn.XLOOKUP(4,Tabla8[Selec. Solvent],Tabla8[dD])</f>
        <v>15.9</v>
      </c>
    </row>
    <row r="47" spans="9:109" x14ac:dyDescent="0.25">
      <c r="I47" s="4"/>
      <c r="J47" s="4"/>
      <c r="K47" s="4"/>
      <c r="L47" s="4"/>
      <c r="M47" s="4"/>
      <c r="N47" s="4"/>
      <c r="O47" s="4"/>
      <c r="P47" s="4"/>
      <c r="CJ47" s="2">
        <v>220</v>
      </c>
      <c r="CK47" s="2">
        <f>RADIANS(Tabla3[[#This Row],[Angle º]])</f>
        <v>3.839724354387525</v>
      </c>
      <c r="CL47" s="2">
        <f t="shared" si="8"/>
        <v>15.4</v>
      </c>
      <c r="CM47" s="2">
        <f t="shared" si="9"/>
        <v>5.4</v>
      </c>
      <c r="CN47" s="2">
        <f t="shared" si="10"/>
        <v>8</v>
      </c>
      <c r="CO47" s="2">
        <f t="shared" si="11"/>
        <v>15.4</v>
      </c>
      <c r="CP47" s="2">
        <f xml:space="preserve"> (_xlfn.XLOOKUP(1,Tabla8[Selec. Solvent],Tabla8[Radius]))*SIN(CK47)+ _xlfn.XLOOKUP(1,Tabla8[Selec. Solvent],Tabla8[dD])</f>
        <v>16</v>
      </c>
      <c r="CQ47" s="2">
        <f xml:space="preserve"> _xlfn.XLOOKUP(1,Tabla8[Selec. Solvent],Tabla8[Radius])*COS(CK47)+ _xlfn.XLOOKUP(1,Tabla8[Selec. Solvent],Tabla8[dP])</f>
        <v>5</v>
      </c>
      <c r="CR47" s="2">
        <f xml:space="preserve"> _xlfn.XLOOKUP(1,Tabla8[Selec. Solvent],Tabla8[Radius])*SIN(CK47)+  _xlfn.XLOOKUP(1,Tabla8[Selec. Solvent],Tabla8[dH])</f>
        <v>5.4</v>
      </c>
      <c r="CS47" s="2">
        <f xml:space="preserve">  _xlfn.XLOOKUP(1,Tabla8[Selec. Solvent],Tabla8[Radius])*COS(CK47)+ _xlfn.XLOOKUP(1,Tabla8[Selec. Solvent],Tabla8[dD])</f>
        <v>16</v>
      </c>
      <c r="CT47" s="2">
        <f xml:space="preserve"> (_xlfn.XLOOKUP(2,Tabla8[Selec. Solvent],Tabla8[Radius]))*SIN(CK47)+ _xlfn.XLOOKUP(2,Tabla8[Selec. Solvent],Tabla8[dD])</f>
        <v>16</v>
      </c>
      <c r="CU47" s="2">
        <f xml:space="preserve"> _xlfn.XLOOKUP(2,Tabla8[Selec. Solvent],Tabla8[Radius])*COS(CK47)+ _xlfn.XLOOKUP(2,Tabla8[Selec. Solvent],Tabla8[dP])</f>
        <v>6.5</v>
      </c>
      <c r="CV47" s="2">
        <f xml:space="preserve"> _xlfn.XLOOKUP(2,Tabla8[Selec. Solvent],Tabla8[Radius])*SIN(CK47)+  _xlfn.XLOOKUP(2,Tabla8[Selec. Solvent],Tabla8[dH])</f>
        <v>2.4</v>
      </c>
      <c r="CW47" s="2">
        <f xml:space="preserve">  _xlfn.XLOOKUP(2,Tabla8[Selec. Solvent],Tabla8[Radius])*COS(CK47)+ _xlfn.XLOOKUP(2,Tabla8[Selec. Solvent],Tabla8[dD])</f>
        <v>16</v>
      </c>
      <c r="CX47" s="2">
        <f xml:space="preserve"> (_xlfn.XLOOKUP(3,Tabla8[Selec. Solvent],Tabla8[Radius]))*SIN(CK47)+ _xlfn.XLOOKUP(3,Tabla8[Selec. Solvent],Tabla8[dD])</f>
        <v>14.8</v>
      </c>
      <c r="CY47" s="2">
        <f xml:space="preserve"> _xlfn.XLOOKUP(3,Tabla8[Selec. Solvent],Tabla8[Radius])*COS(CK47)+ _xlfn.XLOOKUP(3,Tabla8[Selec. Solvent],Tabla8[dP])</f>
        <v>4.2</v>
      </c>
      <c r="CZ47" s="2">
        <f xml:space="preserve"> _xlfn.XLOOKUP(3,Tabla8[Selec. Solvent],Tabla8[Radius])*SIN(CK47)+  _xlfn.XLOOKUP(3,Tabla8[Selec. Solvent],Tabla8[dH])</f>
        <v>5.8</v>
      </c>
      <c r="DA47" s="2">
        <f xml:space="preserve">  _xlfn.XLOOKUP(,Tabla8[Selec. Solvent],Tabla8[Radius])*COS(CK47)+ _xlfn.XLOOKUP(3,Tabla8[Selec. Solvent],Tabla8[dD])</f>
        <v>14.8</v>
      </c>
      <c r="DB47" s="2">
        <f xml:space="preserve"> (_xlfn.XLOOKUP(4,Tabla8[Selec. Solvent],Tabla8[Radius]))*SIN(CK47)+ _xlfn.XLOOKUP(4,Tabla8[Selec. Solvent],Tabla8[dD])</f>
        <v>15.9</v>
      </c>
      <c r="DC47" s="2">
        <f xml:space="preserve"> _xlfn.XLOOKUP(4,Tabla8[Selec. Solvent],Tabla8[Radius])*COS(CK47)+ _xlfn.XLOOKUP(4,Tabla8[Selec. Solvent],Tabla8[dP])</f>
        <v>6</v>
      </c>
      <c r="DD47" s="2">
        <f xml:space="preserve"> _xlfn.XLOOKUP(4,Tabla8[Selec. Solvent],Tabla8[Radius])*SIN(CK47)+  _xlfn.XLOOKUP(4,Tabla8[Selec. Solvent],Tabla8[dH])</f>
        <v>6.6</v>
      </c>
      <c r="DE47" s="2">
        <f xml:space="preserve">  _xlfn.XLOOKUP(4,Tabla8[Selec. Solvent],Tabla8[Radius])*COS(CK47)+ _xlfn.XLOOKUP(4,Tabla8[Selec. Solvent],Tabla8[dD])</f>
        <v>15.9</v>
      </c>
    </row>
    <row r="48" spans="9:109" x14ac:dyDescent="0.25">
      <c r="I48" s="4"/>
      <c r="J48" s="4"/>
      <c r="K48" s="4"/>
      <c r="L48" s="4"/>
      <c r="M48" s="4"/>
      <c r="N48" s="4"/>
      <c r="O48" s="4"/>
      <c r="P48" s="4"/>
      <c r="CJ48" s="2">
        <v>225</v>
      </c>
      <c r="CK48" s="2">
        <f>RADIANS(Tabla3[[#This Row],[Angle º]])</f>
        <v>3.9269908169872414</v>
      </c>
      <c r="CL48" s="2">
        <f t="shared" si="8"/>
        <v>15.4</v>
      </c>
      <c r="CM48" s="2">
        <f t="shared" si="9"/>
        <v>5.4</v>
      </c>
      <c r="CN48" s="2">
        <f t="shared" si="10"/>
        <v>8</v>
      </c>
      <c r="CO48" s="2">
        <f t="shared" si="11"/>
        <v>15.4</v>
      </c>
      <c r="CP48" s="2">
        <f xml:space="preserve"> (_xlfn.XLOOKUP(1,Tabla8[Selec. Solvent],Tabla8[Radius]))*SIN(CK48)+ _xlfn.XLOOKUP(1,Tabla8[Selec. Solvent],Tabla8[dD])</f>
        <v>16</v>
      </c>
      <c r="CQ48" s="2">
        <f xml:space="preserve"> _xlfn.XLOOKUP(1,Tabla8[Selec. Solvent],Tabla8[Radius])*COS(CK48)+ _xlfn.XLOOKUP(1,Tabla8[Selec. Solvent],Tabla8[dP])</f>
        <v>5</v>
      </c>
      <c r="CR48" s="2">
        <f xml:space="preserve"> _xlfn.XLOOKUP(1,Tabla8[Selec. Solvent],Tabla8[Radius])*SIN(CK48)+  _xlfn.XLOOKUP(1,Tabla8[Selec. Solvent],Tabla8[dH])</f>
        <v>5.4</v>
      </c>
      <c r="CS48" s="2">
        <f xml:space="preserve">  _xlfn.XLOOKUP(1,Tabla8[Selec. Solvent],Tabla8[Radius])*COS(CK48)+ _xlfn.XLOOKUP(1,Tabla8[Selec. Solvent],Tabla8[dD])</f>
        <v>16</v>
      </c>
      <c r="CT48" s="2">
        <f xml:space="preserve"> (_xlfn.XLOOKUP(2,Tabla8[Selec. Solvent],Tabla8[Radius]))*SIN(CK48)+ _xlfn.XLOOKUP(2,Tabla8[Selec. Solvent],Tabla8[dD])</f>
        <v>16</v>
      </c>
      <c r="CU48" s="2">
        <f xml:space="preserve"> _xlfn.XLOOKUP(2,Tabla8[Selec. Solvent],Tabla8[Radius])*COS(CK48)+ _xlfn.XLOOKUP(2,Tabla8[Selec. Solvent],Tabla8[dP])</f>
        <v>6.5</v>
      </c>
      <c r="CV48" s="2">
        <f xml:space="preserve"> _xlfn.XLOOKUP(2,Tabla8[Selec. Solvent],Tabla8[Radius])*SIN(CK48)+  _xlfn.XLOOKUP(2,Tabla8[Selec. Solvent],Tabla8[dH])</f>
        <v>2.4</v>
      </c>
      <c r="CW48" s="2">
        <f xml:space="preserve">  _xlfn.XLOOKUP(2,Tabla8[Selec. Solvent],Tabla8[Radius])*COS(CK48)+ _xlfn.XLOOKUP(2,Tabla8[Selec. Solvent],Tabla8[dD])</f>
        <v>16</v>
      </c>
      <c r="CX48" s="2">
        <f xml:space="preserve"> (_xlfn.XLOOKUP(3,Tabla8[Selec. Solvent],Tabla8[Radius]))*SIN(CK48)+ _xlfn.XLOOKUP(3,Tabla8[Selec. Solvent],Tabla8[dD])</f>
        <v>14.8</v>
      </c>
      <c r="CY48" s="2">
        <f xml:space="preserve"> _xlfn.XLOOKUP(3,Tabla8[Selec. Solvent],Tabla8[Radius])*COS(CK48)+ _xlfn.XLOOKUP(3,Tabla8[Selec. Solvent],Tabla8[dP])</f>
        <v>4.2</v>
      </c>
      <c r="CZ48" s="2">
        <f xml:space="preserve"> _xlfn.XLOOKUP(3,Tabla8[Selec. Solvent],Tabla8[Radius])*SIN(CK48)+  _xlfn.XLOOKUP(3,Tabla8[Selec. Solvent],Tabla8[dH])</f>
        <v>5.8</v>
      </c>
      <c r="DA48" s="2">
        <f xml:space="preserve">  _xlfn.XLOOKUP(,Tabla8[Selec. Solvent],Tabla8[Radius])*COS(CK48)+ _xlfn.XLOOKUP(3,Tabla8[Selec. Solvent],Tabla8[dD])</f>
        <v>14.8</v>
      </c>
      <c r="DB48" s="2">
        <f xml:space="preserve"> (_xlfn.XLOOKUP(4,Tabla8[Selec. Solvent],Tabla8[Radius]))*SIN(CK48)+ _xlfn.XLOOKUP(4,Tabla8[Selec. Solvent],Tabla8[dD])</f>
        <v>15.9</v>
      </c>
      <c r="DC48" s="2">
        <f xml:space="preserve"> _xlfn.XLOOKUP(4,Tabla8[Selec. Solvent],Tabla8[Radius])*COS(CK48)+ _xlfn.XLOOKUP(4,Tabla8[Selec. Solvent],Tabla8[dP])</f>
        <v>6</v>
      </c>
      <c r="DD48" s="2">
        <f xml:space="preserve"> _xlfn.XLOOKUP(4,Tabla8[Selec. Solvent],Tabla8[Radius])*SIN(CK48)+  _xlfn.XLOOKUP(4,Tabla8[Selec. Solvent],Tabla8[dH])</f>
        <v>6.6</v>
      </c>
      <c r="DE48" s="2">
        <f xml:space="preserve">  _xlfn.XLOOKUP(4,Tabla8[Selec. Solvent],Tabla8[Radius])*COS(CK48)+ _xlfn.XLOOKUP(4,Tabla8[Selec. Solvent],Tabla8[dD])</f>
        <v>15.9</v>
      </c>
    </row>
    <row r="49" spans="9:109" x14ac:dyDescent="0.25">
      <c r="I49" s="4"/>
      <c r="J49" s="4"/>
      <c r="K49" s="4"/>
      <c r="L49" s="4"/>
      <c r="M49" s="4"/>
      <c r="N49" s="4"/>
      <c r="O49" s="4"/>
      <c r="P49" s="4"/>
      <c r="CJ49" s="2">
        <v>230</v>
      </c>
      <c r="CK49" s="2">
        <f>RADIANS(Tabla3[[#This Row],[Angle º]])</f>
        <v>4.0142572795869578</v>
      </c>
      <c r="CL49" s="2">
        <f t="shared" si="8"/>
        <v>15.4</v>
      </c>
      <c r="CM49" s="2">
        <f t="shared" si="9"/>
        <v>5.4</v>
      </c>
      <c r="CN49" s="2">
        <f t="shared" si="10"/>
        <v>8</v>
      </c>
      <c r="CO49" s="2">
        <f t="shared" si="11"/>
        <v>15.4</v>
      </c>
      <c r="CP49" s="2">
        <f xml:space="preserve"> (_xlfn.XLOOKUP(1,Tabla8[Selec. Solvent],Tabla8[Radius]))*SIN(CK49)+ _xlfn.XLOOKUP(1,Tabla8[Selec. Solvent],Tabla8[dD])</f>
        <v>16</v>
      </c>
      <c r="CQ49" s="2">
        <f xml:space="preserve"> _xlfn.XLOOKUP(1,Tabla8[Selec. Solvent],Tabla8[Radius])*COS(CK49)+ _xlfn.XLOOKUP(1,Tabla8[Selec. Solvent],Tabla8[dP])</f>
        <v>5</v>
      </c>
      <c r="CR49" s="2">
        <f xml:space="preserve"> _xlfn.XLOOKUP(1,Tabla8[Selec. Solvent],Tabla8[Radius])*SIN(CK49)+  _xlfn.XLOOKUP(1,Tabla8[Selec. Solvent],Tabla8[dH])</f>
        <v>5.4</v>
      </c>
      <c r="CS49" s="2">
        <f xml:space="preserve">  _xlfn.XLOOKUP(1,Tabla8[Selec. Solvent],Tabla8[Radius])*COS(CK49)+ _xlfn.XLOOKUP(1,Tabla8[Selec. Solvent],Tabla8[dD])</f>
        <v>16</v>
      </c>
      <c r="CT49" s="2">
        <f xml:space="preserve"> (_xlfn.XLOOKUP(2,Tabla8[Selec. Solvent],Tabla8[Radius]))*SIN(CK49)+ _xlfn.XLOOKUP(2,Tabla8[Selec. Solvent],Tabla8[dD])</f>
        <v>16</v>
      </c>
      <c r="CU49" s="2">
        <f xml:space="preserve"> _xlfn.XLOOKUP(2,Tabla8[Selec. Solvent],Tabla8[Radius])*COS(CK49)+ _xlfn.XLOOKUP(2,Tabla8[Selec. Solvent],Tabla8[dP])</f>
        <v>6.5</v>
      </c>
      <c r="CV49" s="2">
        <f xml:space="preserve"> _xlfn.XLOOKUP(2,Tabla8[Selec. Solvent],Tabla8[Radius])*SIN(CK49)+  _xlfn.XLOOKUP(2,Tabla8[Selec. Solvent],Tabla8[dH])</f>
        <v>2.4</v>
      </c>
      <c r="CW49" s="2">
        <f xml:space="preserve">  _xlfn.XLOOKUP(2,Tabla8[Selec. Solvent],Tabla8[Radius])*COS(CK49)+ _xlfn.XLOOKUP(2,Tabla8[Selec. Solvent],Tabla8[dD])</f>
        <v>16</v>
      </c>
      <c r="CX49" s="2">
        <f xml:space="preserve"> (_xlfn.XLOOKUP(3,Tabla8[Selec. Solvent],Tabla8[Radius]))*SIN(CK49)+ _xlfn.XLOOKUP(3,Tabla8[Selec. Solvent],Tabla8[dD])</f>
        <v>14.8</v>
      </c>
      <c r="CY49" s="2">
        <f xml:space="preserve"> _xlfn.XLOOKUP(3,Tabla8[Selec. Solvent],Tabla8[Radius])*COS(CK49)+ _xlfn.XLOOKUP(3,Tabla8[Selec. Solvent],Tabla8[dP])</f>
        <v>4.2</v>
      </c>
      <c r="CZ49" s="2">
        <f xml:space="preserve"> _xlfn.XLOOKUP(3,Tabla8[Selec. Solvent],Tabla8[Radius])*SIN(CK49)+  _xlfn.XLOOKUP(3,Tabla8[Selec. Solvent],Tabla8[dH])</f>
        <v>5.8</v>
      </c>
      <c r="DA49" s="2">
        <f xml:space="preserve">  _xlfn.XLOOKUP(,Tabla8[Selec. Solvent],Tabla8[Radius])*COS(CK49)+ _xlfn.XLOOKUP(3,Tabla8[Selec. Solvent],Tabla8[dD])</f>
        <v>14.8</v>
      </c>
      <c r="DB49" s="2">
        <f xml:space="preserve"> (_xlfn.XLOOKUP(4,Tabla8[Selec. Solvent],Tabla8[Radius]))*SIN(CK49)+ _xlfn.XLOOKUP(4,Tabla8[Selec. Solvent],Tabla8[dD])</f>
        <v>15.9</v>
      </c>
      <c r="DC49" s="2">
        <f xml:space="preserve"> _xlfn.XLOOKUP(4,Tabla8[Selec. Solvent],Tabla8[Radius])*COS(CK49)+ _xlfn.XLOOKUP(4,Tabla8[Selec. Solvent],Tabla8[dP])</f>
        <v>6</v>
      </c>
      <c r="DD49" s="2">
        <f xml:space="preserve"> _xlfn.XLOOKUP(4,Tabla8[Selec. Solvent],Tabla8[Radius])*SIN(CK49)+  _xlfn.XLOOKUP(4,Tabla8[Selec. Solvent],Tabla8[dH])</f>
        <v>6.6</v>
      </c>
      <c r="DE49" s="2">
        <f xml:space="preserve">  _xlfn.XLOOKUP(4,Tabla8[Selec. Solvent],Tabla8[Radius])*COS(CK49)+ _xlfn.XLOOKUP(4,Tabla8[Selec. Solvent],Tabla8[dD])</f>
        <v>15.9</v>
      </c>
    </row>
    <row r="50" spans="9:109" x14ac:dyDescent="0.25">
      <c r="I50" s="4"/>
      <c r="J50" s="4"/>
      <c r="K50" s="4"/>
      <c r="L50" s="4"/>
      <c r="M50" s="4"/>
      <c r="N50" s="4"/>
      <c r="O50" s="4"/>
      <c r="P50" s="4"/>
      <c r="CJ50" s="2">
        <v>235</v>
      </c>
      <c r="CK50" s="2">
        <f>RADIANS(Tabla3[[#This Row],[Angle º]])</f>
        <v>4.1015237421866741</v>
      </c>
      <c r="CL50" s="2">
        <f t="shared" si="8"/>
        <v>15.4</v>
      </c>
      <c r="CM50" s="2">
        <f t="shared" si="9"/>
        <v>5.4</v>
      </c>
      <c r="CN50" s="2">
        <f t="shared" si="10"/>
        <v>8</v>
      </c>
      <c r="CO50" s="2">
        <f t="shared" si="11"/>
        <v>15.4</v>
      </c>
      <c r="CP50" s="2">
        <f xml:space="preserve"> (_xlfn.XLOOKUP(1,Tabla8[Selec. Solvent],Tabla8[Radius]))*SIN(CK50)+ _xlfn.XLOOKUP(1,Tabla8[Selec. Solvent],Tabla8[dD])</f>
        <v>16</v>
      </c>
      <c r="CQ50" s="2">
        <f xml:space="preserve"> _xlfn.XLOOKUP(1,Tabla8[Selec. Solvent],Tabla8[Radius])*COS(CK50)+ _xlfn.XLOOKUP(1,Tabla8[Selec. Solvent],Tabla8[dP])</f>
        <v>5</v>
      </c>
      <c r="CR50" s="2">
        <f xml:space="preserve"> _xlfn.XLOOKUP(1,Tabla8[Selec. Solvent],Tabla8[Radius])*SIN(CK50)+  _xlfn.XLOOKUP(1,Tabla8[Selec. Solvent],Tabla8[dH])</f>
        <v>5.4</v>
      </c>
      <c r="CS50" s="2">
        <f xml:space="preserve">  _xlfn.XLOOKUP(1,Tabla8[Selec. Solvent],Tabla8[Radius])*COS(CK50)+ _xlfn.XLOOKUP(1,Tabla8[Selec. Solvent],Tabla8[dD])</f>
        <v>16</v>
      </c>
      <c r="CT50" s="2">
        <f xml:space="preserve"> (_xlfn.XLOOKUP(2,Tabla8[Selec. Solvent],Tabla8[Radius]))*SIN(CK50)+ _xlfn.XLOOKUP(2,Tabla8[Selec. Solvent],Tabla8[dD])</f>
        <v>16</v>
      </c>
      <c r="CU50" s="2">
        <f xml:space="preserve"> _xlfn.XLOOKUP(2,Tabla8[Selec. Solvent],Tabla8[Radius])*COS(CK50)+ _xlfn.XLOOKUP(2,Tabla8[Selec. Solvent],Tabla8[dP])</f>
        <v>6.5</v>
      </c>
      <c r="CV50" s="2">
        <f xml:space="preserve"> _xlfn.XLOOKUP(2,Tabla8[Selec. Solvent],Tabla8[Radius])*SIN(CK50)+  _xlfn.XLOOKUP(2,Tabla8[Selec. Solvent],Tabla8[dH])</f>
        <v>2.4</v>
      </c>
      <c r="CW50" s="2">
        <f xml:space="preserve">  _xlfn.XLOOKUP(2,Tabla8[Selec. Solvent],Tabla8[Radius])*COS(CK50)+ _xlfn.XLOOKUP(2,Tabla8[Selec. Solvent],Tabla8[dD])</f>
        <v>16</v>
      </c>
      <c r="CX50" s="2">
        <f xml:space="preserve"> (_xlfn.XLOOKUP(3,Tabla8[Selec. Solvent],Tabla8[Radius]))*SIN(CK50)+ _xlfn.XLOOKUP(3,Tabla8[Selec. Solvent],Tabla8[dD])</f>
        <v>14.8</v>
      </c>
      <c r="CY50" s="2">
        <f xml:space="preserve"> _xlfn.XLOOKUP(3,Tabla8[Selec. Solvent],Tabla8[Radius])*COS(CK50)+ _xlfn.XLOOKUP(3,Tabla8[Selec. Solvent],Tabla8[dP])</f>
        <v>4.2</v>
      </c>
      <c r="CZ50" s="2">
        <f xml:space="preserve"> _xlfn.XLOOKUP(3,Tabla8[Selec. Solvent],Tabla8[Radius])*SIN(CK50)+  _xlfn.XLOOKUP(3,Tabla8[Selec. Solvent],Tabla8[dH])</f>
        <v>5.8</v>
      </c>
      <c r="DA50" s="2">
        <f xml:space="preserve">  _xlfn.XLOOKUP(,Tabla8[Selec. Solvent],Tabla8[Radius])*COS(CK50)+ _xlfn.XLOOKUP(3,Tabla8[Selec. Solvent],Tabla8[dD])</f>
        <v>14.8</v>
      </c>
      <c r="DB50" s="2">
        <f xml:space="preserve"> (_xlfn.XLOOKUP(4,Tabla8[Selec. Solvent],Tabla8[Radius]))*SIN(CK50)+ _xlfn.XLOOKUP(4,Tabla8[Selec. Solvent],Tabla8[dD])</f>
        <v>15.9</v>
      </c>
      <c r="DC50" s="2">
        <f xml:space="preserve"> _xlfn.XLOOKUP(4,Tabla8[Selec. Solvent],Tabla8[Radius])*COS(CK50)+ _xlfn.XLOOKUP(4,Tabla8[Selec. Solvent],Tabla8[dP])</f>
        <v>6</v>
      </c>
      <c r="DD50" s="2">
        <f xml:space="preserve"> _xlfn.XLOOKUP(4,Tabla8[Selec. Solvent],Tabla8[Radius])*SIN(CK50)+  _xlfn.XLOOKUP(4,Tabla8[Selec. Solvent],Tabla8[dH])</f>
        <v>6.6</v>
      </c>
      <c r="DE50" s="2">
        <f xml:space="preserve">  _xlfn.XLOOKUP(4,Tabla8[Selec. Solvent],Tabla8[Radius])*COS(CK50)+ _xlfn.XLOOKUP(4,Tabla8[Selec. Solvent],Tabla8[dD])</f>
        <v>15.9</v>
      </c>
    </row>
    <row r="51" spans="9:109" x14ac:dyDescent="0.25">
      <c r="I51" s="4"/>
      <c r="J51" s="4"/>
      <c r="K51" s="4"/>
      <c r="L51" s="4"/>
      <c r="M51" s="4"/>
      <c r="N51" s="4"/>
      <c r="O51" s="4"/>
      <c r="P51" s="4"/>
      <c r="CJ51" s="2">
        <v>240</v>
      </c>
      <c r="CK51" s="2">
        <f>RADIANS(Tabla3[[#This Row],[Angle º]])</f>
        <v>4.1887902047863905</v>
      </c>
      <c r="CL51" s="2">
        <f t="shared" si="8"/>
        <v>15.4</v>
      </c>
      <c r="CM51" s="2">
        <f t="shared" si="9"/>
        <v>5.4</v>
      </c>
      <c r="CN51" s="2">
        <f t="shared" si="10"/>
        <v>8</v>
      </c>
      <c r="CO51" s="2">
        <f t="shared" si="11"/>
        <v>15.4</v>
      </c>
      <c r="CP51" s="2">
        <f xml:space="preserve"> (_xlfn.XLOOKUP(1,Tabla8[Selec. Solvent],Tabla8[Radius]))*SIN(CK51)+ _xlfn.XLOOKUP(1,Tabla8[Selec. Solvent],Tabla8[dD])</f>
        <v>16</v>
      </c>
      <c r="CQ51" s="2">
        <f xml:space="preserve"> _xlfn.XLOOKUP(1,Tabla8[Selec. Solvent],Tabla8[Radius])*COS(CK51)+ _xlfn.XLOOKUP(1,Tabla8[Selec. Solvent],Tabla8[dP])</f>
        <v>5</v>
      </c>
      <c r="CR51" s="2">
        <f xml:space="preserve"> _xlfn.XLOOKUP(1,Tabla8[Selec. Solvent],Tabla8[Radius])*SIN(CK51)+  _xlfn.XLOOKUP(1,Tabla8[Selec. Solvent],Tabla8[dH])</f>
        <v>5.4</v>
      </c>
      <c r="CS51" s="2">
        <f xml:space="preserve">  _xlfn.XLOOKUP(1,Tabla8[Selec. Solvent],Tabla8[Radius])*COS(CK51)+ _xlfn.XLOOKUP(1,Tabla8[Selec. Solvent],Tabla8[dD])</f>
        <v>16</v>
      </c>
      <c r="CT51" s="2">
        <f xml:space="preserve"> (_xlfn.XLOOKUP(2,Tabla8[Selec. Solvent],Tabla8[Radius]))*SIN(CK51)+ _xlfn.XLOOKUP(2,Tabla8[Selec. Solvent],Tabla8[dD])</f>
        <v>16</v>
      </c>
      <c r="CU51" s="2">
        <f xml:space="preserve"> _xlfn.XLOOKUP(2,Tabla8[Selec. Solvent],Tabla8[Radius])*COS(CK51)+ _xlfn.XLOOKUP(2,Tabla8[Selec. Solvent],Tabla8[dP])</f>
        <v>6.5</v>
      </c>
      <c r="CV51" s="2">
        <f xml:space="preserve"> _xlfn.XLOOKUP(2,Tabla8[Selec. Solvent],Tabla8[Radius])*SIN(CK51)+  _xlfn.XLOOKUP(2,Tabla8[Selec. Solvent],Tabla8[dH])</f>
        <v>2.4</v>
      </c>
      <c r="CW51" s="2">
        <f xml:space="preserve">  _xlfn.XLOOKUP(2,Tabla8[Selec. Solvent],Tabla8[Radius])*COS(CK51)+ _xlfn.XLOOKUP(2,Tabla8[Selec. Solvent],Tabla8[dD])</f>
        <v>16</v>
      </c>
      <c r="CX51" s="2">
        <f xml:space="preserve"> (_xlfn.XLOOKUP(3,Tabla8[Selec. Solvent],Tabla8[Radius]))*SIN(CK51)+ _xlfn.XLOOKUP(3,Tabla8[Selec. Solvent],Tabla8[dD])</f>
        <v>14.8</v>
      </c>
      <c r="CY51" s="2">
        <f xml:space="preserve"> _xlfn.XLOOKUP(3,Tabla8[Selec. Solvent],Tabla8[Radius])*COS(CK51)+ _xlfn.XLOOKUP(3,Tabla8[Selec. Solvent],Tabla8[dP])</f>
        <v>4.2</v>
      </c>
      <c r="CZ51" s="2">
        <f xml:space="preserve"> _xlfn.XLOOKUP(3,Tabla8[Selec. Solvent],Tabla8[Radius])*SIN(CK51)+  _xlfn.XLOOKUP(3,Tabla8[Selec. Solvent],Tabla8[dH])</f>
        <v>5.8</v>
      </c>
      <c r="DA51" s="2">
        <f xml:space="preserve">  _xlfn.XLOOKUP(,Tabla8[Selec. Solvent],Tabla8[Radius])*COS(CK51)+ _xlfn.XLOOKUP(3,Tabla8[Selec. Solvent],Tabla8[dD])</f>
        <v>14.8</v>
      </c>
      <c r="DB51" s="2">
        <f xml:space="preserve"> (_xlfn.XLOOKUP(4,Tabla8[Selec. Solvent],Tabla8[Radius]))*SIN(CK51)+ _xlfn.XLOOKUP(4,Tabla8[Selec. Solvent],Tabla8[dD])</f>
        <v>15.9</v>
      </c>
      <c r="DC51" s="2">
        <f xml:space="preserve"> _xlfn.XLOOKUP(4,Tabla8[Selec. Solvent],Tabla8[Radius])*COS(CK51)+ _xlfn.XLOOKUP(4,Tabla8[Selec. Solvent],Tabla8[dP])</f>
        <v>6</v>
      </c>
      <c r="DD51" s="2">
        <f xml:space="preserve"> _xlfn.XLOOKUP(4,Tabla8[Selec. Solvent],Tabla8[Radius])*SIN(CK51)+  _xlfn.XLOOKUP(4,Tabla8[Selec. Solvent],Tabla8[dH])</f>
        <v>6.6</v>
      </c>
      <c r="DE51" s="2">
        <f xml:space="preserve">  _xlfn.XLOOKUP(4,Tabla8[Selec. Solvent],Tabla8[Radius])*COS(CK51)+ _xlfn.XLOOKUP(4,Tabla8[Selec. Solvent],Tabla8[dD])</f>
        <v>15.9</v>
      </c>
    </row>
    <row r="52" spans="9:109" x14ac:dyDescent="0.25">
      <c r="I52" s="4"/>
      <c r="J52" s="4"/>
      <c r="K52" s="4"/>
      <c r="L52" s="4"/>
      <c r="M52" s="4"/>
      <c r="N52" s="4"/>
      <c r="O52" s="4"/>
      <c r="P52" s="4"/>
      <c r="CJ52" s="2">
        <v>245</v>
      </c>
      <c r="CK52" s="2">
        <f>RADIANS(Tabla3[[#This Row],[Angle º]])</f>
        <v>4.2760566673861078</v>
      </c>
      <c r="CL52" s="2">
        <f t="shared" si="8"/>
        <v>15.4</v>
      </c>
      <c r="CM52" s="2">
        <f t="shared" si="9"/>
        <v>5.4</v>
      </c>
      <c r="CN52" s="2">
        <f t="shared" si="10"/>
        <v>8</v>
      </c>
      <c r="CO52" s="2">
        <f t="shared" si="11"/>
        <v>15.4</v>
      </c>
      <c r="CP52" s="2">
        <f xml:space="preserve"> (_xlfn.XLOOKUP(1,Tabla8[Selec. Solvent],Tabla8[Radius]))*SIN(CK52)+ _xlfn.XLOOKUP(1,Tabla8[Selec. Solvent],Tabla8[dD])</f>
        <v>16</v>
      </c>
      <c r="CQ52" s="2">
        <f xml:space="preserve"> _xlfn.XLOOKUP(1,Tabla8[Selec. Solvent],Tabla8[Radius])*COS(CK52)+ _xlfn.XLOOKUP(1,Tabla8[Selec. Solvent],Tabla8[dP])</f>
        <v>5</v>
      </c>
      <c r="CR52" s="2">
        <f xml:space="preserve"> _xlfn.XLOOKUP(1,Tabla8[Selec. Solvent],Tabla8[Radius])*SIN(CK52)+  _xlfn.XLOOKUP(1,Tabla8[Selec. Solvent],Tabla8[dH])</f>
        <v>5.4</v>
      </c>
      <c r="CS52" s="2">
        <f xml:space="preserve">  _xlfn.XLOOKUP(1,Tabla8[Selec. Solvent],Tabla8[Radius])*COS(CK52)+ _xlfn.XLOOKUP(1,Tabla8[Selec. Solvent],Tabla8[dD])</f>
        <v>16</v>
      </c>
      <c r="CT52" s="2">
        <f xml:space="preserve"> (_xlfn.XLOOKUP(2,Tabla8[Selec. Solvent],Tabla8[Radius]))*SIN(CK52)+ _xlfn.XLOOKUP(2,Tabla8[Selec. Solvent],Tabla8[dD])</f>
        <v>16</v>
      </c>
      <c r="CU52" s="2">
        <f xml:space="preserve"> _xlfn.XLOOKUP(2,Tabla8[Selec. Solvent],Tabla8[Radius])*COS(CK52)+ _xlfn.XLOOKUP(2,Tabla8[Selec. Solvent],Tabla8[dP])</f>
        <v>6.5</v>
      </c>
      <c r="CV52" s="2">
        <f xml:space="preserve"> _xlfn.XLOOKUP(2,Tabla8[Selec. Solvent],Tabla8[Radius])*SIN(CK52)+  _xlfn.XLOOKUP(2,Tabla8[Selec. Solvent],Tabla8[dH])</f>
        <v>2.4</v>
      </c>
      <c r="CW52" s="2">
        <f xml:space="preserve">  _xlfn.XLOOKUP(2,Tabla8[Selec. Solvent],Tabla8[Radius])*COS(CK52)+ _xlfn.XLOOKUP(2,Tabla8[Selec. Solvent],Tabla8[dD])</f>
        <v>16</v>
      </c>
      <c r="CX52" s="2">
        <f xml:space="preserve"> (_xlfn.XLOOKUP(3,Tabla8[Selec. Solvent],Tabla8[Radius]))*SIN(CK52)+ _xlfn.XLOOKUP(3,Tabla8[Selec. Solvent],Tabla8[dD])</f>
        <v>14.8</v>
      </c>
      <c r="CY52" s="2">
        <f xml:space="preserve"> _xlfn.XLOOKUP(3,Tabla8[Selec. Solvent],Tabla8[Radius])*COS(CK52)+ _xlfn.XLOOKUP(3,Tabla8[Selec. Solvent],Tabla8[dP])</f>
        <v>4.2</v>
      </c>
      <c r="CZ52" s="2">
        <f xml:space="preserve"> _xlfn.XLOOKUP(3,Tabla8[Selec. Solvent],Tabla8[Radius])*SIN(CK52)+  _xlfn.XLOOKUP(3,Tabla8[Selec. Solvent],Tabla8[dH])</f>
        <v>5.8</v>
      </c>
      <c r="DA52" s="2">
        <f xml:space="preserve">  _xlfn.XLOOKUP(,Tabla8[Selec. Solvent],Tabla8[Radius])*COS(CK52)+ _xlfn.XLOOKUP(3,Tabla8[Selec. Solvent],Tabla8[dD])</f>
        <v>14.8</v>
      </c>
      <c r="DB52" s="2">
        <f xml:space="preserve"> (_xlfn.XLOOKUP(4,Tabla8[Selec. Solvent],Tabla8[Radius]))*SIN(CK52)+ _xlfn.XLOOKUP(4,Tabla8[Selec. Solvent],Tabla8[dD])</f>
        <v>15.9</v>
      </c>
      <c r="DC52" s="2">
        <f xml:space="preserve"> _xlfn.XLOOKUP(4,Tabla8[Selec. Solvent],Tabla8[Radius])*COS(CK52)+ _xlfn.XLOOKUP(4,Tabla8[Selec. Solvent],Tabla8[dP])</f>
        <v>6</v>
      </c>
      <c r="DD52" s="2">
        <f xml:space="preserve"> _xlfn.XLOOKUP(4,Tabla8[Selec. Solvent],Tabla8[Radius])*SIN(CK52)+  _xlfn.XLOOKUP(4,Tabla8[Selec. Solvent],Tabla8[dH])</f>
        <v>6.6</v>
      </c>
      <c r="DE52" s="2">
        <f xml:space="preserve">  _xlfn.XLOOKUP(4,Tabla8[Selec. Solvent],Tabla8[Radius])*COS(CK52)+ _xlfn.XLOOKUP(4,Tabla8[Selec. Solvent],Tabla8[dD])</f>
        <v>15.9</v>
      </c>
    </row>
    <row r="53" spans="9:109" x14ac:dyDescent="0.25">
      <c r="I53" s="4"/>
      <c r="J53" s="4"/>
      <c r="K53" s="4"/>
      <c r="L53" s="4"/>
      <c r="M53" s="4"/>
      <c r="N53" s="4"/>
      <c r="O53" s="4"/>
      <c r="P53" s="4"/>
      <c r="CJ53" s="2">
        <v>250</v>
      </c>
      <c r="CK53" s="2">
        <f>RADIANS(Tabla3[[#This Row],[Angle º]])</f>
        <v>4.3633231299858242</v>
      </c>
      <c r="CL53" s="2">
        <f t="shared" si="8"/>
        <v>15.4</v>
      </c>
      <c r="CM53" s="2">
        <f t="shared" si="9"/>
        <v>5.4</v>
      </c>
      <c r="CN53" s="2">
        <f t="shared" si="10"/>
        <v>8</v>
      </c>
      <c r="CO53" s="2">
        <f t="shared" si="11"/>
        <v>15.4</v>
      </c>
      <c r="CP53" s="2">
        <f xml:space="preserve"> (_xlfn.XLOOKUP(1,Tabla8[Selec. Solvent],Tabla8[Radius]))*SIN(CK53)+ _xlfn.XLOOKUP(1,Tabla8[Selec. Solvent],Tabla8[dD])</f>
        <v>16</v>
      </c>
      <c r="CQ53" s="2">
        <f xml:space="preserve"> _xlfn.XLOOKUP(1,Tabla8[Selec. Solvent],Tabla8[Radius])*COS(CK53)+ _xlfn.XLOOKUP(1,Tabla8[Selec. Solvent],Tabla8[dP])</f>
        <v>5</v>
      </c>
      <c r="CR53" s="2">
        <f xml:space="preserve"> _xlfn.XLOOKUP(1,Tabla8[Selec. Solvent],Tabla8[Radius])*SIN(CK53)+  _xlfn.XLOOKUP(1,Tabla8[Selec. Solvent],Tabla8[dH])</f>
        <v>5.4</v>
      </c>
      <c r="CS53" s="2">
        <f xml:space="preserve">  _xlfn.XLOOKUP(1,Tabla8[Selec. Solvent],Tabla8[Radius])*COS(CK53)+ _xlfn.XLOOKUP(1,Tabla8[Selec. Solvent],Tabla8[dD])</f>
        <v>16</v>
      </c>
      <c r="CT53" s="2">
        <f xml:space="preserve"> (_xlfn.XLOOKUP(2,Tabla8[Selec. Solvent],Tabla8[Radius]))*SIN(CK53)+ _xlfn.XLOOKUP(2,Tabla8[Selec. Solvent],Tabla8[dD])</f>
        <v>16</v>
      </c>
      <c r="CU53" s="2">
        <f xml:space="preserve"> _xlfn.XLOOKUP(2,Tabla8[Selec. Solvent],Tabla8[Radius])*COS(CK53)+ _xlfn.XLOOKUP(2,Tabla8[Selec. Solvent],Tabla8[dP])</f>
        <v>6.5</v>
      </c>
      <c r="CV53" s="2">
        <f xml:space="preserve"> _xlfn.XLOOKUP(2,Tabla8[Selec. Solvent],Tabla8[Radius])*SIN(CK53)+  _xlfn.XLOOKUP(2,Tabla8[Selec. Solvent],Tabla8[dH])</f>
        <v>2.4</v>
      </c>
      <c r="CW53" s="2">
        <f xml:space="preserve">  _xlfn.XLOOKUP(2,Tabla8[Selec. Solvent],Tabla8[Radius])*COS(CK53)+ _xlfn.XLOOKUP(2,Tabla8[Selec. Solvent],Tabla8[dD])</f>
        <v>16</v>
      </c>
      <c r="CX53" s="2">
        <f xml:space="preserve"> (_xlfn.XLOOKUP(3,Tabla8[Selec. Solvent],Tabla8[Radius]))*SIN(CK53)+ _xlfn.XLOOKUP(3,Tabla8[Selec. Solvent],Tabla8[dD])</f>
        <v>14.8</v>
      </c>
      <c r="CY53" s="2">
        <f xml:space="preserve"> _xlfn.XLOOKUP(3,Tabla8[Selec. Solvent],Tabla8[Radius])*COS(CK53)+ _xlfn.XLOOKUP(3,Tabla8[Selec. Solvent],Tabla8[dP])</f>
        <v>4.2</v>
      </c>
      <c r="CZ53" s="2">
        <f xml:space="preserve"> _xlfn.XLOOKUP(3,Tabla8[Selec. Solvent],Tabla8[Radius])*SIN(CK53)+  _xlfn.XLOOKUP(3,Tabla8[Selec. Solvent],Tabla8[dH])</f>
        <v>5.8</v>
      </c>
      <c r="DA53" s="2">
        <f xml:space="preserve">  _xlfn.XLOOKUP(,Tabla8[Selec. Solvent],Tabla8[Radius])*COS(CK53)+ _xlfn.XLOOKUP(3,Tabla8[Selec. Solvent],Tabla8[dD])</f>
        <v>14.8</v>
      </c>
      <c r="DB53" s="2">
        <f xml:space="preserve"> (_xlfn.XLOOKUP(4,Tabla8[Selec. Solvent],Tabla8[Radius]))*SIN(CK53)+ _xlfn.XLOOKUP(4,Tabla8[Selec. Solvent],Tabla8[dD])</f>
        <v>15.9</v>
      </c>
      <c r="DC53" s="2">
        <f xml:space="preserve"> _xlfn.XLOOKUP(4,Tabla8[Selec. Solvent],Tabla8[Radius])*COS(CK53)+ _xlfn.XLOOKUP(4,Tabla8[Selec. Solvent],Tabla8[dP])</f>
        <v>6</v>
      </c>
      <c r="DD53" s="2">
        <f xml:space="preserve"> _xlfn.XLOOKUP(4,Tabla8[Selec. Solvent],Tabla8[Radius])*SIN(CK53)+  _xlfn.XLOOKUP(4,Tabla8[Selec. Solvent],Tabla8[dH])</f>
        <v>6.6</v>
      </c>
      <c r="DE53" s="2">
        <f xml:space="preserve">  _xlfn.XLOOKUP(4,Tabla8[Selec. Solvent],Tabla8[Radius])*COS(CK53)+ _xlfn.XLOOKUP(4,Tabla8[Selec. Solvent],Tabla8[dD])</f>
        <v>15.9</v>
      </c>
    </row>
    <row r="54" spans="9:109" x14ac:dyDescent="0.25">
      <c r="I54" s="4"/>
      <c r="J54" s="4"/>
      <c r="K54" s="4"/>
      <c r="L54" s="4"/>
      <c r="M54" s="4"/>
      <c r="N54" s="4"/>
      <c r="O54" s="4"/>
      <c r="P54" s="4"/>
      <c r="CJ54" s="2">
        <v>255</v>
      </c>
      <c r="CK54" s="2">
        <f>RADIANS(Tabla3[[#This Row],[Angle º]])</f>
        <v>4.4505895925855405</v>
      </c>
      <c r="CL54" s="2">
        <f t="shared" si="8"/>
        <v>15.4</v>
      </c>
      <c r="CM54" s="2">
        <f t="shared" si="9"/>
        <v>5.4</v>
      </c>
      <c r="CN54" s="2">
        <f t="shared" si="10"/>
        <v>8</v>
      </c>
      <c r="CO54" s="2">
        <f t="shared" si="11"/>
        <v>15.4</v>
      </c>
      <c r="CP54" s="2">
        <f xml:space="preserve"> (_xlfn.XLOOKUP(1,Tabla8[Selec. Solvent],Tabla8[Radius]))*SIN(CK54)+ _xlfn.XLOOKUP(1,Tabla8[Selec. Solvent],Tabla8[dD])</f>
        <v>16</v>
      </c>
      <c r="CQ54" s="2">
        <f xml:space="preserve"> _xlfn.XLOOKUP(1,Tabla8[Selec. Solvent],Tabla8[Radius])*COS(CK54)+ _xlfn.XLOOKUP(1,Tabla8[Selec. Solvent],Tabla8[dP])</f>
        <v>5</v>
      </c>
      <c r="CR54" s="2">
        <f xml:space="preserve"> _xlfn.XLOOKUP(1,Tabla8[Selec. Solvent],Tabla8[Radius])*SIN(CK54)+  _xlfn.XLOOKUP(1,Tabla8[Selec. Solvent],Tabla8[dH])</f>
        <v>5.4</v>
      </c>
      <c r="CS54" s="2">
        <f xml:space="preserve">  _xlfn.XLOOKUP(1,Tabla8[Selec. Solvent],Tabla8[Radius])*COS(CK54)+ _xlfn.XLOOKUP(1,Tabla8[Selec. Solvent],Tabla8[dD])</f>
        <v>16</v>
      </c>
      <c r="CT54" s="2">
        <f xml:space="preserve"> (_xlfn.XLOOKUP(2,Tabla8[Selec. Solvent],Tabla8[Radius]))*SIN(CK54)+ _xlfn.XLOOKUP(2,Tabla8[Selec. Solvent],Tabla8[dD])</f>
        <v>16</v>
      </c>
      <c r="CU54" s="2">
        <f xml:space="preserve"> _xlfn.XLOOKUP(2,Tabla8[Selec. Solvent],Tabla8[Radius])*COS(CK54)+ _xlfn.XLOOKUP(2,Tabla8[Selec. Solvent],Tabla8[dP])</f>
        <v>6.5</v>
      </c>
      <c r="CV54" s="2">
        <f xml:space="preserve"> _xlfn.XLOOKUP(2,Tabla8[Selec. Solvent],Tabla8[Radius])*SIN(CK54)+  _xlfn.XLOOKUP(2,Tabla8[Selec. Solvent],Tabla8[dH])</f>
        <v>2.4</v>
      </c>
      <c r="CW54" s="2">
        <f xml:space="preserve">  _xlfn.XLOOKUP(2,Tabla8[Selec. Solvent],Tabla8[Radius])*COS(CK54)+ _xlfn.XLOOKUP(2,Tabla8[Selec. Solvent],Tabla8[dD])</f>
        <v>16</v>
      </c>
      <c r="CX54" s="2">
        <f xml:space="preserve"> (_xlfn.XLOOKUP(3,Tabla8[Selec. Solvent],Tabla8[Radius]))*SIN(CK54)+ _xlfn.XLOOKUP(3,Tabla8[Selec. Solvent],Tabla8[dD])</f>
        <v>14.8</v>
      </c>
      <c r="CY54" s="2">
        <f xml:space="preserve"> _xlfn.XLOOKUP(3,Tabla8[Selec. Solvent],Tabla8[Radius])*COS(CK54)+ _xlfn.XLOOKUP(3,Tabla8[Selec. Solvent],Tabla8[dP])</f>
        <v>4.2</v>
      </c>
      <c r="CZ54" s="2">
        <f xml:space="preserve"> _xlfn.XLOOKUP(3,Tabla8[Selec. Solvent],Tabla8[Radius])*SIN(CK54)+  _xlfn.XLOOKUP(3,Tabla8[Selec. Solvent],Tabla8[dH])</f>
        <v>5.8</v>
      </c>
      <c r="DA54" s="2">
        <f xml:space="preserve">  _xlfn.XLOOKUP(,Tabla8[Selec. Solvent],Tabla8[Radius])*COS(CK54)+ _xlfn.XLOOKUP(3,Tabla8[Selec. Solvent],Tabla8[dD])</f>
        <v>14.8</v>
      </c>
      <c r="DB54" s="2">
        <f xml:space="preserve"> (_xlfn.XLOOKUP(4,Tabla8[Selec. Solvent],Tabla8[Radius]))*SIN(CK54)+ _xlfn.XLOOKUP(4,Tabla8[Selec. Solvent],Tabla8[dD])</f>
        <v>15.9</v>
      </c>
      <c r="DC54" s="2">
        <f xml:space="preserve"> _xlfn.XLOOKUP(4,Tabla8[Selec. Solvent],Tabla8[Radius])*COS(CK54)+ _xlfn.XLOOKUP(4,Tabla8[Selec. Solvent],Tabla8[dP])</f>
        <v>6</v>
      </c>
      <c r="DD54" s="2">
        <f xml:space="preserve"> _xlfn.XLOOKUP(4,Tabla8[Selec. Solvent],Tabla8[Radius])*SIN(CK54)+  _xlfn.XLOOKUP(4,Tabla8[Selec. Solvent],Tabla8[dH])</f>
        <v>6.6</v>
      </c>
      <c r="DE54" s="2">
        <f xml:space="preserve">  _xlfn.XLOOKUP(4,Tabla8[Selec. Solvent],Tabla8[Radius])*COS(CK54)+ _xlfn.XLOOKUP(4,Tabla8[Selec. Solvent],Tabla8[dD])</f>
        <v>15.9</v>
      </c>
    </row>
    <row r="55" spans="9:109" x14ac:dyDescent="0.25">
      <c r="I55" s="4"/>
      <c r="J55" s="4"/>
      <c r="K55" s="4"/>
      <c r="L55" s="4"/>
      <c r="M55" s="4"/>
      <c r="N55" s="4"/>
      <c r="O55" s="4"/>
      <c r="P55" s="4"/>
      <c r="CJ55" s="2">
        <v>260</v>
      </c>
      <c r="CK55" s="2">
        <f>RADIANS(Tabla3[[#This Row],[Angle º]])</f>
        <v>4.5378560551852569</v>
      </c>
      <c r="CL55" s="2">
        <f t="shared" si="8"/>
        <v>15.4</v>
      </c>
      <c r="CM55" s="2">
        <f t="shared" si="9"/>
        <v>5.4</v>
      </c>
      <c r="CN55" s="2">
        <f t="shared" si="10"/>
        <v>8</v>
      </c>
      <c r="CO55" s="2">
        <f t="shared" si="11"/>
        <v>15.4</v>
      </c>
      <c r="CP55" s="2">
        <f xml:space="preserve"> (_xlfn.XLOOKUP(1,Tabla8[Selec. Solvent],Tabla8[Radius]))*SIN(CK55)+ _xlfn.XLOOKUP(1,Tabla8[Selec. Solvent],Tabla8[dD])</f>
        <v>16</v>
      </c>
      <c r="CQ55" s="2">
        <f xml:space="preserve"> _xlfn.XLOOKUP(1,Tabla8[Selec. Solvent],Tabla8[Radius])*COS(CK55)+ _xlfn.XLOOKUP(1,Tabla8[Selec. Solvent],Tabla8[dP])</f>
        <v>5</v>
      </c>
      <c r="CR55" s="2">
        <f xml:space="preserve"> _xlfn.XLOOKUP(1,Tabla8[Selec. Solvent],Tabla8[Radius])*SIN(CK55)+  _xlfn.XLOOKUP(1,Tabla8[Selec. Solvent],Tabla8[dH])</f>
        <v>5.4</v>
      </c>
      <c r="CS55" s="2">
        <f xml:space="preserve">  _xlfn.XLOOKUP(1,Tabla8[Selec. Solvent],Tabla8[Radius])*COS(CK55)+ _xlfn.XLOOKUP(1,Tabla8[Selec. Solvent],Tabla8[dD])</f>
        <v>16</v>
      </c>
      <c r="CT55" s="2">
        <f xml:space="preserve"> (_xlfn.XLOOKUP(2,Tabla8[Selec. Solvent],Tabla8[Radius]))*SIN(CK55)+ _xlfn.XLOOKUP(2,Tabla8[Selec. Solvent],Tabla8[dD])</f>
        <v>16</v>
      </c>
      <c r="CU55" s="2">
        <f xml:space="preserve"> _xlfn.XLOOKUP(2,Tabla8[Selec. Solvent],Tabla8[Radius])*COS(CK55)+ _xlfn.XLOOKUP(2,Tabla8[Selec. Solvent],Tabla8[dP])</f>
        <v>6.5</v>
      </c>
      <c r="CV55" s="2">
        <f xml:space="preserve"> _xlfn.XLOOKUP(2,Tabla8[Selec. Solvent],Tabla8[Radius])*SIN(CK55)+  _xlfn.XLOOKUP(2,Tabla8[Selec. Solvent],Tabla8[dH])</f>
        <v>2.4</v>
      </c>
      <c r="CW55" s="2">
        <f xml:space="preserve">  _xlfn.XLOOKUP(2,Tabla8[Selec. Solvent],Tabla8[Radius])*COS(CK55)+ _xlfn.XLOOKUP(2,Tabla8[Selec. Solvent],Tabla8[dD])</f>
        <v>16</v>
      </c>
      <c r="CX55" s="2">
        <f xml:space="preserve"> (_xlfn.XLOOKUP(3,Tabla8[Selec. Solvent],Tabla8[Radius]))*SIN(CK55)+ _xlfn.XLOOKUP(3,Tabla8[Selec. Solvent],Tabla8[dD])</f>
        <v>14.8</v>
      </c>
      <c r="CY55" s="2">
        <f xml:space="preserve"> _xlfn.XLOOKUP(3,Tabla8[Selec. Solvent],Tabla8[Radius])*COS(CK55)+ _xlfn.XLOOKUP(3,Tabla8[Selec. Solvent],Tabla8[dP])</f>
        <v>4.2</v>
      </c>
      <c r="CZ55" s="2">
        <f xml:space="preserve"> _xlfn.XLOOKUP(3,Tabla8[Selec. Solvent],Tabla8[Radius])*SIN(CK55)+  _xlfn.XLOOKUP(3,Tabla8[Selec. Solvent],Tabla8[dH])</f>
        <v>5.8</v>
      </c>
      <c r="DA55" s="2">
        <f xml:space="preserve">  _xlfn.XLOOKUP(,Tabla8[Selec. Solvent],Tabla8[Radius])*COS(CK55)+ _xlfn.XLOOKUP(3,Tabla8[Selec. Solvent],Tabla8[dD])</f>
        <v>14.8</v>
      </c>
      <c r="DB55" s="2">
        <f xml:space="preserve"> (_xlfn.XLOOKUP(4,Tabla8[Selec. Solvent],Tabla8[Radius]))*SIN(CK55)+ _xlfn.XLOOKUP(4,Tabla8[Selec. Solvent],Tabla8[dD])</f>
        <v>15.9</v>
      </c>
      <c r="DC55" s="2">
        <f xml:space="preserve"> _xlfn.XLOOKUP(4,Tabla8[Selec. Solvent],Tabla8[Radius])*COS(CK55)+ _xlfn.XLOOKUP(4,Tabla8[Selec. Solvent],Tabla8[dP])</f>
        <v>6</v>
      </c>
      <c r="DD55" s="2">
        <f xml:space="preserve"> _xlfn.XLOOKUP(4,Tabla8[Selec. Solvent],Tabla8[Radius])*SIN(CK55)+  _xlfn.XLOOKUP(4,Tabla8[Selec. Solvent],Tabla8[dH])</f>
        <v>6.6</v>
      </c>
      <c r="DE55" s="2">
        <f xml:space="preserve">  _xlfn.XLOOKUP(4,Tabla8[Selec. Solvent],Tabla8[Radius])*COS(CK55)+ _xlfn.XLOOKUP(4,Tabla8[Selec. Solvent],Tabla8[dD])</f>
        <v>15.9</v>
      </c>
    </row>
    <row r="56" spans="9:109" x14ac:dyDescent="0.25">
      <c r="I56" s="4"/>
      <c r="J56" s="4"/>
      <c r="K56" s="4"/>
      <c r="L56" s="4"/>
      <c r="M56" s="4"/>
      <c r="N56" s="4"/>
      <c r="O56" s="4"/>
      <c r="P56" s="4"/>
      <c r="CJ56" s="2">
        <v>265</v>
      </c>
      <c r="CK56" s="2">
        <f>RADIANS(Tabla3[[#This Row],[Angle º]])</f>
        <v>4.6251225177849733</v>
      </c>
      <c r="CL56" s="2">
        <f t="shared" si="8"/>
        <v>15.4</v>
      </c>
      <c r="CM56" s="2">
        <f t="shared" si="9"/>
        <v>5.4</v>
      </c>
      <c r="CN56" s="2">
        <f t="shared" si="10"/>
        <v>8</v>
      </c>
      <c r="CO56" s="2">
        <f t="shared" si="11"/>
        <v>15.4</v>
      </c>
      <c r="CP56" s="2">
        <f xml:space="preserve"> (_xlfn.XLOOKUP(1,Tabla8[Selec. Solvent],Tabla8[Radius]))*SIN(CK56)+ _xlfn.XLOOKUP(1,Tabla8[Selec. Solvent],Tabla8[dD])</f>
        <v>16</v>
      </c>
      <c r="CQ56" s="2">
        <f xml:space="preserve"> _xlfn.XLOOKUP(1,Tabla8[Selec. Solvent],Tabla8[Radius])*COS(CK56)+ _xlfn.XLOOKUP(1,Tabla8[Selec. Solvent],Tabla8[dP])</f>
        <v>5</v>
      </c>
      <c r="CR56" s="2">
        <f xml:space="preserve"> _xlfn.XLOOKUP(1,Tabla8[Selec. Solvent],Tabla8[Radius])*SIN(CK56)+  _xlfn.XLOOKUP(1,Tabla8[Selec. Solvent],Tabla8[dH])</f>
        <v>5.4</v>
      </c>
      <c r="CS56" s="2">
        <f xml:space="preserve">  _xlfn.XLOOKUP(1,Tabla8[Selec. Solvent],Tabla8[Radius])*COS(CK56)+ _xlfn.XLOOKUP(1,Tabla8[Selec. Solvent],Tabla8[dD])</f>
        <v>16</v>
      </c>
      <c r="CT56" s="2">
        <f xml:space="preserve"> (_xlfn.XLOOKUP(2,Tabla8[Selec. Solvent],Tabla8[Radius]))*SIN(CK56)+ _xlfn.XLOOKUP(2,Tabla8[Selec. Solvent],Tabla8[dD])</f>
        <v>16</v>
      </c>
      <c r="CU56" s="2">
        <f xml:space="preserve"> _xlfn.XLOOKUP(2,Tabla8[Selec. Solvent],Tabla8[Radius])*COS(CK56)+ _xlfn.XLOOKUP(2,Tabla8[Selec. Solvent],Tabla8[dP])</f>
        <v>6.5</v>
      </c>
      <c r="CV56" s="2">
        <f xml:space="preserve"> _xlfn.XLOOKUP(2,Tabla8[Selec. Solvent],Tabla8[Radius])*SIN(CK56)+  _xlfn.XLOOKUP(2,Tabla8[Selec. Solvent],Tabla8[dH])</f>
        <v>2.4</v>
      </c>
      <c r="CW56" s="2">
        <f xml:space="preserve">  _xlfn.XLOOKUP(2,Tabla8[Selec. Solvent],Tabla8[Radius])*COS(CK56)+ _xlfn.XLOOKUP(2,Tabla8[Selec. Solvent],Tabla8[dD])</f>
        <v>16</v>
      </c>
      <c r="CX56" s="2">
        <f xml:space="preserve"> (_xlfn.XLOOKUP(3,Tabla8[Selec. Solvent],Tabla8[Radius]))*SIN(CK56)+ _xlfn.XLOOKUP(3,Tabla8[Selec. Solvent],Tabla8[dD])</f>
        <v>14.8</v>
      </c>
      <c r="CY56" s="2">
        <f xml:space="preserve"> _xlfn.XLOOKUP(3,Tabla8[Selec. Solvent],Tabla8[Radius])*COS(CK56)+ _xlfn.XLOOKUP(3,Tabla8[Selec. Solvent],Tabla8[dP])</f>
        <v>4.2</v>
      </c>
      <c r="CZ56" s="2">
        <f xml:space="preserve"> _xlfn.XLOOKUP(3,Tabla8[Selec. Solvent],Tabla8[Radius])*SIN(CK56)+  _xlfn.XLOOKUP(3,Tabla8[Selec. Solvent],Tabla8[dH])</f>
        <v>5.8</v>
      </c>
      <c r="DA56" s="2">
        <f xml:space="preserve">  _xlfn.XLOOKUP(,Tabla8[Selec. Solvent],Tabla8[Radius])*COS(CK56)+ _xlfn.XLOOKUP(3,Tabla8[Selec. Solvent],Tabla8[dD])</f>
        <v>14.8</v>
      </c>
      <c r="DB56" s="2">
        <f xml:space="preserve"> (_xlfn.XLOOKUP(4,Tabla8[Selec. Solvent],Tabla8[Radius]))*SIN(CK56)+ _xlfn.XLOOKUP(4,Tabla8[Selec. Solvent],Tabla8[dD])</f>
        <v>15.9</v>
      </c>
      <c r="DC56" s="2">
        <f xml:space="preserve"> _xlfn.XLOOKUP(4,Tabla8[Selec. Solvent],Tabla8[Radius])*COS(CK56)+ _xlfn.XLOOKUP(4,Tabla8[Selec. Solvent],Tabla8[dP])</f>
        <v>6</v>
      </c>
      <c r="DD56" s="2">
        <f xml:space="preserve"> _xlfn.XLOOKUP(4,Tabla8[Selec. Solvent],Tabla8[Radius])*SIN(CK56)+  _xlfn.XLOOKUP(4,Tabla8[Selec. Solvent],Tabla8[dH])</f>
        <v>6.6</v>
      </c>
      <c r="DE56" s="2">
        <f xml:space="preserve">  _xlfn.XLOOKUP(4,Tabla8[Selec. Solvent],Tabla8[Radius])*COS(CK56)+ _xlfn.XLOOKUP(4,Tabla8[Selec. Solvent],Tabla8[dD])</f>
        <v>15.9</v>
      </c>
    </row>
    <row r="57" spans="9:109" x14ac:dyDescent="0.25">
      <c r="I57" s="4"/>
      <c r="J57" s="4"/>
      <c r="K57" s="4"/>
      <c r="L57" s="4"/>
      <c r="M57" s="4"/>
      <c r="N57" s="4"/>
      <c r="O57" s="4"/>
      <c r="P57" s="4"/>
      <c r="CJ57" s="2">
        <v>270</v>
      </c>
      <c r="CK57" s="2">
        <f>RADIANS(Tabla3[[#This Row],[Angle º]])</f>
        <v>4.7123889803846897</v>
      </c>
      <c r="CL57" s="2">
        <f t="shared" si="8"/>
        <v>15.4</v>
      </c>
      <c r="CM57" s="2">
        <f t="shared" si="9"/>
        <v>5.4</v>
      </c>
      <c r="CN57" s="2">
        <f t="shared" si="10"/>
        <v>8</v>
      </c>
      <c r="CO57" s="2">
        <f t="shared" si="11"/>
        <v>15.4</v>
      </c>
      <c r="CP57" s="2">
        <f xml:space="preserve"> (_xlfn.XLOOKUP(1,Tabla8[Selec. Solvent],Tabla8[Radius]))*SIN(CK57)+ _xlfn.XLOOKUP(1,Tabla8[Selec. Solvent],Tabla8[dD])</f>
        <v>16</v>
      </c>
      <c r="CQ57" s="2">
        <f xml:space="preserve"> _xlfn.XLOOKUP(1,Tabla8[Selec. Solvent],Tabla8[Radius])*COS(CK57)+ _xlfn.XLOOKUP(1,Tabla8[Selec. Solvent],Tabla8[dP])</f>
        <v>5</v>
      </c>
      <c r="CR57" s="2">
        <f xml:space="preserve"> _xlfn.XLOOKUP(1,Tabla8[Selec. Solvent],Tabla8[Radius])*SIN(CK57)+  _xlfn.XLOOKUP(1,Tabla8[Selec. Solvent],Tabla8[dH])</f>
        <v>5.4</v>
      </c>
      <c r="CS57" s="2">
        <f xml:space="preserve">  _xlfn.XLOOKUP(1,Tabla8[Selec. Solvent],Tabla8[Radius])*COS(CK57)+ _xlfn.XLOOKUP(1,Tabla8[Selec. Solvent],Tabla8[dD])</f>
        <v>16</v>
      </c>
      <c r="CT57" s="2">
        <f xml:space="preserve"> (_xlfn.XLOOKUP(2,Tabla8[Selec. Solvent],Tabla8[Radius]))*SIN(CK57)+ _xlfn.XLOOKUP(2,Tabla8[Selec. Solvent],Tabla8[dD])</f>
        <v>16</v>
      </c>
      <c r="CU57" s="2">
        <f xml:space="preserve"> _xlfn.XLOOKUP(2,Tabla8[Selec. Solvent],Tabla8[Radius])*COS(CK57)+ _xlfn.XLOOKUP(2,Tabla8[Selec. Solvent],Tabla8[dP])</f>
        <v>6.5</v>
      </c>
      <c r="CV57" s="2">
        <f xml:space="preserve"> _xlfn.XLOOKUP(2,Tabla8[Selec. Solvent],Tabla8[Radius])*SIN(CK57)+  _xlfn.XLOOKUP(2,Tabla8[Selec. Solvent],Tabla8[dH])</f>
        <v>2.4</v>
      </c>
      <c r="CW57" s="2">
        <f xml:space="preserve">  _xlfn.XLOOKUP(2,Tabla8[Selec. Solvent],Tabla8[Radius])*COS(CK57)+ _xlfn.XLOOKUP(2,Tabla8[Selec. Solvent],Tabla8[dD])</f>
        <v>16</v>
      </c>
      <c r="CX57" s="2">
        <f xml:space="preserve"> (_xlfn.XLOOKUP(3,Tabla8[Selec. Solvent],Tabla8[Radius]))*SIN(CK57)+ _xlfn.XLOOKUP(3,Tabla8[Selec. Solvent],Tabla8[dD])</f>
        <v>14.8</v>
      </c>
      <c r="CY57" s="2">
        <f xml:space="preserve"> _xlfn.XLOOKUP(3,Tabla8[Selec. Solvent],Tabla8[Radius])*COS(CK57)+ _xlfn.XLOOKUP(3,Tabla8[Selec. Solvent],Tabla8[dP])</f>
        <v>4.2</v>
      </c>
      <c r="CZ57" s="2">
        <f xml:space="preserve"> _xlfn.XLOOKUP(3,Tabla8[Selec. Solvent],Tabla8[Radius])*SIN(CK57)+  _xlfn.XLOOKUP(3,Tabla8[Selec. Solvent],Tabla8[dH])</f>
        <v>5.8</v>
      </c>
      <c r="DA57" s="2">
        <f xml:space="preserve">  _xlfn.XLOOKUP(,Tabla8[Selec. Solvent],Tabla8[Radius])*COS(CK57)+ _xlfn.XLOOKUP(3,Tabla8[Selec. Solvent],Tabla8[dD])</f>
        <v>14.8</v>
      </c>
      <c r="DB57" s="2">
        <f xml:space="preserve"> (_xlfn.XLOOKUP(4,Tabla8[Selec. Solvent],Tabla8[Radius]))*SIN(CK57)+ _xlfn.XLOOKUP(4,Tabla8[Selec. Solvent],Tabla8[dD])</f>
        <v>15.9</v>
      </c>
      <c r="DC57" s="2">
        <f xml:space="preserve"> _xlfn.XLOOKUP(4,Tabla8[Selec. Solvent],Tabla8[Radius])*COS(CK57)+ _xlfn.XLOOKUP(4,Tabla8[Selec. Solvent],Tabla8[dP])</f>
        <v>6</v>
      </c>
      <c r="DD57" s="2">
        <f xml:space="preserve"> _xlfn.XLOOKUP(4,Tabla8[Selec. Solvent],Tabla8[Radius])*SIN(CK57)+  _xlfn.XLOOKUP(4,Tabla8[Selec. Solvent],Tabla8[dH])</f>
        <v>6.6</v>
      </c>
      <c r="DE57" s="2">
        <f xml:space="preserve">  _xlfn.XLOOKUP(4,Tabla8[Selec. Solvent],Tabla8[Radius])*COS(CK57)+ _xlfn.XLOOKUP(4,Tabla8[Selec. Solvent],Tabla8[dD])</f>
        <v>15.9</v>
      </c>
    </row>
    <row r="58" spans="9:109" x14ac:dyDescent="0.25">
      <c r="I58" s="4"/>
      <c r="J58" s="4"/>
      <c r="K58" s="4"/>
      <c r="L58" s="4"/>
      <c r="M58" s="4"/>
      <c r="N58" s="4"/>
      <c r="O58" s="4"/>
      <c r="P58" s="4"/>
      <c r="CJ58" s="2">
        <v>275</v>
      </c>
      <c r="CK58" s="2">
        <f>RADIANS(Tabla3[[#This Row],[Angle º]])</f>
        <v>4.7996554429844061</v>
      </c>
      <c r="CL58" s="2">
        <f t="shared" si="8"/>
        <v>15.4</v>
      </c>
      <c r="CM58" s="2">
        <f t="shared" si="9"/>
        <v>5.4</v>
      </c>
      <c r="CN58" s="2">
        <f t="shared" si="10"/>
        <v>8</v>
      </c>
      <c r="CO58" s="2">
        <f t="shared" si="11"/>
        <v>15.4</v>
      </c>
      <c r="CP58" s="2">
        <f xml:space="preserve"> (_xlfn.XLOOKUP(1,Tabla8[Selec. Solvent],Tabla8[Radius]))*SIN(CK58)+ _xlfn.XLOOKUP(1,Tabla8[Selec. Solvent],Tabla8[dD])</f>
        <v>16</v>
      </c>
      <c r="CQ58" s="2">
        <f xml:space="preserve"> _xlfn.XLOOKUP(1,Tabla8[Selec. Solvent],Tabla8[Radius])*COS(CK58)+ _xlfn.XLOOKUP(1,Tabla8[Selec. Solvent],Tabla8[dP])</f>
        <v>5</v>
      </c>
      <c r="CR58" s="2">
        <f xml:space="preserve"> _xlfn.XLOOKUP(1,Tabla8[Selec. Solvent],Tabla8[Radius])*SIN(CK58)+  _xlfn.XLOOKUP(1,Tabla8[Selec. Solvent],Tabla8[dH])</f>
        <v>5.4</v>
      </c>
      <c r="CS58" s="2">
        <f xml:space="preserve">  _xlfn.XLOOKUP(1,Tabla8[Selec. Solvent],Tabla8[Radius])*COS(CK58)+ _xlfn.XLOOKUP(1,Tabla8[Selec. Solvent],Tabla8[dD])</f>
        <v>16</v>
      </c>
      <c r="CT58" s="2">
        <f xml:space="preserve"> (_xlfn.XLOOKUP(2,Tabla8[Selec. Solvent],Tabla8[Radius]))*SIN(CK58)+ _xlfn.XLOOKUP(2,Tabla8[Selec. Solvent],Tabla8[dD])</f>
        <v>16</v>
      </c>
      <c r="CU58" s="2">
        <f xml:space="preserve"> _xlfn.XLOOKUP(2,Tabla8[Selec. Solvent],Tabla8[Radius])*COS(CK58)+ _xlfn.XLOOKUP(2,Tabla8[Selec. Solvent],Tabla8[dP])</f>
        <v>6.5</v>
      </c>
      <c r="CV58" s="2">
        <f xml:space="preserve"> _xlfn.XLOOKUP(2,Tabla8[Selec. Solvent],Tabla8[Radius])*SIN(CK58)+  _xlfn.XLOOKUP(2,Tabla8[Selec. Solvent],Tabla8[dH])</f>
        <v>2.4</v>
      </c>
      <c r="CW58" s="2">
        <f xml:space="preserve">  _xlfn.XLOOKUP(2,Tabla8[Selec. Solvent],Tabla8[Radius])*COS(CK58)+ _xlfn.XLOOKUP(2,Tabla8[Selec. Solvent],Tabla8[dD])</f>
        <v>16</v>
      </c>
      <c r="CX58" s="2">
        <f xml:space="preserve"> (_xlfn.XLOOKUP(3,Tabla8[Selec. Solvent],Tabla8[Radius]))*SIN(CK58)+ _xlfn.XLOOKUP(3,Tabla8[Selec. Solvent],Tabla8[dD])</f>
        <v>14.8</v>
      </c>
      <c r="CY58" s="2">
        <f xml:space="preserve"> _xlfn.XLOOKUP(3,Tabla8[Selec. Solvent],Tabla8[Radius])*COS(CK58)+ _xlfn.XLOOKUP(3,Tabla8[Selec. Solvent],Tabla8[dP])</f>
        <v>4.2</v>
      </c>
      <c r="CZ58" s="2">
        <f xml:space="preserve"> _xlfn.XLOOKUP(3,Tabla8[Selec. Solvent],Tabla8[Radius])*SIN(CK58)+  _xlfn.XLOOKUP(3,Tabla8[Selec. Solvent],Tabla8[dH])</f>
        <v>5.8</v>
      </c>
      <c r="DA58" s="2">
        <f xml:space="preserve">  _xlfn.XLOOKUP(,Tabla8[Selec. Solvent],Tabla8[Radius])*COS(CK58)+ _xlfn.XLOOKUP(3,Tabla8[Selec. Solvent],Tabla8[dD])</f>
        <v>14.8</v>
      </c>
      <c r="DB58" s="2">
        <f xml:space="preserve"> (_xlfn.XLOOKUP(4,Tabla8[Selec. Solvent],Tabla8[Radius]))*SIN(CK58)+ _xlfn.XLOOKUP(4,Tabla8[Selec. Solvent],Tabla8[dD])</f>
        <v>15.9</v>
      </c>
      <c r="DC58" s="2">
        <f xml:space="preserve"> _xlfn.XLOOKUP(4,Tabla8[Selec. Solvent],Tabla8[Radius])*COS(CK58)+ _xlfn.XLOOKUP(4,Tabla8[Selec. Solvent],Tabla8[dP])</f>
        <v>6</v>
      </c>
      <c r="DD58" s="2">
        <f xml:space="preserve"> _xlfn.XLOOKUP(4,Tabla8[Selec. Solvent],Tabla8[Radius])*SIN(CK58)+  _xlfn.XLOOKUP(4,Tabla8[Selec. Solvent],Tabla8[dH])</f>
        <v>6.6</v>
      </c>
      <c r="DE58" s="2">
        <f xml:space="preserve">  _xlfn.XLOOKUP(4,Tabla8[Selec. Solvent],Tabla8[Radius])*COS(CK58)+ _xlfn.XLOOKUP(4,Tabla8[Selec. Solvent],Tabla8[dD])</f>
        <v>15.9</v>
      </c>
    </row>
    <row r="59" spans="9:109" x14ac:dyDescent="0.25">
      <c r="I59" s="4"/>
      <c r="J59" s="4"/>
      <c r="K59" s="4"/>
      <c r="L59" s="4"/>
      <c r="M59" s="4"/>
      <c r="N59" s="4"/>
      <c r="O59" s="4"/>
      <c r="P59" s="4"/>
      <c r="CJ59" s="2">
        <v>280</v>
      </c>
      <c r="CK59" s="2">
        <f>RADIANS(Tabla3[[#This Row],[Angle º]])</f>
        <v>4.8869219055841224</v>
      </c>
      <c r="CL59" s="2">
        <f t="shared" si="8"/>
        <v>15.4</v>
      </c>
      <c r="CM59" s="2">
        <f t="shared" si="9"/>
        <v>5.4</v>
      </c>
      <c r="CN59" s="2">
        <f t="shared" si="10"/>
        <v>8</v>
      </c>
      <c r="CO59" s="2">
        <f t="shared" si="11"/>
        <v>15.4</v>
      </c>
      <c r="CP59" s="2">
        <f xml:space="preserve"> (_xlfn.XLOOKUP(1,Tabla8[Selec. Solvent],Tabla8[Radius]))*SIN(CK59)+ _xlfn.XLOOKUP(1,Tabla8[Selec. Solvent],Tabla8[dD])</f>
        <v>16</v>
      </c>
      <c r="CQ59" s="2">
        <f xml:space="preserve"> _xlfn.XLOOKUP(1,Tabla8[Selec. Solvent],Tabla8[Radius])*COS(CK59)+ _xlfn.XLOOKUP(1,Tabla8[Selec. Solvent],Tabla8[dP])</f>
        <v>5</v>
      </c>
      <c r="CR59" s="2">
        <f xml:space="preserve"> _xlfn.XLOOKUP(1,Tabla8[Selec. Solvent],Tabla8[Radius])*SIN(CK59)+  _xlfn.XLOOKUP(1,Tabla8[Selec. Solvent],Tabla8[dH])</f>
        <v>5.4</v>
      </c>
      <c r="CS59" s="2">
        <f xml:space="preserve">  _xlfn.XLOOKUP(1,Tabla8[Selec. Solvent],Tabla8[Radius])*COS(CK59)+ _xlfn.XLOOKUP(1,Tabla8[Selec. Solvent],Tabla8[dD])</f>
        <v>16</v>
      </c>
      <c r="CT59" s="2">
        <f xml:space="preserve"> (_xlfn.XLOOKUP(2,Tabla8[Selec. Solvent],Tabla8[Radius]))*SIN(CK59)+ _xlfn.XLOOKUP(2,Tabla8[Selec. Solvent],Tabla8[dD])</f>
        <v>16</v>
      </c>
      <c r="CU59" s="2">
        <f xml:space="preserve"> _xlfn.XLOOKUP(2,Tabla8[Selec. Solvent],Tabla8[Radius])*COS(CK59)+ _xlfn.XLOOKUP(2,Tabla8[Selec. Solvent],Tabla8[dP])</f>
        <v>6.5</v>
      </c>
      <c r="CV59" s="2">
        <f xml:space="preserve"> _xlfn.XLOOKUP(2,Tabla8[Selec. Solvent],Tabla8[Radius])*SIN(CK59)+  _xlfn.XLOOKUP(2,Tabla8[Selec. Solvent],Tabla8[dH])</f>
        <v>2.4</v>
      </c>
      <c r="CW59" s="2">
        <f xml:space="preserve">  _xlfn.XLOOKUP(2,Tabla8[Selec. Solvent],Tabla8[Radius])*COS(CK59)+ _xlfn.XLOOKUP(2,Tabla8[Selec. Solvent],Tabla8[dD])</f>
        <v>16</v>
      </c>
      <c r="CX59" s="2">
        <f xml:space="preserve"> (_xlfn.XLOOKUP(3,Tabla8[Selec. Solvent],Tabla8[Radius]))*SIN(CK59)+ _xlfn.XLOOKUP(3,Tabla8[Selec. Solvent],Tabla8[dD])</f>
        <v>14.8</v>
      </c>
      <c r="CY59" s="2">
        <f xml:space="preserve"> _xlfn.XLOOKUP(3,Tabla8[Selec. Solvent],Tabla8[Radius])*COS(CK59)+ _xlfn.XLOOKUP(3,Tabla8[Selec. Solvent],Tabla8[dP])</f>
        <v>4.2</v>
      </c>
      <c r="CZ59" s="2">
        <f xml:space="preserve"> _xlfn.XLOOKUP(3,Tabla8[Selec. Solvent],Tabla8[Radius])*SIN(CK59)+  _xlfn.XLOOKUP(3,Tabla8[Selec. Solvent],Tabla8[dH])</f>
        <v>5.8</v>
      </c>
      <c r="DA59" s="2">
        <f xml:space="preserve">  _xlfn.XLOOKUP(,Tabla8[Selec. Solvent],Tabla8[Radius])*COS(CK59)+ _xlfn.XLOOKUP(3,Tabla8[Selec. Solvent],Tabla8[dD])</f>
        <v>14.8</v>
      </c>
      <c r="DB59" s="2">
        <f xml:space="preserve"> (_xlfn.XLOOKUP(4,Tabla8[Selec. Solvent],Tabla8[Radius]))*SIN(CK59)+ _xlfn.XLOOKUP(4,Tabla8[Selec. Solvent],Tabla8[dD])</f>
        <v>15.9</v>
      </c>
      <c r="DC59" s="2">
        <f xml:space="preserve"> _xlfn.XLOOKUP(4,Tabla8[Selec. Solvent],Tabla8[Radius])*COS(CK59)+ _xlfn.XLOOKUP(4,Tabla8[Selec. Solvent],Tabla8[dP])</f>
        <v>6</v>
      </c>
      <c r="DD59" s="2">
        <f xml:space="preserve"> _xlfn.XLOOKUP(4,Tabla8[Selec. Solvent],Tabla8[Radius])*SIN(CK59)+  _xlfn.XLOOKUP(4,Tabla8[Selec. Solvent],Tabla8[dH])</f>
        <v>6.6</v>
      </c>
      <c r="DE59" s="2">
        <f xml:space="preserve">  _xlfn.XLOOKUP(4,Tabla8[Selec. Solvent],Tabla8[Radius])*COS(CK59)+ _xlfn.XLOOKUP(4,Tabla8[Selec. Solvent],Tabla8[dD])</f>
        <v>15.9</v>
      </c>
    </row>
    <row r="60" spans="9:109" x14ac:dyDescent="0.25">
      <c r="I60" s="4"/>
      <c r="J60" s="4"/>
      <c r="K60" s="4"/>
      <c r="L60" s="4"/>
      <c r="M60" s="4"/>
      <c r="N60" s="4"/>
      <c r="O60" s="4"/>
      <c r="P60" s="4"/>
      <c r="CJ60" s="2">
        <v>285</v>
      </c>
      <c r="CK60" s="2">
        <f>RADIANS(Tabla3[[#This Row],[Angle º]])</f>
        <v>4.9741883681838388</v>
      </c>
      <c r="CL60" s="2">
        <f t="shared" si="8"/>
        <v>15.4</v>
      </c>
      <c r="CM60" s="2">
        <f t="shared" si="9"/>
        <v>5.4</v>
      </c>
      <c r="CN60" s="2">
        <f t="shared" si="10"/>
        <v>8</v>
      </c>
      <c r="CO60" s="2">
        <f t="shared" si="11"/>
        <v>15.4</v>
      </c>
      <c r="CP60" s="2">
        <f xml:space="preserve"> (_xlfn.XLOOKUP(1,Tabla8[Selec. Solvent],Tabla8[Radius]))*SIN(CK60)+ _xlfn.XLOOKUP(1,Tabla8[Selec. Solvent],Tabla8[dD])</f>
        <v>16</v>
      </c>
      <c r="CQ60" s="2">
        <f xml:space="preserve"> _xlfn.XLOOKUP(1,Tabla8[Selec. Solvent],Tabla8[Radius])*COS(CK60)+ _xlfn.XLOOKUP(1,Tabla8[Selec. Solvent],Tabla8[dP])</f>
        <v>5</v>
      </c>
      <c r="CR60" s="2">
        <f xml:space="preserve"> _xlfn.XLOOKUP(1,Tabla8[Selec. Solvent],Tabla8[Radius])*SIN(CK60)+  _xlfn.XLOOKUP(1,Tabla8[Selec. Solvent],Tabla8[dH])</f>
        <v>5.4</v>
      </c>
      <c r="CS60" s="2">
        <f xml:space="preserve">  _xlfn.XLOOKUP(1,Tabla8[Selec. Solvent],Tabla8[Radius])*COS(CK60)+ _xlfn.XLOOKUP(1,Tabla8[Selec. Solvent],Tabla8[dD])</f>
        <v>16</v>
      </c>
      <c r="CT60" s="2">
        <f xml:space="preserve"> (_xlfn.XLOOKUP(2,Tabla8[Selec. Solvent],Tabla8[Radius]))*SIN(CK60)+ _xlfn.XLOOKUP(2,Tabla8[Selec. Solvent],Tabla8[dD])</f>
        <v>16</v>
      </c>
      <c r="CU60" s="2">
        <f xml:space="preserve"> _xlfn.XLOOKUP(2,Tabla8[Selec. Solvent],Tabla8[Radius])*COS(CK60)+ _xlfn.XLOOKUP(2,Tabla8[Selec. Solvent],Tabla8[dP])</f>
        <v>6.5</v>
      </c>
      <c r="CV60" s="2">
        <f xml:space="preserve"> _xlfn.XLOOKUP(2,Tabla8[Selec. Solvent],Tabla8[Radius])*SIN(CK60)+  _xlfn.XLOOKUP(2,Tabla8[Selec. Solvent],Tabla8[dH])</f>
        <v>2.4</v>
      </c>
      <c r="CW60" s="2">
        <f xml:space="preserve">  _xlfn.XLOOKUP(2,Tabla8[Selec. Solvent],Tabla8[Radius])*COS(CK60)+ _xlfn.XLOOKUP(2,Tabla8[Selec. Solvent],Tabla8[dD])</f>
        <v>16</v>
      </c>
      <c r="CX60" s="2">
        <f xml:space="preserve"> (_xlfn.XLOOKUP(3,Tabla8[Selec. Solvent],Tabla8[Radius]))*SIN(CK60)+ _xlfn.XLOOKUP(3,Tabla8[Selec. Solvent],Tabla8[dD])</f>
        <v>14.8</v>
      </c>
      <c r="CY60" s="2">
        <f xml:space="preserve"> _xlfn.XLOOKUP(3,Tabla8[Selec. Solvent],Tabla8[Radius])*COS(CK60)+ _xlfn.XLOOKUP(3,Tabla8[Selec. Solvent],Tabla8[dP])</f>
        <v>4.2</v>
      </c>
      <c r="CZ60" s="2">
        <f xml:space="preserve"> _xlfn.XLOOKUP(3,Tabla8[Selec. Solvent],Tabla8[Radius])*SIN(CK60)+  _xlfn.XLOOKUP(3,Tabla8[Selec. Solvent],Tabla8[dH])</f>
        <v>5.8</v>
      </c>
      <c r="DA60" s="2">
        <f xml:space="preserve">  _xlfn.XLOOKUP(,Tabla8[Selec. Solvent],Tabla8[Radius])*COS(CK60)+ _xlfn.XLOOKUP(3,Tabla8[Selec. Solvent],Tabla8[dD])</f>
        <v>14.8</v>
      </c>
      <c r="DB60" s="2">
        <f xml:space="preserve"> (_xlfn.XLOOKUP(4,Tabla8[Selec. Solvent],Tabla8[Radius]))*SIN(CK60)+ _xlfn.XLOOKUP(4,Tabla8[Selec. Solvent],Tabla8[dD])</f>
        <v>15.9</v>
      </c>
      <c r="DC60" s="2">
        <f xml:space="preserve"> _xlfn.XLOOKUP(4,Tabla8[Selec. Solvent],Tabla8[Radius])*COS(CK60)+ _xlfn.XLOOKUP(4,Tabla8[Selec. Solvent],Tabla8[dP])</f>
        <v>6</v>
      </c>
      <c r="DD60" s="2">
        <f xml:space="preserve"> _xlfn.XLOOKUP(4,Tabla8[Selec. Solvent],Tabla8[Radius])*SIN(CK60)+  _xlfn.XLOOKUP(4,Tabla8[Selec. Solvent],Tabla8[dH])</f>
        <v>6.6</v>
      </c>
      <c r="DE60" s="2">
        <f xml:space="preserve">  _xlfn.XLOOKUP(4,Tabla8[Selec. Solvent],Tabla8[Radius])*COS(CK60)+ _xlfn.XLOOKUP(4,Tabla8[Selec. Solvent],Tabla8[dD])</f>
        <v>15.9</v>
      </c>
    </row>
    <row r="61" spans="9:109" x14ac:dyDescent="0.25">
      <c r="I61" s="4"/>
      <c r="J61" s="4"/>
      <c r="K61" s="4"/>
      <c r="L61" s="4"/>
      <c r="M61" s="4"/>
      <c r="N61" s="4"/>
      <c r="O61" s="4"/>
      <c r="P61" s="4"/>
      <c r="CJ61" s="2">
        <v>290</v>
      </c>
      <c r="CK61" s="2">
        <f>RADIANS(Tabla3[[#This Row],[Angle º]])</f>
        <v>5.0614548307835561</v>
      </c>
      <c r="CL61" s="2">
        <f t="shared" si="8"/>
        <v>15.4</v>
      </c>
      <c r="CM61" s="2">
        <f t="shared" si="9"/>
        <v>5.4</v>
      </c>
      <c r="CN61" s="2">
        <f t="shared" si="10"/>
        <v>8</v>
      </c>
      <c r="CO61" s="2">
        <f t="shared" si="11"/>
        <v>15.4</v>
      </c>
      <c r="CP61" s="2">
        <f xml:space="preserve"> (_xlfn.XLOOKUP(1,Tabla8[Selec. Solvent],Tabla8[Radius]))*SIN(CK61)+ _xlfn.XLOOKUP(1,Tabla8[Selec. Solvent],Tabla8[dD])</f>
        <v>16</v>
      </c>
      <c r="CQ61" s="2">
        <f xml:space="preserve"> _xlfn.XLOOKUP(1,Tabla8[Selec. Solvent],Tabla8[Radius])*COS(CK61)+ _xlfn.XLOOKUP(1,Tabla8[Selec. Solvent],Tabla8[dP])</f>
        <v>5</v>
      </c>
      <c r="CR61" s="2">
        <f xml:space="preserve"> _xlfn.XLOOKUP(1,Tabla8[Selec. Solvent],Tabla8[Radius])*SIN(CK61)+  _xlfn.XLOOKUP(1,Tabla8[Selec. Solvent],Tabla8[dH])</f>
        <v>5.4</v>
      </c>
      <c r="CS61" s="2">
        <f xml:space="preserve">  _xlfn.XLOOKUP(1,Tabla8[Selec. Solvent],Tabla8[Radius])*COS(CK61)+ _xlfn.XLOOKUP(1,Tabla8[Selec. Solvent],Tabla8[dD])</f>
        <v>16</v>
      </c>
      <c r="CT61" s="2">
        <f xml:space="preserve"> (_xlfn.XLOOKUP(2,Tabla8[Selec. Solvent],Tabla8[Radius]))*SIN(CK61)+ _xlfn.XLOOKUP(2,Tabla8[Selec. Solvent],Tabla8[dD])</f>
        <v>16</v>
      </c>
      <c r="CU61" s="2">
        <f xml:space="preserve"> _xlfn.XLOOKUP(2,Tabla8[Selec. Solvent],Tabla8[Radius])*COS(CK61)+ _xlfn.XLOOKUP(2,Tabla8[Selec. Solvent],Tabla8[dP])</f>
        <v>6.5</v>
      </c>
      <c r="CV61" s="2">
        <f xml:space="preserve"> _xlfn.XLOOKUP(2,Tabla8[Selec. Solvent],Tabla8[Radius])*SIN(CK61)+  _xlfn.XLOOKUP(2,Tabla8[Selec. Solvent],Tabla8[dH])</f>
        <v>2.4</v>
      </c>
      <c r="CW61" s="2">
        <f xml:space="preserve">  _xlfn.XLOOKUP(2,Tabla8[Selec. Solvent],Tabla8[Radius])*COS(CK61)+ _xlfn.XLOOKUP(2,Tabla8[Selec. Solvent],Tabla8[dD])</f>
        <v>16</v>
      </c>
      <c r="CX61" s="2">
        <f xml:space="preserve"> (_xlfn.XLOOKUP(3,Tabla8[Selec. Solvent],Tabla8[Radius]))*SIN(CK61)+ _xlfn.XLOOKUP(3,Tabla8[Selec. Solvent],Tabla8[dD])</f>
        <v>14.8</v>
      </c>
      <c r="CY61" s="2">
        <f xml:space="preserve"> _xlfn.XLOOKUP(3,Tabla8[Selec. Solvent],Tabla8[Radius])*COS(CK61)+ _xlfn.XLOOKUP(3,Tabla8[Selec. Solvent],Tabla8[dP])</f>
        <v>4.2</v>
      </c>
      <c r="CZ61" s="2">
        <f xml:space="preserve"> _xlfn.XLOOKUP(3,Tabla8[Selec. Solvent],Tabla8[Radius])*SIN(CK61)+  _xlfn.XLOOKUP(3,Tabla8[Selec. Solvent],Tabla8[dH])</f>
        <v>5.8</v>
      </c>
      <c r="DA61" s="2">
        <f xml:space="preserve">  _xlfn.XLOOKUP(,Tabla8[Selec. Solvent],Tabla8[Radius])*COS(CK61)+ _xlfn.XLOOKUP(3,Tabla8[Selec. Solvent],Tabla8[dD])</f>
        <v>14.8</v>
      </c>
      <c r="DB61" s="2">
        <f xml:space="preserve"> (_xlfn.XLOOKUP(4,Tabla8[Selec. Solvent],Tabla8[Radius]))*SIN(CK61)+ _xlfn.XLOOKUP(4,Tabla8[Selec. Solvent],Tabla8[dD])</f>
        <v>15.9</v>
      </c>
      <c r="DC61" s="2">
        <f xml:space="preserve"> _xlfn.XLOOKUP(4,Tabla8[Selec. Solvent],Tabla8[Radius])*COS(CK61)+ _xlfn.XLOOKUP(4,Tabla8[Selec. Solvent],Tabla8[dP])</f>
        <v>6</v>
      </c>
      <c r="DD61" s="2">
        <f xml:space="preserve"> _xlfn.XLOOKUP(4,Tabla8[Selec. Solvent],Tabla8[Radius])*SIN(CK61)+  _xlfn.XLOOKUP(4,Tabla8[Selec. Solvent],Tabla8[dH])</f>
        <v>6.6</v>
      </c>
      <c r="DE61" s="2">
        <f xml:space="preserve">  _xlfn.XLOOKUP(4,Tabla8[Selec. Solvent],Tabla8[Radius])*COS(CK61)+ _xlfn.XLOOKUP(4,Tabla8[Selec. Solvent],Tabla8[dD])</f>
        <v>15.9</v>
      </c>
    </row>
    <row r="62" spans="9:109" x14ac:dyDescent="0.25">
      <c r="I62" s="4"/>
      <c r="J62" s="4"/>
      <c r="K62" s="4"/>
      <c r="L62" s="4"/>
      <c r="M62" s="4"/>
      <c r="N62" s="4"/>
      <c r="O62" s="4"/>
      <c r="P62" s="4"/>
      <c r="CJ62" s="2">
        <v>295</v>
      </c>
      <c r="CK62" s="2">
        <f>RADIANS(Tabla3[[#This Row],[Angle º]])</f>
        <v>5.1487212933832724</v>
      </c>
      <c r="CL62" s="2">
        <f t="shared" si="8"/>
        <v>15.4</v>
      </c>
      <c r="CM62" s="2">
        <f t="shared" si="9"/>
        <v>5.4</v>
      </c>
      <c r="CN62" s="2">
        <f t="shared" si="10"/>
        <v>8</v>
      </c>
      <c r="CO62" s="2">
        <f t="shared" si="11"/>
        <v>15.4</v>
      </c>
      <c r="CP62" s="2">
        <f xml:space="preserve"> (_xlfn.XLOOKUP(1,Tabla8[Selec. Solvent],Tabla8[Radius]))*SIN(CK62)+ _xlfn.XLOOKUP(1,Tabla8[Selec. Solvent],Tabla8[dD])</f>
        <v>16</v>
      </c>
      <c r="CQ62" s="2">
        <f xml:space="preserve"> _xlfn.XLOOKUP(1,Tabla8[Selec. Solvent],Tabla8[Radius])*COS(CK62)+ _xlfn.XLOOKUP(1,Tabla8[Selec. Solvent],Tabla8[dP])</f>
        <v>5</v>
      </c>
      <c r="CR62" s="2">
        <f xml:space="preserve"> _xlfn.XLOOKUP(1,Tabla8[Selec. Solvent],Tabla8[Radius])*SIN(CK62)+  _xlfn.XLOOKUP(1,Tabla8[Selec. Solvent],Tabla8[dH])</f>
        <v>5.4</v>
      </c>
      <c r="CS62" s="2">
        <f xml:space="preserve">  _xlfn.XLOOKUP(1,Tabla8[Selec. Solvent],Tabla8[Radius])*COS(CK62)+ _xlfn.XLOOKUP(1,Tabla8[Selec. Solvent],Tabla8[dD])</f>
        <v>16</v>
      </c>
      <c r="CT62" s="2">
        <f xml:space="preserve"> (_xlfn.XLOOKUP(2,Tabla8[Selec. Solvent],Tabla8[Radius]))*SIN(CK62)+ _xlfn.XLOOKUP(2,Tabla8[Selec. Solvent],Tabla8[dD])</f>
        <v>16</v>
      </c>
      <c r="CU62" s="2">
        <f xml:space="preserve"> _xlfn.XLOOKUP(2,Tabla8[Selec. Solvent],Tabla8[Radius])*COS(CK62)+ _xlfn.XLOOKUP(2,Tabla8[Selec. Solvent],Tabla8[dP])</f>
        <v>6.5</v>
      </c>
      <c r="CV62" s="2">
        <f xml:space="preserve"> _xlfn.XLOOKUP(2,Tabla8[Selec. Solvent],Tabla8[Radius])*SIN(CK62)+  _xlfn.XLOOKUP(2,Tabla8[Selec. Solvent],Tabla8[dH])</f>
        <v>2.4</v>
      </c>
      <c r="CW62" s="2">
        <f xml:space="preserve">  _xlfn.XLOOKUP(2,Tabla8[Selec. Solvent],Tabla8[Radius])*COS(CK62)+ _xlfn.XLOOKUP(2,Tabla8[Selec. Solvent],Tabla8[dD])</f>
        <v>16</v>
      </c>
      <c r="CX62" s="2">
        <f xml:space="preserve"> (_xlfn.XLOOKUP(3,Tabla8[Selec. Solvent],Tabla8[Radius]))*SIN(CK62)+ _xlfn.XLOOKUP(3,Tabla8[Selec. Solvent],Tabla8[dD])</f>
        <v>14.8</v>
      </c>
      <c r="CY62" s="2">
        <f xml:space="preserve"> _xlfn.XLOOKUP(3,Tabla8[Selec. Solvent],Tabla8[Radius])*COS(CK62)+ _xlfn.XLOOKUP(3,Tabla8[Selec. Solvent],Tabla8[dP])</f>
        <v>4.2</v>
      </c>
      <c r="CZ62" s="2">
        <f xml:space="preserve"> _xlfn.XLOOKUP(3,Tabla8[Selec. Solvent],Tabla8[Radius])*SIN(CK62)+  _xlfn.XLOOKUP(3,Tabla8[Selec. Solvent],Tabla8[dH])</f>
        <v>5.8</v>
      </c>
      <c r="DA62" s="2">
        <f xml:space="preserve">  _xlfn.XLOOKUP(,Tabla8[Selec. Solvent],Tabla8[Radius])*COS(CK62)+ _xlfn.XLOOKUP(3,Tabla8[Selec. Solvent],Tabla8[dD])</f>
        <v>14.8</v>
      </c>
      <c r="DB62" s="2">
        <f xml:space="preserve"> (_xlfn.XLOOKUP(4,Tabla8[Selec. Solvent],Tabla8[Radius]))*SIN(CK62)+ _xlfn.XLOOKUP(4,Tabla8[Selec. Solvent],Tabla8[dD])</f>
        <v>15.9</v>
      </c>
      <c r="DC62" s="2">
        <f xml:space="preserve"> _xlfn.XLOOKUP(4,Tabla8[Selec. Solvent],Tabla8[Radius])*COS(CK62)+ _xlfn.XLOOKUP(4,Tabla8[Selec. Solvent],Tabla8[dP])</f>
        <v>6</v>
      </c>
      <c r="DD62" s="2">
        <f xml:space="preserve"> _xlfn.XLOOKUP(4,Tabla8[Selec. Solvent],Tabla8[Radius])*SIN(CK62)+  _xlfn.XLOOKUP(4,Tabla8[Selec. Solvent],Tabla8[dH])</f>
        <v>6.6</v>
      </c>
      <c r="DE62" s="2">
        <f xml:space="preserve">  _xlfn.XLOOKUP(4,Tabla8[Selec. Solvent],Tabla8[Radius])*COS(CK62)+ _xlfn.XLOOKUP(4,Tabla8[Selec. Solvent],Tabla8[dD])</f>
        <v>15.9</v>
      </c>
    </row>
    <row r="63" spans="9:109" x14ac:dyDescent="0.25">
      <c r="I63" s="4"/>
      <c r="J63" s="4"/>
      <c r="K63" s="4"/>
      <c r="L63" s="4"/>
      <c r="M63" s="4"/>
      <c r="N63" s="4"/>
      <c r="O63" s="4"/>
      <c r="P63" s="4"/>
      <c r="CJ63" s="2">
        <v>300</v>
      </c>
      <c r="CK63" s="2">
        <f>RADIANS(Tabla3[[#This Row],[Angle º]])</f>
        <v>5.2359877559829888</v>
      </c>
      <c r="CL63" s="2">
        <f t="shared" si="8"/>
        <v>15.4</v>
      </c>
      <c r="CM63" s="2">
        <f t="shared" si="9"/>
        <v>5.4</v>
      </c>
      <c r="CN63" s="2">
        <f t="shared" si="10"/>
        <v>8</v>
      </c>
      <c r="CO63" s="2">
        <f t="shared" si="11"/>
        <v>15.4</v>
      </c>
      <c r="CP63" s="2">
        <f xml:space="preserve"> (_xlfn.XLOOKUP(1,Tabla8[Selec. Solvent],Tabla8[Radius]))*SIN(CK63)+ _xlfn.XLOOKUP(1,Tabla8[Selec. Solvent],Tabla8[dD])</f>
        <v>16</v>
      </c>
      <c r="CQ63" s="2">
        <f xml:space="preserve"> _xlfn.XLOOKUP(1,Tabla8[Selec. Solvent],Tabla8[Radius])*COS(CK63)+ _xlfn.XLOOKUP(1,Tabla8[Selec. Solvent],Tabla8[dP])</f>
        <v>5</v>
      </c>
      <c r="CR63" s="2">
        <f xml:space="preserve"> _xlfn.XLOOKUP(1,Tabla8[Selec. Solvent],Tabla8[Radius])*SIN(CK63)+  _xlfn.XLOOKUP(1,Tabla8[Selec. Solvent],Tabla8[dH])</f>
        <v>5.4</v>
      </c>
      <c r="CS63" s="2">
        <f xml:space="preserve">  _xlfn.XLOOKUP(1,Tabla8[Selec. Solvent],Tabla8[Radius])*COS(CK63)+ _xlfn.XLOOKUP(1,Tabla8[Selec. Solvent],Tabla8[dD])</f>
        <v>16</v>
      </c>
      <c r="CT63" s="2">
        <f xml:space="preserve"> (_xlfn.XLOOKUP(2,Tabla8[Selec. Solvent],Tabla8[Radius]))*SIN(CK63)+ _xlfn.XLOOKUP(2,Tabla8[Selec. Solvent],Tabla8[dD])</f>
        <v>16</v>
      </c>
      <c r="CU63" s="2">
        <f xml:space="preserve"> _xlfn.XLOOKUP(2,Tabla8[Selec. Solvent],Tabla8[Radius])*COS(CK63)+ _xlfn.XLOOKUP(2,Tabla8[Selec. Solvent],Tabla8[dP])</f>
        <v>6.5</v>
      </c>
      <c r="CV63" s="2">
        <f xml:space="preserve"> _xlfn.XLOOKUP(2,Tabla8[Selec. Solvent],Tabla8[Radius])*SIN(CK63)+  _xlfn.XLOOKUP(2,Tabla8[Selec. Solvent],Tabla8[dH])</f>
        <v>2.4</v>
      </c>
      <c r="CW63" s="2">
        <f xml:space="preserve">  _xlfn.XLOOKUP(2,Tabla8[Selec. Solvent],Tabla8[Radius])*COS(CK63)+ _xlfn.XLOOKUP(2,Tabla8[Selec. Solvent],Tabla8[dD])</f>
        <v>16</v>
      </c>
      <c r="CX63" s="2">
        <f xml:space="preserve"> (_xlfn.XLOOKUP(3,Tabla8[Selec. Solvent],Tabla8[Radius]))*SIN(CK63)+ _xlfn.XLOOKUP(3,Tabla8[Selec. Solvent],Tabla8[dD])</f>
        <v>14.8</v>
      </c>
      <c r="CY63" s="2">
        <f xml:space="preserve"> _xlfn.XLOOKUP(3,Tabla8[Selec. Solvent],Tabla8[Radius])*COS(CK63)+ _xlfn.XLOOKUP(3,Tabla8[Selec. Solvent],Tabla8[dP])</f>
        <v>4.2</v>
      </c>
      <c r="CZ63" s="2">
        <f xml:space="preserve"> _xlfn.XLOOKUP(3,Tabla8[Selec. Solvent],Tabla8[Radius])*SIN(CK63)+  _xlfn.XLOOKUP(3,Tabla8[Selec. Solvent],Tabla8[dH])</f>
        <v>5.8</v>
      </c>
      <c r="DA63" s="2">
        <f xml:space="preserve">  _xlfn.XLOOKUP(,Tabla8[Selec. Solvent],Tabla8[Radius])*COS(CK63)+ _xlfn.XLOOKUP(3,Tabla8[Selec. Solvent],Tabla8[dD])</f>
        <v>14.8</v>
      </c>
      <c r="DB63" s="2">
        <f xml:space="preserve"> (_xlfn.XLOOKUP(4,Tabla8[Selec. Solvent],Tabla8[Radius]))*SIN(CK63)+ _xlfn.XLOOKUP(4,Tabla8[Selec. Solvent],Tabla8[dD])</f>
        <v>15.9</v>
      </c>
      <c r="DC63" s="2">
        <f xml:space="preserve"> _xlfn.XLOOKUP(4,Tabla8[Selec. Solvent],Tabla8[Radius])*COS(CK63)+ _xlfn.XLOOKUP(4,Tabla8[Selec. Solvent],Tabla8[dP])</f>
        <v>6</v>
      </c>
      <c r="DD63" s="2">
        <f xml:space="preserve"> _xlfn.XLOOKUP(4,Tabla8[Selec. Solvent],Tabla8[Radius])*SIN(CK63)+  _xlfn.XLOOKUP(4,Tabla8[Selec. Solvent],Tabla8[dH])</f>
        <v>6.6</v>
      </c>
      <c r="DE63" s="2">
        <f xml:space="preserve">  _xlfn.XLOOKUP(4,Tabla8[Selec. Solvent],Tabla8[Radius])*COS(CK63)+ _xlfn.XLOOKUP(4,Tabla8[Selec. Solvent],Tabla8[dD])</f>
        <v>15.9</v>
      </c>
    </row>
    <row r="64" spans="9:109" x14ac:dyDescent="0.25">
      <c r="I64" s="4"/>
      <c r="J64" s="4"/>
      <c r="K64" s="4"/>
      <c r="L64" s="4"/>
      <c r="M64" s="4"/>
      <c r="N64" s="4"/>
      <c r="O64" s="4"/>
      <c r="P64" s="4"/>
      <c r="CJ64" s="2">
        <v>305</v>
      </c>
      <c r="CK64" s="2">
        <f>RADIANS(Tabla3[[#This Row],[Angle º]])</f>
        <v>5.3232542185827052</v>
      </c>
      <c r="CL64" s="2">
        <f t="shared" si="8"/>
        <v>15.4</v>
      </c>
      <c r="CM64" s="2">
        <f t="shared" si="9"/>
        <v>5.4</v>
      </c>
      <c r="CN64" s="2">
        <f t="shared" si="10"/>
        <v>8</v>
      </c>
      <c r="CO64" s="2">
        <f t="shared" si="11"/>
        <v>15.4</v>
      </c>
      <c r="CP64" s="2">
        <f xml:space="preserve"> (_xlfn.XLOOKUP(1,Tabla8[Selec. Solvent],Tabla8[Radius]))*SIN(CK64)+ _xlfn.XLOOKUP(1,Tabla8[Selec. Solvent],Tabla8[dD])</f>
        <v>16</v>
      </c>
      <c r="CQ64" s="2">
        <f xml:space="preserve"> _xlfn.XLOOKUP(1,Tabla8[Selec. Solvent],Tabla8[Radius])*COS(CK64)+ _xlfn.XLOOKUP(1,Tabla8[Selec. Solvent],Tabla8[dP])</f>
        <v>5</v>
      </c>
      <c r="CR64" s="2">
        <f xml:space="preserve"> _xlfn.XLOOKUP(1,Tabla8[Selec. Solvent],Tabla8[Radius])*SIN(CK64)+  _xlfn.XLOOKUP(1,Tabla8[Selec. Solvent],Tabla8[dH])</f>
        <v>5.4</v>
      </c>
      <c r="CS64" s="2">
        <f xml:space="preserve">  _xlfn.XLOOKUP(1,Tabla8[Selec. Solvent],Tabla8[Radius])*COS(CK64)+ _xlfn.XLOOKUP(1,Tabla8[Selec. Solvent],Tabla8[dD])</f>
        <v>16</v>
      </c>
      <c r="CT64" s="2">
        <f xml:space="preserve"> (_xlfn.XLOOKUP(2,Tabla8[Selec. Solvent],Tabla8[Radius]))*SIN(CK64)+ _xlfn.XLOOKUP(2,Tabla8[Selec. Solvent],Tabla8[dD])</f>
        <v>16</v>
      </c>
      <c r="CU64" s="2">
        <f xml:space="preserve"> _xlfn.XLOOKUP(2,Tabla8[Selec. Solvent],Tabla8[Radius])*COS(CK64)+ _xlfn.XLOOKUP(2,Tabla8[Selec. Solvent],Tabla8[dP])</f>
        <v>6.5</v>
      </c>
      <c r="CV64" s="2">
        <f xml:space="preserve"> _xlfn.XLOOKUP(2,Tabla8[Selec. Solvent],Tabla8[Radius])*SIN(CK64)+  _xlfn.XLOOKUP(2,Tabla8[Selec. Solvent],Tabla8[dH])</f>
        <v>2.4</v>
      </c>
      <c r="CW64" s="2">
        <f xml:space="preserve">  _xlfn.XLOOKUP(2,Tabla8[Selec. Solvent],Tabla8[Radius])*COS(CK64)+ _xlfn.XLOOKUP(2,Tabla8[Selec. Solvent],Tabla8[dD])</f>
        <v>16</v>
      </c>
      <c r="CX64" s="2">
        <f xml:space="preserve"> (_xlfn.XLOOKUP(3,Tabla8[Selec. Solvent],Tabla8[Radius]))*SIN(CK64)+ _xlfn.XLOOKUP(3,Tabla8[Selec. Solvent],Tabla8[dD])</f>
        <v>14.8</v>
      </c>
      <c r="CY64" s="2">
        <f xml:space="preserve"> _xlfn.XLOOKUP(3,Tabla8[Selec. Solvent],Tabla8[Radius])*COS(CK64)+ _xlfn.XLOOKUP(3,Tabla8[Selec. Solvent],Tabla8[dP])</f>
        <v>4.2</v>
      </c>
      <c r="CZ64" s="2">
        <f xml:space="preserve"> _xlfn.XLOOKUP(3,Tabla8[Selec. Solvent],Tabla8[Radius])*SIN(CK64)+  _xlfn.XLOOKUP(3,Tabla8[Selec. Solvent],Tabla8[dH])</f>
        <v>5.8</v>
      </c>
      <c r="DA64" s="2">
        <f xml:space="preserve">  _xlfn.XLOOKUP(,Tabla8[Selec. Solvent],Tabla8[Radius])*COS(CK64)+ _xlfn.XLOOKUP(3,Tabla8[Selec. Solvent],Tabla8[dD])</f>
        <v>14.8</v>
      </c>
      <c r="DB64" s="2">
        <f xml:space="preserve"> (_xlfn.XLOOKUP(4,Tabla8[Selec. Solvent],Tabla8[Radius]))*SIN(CK64)+ _xlfn.XLOOKUP(4,Tabla8[Selec. Solvent],Tabla8[dD])</f>
        <v>15.9</v>
      </c>
      <c r="DC64" s="2">
        <f xml:space="preserve"> _xlfn.XLOOKUP(4,Tabla8[Selec. Solvent],Tabla8[Radius])*COS(CK64)+ _xlfn.XLOOKUP(4,Tabla8[Selec. Solvent],Tabla8[dP])</f>
        <v>6</v>
      </c>
      <c r="DD64" s="2">
        <f xml:space="preserve"> _xlfn.XLOOKUP(4,Tabla8[Selec. Solvent],Tabla8[Radius])*SIN(CK64)+  _xlfn.XLOOKUP(4,Tabla8[Selec. Solvent],Tabla8[dH])</f>
        <v>6.6</v>
      </c>
      <c r="DE64" s="2">
        <f xml:space="preserve">  _xlfn.XLOOKUP(4,Tabla8[Selec. Solvent],Tabla8[Radius])*COS(CK64)+ _xlfn.XLOOKUP(4,Tabla8[Selec. Solvent],Tabla8[dD])</f>
        <v>15.9</v>
      </c>
    </row>
    <row r="65" spans="9:109" x14ac:dyDescent="0.25">
      <c r="I65" s="4"/>
      <c r="J65" s="4"/>
      <c r="K65" s="4"/>
      <c r="L65" s="4"/>
      <c r="M65" s="4"/>
      <c r="N65" s="4"/>
      <c r="O65" s="4"/>
      <c r="P65" s="4"/>
      <c r="CJ65" s="2">
        <v>310</v>
      </c>
      <c r="CK65" s="2">
        <f>RADIANS(Tabla3[[#This Row],[Angle º]])</f>
        <v>5.4105206811824216</v>
      </c>
      <c r="CL65" s="2">
        <f t="shared" si="8"/>
        <v>15.4</v>
      </c>
      <c r="CM65" s="2">
        <f t="shared" si="9"/>
        <v>5.4</v>
      </c>
      <c r="CN65" s="2">
        <f t="shared" si="10"/>
        <v>8</v>
      </c>
      <c r="CO65" s="2">
        <f t="shared" si="11"/>
        <v>15.4</v>
      </c>
      <c r="CP65" s="2">
        <f xml:space="preserve"> (_xlfn.XLOOKUP(1,Tabla8[Selec. Solvent],Tabla8[Radius]))*SIN(CK65)+ _xlfn.XLOOKUP(1,Tabla8[Selec. Solvent],Tabla8[dD])</f>
        <v>16</v>
      </c>
      <c r="CQ65" s="2">
        <f xml:space="preserve"> _xlfn.XLOOKUP(1,Tabla8[Selec. Solvent],Tabla8[Radius])*COS(CK65)+ _xlfn.XLOOKUP(1,Tabla8[Selec. Solvent],Tabla8[dP])</f>
        <v>5</v>
      </c>
      <c r="CR65" s="2">
        <f xml:space="preserve"> _xlfn.XLOOKUP(1,Tabla8[Selec. Solvent],Tabla8[Radius])*SIN(CK65)+  _xlfn.XLOOKUP(1,Tabla8[Selec. Solvent],Tabla8[dH])</f>
        <v>5.4</v>
      </c>
      <c r="CS65" s="2">
        <f xml:space="preserve">  _xlfn.XLOOKUP(1,Tabla8[Selec. Solvent],Tabla8[Radius])*COS(CK65)+ _xlfn.XLOOKUP(1,Tabla8[Selec. Solvent],Tabla8[dD])</f>
        <v>16</v>
      </c>
      <c r="CT65" s="2">
        <f xml:space="preserve"> (_xlfn.XLOOKUP(2,Tabla8[Selec. Solvent],Tabla8[Radius]))*SIN(CK65)+ _xlfn.XLOOKUP(2,Tabla8[Selec. Solvent],Tabla8[dD])</f>
        <v>16</v>
      </c>
      <c r="CU65" s="2">
        <f xml:space="preserve"> _xlfn.XLOOKUP(2,Tabla8[Selec. Solvent],Tabla8[Radius])*COS(CK65)+ _xlfn.XLOOKUP(2,Tabla8[Selec. Solvent],Tabla8[dP])</f>
        <v>6.5</v>
      </c>
      <c r="CV65" s="2">
        <f xml:space="preserve"> _xlfn.XLOOKUP(2,Tabla8[Selec. Solvent],Tabla8[Radius])*SIN(CK65)+  _xlfn.XLOOKUP(2,Tabla8[Selec. Solvent],Tabla8[dH])</f>
        <v>2.4</v>
      </c>
      <c r="CW65" s="2">
        <f xml:space="preserve">  _xlfn.XLOOKUP(2,Tabla8[Selec. Solvent],Tabla8[Radius])*COS(CK65)+ _xlfn.XLOOKUP(2,Tabla8[Selec. Solvent],Tabla8[dD])</f>
        <v>16</v>
      </c>
      <c r="CX65" s="2">
        <f xml:space="preserve"> (_xlfn.XLOOKUP(3,Tabla8[Selec. Solvent],Tabla8[Radius]))*SIN(CK65)+ _xlfn.XLOOKUP(3,Tabla8[Selec. Solvent],Tabla8[dD])</f>
        <v>14.8</v>
      </c>
      <c r="CY65" s="2">
        <f xml:space="preserve"> _xlfn.XLOOKUP(3,Tabla8[Selec. Solvent],Tabla8[Radius])*COS(CK65)+ _xlfn.XLOOKUP(3,Tabla8[Selec. Solvent],Tabla8[dP])</f>
        <v>4.2</v>
      </c>
      <c r="CZ65" s="2">
        <f xml:space="preserve"> _xlfn.XLOOKUP(3,Tabla8[Selec. Solvent],Tabla8[Radius])*SIN(CK65)+  _xlfn.XLOOKUP(3,Tabla8[Selec. Solvent],Tabla8[dH])</f>
        <v>5.8</v>
      </c>
      <c r="DA65" s="2">
        <f xml:space="preserve">  _xlfn.XLOOKUP(,Tabla8[Selec. Solvent],Tabla8[Radius])*COS(CK65)+ _xlfn.XLOOKUP(3,Tabla8[Selec. Solvent],Tabla8[dD])</f>
        <v>14.8</v>
      </c>
      <c r="DB65" s="2">
        <f xml:space="preserve"> (_xlfn.XLOOKUP(4,Tabla8[Selec. Solvent],Tabla8[Radius]))*SIN(CK65)+ _xlfn.XLOOKUP(4,Tabla8[Selec. Solvent],Tabla8[dD])</f>
        <v>15.9</v>
      </c>
      <c r="DC65" s="2">
        <f xml:space="preserve"> _xlfn.XLOOKUP(4,Tabla8[Selec. Solvent],Tabla8[Radius])*COS(CK65)+ _xlfn.XLOOKUP(4,Tabla8[Selec. Solvent],Tabla8[dP])</f>
        <v>6</v>
      </c>
      <c r="DD65" s="2">
        <f xml:space="preserve"> _xlfn.XLOOKUP(4,Tabla8[Selec. Solvent],Tabla8[Radius])*SIN(CK65)+  _xlfn.XLOOKUP(4,Tabla8[Selec. Solvent],Tabla8[dH])</f>
        <v>6.6</v>
      </c>
      <c r="DE65" s="2">
        <f xml:space="preserve">  _xlfn.XLOOKUP(4,Tabla8[Selec. Solvent],Tabla8[Radius])*COS(CK65)+ _xlfn.XLOOKUP(4,Tabla8[Selec. Solvent],Tabla8[dD])</f>
        <v>15.9</v>
      </c>
    </row>
    <row r="66" spans="9:109" x14ac:dyDescent="0.25">
      <c r="I66" s="4"/>
      <c r="J66" s="4"/>
      <c r="K66" s="4"/>
      <c r="L66" s="4"/>
      <c r="M66" s="4"/>
      <c r="N66" s="4"/>
      <c r="O66" s="4"/>
      <c r="P66" s="4"/>
      <c r="CJ66" s="2">
        <v>315</v>
      </c>
      <c r="CK66" s="2">
        <f>RADIANS(Tabla3[[#This Row],[Angle º]])</f>
        <v>5.497787143782138</v>
      </c>
      <c r="CL66" s="2">
        <f t="shared" si="8"/>
        <v>15.4</v>
      </c>
      <c r="CM66" s="2">
        <f t="shared" si="9"/>
        <v>5.4</v>
      </c>
      <c r="CN66" s="2">
        <f t="shared" si="10"/>
        <v>8</v>
      </c>
      <c r="CO66" s="2">
        <f t="shared" si="11"/>
        <v>15.4</v>
      </c>
      <c r="CP66" s="2">
        <f xml:space="preserve"> (_xlfn.XLOOKUP(1,Tabla8[Selec. Solvent],Tabla8[Radius]))*SIN(CK66)+ _xlfn.XLOOKUP(1,Tabla8[Selec. Solvent],Tabla8[dD])</f>
        <v>16</v>
      </c>
      <c r="CQ66" s="2">
        <f xml:space="preserve"> _xlfn.XLOOKUP(1,Tabla8[Selec. Solvent],Tabla8[Radius])*COS(CK66)+ _xlfn.XLOOKUP(1,Tabla8[Selec. Solvent],Tabla8[dP])</f>
        <v>5</v>
      </c>
      <c r="CR66" s="2">
        <f xml:space="preserve"> _xlfn.XLOOKUP(1,Tabla8[Selec. Solvent],Tabla8[Radius])*SIN(CK66)+  _xlfn.XLOOKUP(1,Tabla8[Selec. Solvent],Tabla8[dH])</f>
        <v>5.4</v>
      </c>
      <c r="CS66" s="2">
        <f xml:space="preserve">  _xlfn.XLOOKUP(1,Tabla8[Selec. Solvent],Tabla8[Radius])*COS(CK66)+ _xlfn.XLOOKUP(1,Tabla8[Selec. Solvent],Tabla8[dD])</f>
        <v>16</v>
      </c>
      <c r="CT66" s="2">
        <f xml:space="preserve"> (_xlfn.XLOOKUP(2,Tabla8[Selec. Solvent],Tabla8[Radius]))*SIN(CK66)+ _xlfn.XLOOKUP(2,Tabla8[Selec. Solvent],Tabla8[dD])</f>
        <v>16</v>
      </c>
      <c r="CU66" s="2">
        <f xml:space="preserve"> _xlfn.XLOOKUP(2,Tabla8[Selec. Solvent],Tabla8[Radius])*COS(CK66)+ _xlfn.XLOOKUP(2,Tabla8[Selec. Solvent],Tabla8[dP])</f>
        <v>6.5</v>
      </c>
      <c r="CV66" s="2">
        <f xml:space="preserve"> _xlfn.XLOOKUP(2,Tabla8[Selec. Solvent],Tabla8[Radius])*SIN(CK66)+  _xlfn.XLOOKUP(2,Tabla8[Selec. Solvent],Tabla8[dH])</f>
        <v>2.4</v>
      </c>
      <c r="CW66" s="2">
        <f xml:space="preserve">  _xlfn.XLOOKUP(2,Tabla8[Selec. Solvent],Tabla8[Radius])*COS(CK66)+ _xlfn.XLOOKUP(2,Tabla8[Selec. Solvent],Tabla8[dD])</f>
        <v>16</v>
      </c>
      <c r="CX66" s="2">
        <f xml:space="preserve"> (_xlfn.XLOOKUP(3,Tabla8[Selec. Solvent],Tabla8[Radius]))*SIN(CK66)+ _xlfn.XLOOKUP(3,Tabla8[Selec. Solvent],Tabla8[dD])</f>
        <v>14.8</v>
      </c>
      <c r="CY66" s="2">
        <f xml:space="preserve"> _xlfn.XLOOKUP(3,Tabla8[Selec. Solvent],Tabla8[Radius])*COS(CK66)+ _xlfn.XLOOKUP(3,Tabla8[Selec. Solvent],Tabla8[dP])</f>
        <v>4.2</v>
      </c>
      <c r="CZ66" s="2">
        <f xml:space="preserve"> _xlfn.XLOOKUP(3,Tabla8[Selec. Solvent],Tabla8[Radius])*SIN(CK66)+  _xlfn.XLOOKUP(3,Tabla8[Selec. Solvent],Tabla8[dH])</f>
        <v>5.8</v>
      </c>
      <c r="DA66" s="2">
        <f xml:space="preserve">  _xlfn.XLOOKUP(,Tabla8[Selec. Solvent],Tabla8[Radius])*COS(CK66)+ _xlfn.XLOOKUP(3,Tabla8[Selec. Solvent],Tabla8[dD])</f>
        <v>14.8</v>
      </c>
      <c r="DB66" s="2">
        <f xml:space="preserve"> (_xlfn.XLOOKUP(4,Tabla8[Selec. Solvent],Tabla8[Radius]))*SIN(CK66)+ _xlfn.XLOOKUP(4,Tabla8[Selec. Solvent],Tabla8[dD])</f>
        <v>15.9</v>
      </c>
      <c r="DC66" s="2">
        <f xml:space="preserve"> _xlfn.XLOOKUP(4,Tabla8[Selec. Solvent],Tabla8[Radius])*COS(CK66)+ _xlfn.XLOOKUP(4,Tabla8[Selec. Solvent],Tabla8[dP])</f>
        <v>6</v>
      </c>
      <c r="DD66" s="2">
        <f xml:space="preserve"> _xlfn.XLOOKUP(4,Tabla8[Selec. Solvent],Tabla8[Radius])*SIN(CK66)+  _xlfn.XLOOKUP(4,Tabla8[Selec. Solvent],Tabla8[dH])</f>
        <v>6.6</v>
      </c>
      <c r="DE66" s="2">
        <f xml:space="preserve">  _xlfn.XLOOKUP(4,Tabla8[Selec. Solvent],Tabla8[Radius])*COS(CK66)+ _xlfn.XLOOKUP(4,Tabla8[Selec. Solvent],Tabla8[dD])</f>
        <v>15.9</v>
      </c>
    </row>
    <row r="67" spans="9:109" x14ac:dyDescent="0.25">
      <c r="I67" s="4"/>
      <c r="J67" s="4"/>
      <c r="K67" s="4"/>
      <c r="L67" s="4"/>
      <c r="M67" s="4"/>
      <c r="N67" s="4"/>
      <c r="O67" s="4"/>
      <c r="P67" s="4"/>
      <c r="CJ67" s="2">
        <v>320</v>
      </c>
      <c r="CK67" s="2">
        <f>RADIANS(Tabla3[[#This Row],[Angle º]])</f>
        <v>5.5850536063818543</v>
      </c>
      <c r="CL67" s="2">
        <f t="shared" ref="CL67:CL75" si="12">$F$3*SIN(CK67)+ dD</f>
        <v>15.4</v>
      </c>
      <c r="CM67" s="2">
        <f t="shared" ref="CM67:CM75" si="13">$F$3*COS(CK67)+ dP</f>
        <v>5.4</v>
      </c>
      <c r="CN67" s="2">
        <f t="shared" ref="CN67:CN75" si="14">$F$3*SIN(CK67)+  dH</f>
        <v>8</v>
      </c>
      <c r="CO67" s="2">
        <f t="shared" ref="CO67:CO75" si="15">$F$3*COS(CK67)+ dD</f>
        <v>15.4</v>
      </c>
      <c r="CP67" s="2">
        <f xml:space="preserve"> (_xlfn.XLOOKUP(1,Tabla8[Selec. Solvent],Tabla8[Radius]))*SIN(CK67)+ _xlfn.XLOOKUP(1,Tabla8[Selec. Solvent],Tabla8[dD])</f>
        <v>16</v>
      </c>
      <c r="CQ67" s="2">
        <f xml:space="preserve"> _xlfn.XLOOKUP(1,Tabla8[Selec. Solvent],Tabla8[Radius])*COS(CK67)+ _xlfn.XLOOKUP(1,Tabla8[Selec. Solvent],Tabla8[dP])</f>
        <v>5</v>
      </c>
      <c r="CR67" s="2">
        <f xml:space="preserve"> _xlfn.XLOOKUP(1,Tabla8[Selec. Solvent],Tabla8[Radius])*SIN(CK67)+  _xlfn.XLOOKUP(1,Tabla8[Selec. Solvent],Tabla8[dH])</f>
        <v>5.4</v>
      </c>
      <c r="CS67" s="2">
        <f xml:space="preserve">  _xlfn.XLOOKUP(1,Tabla8[Selec. Solvent],Tabla8[Radius])*COS(CK67)+ _xlfn.XLOOKUP(1,Tabla8[Selec. Solvent],Tabla8[dD])</f>
        <v>16</v>
      </c>
      <c r="CT67" s="2">
        <f xml:space="preserve"> (_xlfn.XLOOKUP(2,Tabla8[Selec. Solvent],Tabla8[Radius]))*SIN(CK67)+ _xlfn.XLOOKUP(2,Tabla8[Selec. Solvent],Tabla8[dD])</f>
        <v>16</v>
      </c>
      <c r="CU67" s="2">
        <f xml:space="preserve"> _xlfn.XLOOKUP(2,Tabla8[Selec. Solvent],Tabla8[Radius])*COS(CK67)+ _xlfn.XLOOKUP(2,Tabla8[Selec. Solvent],Tabla8[dP])</f>
        <v>6.5</v>
      </c>
      <c r="CV67" s="2">
        <f xml:space="preserve"> _xlfn.XLOOKUP(2,Tabla8[Selec. Solvent],Tabla8[Radius])*SIN(CK67)+  _xlfn.XLOOKUP(2,Tabla8[Selec. Solvent],Tabla8[dH])</f>
        <v>2.4</v>
      </c>
      <c r="CW67" s="2">
        <f xml:space="preserve">  _xlfn.XLOOKUP(2,Tabla8[Selec. Solvent],Tabla8[Radius])*COS(CK67)+ _xlfn.XLOOKUP(2,Tabla8[Selec. Solvent],Tabla8[dD])</f>
        <v>16</v>
      </c>
      <c r="CX67" s="2">
        <f xml:space="preserve"> (_xlfn.XLOOKUP(3,Tabla8[Selec. Solvent],Tabla8[Radius]))*SIN(CK67)+ _xlfn.XLOOKUP(3,Tabla8[Selec. Solvent],Tabla8[dD])</f>
        <v>14.8</v>
      </c>
      <c r="CY67" s="2">
        <f xml:space="preserve"> _xlfn.XLOOKUP(3,Tabla8[Selec. Solvent],Tabla8[Radius])*COS(CK67)+ _xlfn.XLOOKUP(3,Tabla8[Selec. Solvent],Tabla8[dP])</f>
        <v>4.2</v>
      </c>
      <c r="CZ67" s="2">
        <f xml:space="preserve"> _xlfn.XLOOKUP(3,Tabla8[Selec. Solvent],Tabla8[Radius])*SIN(CK67)+  _xlfn.XLOOKUP(3,Tabla8[Selec. Solvent],Tabla8[dH])</f>
        <v>5.8</v>
      </c>
      <c r="DA67" s="2">
        <f xml:space="preserve">  _xlfn.XLOOKUP(,Tabla8[Selec. Solvent],Tabla8[Radius])*COS(CK67)+ _xlfn.XLOOKUP(3,Tabla8[Selec. Solvent],Tabla8[dD])</f>
        <v>14.8</v>
      </c>
      <c r="DB67" s="2">
        <f xml:space="preserve"> (_xlfn.XLOOKUP(4,Tabla8[Selec. Solvent],Tabla8[Radius]))*SIN(CK67)+ _xlfn.XLOOKUP(4,Tabla8[Selec. Solvent],Tabla8[dD])</f>
        <v>15.9</v>
      </c>
      <c r="DC67" s="2">
        <f xml:space="preserve"> _xlfn.XLOOKUP(4,Tabla8[Selec. Solvent],Tabla8[Radius])*COS(CK67)+ _xlfn.XLOOKUP(4,Tabla8[Selec. Solvent],Tabla8[dP])</f>
        <v>6</v>
      </c>
      <c r="DD67" s="2">
        <f xml:space="preserve"> _xlfn.XLOOKUP(4,Tabla8[Selec. Solvent],Tabla8[Radius])*SIN(CK67)+  _xlfn.XLOOKUP(4,Tabla8[Selec. Solvent],Tabla8[dH])</f>
        <v>6.6</v>
      </c>
      <c r="DE67" s="2">
        <f xml:space="preserve">  _xlfn.XLOOKUP(4,Tabla8[Selec. Solvent],Tabla8[Radius])*COS(CK67)+ _xlfn.XLOOKUP(4,Tabla8[Selec. Solvent],Tabla8[dD])</f>
        <v>15.9</v>
      </c>
    </row>
    <row r="68" spans="9:109" x14ac:dyDescent="0.25">
      <c r="I68" s="4"/>
      <c r="J68" s="4"/>
      <c r="K68" s="4"/>
      <c r="L68" s="4"/>
      <c r="M68" s="4"/>
      <c r="N68" s="4"/>
      <c r="O68" s="4"/>
      <c r="P68" s="4"/>
      <c r="CJ68" s="2">
        <v>325</v>
      </c>
      <c r="CK68" s="2">
        <f>RADIANS(Tabla3[[#This Row],[Angle º]])</f>
        <v>5.6723200689815707</v>
      </c>
      <c r="CL68" s="2">
        <f t="shared" si="12"/>
        <v>15.4</v>
      </c>
      <c r="CM68" s="2">
        <f t="shared" si="13"/>
        <v>5.4</v>
      </c>
      <c r="CN68" s="2">
        <f t="shared" si="14"/>
        <v>8</v>
      </c>
      <c r="CO68" s="2">
        <f t="shared" si="15"/>
        <v>15.4</v>
      </c>
      <c r="CP68" s="2">
        <f xml:space="preserve"> (_xlfn.XLOOKUP(1,Tabla8[Selec. Solvent],Tabla8[Radius]))*SIN(CK68)+ _xlfn.XLOOKUP(1,Tabla8[Selec. Solvent],Tabla8[dD])</f>
        <v>16</v>
      </c>
      <c r="CQ68" s="2">
        <f xml:space="preserve"> _xlfn.XLOOKUP(1,Tabla8[Selec. Solvent],Tabla8[Radius])*COS(CK68)+ _xlfn.XLOOKUP(1,Tabla8[Selec. Solvent],Tabla8[dP])</f>
        <v>5</v>
      </c>
      <c r="CR68" s="2">
        <f xml:space="preserve"> _xlfn.XLOOKUP(1,Tabla8[Selec. Solvent],Tabla8[Radius])*SIN(CK68)+  _xlfn.XLOOKUP(1,Tabla8[Selec. Solvent],Tabla8[dH])</f>
        <v>5.4</v>
      </c>
      <c r="CS68" s="2">
        <f xml:space="preserve">  _xlfn.XLOOKUP(1,Tabla8[Selec. Solvent],Tabla8[Radius])*COS(CK68)+ _xlfn.XLOOKUP(1,Tabla8[Selec. Solvent],Tabla8[dD])</f>
        <v>16</v>
      </c>
      <c r="CT68" s="2">
        <f xml:space="preserve"> (_xlfn.XLOOKUP(2,Tabla8[Selec. Solvent],Tabla8[Radius]))*SIN(CK68)+ _xlfn.XLOOKUP(2,Tabla8[Selec. Solvent],Tabla8[dD])</f>
        <v>16</v>
      </c>
      <c r="CU68" s="2">
        <f xml:space="preserve"> _xlfn.XLOOKUP(2,Tabla8[Selec. Solvent],Tabla8[Radius])*COS(CK68)+ _xlfn.XLOOKUP(2,Tabla8[Selec. Solvent],Tabla8[dP])</f>
        <v>6.5</v>
      </c>
      <c r="CV68" s="2">
        <f xml:space="preserve"> _xlfn.XLOOKUP(2,Tabla8[Selec. Solvent],Tabla8[Radius])*SIN(CK68)+  _xlfn.XLOOKUP(2,Tabla8[Selec. Solvent],Tabla8[dH])</f>
        <v>2.4</v>
      </c>
      <c r="CW68" s="2">
        <f xml:space="preserve">  _xlfn.XLOOKUP(2,Tabla8[Selec. Solvent],Tabla8[Radius])*COS(CK68)+ _xlfn.XLOOKUP(2,Tabla8[Selec. Solvent],Tabla8[dD])</f>
        <v>16</v>
      </c>
      <c r="CX68" s="2">
        <f xml:space="preserve"> (_xlfn.XLOOKUP(3,Tabla8[Selec. Solvent],Tabla8[Radius]))*SIN(CK68)+ _xlfn.XLOOKUP(3,Tabla8[Selec. Solvent],Tabla8[dD])</f>
        <v>14.8</v>
      </c>
      <c r="CY68" s="2">
        <f xml:space="preserve"> _xlfn.XLOOKUP(3,Tabla8[Selec. Solvent],Tabla8[Radius])*COS(CK68)+ _xlfn.XLOOKUP(3,Tabla8[Selec. Solvent],Tabla8[dP])</f>
        <v>4.2</v>
      </c>
      <c r="CZ68" s="2">
        <f xml:space="preserve"> _xlfn.XLOOKUP(3,Tabla8[Selec. Solvent],Tabla8[Radius])*SIN(CK68)+  _xlfn.XLOOKUP(3,Tabla8[Selec. Solvent],Tabla8[dH])</f>
        <v>5.8</v>
      </c>
      <c r="DA68" s="2">
        <f xml:space="preserve">  _xlfn.XLOOKUP(,Tabla8[Selec. Solvent],Tabla8[Radius])*COS(CK68)+ _xlfn.XLOOKUP(3,Tabla8[Selec. Solvent],Tabla8[dD])</f>
        <v>14.8</v>
      </c>
      <c r="DB68" s="2">
        <f xml:space="preserve"> (_xlfn.XLOOKUP(4,Tabla8[Selec. Solvent],Tabla8[Radius]))*SIN(CK68)+ _xlfn.XLOOKUP(4,Tabla8[Selec. Solvent],Tabla8[dD])</f>
        <v>15.9</v>
      </c>
      <c r="DC68" s="2">
        <f xml:space="preserve"> _xlfn.XLOOKUP(4,Tabla8[Selec. Solvent],Tabla8[Radius])*COS(CK68)+ _xlfn.XLOOKUP(4,Tabla8[Selec. Solvent],Tabla8[dP])</f>
        <v>6</v>
      </c>
      <c r="DD68" s="2">
        <f xml:space="preserve"> _xlfn.XLOOKUP(4,Tabla8[Selec. Solvent],Tabla8[Radius])*SIN(CK68)+  _xlfn.XLOOKUP(4,Tabla8[Selec. Solvent],Tabla8[dH])</f>
        <v>6.6</v>
      </c>
      <c r="DE68" s="2">
        <f xml:space="preserve">  _xlfn.XLOOKUP(4,Tabla8[Selec. Solvent],Tabla8[Radius])*COS(CK68)+ _xlfn.XLOOKUP(4,Tabla8[Selec. Solvent],Tabla8[dD])</f>
        <v>15.9</v>
      </c>
    </row>
    <row r="69" spans="9:109" x14ac:dyDescent="0.25">
      <c r="I69" s="4"/>
      <c r="J69" s="4"/>
      <c r="K69" s="4"/>
      <c r="L69" s="4"/>
      <c r="M69" s="4"/>
      <c r="N69" s="4"/>
      <c r="O69" s="4"/>
      <c r="P69" s="4"/>
      <c r="CJ69" s="2">
        <v>330</v>
      </c>
      <c r="CK69" s="2">
        <f>RADIANS(Tabla3[[#This Row],[Angle º]])</f>
        <v>5.7595865315812871</v>
      </c>
      <c r="CL69" s="2">
        <f t="shared" si="12"/>
        <v>15.4</v>
      </c>
      <c r="CM69" s="2">
        <f t="shared" si="13"/>
        <v>5.4</v>
      </c>
      <c r="CN69" s="2">
        <f t="shared" si="14"/>
        <v>8</v>
      </c>
      <c r="CO69" s="2">
        <f t="shared" si="15"/>
        <v>15.4</v>
      </c>
      <c r="CP69" s="2">
        <f xml:space="preserve"> (_xlfn.XLOOKUP(1,Tabla8[Selec. Solvent],Tabla8[Radius]))*SIN(CK69)+ _xlfn.XLOOKUP(1,Tabla8[Selec. Solvent],Tabla8[dD])</f>
        <v>16</v>
      </c>
      <c r="CQ69" s="2">
        <f xml:space="preserve"> _xlfn.XLOOKUP(1,Tabla8[Selec. Solvent],Tabla8[Radius])*COS(CK69)+ _xlfn.XLOOKUP(1,Tabla8[Selec. Solvent],Tabla8[dP])</f>
        <v>5</v>
      </c>
      <c r="CR69" s="2">
        <f xml:space="preserve"> _xlfn.XLOOKUP(1,Tabla8[Selec. Solvent],Tabla8[Radius])*SIN(CK69)+  _xlfn.XLOOKUP(1,Tabla8[Selec. Solvent],Tabla8[dH])</f>
        <v>5.4</v>
      </c>
      <c r="CS69" s="2">
        <f xml:space="preserve">  _xlfn.XLOOKUP(1,Tabla8[Selec. Solvent],Tabla8[Radius])*COS(CK69)+ _xlfn.XLOOKUP(1,Tabla8[Selec. Solvent],Tabla8[dD])</f>
        <v>16</v>
      </c>
      <c r="CT69" s="2">
        <f xml:space="preserve"> (_xlfn.XLOOKUP(2,Tabla8[Selec. Solvent],Tabla8[Radius]))*SIN(CK69)+ _xlfn.XLOOKUP(2,Tabla8[Selec. Solvent],Tabla8[dD])</f>
        <v>16</v>
      </c>
      <c r="CU69" s="2">
        <f xml:space="preserve"> _xlfn.XLOOKUP(2,Tabla8[Selec. Solvent],Tabla8[Radius])*COS(CK69)+ _xlfn.XLOOKUP(2,Tabla8[Selec. Solvent],Tabla8[dP])</f>
        <v>6.5</v>
      </c>
      <c r="CV69" s="2">
        <f xml:space="preserve"> _xlfn.XLOOKUP(2,Tabla8[Selec. Solvent],Tabla8[Radius])*SIN(CK69)+  _xlfn.XLOOKUP(2,Tabla8[Selec. Solvent],Tabla8[dH])</f>
        <v>2.4</v>
      </c>
      <c r="CW69" s="2">
        <f xml:space="preserve">  _xlfn.XLOOKUP(2,Tabla8[Selec. Solvent],Tabla8[Radius])*COS(CK69)+ _xlfn.XLOOKUP(2,Tabla8[Selec. Solvent],Tabla8[dD])</f>
        <v>16</v>
      </c>
      <c r="CX69" s="2">
        <f xml:space="preserve"> (_xlfn.XLOOKUP(3,Tabla8[Selec. Solvent],Tabla8[Radius]))*SIN(CK69)+ _xlfn.XLOOKUP(3,Tabla8[Selec. Solvent],Tabla8[dD])</f>
        <v>14.8</v>
      </c>
      <c r="CY69" s="2">
        <f xml:space="preserve"> _xlfn.XLOOKUP(3,Tabla8[Selec. Solvent],Tabla8[Radius])*COS(CK69)+ _xlfn.XLOOKUP(3,Tabla8[Selec. Solvent],Tabla8[dP])</f>
        <v>4.2</v>
      </c>
      <c r="CZ69" s="2">
        <f xml:space="preserve"> _xlfn.XLOOKUP(3,Tabla8[Selec. Solvent],Tabla8[Radius])*SIN(CK69)+  _xlfn.XLOOKUP(3,Tabla8[Selec. Solvent],Tabla8[dH])</f>
        <v>5.8</v>
      </c>
      <c r="DA69" s="2">
        <f xml:space="preserve">  _xlfn.XLOOKUP(,Tabla8[Selec. Solvent],Tabla8[Radius])*COS(CK69)+ _xlfn.XLOOKUP(3,Tabla8[Selec. Solvent],Tabla8[dD])</f>
        <v>14.8</v>
      </c>
      <c r="DB69" s="2">
        <f xml:space="preserve"> (_xlfn.XLOOKUP(4,Tabla8[Selec. Solvent],Tabla8[Radius]))*SIN(CK69)+ _xlfn.XLOOKUP(4,Tabla8[Selec. Solvent],Tabla8[dD])</f>
        <v>15.9</v>
      </c>
      <c r="DC69" s="2">
        <f xml:space="preserve"> _xlfn.XLOOKUP(4,Tabla8[Selec. Solvent],Tabla8[Radius])*COS(CK69)+ _xlfn.XLOOKUP(4,Tabla8[Selec. Solvent],Tabla8[dP])</f>
        <v>6</v>
      </c>
      <c r="DD69" s="2">
        <f xml:space="preserve"> _xlfn.XLOOKUP(4,Tabla8[Selec. Solvent],Tabla8[Radius])*SIN(CK69)+  _xlfn.XLOOKUP(4,Tabla8[Selec. Solvent],Tabla8[dH])</f>
        <v>6.6</v>
      </c>
      <c r="DE69" s="2">
        <f xml:space="preserve">  _xlfn.XLOOKUP(4,Tabla8[Selec. Solvent],Tabla8[Radius])*COS(CK69)+ _xlfn.XLOOKUP(4,Tabla8[Selec. Solvent],Tabla8[dD])</f>
        <v>15.9</v>
      </c>
    </row>
    <row r="70" spans="9:109" x14ac:dyDescent="0.25">
      <c r="I70" s="4"/>
      <c r="J70" s="4"/>
      <c r="K70" s="4"/>
      <c r="L70" s="4"/>
      <c r="M70" s="4"/>
      <c r="N70" s="4"/>
      <c r="O70" s="4"/>
      <c r="P70" s="4"/>
      <c r="CJ70" s="2">
        <v>335</v>
      </c>
      <c r="CK70" s="2">
        <f>RADIANS(Tabla3[[#This Row],[Angle º]])</f>
        <v>5.8468529941810043</v>
      </c>
      <c r="CL70" s="2">
        <f t="shared" si="12"/>
        <v>15.4</v>
      </c>
      <c r="CM70" s="2">
        <f t="shared" si="13"/>
        <v>5.4</v>
      </c>
      <c r="CN70" s="2">
        <f t="shared" si="14"/>
        <v>8</v>
      </c>
      <c r="CO70" s="2">
        <f t="shared" si="15"/>
        <v>15.4</v>
      </c>
      <c r="CP70" s="2">
        <f xml:space="preserve"> (_xlfn.XLOOKUP(1,Tabla8[Selec. Solvent],Tabla8[Radius]))*SIN(CK70)+ _xlfn.XLOOKUP(1,Tabla8[Selec. Solvent],Tabla8[dD])</f>
        <v>16</v>
      </c>
      <c r="CQ70" s="2">
        <f xml:space="preserve"> _xlfn.XLOOKUP(1,Tabla8[Selec. Solvent],Tabla8[Radius])*COS(CK70)+ _xlfn.XLOOKUP(1,Tabla8[Selec. Solvent],Tabla8[dP])</f>
        <v>5</v>
      </c>
      <c r="CR70" s="2">
        <f xml:space="preserve"> _xlfn.XLOOKUP(1,Tabla8[Selec. Solvent],Tabla8[Radius])*SIN(CK70)+  _xlfn.XLOOKUP(1,Tabla8[Selec. Solvent],Tabla8[dH])</f>
        <v>5.4</v>
      </c>
      <c r="CS70" s="2">
        <f xml:space="preserve">  _xlfn.XLOOKUP(1,Tabla8[Selec. Solvent],Tabla8[Radius])*COS(CK70)+ _xlfn.XLOOKUP(1,Tabla8[Selec. Solvent],Tabla8[dD])</f>
        <v>16</v>
      </c>
      <c r="CT70" s="2">
        <f xml:space="preserve"> (_xlfn.XLOOKUP(2,Tabla8[Selec. Solvent],Tabla8[Radius]))*SIN(CK70)+ _xlfn.XLOOKUP(2,Tabla8[Selec. Solvent],Tabla8[dD])</f>
        <v>16</v>
      </c>
      <c r="CU70" s="2">
        <f xml:space="preserve"> _xlfn.XLOOKUP(2,Tabla8[Selec. Solvent],Tabla8[Radius])*COS(CK70)+ _xlfn.XLOOKUP(2,Tabla8[Selec. Solvent],Tabla8[dP])</f>
        <v>6.5</v>
      </c>
      <c r="CV70" s="2">
        <f xml:space="preserve"> _xlfn.XLOOKUP(2,Tabla8[Selec. Solvent],Tabla8[Radius])*SIN(CK70)+  _xlfn.XLOOKUP(2,Tabla8[Selec. Solvent],Tabla8[dH])</f>
        <v>2.4</v>
      </c>
      <c r="CW70" s="2">
        <f xml:space="preserve">  _xlfn.XLOOKUP(2,Tabla8[Selec. Solvent],Tabla8[Radius])*COS(CK70)+ _xlfn.XLOOKUP(2,Tabla8[Selec. Solvent],Tabla8[dD])</f>
        <v>16</v>
      </c>
      <c r="CX70" s="2">
        <f xml:space="preserve"> (_xlfn.XLOOKUP(3,Tabla8[Selec. Solvent],Tabla8[Radius]))*SIN(CK70)+ _xlfn.XLOOKUP(3,Tabla8[Selec. Solvent],Tabla8[dD])</f>
        <v>14.8</v>
      </c>
      <c r="CY70" s="2">
        <f xml:space="preserve"> _xlfn.XLOOKUP(3,Tabla8[Selec. Solvent],Tabla8[Radius])*COS(CK70)+ _xlfn.XLOOKUP(3,Tabla8[Selec. Solvent],Tabla8[dP])</f>
        <v>4.2</v>
      </c>
      <c r="CZ70" s="2">
        <f xml:space="preserve"> _xlfn.XLOOKUP(3,Tabla8[Selec. Solvent],Tabla8[Radius])*SIN(CK70)+  _xlfn.XLOOKUP(3,Tabla8[Selec. Solvent],Tabla8[dH])</f>
        <v>5.8</v>
      </c>
      <c r="DA70" s="2">
        <f xml:space="preserve">  _xlfn.XLOOKUP(,Tabla8[Selec. Solvent],Tabla8[Radius])*COS(CK70)+ _xlfn.XLOOKUP(3,Tabla8[Selec. Solvent],Tabla8[dD])</f>
        <v>14.8</v>
      </c>
      <c r="DB70" s="2">
        <f xml:space="preserve"> (_xlfn.XLOOKUP(4,Tabla8[Selec. Solvent],Tabla8[Radius]))*SIN(CK70)+ _xlfn.XLOOKUP(4,Tabla8[Selec. Solvent],Tabla8[dD])</f>
        <v>15.9</v>
      </c>
      <c r="DC70" s="2">
        <f xml:space="preserve"> _xlfn.XLOOKUP(4,Tabla8[Selec. Solvent],Tabla8[Radius])*COS(CK70)+ _xlfn.XLOOKUP(4,Tabla8[Selec. Solvent],Tabla8[dP])</f>
        <v>6</v>
      </c>
      <c r="DD70" s="2">
        <f xml:space="preserve"> _xlfn.XLOOKUP(4,Tabla8[Selec. Solvent],Tabla8[Radius])*SIN(CK70)+  _xlfn.XLOOKUP(4,Tabla8[Selec. Solvent],Tabla8[dH])</f>
        <v>6.6</v>
      </c>
      <c r="DE70" s="2">
        <f xml:space="preserve">  _xlfn.XLOOKUP(4,Tabla8[Selec. Solvent],Tabla8[Radius])*COS(CK70)+ _xlfn.XLOOKUP(4,Tabla8[Selec. Solvent],Tabla8[dD])</f>
        <v>15.9</v>
      </c>
    </row>
    <row r="71" spans="9:109" x14ac:dyDescent="0.25">
      <c r="I71" s="4"/>
      <c r="J71" s="4"/>
      <c r="K71" s="4"/>
      <c r="L71" s="4"/>
      <c r="M71" s="4"/>
      <c r="N71" s="4"/>
      <c r="O71" s="4"/>
      <c r="P71" s="4"/>
      <c r="CJ71" s="2">
        <v>340</v>
      </c>
      <c r="CK71" s="2">
        <f>RADIANS(Tabla3[[#This Row],[Angle º]])</f>
        <v>5.9341194567807207</v>
      </c>
      <c r="CL71" s="2">
        <f t="shared" si="12"/>
        <v>15.4</v>
      </c>
      <c r="CM71" s="2">
        <f t="shared" si="13"/>
        <v>5.4</v>
      </c>
      <c r="CN71" s="2">
        <f t="shared" si="14"/>
        <v>8</v>
      </c>
      <c r="CO71" s="2">
        <f t="shared" si="15"/>
        <v>15.4</v>
      </c>
      <c r="CP71" s="2">
        <f xml:space="preserve"> (_xlfn.XLOOKUP(1,Tabla8[Selec. Solvent],Tabla8[Radius]))*SIN(CK71)+ _xlfn.XLOOKUP(1,Tabla8[Selec. Solvent],Tabla8[dD])</f>
        <v>16</v>
      </c>
      <c r="CQ71" s="2">
        <f xml:space="preserve"> _xlfn.XLOOKUP(1,Tabla8[Selec. Solvent],Tabla8[Radius])*COS(CK71)+ _xlfn.XLOOKUP(1,Tabla8[Selec. Solvent],Tabla8[dP])</f>
        <v>5</v>
      </c>
      <c r="CR71" s="2">
        <f xml:space="preserve"> _xlfn.XLOOKUP(1,Tabla8[Selec. Solvent],Tabla8[Radius])*SIN(CK71)+  _xlfn.XLOOKUP(1,Tabla8[Selec. Solvent],Tabla8[dH])</f>
        <v>5.4</v>
      </c>
      <c r="CS71" s="2">
        <f xml:space="preserve">  _xlfn.XLOOKUP(1,Tabla8[Selec. Solvent],Tabla8[Radius])*COS(CK71)+ _xlfn.XLOOKUP(1,Tabla8[Selec. Solvent],Tabla8[dD])</f>
        <v>16</v>
      </c>
      <c r="CT71" s="2">
        <f xml:space="preserve"> (_xlfn.XLOOKUP(2,Tabla8[Selec. Solvent],Tabla8[Radius]))*SIN(CK71)+ _xlfn.XLOOKUP(2,Tabla8[Selec. Solvent],Tabla8[dD])</f>
        <v>16</v>
      </c>
      <c r="CU71" s="2">
        <f xml:space="preserve"> _xlfn.XLOOKUP(2,Tabla8[Selec. Solvent],Tabla8[Radius])*COS(CK71)+ _xlfn.XLOOKUP(2,Tabla8[Selec. Solvent],Tabla8[dP])</f>
        <v>6.5</v>
      </c>
      <c r="CV71" s="2">
        <f xml:space="preserve"> _xlfn.XLOOKUP(2,Tabla8[Selec. Solvent],Tabla8[Radius])*SIN(CK71)+  _xlfn.XLOOKUP(2,Tabla8[Selec. Solvent],Tabla8[dH])</f>
        <v>2.4</v>
      </c>
      <c r="CW71" s="2">
        <f xml:space="preserve">  _xlfn.XLOOKUP(2,Tabla8[Selec. Solvent],Tabla8[Radius])*COS(CK71)+ _xlfn.XLOOKUP(2,Tabla8[Selec. Solvent],Tabla8[dD])</f>
        <v>16</v>
      </c>
      <c r="CX71" s="2">
        <f xml:space="preserve"> (_xlfn.XLOOKUP(3,Tabla8[Selec. Solvent],Tabla8[Radius]))*SIN(CK71)+ _xlfn.XLOOKUP(3,Tabla8[Selec. Solvent],Tabla8[dD])</f>
        <v>14.8</v>
      </c>
      <c r="CY71" s="2">
        <f xml:space="preserve"> _xlfn.XLOOKUP(3,Tabla8[Selec. Solvent],Tabla8[Radius])*COS(CK71)+ _xlfn.XLOOKUP(3,Tabla8[Selec. Solvent],Tabla8[dP])</f>
        <v>4.2</v>
      </c>
      <c r="CZ71" s="2">
        <f xml:space="preserve"> _xlfn.XLOOKUP(3,Tabla8[Selec. Solvent],Tabla8[Radius])*SIN(CK71)+  _xlfn.XLOOKUP(3,Tabla8[Selec. Solvent],Tabla8[dH])</f>
        <v>5.8</v>
      </c>
      <c r="DA71" s="2">
        <f xml:space="preserve">  _xlfn.XLOOKUP(,Tabla8[Selec. Solvent],Tabla8[Radius])*COS(CK71)+ _xlfn.XLOOKUP(3,Tabla8[Selec. Solvent],Tabla8[dD])</f>
        <v>14.8</v>
      </c>
      <c r="DB71" s="2">
        <f xml:space="preserve"> (_xlfn.XLOOKUP(4,Tabla8[Selec. Solvent],Tabla8[Radius]))*SIN(CK71)+ _xlfn.XLOOKUP(4,Tabla8[Selec. Solvent],Tabla8[dD])</f>
        <v>15.9</v>
      </c>
      <c r="DC71" s="2">
        <f xml:space="preserve"> _xlfn.XLOOKUP(4,Tabla8[Selec. Solvent],Tabla8[Radius])*COS(CK71)+ _xlfn.XLOOKUP(4,Tabla8[Selec. Solvent],Tabla8[dP])</f>
        <v>6</v>
      </c>
      <c r="DD71" s="2">
        <f xml:space="preserve"> _xlfn.XLOOKUP(4,Tabla8[Selec. Solvent],Tabla8[Radius])*SIN(CK71)+  _xlfn.XLOOKUP(4,Tabla8[Selec. Solvent],Tabla8[dH])</f>
        <v>6.6</v>
      </c>
      <c r="DE71" s="2">
        <f xml:space="preserve">  _xlfn.XLOOKUP(4,Tabla8[Selec. Solvent],Tabla8[Radius])*COS(CK71)+ _xlfn.XLOOKUP(4,Tabla8[Selec. Solvent],Tabla8[dD])</f>
        <v>15.9</v>
      </c>
    </row>
    <row r="72" spans="9:109" x14ac:dyDescent="0.25">
      <c r="I72" s="4"/>
      <c r="J72" s="4"/>
      <c r="K72" s="4"/>
      <c r="L72" s="4"/>
      <c r="M72" s="4"/>
      <c r="N72" s="4"/>
      <c r="O72" s="4"/>
      <c r="P72" s="4"/>
      <c r="CJ72" s="2">
        <v>345</v>
      </c>
      <c r="CK72" s="2">
        <f>RADIANS(Tabla3[[#This Row],[Angle º]])</f>
        <v>6.0213859193804371</v>
      </c>
      <c r="CL72" s="2">
        <f t="shared" si="12"/>
        <v>15.4</v>
      </c>
      <c r="CM72" s="2">
        <f t="shared" si="13"/>
        <v>5.4</v>
      </c>
      <c r="CN72" s="2">
        <f t="shared" si="14"/>
        <v>8</v>
      </c>
      <c r="CO72" s="2">
        <f t="shared" si="15"/>
        <v>15.4</v>
      </c>
      <c r="CP72" s="2">
        <f xml:space="preserve"> (_xlfn.XLOOKUP(1,Tabla8[Selec. Solvent],Tabla8[Radius]))*SIN(CK72)+ _xlfn.XLOOKUP(1,Tabla8[Selec. Solvent],Tabla8[dD])</f>
        <v>16</v>
      </c>
      <c r="CQ72" s="2">
        <f xml:space="preserve"> _xlfn.XLOOKUP(1,Tabla8[Selec. Solvent],Tabla8[Radius])*COS(CK72)+ _xlfn.XLOOKUP(1,Tabla8[Selec. Solvent],Tabla8[dP])</f>
        <v>5</v>
      </c>
      <c r="CR72" s="2">
        <f xml:space="preserve"> _xlfn.XLOOKUP(1,Tabla8[Selec. Solvent],Tabla8[Radius])*SIN(CK72)+  _xlfn.XLOOKUP(1,Tabla8[Selec. Solvent],Tabla8[dH])</f>
        <v>5.4</v>
      </c>
      <c r="CS72" s="2">
        <f xml:space="preserve">  _xlfn.XLOOKUP(1,Tabla8[Selec. Solvent],Tabla8[Radius])*COS(CK72)+ _xlfn.XLOOKUP(1,Tabla8[Selec. Solvent],Tabla8[dD])</f>
        <v>16</v>
      </c>
      <c r="CT72" s="2">
        <f xml:space="preserve"> (_xlfn.XLOOKUP(2,Tabla8[Selec. Solvent],Tabla8[Radius]))*SIN(CK72)+ _xlfn.XLOOKUP(2,Tabla8[Selec. Solvent],Tabla8[dD])</f>
        <v>16</v>
      </c>
      <c r="CU72" s="2">
        <f xml:space="preserve"> _xlfn.XLOOKUP(2,Tabla8[Selec. Solvent],Tabla8[Radius])*COS(CK72)+ _xlfn.XLOOKUP(2,Tabla8[Selec. Solvent],Tabla8[dP])</f>
        <v>6.5</v>
      </c>
      <c r="CV72" s="2">
        <f xml:space="preserve"> _xlfn.XLOOKUP(2,Tabla8[Selec. Solvent],Tabla8[Radius])*SIN(CK72)+  _xlfn.XLOOKUP(2,Tabla8[Selec. Solvent],Tabla8[dH])</f>
        <v>2.4</v>
      </c>
      <c r="CW72" s="2">
        <f xml:space="preserve">  _xlfn.XLOOKUP(2,Tabla8[Selec. Solvent],Tabla8[Radius])*COS(CK72)+ _xlfn.XLOOKUP(2,Tabla8[Selec. Solvent],Tabla8[dD])</f>
        <v>16</v>
      </c>
      <c r="CX72" s="2">
        <f xml:space="preserve"> (_xlfn.XLOOKUP(3,Tabla8[Selec. Solvent],Tabla8[Radius]))*SIN(CK72)+ _xlfn.XLOOKUP(3,Tabla8[Selec. Solvent],Tabla8[dD])</f>
        <v>14.8</v>
      </c>
      <c r="CY72" s="2">
        <f xml:space="preserve"> _xlfn.XLOOKUP(3,Tabla8[Selec. Solvent],Tabla8[Radius])*COS(CK72)+ _xlfn.XLOOKUP(3,Tabla8[Selec. Solvent],Tabla8[dP])</f>
        <v>4.2</v>
      </c>
      <c r="CZ72" s="2">
        <f xml:space="preserve"> _xlfn.XLOOKUP(3,Tabla8[Selec. Solvent],Tabla8[Radius])*SIN(CK72)+  _xlfn.XLOOKUP(3,Tabla8[Selec. Solvent],Tabla8[dH])</f>
        <v>5.8</v>
      </c>
      <c r="DA72" s="2">
        <f xml:space="preserve">  _xlfn.XLOOKUP(,Tabla8[Selec. Solvent],Tabla8[Radius])*COS(CK72)+ _xlfn.XLOOKUP(3,Tabla8[Selec. Solvent],Tabla8[dD])</f>
        <v>14.8</v>
      </c>
      <c r="DB72" s="2">
        <f xml:space="preserve"> (_xlfn.XLOOKUP(4,Tabla8[Selec. Solvent],Tabla8[Radius]))*SIN(CK72)+ _xlfn.XLOOKUP(4,Tabla8[Selec. Solvent],Tabla8[dD])</f>
        <v>15.9</v>
      </c>
      <c r="DC72" s="2">
        <f xml:space="preserve"> _xlfn.XLOOKUP(4,Tabla8[Selec. Solvent],Tabla8[Radius])*COS(CK72)+ _xlfn.XLOOKUP(4,Tabla8[Selec. Solvent],Tabla8[dP])</f>
        <v>6</v>
      </c>
      <c r="DD72" s="2">
        <f xml:space="preserve"> _xlfn.XLOOKUP(4,Tabla8[Selec. Solvent],Tabla8[Radius])*SIN(CK72)+  _xlfn.XLOOKUP(4,Tabla8[Selec. Solvent],Tabla8[dH])</f>
        <v>6.6</v>
      </c>
      <c r="DE72" s="2">
        <f xml:space="preserve">  _xlfn.XLOOKUP(4,Tabla8[Selec. Solvent],Tabla8[Radius])*COS(CK72)+ _xlfn.XLOOKUP(4,Tabla8[Selec. Solvent],Tabla8[dD])</f>
        <v>15.9</v>
      </c>
    </row>
    <row r="73" spans="9:109" x14ac:dyDescent="0.25">
      <c r="I73" s="4"/>
      <c r="J73" s="4"/>
      <c r="K73" s="4"/>
      <c r="L73" s="4"/>
      <c r="M73" s="4"/>
      <c r="N73" s="4"/>
      <c r="O73" s="4"/>
      <c r="P73" s="4"/>
      <c r="CJ73" s="2">
        <v>350</v>
      </c>
      <c r="CK73" s="2">
        <f>RADIANS(Tabla3[[#This Row],[Angle º]])</f>
        <v>6.1086523819801535</v>
      </c>
      <c r="CL73" s="2">
        <f t="shared" si="12"/>
        <v>15.4</v>
      </c>
      <c r="CM73" s="2">
        <f t="shared" si="13"/>
        <v>5.4</v>
      </c>
      <c r="CN73" s="2">
        <f t="shared" si="14"/>
        <v>8</v>
      </c>
      <c r="CO73" s="2">
        <f t="shared" si="15"/>
        <v>15.4</v>
      </c>
      <c r="CP73" s="2">
        <f xml:space="preserve"> (_xlfn.XLOOKUP(1,Tabla8[Selec. Solvent],Tabla8[Radius]))*SIN(CK73)+ _xlfn.XLOOKUP(1,Tabla8[Selec. Solvent],Tabla8[dD])</f>
        <v>16</v>
      </c>
      <c r="CQ73" s="2">
        <f xml:space="preserve"> _xlfn.XLOOKUP(1,Tabla8[Selec. Solvent],Tabla8[Radius])*COS(CK73)+ _xlfn.XLOOKUP(1,Tabla8[Selec. Solvent],Tabla8[dP])</f>
        <v>5</v>
      </c>
      <c r="CR73" s="2">
        <f xml:space="preserve"> _xlfn.XLOOKUP(1,Tabla8[Selec. Solvent],Tabla8[Radius])*SIN(CK73)+  _xlfn.XLOOKUP(1,Tabla8[Selec. Solvent],Tabla8[dH])</f>
        <v>5.4</v>
      </c>
      <c r="CS73" s="2">
        <f xml:space="preserve">  _xlfn.XLOOKUP(1,Tabla8[Selec. Solvent],Tabla8[Radius])*COS(CK73)+ _xlfn.XLOOKUP(1,Tabla8[Selec. Solvent],Tabla8[dD])</f>
        <v>16</v>
      </c>
      <c r="CT73" s="2">
        <f xml:space="preserve"> (_xlfn.XLOOKUP(2,Tabla8[Selec. Solvent],Tabla8[Radius]))*SIN(CK73)+ _xlfn.XLOOKUP(2,Tabla8[Selec. Solvent],Tabla8[dD])</f>
        <v>16</v>
      </c>
      <c r="CU73" s="2">
        <f xml:space="preserve"> _xlfn.XLOOKUP(2,Tabla8[Selec. Solvent],Tabla8[Radius])*COS(CK73)+ _xlfn.XLOOKUP(2,Tabla8[Selec. Solvent],Tabla8[dP])</f>
        <v>6.5</v>
      </c>
      <c r="CV73" s="2">
        <f xml:space="preserve"> _xlfn.XLOOKUP(2,Tabla8[Selec. Solvent],Tabla8[Radius])*SIN(CK73)+  _xlfn.XLOOKUP(2,Tabla8[Selec. Solvent],Tabla8[dH])</f>
        <v>2.4</v>
      </c>
      <c r="CW73" s="2">
        <f xml:space="preserve">  _xlfn.XLOOKUP(2,Tabla8[Selec. Solvent],Tabla8[Radius])*COS(CK73)+ _xlfn.XLOOKUP(2,Tabla8[Selec. Solvent],Tabla8[dD])</f>
        <v>16</v>
      </c>
      <c r="CX73" s="2">
        <f xml:space="preserve"> (_xlfn.XLOOKUP(3,Tabla8[Selec. Solvent],Tabla8[Radius]))*SIN(CK73)+ _xlfn.XLOOKUP(3,Tabla8[Selec. Solvent],Tabla8[dD])</f>
        <v>14.8</v>
      </c>
      <c r="CY73" s="2">
        <f xml:space="preserve"> _xlfn.XLOOKUP(3,Tabla8[Selec. Solvent],Tabla8[Radius])*COS(CK73)+ _xlfn.XLOOKUP(3,Tabla8[Selec. Solvent],Tabla8[dP])</f>
        <v>4.2</v>
      </c>
      <c r="CZ73" s="2">
        <f xml:space="preserve"> _xlfn.XLOOKUP(3,Tabla8[Selec. Solvent],Tabla8[Radius])*SIN(CK73)+  _xlfn.XLOOKUP(3,Tabla8[Selec. Solvent],Tabla8[dH])</f>
        <v>5.8</v>
      </c>
      <c r="DA73" s="2">
        <f xml:space="preserve">  _xlfn.XLOOKUP(,Tabla8[Selec. Solvent],Tabla8[Radius])*COS(CK73)+ _xlfn.XLOOKUP(3,Tabla8[Selec. Solvent],Tabla8[dD])</f>
        <v>14.8</v>
      </c>
      <c r="DB73" s="2">
        <f xml:space="preserve"> (_xlfn.XLOOKUP(4,Tabla8[Selec. Solvent],Tabla8[Radius]))*SIN(CK73)+ _xlfn.XLOOKUP(4,Tabla8[Selec. Solvent],Tabla8[dD])</f>
        <v>15.9</v>
      </c>
      <c r="DC73" s="2">
        <f xml:space="preserve"> _xlfn.XLOOKUP(4,Tabla8[Selec. Solvent],Tabla8[Radius])*COS(CK73)+ _xlfn.XLOOKUP(4,Tabla8[Selec. Solvent],Tabla8[dP])</f>
        <v>6</v>
      </c>
      <c r="DD73" s="2">
        <f xml:space="preserve"> _xlfn.XLOOKUP(4,Tabla8[Selec. Solvent],Tabla8[Radius])*SIN(CK73)+  _xlfn.XLOOKUP(4,Tabla8[Selec. Solvent],Tabla8[dH])</f>
        <v>6.6</v>
      </c>
      <c r="DE73" s="2">
        <f xml:space="preserve">  _xlfn.XLOOKUP(4,Tabla8[Selec. Solvent],Tabla8[Radius])*COS(CK73)+ _xlfn.XLOOKUP(4,Tabla8[Selec. Solvent],Tabla8[dD])</f>
        <v>15.9</v>
      </c>
    </row>
    <row r="74" spans="9:109" x14ac:dyDescent="0.25">
      <c r="I74" s="4"/>
      <c r="J74" s="4"/>
      <c r="K74" s="4"/>
      <c r="L74" s="4"/>
      <c r="M74" s="4"/>
      <c r="N74" s="4"/>
      <c r="O74" s="4"/>
      <c r="P74" s="4"/>
      <c r="CJ74" s="2">
        <v>355</v>
      </c>
      <c r="CK74" s="2">
        <f>RADIANS(Tabla3[[#This Row],[Angle º]])</f>
        <v>6.1959188445798699</v>
      </c>
      <c r="CL74" s="2">
        <f t="shared" si="12"/>
        <v>15.4</v>
      </c>
      <c r="CM74" s="2">
        <f t="shared" si="13"/>
        <v>5.4</v>
      </c>
      <c r="CN74" s="2">
        <f t="shared" si="14"/>
        <v>8</v>
      </c>
      <c r="CO74" s="2">
        <f t="shared" si="15"/>
        <v>15.4</v>
      </c>
      <c r="CP74" s="2">
        <f xml:space="preserve"> (_xlfn.XLOOKUP(1,Tabla8[Selec. Solvent],Tabla8[Radius]))*SIN(CK74)+ _xlfn.XLOOKUP(1,Tabla8[Selec. Solvent],Tabla8[dD])</f>
        <v>16</v>
      </c>
      <c r="CQ74" s="2">
        <f xml:space="preserve"> _xlfn.XLOOKUP(1,Tabla8[Selec. Solvent],Tabla8[Radius])*COS(CK74)+ _xlfn.XLOOKUP(1,Tabla8[Selec. Solvent],Tabla8[dP])</f>
        <v>5</v>
      </c>
      <c r="CR74" s="2">
        <f xml:space="preserve"> _xlfn.XLOOKUP(1,Tabla8[Selec. Solvent],Tabla8[Radius])*SIN(CK74)+  _xlfn.XLOOKUP(1,Tabla8[Selec. Solvent],Tabla8[dH])</f>
        <v>5.4</v>
      </c>
      <c r="CS74" s="2">
        <f xml:space="preserve">  _xlfn.XLOOKUP(1,Tabla8[Selec. Solvent],Tabla8[Radius])*COS(CK74)+ _xlfn.XLOOKUP(1,Tabla8[Selec. Solvent],Tabla8[dD])</f>
        <v>16</v>
      </c>
      <c r="CT74" s="2">
        <f xml:space="preserve"> (_xlfn.XLOOKUP(2,Tabla8[Selec. Solvent],Tabla8[Radius]))*SIN(CK74)+ _xlfn.XLOOKUP(2,Tabla8[Selec. Solvent],Tabla8[dD])</f>
        <v>16</v>
      </c>
      <c r="CU74" s="2">
        <f xml:space="preserve"> _xlfn.XLOOKUP(2,Tabla8[Selec. Solvent],Tabla8[Radius])*COS(CK74)+ _xlfn.XLOOKUP(2,Tabla8[Selec. Solvent],Tabla8[dP])</f>
        <v>6.5</v>
      </c>
      <c r="CV74" s="2">
        <f xml:space="preserve"> _xlfn.XLOOKUP(2,Tabla8[Selec. Solvent],Tabla8[Radius])*SIN(CK74)+  _xlfn.XLOOKUP(2,Tabla8[Selec. Solvent],Tabla8[dH])</f>
        <v>2.4</v>
      </c>
      <c r="CW74" s="2">
        <f xml:space="preserve">  _xlfn.XLOOKUP(2,Tabla8[Selec. Solvent],Tabla8[Radius])*COS(CK74)+ _xlfn.XLOOKUP(2,Tabla8[Selec. Solvent],Tabla8[dD])</f>
        <v>16</v>
      </c>
      <c r="CX74" s="2">
        <f xml:space="preserve"> (_xlfn.XLOOKUP(3,Tabla8[Selec. Solvent],Tabla8[Radius]))*SIN(CK74)+ _xlfn.XLOOKUP(3,Tabla8[Selec. Solvent],Tabla8[dD])</f>
        <v>14.8</v>
      </c>
      <c r="CY74" s="2">
        <f xml:space="preserve"> _xlfn.XLOOKUP(3,Tabla8[Selec. Solvent],Tabla8[Radius])*COS(CK74)+ _xlfn.XLOOKUP(3,Tabla8[Selec. Solvent],Tabla8[dP])</f>
        <v>4.2</v>
      </c>
      <c r="CZ74" s="2">
        <f xml:space="preserve"> _xlfn.XLOOKUP(3,Tabla8[Selec. Solvent],Tabla8[Radius])*SIN(CK74)+  _xlfn.XLOOKUP(3,Tabla8[Selec. Solvent],Tabla8[dH])</f>
        <v>5.8</v>
      </c>
      <c r="DA74" s="2">
        <f xml:space="preserve">  _xlfn.XLOOKUP(,Tabla8[Selec. Solvent],Tabla8[Radius])*COS(CK74)+ _xlfn.XLOOKUP(3,Tabla8[Selec. Solvent],Tabla8[dD])</f>
        <v>14.8</v>
      </c>
      <c r="DB74" s="2">
        <f xml:space="preserve"> (_xlfn.XLOOKUP(4,Tabla8[Selec. Solvent],Tabla8[Radius]))*SIN(CK74)+ _xlfn.XLOOKUP(4,Tabla8[Selec. Solvent],Tabla8[dD])</f>
        <v>15.9</v>
      </c>
      <c r="DC74" s="2">
        <f xml:space="preserve"> _xlfn.XLOOKUP(4,Tabla8[Selec. Solvent],Tabla8[Radius])*COS(CK74)+ _xlfn.XLOOKUP(4,Tabla8[Selec. Solvent],Tabla8[dP])</f>
        <v>6</v>
      </c>
      <c r="DD74" s="2">
        <f xml:space="preserve"> _xlfn.XLOOKUP(4,Tabla8[Selec. Solvent],Tabla8[Radius])*SIN(CK74)+  _xlfn.XLOOKUP(4,Tabla8[Selec. Solvent],Tabla8[dH])</f>
        <v>6.6</v>
      </c>
      <c r="DE74" s="2">
        <f xml:space="preserve">  _xlfn.XLOOKUP(4,Tabla8[Selec. Solvent],Tabla8[Radius])*COS(CK74)+ _xlfn.XLOOKUP(4,Tabla8[Selec. Solvent],Tabla8[dD])</f>
        <v>15.9</v>
      </c>
    </row>
    <row r="75" spans="9:109" x14ac:dyDescent="0.25">
      <c r="I75" s="4"/>
      <c r="J75" s="4"/>
      <c r="K75" s="4"/>
      <c r="L75" s="4"/>
      <c r="M75" s="4"/>
      <c r="N75" s="4"/>
      <c r="O75" s="4"/>
      <c r="P75" s="4"/>
      <c r="CJ75" s="2">
        <v>360</v>
      </c>
      <c r="CK75" s="2">
        <f>RADIANS(Tabla3[[#This Row],[Angle º]])</f>
        <v>6.2831853071795862</v>
      </c>
      <c r="CL75" s="2">
        <f t="shared" si="12"/>
        <v>15.4</v>
      </c>
      <c r="CM75" s="2">
        <f t="shared" si="13"/>
        <v>5.4</v>
      </c>
      <c r="CN75" s="2">
        <f t="shared" si="14"/>
        <v>8</v>
      </c>
      <c r="CO75" s="2">
        <f t="shared" si="15"/>
        <v>15.4</v>
      </c>
      <c r="CP75" s="2">
        <f xml:space="preserve"> (_xlfn.XLOOKUP(1,Tabla8[Selec. Solvent],Tabla8[Radius]))*SIN(CK75)+ _xlfn.XLOOKUP(1,Tabla8[Selec. Solvent],Tabla8[dD])</f>
        <v>16</v>
      </c>
      <c r="CQ75" s="2">
        <f xml:space="preserve"> _xlfn.XLOOKUP(1,Tabla8[Selec. Solvent],Tabla8[Radius])*COS(CK75)+ _xlfn.XLOOKUP(1,Tabla8[Selec. Solvent],Tabla8[dP])</f>
        <v>5</v>
      </c>
      <c r="CR75" s="2">
        <f xml:space="preserve"> _xlfn.XLOOKUP(1,Tabla8[Selec. Solvent],Tabla8[Radius])*SIN(CK75)+  _xlfn.XLOOKUP(1,Tabla8[Selec. Solvent],Tabla8[dH])</f>
        <v>5.4</v>
      </c>
      <c r="CS75" s="2">
        <f xml:space="preserve">  _xlfn.XLOOKUP(1,Tabla8[Selec. Solvent],Tabla8[Radius])*COS(CK75)+ _xlfn.XLOOKUP(1,Tabla8[Selec. Solvent],Tabla8[dD])</f>
        <v>16</v>
      </c>
      <c r="CT75" s="2">
        <f xml:space="preserve"> (_xlfn.XLOOKUP(2,Tabla8[Selec. Solvent],Tabla8[Radius]))*SIN(CK75)+ _xlfn.XLOOKUP(2,Tabla8[Selec. Solvent],Tabla8[dD])</f>
        <v>16</v>
      </c>
      <c r="CU75" s="2">
        <f xml:space="preserve"> _xlfn.XLOOKUP(2,Tabla8[Selec. Solvent],Tabla8[Radius])*COS(CK75)+ _xlfn.XLOOKUP(2,Tabla8[Selec. Solvent],Tabla8[dP])</f>
        <v>6.5</v>
      </c>
      <c r="CV75" s="2">
        <f xml:space="preserve"> _xlfn.XLOOKUP(2,Tabla8[Selec. Solvent],Tabla8[Radius])*SIN(CK75)+  _xlfn.XLOOKUP(2,Tabla8[Selec. Solvent],Tabla8[dH])</f>
        <v>2.4</v>
      </c>
      <c r="CW75" s="2">
        <f xml:space="preserve">  _xlfn.XLOOKUP(2,Tabla8[Selec. Solvent],Tabla8[Radius])*COS(CK75)+ _xlfn.XLOOKUP(2,Tabla8[Selec. Solvent],Tabla8[dD])</f>
        <v>16</v>
      </c>
      <c r="CX75" s="2">
        <f xml:space="preserve"> (_xlfn.XLOOKUP(3,Tabla8[Selec. Solvent],Tabla8[Radius]))*SIN(CK75)+ _xlfn.XLOOKUP(3,Tabla8[Selec. Solvent],Tabla8[dD])</f>
        <v>14.8</v>
      </c>
      <c r="CY75" s="2">
        <f xml:space="preserve"> _xlfn.XLOOKUP(3,Tabla8[Selec. Solvent],Tabla8[Radius])*COS(CK75)+ _xlfn.XLOOKUP(3,Tabla8[Selec. Solvent],Tabla8[dP])</f>
        <v>4.2</v>
      </c>
      <c r="CZ75" s="2">
        <f xml:space="preserve"> _xlfn.XLOOKUP(3,Tabla8[Selec. Solvent],Tabla8[Radius])*SIN(CK75)+  _xlfn.XLOOKUP(3,Tabla8[Selec. Solvent],Tabla8[dH])</f>
        <v>5.8</v>
      </c>
      <c r="DA75" s="2">
        <f xml:space="preserve">  _xlfn.XLOOKUP(,Tabla8[Selec. Solvent],Tabla8[Radius])*COS(CK75)+ _xlfn.XLOOKUP(3,Tabla8[Selec. Solvent],Tabla8[dD])</f>
        <v>14.8</v>
      </c>
      <c r="DB75" s="2">
        <f xml:space="preserve"> (_xlfn.XLOOKUP(4,Tabla8[Selec. Solvent],Tabla8[Radius]))*SIN(CK75)+ _xlfn.XLOOKUP(4,Tabla8[Selec. Solvent],Tabla8[dD])</f>
        <v>15.9</v>
      </c>
      <c r="DC75" s="2">
        <f xml:space="preserve"> _xlfn.XLOOKUP(4,Tabla8[Selec. Solvent],Tabla8[Radius])*COS(CK75)+ _xlfn.XLOOKUP(4,Tabla8[Selec. Solvent],Tabla8[dP])</f>
        <v>6</v>
      </c>
      <c r="DD75" s="2">
        <f xml:space="preserve"> _xlfn.XLOOKUP(4,Tabla8[Selec. Solvent],Tabla8[Radius])*SIN(CK75)+  _xlfn.XLOOKUP(4,Tabla8[Selec. Solvent],Tabla8[dH])</f>
        <v>6.6</v>
      </c>
      <c r="DE75" s="2">
        <f xml:space="preserve">  _xlfn.XLOOKUP(4,Tabla8[Selec. Solvent],Tabla8[Radius])*COS(CK75)+ _xlfn.XLOOKUP(4,Tabla8[Selec. Solvent],Tabla8[dD])</f>
        <v>15.9</v>
      </c>
    </row>
    <row r="76" spans="9:109" x14ac:dyDescent="0.25">
      <c r="I76" s="4"/>
      <c r="J76" s="4"/>
      <c r="K76" s="4"/>
      <c r="L76" s="4"/>
      <c r="M76" s="4"/>
      <c r="N76" s="4"/>
      <c r="O76" s="4"/>
      <c r="P76" s="4"/>
    </row>
    <row r="77" spans="9:109" x14ac:dyDescent="0.25">
      <c r="I77" s="4"/>
      <c r="J77" s="4"/>
      <c r="K77" s="4"/>
      <c r="L77" s="4"/>
      <c r="M77" s="4"/>
      <c r="N77" s="4"/>
      <c r="O77" s="4"/>
      <c r="P77" s="4"/>
    </row>
    <row r="78" spans="9:109" x14ac:dyDescent="0.25">
      <c r="I78" s="4"/>
      <c r="J78" s="4"/>
      <c r="K78" s="4"/>
      <c r="L78" s="4"/>
      <c r="M78" s="4"/>
      <c r="N78" s="4"/>
      <c r="O78" s="4"/>
      <c r="P78" s="4"/>
    </row>
    <row r="79" spans="9:109" x14ac:dyDescent="0.25">
      <c r="I79" s="4"/>
      <c r="J79" s="4"/>
      <c r="K79" s="4"/>
      <c r="L79" s="4"/>
      <c r="M79" s="4"/>
      <c r="N79" s="4"/>
      <c r="O79" s="4"/>
      <c r="P79" s="4"/>
    </row>
    <row r="80" spans="9:109" x14ac:dyDescent="0.25">
      <c r="I80" s="4"/>
      <c r="J80" s="4"/>
      <c r="K80" s="4"/>
      <c r="L80" s="4"/>
      <c r="M80" s="4"/>
      <c r="N80" s="4"/>
      <c r="O80" s="4"/>
      <c r="P80" s="4"/>
    </row>
    <row r="81" spans="9:16" x14ac:dyDescent="0.25">
      <c r="I81" s="4"/>
      <c r="J81" s="4"/>
      <c r="K81" s="4"/>
      <c r="L81" s="4"/>
      <c r="M81" s="4"/>
      <c r="N81" s="4"/>
      <c r="O81" s="4"/>
      <c r="P81" s="4"/>
    </row>
    <row r="82" spans="9:16" x14ac:dyDescent="0.25">
      <c r="I82" s="4"/>
      <c r="J82" s="4"/>
      <c r="K82" s="4"/>
      <c r="L82" s="4"/>
      <c r="M82" s="4"/>
      <c r="N82" s="4"/>
      <c r="O82" s="4"/>
      <c r="P82" s="4"/>
    </row>
    <row r="83" spans="9:16" x14ac:dyDescent="0.25">
      <c r="I83" s="4"/>
      <c r="J83" s="4"/>
      <c r="K83" s="4"/>
      <c r="L83" s="4"/>
      <c r="M83" s="4"/>
      <c r="N83" s="4"/>
      <c r="O83" s="4"/>
      <c r="P83" s="4"/>
    </row>
    <row r="84" spans="9:16" x14ac:dyDescent="0.25">
      <c r="I84" s="4"/>
      <c r="J84" s="4"/>
      <c r="K84" s="4"/>
      <c r="L84" s="4"/>
      <c r="M84" s="4"/>
      <c r="N84" s="4"/>
      <c r="O84" s="4"/>
      <c r="P84" s="4"/>
    </row>
    <row r="85" spans="9:16" x14ac:dyDescent="0.25">
      <c r="I85" s="4"/>
      <c r="J85" s="4"/>
      <c r="K85" s="4"/>
      <c r="L85" s="4"/>
      <c r="M85" s="4"/>
      <c r="N85" s="4"/>
      <c r="O85" s="4"/>
      <c r="P85" s="4"/>
    </row>
    <row r="86" spans="9:16" x14ac:dyDescent="0.25">
      <c r="I86" s="4"/>
      <c r="J86" s="4"/>
      <c r="K86" s="4"/>
      <c r="L86" s="4"/>
      <c r="M86" s="4"/>
      <c r="N86" s="4"/>
      <c r="O86" s="4"/>
      <c r="P86" s="4"/>
    </row>
    <row r="87" spans="9:16" x14ac:dyDescent="0.25">
      <c r="I87" s="4"/>
      <c r="J87" s="4"/>
      <c r="K87" s="4"/>
      <c r="L87" s="4"/>
      <c r="M87" s="4"/>
      <c r="N87" s="4"/>
      <c r="O87" s="4"/>
      <c r="P87" s="4"/>
    </row>
    <row r="88" spans="9:16" x14ac:dyDescent="0.25">
      <c r="I88" s="4"/>
      <c r="J88" s="4"/>
      <c r="K88" s="4"/>
      <c r="L88" s="4"/>
      <c r="M88" s="4"/>
      <c r="N88" s="4"/>
      <c r="O88" s="4"/>
      <c r="P88" s="4"/>
    </row>
    <row r="89" spans="9:16" x14ac:dyDescent="0.25">
      <c r="I89" s="4"/>
      <c r="J89" s="4"/>
      <c r="K89" s="4"/>
      <c r="L89" s="4"/>
      <c r="M89" s="4"/>
      <c r="N89" s="4"/>
      <c r="O89" s="4"/>
      <c r="P89" s="4"/>
    </row>
    <row r="90" spans="9:16" x14ac:dyDescent="0.25">
      <c r="I90" s="4"/>
      <c r="J90" s="4"/>
      <c r="K90" s="4"/>
      <c r="L90" s="4"/>
      <c r="M90" s="4"/>
      <c r="N90" s="4"/>
      <c r="O90" s="4"/>
      <c r="P90" s="4"/>
    </row>
    <row r="91" spans="9:16" x14ac:dyDescent="0.25">
      <c r="I91" s="4"/>
      <c r="J91" s="4"/>
      <c r="K91" s="4"/>
      <c r="L91" s="4"/>
      <c r="M91" s="4"/>
      <c r="N91" s="4"/>
      <c r="O91" s="4"/>
      <c r="P91" s="4"/>
    </row>
    <row r="92" spans="9:16" x14ac:dyDescent="0.25">
      <c r="I92" s="4"/>
      <c r="J92" s="4"/>
      <c r="K92" s="4"/>
      <c r="L92" s="4"/>
      <c r="M92" s="4"/>
      <c r="N92" s="4"/>
      <c r="O92" s="4"/>
      <c r="P92" s="4"/>
    </row>
    <row r="93" spans="9:16" x14ac:dyDescent="0.25">
      <c r="I93" s="4"/>
      <c r="J93" s="4"/>
      <c r="K93" s="4"/>
      <c r="L93" s="4"/>
      <c r="M93" s="4"/>
      <c r="N93" s="4"/>
      <c r="O93" s="4"/>
      <c r="P93" s="4"/>
    </row>
  </sheetData>
  <mergeCells count="5">
    <mergeCell ref="CL1:CO1"/>
    <mergeCell ref="CP1:CS1"/>
    <mergeCell ref="CT1:CW1"/>
    <mergeCell ref="CX1:DA1"/>
    <mergeCell ref="DB1:DE1"/>
  </mergeCells>
  <phoneticPr fontId="6" type="noConversion"/>
  <conditionalFormatting sqref="G10:G17">
    <cfRule type="cellIs" dxfId="8" priority="32" operator="equal">
      <formula>$BN$13</formula>
    </cfRule>
  </conditionalFormatting>
  <conditionalFormatting sqref="H8">
    <cfRule type="cellIs" dxfId="7" priority="1" operator="notBetween">
      <formula>100</formula>
      <formula>100</formula>
    </cfRule>
  </conditionalFormatting>
  <conditionalFormatting sqref="R7:R17">
    <cfRule type="cellIs" dxfId="6" priority="26" operator="equal">
      <formula>$BI$13</formula>
    </cfRule>
  </conditionalFormatting>
  <conditionalFormatting sqref="S7:S17">
    <cfRule type="cellIs" dxfId="5" priority="27" operator="equal">
      <formula>$BJ$13</formula>
    </cfRule>
  </conditionalFormatting>
  <conditionalFormatting sqref="T7:T17">
    <cfRule type="cellIs" dxfId="4" priority="28" operator="equal">
      <formula>$BK$13</formula>
    </cfRule>
  </conditionalFormatting>
  <conditionalFormatting sqref="U7:U17">
    <cfRule type="cellIs" dxfId="3" priority="29" operator="equal">
      <formula>$BL$13</formula>
    </cfRule>
  </conditionalFormatting>
  <conditionalFormatting sqref="V7:V17">
    <cfRule type="cellIs" dxfId="2" priority="30" operator="equal">
      <formula>$BM$13</formula>
    </cfRule>
  </conditionalFormatting>
  <conditionalFormatting sqref="W7:W17">
    <cfRule type="cellIs" dxfId="1" priority="31" operator="equal">
      <formula>$BH$13</formula>
    </cfRule>
  </conditionalFormatting>
  <conditionalFormatting sqref="X1:X20 X90:X1048576">
    <cfRule type="cellIs" dxfId="0" priority="15" operator="lessThanOrEqual">
      <formula>1</formula>
    </cfRule>
  </conditionalFormatting>
  <pageMargins left="0.70866141732283472" right="0.70866141732283472" top="0.74803149606299213" bottom="0.74803149606299213" header="0.31496062992125984" footer="0.31496062992125984"/>
  <pageSetup paperSize="9" scale="52" orientation="landscape" r:id="rId1"/>
  <drawing r:id="rId2"/>
  <legacyDrawing r:id="rId3"/>
  <tableParts count="4">
    <tablePart r:id="rId4"/>
    <tablePart r:id="rId5"/>
    <tablePart r:id="rId6"/>
    <tablePart r:id="rId7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4" id="{D81E7D55-2343-4592-942B-C3F8AFA99FB2}">
            <x14:iconSet iconSet="3Symbols2" custom="1">
              <x14:cfvo type="percent">
                <xm:f>0</xm:f>
              </x14:cfvo>
              <x14:cfvo type="num">
                <xm:f>4</xm:f>
              </x14:cfvo>
              <x14:cfvo type="num">
                <xm:f>6</xm:f>
              </x14:cfvo>
              <x14:cfIcon iconSet="3Symbols2" iconId="2"/>
              <x14:cfIcon iconSet="3Symbols2" iconId="1"/>
              <x14:cfIcon iconSet="3Symbols2" iconId="0"/>
            </x14:iconSet>
          </x14:cfRule>
          <xm:sqref>G4</xm:sqref>
        </x14:conditionalFormatting>
        <x14:conditionalFormatting xmlns:xm="http://schemas.microsoft.com/office/excel/2006/main">
          <x14:cfRule type="iconSet" priority="22" id="{E30F7418-E92B-4CDF-BC0B-E2E514D74D3D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2"/>
              <x14:cfIcon iconSet="3Symbols2" iconId="0"/>
            </x14:iconSet>
          </x14:cfRule>
          <xm:sqref>G5</xm:sqref>
        </x14:conditionalFormatting>
        <x14:conditionalFormatting xmlns:xm="http://schemas.microsoft.com/office/excel/2006/main">
          <x14:cfRule type="iconSet" priority="33" id="{BE0F8544-E504-43BD-81FA-988D449B7B14}">
            <x14:iconSet iconSet="3Symbols2" custom="1">
              <x14:cfvo type="percent">
                <xm:f>0</xm:f>
              </x14:cfvo>
              <x14:cfvo type="num" gte="0">
                <xm:f>0</xm:f>
              </x14:cfvo>
              <x14:cfvo type="num">
                <xm:f>0</xm:f>
              </x14:cfvo>
              <x14:cfIcon iconSet="3Symbols2" iconId="2"/>
              <x14:cfIcon iconSet="3Symbols2" iconId="2"/>
              <x14:cfIcon iconSet="3Symbols2" iconId="0"/>
            </x14:iconSet>
          </x14:cfRule>
          <xm:sqref>O4:P5 M4:M5</xm:sqref>
        </x14:conditionalFormatting>
        <x14:conditionalFormatting xmlns:xm="http://schemas.microsoft.com/office/excel/2006/main">
          <x14:cfRule type="iconSet" priority="12" id="{59EEC17F-D178-4152-9428-451CE42B8D1E}">
            <x14:iconSet iconSet="3Symbols2" custom="1">
              <x14:cfvo type="percent">
                <xm:f>0</xm:f>
              </x14:cfvo>
              <x14:cfvo type="num">
                <xm:f>4</xm:f>
              </x14:cfvo>
              <x14:cfvo type="num">
                <xm:f>6</xm:f>
              </x14:cfvo>
              <x14:cfIcon iconSet="3Symbols2" iconId="2"/>
              <x14:cfIcon iconSet="3Symbols2" iconId="1"/>
              <x14:cfIcon iconSet="3Symbols2" iconId="0"/>
            </x14:iconSet>
          </x14:cfRule>
          <xm:sqref>W90:W1048576 W1:W18</xm:sqref>
        </x14:conditionalFormatting>
        <x14:conditionalFormatting xmlns:xm="http://schemas.microsoft.com/office/excel/2006/main">
          <x14:cfRule type="iconSet" priority="21" id="{CA14ECD2-B793-4836-B4C1-83523145B469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2"/>
              <x14:cfIcon iconSet="3Symbols2" iconId="0"/>
            </x14:iconSet>
          </x14:cfRule>
          <xm:sqref>X90:X1048576 X1:X20</xm:sqref>
        </x14:conditionalFormatting>
        <x14:conditionalFormatting xmlns:xm="http://schemas.microsoft.com/office/excel/2006/main">
          <x14:cfRule type="iconSet" priority="2" id="{505CF7C0-9837-4CBA-8043-690BAC2F8B07}">
            <x14:iconSet iconSet="3Symbols2" custom="1">
              <x14:cfvo type="percent">
                <xm:f>0</xm:f>
              </x14:cfvo>
              <x14:cfvo type="num">
                <xm:f>4</xm:f>
              </x14:cfvo>
              <x14:cfvo type="num">
                <xm:f>6</xm:f>
              </x14:cfvo>
              <x14:cfIcon iconSet="3Symbols2" iconId="2"/>
              <x14:cfIcon iconSet="3Symbols2" iconId="1"/>
              <x14:cfIcon iconSet="3Symbols2" iconId="0"/>
            </x14:iconSet>
          </x14:cfRule>
          <xm:sqref>Y31:AB31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M457"/>
  <sheetViews>
    <sheetView showGridLines="0" zoomScale="85" zoomScaleNormal="85" workbookViewId="0">
      <selection activeCell="X14" sqref="X14"/>
    </sheetView>
  </sheetViews>
  <sheetFormatPr defaultColWidth="11.42578125" defaultRowHeight="15" x14ac:dyDescent="0.25"/>
  <cols>
    <col min="1" max="1" width="5.85546875" customWidth="1"/>
    <col min="2" max="2" width="19.28515625" style="2" bestFit="1" customWidth="1"/>
    <col min="3" max="3" width="41.42578125" style="2" bestFit="1" customWidth="1"/>
    <col min="4" max="7" width="11.42578125" style="2"/>
    <col min="8" max="8" width="10.28515625" style="5" customWidth="1"/>
    <col min="9" max="9" width="0" hidden="1" customWidth="1"/>
  </cols>
  <sheetData>
    <row r="1" spans="2:13" x14ac:dyDescent="0.25">
      <c r="J1" s="15" t="s">
        <v>2580</v>
      </c>
    </row>
    <row r="2" spans="2:13" x14ac:dyDescent="0.25">
      <c r="B2" s="20" t="s">
        <v>2467</v>
      </c>
    </row>
    <row r="3" spans="2:13" ht="15.75" thickBot="1" x14ac:dyDescent="0.3">
      <c r="J3" s="3"/>
      <c r="K3" s="10" t="s">
        <v>2465</v>
      </c>
      <c r="L3" s="10" t="s">
        <v>2466</v>
      </c>
    </row>
    <row r="4" spans="2:13" ht="15.75" thickBot="1" x14ac:dyDescent="0.3">
      <c r="B4" s="10" t="s">
        <v>2452</v>
      </c>
      <c r="C4" s="10" t="s">
        <v>3</v>
      </c>
      <c r="D4" s="10" t="s">
        <v>96</v>
      </c>
      <c r="E4" s="10" t="s">
        <v>97</v>
      </c>
      <c r="F4" s="10" t="s">
        <v>98</v>
      </c>
      <c r="G4" s="10" t="s">
        <v>4</v>
      </c>
      <c r="J4" s="18" t="s">
        <v>96</v>
      </c>
      <c r="K4" s="22">
        <v>14</v>
      </c>
      <c r="L4" s="22">
        <v>18</v>
      </c>
    </row>
    <row r="5" spans="2:13" x14ac:dyDescent="0.25">
      <c r="B5" s="72" t="s">
        <v>1279</v>
      </c>
      <c r="C5" s="12" t="str">
        <f>VLOOKUP(B5,Tabla1[],2,FALSE)</f>
        <v>Rhodiasolv IRIS / Dimethyl 2-Methylglutarate</v>
      </c>
      <c r="D5" s="12">
        <f>VLOOKUP(B5,Tabla1[],3,FALSE)</f>
        <v>16.600000000000001</v>
      </c>
      <c r="E5" s="12">
        <f>VLOOKUP(B5,Tabla1[],4,FALSE)</f>
        <v>8.6999999999999993</v>
      </c>
      <c r="F5" s="12">
        <f>VLOOKUP(B5,Tabla1[],5,FALSE)</f>
        <v>5</v>
      </c>
      <c r="G5" s="12">
        <f>VLOOKUP(B5,Tabla1[],6,FALSE)</f>
        <v>165.9</v>
      </c>
      <c r="J5" s="19" t="s">
        <v>97</v>
      </c>
      <c r="K5" s="23">
        <v>3</v>
      </c>
      <c r="L5" s="23">
        <v>12</v>
      </c>
    </row>
    <row r="6" spans="2:13" x14ac:dyDescent="0.25">
      <c r="J6" s="19" t="s">
        <v>98</v>
      </c>
      <c r="K6" s="23">
        <v>0</v>
      </c>
      <c r="L6" s="23">
        <v>10</v>
      </c>
    </row>
    <row r="7" spans="2:13" x14ac:dyDescent="0.25">
      <c r="B7" s="20" t="s">
        <v>2468</v>
      </c>
      <c r="H7" s="5" t="s">
        <v>2511</v>
      </c>
      <c r="J7" s="3"/>
      <c r="K7" s="3"/>
      <c r="L7" s="3"/>
    </row>
    <row r="8" spans="2:13" x14ac:dyDescent="0.25">
      <c r="B8" s="20"/>
      <c r="H8" s="5" t="str">
        <f>"4-8"</f>
        <v>4-8</v>
      </c>
      <c r="J8" s="3"/>
      <c r="K8" s="3"/>
      <c r="L8" s="3"/>
      <c r="M8" s="3"/>
    </row>
    <row r="9" spans="2:13" x14ac:dyDescent="0.25">
      <c r="H9" s="5" t="s">
        <v>2512</v>
      </c>
    </row>
    <row r="10" spans="2:13" ht="15.75" thickBot="1" x14ac:dyDescent="0.3">
      <c r="B10" s="10" t="s">
        <v>2452</v>
      </c>
      <c r="C10" s="10" t="s">
        <v>3</v>
      </c>
      <c r="D10" s="10" t="s">
        <v>96</v>
      </c>
      <c r="E10" s="10" t="s">
        <v>97</v>
      </c>
      <c r="F10" s="10" t="s">
        <v>98</v>
      </c>
      <c r="G10" s="10" t="s">
        <v>4</v>
      </c>
      <c r="H10" s="10" t="s">
        <v>5</v>
      </c>
    </row>
    <row r="11" spans="2:13" x14ac:dyDescent="0.25">
      <c r="B11" s="2" t="str" cm="1">
        <f t="array" ref="B11:I457">_xlfn._xlws.SORT(_xlfn._xlws.FILTER(Tabla1[], (Tabla1[dD]&lt;'Find a similar substance'!L4)*(Tabla1[dD]&gt;'Find a similar substance'!K4)*(Tabla1[dP]&lt;'Find a similar substance'!L5)*(Tabla1[dP]&gt;'Find a similar substance'!K5)*(Tabla1[dH]&lt;'Find a similar substance'!L6)*(Tabla1[dH]&gt;'Find a similar substance'!K6), "Entra los valores"), 7,1)</f>
        <v>14035-94-0</v>
      </c>
      <c r="C11" s="2" t="str">
        <v>Rhodiasolv IRIS / Dimethyl 2-Methylglutarate</v>
      </c>
      <c r="D11" s="2">
        <v>16.600000000000001</v>
      </c>
      <c r="E11" s="2">
        <v>8.6999999999999993</v>
      </c>
      <c r="F11" s="2">
        <v>5</v>
      </c>
      <c r="G11" s="2">
        <v>165.9</v>
      </c>
      <c r="H11" s="5">
        <v>0</v>
      </c>
      <c r="I11">
        <v>0</v>
      </c>
    </row>
    <row r="12" spans="2:13" x14ac:dyDescent="0.25">
      <c r="B12" s="2" t="str">
        <v>141-75-3</v>
      </c>
      <c r="C12" s="2" t="str">
        <v>Butyrylchloride</v>
      </c>
      <c r="D12" s="2">
        <v>16.8</v>
      </c>
      <c r="E12" s="2">
        <v>9.4</v>
      </c>
      <c r="F12" s="2">
        <v>4.8</v>
      </c>
      <c r="G12" s="2" t="str">
        <v/>
      </c>
      <c r="H12" s="5">
        <v>0.83066238629180777</v>
      </c>
      <c r="I12">
        <v>0</v>
      </c>
    </row>
    <row r="13" spans="2:13" x14ac:dyDescent="0.25">
      <c r="B13" s="2" t="str">
        <v>106-94-5</v>
      </c>
      <c r="C13" s="2" t="str">
        <v>1-Bromopropane</v>
      </c>
      <c r="D13" s="2">
        <v>16.399999999999999</v>
      </c>
      <c r="E13" s="2">
        <v>7.9</v>
      </c>
      <c r="F13" s="2">
        <v>4.8</v>
      </c>
      <c r="G13" s="2" t="str">
        <v/>
      </c>
      <c r="H13" s="5">
        <v>0.91651513899116965</v>
      </c>
      <c r="I13">
        <v>0</v>
      </c>
    </row>
    <row r="14" spans="2:13" x14ac:dyDescent="0.25">
      <c r="B14" s="2" t="str">
        <v>106-91-2</v>
      </c>
      <c r="C14" s="2" t="str">
        <v>Glycidyl Methacrylate</v>
      </c>
      <c r="D14" s="2">
        <v>16.3</v>
      </c>
      <c r="E14" s="2">
        <v>8.5</v>
      </c>
      <c r="F14" s="2">
        <v>5.7</v>
      </c>
      <c r="G14" s="2" t="str">
        <v/>
      </c>
      <c r="H14" s="5">
        <v>0.94339811320566125</v>
      </c>
      <c r="I14">
        <v>0</v>
      </c>
    </row>
    <row r="15" spans="2:13" x14ac:dyDescent="0.25">
      <c r="B15" s="2" t="str">
        <v>1070-70-8</v>
      </c>
      <c r="C15" s="2" t="str">
        <v>1,4-Butandiol Diacrylate</v>
      </c>
      <c r="D15" s="2">
        <v>16.8</v>
      </c>
      <c r="E15" s="2">
        <v>9.1</v>
      </c>
      <c r="F15" s="2">
        <v>4.2</v>
      </c>
      <c r="G15" s="2" t="str">
        <v/>
      </c>
      <c r="H15" s="5">
        <v>0.97979589711327064</v>
      </c>
      <c r="I15">
        <v>0</v>
      </c>
    </row>
    <row r="16" spans="2:13" x14ac:dyDescent="0.25">
      <c r="B16" s="2" t="str">
        <v>78-59-1</v>
      </c>
      <c r="C16" s="2" t="str">
        <v>Isophorone</v>
      </c>
      <c r="D16" s="2">
        <v>17</v>
      </c>
      <c r="E16" s="2">
        <v>8</v>
      </c>
      <c r="F16" s="2">
        <v>5</v>
      </c>
      <c r="G16" s="2">
        <v>150.30000000000001</v>
      </c>
      <c r="H16" s="5">
        <v>1.0630145812734624</v>
      </c>
      <c r="I16">
        <v>0</v>
      </c>
    </row>
    <row r="17" spans="2:9" x14ac:dyDescent="0.25">
      <c r="B17" s="2" t="str">
        <v>628-34-2</v>
      </c>
      <c r="C17" s="2" t="str">
        <v>2-Chloroethyl Ethyl Ether</v>
      </c>
      <c r="D17" s="2">
        <v>16.3</v>
      </c>
      <c r="E17" s="2">
        <v>7.9</v>
      </c>
      <c r="F17" s="2">
        <v>4.5999999999999996</v>
      </c>
      <c r="G17" s="2" t="str">
        <v/>
      </c>
      <c r="H17" s="5">
        <v>1.077032961426901</v>
      </c>
      <c r="I17">
        <v>0</v>
      </c>
    </row>
    <row r="18" spans="2:9" x14ac:dyDescent="0.25">
      <c r="B18" s="2" t="str">
        <v>78-95-5</v>
      </c>
      <c r="C18" s="2" t="str">
        <v>Chloroacetone</v>
      </c>
      <c r="D18" s="2">
        <v>16.8</v>
      </c>
      <c r="E18" s="2">
        <v>9.6</v>
      </c>
      <c r="F18" s="2">
        <v>5.5</v>
      </c>
      <c r="G18" s="2" t="str">
        <v/>
      </c>
      <c r="H18" s="5">
        <v>1.1045361017187258</v>
      </c>
      <c r="I18">
        <v>0</v>
      </c>
    </row>
    <row r="19" spans="2:9" x14ac:dyDescent="0.25">
      <c r="B19" s="2" t="str">
        <v>88-12-0</v>
      </c>
      <c r="C19" s="2" t="str">
        <v>Vinyl Pyrrolidone</v>
      </c>
      <c r="D19" s="2">
        <v>16.399999999999999</v>
      </c>
      <c r="E19" s="2">
        <v>9.3000000000000007</v>
      </c>
      <c r="F19" s="2">
        <v>5.9</v>
      </c>
      <c r="G19" s="2" t="str">
        <v/>
      </c>
      <c r="H19" s="5">
        <v>1.1532562594670825</v>
      </c>
      <c r="I19">
        <v>0</v>
      </c>
    </row>
    <row r="20" spans="2:9" x14ac:dyDescent="0.25">
      <c r="B20" s="2" t="str">
        <v>10458-14-7</v>
      </c>
      <c r="C20" s="2" t="str">
        <v>l-Menthone</v>
      </c>
      <c r="D20" s="2">
        <v>17</v>
      </c>
      <c r="E20" s="2">
        <v>8.1</v>
      </c>
      <c r="F20" s="2">
        <v>4.4000000000000004</v>
      </c>
      <c r="G20" s="2" t="str">
        <v/>
      </c>
      <c r="H20" s="5">
        <v>1.1661903789690578</v>
      </c>
      <c r="I20">
        <v>0</v>
      </c>
    </row>
    <row r="21" spans="2:9" x14ac:dyDescent="0.25">
      <c r="B21" s="2" t="str">
        <v>1502-06-3</v>
      </c>
      <c r="C21" s="2" t="str">
        <v>Cyclodecanone</v>
      </c>
      <c r="D21" s="2">
        <v>16.8</v>
      </c>
      <c r="E21" s="2">
        <v>8</v>
      </c>
      <c r="F21" s="2">
        <v>4.0999999999999996</v>
      </c>
      <c r="G21" s="2" t="str">
        <v/>
      </c>
      <c r="H21" s="5">
        <v>1.2083045973594566</v>
      </c>
      <c r="I21">
        <v>0</v>
      </c>
    </row>
    <row r="22" spans="2:9" x14ac:dyDescent="0.25">
      <c r="B22" s="2" t="str">
        <v>78-93-3</v>
      </c>
      <c r="C22" s="2" t="str">
        <v>Methyl Ethyl Ketone (MEK)</v>
      </c>
      <c r="D22" s="2">
        <v>16</v>
      </c>
      <c r="E22" s="2">
        <v>9</v>
      </c>
      <c r="F22" s="2">
        <v>5.0999999999999996</v>
      </c>
      <c r="G22" s="2">
        <v>90.2</v>
      </c>
      <c r="H22" s="5">
        <v>1.2409673645990886</v>
      </c>
      <c r="I22">
        <v>0</v>
      </c>
    </row>
    <row r="23" spans="2:9" x14ac:dyDescent="0.25">
      <c r="B23" s="2" t="str">
        <v>502-49-8</v>
      </c>
      <c r="C23" s="2" t="str">
        <v>Cyclooctanone</v>
      </c>
      <c r="D23" s="2">
        <v>17</v>
      </c>
      <c r="E23" s="2">
        <v>9.6</v>
      </c>
      <c r="F23" s="2">
        <v>4.5</v>
      </c>
      <c r="G23" s="2" t="str">
        <v/>
      </c>
      <c r="H23" s="5">
        <v>1.3038404810405282</v>
      </c>
      <c r="I23">
        <v>0</v>
      </c>
    </row>
    <row r="24" spans="2:9" x14ac:dyDescent="0.25">
      <c r="B24" s="2" t="str">
        <v>78-76-2</v>
      </c>
      <c r="C24" s="2" t="str">
        <v>2-Bromobutane</v>
      </c>
      <c r="D24" s="2">
        <v>16.3</v>
      </c>
      <c r="E24" s="2">
        <v>7.7</v>
      </c>
      <c r="F24" s="2">
        <v>4.4000000000000004</v>
      </c>
      <c r="G24" s="2" t="str">
        <v/>
      </c>
      <c r="H24" s="5">
        <v>1.3114877048603999</v>
      </c>
      <c r="I24">
        <v>0</v>
      </c>
    </row>
    <row r="25" spans="2:9" x14ac:dyDescent="0.25">
      <c r="B25" s="2" t="str">
        <v>19780-25-7</v>
      </c>
      <c r="C25" s="2" t="str">
        <v>2-Ethyl Croton Aldehyde</v>
      </c>
      <c r="D25" s="2">
        <v>16.100000000000001</v>
      </c>
      <c r="E25" s="2">
        <v>8</v>
      </c>
      <c r="F25" s="2">
        <v>5.5</v>
      </c>
      <c r="G25" s="2" t="str">
        <v/>
      </c>
      <c r="H25" s="5">
        <v>1.3190905958272916</v>
      </c>
      <c r="I25">
        <v>0</v>
      </c>
    </row>
    <row r="26" spans="2:9" x14ac:dyDescent="0.25">
      <c r="B26" s="2" t="str">
        <v>503-30-0</v>
      </c>
      <c r="C26" s="2" t="str">
        <v>Oxetane (Trimethylene Oxide)</v>
      </c>
      <c r="D26" s="2">
        <v>16.7</v>
      </c>
      <c r="E26" s="2">
        <v>10</v>
      </c>
      <c r="F26" s="2">
        <v>5.4</v>
      </c>
      <c r="G26" s="2" t="str">
        <v/>
      </c>
      <c r="H26" s="5">
        <v>1.3747727084867523</v>
      </c>
      <c r="I26">
        <v>0</v>
      </c>
    </row>
    <row r="27" spans="2:9" x14ac:dyDescent="0.25">
      <c r="B27" s="2" t="str">
        <v>106-95-6</v>
      </c>
      <c r="C27" s="2" t="str">
        <v>Allyl Bromide (3-Bromoprene)</v>
      </c>
      <c r="D27" s="2">
        <v>16.5</v>
      </c>
      <c r="E27" s="2">
        <v>7.3</v>
      </c>
      <c r="F27" s="2">
        <v>4.9000000000000004</v>
      </c>
      <c r="G27" s="2" t="str">
        <v/>
      </c>
      <c r="H27" s="5">
        <v>1.4177446878757822</v>
      </c>
      <c r="I27">
        <v>0</v>
      </c>
    </row>
    <row r="28" spans="2:9" x14ac:dyDescent="0.25">
      <c r="B28" s="2" t="str">
        <v>25322-68-3</v>
      </c>
      <c r="C28" s="2" t="str">
        <v>Polyethylene oxide (PEO)</v>
      </c>
      <c r="D28" s="2">
        <v>17</v>
      </c>
      <c r="E28" s="2">
        <v>10</v>
      </c>
      <c r="F28" s="2">
        <v>5</v>
      </c>
      <c r="G28" s="2" t="str">
        <v/>
      </c>
      <c r="H28" s="5">
        <v>1.5264337522473739</v>
      </c>
      <c r="I28">
        <v>8</v>
      </c>
    </row>
    <row r="29" spans="2:9" x14ac:dyDescent="0.25">
      <c r="B29" s="2" t="str">
        <v>1445-75-6</v>
      </c>
      <c r="C29" s="2" t="str">
        <v>Di-Isopropyl Methyl Phosphonate</v>
      </c>
      <c r="D29" s="2">
        <v>16.399999999999999</v>
      </c>
      <c r="E29" s="2">
        <v>10</v>
      </c>
      <c r="F29" s="2">
        <v>5.7</v>
      </c>
      <c r="G29" s="2" t="str">
        <v/>
      </c>
      <c r="H29" s="5">
        <v>1.5297058540778377</v>
      </c>
      <c r="I29">
        <v>0</v>
      </c>
    </row>
    <row r="30" spans="2:9" x14ac:dyDescent="0.25">
      <c r="B30" s="2" t="str">
        <v>513-88-2</v>
      </c>
      <c r="C30" s="2" t="str">
        <v>1,1-Dichloroacetone</v>
      </c>
      <c r="D30" s="2">
        <v>17.100000000000001</v>
      </c>
      <c r="E30" s="2">
        <v>7.6</v>
      </c>
      <c r="F30" s="2">
        <v>5.4</v>
      </c>
      <c r="G30" s="2" t="str">
        <v/>
      </c>
      <c r="H30" s="5">
        <v>1.5394804318340649</v>
      </c>
      <c r="I30">
        <v>0</v>
      </c>
    </row>
    <row r="31" spans="2:9" x14ac:dyDescent="0.25">
      <c r="B31" s="2" t="str">
        <v>141-79-7</v>
      </c>
      <c r="C31" s="2" t="str">
        <v>Mesityl Oxide</v>
      </c>
      <c r="D31" s="2">
        <v>16.399999999999999</v>
      </c>
      <c r="E31" s="2">
        <v>7.2</v>
      </c>
      <c r="F31" s="2">
        <v>5</v>
      </c>
      <c r="G31" s="2" t="str">
        <v/>
      </c>
      <c r="H31" s="5">
        <v>1.5524174696260029</v>
      </c>
      <c r="I31">
        <v>0</v>
      </c>
    </row>
    <row r="32" spans="2:9" x14ac:dyDescent="0.25">
      <c r="B32" s="2" t="str">
        <v>66-25-1</v>
      </c>
      <c r="C32" s="2" t="str">
        <v>Hexanal</v>
      </c>
      <c r="D32" s="2">
        <v>15.8</v>
      </c>
      <c r="E32" s="2">
        <v>8.4</v>
      </c>
      <c r="F32" s="2">
        <v>5.3</v>
      </c>
      <c r="G32" s="2" t="str">
        <v/>
      </c>
      <c r="H32" s="5">
        <v>1.655294535724686</v>
      </c>
      <c r="I32">
        <v>0</v>
      </c>
    </row>
    <row r="33" spans="2:9" x14ac:dyDescent="0.25">
      <c r="B33" s="2" t="str">
        <v>107-87-9</v>
      </c>
      <c r="C33" s="2" t="str">
        <v>Methyl n-Propyl Ketone</v>
      </c>
      <c r="D33" s="2">
        <v>16</v>
      </c>
      <c r="E33" s="2">
        <v>7.6</v>
      </c>
      <c r="F33" s="2">
        <v>4.7</v>
      </c>
      <c r="G33" s="2" t="str">
        <v/>
      </c>
      <c r="H33" s="5">
        <v>1.6552945357246867</v>
      </c>
      <c r="I33">
        <v>0</v>
      </c>
    </row>
    <row r="34" spans="2:9" x14ac:dyDescent="0.25">
      <c r="B34" s="2" t="str">
        <v>502-56-7</v>
      </c>
      <c r="C34" s="2" t="str">
        <v>Dibutyl Ketone</v>
      </c>
      <c r="D34" s="2">
        <v>16</v>
      </c>
      <c r="E34" s="2">
        <v>7.7</v>
      </c>
      <c r="F34" s="2">
        <v>4.4000000000000004</v>
      </c>
      <c r="G34" s="2" t="str">
        <v/>
      </c>
      <c r="H34" s="5">
        <v>1.6733200530681525</v>
      </c>
      <c r="I34">
        <v>0</v>
      </c>
    </row>
    <row r="35" spans="2:9" x14ac:dyDescent="0.25">
      <c r="B35" s="2" t="str">
        <v>40079-14-9</v>
      </c>
      <c r="C35" s="2" t="str">
        <v>1,2-Epoxy-2-Propene</v>
      </c>
      <c r="D35" s="2">
        <v>16.5</v>
      </c>
      <c r="E35" s="2">
        <v>8.6</v>
      </c>
      <c r="F35" s="2">
        <v>6.7</v>
      </c>
      <c r="G35" s="2" t="str">
        <v/>
      </c>
      <c r="H35" s="5">
        <v>1.7146428199482251</v>
      </c>
      <c r="I35">
        <v>0</v>
      </c>
    </row>
    <row r="36" spans="2:9" x14ac:dyDescent="0.25">
      <c r="B36" s="2" t="str">
        <v>545-06-2</v>
      </c>
      <c r="C36" s="2" t="str">
        <v>Trichloroacetonitrile</v>
      </c>
      <c r="D36" s="2">
        <v>16.399999999999999</v>
      </c>
      <c r="E36" s="2">
        <v>7.4</v>
      </c>
      <c r="F36" s="2">
        <v>6.1</v>
      </c>
      <c r="G36" s="2" t="str">
        <v/>
      </c>
      <c r="H36" s="5">
        <v>1.7492855684535906</v>
      </c>
      <c r="I36">
        <v>0</v>
      </c>
    </row>
    <row r="37" spans="2:9" x14ac:dyDescent="0.25">
      <c r="B37" s="2" t="str">
        <v>126-98-7</v>
      </c>
      <c r="C37" s="2" t="str">
        <v>Methacrylonitrile</v>
      </c>
      <c r="D37" s="2">
        <v>15.8</v>
      </c>
      <c r="E37" s="2">
        <v>9.5</v>
      </c>
      <c r="F37" s="2">
        <v>5.4</v>
      </c>
      <c r="G37" s="2" t="str">
        <v/>
      </c>
      <c r="H37" s="5">
        <v>1.8330302779823375</v>
      </c>
      <c r="I37">
        <v>0</v>
      </c>
    </row>
    <row r="38" spans="2:9" x14ac:dyDescent="0.25">
      <c r="B38" s="2" t="str">
        <v>25790-55-0</v>
      </c>
      <c r="C38" s="2" t="str">
        <v>4-Chloro-1,2-Butadiene</v>
      </c>
      <c r="D38" s="2">
        <v>16.600000000000001</v>
      </c>
      <c r="E38" s="2">
        <v>8</v>
      </c>
      <c r="F38" s="2">
        <v>6.7</v>
      </c>
      <c r="G38" s="2" t="str">
        <v/>
      </c>
      <c r="H38" s="5">
        <v>1.8384776310850235</v>
      </c>
      <c r="I38">
        <v>0</v>
      </c>
    </row>
    <row r="39" spans="2:9" x14ac:dyDescent="0.25">
      <c r="B39" s="2" t="str">
        <v>89-82-7</v>
      </c>
      <c r="C39" s="2" t="str">
        <v>Pulegone</v>
      </c>
      <c r="D39" s="2">
        <v>17.5</v>
      </c>
      <c r="E39" s="2">
        <v>8.9</v>
      </c>
      <c r="F39" s="2">
        <v>5.5</v>
      </c>
      <c r="G39" s="2" t="str">
        <v/>
      </c>
      <c r="H39" s="5">
        <v>1.8788294228055908</v>
      </c>
      <c r="I39">
        <v>0</v>
      </c>
    </row>
    <row r="40" spans="2:9" x14ac:dyDescent="0.25">
      <c r="B40" s="2" t="str">
        <v>79-03-8</v>
      </c>
      <c r="C40" s="2" t="str">
        <v>Propionylchloride</v>
      </c>
      <c r="D40" s="2">
        <v>16.100000000000001</v>
      </c>
      <c r="E40" s="2">
        <v>10.3</v>
      </c>
      <c r="F40" s="2">
        <v>5.3</v>
      </c>
      <c r="G40" s="2" t="str">
        <v/>
      </c>
      <c r="H40" s="5">
        <v>1.9104973174542812</v>
      </c>
      <c r="I40">
        <v>0</v>
      </c>
    </row>
    <row r="41" spans="2:9" x14ac:dyDescent="0.25">
      <c r="B41" s="2" t="str">
        <v>506-96-7</v>
      </c>
      <c r="C41" s="2" t="str">
        <v>Acetylbromide</v>
      </c>
      <c r="D41" s="2">
        <v>16.7</v>
      </c>
      <c r="E41" s="2">
        <v>10.6</v>
      </c>
      <c r="F41" s="2">
        <v>5.2</v>
      </c>
      <c r="G41" s="2" t="str">
        <v/>
      </c>
      <c r="H41" s="5">
        <v>1.9209372712298545</v>
      </c>
      <c r="I41">
        <v>0</v>
      </c>
    </row>
    <row r="42" spans="2:9" x14ac:dyDescent="0.25">
      <c r="B42" s="2" t="str">
        <v>79-04-9</v>
      </c>
      <c r="C42" s="2" t="str">
        <v>Chloroacetylchloride</v>
      </c>
      <c r="D42" s="2">
        <v>17.5</v>
      </c>
      <c r="E42" s="2">
        <v>9.1999999999999993</v>
      </c>
      <c r="F42" s="2">
        <v>5.5</v>
      </c>
      <c r="G42" s="2" t="str">
        <v/>
      </c>
      <c r="H42" s="5">
        <v>1.9339079605813689</v>
      </c>
      <c r="I42">
        <v>0</v>
      </c>
    </row>
    <row r="43" spans="2:9" x14ac:dyDescent="0.25">
      <c r="B43" s="2" t="str">
        <v>156-60-5</v>
      </c>
      <c r="C43" s="2" t="str">
        <v>Dichloroethylene (Trans)</v>
      </c>
      <c r="D43" s="2">
        <v>16.7</v>
      </c>
      <c r="E43" s="2">
        <v>7.8</v>
      </c>
      <c r="F43" s="2">
        <v>3.3</v>
      </c>
      <c r="G43" s="2" t="str">
        <v/>
      </c>
      <c r="H43" s="5">
        <v>1.9339079605813712</v>
      </c>
      <c r="I43">
        <v>0</v>
      </c>
    </row>
    <row r="44" spans="2:9" x14ac:dyDescent="0.25">
      <c r="B44" s="2" t="str">
        <v>123-19-3</v>
      </c>
      <c r="C44" s="2" t="str">
        <v>Dipropyl Ketone</v>
      </c>
      <c r="D44" s="2">
        <v>15.8</v>
      </c>
      <c r="E44" s="2">
        <v>7.6</v>
      </c>
      <c r="F44" s="2">
        <v>4.9000000000000004</v>
      </c>
      <c r="G44" s="2" t="str">
        <v/>
      </c>
      <c r="H44" s="5">
        <v>1.9442222095223591</v>
      </c>
      <c r="I44">
        <v>0</v>
      </c>
    </row>
    <row r="45" spans="2:9" x14ac:dyDescent="0.25">
      <c r="B45" s="2" t="str">
        <v>84-75-3</v>
      </c>
      <c r="C45" s="2" t="str">
        <v>Dihexyl Phthalate</v>
      </c>
      <c r="D45" s="2">
        <v>17</v>
      </c>
      <c r="E45" s="2">
        <v>7.6</v>
      </c>
      <c r="F45" s="2">
        <v>3.6</v>
      </c>
      <c r="G45" s="2" t="str">
        <v/>
      </c>
      <c r="H45" s="5">
        <v>1.9519221295943121</v>
      </c>
      <c r="I45">
        <v>0</v>
      </c>
    </row>
    <row r="46" spans="2:9" x14ac:dyDescent="0.25">
      <c r="B46" s="2" t="str">
        <v>96-22-0</v>
      </c>
      <c r="C46" s="2" t="str">
        <v>Diethyl Ketone</v>
      </c>
      <c r="D46" s="2">
        <v>15.8</v>
      </c>
      <c r="E46" s="2">
        <v>7.6</v>
      </c>
      <c r="F46" s="2">
        <v>4.7</v>
      </c>
      <c r="G46" s="2" t="str">
        <v/>
      </c>
      <c r="H46" s="5">
        <v>1.9646882704388511</v>
      </c>
      <c r="I46">
        <v>0</v>
      </c>
    </row>
    <row r="47" spans="2:9" x14ac:dyDescent="0.25">
      <c r="B47" s="2" t="str">
        <v>NA</v>
      </c>
      <c r="C47" s="2" t="str">
        <v>Vinyl S-Ethyl Mercapto Ethyl Ether</v>
      </c>
      <c r="D47" s="2">
        <v>16.399999999999999</v>
      </c>
      <c r="E47" s="2">
        <v>7</v>
      </c>
      <c r="F47" s="2">
        <v>6</v>
      </c>
      <c r="G47" s="2" t="str">
        <v/>
      </c>
      <c r="H47" s="5">
        <v>2.0124611797498115</v>
      </c>
      <c r="I47">
        <v>0</v>
      </c>
    </row>
    <row r="48" spans="2:9" x14ac:dyDescent="0.25">
      <c r="B48" s="2" t="str">
        <v>78-99-9</v>
      </c>
      <c r="C48" s="2" t="str">
        <v>1,1-Dichloropropane</v>
      </c>
      <c r="D48" s="2">
        <v>16.100000000000001</v>
      </c>
      <c r="E48" s="2">
        <v>7.8</v>
      </c>
      <c r="F48" s="2">
        <v>3.5</v>
      </c>
      <c r="G48" s="2" t="str">
        <v/>
      </c>
      <c r="H48" s="5">
        <v>2.0149441679609881</v>
      </c>
      <c r="I48">
        <v>0</v>
      </c>
    </row>
    <row r="49" spans="2:9" x14ac:dyDescent="0.25">
      <c r="B49" s="2" t="str">
        <v>25322-69-4</v>
      </c>
      <c r="C49" s="2" t="str">
        <v>Polypropylene oxide (PPO)</v>
      </c>
      <c r="D49" s="2">
        <v>16.5</v>
      </c>
      <c r="E49" s="2">
        <v>9</v>
      </c>
      <c r="F49" s="2">
        <v>7</v>
      </c>
      <c r="G49" s="2" t="str">
        <v/>
      </c>
      <c r="H49" s="5">
        <v>2.0322401432901578</v>
      </c>
      <c r="I49">
        <v>8</v>
      </c>
    </row>
    <row r="50" spans="2:9" x14ac:dyDescent="0.25">
      <c r="B50" s="2" t="str">
        <v>123-54-6</v>
      </c>
      <c r="C50" s="2" t="str">
        <v>Acetylacetone</v>
      </c>
      <c r="D50" s="2">
        <v>16.100000000000001</v>
      </c>
      <c r="E50" s="2">
        <v>10</v>
      </c>
      <c r="F50" s="2">
        <v>6.2</v>
      </c>
      <c r="G50" s="2" t="str">
        <v/>
      </c>
      <c r="H50" s="5">
        <v>2.0322401432901582</v>
      </c>
      <c r="I50">
        <v>0</v>
      </c>
    </row>
    <row r="51" spans="2:9" x14ac:dyDescent="0.25">
      <c r="B51" s="2" t="str">
        <v>513-37-1</v>
      </c>
      <c r="C51" s="2" t="str">
        <v>1-Chloro-2-Methyl Propene</v>
      </c>
      <c r="D51" s="2">
        <v>16.100000000000001</v>
      </c>
      <c r="E51" s="2">
        <v>7.1</v>
      </c>
      <c r="F51" s="2">
        <v>4.2</v>
      </c>
      <c r="G51" s="2" t="str">
        <v/>
      </c>
      <c r="H51" s="5">
        <v>2.0493901531919194</v>
      </c>
      <c r="I51">
        <v>0</v>
      </c>
    </row>
    <row r="52" spans="2:9" x14ac:dyDescent="0.25">
      <c r="B52" s="2" t="str">
        <v>74-88-4</v>
      </c>
      <c r="C52" s="2" t="str">
        <v>Methyl Iodide</v>
      </c>
      <c r="D52" s="2">
        <v>17.5</v>
      </c>
      <c r="E52" s="2">
        <v>7.7</v>
      </c>
      <c r="F52" s="2">
        <v>5.3</v>
      </c>
      <c r="G52" s="2" t="str">
        <v/>
      </c>
      <c r="H52" s="5">
        <v>2.0808652046684784</v>
      </c>
      <c r="I52">
        <v>0</v>
      </c>
    </row>
    <row r="53" spans="2:9" x14ac:dyDescent="0.25">
      <c r="B53" s="2" t="str">
        <v>156-59-2</v>
      </c>
      <c r="C53" s="2" t="str">
        <v>1,2-Dichloroethylene (Cis)</v>
      </c>
      <c r="D53" s="2">
        <v>17</v>
      </c>
      <c r="E53" s="2">
        <v>8</v>
      </c>
      <c r="F53" s="2">
        <v>3.2</v>
      </c>
      <c r="G53" s="2" t="str">
        <v/>
      </c>
      <c r="H53" s="5">
        <v>2.0904544960366858</v>
      </c>
      <c r="I53">
        <v>0</v>
      </c>
    </row>
    <row r="54" spans="2:9" x14ac:dyDescent="0.25">
      <c r="B54" s="2" t="str">
        <v>110-62-3</v>
      </c>
      <c r="C54" s="2" t="str">
        <v>Pentanal (Valeraldehyde)</v>
      </c>
      <c r="D54" s="2">
        <v>15.7</v>
      </c>
      <c r="E54" s="2">
        <v>9.4</v>
      </c>
      <c r="F54" s="2">
        <v>5.8</v>
      </c>
      <c r="G54" s="2" t="str">
        <v/>
      </c>
      <c r="H54" s="5">
        <v>2.0904544960366911</v>
      </c>
      <c r="I54">
        <v>0</v>
      </c>
    </row>
    <row r="55" spans="2:9" x14ac:dyDescent="0.25">
      <c r="B55" s="2" t="str">
        <v>13057-17-5</v>
      </c>
      <c r="C55" s="2" t="str">
        <v>Bromomethyl Methyl Ether</v>
      </c>
      <c r="D55" s="2">
        <v>16.899999999999999</v>
      </c>
      <c r="E55" s="2">
        <v>8.5</v>
      </c>
      <c r="F55" s="2">
        <v>7</v>
      </c>
      <c r="G55" s="2" t="str">
        <v/>
      </c>
      <c r="H55" s="5">
        <v>2.0976176963403015</v>
      </c>
      <c r="I55">
        <v>0</v>
      </c>
    </row>
    <row r="56" spans="2:9" x14ac:dyDescent="0.25">
      <c r="B56" s="2" t="str">
        <v>108-05-4</v>
      </c>
      <c r="C56" s="2" t="str">
        <v>Vinyl Acetate</v>
      </c>
      <c r="D56" s="2">
        <v>16</v>
      </c>
      <c r="E56" s="2">
        <v>7.2</v>
      </c>
      <c r="F56" s="2">
        <v>5.9</v>
      </c>
      <c r="G56" s="2" t="str">
        <v/>
      </c>
      <c r="H56" s="5">
        <v>2.1213203435596437</v>
      </c>
      <c r="I56">
        <v>0</v>
      </c>
    </row>
    <row r="57" spans="2:9" x14ac:dyDescent="0.25">
      <c r="B57" s="2" t="str">
        <v>105-38-4</v>
      </c>
      <c r="C57" s="2" t="str">
        <v>Vinyl Propionate</v>
      </c>
      <c r="D57" s="2">
        <v>15.6</v>
      </c>
      <c r="E57" s="2">
        <v>8</v>
      </c>
      <c r="F57" s="2">
        <v>4.7</v>
      </c>
      <c r="G57" s="2" t="str">
        <v/>
      </c>
      <c r="H57" s="5">
        <v>2.1400934559032727</v>
      </c>
      <c r="I57">
        <v>0</v>
      </c>
    </row>
    <row r="58" spans="2:9" x14ac:dyDescent="0.25">
      <c r="B58" s="2" t="str">
        <v>42345-82-4</v>
      </c>
      <c r="C58" s="2" t="str">
        <v>1,2-Dichlorovinyl Ethyl Ether</v>
      </c>
      <c r="D58" s="2">
        <v>16.899999999999999</v>
      </c>
      <c r="E58" s="2">
        <v>10.5</v>
      </c>
      <c r="F58" s="2">
        <v>6</v>
      </c>
      <c r="G58" s="2" t="str">
        <v/>
      </c>
      <c r="H58" s="5">
        <v>2.1447610589527208</v>
      </c>
      <c r="I58">
        <v>0</v>
      </c>
    </row>
    <row r="59" spans="2:9" x14ac:dyDescent="0.25">
      <c r="B59" s="2" t="str">
        <v>2168-93-6</v>
      </c>
      <c r="C59" s="2" t="str">
        <v>Di-n-Butyl Sulfoxide</v>
      </c>
      <c r="D59" s="2">
        <v>16.399999999999999</v>
      </c>
      <c r="E59" s="2">
        <v>10.5</v>
      </c>
      <c r="F59" s="2">
        <v>6.1</v>
      </c>
      <c r="G59" s="2" t="str">
        <v/>
      </c>
      <c r="H59" s="5">
        <v>2.1470910553583904</v>
      </c>
      <c r="I59">
        <v>0</v>
      </c>
    </row>
    <row r="60" spans="2:9" x14ac:dyDescent="0.25">
      <c r="B60" s="2" t="str">
        <v>3085-40-3</v>
      </c>
      <c r="C60" s="2" t="str">
        <v>Di-Isobutyl Sulfoxide</v>
      </c>
      <c r="D60" s="2">
        <v>16.3</v>
      </c>
      <c r="E60" s="2">
        <v>10.5</v>
      </c>
      <c r="F60" s="2">
        <v>6.1</v>
      </c>
      <c r="G60" s="2" t="str">
        <v/>
      </c>
      <c r="H60" s="5">
        <v>2.1931712199461315</v>
      </c>
      <c r="I60">
        <v>0</v>
      </c>
    </row>
    <row r="61" spans="2:9" x14ac:dyDescent="0.25">
      <c r="B61" s="2" t="str">
        <v>3085-40-3</v>
      </c>
      <c r="C61" s="2" t="str">
        <v>Isobutyl Sulfoxide</v>
      </c>
      <c r="D61" s="2">
        <v>16.3</v>
      </c>
      <c r="E61" s="2">
        <v>10.5</v>
      </c>
      <c r="F61" s="2">
        <v>6.1</v>
      </c>
      <c r="G61" s="2" t="str">
        <v/>
      </c>
      <c r="H61" s="5">
        <v>2.1931712199461315</v>
      </c>
      <c r="I61">
        <v>0</v>
      </c>
    </row>
    <row r="62" spans="2:9" x14ac:dyDescent="0.25">
      <c r="B62" s="2" t="str">
        <v>75-34-3</v>
      </c>
      <c r="C62" s="2" t="str">
        <v>1,1-Dichloroethane</v>
      </c>
      <c r="D62" s="2">
        <v>16.5</v>
      </c>
      <c r="E62" s="2">
        <v>7.8</v>
      </c>
      <c r="F62" s="2">
        <v>3</v>
      </c>
      <c r="G62" s="2" t="str">
        <v/>
      </c>
      <c r="H62" s="5">
        <v>2.2022715545545242</v>
      </c>
      <c r="I62">
        <v>0</v>
      </c>
    </row>
    <row r="63" spans="2:9" x14ac:dyDescent="0.25">
      <c r="B63" s="2" t="str">
        <v>583-60-8</v>
      </c>
      <c r="C63" s="2" t="str">
        <v>2-Methyl Cyclohexanone</v>
      </c>
      <c r="D63" s="2">
        <v>17.600000000000001</v>
      </c>
      <c r="E63" s="2">
        <v>7.8</v>
      </c>
      <c r="F63" s="2">
        <v>4.7</v>
      </c>
      <c r="G63" s="2" t="str">
        <v/>
      </c>
      <c r="H63" s="5">
        <v>2.2135943621178651</v>
      </c>
      <c r="I63">
        <v>0</v>
      </c>
    </row>
    <row r="64" spans="2:9" x14ac:dyDescent="0.25">
      <c r="B64" s="2" t="str">
        <v>71888-89-6</v>
      </c>
      <c r="C64" s="2" t="str">
        <v>Di-Isoheptyl Phthalate</v>
      </c>
      <c r="D64" s="2">
        <v>16.8</v>
      </c>
      <c r="E64" s="2">
        <v>7.2</v>
      </c>
      <c r="F64" s="2">
        <v>3.4</v>
      </c>
      <c r="G64" s="2" t="str">
        <v/>
      </c>
      <c r="H64" s="5">
        <v>2.2293496809607949</v>
      </c>
      <c r="I64">
        <v>0</v>
      </c>
    </row>
    <row r="65" spans="2:9" x14ac:dyDescent="0.25">
      <c r="B65" s="2" t="str">
        <v>110-75-8</v>
      </c>
      <c r="C65" s="2" t="str">
        <v>Vinyl 2-Chloro Ethyl Ether</v>
      </c>
      <c r="D65" s="2">
        <v>16.3</v>
      </c>
      <c r="E65" s="2">
        <v>6.7</v>
      </c>
      <c r="F65" s="2">
        <v>5.8</v>
      </c>
      <c r="G65" s="2" t="str">
        <v/>
      </c>
      <c r="H65" s="5">
        <v>2.2360679774997894</v>
      </c>
      <c r="I65">
        <v>0</v>
      </c>
    </row>
    <row r="66" spans="2:9" x14ac:dyDescent="0.25">
      <c r="B66" s="2" t="str">
        <v>3018-12-0</v>
      </c>
      <c r="C66" s="2" t="str">
        <v>Dichloroacetonitrile</v>
      </c>
      <c r="D66" s="2">
        <v>17.399999999999999</v>
      </c>
      <c r="E66" s="2">
        <v>9.4</v>
      </c>
      <c r="F66" s="2">
        <v>6.4</v>
      </c>
      <c r="G66" s="2" t="str">
        <v/>
      </c>
      <c r="H66" s="5">
        <v>2.2383029285599356</v>
      </c>
      <c r="I66">
        <v>0</v>
      </c>
    </row>
    <row r="67" spans="2:9" x14ac:dyDescent="0.25">
      <c r="B67" s="2" t="str">
        <v>593-61-3</v>
      </c>
      <c r="C67" s="2" t="str">
        <v>Bromoacetylene</v>
      </c>
      <c r="D67" s="2">
        <v>15.7</v>
      </c>
      <c r="E67" s="2">
        <v>9.9</v>
      </c>
      <c r="F67" s="2">
        <v>5.6</v>
      </c>
      <c r="G67" s="2" t="str">
        <v/>
      </c>
      <c r="H67" s="5">
        <v>2.2449944320643684</v>
      </c>
      <c r="I67">
        <v>0</v>
      </c>
    </row>
    <row r="68" spans="2:9" x14ac:dyDescent="0.25">
      <c r="B68" s="2" t="str">
        <v>84-66-2</v>
      </c>
      <c r="C68" s="2" t="str">
        <v>Diethyl Phthalate</v>
      </c>
      <c r="D68" s="2">
        <v>17.600000000000001</v>
      </c>
      <c r="E68" s="2">
        <v>9.6</v>
      </c>
      <c r="F68" s="2">
        <v>4.5</v>
      </c>
      <c r="G68" s="2" t="str">
        <v/>
      </c>
      <c r="H68" s="5">
        <v>2.2494443758403988</v>
      </c>
      <c r="I68">
        <v>0</v>
      </c>
    </row>
    <row r="69" spans="2:9" x14ac:dyDescent="0.25">
      <c r="B69" s="2" t="str">
        <v>502-42-1</v>
      </c>
      <c r="C69" s="2" t="str">
        <v>Cycloheptanone</v>
      </c>
      <c r="D69" s="2">
        <v>17.2</v>
      </c>
      <c r="E69" s="2">
        <v>10.6</v>
      </c>
      <c r="F69" s="2">
        <v>4.8</v>
      </c>
      <c r="G69" s="2" t="str">
        <v/>
      </c>
      <c r="H69" s="5">
        <v>2.2561028345356937</v>
      </c>
      <c r="I69">
        <v>0</v>
      </c>
    </row>
    <row r="70" spans="2:9" x14ac:dyDescent="0.25">
      <c r="B70" s="2" t="str">
        <v>6923-20-2</v>
      </c>
      <c r="C70" s="2" t="str">
        <v>1,2-Dichloropropene (Cis)</v>
      </c>
      <c r="D70" s="2">
        <v>17</v>
      </c>
      <c r="E70" s="2">
        <v>8.5</v>
      </c>
      <c r="F70" s="2">
        <v>2.9</v>
      </c>
      <c r="G70" s="2" t="str">
        <v/>
      </c>
      <c r="H70" s="5">
        <v>2.2561028345356946</v>
      </c>
      <c r="I70">
        <v>0</v>
      </c>
    </row>
    <row r="71" spans="2:9" x14ac:dyDescent="0.25">
      <c r="B71" s="2" t="str">
        <v>75-26-3</v>
      </c>
      <c r="C71" s="2" t="str">
        <v>2-Bromopropane</v>
      </c>
      <c r="D71" s="2">
        <v>15.5</v>
      </c>
      <c r="E71" s="2">
        <v>8.3000000000000007</v>
      </c>
      <c r="F71" s="2">
        <v>4.7</v>
      </c>
      <c r="G71" s="2" t="str">
        <v/>
      </c>
      <c r="H71" s="5">
        <v>2.2561028345356982</v>
      </c>
      <c r="I71">
        <v>0</v>
      </c>
    </row>
    <row r="72" spans="2:9" x14ac:dyDescent="0.25">
      <c r="B72" s="2" t="str">
        <v>110-81-6</v>
      </c>
      <c r="C72" s="2" t="str">
        <v>Diethyldisulfide</v>
      </c>
      <c r="D72" s="2">
        <v>17</v>
      </c>
      <c r="E72" s="2">
        <v>6.7</v>
      </c>
      <c r="F72" s="2">
        <v>5.7</v>
      </c>
      <c r="G72" s="2" t="str">
        <v/>
      </c>
      <c r="H72" s="5">
        <v>2.2649503305812231</v>
      </c>
      <c r="I72">
        <v>0</v>
      </c>
    </row>
    <row r="73" spans="2:9" x14ac:dyDescent="0.25">
      <c r="B73" s="2" t="str">
        <v>3036-66-6</v>
      </c>
      <c r="C73" s="2" t="str">
        <v>1-Methoxy-1,3-Butadiene</v>
      </c>
      <c r="D73" s="2">
        <v>15.5</v>
      </c>
      <c r="E73" s="2">
        <v>8.3000000000000007</v>
      </c>
      <c r="F73" s="2">
        <v>5.4</v>
      </c>
      <c r="G73" s="2" t="str">
        <v/>
      </c>
      <c r="H73" s="5">
        <v>2.2715633383201119</v>
      </c>
      <c r="I73">
        <v>0</v>
      </c>
    </row>
    <row r="74" spans="2:9" x14ac:dyDescent="0.25">
      <c r="B74" s="2" t="str">
        <v>6443-91-0</v>
      </c>
      <c r="C74" s="2" t="str">
        <v>Ethynyl Methyl Ether</v>
      </c>
      <c r="D74" s="2">
        <v>15.8</v>
      </c>
      <c r="E74" s="2">
        <v>8.1</v>
      </c>
      <c r="F74" s="2">
        <v>6.5</v>
      </c>
      <c r="G74" s="2" t="str">
        <v/>
      </c>
      <c r="H74" s="5">
        <v>2.2737634001804152</v>
      </c>
      <c r="I74">
        <v>0</v>
      </c>
    </row>
    <row r="75" spans="2:9" x14ac:dyDescent="0.25">
      <c r="B75" s="2" t="str">
        <v>3470-98-2</v>
      </c>
      <c r="C75" s="2" t="str">
        <v>N-n-Butyl Pyrrolidone</v>
      </c>
      <c r="D75" s="2">
        <v>17.5</v>
      </c>
      <c r="E75" s="2">
        <v>9.9</v>
      </c>
      <c r="F75" s="2">
        <v>5.8</v>
      </c>
      <c r="G75" s="2" t="str">
        <v/>
      </c>
      <c r="H75" s="5">
        <v>2.3065125189341575</v>
      </c>
      <c r="I75">
        <v>0</v>
      </c>
    </row>
    <row r="76" spans="2:9" x14ac:dyDescent="0.25">
      <c r="B76" s="2" t="str">
        <v>106-31-0</v>
      </c>
      <c r="C76" s="2" t="str">
        <v>Butyric Anhydride</v>
      </c>
      <c r="D76" s="2">
        <v>15.8</v>
      </c>
      <c r="E76" s="2">
        <v>10.3</v>
      </c>
      <c r="F76" s="2">
        <v>4.5</v>
      </c>
      <c r="G76" s="2" t="str">
        <v/>
      </c>
      <c r="H76" s="5">
        <v>2.3173260452512956</v>
      </c>
      <c r="I76">
        <v>0</v>
      </c>
    </row>
    <row r="77" spans="2:9" x14ac:dyDescent="0.25">
      <c r="B77" s="2" t="str">
        <v>78-88-6</v>
      </c>
      <c r="C77" s="2" t="str">
        <v>2,3-Dichloropropene</v>
      </c>
      <c r="D77" s="2">
        <v>16.2</v>
      </c>
      <c r="E77" s="2">
        <v>7.8</v>
      </c>
      <c r="F77" s="2">
        <v>3</v>
      </c>
      <c r="G77" s="2" t="str">
        <v/>
      </c>
      <c r="H77" s="5">
        <v>2.3345235059857519</v>
      </c>
      <c r="I77">
        <v>0</v>
      </c>
    </row>
    <row r="78" spans="2:9" x14ac:dyDescent="0.25">
      <c r="B78" s="2" t="str">
        <v>54722-81-5</v>
      </c>
      <c r="C78" s="2" t="str">
        <v>1-Chloro Vinyl Ethyl Ether</v>
      </c>
      <c r="D78" s="2">
        <v>16.8</v>
      </c>
      <c r="E78" s="2">
        <v>6.5</v>
      </c>
      <c r="F78" s="2">
        <v>5.7</v>
      </c>
      <c r="G78" s="2" t="str">
        <v/>
      </c>
      <c r="H78" s="5">
        <v>2.3430749027719955</v>
      </c>
      <c r="I78">
        <v>0</v>
      </c>
    </row>
    <row r="79" spans="2:9" x14ac:dyDescent="0.25">
      <c r="B79" s="2" t="str">
        <v>624-85-1</v>
      </c>
      <c r="C79" s="2" t="str">
        <v>Ethyl Hypochlorite</v>
      </c>
      <c r="D79" s="2">
        <v>15.7</v>
      </c>
      <c r="E79" s="2">
        <v>8.6</v>
      </c>
      <c r="F79" s="2">
        <v>6.5</v>
      </c>
      <c r="G79" s="2" t="str">
        <v/>
      </c>
      <c r="H79" s="5">
        <v>2.345207879911718</v>
      </c>
      <c r="I79">
        <v>0</v>
      </c>
    </row>
    <row r="80" spans="2:9" x14ac:dyDescent="0.25">
      <c r="B80" s="2" t="str">
        <v>18668-68-3</v>
      </c>
      <c r="C80" s="2" t="str">
        <v>4-Bromo-1,2-Butadiene</v>
      </c>
      <c r="D80" s="2">
        <v>17</v>
      </c>
      <c r="E80" s="2">
        <v>6.5</v>
      </c>
      <c r="F80" s="2">
        <v>4.7</v>
      </c>
      <c r="G80" s="2" t="str">
        <v/>
      </c>
      <c r="H80" s="5">
        <v>2.3600847442411879</v>
      </c>
      <c r="I80">
        <v>0</v>
      </c>
    </row>
    <row r="81" spans="2:9" x14ac:dyDescent="0.25">
      <c r="B81" s="2" t="str">
        <v>590-13-6</v>
      </c>
      <c r="C81" s="2" t="str">
        <v>1-Bromo Propene (Cis)</v>
      </c>
      <c r="D81" s="2">
        <v>16.3</v>
      </c>
      <c r="E81" s="2">
        <v>6.4</v>
      </c>
      <c r="F81" s="2">
        <v>5</v>
      </c>
      <c r="G81" s="2" t="str">
        <v/>
      </c>
      <c r="H81" s="5">
        <v>2.3769728648009418</v>
      </c>
      <c r="I81">
        <v>0</v>
      </c>
    </row>
    <row r="82" spans="2:9" x14ac:dyDescent="0.25">
      <c r="B82" s="2" t="str">
        <v>2317-91-1</v>
      </c>
      <c r="C82" s="2" t="str">
        <v>1-Chloro-1-Fluoro Ethylene</v>
      </c>
      <c r="D82" s="2">
        <v>16</v>
      </c>
      <c r="E82" s="2">
        <v>6.9</v>
      </c>
      <c r="F82" s="2">
        <v>4</v>
      </c>
      <c r="G82" s="2" t="str">
        <v/>
      </c>
      <c r="H82" s="5">
        <v>2.3832750575625976</v>
      </c>
      <c r="I82">
        <v>0</v>
      </c>
    </row>
    <row r="83" spans="2:9" x14ac:dyDescent="0.25">
      <c r="B83" s="2" t="str">
        <v>1822-86-2</v>
      </c>
      <c r="C83" s="2" t="str">
        <v>Bromoprene</v>
      </c>
      <c r="D83" s="2">
        <v>16.899999999999999</v>
      </c>
      <c r="E83" s="2">
        <v>6.4</v>
      </c>
      <c r="F83" s="2">
        <v>4.7</v>
      </c>
      <c r="G83" s="2" t="str">
        <v/>
      </c>
      <c r="H83" s="5">
        <v>2.3958297101421855</v>
      </c>
      <c r="I83">
        <v>0</v>
      </c>
    </row>
    <row r="84" spans="2:9" x14ac:dyDescent="0.25">
      <c r="B84" s="2" t="str">
        <v>108-94-1</v>
      </c>
      <c r="C84" s="2" t="str">
        <v>Cyclohexanone</v>
      </c>
      <c r="D84" s="2">
        <v>17.8</v>
      </c>
      <c r="E84" s="2">
        <v>8.4</v>
      </c>
      <c r="F84" s="2">
        <v>5.0999999999999996</v>
      </c>
      <c r="G84" s="2">
        <v>104.2</v>
      </c>
      <c r="H84" s="5">
        <v>2.4207436873820392</v>
      </c>
      <c r="I84">
        <v>0</v>
      </c>
    </row>
    <row r="85" spans="2:9" x14ac:dyDescent="0.25">
      <c r="B85" s="2" t="str">
        <v>591-24-2</v>
      </c>
      <c r="C85" s="2" t="str">
        <v>3-Methyl Cyclohexanone</v>
      </c>
      <c r="D85" s="2">
        <v>17.7</v>
      </c>
      <c r="E85" s="2">
        <v>7.7</v>
      </c>
      <c r="F85" s="2">
        <v>4.7</v>
      </c>
      <c r="G85" s="2" t="str">
        <v/>
      </c>
      <c r="H85" s="5">
        <v>2.43515913237718</v>
      </c>
      <c r="I85">
        <v>0</v>
      </c>
    </row>
    <row r="86" spans="2:9" x14ac:dyDescent="0.25">
      <c r="B86" s="2" t="str">
        <v>75-33-2</v>
      </c>
      <c r="C86" s="2" t="str">
        <v>2-Propanethiol</v>
      </c>
      <c r="D86" s="2">
        <v>16.3</v>
      </c>
      <c r="E86" s="2">
        <v>6.8</v>
      </c>
      <c r="F86" s="2">
        <v>6.5</v>
      </c>
      <c r="G86" s="2" t="str">
        <v/>
      </c>
      <c r="H86" s="5">
        <v>2.4939927826679851</v>
      </c>
      <c r="I86">
        <v>0</v>
      </c>
    </row>
    <row r="87" spans="2:9" x14ac:dyDescent="0.25">
      <c r="B87" s="2" t="str">
        <v>55-91-4</v>
      </c>
      <c r="C87" s="2" t="str">
        <v>Di-Isopropyl Phosphonofluoridate</v>
      </c>
      <c r="D87" s="2">
        <v>15.7</v>
      </c>
      <c r="E87" s="2">
        <v>10.199999999999999</v>
      </c>
      <c r="F87" s="2">
        <v>5.9</v>
      </c>
      <c r="G87" s="2" t="str">
        <v/>
      </c>
      <c r="H87" s="5">
        <v>2.5099800796022298</v>
      </c>
      <c r="I87">
        <v>0</v>
      </c>
    </row>
    <row r="88" spans="2:9" x14ac:dyDescent="0.25">
      <c r="B88" s="2" t="str">
        <v>761-65-9</v>
      </c>
      <c r="C88" s="2" t="str">
        <v>N,N-Dibutyl Formamide</v>
      </c>
      <c r="D88" s="2">
        <v>15.5</v>
      </c>
      <c r="E88" s="2">
        <v>8.9</v>
      </c>
      <c r="F88" s="2">
        <v>6.2</v>
      </c>
      <c r="G88" s="2" t="str">
        <v/>
      </c>
      <c r="H88" s="5">
        <v>2.5139610179953094</v>
      </c>
      <c r="I88">
        <v>0</v>
      </c>
    </row>
    <row r="89" spans="2:9" x14ac:dyDescent="0.25">
      <c r="B89" s="2" t="str">
        <v>74-83-9</v>
      </c>
      <c r="C89" s="2" t="str">
        <v>Methyl Bromide</v>
      </c>
      <c r="D89" s="2">
        <v>17</v>
      </c>
      <c r="E89" s="2">
        <v>8.8000000000000007</v>
      </c>
      <c r="F89" s="2">
        <v>2.6</v>
      </c>
      <c r="G89" s="2" t="str">
        <v/>
      </c>
      <c r="H89" s="5">
        <v>2.5317977802344318</v>
      </c>
      <c r="I89">
        <v>0</v>
      </c>
    </row>
    <row r="90" spans="2:9" x14ac:dyDescent="0.25">
      <c r="B90" s="2" t="str">
        <v>79-02-7</v>
      </c>
      <c r="C90" s="2" t="str">
        <v>Dichloroacetaldehyde</v>
      </c>
      <c r="D90" s="2">
        <v>16.7</v>
      </c>
      <c r="E90" s="2">
        <v>9.1</v>
      </c>
      <c r="F90" s="2">
        <v>7.5</v>
      </c>
      <c r="G90" s="2" t="str">
        <v/>
      </c>
      <c r="H90" s="5">
        <v>2.5396850198400585</v>
      </c>
      <c r="I90">
        <v>0</v>
      </c>
    </row>
    <row r="91" spans="2:9" x14ac:dyDescent="0.25">
      <c r="B91" s="2" t="str">
        <v>926-57-8</v>
      </c>
      <c r="C91" s="2" t="str">
        <v>1,3-Dichloro-2-Butene</v>
      </c>
      <c r="D91" s="2">
        <v>16.899999999999999</v>
      </c>
      <c r="E91" s="2">
        <v>7.8</v>
      </c>
      <c r="F91" s="2">
        <v>2.7</v>
      </c>
      <c r="G91" s="2" t="str">
        <v/>
      </c>
      <c r="H91" s="5">
        <v>2.5416530054277651</v>
      </c>
      <c r="I91">
        <v>0</v>
      </c>
    </row>
    <row r="92" spans="2:9" x14ac:dyDescent="0.25">
      <c r="B92" s="2" t="str">
        <v>13205-44-2</v>
      </c>
      <c r="C92" s="2" t="str">
        <v>Borine Carbonyl</v>
      </c>
      <c r="D92" s="2">
        <v>17</v>
      </c>
      <c r="E92" s="2">
        <v>10.199999999999999</v>
      </c>
      <c r="F92" s="2">
        <v>6.9</v>
      </c>
      <c r="G92" s="2" t="str">
        <v/>
      </c>
      <c r="H92" s="5">
        <v>2.5495097567963918</v>
      </c>
      <c r="I92">
        <v>0</v>
      </c>
    </row>
    <row r="93" spans="2:9" x14ac:dyDescent="0.25">
      <c r="B93" s="2" t="str">
        <v>117-81-7</v>
      </c>
      <c r="C93" s="2" t="str">
        <v>Diethylhexyl Phthalate (Dioctyl Phthalate)</v>
      </c>
      <c r="D93" s="2">
        <v>16.600000000000001</v>
      </c>
      <c r="E93" s="2">
        <v>7</v>
      </c>
      <c r="F93" s="2">
        <v>3.1</v>
      </c>
      <c r="G93" s="2" t="str">
        <v/>
      </c>
      <c r="H93" s="5">
        <v>2.5495097567963918</v>
      </c>
      <c r="I93">
        <v>0</v>
      </c>
    </row>
    <row r="94" spans="2:9" x14ac:dyDescent="0.25">
      <c r="B94" s="2" t="str">
        <v>765-43-5</v>
      </c>
      <c r="C94" s="2" t="str">
        <v>Cyclopropylmethylketone</v>
      </c>
      <c r="D94" s="2">
        <v>17</v>
      </c>
      <c r="E94" s="2">
        <v>11.1</v>
      </c>
      <c r="F94" s="2">
        <v>4.5999999999999996</v>
      </c>
      <c r="G94" s="2" t="str">
        <v/>
      </c>
      <c r="H94" s="5">
        <v>2.5612496949731387</v>
      </c>
      <c r="I94">
        <v>0</v>
      </c>
    </row>
    <row r="95" spans="2:9" x14ac:dyDescent="0.25">
      <c r="B95" s="2" t="str">
        <v>84-74-2</v>
      </c>
      <c r="C95" s="2" t="str">
        <v>Dibutyl Phthalate</v>
      </c>
      <c r="D95" s="2">
        <v>17.8</v>
      </c>
      <c r="E95" s="2">
        <v>8.6</v>
      </c>
      <c r="F95" s="2">
        <v>4.0999999999999996</v>
      </c>
      <c r="G95" s="2" t="str">
        <v/>
      </c>
      <c r="H95" s="5">
        <v>2.5651510676761307</v>
      </c>
      <c r="I95">
        <v>0</v>
      </c>
    </row>
    <row r="96" spans="2:9" x14ac:dyDescent="0.25">
      <c r="B96" s="2" t="str">
        <v>126-73-8</v>
      </c>
      <c r="C96" s="2" t="str">
        <v>Tri-n-Butyl Phosphate</v>
      </c>
      <c r="D96" s="2">
        <v>16.3</v>
      </c>
      <c r="E96" s="2">
        <v>6.3</v>
      </c>
      <c r="F96" s="2">
        <v>4.3</v>
      </c>
      <c r="G96" s="2" t="str">
        <v/>
      </c>
      <c r="H96" s="5">
        <v>2.5709920264364881</v>
      </c>
      <c r="I96">
        <v>0</v>
      </c>
    </row>
    <row r="97" spans="2:9" x14ac:dyDescent="0.25">
      <c r="B97" s="2" t="str">
        <v>592-51-8</v>
      </c>
      <c r="C97" s="2" t="str">
        <v>Allylacetonitrile (4-Pentenenitrile)</v>
      </c>
      <c r="D97" s="2">
        <v>16.3</v>
      </c>
      <c r="E97" s="2">
        <v>11.2</v>
      </c>
      <c r="F97" s="2">
        <v>5</v>
      </c>
      <c r="G97" s="2" t="str">
        <v/>
      </c>
      <c r="H97" s="5">
        <v>2.5709920264364885</v>
      </c>
      <c r="I97">
        <v>0</v>
      </c>
    </row>
    <row r="98" spans="2:9" x14ac:dyDescent="0.25">
      <c r="B98" s="2" t="str">
        <v>75-79-6</v>
      </c>
      <c r="C98" s="2" t="str">
        <v>Trichloromethylsilane</v>
      </c>
      <c r="D98" s="2">
        <v>16.5</v>
      </c>
      <c r="E98" s="2">
        <v>6.6</v>
      </c>
      <c r="F98" s="2">
        <v>3.5</v>
      </c>
      <c r="G98" s="2" t="str">
        <v/>
      </c>
      <c r="H98" s="5">
        <v>2.5884358211089569</v>
      </c>
      <c r="I98">
        <v>0</v>
      </c>
    </row>
    <row r="99" spans="2:9" x14ac:dyDescent="0.25">
      <c r="B99" s="2" t="str">
        <v>930-22-3</v>
      </c>
      <c r="C99" s="2" t="str">
        <v>3,4-Epoxy-1-Butene</v>
      </c>
      <c r="D99" s="2">
        <v>16.600000000000001</v>
      </c>
      <c r="E99" s="2">
        <v>7.7</v>
      </c>
      <c r="F99" s="2">
        <v>7.4</v>
      </c>
      <c r="G99" s="2" t="str">
        <v/>
      </c>
      <c r="H99" s="5">
        <v>2.6</v>
      </c>
      <c r="I99">
        <v>0</v>
      </c>
    </row>
    <row r="100" spans="2:9" x14ac:dyDescent="0.25">
      <c r="B100" s="2" t="str">
        <v>6581-66-4</v>
      </c>
      <c r="C100" s="2" t="str">
        <v>2-Methoxy Tetrahydropyrane</v>
      </c>
      <c r="D100" s="2">
        <v>17.2</v>
      </c>
      <c r="E100" s="2">
        <v>6.6</v>
      </c>
      <c r="F100" s="2">
        <v>6</v>
      </c>
      <c r="G100" s="2" t="str">
        <v/>
      </c>
      <c r="H100" s="5">
        <v>2.617250465660478</v>
      </c>
      <c r="I100">
        <v>0</v>
      </c>
    </row>
    <row r="101" spans="2:9" x14ac:dyDescent="0.25">
      <c r="B101" s="2">
        <v>2125597</v>
      </c>
      <c r="C101" s="2" t="str">
        <v>Thionyl Chloride</v>
      </c>
      <c r="D101" s="2">
        <v>16.899999999999999</v>
      </c>
      <c r="E101" s="2">
        <v>6.4</v>
      </c>
      <c r="F101" s="2">
        <v>6.1</v>
      </c>
      <c r="G101" s="2" t="str">
        <v/>
      </c>
      <c r="H101" s="5">
        <v>2.6191601707417567</v>
      </c>
      <c r="I101">
        <v>0</v>
      </c>
    </row>
    <row r="102" spans="2:9" x14ac:dyDescent="0.25">
      <c r="B102" s="2" t="str">
        <v>142-68-7</v>
      </c>
      <c r="C102" s="2" t="str">
        <v>Tetrahydropyran</v>
      </c>
      <c r="D102" s="2">
        <v>16.399999999999999</v>
      </c>
      <c r="E102" s="2">
        <v>6.3</v>
      </c>
      <c r="F102" s="2">
        <v>6</v>
      </c>
      <c r="G102" s="2" t="str">
        <v/>
      </c>
      <c r="H102" s="5">
        <v>2.6305892875931813</v>
      </c>
      <c r="I102">
        <v>0</v>
      </c>
    </row>
    <row r="103" spans="2:9" x14ac:dyDescent="0.25">
      <c r="B103" s="2" t="str">
        <v>16529-56-9</v>
      </c>
      <c r="C103" s="2" t="str">
        <v>Methyl Allyl Cyanide</v>
      </c>
      <c r="D103" s="2">
        <v>16.399999999999999</v>
      </c>
      <c r="E103" s="2">
        <v>11.3</v>
      </c>
      <c r="F103" s="2">
        <v>5.0999999999999996</v>
      </c>
      <c r="G103" s="2" t="str">
        <v/>
      </c>
      <c r="H103" s="5">
        <v>2.6324893162176388</v>
      </c>
      <c r="I103">
        <v>0</v>
      </c>
    </row>
    <row r="104" spans="2:9" x14ac:dyDescent="0.25">
      <c r="B104" s="2" t="str">
        <v>75-09-2</v>
      </c>
      <c r="C104" s="2" t="str">
        <v>Methylene Dichloride (Dichloromethane)</v>
      </c>
      <c r="D104" s="2">
        <v>17</v>
      </c>
      <c r="E104" s="2">
        <v>7.3</v>
      </c>
      <c r="F104" s="2">
        <v>7.1</v>
      </c>
      <c r="G104" s="2" t="str">
        <v/>
      </c>
      <c r="H104" s="5">
        <v>2.647640458974744</v>
      </c>
      <c r="I104">
        <v>0</v>
      </c>
    </row>
    <row r="105" spans="2:9" x14ac:dyDescent="0.25">
      <c r="B105" s="2" t="str">
        <v>624-92-0</v>
      </c>
      <c r="C105" s="2" t="str">
        <v>Dimethyl Disulfide</v>
      </c>
      <c r="D105" s="2">
        <v>17.600000000000001</v>
      </c>
      <c r="E105" s="2">
        <v>7.8</v>
      </c>
      <c r="F105" s="2">
        <v>6.5</v>
      </c>
      <c r="G105" s="2" t="str">
        <v/>
      </c>
      <c r="H105" s="5">
        <v>2.6570660511172841</v>
      </c>
      <c r="I105">
        <v>0</v>
      </c>
    </row>
    <row r="106" spans="2:9" x14ac:dyDescent="0.25">
      <c r="B106" s="2" t="str">
        <v>75-03-6</v>
      </c>
      <c r="C106" s="2" t="str">
        <v>Ethyl Iodide</v>
      </c>
      <c r="D106" s="2">
        <v>17.5</v>
      </c>
      <c r="E106" s="2">
        <v>7</v>
      </c>
      <c r="F106" s="2">
        <v>6</v>
      </c>
      <c r="G106" s="2" t="str">
        <v/>
      </c>
      <c r="H106" s="5">
        <v>2.6702059845637351</v>
      </c>
      <c r="I106">
        <v>0</v>
      </c>
    </row>
    <row r="107" spans="2:9" x14ac:dyDescent="0.25">
      <c r="B107" s="2" t="str">
        <v>2806-85-1</v>
      </c>
      <c r="C107" s="2" t="str">
        <v>3-Ethoxy Propionaldehyde</v>
      </c>
      <c r="D107" s="2">
        <v>16</v>
      </c>
      <c r="E107" s="2">
        <v>8.8000000000000007</v>
      </c>
      <c r="F107" s="2">
        <v>7.4</v>
      </c>
      <c r="G107" s="2" t="str">
        <v/>
      </c>
      <c r="H107" s="5">
        <v>2.6851443164195121</v>
      </c>
      <c r="I107">
        <v>0</v>
      </c>
    </row>
    <row r="108" spans="2:9" x14ac:dyDescent="0.25">
      <c r="B108" s="2" t="str">
        <v>927-80-0</v>
      </c>
      <c r="C108" s="2" t="str">
        <v>Ethyl Ethynylether</v>
      </c>
      <c r="D108" s="2">
        <v>15.4</v>
      </c>
      <c r="E108" s="2">
        <v>7.9</v>
      </c>
      <c r="F108" s="2">
        <v>5.9</v>
      </c>
      <c r="G108" s="2" t="str">
        <v/>
      </c>
      <c r="H108" s="5">
        <v>2.6851443164195121</v>
      </c>
      <c r="I108">
        <v>0</v>
      </c>
    </row>
    <row r="109" spans="2:9" x14ac:dyDescent="0.25">
      <c r="B109" s="2" t="str">
        <v>123-72-8</v>
      </c>
      <c r="C109" s="2" t="str">
        <v>Butyraldehyde</v>
      </c>
      <c r="D109" s="2">
        <v>15.6</v>
      </c>
      <c r="E109" s="2">
        <v>10.1</v>
      </c>
      <c r="F109" s="2">
        <v>6.2</v>
      </c>
      <c r="G109" s="2" t="str">
        <v/>
      </c>
      <c r="H109" s="5">
        <v>2.7202941017470916</v>
      </c>
      <c r="I109">
        <v>0</v>
      </c>
    </row>
    <row r="110" spans="2:9" x14ac:dyDescent="0.25">
      <c r="B110" s="2" t="str">
        <v>14273-06-4</v>
      </c>
      <c r="C110" s="2" t="str">
        <v>Ethyl-1-Propynylether</v>
      </c>
      <c r="D110" s="2">
        <v>15.9</v>
      </c>
      <c r="E110" s="2">
        <v>6.4</v>
      </c>
      <c r="F110" s="2">
        <v>5.4</v>
      </c>
      <c r="G110" s="2" t="str">
        <v/>
      </c>
      <c r="H110" s="5">
        <v>2.7221315177632399</v>
      </c>
      <c r="I110">
        <v>0</v>
      </c>
    </row>
    <row r="111" spans="2:9" x14ac:dyDescent="0.25">
      <c r="B111" s="2" t="str">
        <v>106-88-7</v>
      </c>
      <c r="C111" s="2" t="str">
        <v>Butyleneoxide</v>
      </c>
      <c r="D111" s="2">
        <v>16.3</v>
      </c>
      <c r="E111" s="2">
        <v>6.2</v>
      </c>
      <c r="F111" s="2">
        <v>5.9</v>
      </c>
      <c r="G111" s="2" t="str">
        <v/>
      </c>
      <c r="H111" s="5">
        <v>2.7239676943752467</v>
      </c>
      <c r="I111">
        <v>0</v>
      </c>
    </row>
    <row r="112" spans="2:9" x14ac:dyDescent="0.25">
      <c r="B112" s="2" t="str">
        <v>74-96-4</v>
      </c>
      <c r="C112" s="2" t="str">
        <v>Ethyl Bromide</v>
      </c>
      <c r="D112" s="2">
        <v>16.5</v>
      </c>
      <c r="E112" s="2">
        <v>8.4</v>
      </c>
      <c r="F112" s="2">
        <v>2.2999999999999998</v>
      </c>
      <c r="G112" s="2" t="str">
        <v/>
      </c>
      <c r="H112" s="5">
        <v>2.7239676943752476</v>
      </c>
      <c r="I112">
        <v>0</v>
      </c>
    </row>
    <row r="113" spans="2:9" x14ac:dyDescent="0.25">
      <c r="B113" s="2" t="str">
        <v>75-36-5</v>
      </c>
      <c r="C113" s="2" t="str">
        <v>Acetylchloride</v>
      </c>
      <c r="D113" s="2">
        <v>16.2</v>
      </c>
      <c r="E113" s="2">
        <v>11.2</v>
      </c>
      <c r="F113" s="2">
        <v>5.8</v>
      </c>
      <c r="G113" s="2" t="str">
        <v/>
      </c>
      <c r="H113" s="5">
        <v>2.74408454680245</v>
      </c>
      <c r="I113">
        <v>0</v>
      </c>
    </row>
    <row r="114" spans="2:9" x14ac:dyDescent="0.25">
      <c r="B114" s="2" t="str">
        <v>80-62-6</v>
      </c>
      <c r="C114" s="2" t="str">
        <v>Methyl Methacrylate</v>
      </c>
      <c r="D114" s="2">
        <v>15.8</v>
      </c>
      <c r="E114" s="2">
        <v>6.5</v>
      </c>
      <c r="F114" s="2">
        <v>5.4</v>
      </c>
      <c r="G114" s="2" t="str">
        <v/>
      </c>
      <c r="H114" s="5">
        <v>2.7495454169735045</v>
      </c>
      <c r="I114">
        <v>0</v>
      </c>
    </row>
    <row r="115" spans="2:9" x14ac:dyDescent="0.25">
      <c r="B115" s="2" t="str">
        <v>5162-44-7</v>
      </c>
      <c r="C115" s="2" t="str">
        <v>4-Bromo-1-Butene</v>
      </c>
      <c r="D115" s="2">
        <v>16.5</v>
      </c>
      <c r="E115" s="2">
        <v>6</v>
      </c>
      <c r="F115" s="2">
        <v>4.5</v>
      </c>
      <c r="G115" s="2" t="str">
        <v/>
      </c>
      <c r="H115" s="5">
        <v>2.7531799795872405</v>
      </c>
      <c r="I115">
        <v>0</v>
      </c>
    </row>
    <row r="116" spans="2:9" x14ac:dyDescent="0.25">
      <c r="B116" s="2" t="str">
        <v>140-88-5</v>
      </c>
      <c r="C116" s="2" t="str">
        <v>Ethyl Acrylate</v>
      </c>
      <c r="D116" s="2">
        <v>15.5</v>
      </c>
      <c r="E116" s="2">
        <v>7.1</v>
      </c>
      <c r="F116" s="2">
        <v>5.5</v>
      </c>
      <c r="G116" s="2" t="str">
        <v/>
      </c>
      <c r="H116" s="5">
        <v>2.7658633371878683</v>
      </c>
      <c r="I116">
        <v>0</v>
      </c>
    </row>
    <row r="117" spans="2:9" x14ac:dyDescent="0.25">
      <c r="B117" s="2" t="str">
        <v>111-91-1</v>
      </c>
      <c r="C117" s="2" t="str">
        <v>Di-(2-Chloroethoxy) Methane</v>
      </c>
      <c r="D117" s="2">
        <v>17.100000000000001</v>
      </c>
      <c r="E117" s="2">
        <v>10.199999999999999</v>
      </c>
      <c r="F117" s="2">
        <v>7.1</v>
      </c>
      <c r="G117" s="2" t="str">
        <v/>
      </c>
      <c r="H117" s="5">
        <v>2.7676705006196092</v>
      </c>
      <c r="I117">
        <v>0</v>
      </c>
    </row>
    <row r="118" spans="2:9" x14ac:dyDescent="0.25">
      <c r="B118" s="2" t="str">
        <v>593-60-2</v>
      </c>
      <c r="C118" s="2" t="str">
        <v>Bromoethylene</v>
      </c>
      <c r="D118" s="2">
        <v>15.9</v>
      </c>
      <c r="E118" s="2">
        <v>6.3</v>
      </c>
      <c r="F118" s="2">
        <v>5.4</v>
      </c>
      <c r="G118" s="2" t="str">
        <v/>
      </c>
      <c r="H118" s="5">
        <v>2.8071337695236407</v>
      </c>
      <c r="I118">
        <v>0</v>
      </c>
    </row>
    <row r="119" spans="2:9" x14ac:dyDescent="0.25">
      <c r="B119" s="2" t="str">
        <v>75-55-8</v>
      </c>
      <c r="C119" s="2" t="str">
        <v>Propylene Imine (2-Methyl Aziridine)</v>
      </c>
      <c r="D119" s="2">
        <v>17.8</v>
      </c>
      <c r="E119" s="2">
        <v>8.4</v>
      </c>
      <c r="F119" s="2">
        <v>6.5</v>
      </c>
      <c r="G119" s="2" t="str">
        <v/>
      </c>
      <c r="H119" s="5">
        <v>2.8460498941515402</v>
      </c>
      <c r="I119">
        <v>0</v>
      </c>
    </row>
    <row r="120" spans="2:9" x14ac:dyDescent="0.25">
      <c r="B120" s="2" t="str">
        <v>557-93-7</v>
      </c>
      <c r="C120" s="2" t="str">
        <v>2-Bromo Propene</v>
      </c>
      <c r="D120" s="2">
        <v>16.100000000000001</v>
      </c>
      <c r="E120" s="2">
        <v>6</v>
      </c>
      <c r="F120" s="2">
        <v>4.9000000000000004</v>
      </c>
      <c r="G120" s="2" t="str">
        <v/>
      </c>
      <c r="H120" s="5">
        <v>2.8809720581775857</v>
      </c>
      <c r="I120">
        <v>0</v>
      </c>
    </row>
    <row r="121" spans="2:9" x14ac:dyDescent="0.25">
      <c r="B121" s="2" t="str">
        <v>464-49-3</v>
      </c>
      <c r="C121" s="2" t="str">
        <v>d-Camphor</v>
      </c>
      <c r="D121" s="2">
        <v>17.8</v>
      </c>
      <c r="E121" s="2">
        <v>10.3</v>
      </c>
      <c r="F121" s="2">
        <v>5.2</v>
      </c>
      <c r="G121" s="2" t="str">
        <v/>
      </c>
      <c r="H121" s="5">
        <v>2.8913664589601922</v>
      </c>
      <c r="I121">
        <v>0</v>
      </c>
    </row>
    <row r="122" spans="2:9" x14ac:dyDescent="0.25">
      <c r="B122" s="2" t="str">
        <v>463-51-4</v>
      </c>
      <c r="C122" s="2" t="str">
        <v>Ketene</v>
      </c>
      <c r="D122" s="2">
        <v>15.4</v>
      </c>
      <c r="E122" s="2">
        <v>7.3</v>
      </c>
      <c r="F122" s="2">
        <v>5.8</v>
      </c>
      <c r="G122" s="2" t="str">
        <v/>
      </c>
      <c r="H122" s="5">
        <v>2.8913664589601935</v>
      </c>
      <c r="I122">
        <v>0</v>
      </c>
    </row>
    <row r="123" spans="2:9" x14ac:dyDescent="0.25">
      <c r="B123" s="2" t="str">
        <v>2100-17-6</v>
      </c>
      <c r="C123" s="2" t="str">
        <v>4-Pentenal</v>
      </c>
      <c r="D123" s="2">
        <v>15.5</v>
      </c>
      <c r="E123" s="2">
        <v>8.1</v>
      </c>
      <c r="F123" s="2">
        <v>6.8</v>
      </c>
      <c r="G123" s="2" t="str">
        <v/>
      </c>
      <c r="H123" s="5">
        <v>2.9051678092667919</v>
      </c>
      <c r="I123">
        <v>0</v>
      </c>
    </row>
    <row r="124" spans="2:9" x14ac:dyDescent="0.25">
      <c r="B124" s="2" t="str">
        <v>542-88-1</v>
      </c>
      <c r="C124" s="2" t="str">
        <v>Bis(Chloromethyl)Ether</v>
      </c>
      <c r="D124" s="2">
        <v>17.2</v>
      </c>
      <c r="E124" s="2">
        <v>8.1999999999999993</v>
      </c>
      <c r="F124" s="2">
        <v>7.6</v>
      </c>
      <c r="G124" s="2" t="str">
        <v/>
      </c>
      <c r="H124" s="5">
        <v>2.9068883707497246</v>
      </c>
      <c r="I124">
        <v>0</v>
      </c>
    </row>
    <row r="125" spans="2:9" x14ac:dyDescent="0.25">
      <c r="B125" s="2" t="str">
        <v>4437-85-8</v>
      </c>
      <c r="C125" s="2" t="str">
        <v>4-Ethyl-1,3-Dioxolane-2-One</v>
      </c>
      <c r="D125" s="2">
        <v>17.5</v>
      </c>
      <c r="E125" s="2">
        <v>9.8000000000000007</v>
      </c>
      <c r="F125" s="2">
        <v>3</v>
      </c>
      <c r="G125" s="2" t="str">
        <v/>
      </c>
      <c r="H125" s="5">
        <v>2.9068883707497251</v>
      </c>
      <c r="I125">
        <v>0</v>
      </c>
    </row>
    <row r="126" spans="2:9" x14ac:dyDescent="0.25">
      <c r="B126" s="2" t="str">
        <v>52788-79-1</v>
      </c>
      <c r="C126" s="2" t="str">
        <v>Diethylene Glycol Methyl t-Butyl Ether</v>
      </c>
      <c r="D126" s="2">
        <v>16</v>
      </c>
      <c r="E126" s="2">
        <v>7.2</v>
      </c>
      <c r="F126" s="2">
        <v>7.2</v>
      </c>
      <c r="G126" s="2" t="str">
        <v/>
      </c>
      <c r="H126" s="5">
        <v>2.9206163733020474</v>
      </c>
      <c r="I126">
        <v>0</v>
      </c>
    </row>
    <row r="127" spans="2:9" x14ac:dyDescent="0.25">
      <c r="B127" s="2" t="str">
        <v>624-89-5</v>
      </c>
      <c r="C127" s="2" t="str">
        <v>2-Thiabutane</v>
      </c>
      <c r="D127" s="2">
        <v>16.2</v>
      </c>
      <c r="E127" s="2">
        <v>5.9</v>
      </c>
      <c r="F127" s="2">
        <v>5.3</v>
      </c>
      <c r="G127" s="2" t="str">
        <v/>
      </c>
      <c r="H127" s="5">
        <v>2.9274562336608896</v>
      </c>
      <c r="I127">
        <v>0</v>
      </c>
    </row>
    <row r="128" spans="2:9" x14ac:dyDescent="0.25">
      <c r="B128" s="2" t="str">
        <v>334-22-5</v>
      </c>
      <c r="C128" s="2" t="str">
        <v>N,N-Dichloroethyl Amine</v>
      </c>
      <c r="D128" s="2">
        <v>16.8</v>
      </c>
      <c r="E128" s="2">
        <v>7.6</v>
      </c>
      <c r="F128" s="2">
        <v>7.7</v>
      </c>
      <c r="G128" s="2" t="str">
        <v/>
      </c>
      <c r="H128" s="5">
        <v>2.9427877939124318</v>
      </c>
      <c r="I128">
        <v>0</v>
      </c>
    </row>
    <row r="129" spans="2:9" x14ac:dyDescent="0.25">
      <c r="B129" s="2" t="str">
        <v>563-58-6</v>
      </c>
      <c r="C129" s="2" t="str">
        <v>1,1-Dichloropropene</v>
      </c>
      <c r="D129" s="2">
        <v>16.899999999999999</v>
      </c>
      <c r="E129" s="2">
        <v>6.7</v>
      </c>
      <c r="F129" s="2">
        <v>2.9</v>
      </c>
      <c r="G129" s="2" t="str">
        <v/>
      </c>
      <c r="H129" s="5">
        <v>2.9614185789921676</v>
      </c>
      <c r="I129">
        <v>0</v>
      </c>
    </row>
    <row r="130" spans="2:9" x14ac:dyDescent="0.25">
      <c r="B130" s="2" t="str">
        <v>28553-12-0</v>
      </c>
      <c r="C130" s="2" t="str">
        <v>Di-Isononyl Phthalate</v>
      </c>
      <c r="D130" s="2">
        <v>16.600000000000001</v>
      </c>
      <c r="E130" s="2">
        <v>6.6</v>
      </c>
      <c r="F130" s="2">
        <v>2.9</v>
      </c>
      <c r="G130" s="2" t="str">
        <v/>
      </c>
      <c r="H130" s="5">
        <v>2.9698484809834995</v>
      </c>
      <c r="I130">
        <v>0</v>
      </c>
    </row>
    <row r="131" spans="2:9" x14ac:dyDescent="0.25">
      <c r="B131" s="2" t="str">
        <v>509-14-8</v>
      </c>
      <c r="C131" s="2" t="str">
        <v>Tetranitromethane</v>
      </c>
      <c r="D131" s="2">
        <v>15.5</v>
      </c>
      <c r="E131" s="2">
        <v>8.5</v>
      </c>
      <c r="F131" s="2">
        <v>7</v>
      </c>
      <c r="G131" s="2" t="str">
        <v/>
      </c>
      <c r="H131" s="5">
        <v>2.9799328851502702</v>
      </c>
      <c r="I131">
        <v>0</v>
      </c>
    </row>
    <row r="132" spans="2:9" x14ac:dyDescent="0.25">
      <c r="B132" s="2" t="str">
        <v>78-87-5</v>
      </c>
      <c r="C132" s="2" t="str">
        <v>1,2-Dichloropropane</v>
      </c>
      <c r="D132" s="2">
        <v>17.3</v>
      </c>
      <c r="E132" s="2">
        <v>7.1</v>
      </c>
      <c r="F132" s="2">
        <v>2.9</v>
      </c>
      <c r="G132" s="2" t="str">
        <v/>
      </c>
      <c r="H132" s="5">
        <v>2.988310559496786</v>
      </c>
      <c r="I132">
        <v>0</v>
      </c>
    </row>
    <row r="133" spans="2:9" x14ac:dyDescent="0.25">
      <c r="B133" s="2" t="str">
        <v>624-65-7</v>
      </c>
      <c r="C133" s="2" t="str">
        <v>3-Chloropropyne</v>
      </c>
      <c r="D133" s="2">
        <v>16.7</v>
      </c>
      <c r="E133" s="2">
        <v>7.4</v>
      </c>
      <c r="F133" s="2">
        <v>2.2999999999999998</v>
      </c>
      <c r="G133" s="2" t="str">
        <v/>
      </c>
      <c r="H133" s="5">
        <v>3.0033314835362406</v>
      </c>
      <c r="I133">
        <v>0</v>
      </c>
    </row>
    <row r="134" spans="2:9" x14ac:dyDescent="0.25">
      <c r="B134" s="2" t="str">
        <v>1806-54-8</v>
      </c>
      <c r="C134" s="2" t="str">
        <v>Trioctyl Phosphate</v>
      </c>
      <c r="D134" s="2">
        <v>16.2</v>
      </c>
      <c r="E134" s="2">
        <v>5.9</v>
      </c>
      <c r="F134" s="2">
        <v>4.2</v>
      </c>
      <c r="G134" s="2" t="str">
        <v/>
      </c>
      <c r="H134" s="5">
        <v>3.0199337741083001</v>
      </c>
      <c r="I134">
        <v>0</v>
      </c>
    </row>
    <row r="135" spans="2:9" x14ac:dyDescent="0.25">
      <c r="B135" s="2" t="str">
        <v>96-19-5</v>
      </c>
      <c r="C135" s="2" t="str">
        <v>1,2,3-Trichloro Propene</v>
      </c>
      <c r="D135" s="2">
        <v>17.8</v>
      </c>
      <c r="E135" s="2">
        <v>7.8</v>
      </c>
      <c r="F135" s="2">
        <v>3.4</v>
      </c>
      <c r="G135" s="2" t="str">
        <v/>
      </c>
      <c r="H135" s="5">
        <v>3.0215889859476244</v>
      </c>
      <c r="I135">
        <v>0</v>
      </c>
    </row>
    <row r="136" spans="2:9" x14ac:dyDescent="0.25">
      <c r="B136" s="2" t="str">
        <v>1663-35-0</v>
      </c>
      <c r="C136" s="2" t="str">
        <v>Vinyl 2-Methoxy Ethyl Ether</v>
      </c>
      <c r="D136" s="2">
        <v>15.9</v>
      </c>
      <c r="E136" s="2">
        <v>6.7</v>
      </c>
      <c r="F136" s="2">
        <v>6.8</v>
      </c>
      <c r="G136" s="2" t="str">
        <v/>
      </c>
      <c r="H136" s="5">
        <v>3.0331501776206209</v>
      </c>
      <c r="I136">
        <v>0</v>
      </c>
    </row>
    <row r="137" spans="2:9" x14ac:dyDescent="0.25">
      <c r="B137" s="2" t="str">
        <v>814-68-6</v>
      </c>
      <c r="C137" s="2" t="str">
        <v>Acrylylchloride</v>
      </c>
      <c r="D137" s="2">
        <v>16.2</v>
      </c>
      <c r="E137" s="2">
        <v>11.6</v>
      </c>
      <c r="F137" s="2">
        <v>5.4</v>
      </c>
      <c r="G137" s="2" t="str">
        <v/>
      </c>
      <c r="H137" s="5">
        <v>3.0347981810987048</v>
      </c>
      <c r="I137">
        <v>0</v>
      </c>
    </row>
    <row r="138" spans="2:9" x14ac:dyDescent="0.25">
      <c r="B138" s="2" t="str">
        <v>74-87-3</v>
      </c>
      <c r="C138" s="2" t="str">
        <v>Methyl Chloride</v>
      </c>
      <c r="D138" s="2">
        <v>15.3</v>
      </c>
      <c r="E138" s="2">
        <v>9.9</v>
      </c>
      <c r="F138" s="2">
        <v>3.9</v>
      </c>
      <c r="G138" s="2" t="str">
        <v/>
      </c>
      <c r="H138" s="5">
        <v>3.067572330035595</v>
      </c>
      <c r="I138">
        <v>0</v>
      </c>
    </row>
    <row r="139" spans="2:9" x14ac:dyDescent="0.25">
      <c r="B139" s="2" t="str">
        <v>3574-40-1</v>
      </c>
      <c r="C139" s="2" t="str">
        <v>1,3-Butadiene-1,2-Di-Chloro</v>
      </c>
      <c r="D139" s="2">
        <v>17</v>
      </c>
      <c r="E139" s="2">
        <v>10.7</v>
      </c>
      <c r="F139" s="2">
        <v>2.8</v>
      </c>
      <c r="G139" s="2" t="str">
        <v/>
      </c>
      <c r="H139" s="5">
        <v>3.0789608636681298</v>
      </c>
      <c r="I139">
        <v>0</v>
      </c>
    </row>
    <row r="140" spans="2:9" x14ac:dyDescent="0.25">
      <c r="B140" s="2" t="str">
        <v>124-38-9</v>
      </c>
      <c r="C140" s="2" t="str">
        <v>Carbon Dioxide (Fit = 1.0)</v>
      </c>
      <c r="D140" s="2">
        <v>15.7</v>
      </c>
      <c r="E140" s="2">
        <v>6.3</v>
      </c>
      <c r="F140" s="2">
        <v>5.7</v>
      </c>
      <c r="G140" s="2" t="str">
        <v/>
      </c>
      <c r="H140" s="5">
        <v>3.0805843601498748</v>
      </c>
      <c r="I140">
        <v>0</v>
      </c>
    </row>
    <row r="141" spans="2:9" x14ac:dyDescent="0.25">
      <c r="B141" s="2" t="str">
        <v>760-79-2</v>
      </c>
      <c r="C141" s="2" t="str">
        <v>N,N-Dimethyl Butyramide</v>
      </c>
      <c r="D141" s="2">
        <v>16.399999999999999</v>
      </c>
      <c r="E141" s="2">
        <v>10.6</v>
      </c>
      <c r="F141" s="2">
        <v>7.4</v>
      </c>
      <c r="G141" s="2" t="str">
        <v/>
      </c>
      <c r="H141" s="5">
        <v>3.0870698080866279</v>
      </c>
      <c r="I141">
        <v>0</v>
      </c>
    </row>
    <row r="142" spans="2:9" x14ac:dyDescent="0.25">
      <c r="B142" s="2" t="str">
        <v>1629-58-9</v>
      </c>
      <c r="C142" s="2" t="str">
        <v>Ethyl Vinylketone</v>
      </c>
      <c r="D142" s="2">
        <v>15.8</v>
      </c>
      <c r="E142" s="2">
        <v>11.3</v>
      </c>
      <c r="F142" s="2">
        <v>4.5</v>
      </c>
      <c r="G142" s="2" t="str">
        <v/>
      </c>
      <c r="H142" s="5">
        <v>3.0935416596516059</v>
      </c>
      <c r="I142">
        <v>0</v>
      </c>
    </row>
    <row r="143" spans="2:9" x14ac:dyDescent="0.25">
      <c r="B143" s="2" t="str">
        <v>598-26-5</v>
      </c>
      <c r="C143" s="2" t="str">
        <v>Dimethyl Ketene</v>
      </c>
      <c r="D143" s="2">
        <v>15.2</v>
      </c>
      <c r="E143" s="2">
        <v>7.4</v>
      </c>
      <c r="F143" s="2">
        <v>4.8</v>
      </c>
      <c r="G143" s="2" t="str">
        <v/>
      </c>
      <c r="H143" s="5">
        <v>3.0935416596516072</v>
      </c>
      <c r="I143">
        <v>0</v>
      </c>
    </row>
    <row r="144" spans="2:9" x14ac:dyDescent="0.25">
      <c r="B144" s="2" t="str">
        <v>1615-70-9</v>
      </c>
      <c r="C144" s="2" t="str">
        <v>Butadiene-4-Cyano</v>
      </c>
      <c r="D144" s="2">
        <v>16.2</v>
      </c>
      <c r="E144" s="2">
        <v>11.7</v>
      </c>
      <c r="F144" s="2">
        <v>5.2</v>
      </c>
      <c r="G144" s="2" t="str">
        <v/>
      </c>
      <c r="H144" s="5">
        <v>3.1112698372208105</v>
      </c>
      <c r="I144">
        <v>0</v>
      </c>
    </row>
    <row r="145" spans="2:9" x14ac:dyDescent="0.25">
      <c r="B145" s="2" t="str">
        <v>29871-57-6</v>
      </c>
      <c r="C145" s="2" t="str">
        <v>4-Iodo-1,2-Butadiene</v>
      </c>
      <c r="D145" s="2">
        <v>17.399999999999999</v>
      </c>
      <c r="E145" s="2">
        <v>6.3</v>
      </c>
      <c r="F145" s="2">
        <v>6.2</v>
      </c>
      <c r="G145" s="2" t="str">
        <v/>
      </c>
      <c r="H145" s="5">
        <v>3.1240998703626586</v>
      </c>
      <c r="I145">
        <v>0</v>
      </c>
    </row>
    <row r="146" spans="2:9" x14ac:dyDescent="0.25">
      <c r="B146" s="2" t="str">
        <v>13169-01-2</v>
      </c>
      <c r="C146" s="2" t="str">
        <v>Methyl-1-Propynyl Ether</v>
      </c>
      <c r="D146" s="2">
        <v>15.7</v>
      </c>
      <c r="E146" s="2">
        <v>6.3</v>
      </c>
      <c r="F146" s="2">
        <v>5.9</v>
      </c>
      <c r="G146" s="2" t="str">
        <v/>
      </c>
      <c r="H146" s="5">
        <v>3.132091952673167</v>
      </c>
      <c r="I146">
        <v>0</v>
      </c>
    </row>
    <row r="147" spans="2:9" x14ac:dyDescent="0.25">
      <c r="B147" s="2" t="str">
        <v>75-87-6</v>
      </c>
      <c r="C147" s="2" t="str">
        <v>Chloral</v>
      </c>
      <c r="D147" s="2">
        <v>17.2</v>
      </c>
      <c r="E147" s="2">
        <v>7.4</v>
      </c>
      <c r="F147" s="2">
        <v>7.6</v>
      </c>
      <c r="G147" s="2" t="str">
        <v/>
      </c>
      <c r="H147" s="5">
        <v>3.1448370387032751</v>
      </c>
      <c r="I147">
        <v>0</v>
      </c>
    </row>
    <row r="148" spans="2:9" x14ac:dyDescent="0.25">
      <c r="B148" s="2" t="str">
        <v>107-03-9</v>
      </c>
      <c r="C148" s="2" t="str">
        <v>1-Propanethiol</v>
      </c>
      <c r="D148" s="2">
        <v>16.100000000000001</v>
      </c>
      <c r="E148" s="2">
        <v>5.8</v>
      </c>
      <c r="F148" s="2">
        <v>5.7</v>
      </c>
      <c r="G148" s="2" t="str">
        <v/>
      </c>
      <c r="H148" s="5">
        <v>3.146426544510454</v>
      </c>
      <c r="I148">
        <v>0</v>
      </c>
    </row>
    <row r="149" spans="2:9" x14ac:dyDescent="0.25">
      <c r="B149" s="2" t="str">
        <v>53175-28-3</v>
      </c>
      <c r="C149" s="2" t="str">
        <v>2-Methyl-1-Chloro Acrolein</v>
      </c>
      <c r="D149" s="2">
        <v>17.100000000000001</v>
      </c>
      <c r="E149" s="2">
        <v>10.6</v>
      </c>
      <c r="F149" s="2">
        <v>7.3</v>
      </c>
      <c r="G149" s="2" t="str">
        <v/>
      </c>
      <c r="H149" s="5">
        <v>3.1464265445104549</v>
      </c>
      <c r="I149">
        <v>0</v>
      </c>
    </row>
    <row r="150" spans="2:9" x14ac:dyDescent="0.25">
      <c r="B150" s="2" t="str">
        <v>123-62-6</v>
      </c>
      <c r="C150" s="2" t="str">
        <v>Propionic Anhydride</v>
      </c>
      <c r="D150" s="2">
        <v>15.8</v>
      </c>
      <c r="E150" s="2">
        <v>9</v>
      </c>
      <c r="F150" s="2">
        <v>7.7</v>
      </c>
      <c r="G150" s="2" t="str">
        <v/>
      </c>
      <c r="H150" s="5">
        <v>3.1527765540868899</v>
      </c>
      <c r="I150">
        <v>0</v>
      </c>
    </row>
    <row r="151" spans="2:9" x14ac:dyDescent="0.25">
      <c r="B151" s="2" t="str">
        <v>627-13-4</v>
      </c>
      <c r="C151" s="2" t="str">
        <v>n-Propyl Nitrate</v>
      </c>
      <c r="D151" s="2">
        <v>15.8</v>
      </c>
      <c r="E151" s="2">
        <v>11.3</v>
      </c>
      <c r="F151" s="2">
        <v>4.0999999999999996</v>
      </c>
      <c r="G151" s="2" t="str">
        <v/>
      </c>
      <c r="H151" s="5">
        <v>3.182766092567912</v>
      </c>
      <c r="I151">
        <v>0</v>
      </c>
    </row>
    <row r="152" spans="2:9" x14ac:dyDescent="0.25">
      <c r="B152" s="2" t="str">
        <v>627-50-9</v>
      </c>
      <c r="C152" s="2" t="str">
        <v>Vinyl Ethyl Sulfide</v>
      </c>
      <c r="D152" s="2">
        <v>16.399999999999999</v>
      </c>
      <c r="E152" s="2">
        <v>5.8</v>
      </c>
      <c r="F152" s="2">
        <v>6.3</v>
      </c>
      <c r="G152" s="2" t="str">
        <v/>
      </c>
      <c r="H152" s="5">
        <v>3.2031234756093934</v>
      </c>
      <c r="I152">
        <v>0</v>
      </c>
    </row>
    <row r="153" spans="2:9" x14ac:dyDescent="0.25">
      <c r="B153" s="2" t="str">
        <v>141-32-2</v>
      </c>
      <c r="C153" s="2" t="str">
        <v>n-Butyl Acrylate</v>
      </c>
      <c r="D153" s="2">
        <v>15.6</v>
      </c>
      <c r="E153" s="2">
        <v>6.2</v>
      </c>
      <c r="F153" s="2">
        <v>4.9000000000000004</v>
      </c>
      <c r="G153" s="2" t="str">
        <v/>
      </c>
      <c r="H153" s="5">
        <v>3.2031234756093951</v>
      </c>
      <c r="I153">
        <v>0</v>
      </c>
    </row>
    <row r="154" spans="2:9" x14ac:dyDescent="0.25">
      <c r="B154" s="2" t="str">
        <v>110-43-0</v>
      </c>
      <c r="C154" s="2" t="str">
        <v>Methyl n-Amyl Ketone</v>
      </c>
      <c r="D154" s="2">
        <v>16.2</v>
      </c>
      <c r="E154" s="2">
        <v>5.7</v>
      </c>
      <c r="F154" s="2">
        <v>4.0999999999999996</v>
      </c>
      <c r="G154" s="2" t="str">
        <v/>
      </c>
      <c r="H154" s="5">
        <v>3.2326459750489227</v>
      </c>
      <c r="I154">
        <v>0</v>
      </c>
    </row>
    <row r="155" spans="2:9" x14ac:dyDescent="0.25">
      <c r="B155" s="2" t="str">
        <v>7651-91-4</v>
      </c>
      <c r="C155" s="2" t="str">
        <v>N,N-Dichloromethyl Amine</v>
      </c>
      <c r="D155" s="2">
        <v>16.5</v>
      </c>
      <c r="E155" s="2">
        <v>7.5</v>
      </c>
      <c r="F155" s="2">
        <v>8</v>
      </c>
      <c r="G155" s="2" t="str">
        <v/>
      </c>
      <c r="H155" s="5">
        <v>3.237282811247729</v>
      </c>
      <c r="I155">
        <v>0</v>
      </c>
    </row>
    <row r="156" spans="2:9" x14ac:dyDescent="0.25">
      <c r="B156" s="2" t="str">
        <v>3320-90-9</v>
      </c>
      <c r="C156" s="2" t="str">
        <v>2,5-Diethoxy Tetrahydrofuran</v>
      </c>
      <c r="D156" s="2">
        <v>16.600000000000001</v>
      </c>
      <c r="E156" s="2">
        <v>6.4</v>
      </c>
      <c r="F156" s="2">
        <v>7.3</v>
      </c>
      <c r="G156" s="2" t="str">
        <v/>
      </c>
      <c r="H156" s="5">
        <v>3.252691193458118</v>
      </c>
      <c r="I156">
        <v>0</v>
      </c>
    </row>
    <row r="157" spans="2:9" x14ac:dyDescent="0.25">
      <c r="B157" s="2" t="str">
        <v>591-97-9</v>
      </c>
      <c r="C157" s="2" t="str">
        <v>1-Chloro-2-Butene</v>
      </c>
      <c r="D157" s="2">
        <v>16.2</v>
      </c>
      <c r="E157" s="2">
        <v>7.7</v>
      </c>
      <c r="F157" s="2">
        <v>2</v>
      </c>
      <c r="G157" s="2" t="str">
        <v/>
      </c>
      <c r="H157" s="5">
        <v>3.2619012860600187</v>
      </c>
      <c r="I157">
        <v>0</v>
      </c>
    </row>
    <row r="158" spans="2:9" x14ac:dyDescent="0.25">
      <c r="B158" s="2" t="str">
        <v>1585-74-6</v>
      </c>
      <c r="C158" s="2" t="str">
        <v>N-Chlorodimethylamine</v>
      </c>
      <c r="D158" s="2">
        <v>16</v>
      </c>
      <c r="E158" s="2">
        <v>7.8</v>
      </c>
      <c r="F158" s="2">
        <v>7.9</v>
      </c>
      <c r="G158" s="2" t="str">
        <v/>
      </c>
      <c r="H158" s="5">
        <v>3.2649655434629028</v>
      </c>
      <c r="I158">
        <v>0</v>
      </c>
    </row>
    <row r="159" spans="2:9" x14ac:dyDescent="0.25">
      <c r="B159" s="2" t="str">
        <v>75-56-9</v>
      </c>
      <c r="C159" s="2" t="str">
        <v>Propylene Oxide</v>
      </c>
      <c r="D159" s="2">
        <v>15.2</v>
      </c>
      <c r="E159" s="2">
        <v>8.6</v>
      </c>
      <c r="F159" s="2">
        <v>6.7</v>
      </c>
      <c r="G159" s="2" t="str">
        <v/>
      </c>
      <c r="H159" s="5">
        <v>3.2771939216347916</v>
      </c>
      <c r="I159">
        <v>0</v>
      </c>
    </row>
    <row r="160" spans="2:9" x14ac:dyDescent="0.25">
      <c r="B160" s="2" t="str">
        <v>112-36-7</v>
      </c>
      <c r="C160" s="2" t="str">
        <v>Diethylene Glycol Diethyl Ether</v>
      </c>
      <c r="D160" s="2">
        <v>15.8</v>
      </c>
      <c r="E160" s="2">
        <v>5.9</v>
      </c>
      <c r="F160" s="2">
        <v>5.6</v>
      </c>
      <c r="G160" s="2" t="str">
        <v/>
      </c>
      <c r="H160" s="5">
        <v>3.2802438933713449</v>
      </c>
      <c r="I160">
        <v>0</v>
      </c>
    </row>
    <row r="161" spans="2:9" x14ac:dyDescent="0.25">
      <c r="B161" s="2" t="str">
        <v>97-63-2</v>
      </c>
      <c r="C161" s="2" t="str">
        <v>Ethyl Methacrylate</v>
      </c>
      <c r="D161" s="2">
        <v>15.8</v>
      </c>
      <c r="E161" s="2">
        <v>7.2</v>
      </c>
      <c r="F161" s="2">
        <v>7.5</v>
      </c>
      <c r="G161" s="2" t="str">
        <v/>
      </c>
      <c r="H161" s="5">
        <v>3.3256578296631782</v>
      </c>
      <c r="I161">
        <v>0</v>
      </c>
    </row>
    <row r="162" spans="2:9" x14ac:dyDescent="0.25">
      <c r="B162" s="2" t="str">
        <v>818-38-2</v>
      </c>
      <c r="C162" s="2" t="str">
        <v>Diethyl Glutarate</v>
      </c>
      <c r="D162" s="2">
        <v>16.3</v>
      </c>
      <c r="E162" s="2">
        <v>7</v>
      </c>
      <c r="F162" s="2">
        <v>7.8</v>
      </c>
      <c r="G162" s="2" t="str">
        <v/>
      </c>
      <c r="H162" s="5">
        <v>3.3301651610693423</v>
      </c>
      <c r="I162">
        <v>0</v>
      </c>
    </row>
    <row r="163" spans="2:9" x14ac:dyDescent="0.25">
      <c r="B163" s="2" t="str">
        <v>106-63-8</v>
      </c>
      <c r="C163" s="2" t="str">
        <v>Isobutyl Acrylate</v>
      </c>
      <c r="D163" s="2">
        <v>15.5</v>
      </c>
      <c r="E163" s="2">
        <v>6.2</v>
      </c>
      <c r="F163" s="2">
        <v>5</v>
      </c>
      <c r="G163" s="2" t="str">
        <v/>
      </c>
      <c r="H163" s="5">
        <v>3.3301651610693437</v>
      </c>
      <c r="I163">
        <v>0</v>
      </c>
    </row>
    <row r="164" spans="2:9" x14ac:dyDescent="0.25">
      <c r="B164" s="2" t="str">
        <v>106-89-8</v>
      </c>
      <c r="C164" s="2" t="str">
        <v>Epichlorohydrin</v>
      </c>
      <c r="D164" s="2">
        <v>17.5</v>
      </c>
      <c r="E164" s="2">
        <v>7.6</v>
      </c>
      <c r="F164" s="2">
        <v>7.6</v>
      </c>
      <c r="G164" s="2" t="str">
        <v/>
      </c>
      <c r="H164" s="5">
        <v>3.3481338085566392</v>
      </c>
      <c r="I164">
        <v>0</v>
      </c>
    </row>
    <row r="165" spans="2:9" x14ac:dyDescent="0.25">
      <c r="B165" s="2" t="str">
        <v>110-12-3</v>
      </c>
      <c r="C165" s="2" t="str">
        <v>Methyl Isoamyl Ketone</v>
      </c>
      <c r="D165" s="2">
        <v>16</v>
      </c>
      <c r="E165" s="2">
        <v>5.7</v>
      </c>
      <c r="F165" s="2">
        <v>4.0999999999999996</v>
      </c>
      <c r="G165" s="2" t="str">
        <v/>
      </c>
      <c r="H165" s="5">
        <v>3.3541019662496847</v>
      </c>
      <c r="I165">
        <v>0</v>
      </c>
    </row>
    <row r="166" spans="2:9" x14ac:dyDescent="0.25">
      <c r="B166" s="2" t="str">
        <v>540-54-5</v>
      </c>
      <c r="C166" s="2" t="str">
        <v>Propyl Chloride</v>
      </c>
      <c r="D166" s="2">
        <v>16</v>
      </c>
      <c r="E166" s="2">
        <v>7.8</v>
      </c>
      <c r="F166" s="2">
        <v>2</v>
      </c>
      <c r="G166" s="2" t="str">
        <v/>
      </c>
      <c r="H166" s="5">
        <v>3.3541019662496852</v>
      </c>
      <c r="I166">
        <v>0</v>
      </c>
    </row>
    <row r="167" spans="2:9" x14ac:dyDescent="0.25">
      <c r="B167" s="2" t="str">
        <v>25135-51-7</v>
      </c>
      <c r="C167" s="2" t="str">
        <v>Polysulphone</v>
      </c>
      <c r="D167" s="2">
        <v>16</v>
      </c>
      <c r="E167" s="2">
        <v>6</v>
      </c>
      <c r="F167" s="2">
        <v>6.6</v>
      </c>
      <c r="G167" s="2" t="str">
        <v/>
      </c>
      <c r="H167" s="5">
        <v>3.3600595232822887</v>
      </c>
      <c r="I167">
        <v>8</v>
      </c>
    </row>
    <row r="168" spans="2:9" x14ac:dyDescent="0.25">
      <c r="B168" s="2" t="str">
        <v>112-07-2</v>
      </c>
      <c r="C168" s="2" t="str">
        <v>Ethylene Glycol Butyl Ether Acetate</v>
      </c>
      <c r="D168" s="2">
        <v>15.3</v>
      </c>
      <c r="E168" s="2">
        <v>7.5</v>
      </c>
      <c r="F168" s="2">
        <v>6.8</v>
      </c>
      <c r="G168" s="2" t="str">
        <v/>
      </c>
      <c r="H168" s="5">
        <v>3.3823069050575532</v>
      </c>
      <c r="I168">
        <v>0</v>
      </c>
    </row>
    <row r="169" spans="2:9" x14ac:dyDescent="0.25">
      <c r="B169" s="2" t="str">
        <v>4376-20-9</v>
      </c>
      <c r="C169" s="2" t="str">
        <v>2-Ethyl Hexyl Phthalate (Mono)</v>
      </c>
      <c r="D169" s="2">
        <v>17.3</v>
      </c>
      <c r="E169" s="2">
        <v>6.2</v>
      </c>
      <c r="F169" s="2">
        <v>6.8</v>
      </c>
      <c r="G169" s="2" t="str">
        <v/>
      </c>
      <c r="H169" s="5">
        <v>3.3837848631377252</v>
      </c>
      <c r="I169">
        <v>0</v>
      </c>
    </row>
    <row r="170" spans="2:9" x14ac:dyDescent="0.25">
      <c r="B170" s="2" t="str">
        <v>105-56-6</v>
      </c>
      <c r="C170" s="2" t="str">
        <v>Ethyl Cyanoacetate</v>
      </c>
      <c r="D170" s="2">
        <v>16.7</v>
      </c>
      <c r="E170" s="2">
        <v>7.9</v>
      </c>
      <c r="F170" s="2">
        <v>8.3000000000000007</v>
      </c>
      <c r="G170" s="2" t="str">
        <v/>
      </c>
      <c r="H170" s="5">
        <v>3.4014702703389896</v>
      </c>
      <c r="I170">
        <v>0</v>
      </c>
    </row>
    <row r="171" spans="2:9" x14ac:dyDescent="0.25">
      <c r="B171" s="2" t="str">
        <v>76-06-2</v>
      </c>
      <c r="C171" s="2" t="str">
        <v>Chloropicrin (Trichloronitromethane)</v>
      </c>
      <c r="D171" s="2">
        <v>17.600000000000001</v>
      </c>
      <c r="E171" s="2">
        <v>6.8</v>
      </c>
      <c r="F171" s="2">
        <v>7</v>
      </c>
      <c r="G171" s="2" t="str">
        <v/>
      </c>
      <c r="H171" s="5">
        <v>3.4073450074801639</v>
      </c>
      <c r="I171">
        <v>0</v>
      </c>
    </row>
    <row r="172" spans="2:9" x14ac:dyDescent="0.25">
      <c r="B172" s="2" t="str">
        <v>105-37-3</v>
      </c>
      <c r="C172" s="2" t="str">
        <v>Ethyl Propionate</v>
      </c>
      <c r="D172" s="2">
        <v>15.5</v>
      </c>
      <c r="E172" s="2">
        <v>6.1</v>
      </c>
      <c r="F172" s="2">
        <v>4.9000000000000004</v>
      </c>
      <c r="G172" s="2" t="str">
        <v/>
      </c>
      <c r="H172" s="5">
        <v>3.4073450074801657</v>
      </c>
      <c r="I172">
        <v>0</v>
      </c>
    </row>
    <row r="173" spans="2:9" x14ac:dyDescent="0.25">
      <c r="B173" s="2" t="str">
        <v>105-76-0</v>
      </c>
      <c r="C173" s="2" t="str">
        <v>Dibutyl Maleate</v>
      </c>
      <c r="D173" s="2">
        <v>16.5</v>
      </c>
      <c r="E173" s="2">
        <v>6.1</v>
      </c>
      <c r="F173" s="2">
        <v>7.2</v>
      </c>
      <c r="G173" s="2" t="str">
        <v/>
      </c>
      <c r="H173" s="5">
        <v>3.4117444218463961</v>
      </c>
      <c r="I173">
        <v>0</v>
      </c>
    </row>
    <row r="174" spans="2:9" x14ac:dyDescent="0.25">
      <c r="B174" s="2" t="str">
        <v>67-64-1</v>
      </c>
      <c r="C174" s="2" t="str">
        <v>Acetone</v>
      </c>
      <c r="D174" s="2">
        <v>15.5</v>
      </c>
      <c r="E174" s="2">
        <v>10.4</v>
      </c>
      <c r="F174" s="2">
        <v>7</v>
      </c>
      <c r="G174" s="2">
        <v>73.8</v>
      </c>
      <c r="H174" s="5">
        <v>3.4249087579087441</v>
      </c>
      <c r="I174">
        <v>0</v>
      </c>
    </row>
    <row r="175" spans="2:9" x14ac:dyDescent="0.25">
      <c r="B175" s="2" t="str">
        <v>75-44-5</v>
      </c>
      <c r="C175" s="2" t="str">
        <v>Phosgene</v>
      </c>
      <c r="D175" s="2">
        <v>16.399999999999999</v>
      </c>
      <c r="E175" s="2">
        <v>5.3</v>
      </c>
      <c r="F175" s="2">
        <v>5.3</v>
      </c>
      <c r="G175" s="2" t="str">
        <v/>
      </c>
      <c r="H175" s="5">
        <v>3.4365680554879168</v>
      </c>
      <c r="I175">
        <v>0</v>
      </c>
    </row>
    <row r="176" spans="2:9" x14ac:dyDescent="0.25">
      <c r="B176" s="2" t="str">
        <v>10143-53-0</v>
      </c>
      <c r="C176" s="2" t="str">
        <v>Vinyl Ethyl Carbitol</v>
      </c>
      <c r="D176" s="2">
        <v>15.9</v>
      </c>
      <c r="E176" s="2">
        <v>6</v>
      </c>
      <c r="F176" s="2">
        <v>6.6</v>
      </c>
      <c r="G176" s="2" t="str">
        <v/>
      </c>
      <c r="H176" s="5">
        <v>3.4365680554879168</v>
      </c>
      <c r="I176">
        <v>0</v>
      </c>
    </row>
    <row r="177" spans="2:9" x14ac:dyDescent="0.25">
      <c r="B177" s="2" t="str">
        <v>764-99-8</v>
      </c>
      <c r="C177" s="2" t="str">
        <v>Diethylene Glycol Divinyl Ether</v>
      </c>
      <c r="D177" s="2">
        <v>16</v>
      </c>
      <c r="E177" s="2">
        <v>7.3</v>
      </c>
      <c r="F177" s="2">
        <v>7.9</v>
      </c>
      <c r="G177" s="2" t="str">
        <v/>
      </c>
      <c r="H177" s="5">
        <v>3.4365680554879177</v>
      </c>
      <c r="I177">
        <v>0</v>
      </c>
    </row>
    <row r="178" spans="2:9" x14ac:dyDescent="0.25">
      <c r="B178" s="2" t="str">
        <v>26761-40-0</v>
      </c>
      <c r="C178" s="2" t="str">
        <v>Di-Isodecyl Phthalate</v>
      </c>
      <c r="D178" s="2">
        <v>16.600000000000001</v>
      </c>
      <c r="E178" s="2">
        <v>6.2</v>
      </c>
      <c r="F178" s="2">
        <v>2.6</v>
      </c>
      <c r="G178" s="2" t="str">
        <v/>
      </c>
      <c r="H178" s="5">
        <v>3.4655446902326905</v>
      </c>
      <c r="I178">
        <v>0</v>
      </c>
    </row>
    <row r="179" spans="2:9" x14ac:dyDescent="0.25">
      <c r="B179" s="2" t="str">
        <v>75-18-3</v>
      </c>
      <c r="C179" s="2" t="str">
        <v>Dimethyl Sulfide</v>
      </c>
      <c r="D179" s="2">
        <v>16.100000000000001</v>
      </c>
      <c r="E179" s="2">
        <v>6.4</v>
      </c>
      <c r="F179" s="2">
        <v>7.4</v>
      </c>
      <c r="G179" s="2" t="str">
        <v/>
      </c>
      <c r="H179" s="5">
        <v>3.471310991541956</v>
      </c>
      <c r="I179">
        <v>0</v>
      </c>
    </row>
    <row r="180" spans="2:9" x14ac:dyDescent="0.25">
      <c r="B180" s="2" t="str">
        <v>110-59-8</v>
      </c>
      <c r="C180" s="2" t="str">
        <v>Valeronitrile</v>
      </c>
      <c r="D180" s="2">
        <v>15.3</v>
      </c>
      <c r="E180" s="2">
        <v>11</v>
      </c>
      <c r="F180" s="2">
        <v>4.8</v>
      </c>
      <c r="G180" s="2" t="str">
        <v/>
      </c>
      <c r="H180" s="5">
        <v>3.477067730142744</v>
      </c>
      <c r="I180">
        <v>0</v>
      </c>
    </row>
    <row r="181" spans="2:9" x14ac:dyDescent="0.25">
      <c r="B181" s="2" t="str">
        <v>109-79-5</v>
      </c>
      <c r="C181" s="2" t="str">
        <v>1-Butanethiol</v>
      </c>
      <c r="D181" s="2">
        <v>16.3</v>
      </c>
      <c r="E181" s="2">
        <v>5.3</v>
      </c>
      <c r="F181" s="2">
        <v>4.5</v>
      </c>
      <c r="G181" s="2" t="str">
        <v/>
      </c>
      <c r="H181" s="5">
        <v>3.4885527085024814</v>
      </c>
      <c r="I181">
        <v>0</v>
      </c>
    </row>
    <row r="182" spans="2:9" x14ac:dyDescent="0.25">
      <c r="B182" s="2" t="str">
        <v>353-36-6</v>
      </c>
      <c r="C182" s="2" t="str">
        <v>Ethyl Fluoride</v>
      </c>
      <c r="D182" s="2">
        <v>15.2</v>
      </c>
      <c r="E182" s="2">
        <v>9.3000000000000007</v>
      </c>
      <c r="F182" s="2">
        <v>3</v>
      </c>
      <c r="G182" s="2" t="str">
        <v/>
      </c>
      <c r="H182" s="5">
        <v>3.4928498393145997</v>
      </c>
      <c r="I182">
        <v>0</v>
      </c>
    </row>
    <row r="183" spans="2:9" x14ac:dyDescent="0.25">
      <c r="B183" s="2" t="str">
        <v>111-96-6</v>
      </c>
      <c r="C183" s="2" t="str">
        <v>Di-(2-Methoxyethyl) Ether</v>
      </c>
      <c r="D183" s="2">
        <v>15.7</v>
      </c>
      <c r="E183" s="2">
        <v>6.1</v>
      </c>
      <c r="F183" s="2">
        <v>6.5</v>
      </c>
      <c r="G183" s="2" t="str">
        <v/>
      </c>
      <c r="H183" s="5">
        <v>3.5000000000000022</v>
      </c>
      <c r="I183">
        <v>0</v>
      </c>
    </row>
    <row r="184" spans="2:9" x14ac:dyDescent="0.25">
      <c r="B184" s="2" t="str">
        <v>123-91-1</v>
      </c>
      <c r="C184" s="2" t="str">
        <v>1,4-Dioxane (High P)</v>
      </c>
      <c r="D184" s="2">
        <v>17.100000000000001</v>
      </c>
      <c r="E184" s="2">
        <v>6.8</v>
      </c>
      <c r="F184" s="2">
        <v>7.8</v>
      </c>
      <c r="G184" s="2" t="str">
        <v/>
      </c>
      <c r="H184" s="5">
        <v>3.5284557528754696</v>
      </c>
      <c r="I184">
        <v>0</v>
      </c>
    </row>
    <row r="185" spans="2:9" x14ac:dyDescent="0.25">
      <c r="B185" s="2" t="str">
        <v>75-08-1</v>
      </c>
      <c r="C185" s="2" t="str">
        <v>Ethanethiol (Ethyl Mercaptan)</v>
      </c>
      <c r="D185" s="2">
        <v>15.7</v>
      </c>
      <c r="E185" s="2">
        <v>6.5</v>
      </c>
      <c r="F185" s="2">
        <v>7.1</v>
      </c>
      <c r="G185" s="2" t="str">
        <v/>
      </c>
      <c r="H185" s="5">
        <v>3.5341194094144601</v>
      </c>
      <c r="I185">
        <v>0</v>
      </c>
    </row>
    <row r="186" spans="2:9" x14ac:dyDescent="0.25">
      <c r="B186" s="2" t="str">
        <v>4043-59-8</v>
      </c>
      <c r="C186" s="2" t="str">
        <v>1-Ethoxy Ethoxy-2-Propanol</v>
      </c>
      <c r="D186" s="2">
        <v>15.4</v>
      </c>
      <c r="E186" s="2">
        <v>6.3</v>
      </c>
      <c r="F186" s="2">
        <v>6</v>
      </c>
      <c r="G186" s="2" t="str">
        <v/>
      </c>
      <c r="H186" s="5">
        <v>3.5383612025908273</v>
      </c>
      <c r="I186">
        <v>0</v>
      </c>
    </row>
    <row r="187" spans="2:9" x14ac:dyDescent="0.25">
      <c r="B187" s="2" t="str">
        <v>110-71-4</v>
      </c>
      <c r="C187" s="2" t="str">
        <v>Ethylene Glycol Dimethyl Ether</v>
      </c>
      <c r="D187" s="2">
        <v>15.4</v>
      </c>
      <c r="E187" s="2">
        <v>6.3</v>
      </c>
      <c r="F187" s="2">
        <v>6</v>
      </c>
      <c r="G187" s="2" t="str">
        <v/>
      </c>
      <c r="H187" s="5">
        <v>3.5383612025908273</v>
      </c>
      <c r="I187">
        <v>0</v>
      </c>
    </row>
    <row r="188" spans="2:9" x14ac:dyDescent="0.25">
      <c r="B188" s="2" t="str">
        <v>542-55-2</v>
      </c>
      <c r="C188" s="2" t="str">
        <v>Isobutyl Formate</v>
      </c>
      <c r="D188" s="2">
        <v>15.5</v>
      </c>
      <c r="E188" s="2">
        <v>6.5</v>
      </c>
      <c r="F188" s="2">
        <v>6.7</v>
      </c>
      <c r="G188" s="2" t="str">
        <v/>
      </c>
      <c r="H188" s="5">
        <v>3.5454195802471689</v>
      </c>
      <c r="I188">
        <v>0</v>
      </c>
    </row>
    <row r="189" spans="2:9" x14ac:dyDescent="0.25">
      <c r="B189" s="2" t="str">
        <v>696-59-3</v>
      </c>
      <c r="C189" s="2" t="str">
        <v>2,5-Dimethoxytetrahydrofuran</v>
      </c>
      <c r="D189" s="2">
        <v>16.8</v>
      </c>
      <c r="E189" s="2">
        <v>7.2</v>
      </c>
      <c r="F189" s="2">
        <v>8.1999999999999993</v>
      </c>
      <c r="G189" s="2" t="str">
        <v/>
      </c>
      <c r="H189" s="5">
        <v>3.5566838487557466</v>
      </c>
      <c r="I189">
        <v>0</v>
      </c>
    </row>
    <row r="190" spans="2:9" x14ac:dyDescent="0.25">
      <c r="B190" s="2" t="str">
        <v>141-28-6</v>
      </c>
      <c r="C190" s="2" t="str">
        <v>Diethyl Adipate</v>
      </c>
      <c r="D190" s="2">
        <v>16.399999999999999</v>
      </c>
      <c r="E190" s="2">
        <v>6.2</v>
      </c>
      <c r="F190" s="2">
        <v>7.5</v>
      </c>
      <c r="G190" s="2" t="str">
        <v/>
      </c>
      <c r="H190" s="5">
        <v>3.5580893749314391</v>
      </c>
      <c r="I190">
        <v>0</v>
      </c>
    </row>
    <row r="191" spans="2:9" x14ac:dyDescent="0.25">
      <c r="B191" s="2" t="str">
        <v>1356965-776</v>
      </c>
      <c r="C191" s="2" t="str">
        <v>HALLCOMID 1025</v>
      </c>
      <c r="D191" s="2">
        <v>16.579999999999998</v>
      </c>
      <c r="E191" s="2">
        <v>9.58</v>
      </c>
      <c r="F191" s="2">
        <v>8.4499999999999993</v>
      </c>
      <c r="G191" s="2" t="str">
        <v/>
      </c>
      <c r="H191" s="5">
        <v>3.5606881357400559</v>
      </c>
      <c r="I191">
        <v>0</v>
      </c>
    </row>
    <row r="192" spans="2:9" x14ac:dyDescent="0.25">
      <c r="B192" s="2" t="str">
        <v>517-25-9</v>
      </c>
      <c r="C192" s="2" t="str">
        <v>Trinitromethane</v>
      </c>
      <c r="D192" s="2">
        <v>15.5</v>
      </c>
      <c r="E192" s="2">
        <v>10.3</v>
      </c>
      <c r="F192" s="2">
        <v>7.3</v>
      </c>
      <c r="G192" s="2" t="str">
        <v/>
      </c>
      <c r="H192" s="5">
        <v>3.5623026261113773</v>
      </c>
      <c r="I192">
        <v>0</v>
      </c>
    </row>
    <row r="193" spans="2:9" x14ac:dyDescent="0.25">
      <c r="B193" s="2" t="str">
        <v>78-86-4</v>
      </c>
      <c r="C193" s="2" t="str">
        <v>2-Chlorobutane</v>
      </c>
      <c r="D193" s="2">
        <v>15.8</v>
      </c>
      <c r="E193" s="2">
        <v>7.6</v>
      </c>
      <c r="F193" s="2">
        <v>2</v>
      </c>
      <c r="G193" s="2" t="str">
        <v/>
      </c>
      <c r="H193" s="5">
        <v>3.5735136770411278</v>
      </c>
      <c r="I193">
        <v>0</v>
      </c>
    </row>
    <row r="194" spans="2:9" x14ac:dyDescent="0.25">
      <c r="B194" s="2" t="str">
        <v>5306-85-4</v>
      </c>
      <c r="C194" s="2" t="str">
        <v>Dimethyl Isosorbide</v>
      </c>
      <c r="D194" s="2">
        <v>17.600000000000001</v>
      </c>
      <c r="E194" s="2">
        <v>7.1</v>
      </c>
      <c r="F194" s="2">
        <v>7.5</v>
      </c>
      <c r="G194" s="2" t="str">
        <v/>
      </c>
      <c r="H194" s="5">
        <v>3.5791060336346558</v>
      </c>
      <c r="I194">
        <v>0</v>
      </c>
    </row>
    <row r="195" spans="2:9" x14ac:dyDescent="0.25">
      <c r="B195" s="2" t="str">
        <v>1118-92-9, 14433-76-2</v>
      </c>
      <c r="C195" s="2" t="str">
        <v>HALLCOMID M-8-10</v>
      </c>
      <c r="D195" s="2">
        <v>17.239999999999998</v>
      </c>
      <c r="E195" s="2">
        <v>5.8</v>
      </c>
      <c r="F195" s="2">
        <v>6.67</v>
      </c>
      <c r="G195" s="2" t="str">
        <v/>
      </c>
      <c r="H195" s="5">
        <v>3.5829178053647812</v>
      </c>
      <c r="I195">
        <v>0</v>
      </c>
    </row>
    <row r="196" spans="2:9" x14ac:dyDescent="0.25">
      <c r="B196" s="2" t="str">
        <v>105-53-3</v>
      </c>
      <c r="C196" s="2" t="str">
        <v>Diethyl Malonate</v>
      </c>
      <c r="D196" s="2">
        <v>16.100000000000001</v>
      </c>
      <c r="E196" s="2">
        <v>7.7</v>
      </c>
      <c r="F196" s="2">
        <v>8.3000000000000007</v>
      </c>
      <c r="G196" s="2" t="str">
        <v/>
      </c>
      <c r="H196" s="5">
        <v>3.5902646142032486</v>
      </c>
      <c r="I196">
        <v>0</v>
      </c>
    </row>
    <row r="197" spans="2:9" x14ac:dyDescent="0.25">
      <c r="B197" s="2" t="str">
        <v>1119-40-0</v>
      </c>
      <c r="C197" s="2" t="str">
        <v>Dimethyl Glutarate</v>
      </c>
      <c r="D197" s="2">
        <v>16.100000000000001</v>
      </c>
      <c r="E197" s="2">
        <v>7.7</v>
      </c>
      <c r="F197" s="2">
        <v>8.3000000000000007</v>
      </c>
      <c r="G197" s="2" t="str">
        <v/>
      </c>
      <c r="H197" s="5">
        <v>3.5902646142032486</v>
      </c>
      <c r="I197">
        <v>0</v>
      </c>
    </row>
    <row r="198" spans="2:9" x14ac:dyDescent="0.25">
      <c r="B198" s="2" t="str">
        <v>141-97-9</v>
      </c>
      <c r="C198" s="2" t="str">
        <v>Ethyl Aceto Acetate (Keto)</v>
      </c>
      <c r="D198" s="2">
        <v>16.5</v>
      </c>
      <c r="E198" s="2">
        <v>7.3</v>
      </c>
      <c r="F198" s="2">
        <v>8.3000000000000007</v>
      </c>
      <c r="G198" s="2" t="str">
        <v/>
      </c>
      <c r="H198" s="5">
        <v>3.590264614203249</v>
      </c>
      <c r="I198">
        <v>0</v>
      </c>
    </row>
    <row r="199" spans="2:9" x14ac:dyDescent="0.25">
      <c r="B199" s="2" t="str">
        <v>75-01-4</v>
      </c>
      <c r="C199" s="2" t="str">
        <v>Vinyl Chloride</v>
      </c>
      <c r="D199" s="2">
        <v>16</v>
      </c>
      <c r="E199" s="2">
        <v>6.5</v>
      </c>
      <c r="F199" s="2">
        <v>2.4</v>
      </c>
      <c r="G199" s="2" t="str">
        <v/>
      </c>
      <c r="H199" s="5">
        <v>3.6110940170535581</v>
      </c>
      <c r="I199">
        <v>0</v>
      </c>
    </row>
    <row r="200" spans="2:9" x14ac:dyDescent="0.25">
      <c r="B200" s="2" t="str">
        <v>627-22-5</v>
      </c>
      <c r="C200" s="2" t="str">
        <v>1,3-Butadiene-1-Chloro</v>
      </c>
      <c r="D200" s="2">
        <v>15.6</v>
      </c>
      <c r="E200" s="2">
        <v>8.5</v>
      </c>
      <c r="F200" s="2">
        <v>2</v>
      </c>
      <c r="G200" s="2" t="str">
        <v/>
      </c>
      <c r="H200" s="5">
        <v>3.6110940170535595</v>
      </c>
      <c r="I200">
        <v>0</v>
      </c>
    </row>
    <row r="201" spans="2:9" x14ac:dyDescent="0.25">
      <c r="B201" s="2">
        <v>408590</v>
      </c>
      <c r="C201" s="2" t="str">
        <v>1,2-Chlorobromoethylene</v>
      </c>
      <c r="D201" s="2">
        <v>17.2</v>
      </c>
      <c r="E201" s="2">
        <v>6.6</v>
      </c>
      <c r="F201" s="2">
        <v>2.2999999999999998</v>
      </c>
      <c r="G201" s="2" t="str">
        <v/>
      </c>
      <c r="H201" s="5">
        <v>3.6249137920783703</v>
      </c>
      <c r="I201">
        <v>0</v>
      </c>
    </row>
    <row r="202" spans="2:9" x14ac:dyDescent="0.25">
      <c r="B202" s="2" t="str">
        <v>19693-75-5</v>
      </c>
      <c r="C202" s="2" t="str">
        <v>2-Methoxy-1,3-Dioxolane</v>
      </c>
      <c r="D202" s="2">
        <v>17.8</v>
      </c>
      <c r="E202" s="2">
        <v>8.4</v>
      </c>
      <c r="F202" s="2">
        <v>7.7</v>
      </c>
      <c r="G202" s="2" t="str">
        <v/>
      </c>
      <c r="H202" s="5">
        <v>3.6249137920783707</v>
      </c>
      <c r="I202">
        <v>0</v>
      </c>
    </row>
    <row r="203" spans="2:9" x14ac:dyDescent="0.25">
      <c r="B203" s="2" t="str">
        <v>685-91-6</v>
      </c>
      <c r="C203" s="2" t="str">
        <v>N,N-Diethyl Acetamide</v>
      </c>
      <c r="D203" s="2">
        <v>16.399999999999999</v>
      </c>
      <c r="E203" s="2">
        <v>11.3</v>
      </c>
      <c r="F203" s="2">
        <v>7.5</v>
      </c>
      <c r="G203" s="2" t="str">
        <v/>
      </c>
      <c r="H203" s="5">
        <v>3.6290494623248128</v>
      </c>
      <c r="I203">
        <v>0</v>
      </c>
    </row>
    <row r="204" spans="2:9" x14ac:dyDescent="0.25">
      <c r="B204" s="2" t="str">
        <v>74-97-5</v>
      </c>
      <c r="C204" s="2" t="str">
        <v>Bromochloromethane</v>
      </c>
      <c r="D204" s="2">
        <v>17.3</v>
      </c>
      <c r="E204" s="2">
        <v>5.7</v>
      </c>
      <c r="F204" s="2">
        <v>3.5</v>
      </c>
      <c r="G204" s="2" t="str">
        <v/>
      </c>
      <c r="H204" s="5">
        <v>3.6345563690772482</v>
      </c>
      <c r="I204">
        <v>0</v>
      </c>
    </row>
    <row r="205" spans="2:9" x14ac:dyDescent="0.25">
      <c r="B205" s="2" t="str">
        <v>79-22-1</v>
      </c>
      <c r="C205" s="2" t="str">
        <v>Methyl Chloroformate</v>
      </c>
      <c r="D205" s="2">
        <v>16.3</v>
      </c>
      <c r="E205" s="2">
        <v>9.5</v>
      </c>
      <c r="F205" s="2">
        <v>8.5</v>
      </c>
      <c r="G205" s="2" t="str">
        <v/>
      </c>
      <c r="H205" s="5">
        <v>3.6400549446402595</v>
      </c>
      <c r="I205">
        <v>0</v>
      </c>
    </row>
    <row r="206" spans="2:9" x14ac:dyDescent="0.25">
      <c r="B206" s="2" t="str">
        <v>2210-28-8</v>
      </c>
      <c r="C206" s="2" t="str">
        <v>Propyl Methacrylate</v>
      </c>
      <c r="D206" s="2">
        <v>15.5</v>
      </c>
      <c r="E206" s="2">
        <v>6.6</v>
      </c>
      <c r="F206" s="2">
        <v>7</v>
      </c>
      <c r="G206" s="2" t="str">
        <v/>
      </c>
      <c r="H206" s="5">
        <v>3.6400549446402608</v>
      </c>
      <c r="I206">
        <v>0</v>
      </c>
    </row>
    <row r="207" spans="2:9" x14ac:dyDescent="0.25">
      <c r="B207" s="2" t="str">
        <v>27251-75-8</v>
      </c>
      <c r="C207" s="2" t="str">
        <v>Triisooctyl Trimellitate</v>
      </c>
      <c r="D207" s="2">
        <v>16.600000000000001</v>
      </c>
      <c r="E207" s="2">
        <v>6</v>
      </c>
      <c r="F207" s="2">
        <v>2.5</v>
      </c>
      <c r="G207" s="2" t="str">
        <v/>
      </c>
      <c r="H207" s="5">
        <v>3.6796738985948192</v>
      </c>
      <c r="I207">
        <v>0</v>
      </c>
    </row>
    <row r="208" spans="2:9" x14ac:dyDescent="0.25">
      <c r="B208" s="2" t="str">
        <v>97-88-1</v>
      </c>
      <c r="C208" s="2" t="str">
        <v>n-Butyl Methacrylate</v>
      </c>
      <c r="D208" s="2">
        <v>15.4</v>
      </c>
      <c r="E208" s="2">
        <v>5.9</v>
      </c>
      <c r="F208" s="2">
        <v>5.2</v>
      </c>
      <c r="G208" s="2" t="str">
        <v/>
      </c>
      <c r="H208" s="5">
        <v>3.6932370625238784</v>
      </c>
      <c r="I208">
        <v>0</v>
      </c>
    </row>
    <row r="209" spans="2:9" x14ac:dyDescent="0.25">
      <c r="B209" s="2" t="str">
        <v>13116-60-4</v>
      </c>
      <c r="C209" s="2" t="str">
        <v>1,1,2,2-Tetrachloropropane</v>
      </c>
      <c r="D209" s="2">
        <v>17.899999999999999</v>
      </c>
      <c r="E209" s="2">
        <v>6.7</v>
      </c>
      <c r="F209" s="2">
        <v>3.3</v>
      </c>
      <c r="G209" s="2" t="str">
        <v/>
      </c>
      <c r="H209" s="5">
        <v>3.6945906403822288</v>
      </c>
      <c r="I209">
        <v>0</v>
      </c>
    </row>
    <row r="210" spans="2:9" x14ac:dyDescent="0.25">
      <c r="B210" s="2" t="str">
        <v>591-60-6</v>
      </c>
      <c r="C210" s="2" t="str">
        <v>n-Butyl Aceto Acetate</v>
      </c>
      <c r="D210" s="2">
        <v>16.600000000000001</v>
      </c>
      <c r="E210" s="2">
        <v>5.8</v>
      </c>
      <c r="F210" s="2">
        <v>7.3</v>
      </c>
      <c r="G210" s="2" t="str">
        <v/>
      </c>
      <c r="H210" s="5">
        <v>3.701351104664349</v>
      </c>
      <c r="I210">
        <v>0</v>
      </c>
    </row>
    <row r="211" spans="2:9" x14ac:dyDescent="0.25">
      <c r="B211" s="2" t="str">
        <v>27986-36-3</v>
      </c>
      <c r="C211" s="2" t="str">
        <v>Nonyl Phenoxy Ethanol</v>
      </c>
      <c r="D211" s="2">
        <v>16.7</v>
      </c>
      <c r="E211" s="2">
        <v>10.199999999999999</v>
      </c>
      <c r="F211" s="2">
        <v>8.4</v>
      </c>
      <c r="G211" s="2" t="str">
        <v/>
      </c>
      <c r="H211" s="5">
        <v>3.7215588131856792</v>
      </c>
      <c r="I211">
        <v>0</v>
      </c>
    </row>
    <row r="212" spans="2:9" x14ac:dyDescent="0.25">
      <c r="B212" s="2" t="str">
        <v>79-20-9</v>
      </c>
      <c r="C212" s="2" t="str">
        <v>Methyl Acetate</v>
      </c>
      <c r="D212" s="2">
        <v>15.5</v>
      </c>
      <c r="E212" s="2">
        <v>7.2</v>
      </c>
      <c r="F212" s="2">
        <v>7.6</v>
      </c>
      <c r="G212" s="2">
        <v>79.8</v>
      </c>
      <c r="H212" s="5">
        <v>3.72155881318568</v>
      </c>
      <c r="I212">
        <v>0</v>
      </c>
    </row>
    <row r="213" spans="2:9" x14ac:dyDescent="0.25">
      <c r="B213" s="2" t="str">
        <v>74-93-1</v>
      </c>
      <c r="C213" s="2" t="str">
        <v>Methyl Mercaptan</v>
      </c>
      <c r="D213" s="2">
        <v>16.600000000000001</v>
      </c>
      <c r="E213" s="2">
        <v>7.7</v>
      </c>
      <c r="F213" s="2">
        <v>8.6</v>
      </c>
      <c r="G213" s="2" t="str">
        <v/>
      </c>
      <c r="H213" s="5">
        <v>3.7363083384538802</v>
      </c>
      <c r="I213">
        <v>0</v>
      </c>
    </row>
    <row r="214" spans="2:9" x14ac:dyDescent="0.25">
      <c r="B214" s="2" t="str">
        <v>110-87-2</v>
      </c>
      <c r="C214" s="2" t="str">
        <v>Dihydropyran</v>
      </c>
      <c r="D214" s="2">
        <v>17.5</v>
      </c>
      <c r="E214" s="2">
        <v>5.5</v>
      </c>
      <c r="F214" s="2">
        <v>5.7</v>
      </c>
      <c r="G214" s="2" t="str">
        <v/>
      </c>
      <c r="H214" s="5">
        <v>3.7376463182061497</v>
      </c>
      <c r="I214">
        <v>0</v>
      </c>
    </row>
    <row r="215" spans="2:9" x14ac:dyDescent="0.25">
      <c r="B215" s="2" t="str">
        <v>93-89-0</v>
      </c>
      <c r="C215" s="2" t="str">
        <v>Ethyl Benzoate</v>
      </c>
      <c r="D215" s="2">
        <v>17.899999999999999</v>
      </c>
      <c r="E215" s="2">
        <v>6.2</v>
      </c>
      <c r="F215" s="2">
        <v>6</v>
      </c>
      <c r="G215" s="2" t="str">
        <v/>
      </c>
      <c r="H215" s="5">
        <v>3.7429934544425758</v>
      </c>
      <c r="I215">
        <v>0</v>
      </c>
    </row>
    <row r="216" spans="2:9" x14ac:dyDescent="0.25">
      <c r="B216" s="2" t="str">
        <v>110-71-4</v>
      </c>
      <c r="C216" s="2" t="str">
        <v>Dimethyl Cellosolve</v>
      </c>
      <c r="D216" s="2">
        <v>15.4</v>
      </c>
      <c r="E216" s="2">
        <v>6</v>
      </c>
      <c r="F216" s="2">
        <v>6</v>
      </c>
      <c r="G216" s="2" t="str">
        <v/>
      </c>
      <c r="H216" s="5">
        <v>3.7483329627982633</v>
      </c>
      <c r="I216">
        <v>0</v>
      </c>
    </row>
    <row r="217" spans="2:9" x14ac:dyDescent="0.25">
      <c r="B217" s="2" t="str">
        <v>7393-45-5</v>
      </c>
      <c r="C217" s="2" t="str">
        <v>Chlorocyclopropane</v>
      </c>
      <c r="D217" s="2">
        <v>17.600000000000001</v>
      </c>
      <c r="E217" s="2">
        <v>7.2</v>
      </c>
      <c r="F217" s="2">
        <v>2.2000000000000002</v>
      </c>
      <c r="G217" s="2" t="str">
        <v/>
      </c>
      <c r="H217" s="5">
        <v>3.7536648758246915</v>
      </c>
      <c r="I217">
        <v>0</v>
      </c>
    </row>
    <row r="218" spans="2:9" x14ac:dyDescent="0.25">
      <c r="B218" s="2" t="str">
        <v>107-05-1</v>
      </c>
      <c r="C218" s="2" t="str">
        <v>Allyl Chloride</v>
      </c>
      <c r="D218" s="2">
        <v>17</v>
      </c>
      <c r="E218" s="2">
        <v>6.2</v>
      </c>
      <c r="F218" s="2">
        <v>2.2999999999999998</v>
      </c>
      <c r="G218" s="2" t="str">
        <v/>
      </c>
      <c r="H218" s="5">
        <v>3.7656340767525451</v>
      </c>
      <c r="I218">
        <v>0</v>
      </c>
    </row>
    <row r="219" spans="2:9" x14ac:dyDescent="0.25">
      <c r="B219" s="2" t="str">
        <v>507-20-0</v>
      </c>
      <c r="C219" s="2" t="str">
        <v>2-Chloro-2-Methyl Propane</v>
      </c>
      <c r="D219" s="2">
        <v>15.6</v>
      </c>
      <c r="E219" s="2">
        <v>7.6</v>
      </c>
      <c r="F219" s="2">
        <v>2</v>
      </c>
      <c r="G219" s="2" t="str">
        <v/>
      </c>
      <c r="H219" s="5">
        <v>3.7696153649941544</v>
      </c>
      <c r="I219">
        <v>0</v>
      </c>
    </row>
    <row r="220" spans="2:9" x14ac:dyDescent="0.25">
      <c r="B220" s="2" t="str">
        <v>2211-89-4</v>
      </c>
      <c r="C220" s="2" t="str">
        <v>Di-Isopropyl Sulfoxide</v>
      </c>
      <c r="D220" s="2">
        <v>17</v>
      </c>
      <c r="E220" s="2">
        <v>11.5</v>
      </c>
      <c r="F220" s="2">
        <v>7.4</v>
      </c>
      <c r="G220" s="2" t="str">
        <v/>
      </c>
      <c r="H220" s="5">
        <v>3.7735924528226419</v>
      </c>
      <c r="I220">
        <v>0</v>
      </c>
    </row>
    <row r="221" spans="2:9" x14ac:dyDescent="0.25">
      <c r="B221" s="2" t="str">
        <v>4431-83-8</v>
      </c>
      <c r="C221" s="2" t="str">
        <v>TOU - 2,5,7,10-Tetraoxaundecane</v>
      </c>
      <c r="D221" s="2">
        <v>15.89</v>
      </c>
      <c r="E221" s="2">
        <v>5.51</v>
      </c>
      <c r="F221" s="2">
        <v>6.44</v>
      </c>
      <c r="G221" s="2">
        <v>165.51</v>
      </c>
      <c r="H221" s="5">
        <v>3.7770491127333785</v>
      </c>
      <c r="I221">
        <v>0</v>
      </c>
    </row>
    <row r="222" spans="2:9" x14ac:dyDescent="0.25">
      <c r="B222" s="2" t="str">
        <v>10143-66-5</v>
      </c>
      <c r="C222" s="2" t="str">
        <v>1,3-Dimethoxy Butane</v>
      </c>
      <c r="D222" s="2">
        <v>15.6</v>
      </c>
      <c r="E222" s="2">
        <v>5.5</v>
      </c>
      <c r="F222" s="2">
        <v>5.2</v>
      </c>
      <c r="G222" s="2" t="str">
        <v/>
      </c>
      <c r="H222" s="5">
        <v>3.7788887255382382</v>
      </c>
      <c r="I222">
        <v>0</v>
      </c>
    </row>
    <row r="223" spans="2:9" x14ac:dyDescent="0.25">
      <c r="B223" s="2" t="str">
        <v>3592-44-7</v>
      </c>
      <c r="C223" s="2" t="str">
        <v>Chloromethylsulfide</v>
      </c>
      <c r="D223" s="2">
        <v>16.600000000000001</v>
      </c>
      <c r="E223" s="2">
        <v>6.4</v>
      </c>
      <c r="F223" s="2">
        <v>2</v>
      </c>
      <c r="G223" s="2" t="str">
        <v/>
      </c>
      <c r="H223" s="5">
        <v>3.7802116342871592</v>
      </c>
      <c r="I223">
        <v>0</v>
      </c>
    </row>
    <row r="224" spans="2:9" x14ac:dyDescent="0.25">
      <c r="B224" s="2" t="str">
        <v>543-59-9</v>
      </c>
      <c r="C224" s="2" t="str">
        <v>1-Chloro Pentane</v>
      </c>
      <c r="D224" s="2">
        <v>16</v>
      </c>
      <c r="E224" s="2">
        <v>6.9</v>
      </c>
      <c r="F224" s="2">
        <v>1.9</v>
      </c>
      <c r="G224" s="2" t="str">
        <v/>
      </c>
      <c r="H224" s="5">
        <v>3.7802116342871606</v>
      </c>
      <c r="I224">
        <v>0</v>
      </c>
    </row>
    <row r="225" spans="2:9" x14ac:dyDescent="0.25">
      <c r="B225" s="2" t="str">
        <v>590-01-2</v>
      </c>
      <c r="C225" s="2" t="str">
        <v>n-Butyl Propionate</v>
      </c>
      <c r="D225" s="2">
        <v>15.7</v>
      </c>
      <c r="E225" s="2">
        <v>5.5</v>
      </c>
      <c r="F225" s="2">
        <v>5.9</v>
      </c>
      <c r="G225" s="2">
        <v>149.30000000000001</v>
      </c>
      <c r="H225" s="5">
        <v>3.7802116342871614</v>
      </c>
      <c r="I225">
        <v>0</v>
      </c>
    </row>
    <row r="226" spans="2:9" x14ac:dyDescent="0.25">
      <c r="B226" s="2" t="str">
        <v>591-78-6</v>
      </c>
      <c r="C226" s="2" t="str">
        <v>Methyl Butyl Ketone</v>
      </c>
      <c r="D226" s="2">
        <v>15.3</v>
      </c>
      <c r="E226" s="2">
        <v>6.1</v>
      </c>
      <c r="F226" s="2">
        <v>4.0999999999999996</v>
      </c>
      <c r="G226" s="2" t="str">
        <v/>
      </c>
      <c r="H226" s="5">
        <v>3.785498646149541</v>
      </c>
      <c r="I226">
        <v>0</v>
      </c>
    </row>
    <row r="227" spans="2:9" x14ac:dyDescent="0.25">
      <c r="B227" s="2" t="str">
        <v>108-10-1</v>
      </c>
      <c r="C227" s="2" t="str">
        <v>Methyl Isobutyl Ketone (MIBK)</v>
      </c>
      <c r="D227" s="2">
        <v>15.3</v>
      </c>
      <c r="E227" s="2">
        <v>6.1</v>
      </c>
      <c r="F227" s="2">
        <v>4.0999999999999996</v>
      </c>
      <c r="G227" s="2" t="str">
        <v/>
      </c>
      <c r="H227" s="5">
        <v>3.785498646149541</v>
      </c>
      <c r="I227">
        <v>0</v>
      </c>
    </row>
    <row r="228" spans="2:9" x14ac:dyDescent="0.25">
      <c r="B228" s="2" t="str">
        <v>NA</v>
      </c>
      <c r="C228" s="2" t="str">
        <v>Vinyl S-Butyl Mercapto Ethyl Ether</v>
      </c>
      <c r="D228" s="2">
        <v>16.5</v>
      </c>
      <c r="E228" s="2">
        <v>5</v>
      </c>
      <c r="F228" s="2">
        <v>5.8</v>
      </c>
      <c r="G228" s="2" t="str">
        <v/>
      </c>
      <c r="H228" s="5">
        <v>3.7907782842049724</v>
      </c>
      <c r="I228">
        <v>0</v>
      </c>
    </row>
    <row r="229" spans="2:9" x14ac:dyDescent="0.25">
      <c r="B229" s="2" t="str">
        <v>75-00-3</v>
      </c>
      <c r="C229" s="2" t="str">
        <v>Ethyl Chloride</v>
      </c>
      <c r="D229" s="2">
        <v>15.7</v>
      </c>
      <c r="E229" s="2">
        <v>6.1</v>
      </c>
      <c r="F229" s="2">
        <v>2.9</v>
      </c>
      <c r="G229" s="2" t="str">
        <v/>
      </c>
      <c r="H229" s="5">
        <v>3.7960505792204633</v>
      </c>
      <c r="I229">
        <v>0</v>
      </c>
    </row>
    <row r="230" spans="2:9" x14ac:dyDescent="0.25">
      <c r="B230" s="2" t="str">
        <v>541-41-3</v>
      </c>
      <c r="C230" s="2" t="str">
        <v>Ethyl Chloroformate</v>
      </c>
      <c r="D230" s="2">
        <v>16.399999999999999</v>
      </c>
      <c r="E230" s="2">
        <v>11</v>
      </c>
      <c r="F230" s="2">
        <v>8</v>
      </c>
      <c r="G230" s="2" t="str">
        <v/>
      </c>
      <c r="H230" s="5">
        <v>3.8013155617496435</v>
      </c>
      <c r="I230">
        <v>0</v>
      </c>
    </row>
    <row r="231" spans="2:9" x14ac:dyDescent="0.25">
      <c r="B231" s="2" t="str">
        <v>105-54-4</v>
      </c>
      <c r="C231" s="2" t="str">
        <v>Ethyl Butyrate</v>
      </c>
      <c r="D231" s="2">
        <v>15.5</v>
      </c>
      <c r="E231" s="2">
        <v>5.6</v>
      </c>
      <c r="F231" s="2">
        <v>5</v>
      </c>
      <c r="G231" s="2" t="str">
        <v/>
      </c>
      <c r="H231" s="5">
        <v>3.8013155617496439</v>
      </c>
      <c r="I231">
        <v>0</v>
      </c>
    </row>
    <row r="232" spans="2:9" x14ac:dyDescent="0.25">
      <c r="B232" s="2" t="str">
        <v>96-47-9</v>
      </c>
      <c r="C232" s="2" t="str">
        <v>2-Methyl Tetrahydrofuran</v>
      </c>
      <c r="D232" s="2">
        <v>16.899999999999999</v>
      </c>
      <c r="E232" s="2">
        <v>5</v>
      </c>
      <c r="F232" s="2">
        <v>4.3</v>
      </c>
      <c r="G232" s="2" t="str">
        <v/>
      </c>
      <c r="H232" s="5">
        <v>3.8131351929875219</v>
      </c>
      <c r="I232">
        <v>0</v>
      </c>
    </row>
    <row r="233" spans="2:9" x14ac:dyDescent="0.25">
      <c r="B233" s="2" t="str">
        <v>870-23-5</v>
      </c>
      <c r="C233" s="2" t="str">
        <v>Allyl Mercaptan</v>
      </c>
      <c r="D233" s="2">
        <v>16.399999999999999</v>
      </c>
      <c r="E233" s="2">
        <v>6.2</v>
      </c>
      <c r="F233" s="2">
        <v>7.9</v>
      </c>
      <c r="G233" s="2" t="str">
        <v/>
      </c>
      <c r="H233" s="5">
        <v>3.8496753109840318</v>
      </c>
      <c r="I233">
        <v>0</v>
      </c>
    </row>
    <row r="234" spans="2:9" x14ac:dyDescent="0.25">
      <c r="B234" s="2" t="str">
        <v>107-70-0</v>
      </c>
      <c r="C234" s="2" t="str">
        <v>Methoxyhexanone (Pentoxone)</v>
      </c>
      <c r="D234" s="2">
        <v>15.3</v>
      </c>
      <c r="E234" s="2">
        <v>6</v>
      </c>
      <c r="F234" s="2">
        <v>5.9</v>
      </c>
      <c r="G234" s="2" t="str">
        <v/>
      </c>
      <c r="H234" s="5">
        <v>3.8548670534792771</v>
      </c>
      <c r="I234">
        <v>0</v>
      </c>
    </row>
    <row r="235" spans="2:9" x14ac:dyDescent="0.25">
      <c r="B235" s="2" t="str">
        <v>106-36-5</v>
      </c>
      <c r="C235" s="2" t="str">
        <v>n-Propyl Propanoate</v>
      </c>
      <c r="D235" s="2">
        <v>15.5</v>
      </c>
      <c r="E235" s="2">
        <v>5.6</v>
      </c>
      <c r="F235" s="2">
        <v>5.7</v>
      </c>
      <c r="G235" s="2">
        <v>132.5</v>
      </c>
      <c r="H235" s="5">
        <v>3.8652296180175392</v>
      </c>
      <c r="I235">
        <v>0</v>
      </c>
    </row>
    <row r="236" spans="2:9" x14ac:dyDescent="0.25">
      <c r="B236" s="2" t="str">
        <v>590-86-3</v>
      </c>
      <c r="C236" s="2" t="str">
        <v>Isovaleraldehyde</v>
      </c>
      <c r="D236" s="2">
        <v>14.7</v>
      </c>
      <c r="E236" s="2">
        <v>9.5</v>
      </c>
      <c r="F236" s="2">
        <v>5</v>
      </c>
      <c r="G236" s="2" t="str">
        <v/>
      </c>
      <c r="H236" s="5">
        <v>3.8832975677895241</v>
      </c>
      <c r="I236">
        <v>0</v>
      </c>
    </row>
    <row r="237" spans="2:9" x14ac:dyDescent="0.25">
      <c r="B237" s="2" t="str">
        <v>115-10-6</v>
      </c>
      <c r="C237" s="2" t="str">
        <v>Dimethyl Ether</v>
      </c>
      <c r="D237" s="2">
        <v>15.2</v>
      </c>
      <c r="E237" s="2">
        <v>6.1</v>
      </c>
      <c r="F237" s="2">
        <v>5.7</v>
      </c>
      <c r="G237" s="2" t="str">
        <v/>
      </c>
      <c r="H237" s="5">
        <v>3.8845849199110094</v>
      </c>
      <c r="I237">
        <v>0</v>
      </c>
    </row>
    <row r="238" spans="2:9" x14ac:dyDescent="0.25">
      <c r="B238" s="2" t="str">
        <v>106-35-4</v>
      </c>
      <c r="C238" s="2" t="str">
        <v>Ethyl Butyl Ketone</v>
      </c>
      <c r="D238" s="2">
        <v>16.2</v>
      </c>
      <c r="E238" s="2">
        <v>5</v>
      </c>
      <c r="F238" s="2">
        <v>4.0999999999999996</v>
      </c>
      <c r="G238" s="2" t="str">
        <v/>
      </c>
      <c r="H238" s="5">
        <v>3.8910152916687442</v>
      </c>
      <c r="I238">
        <v>0</v>
      </c>
    </row>
    <row r="239" spans="2:9" x14ac:dyDescent="0.25">
      <c r="B239" s="2" t="str">
        <v>4789-70-2</v>
      </c>
      <c r="C239" s="2" t="str">
        <v>Vinyl Butyl Sulfide</v>
      </c>
      <c r="D239" s="2">
        <v>16</v>
      </c>
      <c r="E239" s="2">
        <v>5</v>
      </c>
      <c r="F239" s="2">
        <v>5.4</v>
      </c>
      <c r="G239" s="2" t="str">
        <v/>
      </c>
      <c r="H239" s="5">
        <v>3.9102429592034307</v>
      </c>
      <c r="I239">
        <v>0</v>
      </c>
    </row>
    <row r="240" spans="2:9" x14ac:dyDescent="0.25">
      <c r="B240" s="2" t="str">
        <v>542-58-5</v>
      </c>
      <c r="C240" s="2" t="str">
        <v>2-Chloroethyl Acetate</v>
      </c>
      <c r="D240" s="2">
        <v>16.7</v>
      </c>
      <c r="E240" s="2">
        <v>9.6</v>
      </c>
      <c r="F240" s="2">
        <v>8.8000000000000007</v>
      </c>
      <c r="G240" s="2" t="str">
        <v/>
      </c>
      <c r="H240" s="5">
        <v>3.9102429592034311</v>
      </c>
      <c r="I240">
        <v>0</v>
      </c>
    </row>
    <row r="241" spans="2:9" x14ac:dyDescent="0.25">
      <c r="B241" s="2" t="str">
        <v>624-54-4</v>
      </c>
      <c r="C241" s="2" t="str">
        <v>n-Pentyl Propionate</v>
      </c>
      <c r="D241" s="2">
        <v>15.8</v>
      </c>
      <c r="E241" s="2">
        <v>5.2</v>
      </c>
      <c r="F241" s="2">
        <v>5.7</v>
      </c>
      <c r="G241" s="2" t="str">
        <v/>
      </c>
      <c r="H241" s="5">
        <v>3.9115214431215888</v>
      </c>
      <c r="I241">
        <v>0</v>
      </c>
    </row>
    <row r="242" spans="2:9" x14ac:dyDescent="0.25">
      <c r="B242" s="2" t="str">
        <v>105-45-3</v>
      </c>
      <c r="C242" s="2" t="str">
        <v>Methyl Aceto Acetate</v>
      </c>
      <c r="D242" s="2">
        <v>16.399999999999999</v>
      </c>
      <c r="E242" s="2">
        <v>8.6</v>
      </c>
      <c r="F242" s="2">
        <v>8.9</v>
      </c>
      <c r="G242" s="2" t="str">
        <v/>
      </c>
      <c r="H242" s="5">
        <v>3.9217343102255167</v>
      </c>
      <c r="I242">
        <v>0</v>
      </c>
    </row>
    <row r="243" spans="2:9" x14ac:dyDescent="0.25">
      <c r="B243" s="2" t="str">
        <v>95-92-1</v>
      </c>
      <c r="C243" s="2" t="str">
        <v>Diethyl Oxalate</v>
      </c>
      <c r="D243" s="2">
        <v>16.2</v>
      </c>
      <c r="E243" s="2">
        <v>8</v>
      </c>
      <c r="F243" s="2">
        <v>8.8000000000000007</v>
      </c>
      <c r="G243" s="2" t="str">
        <v/>
      </c>
      <c r="H243" s="5">
        <v>3.9458839313897731</v>
      </c>
      <c r="I243">
        <v>0</v>
      </c>
    </row>
    <row r="244" spans="2:9" x14ac:dyDescent="0.25">
      <c r="B244" s="2" t="str">
        <v>1822-74-8</v>
      </c>
      <c r="C244" s="2" t="str">
        <v>Methyl Vinyl Sulfide</v>
      </c>
      <c r="D244" s="2">
        <v>16.399999999999999</v>
      </c>
      <c r="E244" s="2">
        <v>4.9000000000000004</v>
      </c>
      <c r="F244" s="2">
        <v>6</v>
      </c>
      <c r="G244" s="2" t="str">
        <v/>
      </c>
      <c r="H244" s="5">
        <v>3.9496835316262993</v>
      </c>
      <c r="I244">
        <v>0</v>
      </c>
    </row>
    <row r="245" spans="2:9" x14ac:dyDescent="0.25">
      <c r="B245" s="2" t="str">
        <v>105-68-0</v>
      </c>
      <c r="C245" s="2" t="str">
        <v>Isoamyl Propionate</v>
      </c>
      <c r="D245" s="2">
        <v>15.7</v>
      </c>
      <c r="E245" s="2">
        <v>5.2</v>
      </c>
      <c r="F245" s="2">
        <v>5.6</v>
      </c>
      <c r="G245" s="2" t="str">
        <v/>
      </c>
      <c r="H245" s="5">
        <v>3.9812058474788778</v>
      </c>
      <c r="I245">
        <v>0</v>
      </c>
    </row>
    <row r="246" spans="2:9" x14ac:dyDescent="0.25">
      <c r="B246" s="2" t="str">
        <v>764-41-0</v>
      </c>
      <c r="C246" s="2" t="str">
        <v>1,4-Dichloro-2-Butene</v>
      </c>
      <c r="D246" s="2">
        <v>17.8</v>
      </c>
      <c r="E246" s="2">
        <v>7.6</v>
      </c>
      <c r="F246" s="2">
        <v>2</v>
      </c>
      <c r="G246" s="2" t="str">
        <v/>
      </c>
      <c r="H246" s="5">
        <v>3.9962482405376161</v>
      </c>
      <c r="I246">
        <v>0</v>
      </c>
    </row>
    <row r="247" spans="2:9" x14ac:dyDescent="0.25">
      <c r="B247" s="2" t="str">
        <v>102-52-3</v>
      </c>
      <c r="C247" s="2" t="str">
        <v>1,1,3,3-Tetramethoxypropane</v>
      </c>
      <c r="D247" s="2">
        <v>15</v>
      </c>
      <c r="E247" s="2">
        <v>7.1</v>
      </c>
      <c r="F247" s="2">
        <v>6.8</v>
      </c>
      <c r="G247" s="2" t="str">
        <v/>
      </c>
      <c r="H247" s="5">
        <v>4.0049968789001591</v>
      </c>
      <c r="I247">
        <v>0</v>
      </c>
    </row>
    <row r="248" spans="2:9" x14ac:dyDescent="0.25">
      <c r="B248" s="2" t="str">
        <v>123-63-7</v>
      </c>
      <c r="C248" s="2" t="str">
        <v>Paraldehyde</v>
      </c>
      <c r="D248" s="2">
        <v>16</v>
      </c>
      <c r="E248" s="2">
        <v>5</v>
      </c>
      <c r="F248" s="2">
        <v>6</v>
      </c>
      <c r="G248" s="2" t="str">
        <v/>
      </c>
      <c r="H248" s="5">
        <v>4.0162171256046406</v>
      </c>
      <c r="I248">
        <v>0</v>
      </c>
    </row>
    <row r="249" spans="2:9" x14ac:dyDescent="0.25">
      <c r="B249" s="2" t="str">
        <v>NA</v>
      </c>
      <c r="C249" s="2" t="str">
        <v>Vinyl Butyl Carbitol</v>
      </c>
      <c r="D249" s="2">
        <v>16</v>
      </c>
      <c r="E249" s="2">
        <v>5</v>
      </c>
      <c r="F249" s="2">
        <v>6</v>
      </c>
      <c r="G249" s="2" t="str">
        <v/>
      </c>
      <c r="H249" s="5">
        <v>4.0162171256046406</v>
      </c>
      <c r="I249">
        <v>0</v>
      </c>
    </row>
    <row r="250" spans="2:9" x14ac:dyDescent="0.25">
      <c r="B250" s="2" t="str">
        <v>123-38-6</v>
      </c>
      <c r="C250" s="2" t="str">
        <v>Propionaldehyde</v>
      </c>
      <c r="D250" s="2">
        <v>15.3</v>
      </c>
      <c r="E250" s="2">
        <v>11.1</v>
      </c>
      <c r="F250" s="2">
        <v>6.9</v>
      </c>
      <c r="G250" s="2" t="str">
        <v/>
      </c>
      <c r="H250" s="5">
        <v>4.0162171256046415</v>
      </c>
      <c r="I250">
        <v>0</v>
      </c>
    </row>
    <row r="251" spans="2:9" x14ac:dyDescent="0.25">
      <c r="B251" s="2" t="str">
        <v>2623-23-6</v>
      </c>
      <c r="C251" s="2" t="str">
        <v>l-Menthyl Acetate</v>
      </c>
      <c r="D251" s="2">
        <v>16.8</v>
      </c>
      <c r="E251" s="2">
        <v>4.7</v>
      </c>
      <c r="F251" s="2">
        <v>4.9000000000000004</v>
      </c>
      <c r="G251" s="2" t="str">
        <v/>
      </c>
      <c r="H251" s="5">
        <v>4.0211938525766193</v>
      </c>
      <c r="I251">
        <v>0</v>
      </c>
    </row>
    <row r="252" spans="2:9" x14ac:dyDescent="0.25">
      <c r="B252" s="2" t="str">
        <v>80-63-7</v>
      </c>
      <c r="C252" s="2" t="str">
        <v>α-Chloro Methyl Acrylate</v>
      </c>
      <c r="D252" s="2">
        <v>15.9</v>
      </c>
      <c r="E252" s="2">
        <v>7.3</v>
      </c>
      <c r="F252" s="2">
        <v>8.5</v>
      </c>
      <c r="G252" s="2" t="str">
        <v/>
      </c>
      <c r="H252" s="5">
        <v>4.0211938525766211</v>
      </c>
      <c r="I252">
        <v>0</v>
      </c>
    </row>
    <row r="253" spans="2:9" x14ac:dyDescent="0.25">
      <c r="B253" s="2" t="str">
        <v>627-93-0</v>
      </c>
      <c r="C253" s="2" t="str">
        <v>Dimethyl Adipate</v>
      </c>
      <c r="D253" s="2">
        <v>16.3</v>
      </c>
      <c r="E253" s="2">
        <v>6.8</v>
      </c>
      <c r="F253" s="2">
        <v>8.5</v>
      </c>
      <c r="G253" s="2" t="str">
        <v/>
      </c>
      <c r="H253" s="5">
        <v>4.0274061131204535</v>
      </c>
      <c r="I253">
        <v>0</v>
      </c>
    </row>
    <row r="254" spans="2:9" x14ac:dyDescent="0.25">
      <c r="B254" s="2" t="str">
        <v>75-37-6</v>
      </c>
      <c r="C254" s="2" t="str">
        <v>1,1-Difluoroethane</v>
      </c>
      <c r="D254" s="2">
        <v>14.9</v>
      </c>
      <c r="E254" s="2">
        <v>9.3000000000000007</v>
      </c>
      <c r="F254" s="2">
        <v>2.9</v>
      </c>
      <c r="G254" s="2" t="str">
        <v/>
      </c>
      <c r="H254" s="5">
        <v>4.0410394702353525</v>
      </c>
      <c r="I254">
        <v>0</v>
      </c>
    </row>
    <row r="255" spans="2:9" x14ac:dyDescent="0.25">
      <c r="B255" s="2" t="str">
        <v>693-07-2</v>
      </c>
      <c r="C255" s="2" t="str">
        <v>2-Chloroethyl Ethyl Sulfide</v>
      </c>
      <c r="D255" s="2">
        <v>17.2</v>
      </c>
      <c r="E255" s="2">
        <v>5</v>
      </c>
      <c r="F255" s="2">
        <v>6.1</v>
      </c>
      <c r="G255" s="2" t="str">
        <v/>
      </c>
      <c r="H255" s="5">
        <v>4.0422765862815453</v>
      </c>
      <c r="I255">
        <v>0</v>
      </c>
    </row>
    <row r="256" spans="2:9" x14ac:dyDescent="0.25">
      <c r="B256" s="2" t="str">
        <v>34994-48-4</v>
      </c>
      <c r="C256" s="2" t="str">
        <v>2,3-Dibromoprene</v>
      </c>
      <c r="D256" s="2">
        <v>17.7</v>
      </c>
      <c r="E256" s="2">
        <v>11.8</v>
      </c>
      <c r="F256" s="2">
        <v>6.4</v>
      </c>
      <c r="G256" s="2" t="str">
        <v/>
      </c>
      <c r="H256" s="5">
        <v>4.0509258201058174</v>
      </c>
      <c r="I256">
        <v>0</v>
      </c>
    </row>
    <row r="257" spans="2:9" x14ac:dyDescent="0.25">
      <c r="B257" s="2" t="str">
        <v>5459-90-5</v>
      </c>
      <c r="C257" s="2" t="str">
        <v>2-Chloroallylidene Diacetate</v>
      </c>
      <c r="D257" s="2">
        <v>16.7</v>
      </c>
      <c r="E257" s="2">
        <v>7.3</v>
      </c>
      <c r="F257" s="2">
        <v>8.8000000000000007</v>
      </c>
      <c r="G257" s="2" t="str">
        <v/>
      </c>
      <c r="H257" s="5">
        <v>4.054626986542659</v>
      </c>
      <c r="I257">
        <v>0</v>
      </c>
    </row>
    <row r="258" spans="2:9" x14ac:dyDescent="0.25">
      <c r="B258" s="2" t="str">
        <v>106-65-0</v>
      </c>
      <c r="C258" s="2" t="str">
        <v>Dimethyl Succinate</v>
      </c>
      <c r="D258" s="2">
        <v>16.100000000000001</v>
      </c>
      <c r="E258" s="2">
        <v>7.7</v>
      </c>
      <c r="F258" s="2">
        <v>8.8000000000000007</v>
      </c>
      <c r="G258" s="2" t="str">
        <v/>
      </c>
      <c r="H258" s="5">
        <v>4.054626986542659</v>
      </c>
      <c r="I258">
        <v>0</v>
      </c>
    </row>
    <row r="259" spans="2:9" x14ac:dyDescent="0.25">
      <c r="B259" s="2" t="str">
        <v>109-94-4</v>
      </c>
      <c r="C259" s="2" t="str">
        <v>Ethyl Formate</v>
      </c>
      <c r="D259" s="2">
        <v>15.5</v>
      </c>
      <c r="E259" s="2">
        <v>8.4</v>
      </c>
      <c r="F259" s="2">
        <v>8.4</v>
      </c>
      <c r="G259" s="2" t="str">
        <v/>
      </c>
      <c r="H259" s="5">
        <v>4.0607881008493925</v>
      </c>
      <c r="I259">
        <v>0</v>
      </c>
    </row>
    <row r="260" spans="2:9" x14ac:dyDescent="0.25">
      <c r="B260" s="2" t="str">
        <v>3917-15-5</v>
      </c>
      <c r="C260" s="2" t="str">
        <v>Vinyl Allyl Ether</v>
      </c>
      <c r="D260" s="2">
        <v>14.9</v>
      </c>
      <c r="E260" s="2">
        <v>6.5</v>
      </c>
      <c r="F260" s="2">
        <v>5.3</v>
      </c>
      <c r="G260" s="2" t="str">
        <v/>
      </c>
      <c r="H260" s="5">
        <v>4.0607881008493925</v>
      </c>
      <c r="I260">
        <v>0</v>
      </c>
    </row>
    <row r="261" spans="2:9" x14ac:dyDescent="0.25">
      <c r="B261" s="2" t="str">
        <v>557-98-2</v>
      </c>
      <c r="C261" s="2" t="str">
        <v>2-Chloro Propene (Isopropenyl Chloride)</v>
      </c>
      <c r="D261" s="2">
        <v>15.5</v>
      </c>
      <c r="E261" s="2">
        <v>6.7</v>
      </c>
      <c r="F261" s="2">
        <v>2.2000000000000002</v>
      </c>
      <c r="G261" s="2" t="str">
        <v/>
      </c>
      <c r="H261" s="5">
        <v>4.0841155713324282</v>
      </c>
      <c r="I261">
        <v>0</v>
      </c>
    </row>
    <row r="262" spans="2:9" x14ac:dyDescent="0.25">
      <c r="B262" s="2" t="str">
        <v>629-14-1</v>
      </c>
      <c r="C262" s="2" t="str">
        <v>Ethylene Glycol Diethyl Ether</v>
      </c>
      <c r="D262" s="2">
        <v>15.4</v>
      </c>
      <c r="E262" s="2">
        <v>5.4</v>
      </c>
      <c r="F262" s="2">
        <v>5.2</v>
      </c>
      <c r="G262" s="2" t="str">
        <v/>
      </c>
      <c r="H262" s="5">
        <v>4.0853396431630999</v>
      </c>
      <c r="I262">
        <v>0</v>
      </c>
    </row>
    <row r="263" spans="2:9" x14ac:dyDescent="0.25">
      <c r="B263" s="2" t="str">
        <v>646-06-0</v>
      </c>
      <c r="C263" s="2" t="str">
        <v>1,3-Dioxolane</v>
      </c>
      <c r="D263" s="2">
        <v>17.850000000000001</v>
      </c>
      <c r="E263" s="2">
        <v>7.33</v>
      </c>
      <c r="F263" s="2">
        <v>7.94</v>
      </c>
      <c r="G263" s="2">
        <v>69.900000000000006</v>
      </c>
      <c r="H263" s="5">
        <v>4.0951800937199332</v>
      </c>
      <c r="I263">
        <v>0</v>
      </c>
    </row>
    <row r="264" spans="2:9" x14ac:dyDescent="0.25">
      <c r="B264" s="2" t="str">
        <v>53894-23-8</v>
      </c>
      <c r="C264" s="2" t="str">
        <v>Triisononyl Trimellilate</v>
      </c>
      <c r="D264" s="2">
        <v>16.600000000000001</v>
      </c>
      <c r="E264" s="2">
        <v>5.7</v>
      </c>
      <c r="F264" s="2">
        <v>2.2000000000000002</v>
      </c>
      <c r="G264" s="2" t="str">
        <v/>
      </c>
      <c r="H264" s="5">
        <v>4.1036569057366377</v>
      </c>
      <c r="I264">
        <v>0</v>
      </c>
    </row>
    <row r="265" spans="2:9" x14ac:dyDescent="0.25">
      <c r="B265" s="2" t="str">
        <v>558-30-5</v>
      </c>
      <c r="C265" s="2" t="str">
        <v>Isobutyleneoxide</v>
      </c>
      <c r="D265" s="2">
        <v>16.100000000000001</v>
      </c>
      <c r="E265" s="2">
        <v>4.8</v>
      </c>
      <c r="F265" s="2">
        <v>5.8</v>
      </c>
      <c r="G265" s="2" t="str">
        <v/>
      </c>
      <c r="H265" s="5">
        <v>4.1048751503547578</v>
      </c>
      <c r="I265">
        <v>0</v>
      </c>
    </row>
    <row r="266" spans="2:9" x14ac:dyDescent="0.25">
      <c r="B266" s="2" t="str">
        <v>554-12-1</v>
      </c>
      <c r="C266" s="2" t="str">
        <v>Methyl Propionate</v>
      </c>
      <c r="D266" s="2">
        <v>15.5</v>
      </c>
      <c r="E266" s="2">
        <v>6.5</v>
      </c>
      <c r="F266" s="2">
        <v>7.7</v>
      </c>
      <c r="G266" s="2" t="str">
        <v/>
      </c>
      <c r="H266" s="5">
        <v>4.1194659848091977</v>
      </c>
      <c r="I266">
        <v>0</v>
      </c>
    </row>
    <row r="267" spans="2:9" x14ac:dyDescent="0.25">
      <c r="B267" s="2" t="str">
        <v>105-58-8</v>
      </c>
      <c r="C267" s="2" t="str">
        <v>Diethyl Carbonate</v>
      </c>
      <c r="D267" s="2">
        <v>15.1</v>
      </c>
      <c r="E267" s="2">
        <v>6.3</v>
      </c>
      <c r="F267" s="2">
        <v>3.5</v>
      </c>
      <c r="G267" s="2" t="str">
        <v/>
      </c>
      <c r="H267" s="5">
        <v>4.1243181254602588</v>
      </c>
      <c r="I267">
        <v>0</v>
      </c>
    </row>
    <row r="268" spans="2:9" x14ac:dyDescent="0.25">
      <c r="B268" s="2" t="str">
        <v>120-92-3</v>
      </c>
      <c r="C268" s="2" t="str">
        <v>Cyclopentanone</v>
      </c>
      <c r="D268" s="2">
        <v>17.899999999999999</v>
      </c>
      <c r="E268" s="2">
        <v>11.9</v>
      </c>
      <c r="F268" s="2">
        <v>5.2</v>
      </c>
      <c r="G268" s="2" t="str">
        <v/>
      </c>
      <c r="H268" s="5">
        <v>4.1279534881100561</v>
      </c>
      <c r="I268">
        <v>0</v>
      </c>
    </row>
    <row r="269" spans="2:9" x14ac:dyDescent="0.25">
      <c r="B269" s="2" t="str">
        <v>95481-62- 2</v>
      </c>
      <c r="C269" s="2" t="str">
        <v>Dibasic Esters (DBE)</v>
      </c>
      <c r="D269" s="2">
        <v>16.2</v>
      </c>
      <c r="E269" s="2">
        <v>6.5</v>
      </c>
      <c r="F269" s="2">
        <v>8.4</v>
      </c>
      <c r="G269" s="2" t="str">
        <v/>
      </c>
      <c r="H269" s="5">
        <v>4.1279534881100597</v>
      </c>
      <c r="I269">
        <v>0</v>
      </c>
    </row>
    <row r="270" spans="2:9" x14ac:dyDescent="0.25">
      <c r="B270" s="2" t="str">
        <v>54839-24-6</v>
      </c>
      <c r="C270" s="2" t="str">
        <v>Propylene Glycol Monoethyl Ether Acetate</v>
      </c>
      <c r="D270" s="2">
        <v>15.6</v>
      </c>
      <c r="E270" s="2">
        <v>6.3</v>
      </c>
      <c r="F270" s="2">
        <v>7.7</v>
      </c>
      <c r="G270" s="2">
        <v>155.1</v>
      </c>
      <c r="H270" s="5">
        <v>4.129164564412517</v>
      </c>
      <c r="I270">
        <v>0</v>
      </c>
    </row>
    <row r="271" spans="2:9" x14ac:dyDescent="0.25">
      <c r="B271" s="2" t="str">
        <v>13343-98-1</v>
      </c>
      <c r="C271" s="2" t="str">
        <v>Ethylene Glycol Butyl Methyl Ether</v>
      </c>
      <c r="D271" s="2">
        <v>15.5</v>
      </c>
      <c r="E271" s="2">
        <v>5.2</v>
      </c>
      <c r="F271" s="2">
        <v>4.9000000000000004</v>
      </c>
      <c r="G271" s="2" t="str">
        <v/>
      </c>
      <c r="H271" s="5">
        <v>4.135214625627067</v>
      </c>
      <c r="I271">
        <v>0</v>
      </c>
    </row>
    <row r="272" spans="2:9" x14ac:dyDescent="0.25">
      <c r="B272" s="2" t="str">
        <v>14433-76-2</v>
      </c>
      <c r="C272" s="2" t="str">
        <v>HALLCOMID M-10</v>
      </c>
      <c r="D272" s="2">
        <v>17.260000000000002</v>
      </c>
      <c r="E272" s="2">
        <v>4.95</v>
      </c>
      <c r="F272" s="2">
        <v>6.16</v>
      </c>
      <c r="G272" s="2" t="str">
        <v/>
      </c>
      <c r="H272" s="5">
        <v>4.1413162158907877</v>
      </c>
      <c r="I272">
        <v>0</v>
      </c>
    </row>
    <row r="273" spans="2:9" x14ac:dyDescent="0.25">
      <c r="B273" s="2" t="str">
        <v>627-51-0</v>
      </c>
      <c r="C273" s="2" t="str">
        <v>Divinylsulfide</v>
      </c>
      <c r="D273" s="2">
        <v>16.5</v>
      </c>
      <c r="E273" s="2">
        <v>4.5999999999999996</v>
      </c>
      <c r="F273" s="2">
        <v>5.6</v>
      </c>
      <c r="G273" s="2" t="str">
        <v/>
      </c>
      <c r="H273" s="5">
        <v>4.1484937025383077</v>
      </c>
      <c r="I273">
        <v>0</v>
      </c>
    </row>
    <row r="274" spans="2:9" x14ac:dyDescent="0.25">
      <c r="B274" s="2" t="str">
        <v>78-85-3</v>
      </c>
      <c r="C274" s="2" t="str">
        <v>Methacrylaldehyde</v>
      </c>
      <c r="D274" s="2">
        <v>15</v>
      </c>
      <c r="E274" s="2">
        <v>10.3</v>
      </c>
      <c r="F274" s="2">
        <v>7.1</v>
      </c>
      <c r="G274" s="2" t="str">
        <v/>
      </c>
      <c r="H274" s="5">
        <v>4.1484937025383104</v>
      </c>
      <c r="I274">
        <v>0</v>
      </c>
    </row>
    <row r="275" spans="2:9" x14ac:dyDescent="0.25">
      <c r="B275" s="2" t="str">
        <v>123-75-1</v>
      </c>
      <c r="C275" s="2" t="str">
        <v>Pyrrolidine</v>
      </c>
      <c r="D275" s="2">
        <v>17.899999999999999</v>
      </c>
      <c r="E275" s="2">
        <v>6.5</v>
      </c>
      <c r="F275" s="2">
        <v>7.4</v>
      </c>
      <c r="G275" s="2" t="str">
        <v/>
      </c>
      <c r="H275" s="5">
        <v>4.1665333311999282</v>
      </c>
      <c r="I275">
        <v>0</v>
      </c>
    </row>
    <row r="276" spans="2:9" x14ac:dyDescent="0.25">
      <c r="B276" s="2" t="str">
        <v>497-26-7</v>
      </c>
      <c r="C276" s="2" t="str">
        <v>2-Methyl-1,3-Dioxolane</v>
      </c>
      <c r="D276" s="2">
        <v>17.3</v>
      </c>
      <c r="E276" s="2">
        <v>4.8</v>
      </c>
      <c r="F276" s="2">
        <v>5.8</v>
      </c>
      <c r="G276" s="2" t="str">
        <v/>
      </c>
      <c r="H276" s="5">
        <v>4.2201895692018372</v>
      </c>
      <c r="I276">
        <v>0</v>
      </c>
    </row>
    <row r="277" spans="2:9" x14ac:dyDescent="0.25">
      <c r="B277" s="2" t="str">
        <v>590-21-6</v>
      </c>
      <c r="C277" s="2" t="str">
        <v>1-Chloropropene</v>
      </c>
      <c r="D277" s="2">
        <v>15.3</v>
      </c>
      <c r="E277" s="2">
        <v>6.9</v>
      </c>
      <c r="F277" s="2">
        <v>2.2000000000000002</v>
      </c>
      <c r="G277" s="2" t="str">
        <v/>
      </c>
      <c r="H277" s="5">
        <v>4.2237424163885757</v>
      </c>
      <c r="I277">
        <v>0</v>
      </c>
    </row>
    <row r="278" spans="2:9" x14ac:dyDescent="0.25">
      <c r="B278" s="2" t="str">
        <v>123-25-1</v>
      </c>
      <c r="C278" s="2" t="str">
        <v>Diethyl Succinate</v>
      </c>
      <c r="D278" s="2">
        <v>16.2</v>
      </c>
      <c r="E278" s="2">
        <v>6.8</v>
      </c>
      <c r="F278" s="2">
        <v>8.6999999999999993</v>
      </c>
      <c r="G278" s="2" t="str">
        <v/>
      </c>
      <c r="H278" s="5">
        <v>4.235563716909474</v>
      </c>
      <c r="I278">
        <v>0</v>
      </c>
    </row>
    <row r="279" spans="2:9" x14ac:dyDescent="0.25">
      <c r="B279" s="2" t="str">
        <v>624-83-9</v>
      </c>
      <c r="C279" s="2" t="str">
        <v>Methyl Isocyanate</v>
      </c>
      <c r="D279" s="2">
        <v>15.6</v>
      </c>
      <c r="E279" s="2">
        <v>11.5</v>
      </c>
      <c r="F279" s="2">
        <v>2.5</v>
      </c>
      <c r="G279" s="2" t="str">
        <v/>
      </c>
      <c r="H279" s="5">
        <v>4.2532340636273496</v>
      </c>
      <c r="I279">
        <v>0</v>
      </c>
    </row>
    <row r="280" spans="2:9" x14ac:dyDescent="0.25">
      <c r="B280" s="2" t="str">
        <v>544-10-5</v>
      </c>
      <c r="C280" s="2" t="str">
        <v>1-Chlorohexane</v>
      </c>
      <c r="D280" s="2">
        <v>16.100000000000001</v>
      </c>
      <c r="E280" s="2">
        <v>6.2</v>
      </c>
      <c r="F280" s="2">
        <v>1.7</v>
      </c>
      <c r="G280" s="2" t="str">
        <v/>
      </c>
      <c r="H280" s="5">
        <v>4.2591078878093702</v>
      </c>
      <c r="I280">
        <v>0</v>
      </c>
    </row>
    <row r="281" spans="2:9" x14ac:dyDescent="0.25">
      <c r="B281" s="2" t="str">
        <v>109-99-9</v>
      </c>
      <c r="C281" s="2" t="str">
        <v>Tetrahydrofuran (THF)</v>
      </c>
      <c r="D281" s="2">
        <v>16.8</v>
      </c>
      <c r="E281" s="2">
        <v>5.7</v>
      </c>
      <c r="F281" s="2">
        <v>8</v>
      </c>
      <c r="G281" s="2">
        <v>81.900000000000006</v>
      </c>
      <c r="H281" s="5">
        <v>4.2614551505325027</v>
      </c>
      <c r="I281">
        <v>0</v>
      </c>
    </row>
    <row r="282" spans="2:9" x14ac:dyDescent="0.25">
      <c r="B282" s="2" t="str">
        <v>1118-84-9</v>
      </c>
      <c r="C282" s="2" t="str">
        <v>Allyl Acetoacetate</v>
      </c>
      <c r="D282" s="2">
        <v>15.9</v>
      </c>
      <c r="E282" s="2">
        <v>6.9</v>
      </c>
      <c r="F282" s="2">
        <v>8.6</v>
      </c>
      <c r="G282" s="2" t="str">
        <v/>
      </c>
      <c r="H282" s="5">
        <v>4.2614551505325036</v>
      </c>
      <c r="I282">
        <v>0</v>
      </c>
    </row>
    <row r="283" spans="2:9" x14ac:dyDescent="0.25">
      <c r="B283" s="2" t="str">
        <v>110-85-0</v>
      </c>
      <c r="C283" s="2" t="str">
        <v>Piperazine</v>
      </c>
      <c r="D283" s="2">
        <v>17.3</v>
      </c>
      <c r="E283" s="2">
        <v>4.8</v>
      </c>
      <c r="F283" s="2">
        <v>6</v>
      </c>
      <c r="G283" s="2" t="str">
        <v/>
      </c>
      <c r="H283" s="5">
        <v>4.2626282971894218</v>
      </c>
      <c r="I283">
        <v>0</v>
      </c>
    </row>
    <row r="284" spans="2:9" x14ac:dyDescent="0.25">
      <c r="B284" s="2" t="str">
        <v>109-43-3</v>
      </c>
      <c r="C284" s="2" t="str">
        <v>Dibutyl Sebacate</v>
      </c>
      <c r="D284" s="2">
        <v>16.7</v>
      </c>
      <c r="E284" s="2">
        <v>4.5</v>
      </c>
      <c r="F284" s="2">
        <v>4.0999999999999996</v>
      </c>
      <c r="G284" s="2" t="str">
        <v/>
      </c>
      <c r="H284" s="5">
        <v>4.3</v>
      </c>
      <c r="I284">
        <v>0</v>
      </c>
    </row>
    <row r="285" spans="2:9" x14ac:dyDescent="0.25">
      <c r="B285" s="2" t="str">
        <v>494-90-6</v>
      </c>
      <c r="C285" s="2" t="str">
        <v>Menthofuran</v>
      </c>
      <c r="D285" s="2">
        <v>17.2</v>
      </c>
      <c r="E285" s="2">
        <v>4.5999999999999996</v>
      </c>
      <c r="F285" s="2">
        <v>5.6</v>
      </c>
      <c r="G285" s="2" t="str">
        <v/>
      </c>
      <c r="H285" s="5">
        <v>4.3139309220245972</v>
      </c>
      <c r="I285">
        <v>0</v>
      </c>
    </row>
    <row r="286" spans="2:9" x14ac:dyDescent="0.25">
      <c r="B286" s="2" t="str">
        <v>20682-69-3</v>
      </c>
      <c r="C286" s="2" t="str">
        <v>1,1-Diallyloxyethane</v>
      </c>
      <c r="D286" s="2">
        <v>15.4</v>
      </c>
      <c r="E286" s="2">
        <v>5.0999999999999996</v>
      </c>
      <c r="F286" s="2">
        <v>4.8</v>
      </c>
      <c r="G286" s="2" t="str">
        <v/>
      </c>
      <c r="H286" s="5">
        <v>4.331281565541544</v>
      </c>
      <c r="I286">
        <v>0</v>
      </c>
    </row>
    <row r="287" spans="2:9" x14ac:dyDescent="0.25">
      <c r="B287" s="2" t="str">
        <v>112-73-2</v>
      </c>
      <c r="C287" s="2" t="str">
        <v>Diethylene Glycol Dibutyl Ether</v>
      </c>
      <c r="D287" s="2">
        <v>15.8</v>
      </c>
      <c r="E287" s="2">
        <v>4.7</v>
      </c>
      <c r="F287" s="2">
        <v>4.4000000000000004</v>
      </c>
      <c r="G287" s="2" t="str">
        <v/>
      </c>
      <c r="H287" s="5">
        <v>4.349712634186309</v>
      </c>
      <c r="I287">
        <v>0</v>
      </c>
    </row>
    <row r="288" spans="2:9" x14ac:dyDescent="0.25">
      <c r="B288" s="2" t="str">
        <v>141-78-6</v>
      </c>
      <c r="C288" s="2" t="str">
        <v>Ethyl Acetate</v>
      </c>
      <c r="D288" s="2">
        <v>15.8</v>
      </c>
      <c r="E288" s="2">
        <v>5.3</v>
      </c>
      <c r="F288" s="2">
        <v>7.2</v>
      </c>
      <c r="G288" s="2">
        <v>98.6</v>
      </c>
      <c r="H288" s="5">
        <v>4.3543082114154483</v>
      </c>
      <c r="I288">
        <v>0</v>
      </c>
    </row>
    <row r="289" spans="2:9" x14ac:dyDescent="0.25">
      <c r="B289" s="2" t="str">
        <v>540-49-8</v>
      </c>
      <c r="C289" s="2" t="str">
        <v>1,2-Dibromoethylene</v>
      </c>
      <c r="D289" s="2">
        <v>17</v>
      </c>
      <c r="E289" s="2">
        <v>4.9000000000000004</v>
      </c>
      <c r="F289" s="2">
        <v>3</v>
      </c>
      <c r="G289" s="2" t="str">
        <v/>
      </c>
      <c r="H289" s="5">
        <v>4.3680659335683094</v>
      </c>
      <c r="I289">
        <v>0</v>
      </c>
    </row>
    <row r="290" spans="2:9" x14ac:dyDescent="0.25">
      <c r="B290" s="2" t="str">
        <v>106-68-3</v>
      </c>
      <c r="C290" s="2" t="str">
        <v>Ethyl Amyl Ketone</v>
      </c>
      <c r="D290" s="2">
        <v>16.2</v>
      </c>
      <c r="E290" s="2">
        <v>4.5</v>
      </c>
      <c r="F290" s="2">
        <v>4.0999999999999996</v>
      </c>
      <c r="G290" s="2" t="str">
        <v/>
      </c>
      <c r="H290" s="5">
        <v>4.3692104549906956</v>
      </c>
      <c r="I290">
        <v>0</v>
      </c>
    </row>
    <row r="291" spans="2:9" x14ac:dyDescent="0.25">
      <c r="B291" s="2" t="str">
        <v>75-35-4</v>
      </c>
      <c r="C291" s="2" t="str">
        <v>1,1-Dichloroethylene</v>
      </c>
      <c r="D291" s="2">
        <v>16.399999999999999</v>
      </c>
      <c r="E291" s="2">
        <v>5.2</v>
      </c>
      <c r="F291" s="2">
        <v>2.4</v>
      </c>
      <c r="G291" s="2" t="str">
        <v/>
      </c>
      <c r="H291" s="5">
        <v>4.3783558557979267</v>
      </c>
      <c r="I291">
        <v>0</v>
      </c>
    </row>
    <row r="292" spans="2:9" x14ac:dyDescent="0.25">
      <c r="B292" s="2" t="str">
        <v>563-47-3</v>
      </c>
      <c r="C292" s="2" t="str">
        <v>3-Chloro-2-Methyl Propene</v>
      </c>
      <c r="D292" s="2">
        <v>16.2</v>
      </c>
      <c r="E292" s="2">
        <v>5.6</v>
      </c>
      <c r="F292" s="2">
        <v>2</v>
      </c>
      <c r="G292" s="2" t="str">
        <v/>
      </c>
      <c r="H292" s="5">
        <v>4.3874821936960613</v>
      </c>
      <c r="I292">
        <v>0</v>
      </c>
    </row>
    <row r="293" spans="2:9" x14ac:dyDescent="0.25">
      <c r="B293" s="2" t="str">
        <v>470-82-6</v>
      </c>
      <c r="C293" s="2" t="str">
        <v>1,8-Cineole (Eucalyptol)</v>
      </c>
      <c r="D293" s="2">
        <v>16.7</v>
      </c>
      <c r="E293" s="2">
        <v>4.5999999999999996</v>
      </c>
      <c r="F293" s="2">
        <v>3.4</v>
      </c>
      <c r="G293" s="2" t="str">
        <v/>
      </c>
      <c r="H293" s="5">
        <v>4.4056781543821373</v>
      </c>
      <c r="I293">
        <v>0</v>
      </c>
    </row>
    <row r="294" spans="2:9" x14ac:dyDescent="0.25">
      <c r="B294" s="2" t="str">
        <v>431-03-8</v>
      </c>
      <c r="C294" s="2" t="str">
        <v>Butadione</v>
      </c>
      <c r="D294" s="2">
        <v>15.7</v>
      </c>
      <c r="E294" s="2">
        <v>5.0999999999999996</v>
      </c>
      <c r="F294" s="2">
        <v>6.8</v>
      </c>
      <c r="G294" s="2" t="str">
        <v/>
      </c>
      <c r="H294" s="5">
        <v>4.4090815370097216</v>
      </c>
      <c r="I294">
        <v>0</v>
      </c>
    </row>
    <row r="295" spans="2:9" x14ac:dyDescent="0.25">
      <c r="B295" s="2" t="str">
        <v>107-02-8</v>
      </c>
      <c r="C295" s="2" t="str">
        <v>Acrolein</v>
      </c>
      <c r="D295" s="2">
        <v>15.5</v>
      </c>
      <c r="E295" s="2">
        <v>10</v>
      </c>
      <c r="F295" s="2">
        <v>8.6</v>
      </c>
      <c r="G295" s="2" t="str">
        <v/>
      </c>
      <c r="H295" s="5">
        <v>4.4147480109288244</v>
      </c>
      <c r="I295">
        <v>0</v>
      </c>
    </row>
    <row r="296" spans="2:9" x14ac:dyDescent="0.25">
      <c r="B296" s="2" t="str">
        <v>57-06-7</v>
      </c>
      <c r="C296" s="2" t="str">
        <v>Allyl Isothiocyanate</v>
      </c>
      <c r="D296" s="2">
        <v>17</v>
      </c>
      <c r="E296" s="2">
        <v>11.3</v>
      </c>
      <c r="F296" s="2">
        <v>8.5</v>
      </c>
      <c r="G296" s="2" t="str">
        <v/>
      </c>
      <c r="H296" s="5">
        <v>4.4328320518603004</v>
      </c>
      <c r="I296">
        <v>0</v>
      </c>
    </row>
    <row r="297" spans="2:9" x14ac:dyDescent="0.25">
      <c r="B297" s="2" t="str">
        <v>75-29-6</v>
      </c>
      <c r="C297" s="2" t="str">
        <v>Isopropyl Chloride (2-Chloro Propane)</v>
      </c>
      <c r="D297" s="2">
        <v>15</v>
      </c>
      <c r="E297" s="2">
        <v>8</v>
      </c>
      <c r="F297" s="2">
        <v>2</v>
      </c>
      <c r="G297" s="2" t="str">
        <v/>
      </c>
      <c r="H297" s="5">
        <v>4.4418464629025642</v>
      </c>
      <c r="I297">
        <v>0</v>
      </c>
    </row>
    <row r="298" spans="2:9" x14ac:dyDescent="0.25">
      <c r="B298" s="2" t="str">
        <v>507-09-5</v>
      </c>
      <c r="C298" s="2" t="str">
        <v>Thioacetic Acid</v>
      </c>
      <c r="D298" s="2">
        <v>17</v>
      </c>
      <c r="E298" s="2">
        <v>6.7</v>
      </c>
      <c r="F298" s="2">
        <v>8.9</v>
      </c>
      <c r="G298" s="2" t="str">
        <v/>
      </c>
      <c r="H298" s="5">
        <v>4.455333881989092</v>
      </c>
      <c r="I298">
        <v>0</v>
      </c>
    </row>
    <row r="299" spans="2:9" x14ac:dyDescent="0.25">
      <c r="B299" s="2" t="str">
        <v>593-92-0</v>
      </c>
      <c r="C299" s="2" t="str">
        <v>1,1-Dibromoethylene</v>
      </c>
      <c r="D299" s="2">
        <v>16.2</v>
      </c>
      <c r="E299" s="2">
        <v>4.8</v>
      </c>
      <c r="F299" s="2">
        <v>7</v>
      </c>
      <c r="G299" s="2" t="str">
        <v/>
      </c>
      <c r="H299" s="5">
        <v>4.4553338819890929</v>
      </c>
      <c r="I299">
        <v>0</v>
      </c>
    </row>
    <row r="300" spans="2:9" x14ac:dyDescent="0.25">
      <c r="B300" s="2" t="str">
        <v>109-69-3</v>
      </c>
      <c r="C300" s="2" t="str">
        <v>1-Chlorobutane</v>
      </c>
      <c r="D300" s="2">
        <v>16.2</v>
      </c>
      <c r="E300" s="2">
        <v>5.5</v>
      </c>
      <c r="F300" s="2">
        <v>2</v>
      </c>
      <c r="G300" s="2" t="str">
        <v/>
      </c>
      <c r="H300" s="5">
        <v>4.4586993619215907</v>
      </c>
      <c r="I300">
        <v>0</v>
      </c>
    </row>
    <row r="301" spans="2:9" x14ac:dyDescent="0.25">
      <c r="B301" s="2" t="str">
        <v>5614-37-9</v>
      </c>
      <c r="C301" s="2" t="str">
        <v>Cyclopentyl Methyl Ether (Cpme)</v>
      </c>
      <c r="D301" s="2">
        <v>16.7</v>
      </c>
      <c r="E301" s="2">
        <v>4.3</v>
      </c>
      <c r="F301" s="2">
        <v>4.3</v>
      </c>
      <c r="G301" s="2" t="str">
        <v/>
      </c>
      <c r="H301" s="5">
        <v>4.4598206241955509</v>
      </c>
      <c r="I301">
        <v>0</v>
      </c>
    </row>
    <row r="302" spans="2:9" x14ac:dyDescent="0.25">
      <c r="B302" s="2" t="str">
        <v>126-99-8</v>
      </c>
      <c r="C302" s="2" t="str">
        <v>Chloroprene</v>
      </c>
      <c r="D302" s="2">
        <v>16.100000000000001</v>
      </c>
      <c r="E302" s="2">
        <v>5.4</v>
      </c>
      <c r="F302" s="2">
        <v>2.1</v>
      </c>
      <c r="G302" s="2" t="str">
        <v/>
      </c>
      <c r="H302" s="5">
        <v>4.5055521304275237</v>
      </c>
      <c r="I302">
        <v>0</v>
      </c>
    </row>
    <row r="303" spans="2:9" x14ac:dyDescent="0.25">
      <c r="B303" s="2" t="str">
        <v>3658-95-5</v>
      </c>
      <c r="C303" s="2" t="str">
        <v>1,1-Diethoxy Butane</v>
      </c>
      <c r="D303" s="2">
        <v>15.4</v>
      </c>
      <c r="E303" s="2">
        <v>4.9000000000000004</v>
      </c>
      <c r="F303" s="2">
        <v>4.5999999999999996</v>
      </c>
      <c r="G303" s="2" t="str">
        <v/>
      </c>
      <c r="H303" s="5">
        <v>4.512205669071391</v>
      </c>
      <c r="I303">
        <v>0</v>
      </c>
    </row>
    <row r="304" spans="2:9" x14ac:dyDescent="0.25">
      <c r="B304" s="2" t="str">
        <v>110-74-7</v>
      </c>
      <c r="C304" s="2" t="str">
        <v>Propyl Formate</v>
      </c>
      <c r="D304" s="2">
        <v>15.5</v>
      </c>
      <c r="E304" s="2">
        <v>7.1</v>
      </c>
      <c r="F304" s="2">
        <v>8.6</v>
      </c>
      <c r="G304" s="2" t="str">
        <v/>
      </c>
      <c r="H304" s="5">
        <v>4.5122056690713919</v>
      </c>
      <c r="I304">
        <v>0</v>
      </c>
    </row>
    <row r="305" spans="2:9" x14ac:dyDescent="0.25">
      <c r="B305" s="2" t="str">
        <v>119-06-2</v>
      </c>
      <c r="C305" s="2" t="str">
        <v>Ditridecyl Phthalate</v>
      </c>
      <c r="D305" s="2">
        <v>16.600000000000001</v>
      </c>
      <c r="E305" s="2">
        <v>5.4</v>
      </c>
      <c r="F305" s="2">
        <v>1.9</v>
      </c>
      <c r="G305" s="2" t="str">
        <v/>
      </c>
      <c r="H305" s="5">
        <v>4.5276925690687078</v>
      </c>
      <c r="I305">
        <v>0</v>
      </c>
    </row>
    <row r="306" spans="2:9" x14ac:dyDescent="0.25">
      <c r="B306" s="2" t="str">
        <v>4696-30-4</v>
      </c>
      <c r="C306" s="2" t="str">
        <v>1-Butenyl Methyl Ether</v>
      </c>
      <c r="D306" s="2">
        <v>15.1</v>
      </c>
      <c r="E306" s="2">
        <v>5.3</v>
      </c>
      <c r="F306" s="2">
        <v>5.2</v>
      </c>
      <c r="G306" s="2" t="str">
        <v/>
      </c>
      <c r="H306" s="5">
        <v>4.5387222871640889</v>
      </c>
      <c r="I306">
        <v>0</v>
      </c>
    </row>
    <row r="307" spans="2:9" x14ac:dyDescent="0.25">
      <c r="B307" s="2" t="str">
        <v>75-46-7</v>
      </c>
      <c r="C307" s="2" t="str">
        <v>Trifluoromethane (Freon 23)</v>
      </c>
      <c r="D307" s="2">
        <v>14.4</v>
      </c>
      <c r="E307" s="2">
        <v>8.6999999999999993</v>
      </c>
      <c r="F307" s="2">
        <v>6.3</v>
      </c>
      <c r="G307" s="2" t="str">
        <v/>
      </c>
      <c r="H307" s="5">
        <v>4.5880278987817871</v>
      </c>
      <c r="I307">
        <v>0</v>
      </c>
    </row>
    <row r="308" spans="2:9" x14ac:dyDescent="0.25">
      <c r="B308" s="2" t="str">
        <v>100-74-3</v>
      </c>
      <c r="C308" s="2" t="str">
        <v>4-Ethyl Morpholine</v>
      </c>
      <c r="D308" s="2">
        <v>17.7</v>
      </c>
      <c r="E308" s="2">
        <v>5</v>
      </c>
      <c r="F308" s="2">
        <v>6.6</v>
      </c>
      <c r="G308" s="2" t="str">
        <v/>
      </c>
      <c r="H308" s="5">
        <v>4.5923850012820111</v>
      </c>
      <c r="I308">
        <v>0</v>
      </c>
    </row>
    <row r="309" spans="2:9" x14ac:dyDescent="0.25">
      <c r="B309" s="2" t="str">
        <v>542-18-7</v>
      </c>
      <c r="C309" s="2" t="str">
        <v>Cyclohexylchloride</v>
      </c>
      <c r="D309" s="2">
        <v>17.3</v>
      </c>
      <c r="E309" s="2">
        <v>5.5</v>
      </c>
      <c r="F309" s="2">
        <v>2</v>
      </c>
      <c r="G309" s="2" t="str">
        <v/>
      </c>
      <c r="H309" s="5">
        <v>4.604345773288534</v>
      </c>
      <c r="I309">
        <v>0</v>
      </c>
    </row>
    <row r="310" spans="2:9" x14ac:dyDescent="0.25">
      <c r="B310" s="2" t="str">
        <v>75-38-7</v>
      </c>
      <c r="C310" s="2" t="str">
        <v>1,1-Difluoroethylene</v>
      </c>
      <c r="D310" s="2">
        <v>15</v>
      </c>
      <c r="E310" s="2">
        <v>5.7</v>
      </c>
      <c r="F310" s="2">
        <v>3.6</v>
      </c>
      <c r="G310" s="2" t="str">
        <v/>
      </c>
      <c r="H310" s="5">
        <v>4.6043457732885367</v>
      </c>
      <c r="I310">
        <v>0</v>
      </c>
    </row>
    <row r="311" spans="2:9" x14ac:dyDescent="0.25">
      <c r="B311" s="2" t="str">
        <v>4413-13-2</v>
      </c>
      <c r="C311" s="2" t="str">
        <v>Ethylene Glycol Butyl Ethyl Ether</v>
      </c>
      <c r="D311" s="2">
        <v>15.3</v>
      </c>
      <c r="E311" s="2">
        <v>4.9000000000000004</v>
      </c>
      <c r="F311" s="2">
        <v>4.5999999999999996</v>
      </c>
      <c r="G311" s="2" t="str">
        <v/>
      </c>
      <c r="H311" s="5">
        <v>4.6216880033165371</v>
      </c>
      <c r="I311">
        <v>0</v>
      </c>
    </row>
    <row r="312" spans="2:9" x14ac:dyDescent="0.25">
      <c r="B312" s="2" t="str">
        <v>112-48-1</v>
      </c>
      <c r="C312" s="2" t="str">
        <v>Ethylene Glycol Dibutyl Ether</v>
      </c>
      <c r="D312" s="2">
        <v>15.7</v>
      </c>
      <c r="E312" s="2">
        <v>4.5</v>
      </c>
      <c r="F312" s="2">
        <v>4.2</v>
      </c>
      <c r="G312" s="2" t="str">
        <v/>
      </c>
      <c r="H312" s="5">
        <v>4.6389654018972823</v>
      </c>
      <c r="I312">
        <v>0</v>
      </c>
    </row>
    <row r="313" spans="2:9" x14ac:dyDescent="0.25">
      <c r="B313" s="2" t="str">
        <v>15567-96-1</v>
      </c>
      <c r="C313" s="2" t="str">
        <v>STEPOSOL EA</v>
      </c>
      <c r="D313" s="2">
        <v>16.600000000000001</v>
      </c>
      <c r="E313" s="2">
        <v>9.4</v>
      </c>
      <c r="F313" s="2">
        <v>9.6</v>
      </c>
      <c r="G313" s="2" t="str">
        <v/>
      </c>
      <c r="H313" s="5">
        <v>4.6529560496527367</v>
      </c>
      <c r="I313">
        <v>0</v>
      </c>
    </row>
    <row r="314" spans="2:9" x14ac:dyDescent="0.25">
      <c r="B314" s="2" t="str">
        <v>Epoxy Resin</v>
      </c>
      <c r="C314" s="2" t="str">
        <v>Epoxy resin</v>
      </c>
      <c r="D314" s="2">
        <v>17.399999999999999</v>
      </c>
      <c r="E314" s="2">
        <v>10.5</v>
      </c>
      <c r="F314" s="2">
        <v>9</v>
      </c>
      <c r="G314" s="2" t="str">
        <v/>
      </c>
      <c r="H314" s="5">
        <v>4.6690470119714993</v>
      </c>
      <c r="I314">
        <v>8</v>
      </c>
    </row>
    <row r="315" spans="2:9" x14ac:dyDescent="0.25">
      <c r="B315" s="2" t="str">
        <v>4672-49-5</v>
      </c>
      <c r="C315" s="2" t="str">
        <v>Ethylene Methyl Sulfonate</v>
      </c>
      <c r="D315" s="2">
        <v>16.899999999999999</v>
      </c>
      <c r="E315" s="2">
        <v>9.3000000000000007</v>
      </c>
      <c r="F315" s="2">
        <v>9.6</v>
      </c>
      <c r="G315" s="2" t="str">
        <v/>
      </c>
      <c r="H315" s="5">
        <v>4.6776062254105994</v>
      </c>
      <c r="I315">
        <v>0</v>
      </c>
    </row>
    <row r="316" spans="2:9" x14ac:dyDescent="0.25">
      <c r="B316" s="2" t="str">
        <v>2495-37-6</v>
      </c>
      <c r="C316" s="2" t="str">
        <v>Benzyl Methacrylate</v>
      </c>
      <c r="D316" s="2">
        <v>16.8</v>
      </c>
      <c r="E316" s="2">
        <v>4.0999999999999996</v>
      </c>
      <c r="F316" s="2">
        <v>4.0999999999999996</v>
      </c>
      <c r="G316" s="2" t="str">
        <v/>
      </c>
      <c r="H316" s="5">
        <v>4.7042533945356304</v>
      </c>
      <c r="I316">
        <v>0</v>
      </c>
    </row>
    <row r="317" spans="2:9" x14ac:dyDescent="0.25">
      <c r="B317" s="2" t="str">
        <v>624-89-5</v>
      </c>
      <c r="C317" s="2" t="str">
        <v>Ethyl Methyl Sulfide</v>
      </c>
      <c r="D317" s="2">
        <v>17.100000000000001</v>
      </c>
      <c r="E317" s="2">
        <v>4.8</v>
      </c>
      <c r="F317" s="2">
        <v>2.5</v>
      </c>
      <c r="G317" s="2" t="str">
        <v/>
      </c>
      <c r="H317" s="5">
        <v>4.7391982444291134</v>
      </c>
      <c r="I317">
        <v>0</v>
      </c>
    </row>
    <row r="318" spans="2:9" x14ac:dyDescent="0.25">
      <c r="B318" s="2" t="str">
        <v>540-63-6</v>
      </c>
      <c r="C318" s="2" t="str">
        <v>1,2-Ethane Dithiol</v>
      </c>
      <c r="D318" s="2">
        <v>17.899999999999999</v>
      </c>
      <c r="E318" s="2">
        <v>7.2</v>
      </c>
      <c r="F318" s="2">
        <v>8.6999999999999993</v>
      </c>
      <c r="G318" s="2" t="str">
        <v/>
      </c>
      <c r="H318" s="5">
        <v>4.7644516998286344</v>
      </c>
      <c r="I318">
        <v>0</v>
      </c>
    </row>
    <row r="319" spans="2:9" x14ac:dyDescent="0.25">
      <c r="B319" s="2" t="str">
        <v>1569-01-3</v>
      </c>
      <c r="C319" s="2" t="str">
        <v>Propylene Glycol Monopropyl Ether</v>
      </c>
      <c r="D319" s="2">
        <v>15.8</v>
      </c>
      <c r="E319" s="2">
        <v>7</v>
      </c>
      <c r="F319" s="2">
        <v>9.1999999999999993</v>
      </c>
      <c r="G319" s="2" t="str">
        <v/>
      </c>
      <c r="H319" s="5">
        <v>4.8052055106935851</v>
      </c>
      <c r="I319">
        <v>0</v>
      </c>
    </row>
    <row r="320" spans="2:9" x14ac:dyDescent="0.25">
      <c r="B320" s="2" t="str">
        <v>534-15-6</v>
      </c>
      <c r="C320" s="2" t="str">
        <v>1,1-Dimethoxy Ethane</v>
      </c>
      <c r="D320" s="2">
        <v>15.1</v>
      </c>
      <c r="E320" s="2">
        <v>4.9000000000000004</v>
      </c>
      <c r="F320" s="2">
        <v>4.9000000000000004</v>
      </c>
      <c r="G320" s="2" t="str">
        <v/>
      </c>
      <c r="H320" s="5">
        <v>4.842520005121302</v>
      </c>
      <c r="I320">
        <v>0</v>
      </c>
    </row>
    <row r="321" spans="2:9" x14ac:dyDescent="0.25">
      <c r="B321" s="2" t="str">
        <v>627-09-8</v>
      </c>
      <c r="C321" s="2" t="str">
        <v>Propargyl Acetate</v>
      </c>
      <c r="D321" s="2">
        <v>16.3</v>
      </c>
      <c r="E321" s="2">
        <v>5.2</v>
      </c>
      <c r="F321" s="2">
        <v>8.3000000000000007</v>
      </c>
      <c r="G321" s="2" t="str">
        <v/>
      </c>
      <c r="H321" s="5">
        <v>4.8476798574163293</v>
      </c>
      <c r="I321">
        <v>0</v>
      </c>
    </row>
    <row r="322" spans="2:9" x14ac:dyDescent="0.25">
      <c r="B322" s="2" t="str">
        <v>624-48-6</v>
      </c>
      <c r="C322" s="2" t="str">
        <v>Dimethyl Maleate</v>
      </c>
      <c r="D322" s="2">
        <v>16.3</v>
      </c>
      <c r="E322" s="2">
        <v>8.3000000000000007</v>
      </c>
      <c r="F322" s="2">
        <v>9.8000000000000007</v>
      </c>
      <c r="G322" s="2" t="str">
        <v/>
      </c>
      <c r="H322" s="5">
        <v>4.8538644398046396</v>
      </c>
      <c r="I322">
        <v>0</v>
      </c>
    </row>
    <row r="323" spans="2:9" x14ac:dyDescent="0.25">
      <c r="B323" s="2" t="str">
        <v>51-68-3</v>
      </c>
      <c r="C323" s="2" t="str">
        <v>Meclofenoxate</v>
      </c>
      <c r="D323" s="2">
        <v>16</v>
      </c>
      <c r="E323" s="2">
        <v>6.2</v>
      </c>
      <c r="F323" s="2">
        <v>9</v>
      </c>
      <c r="G323" s="2" t="str">
        <v/>
      </c>
      <c r="H323" s="5">
        <v>4.8672374094551829</v>
      </c>
      <c r="I323">
        <v>0</v>
      </c>
    </row>
    <row r="324" spans="2:9" x14ac:dyDescent="0.25">
      <c r="B324" s="2" t="str">
        <v>3007-53-2, 3015-65-4</v>
      </c>
      <c r="C324" s="2" t="str">
        <v>HALLCOMID M-12-14</v>
      </c>
      <c r="D324" s="2">
        <v>17.29</v>
      </c>
      <c r="E324" s="2">
        <v>4.0599999999999996</v>
      </c>
      <c r="F324" s="2">
        <v>5.58</v>
      </c>
      <c r="G324" s="2" t="str">
        <v/>
      </c>
      <c r="H324" s="5">
        <v>4.8754897189923385</v>
      </c>
      <c r="I324">
        <v>0</v>
      </c>
    </row>
    <row r="325" spans="2:9" x14ac:dyDescent="0.25">
      <c r="B325" s="2" t="str">
        <v>88917-22-0</v>
      </c>
      <c r="C325" s="2" t="str">
        <v>Dipropylene Glycol Monomethyl Ether Acetate</v>
      </c>
      <c r="D325" s="2">
        <v>16.3</v>
      </c>
      <c r="E325" s="2">
        <v>4.9000000000000004</v>
      </c>
      <c r="F325" s="2">
        <v>8</v>
      </c>
      <c r="G325" s="2" t="str">
        <v/>
      </c>
      <c r="H325" s="5">
        <v>4.8785243670601863</v>
      </c>
      <c r="I325">
        <v>0</v>
      </c>
    </row>
    <row r="326" spans="2:9" x14ac:dyDescent="0.25">
      <c r="B326" s="2" t="str">
        <v>505-84-0</v>
      </c>
      <c r="C326" s="2" t="str">
        <v>Propylal (Dipropoxymethane)</v>
      </c>
      <c r="D326" s="2">
        <v>15.55</v>
      </c>
      <c r="E326" s="2">
        <v>4.2699999999999996</v>
      </c>
      <c r="F326" s="2">
        <v>4.93</v>
      </c>
      <c r="G326" s="2">
        <v>158.55000000000001</v>
      </c>
      <c r="H326" s="5">
        <v>4.9030398733846745</v>
      </c>
      <c r="I326">
        <v>0</v>
      </c>
    </row>
    <row r="327" spans="2:9" x14ac:dyDescent="0.25">
      <c r="B327" s="2" t="str">
        <v>300-62-9</v>
      </c>
      <c r="C327" s="2" t="str">
        <v>Amphetamine</v>
      </c>
      <c r="D327" s="2">
        <v>17.5</v>
      </c>
      <c r="E327" s="2">
        <v>4.3</v>
      </c>
      <c r="F327" s="2">
        <v>6.3</v>
      </c>
      <c r="G327" s="2" t="str">
        <v/>
      </c>
      <c r="H327" s="5">
        <v>4.928488612140641</v>
      </c>
      <c r="I327">
        <v>0</v>
      </c>
    </row>
    <row r="328" spans="2:9" x14ac:dyDescent="0.25">
      <c r="B328" s="2" t="str">
        <v>22022-33-9</v>
      </c>
      <c r="C328" s="2" t="str">
        <v>Butyl Isopropenyl Ether</v>
      </c>
      <c r="D328" s="2">
        <v>14.8</v>
      </c>
      <c r="E328" s="2">
        <v>5.3</v>
      </c>
      <c r="F328" s="2">
        <v>5</v>
      </c>
      <c r="G328" s="2" t="str">
        <v/>
      </c>
      <c r="H328" s="5">
        <v>4.9517673612559792</v>
      </c>
      <c r="I328">
        <v>0</v>
      </c>
    </row>
    <row r="329" spans="2:9" x14ac:dyDescent="0.25">
      <c r="B329" s="2" t="str">
        <v>124-02-7</v>
      </c>
      <c r="C329" s="2" t="str">
        <v>Diallyl Amine</v>
      </c>
      <c r="D329" s="2">
        <v>15.6</v>
      </c>
      <c r="E329" s="2">
        <v>4.5</v>
      </c>
      <c r="F329" s="2">
        <v>6.7</v>
      </c>
      <c r="G329" s="2" t="str">
        <v/>
      </c>
      <c r="H329" s="5">
        <v>4.952776998815918</v>
      </c>
      <c r="I329">
        <v>0</v>
      </c>
    </row>
    <row r="330" spans="2:9" x14ac:dyDescent="0.25">
      <c r="B330" s="2" t="str">
        <v>624-67-9</v>
      </c>
      <c r="C330" s="2" t="str">
        <v>Propargylaldehyde</v>
      </c>
      <c r="D330" s="2">
        <v>16.2</v>
      </c>
      <c r="E330" s="2">
        <v>11.9</v>
      </c>
      <c r="F330" s="2">
        <v>8.6999999999999993</v>
      </c>
      <c r="G330" s="2" t="str">
        <v/>
      </c>
      <c r="H330" s="5">
        <v>4.9568134925574929</v>
      </c>
      <c r="I330">
        <v>0</v>
      </c>
    </row>
    <row r="331" spans="2:9" x14ac:dyDescent="0.25">
      <c r="B331" s="2" t="str">
        <v>20352-67-4</v>
      </c>
      <c r="C331" s="2" t="str">
        <v>2-Ethylhexyl Amine</v>
      </c>
      <c r="D331" s="2">
        <v>15.7</v>
      </c>
      <c r="E331" s="2">
        <v>4.2</v>
      </c>
      <c r="F331" s="2">
        <v>6.1</v>
      </c>
      <c r="G331" s="2" t="str">
        <v/>
      </c>
      <c r="H331" s="5">
        <v>4.9699094559156718</v>
      </c>
      <c r="I331">
        <v>0</v>
      </c>
    </row>
    <row r="332" spans="2:9" x14ac:dyDescent="0.25">
      <c r="B332" s="2" t="str">
        <v>9002-81-7</v>
      </c>
      <c r="C332" s="2" t="str">
        <v>Polyoxymethylene (POM)</v>
      </c>
      <c r="D332" s="2">
        <v>17.2</v>
      </c>
      <c r="E332" s="2">
        <v>9.1999999999999993</v>
      </c>
      <c r="F332" s="2">
        <v>9.8000000000000007</v>
      </c>
      <c r="G332" s="2" t="str">
        <v/>
      </c>
      <c r="H332" s="5">
        <v>4.9729267036625417</v>
      </c>
      <c r="I332">
        <v>8</v>
      </c>
    </row>
    <row r="333" spans="2:9" x14ac:dyDescent="0.25">
      <c r="B333" s="2" t="str">
        <v>Rhodiasolv RPDE</v>
      </c>
      <c r="C333" s="2" t="str">
        <v>Rhodiasolv RPDE</v>
      </c>
      <c r="D333" s="2">
        <v>17.21</v>
      </c>
      <c r="E333" s="2">
        <v>6.26</v>
      </c>
      <c r="F333" s="2">
        <v>9.16</v>
      </c>
      <c r="G333" s="2">
        <v>145.5</v>
      </c>
      <c r="H333" s="5">
        <v>4.9746959706096607</v>
      </c>
      <c r="I333">
        <v>0</v>
      </c>
    </row>
    <row r="334" spans="2:9" x14ac:dyDescent="0.25">
      <c r="B334" s="2" t="str">
        <v>107-25-5</v>
      </c>
      <c r="C334" s="2" t="str">
        <v>Methyl Vinyl Ether</v>
      </c>
      <c r="D334" s="2">
        <v>14.9</v>
      </c>
      <c r="E334" s="2">
        <v>5.3</v>
      </c>
      <c r="F334" s="2">
        <v>6.3</v>
      </c>
      <c r="G334" s="2" t="str">
        <v/>
      </c>
      <c r="H334" s="5">
        <v>4.9809637621649099</v>
      </c>
      <c r="I334">
        <v>0</v>
      </c>
    </row>
    <row r="335" spans="2:9" x14ac:dyDescent="0.25">
      <c r="B335" s="2" t="str">
        <v>112-62-9</v>
      </c>
      <c r="C335" s="2" t="str">
        <v>Methyl Oleate</v>
      </c>
      <c r="D335" s="2">
        <v>16.2</v>
      </c>
      <c r="E335" s="2">
        <v>3.8</v>
      </c>
      <c r="F335" s="2">
        <v>4.5</v>
      </c>
      <c r="G335" s="2">
        <v>340.7</v>
      </c>
      <c r="H335" s="5">
        <v>4.9899899799498595</v>
      </c>
      <c r="I335">
        <v>0</v>
      </c>
    </row>
    <row r="336" spans="2:9" x14ac:dyDescent="0.25">
      <c r="B336" s="2" t="str">
        <v>78-40-0</v>
      </c>
      <c r="C336" s="2" t="str">
        <v>Triethylphosphate</v>
      </c>
      <c r="D336" s="2">
        <v>16.7</v>
      </c>
      <c r="E336" s="2">
        <v>11.4</v>
      </c>
      <c r="F336" s="2">
        <v>9.1999999999999993</v>
      </c>
      <c r="G336" s="2" t="str">
        <v/>
      </c>
      <c r="H336" s="5">
        <v>4.996999099459595</v>
      </c>
      <c r="I336">
        <v>0</v>
      </c>
    </row>
    <row r="337" spans="2:9" x14ac:dyDescent="0.25">
      <c r="B337" s="2" t="str">
        <v>922-64-5</v>
      </c>
      <c r="C337" s="2" t="str">
        <v>Carbonyl Cyanide</v>
      </c>
      <c r="D337" s="2">
        <v>15</v>
      </c>
      <c r="E337" s="2">
        <v>6.3</v>
      </c>
      <c r="F337" s="2">
        <v>8</v>
      </c>
      <c r="G337" s="2" t="str">
        <v/>
      </c>
      <c r="H337" s="5">
        <v>5.0000000000000018</v>
      </c>
      <c r="I337">
        <v>0</v>
      </c>
    </row>
    <row r="338" spans="2:9" x14ac:dyDescent="0.25">
      <c r="B338" s="2" t="str">
        <v>617-84-5</v>
      </c>
      <c r="C338" s="2" t="str">
        <v>N,N-Diethyl Formamide</v>
      </c>
      <c r="D338" s="2">
        <v>16.399999999999999</v>
      </c>
      <c r="E338" s="2">
        <v>11.4</v>
      </c>
      <c r="F338" s="2">
        <v>9.1999999999999993</v>
      </c>
      <c r="G338" s="2" t="str">
        <v/>
      </c>
      <c r="H338" s="5">
        <v>5.0089919145472779</v>
      </c>
      <c r="I338">
        <v>0</v>
      </c>
    </row>
    <row r="339" spans="2:9" x14ac:dyDescent="0.25">
      <c r="B339" s="2" t="str">
        <v>1493-02-3</v>
      </c>
      <c r="C339" s="2" t="str">
        <v>Formyl Fluoride</v>
      </c>
      <c r="D339" s="2">
        <v>15</v>
      </c>
      <c r="E339" s="2">
        <v>10.1</v>
      </c>
      <c r="F339" s="2">
        <v>8.6</v>
      </c>
      <c r="G339" s="2" t="str">
        <v/>
      </c>
      <c r="H339" s="5">
        <v>5.0159744815937826</v>
      </c>
      <c r="I339">
        <v>0</v>
      </c>
    </row>
    <row r="340" spans="2:9" x14ac:dyDescent="0.25">
      <c r="B340" s="2" t="str">
        <v>557-40-4</v>
      </c>
      <c r="C340" s="2" t="str">
        <v>Diallyl Ether</v>
      </c>
      <c r="D340" s="2">
        <v>15.3</v>
      </c>
      <c r="E340" s="2">
        <v>4.4000000000000004</v>
      </c>
      <c r="F340" s="2">
        <v>5.3</v>
      </c>
      <c r="G340" s="2" t="str">
        <v/>
      </c>
      <c r="H340" s="5">
        <v>5.0338851794612873</v>
      </c>
      <c r="I340">
        <v>0</v>
      </c>
    </row>
    <row r="341" spans="2:9" x14ac:dyDescent="0.25">
      <c r="B341" s="2" t="str">
        <v>142-91-6</v>
      </c>
      <c r="C341" s="2" t="str">
        <v>Isopropyl Palmitate</v>
      </c>
      <c r="D341" s="2">
        <v>16.2</v>
      </c>
      <c r="E341" s="2">
        <v>3.9</v>
      </c>
      <c r="F341" s="2">
        <v>3.7</v>
      </c>
      <c r="G341" s="2" t="str">
        <v/>
      </c>
      <c r="H341" s="5">
        <v>5.0368641037852111</v>
      </c>
      <c r="I341">
        <v>0</v>
      </c>
    </row>
    <row r="342" spans="2:9" x14ac:dyDescent="0.25">
      <c r="B342" s="2" t="str">
        <v>557-31-3</v>
      </c>
      <c r="C342" s="2" t="str">
        <v>Allyl Ethylether</v>
      </c>
      <c r="D342" s="2">
        <v>15</v>
      </c>
      <c r="E342" s="2">
        <v>4.8</v>
      </c>
      <c r="F342" s="2">
        <v>5.0999999999999996</v>
      </c>
      <c r="G342" s="2" t="str">
        <v/>
      </c>
      <c r="H342" s="5">
        <v>5.0457903246171467</v>
      </c>
      <c r="I342">
        <v>0</v>
      </c>
    </row>
    <row r="343" spans="2:9" x14ac:dyDescent="0.25">
      <c r="B343" s="2" t="str">
        <v>592-84-7</v>
      </c>
      <c r="C343" s="2" t="str">
        <v>Butyl Formate</v>
      </c>
      <c r="D343" s="2">
        <v>15.7</v>
      </c>
      <c r="E343" s="2">
        <v>6.5</v>
      </c>
      <c r="F343" s="2">
        <v>9.1999999999999993</v>
      </c>
      <c r="G343" s="2" t="str">
        <v/>
      </c>
      <c r="H343" s="5">
        <v>5.0714889332423869</v>
      </c>
      <c r="I343">
        <v>0</v>
      </c>
    </row>
    <row r="344" spans="2:9" x14ac:dyDescent="0.25">
      <c r="B344" s="2" t="str">
        <v>10034-14-7</v>
      </c>
      <c r="C344" s="2" t="str">
        <v>2-Butenyl Methyl Ether (Trans)</v>
      </c>
      <c r="D344" s="2">
        <v>15.3</v>
      </c>
      <c r="E344" s="2">
        <v>4.4000000000000004</v>
      </c>
      <c r="F344" s="2">
        <v>4.3</v>
      </c>
      <c r="G344" s="2" t="str">
        <v/>
      </c>
      <c r="H344" s="5">
        <v>5.0734603575863293</v>
      </c>
      <c r="I344">
        <v>0</v>
      </c>
    </row>
    <row r="345" spans="2:9" x14ac:dyDescent="0.25">
      <c r="B345" s="2" t="str">
        <v>2568-90-3</v>
      </c>
      <c r="C345" s="2" t="str">
        <v>Butylal (1-(Butoxymethoxy)butane)</v>
      </c>
      <c r="D345" s="2">
        <v>15.68</v>
      </c>
      <c r="E345" s="2">
        <v>4.03</v>
      </c>
      <c r="F345" s="2">
        <v>4.26</v>
      </c>
      <c r="G345" s="2">
        <v>159.41999999999999</v>
      </c>
      <c r="H345" s="5">
        <v>5.0736673127038987</v>
      </c>
      <c r="I345">
        <v>0</v>
      </c>
    </row>
    <row r="346" spans="2:9" x14ac:dyDescent="0.25">
      <c r="B346" s="2" t="str">
        <v>142-77-8</v>
      </c>
      <c r="C346" s="2" t="str">
        <v>Butyl Oleate</v>
      </c>
      <c r="D346" s="2">
        <v>16.3</v>
      </c>
      <c r="E346" s="2">
        <v>3.7</v>
      </c>
      <c r="F346" s="2">
        <v>4.2</v>
      </c>
      <c r="G346" s="2" t="str">
        <v/>
      </c>
      <c r="H346" s="5">
        <v>5.0990195135927845</v>
      </c>
      <c r="I346">
        <v>0</v>
      </c>
    </row>
    <row r="347" spans="2:9" x14ac:dyDescent="0.25">
      <c r="B347" s="2" t="str">
        <v>109-92-2</v>
      </c>
      <c r="C347" s="2" t="str">
        <v>Ethyl Vinylether</v>
      </c>
      <c r="D347" s="2">
        <v>14.9</v>
      </c>
      <c r="E347" s="2">
        <v>4.9000000000000004</v>
      </c>
      <c r="F347" s="2">
        <v>5.6</v>
      </c>
      <c r="G347" s="2" t="str">
        <v/>
      </c>
      <c r="H347" s="5">
        <v>5.1341990611973749</v>
      </c>
      <c r="I347">
        <v>0</v>
      </c>
    </row>
    <row r="348" spans="2:9" x14ac:dyDescent="0.25">
      <c r="B348" s="2" t="str">
        <v>7085-85-0</v>
      </c>
      <c r="C348" s="2" t="str">
        <v>Ethyl Cyanoacrylate</v>
      </c>
      <c r="D348" s="2">
        <v>15.2</v>
      </c>
      <c r="E348" s="2">
        <v>10.3</v>
      </c>
      <c r="F348" s="2">
        <v>9</v>
      </c>
      <c r="G348" s="2" t="str">
        <v/>
      </c>
      <c r="H348" s="5">
        <v>5.1380930314660542</v>
      </c>
      <c r="I348">
        <v>0</v>
      </c>
    </row>
    <row r="349" spans="2:9" x14ac:dyDescent="0.25">
      <c r="B349" s="2" t="str">
        <v>75-02-5</v>
      </c>
      <c r="C349" s="2" t="str">
        <v>Fluoroethylene</v>
      </c>
      <c r="D349" s="2">
        <v>15.2</v>
      </c>
      <c r="E349" s="2">
        <v>7</v>
      </c>
      <c r="F349" s="2">
        <v>1</v>
      </c>
      <c r="G349" s="2" t="str">
        <v/>
      </c>
      <c r="H349" s="5">
        <v>5.1701063818842279</v>
      </c>
      <c r="I349">
        <v>0</v>
      </c>
    </row>
    <row r="350" spans="2:9" x14ac:dyDescent="0.25">
      <c r="B350" s="2" t="str">
        <v>616-38-6</v>
      </c>
      <c r="C350" s="2" t="str">
        <v>Dimethyl Carbonate</v>
      </c>
      <c r="D350" s="2">
        <v>15.5</v>
      </c>
      <c r="E350" s="2">
        <v>8.6</v>
      </c>
      <c r="F350" s="2">
        <v>9.6999999999999993</v>
      </c>
      <c r="G350" s="2" t="str">
        <v/>
      </c>
      <c r="H350" s="5">
        <v>5.1903757089443925</v>
      </c>
      <c r="I350">
        <v>0</v>
      </c>
    </row>
    <row r="351" spans="2:9" x14ac:dyDescent="0.25">
      <c r="B351" s="2" t="str">
        <v>1528-20-7</v>
      </c>
      <c r="C351" s="2" t="str">
        <v>1-Ethyl Vinyl Ethyl Ether</v>
      </c>
      <c r="D351" s="2">
        <v>15.3</v>
      </c>
      <c r="E351" s="2">
        <v>4.2</v>
      </c>
      <c r="F351" s="2">
        <v>4.5999999999999996</v>
      </c>
      <c r="G351" s="2" t="str">
        <v/>
      </c>
      <c r="H351" s="5">
        <v>5.2124850119688597</v>
      </c>
      <c r="I351">
        <v>0</v>
      </c>
    </row>
    <row r="352" spans="2:9" x14ac:dyDescent="0.25">
      <c r="B352" s="2" t="str">
        <v>108-83-8</v>
      </c>
      <c r="C352" s="2" t="str">
        <v>Di-Isobutyl Ketone</v>
      </c>
      <c r="D352" s="2">
        <v>16</v>
      </c>
      <c r="E352" s="2">
        <v>3.7</v>
      </c>
      <c r="F352" s="2">
        <v>4.0999999999999996</v>
      </c>
      <c r="G352" s="2">
        <v>177.4</v>
      </c>
      <c r="H352" s="5">
        <v>5.2201532544552753</v>
      </c>
      <c r="I352">
        <v>0</v>
      </c>
    </row>
    <row r="353" spans="2:9" x14ac:dyDescent="0.25">
      <c r="B353" s="2" t="str">
        <v>109-73-9</v>
      </c>
      <c r="C353" s="2" t="str">
        <v>n-Butyl Amine</v>
      </c>
      <c r="D353" s="2">
        <v>16.2</v>
      </c>
      <c r="E353" s="2">
        <v>4.5</v>
      </c>
      <c r="F353" s="2">
        <v>8</v>
      </c>
      <c r="G353" s="2" t="str">
        <v/>
      </c>
      <c r="H353" s="5">
        <v>5.2230259428802386</v>
      </c>
      <c r="I353">
        <v>0</v>
      </c>
    </row>
    <row r="354" spans="2:9" x14ac:dyDescent="0.25">
      <c r="B354" s="2" t="str">
        <v>127-19-5</v>
      </c>
      <c r="C354" s="2" t="str">
        <v>N,N-Dimethyl Acetamide</v>
      </c>
      <c r="D354" s="2">
        <v>16.8</v>
      </c>
      <c r="E354" s="2">
        <v>11.5</v>
      </c>
      <c r="F354" s="2">
        <v>9.4</v>
      </c>
      <c r="G354" s="2">
        <v>93</v>
      </c>
      <c r="H354" s="5">
        <v>5.2306787322488093</v>
      </c>
      <c r="I354">
        <v>0</v>
      </c>
    </row>
    <row r="355" spans="2:9" x14ac:dyDescent="0.25">
      <c r="B355" s="2" t="str">
        <v>100-66-3</v>
      </c>
      <c r="C355" s="2" t="str">
        <v>Anisole</v>
      </c>
      <c r="D355" s="2">
        <v>17.8</v>
      </c>
      <c r="E355" s="2">
        <v>4.4000000000000004</v>
      </c>
      <c r="F355" s="2">
        <v>6.9</v>
      </c>
      <c r="G355" s="2" t="str">
        <v/>
      </c>
      <c r="H355" s="5">
        <v>5.2782572881586578</v>
      </c>
      <c r="I355">
        <v>0</v>
      </c>
    </row>
    <row r="356" spans="2:9" x14ac:dyDescent="0.25">
      <c r="B356" s="2" t="str">
        <v>611-13-2</v>
      </c>
      <c r="C356" s="2" t="str">
        <v>Methyl Furoate</v>
      </c>
      <c r="D356" s="2">
        <v>17.399999999999999</v>
      </c>
      <c r="E356" s="2">
        <v>6.9</v>
      </c>
      <c r="F356" s="2">
        <v>9.6999999999999993</v>
      </c>
      <c r="G356" s="2" t="str">
        <v/>
      </c>
      <c r="H356" s="5">
        <v>5.2810983706043553</v>
      </c>
      <c r="I356">
        <v>0</v>
      </c>
    </row>
    <row r="357" spans="2:9" x14ac:dyDescent="0.25">
      <c r="B357" s="2" t="str">
        <v>103-24-2</v>
      </c>
      <c r="C357" s="2" t="str">
        <v>Di-(2-Ethylhexyl)Azelate</v>
      </c>
      <c r="D357" s="2">
        <v>16.2</v>
      </c>
      <c r="E357" s="2">
        <v>4.7</v>
      </c>
      <c r="F357" s="2">
        <v>8.4</v>
      </c>
      <c r="G357" s="2" t="str">
        <v/>
      </c>
      <c r="H357" s="5">
        <v>5.3103672189407014</v>
      </c>
      <c r="I357">
        <v>0</v>
      </c>
    </row>
    <row r="358" spans="2:9" x14ac:dyDescent="0.25">
      <c r="B358" s="2" t="str">
        <v>71-55-6</v>
      </c>
      <c r="C358" s="2" t="str">
        <v>1,1,1-Trichloroethane</v>
      </c>
      <c r="D358" s="2">
        <v>16.8</v>
      </c>
      <c r="E358" s="2">
        <v>4.3</v>
      </c>
      <c r="F358" s="2">
        <v>2</v>
      </c>
      <c r="G358" s="2" t="str">
        <v/>
      </c>
      <c r="H358" s="5">
        <v>5.3404119691274747</v>
      </c>
      <c r="I358">
        <v>0</v>
      </c>
    </row>
    <row r="359" spans="2:9" x14ac:dyDescent="0.25">
      <c r="B359" s="2" t="str">
        <v>1838-59-1</v>
      </c>
      <c r="C359" s="2" t="str">
        <v>Allyl Formate</v>
      </c>
      <c r="D359" s="2">
        <v>15.7</v>
      </c>
      <c r="E359" s="2">
        <v>5.4</v>
      </c>
      <c r="F359" s="2">
        <v>8.8000000000000007</v>
      </c>
      <c r="G359" s="2" t="str">
        <v/>
      </c>
      <c r="H359" s="5">
        <v>5.3450912059571083</v>
      </c>
      <c r="I359">
        <v>0</v>
      </c>
    </row>
    <row r="360" spans="2:9" x14ac:dyDescent="0.25">
      <c r="B360" s="2" t="str">
        <v>122-32-7</v>
      </c>
      <c r="C360" s="2" t="str">
        <v>Glycerol Trioleate</v>
      </c>
      <c r="D360" s="2">
        <v>16</v>
      </c>
      <c r="E360" s="2">
        <v>3.8</v>
      </c>
      <c r="F360" s="2">
        <v>3.2</v>
      </c>
      <c r="G360" s="2" t="str">
        <v/>
      </c>
      <c r="H360" s="5">
        <v>5.3563046963368315</v>
      </c>
      <c r="I360">
        <v>0</v>
      </c>
    </row>
    <row r="361" spans="2:9" x14ac:dyDescent="0.25">
      <c r="B361" s="2" t="str">
        <v>107-10-8</v>
      </c>
      <c r="C361" s="2" t="str">
        <v>Propyl Amine</v>
      </c>
      <c r="D361" s="2">
        <v>16</v>
      </c>
      <c r="E361" s="2">
        <v>4.9000000000000004</v>
      </c>
      <c r="F361" s="2">
        <v>8.6</v>
      </c>
      <c r="G361" s="2" t="str">
        <v/>
      </c>
      <c r="H361" s="5">
        <v>5.3702886328390207</v>
      </c>
      <c r="I361">
        <v>0</v>
      </c>
    </row>
    <row r="362" spans="2:9" x14ac:dyDescent="0.25">
      <c r="B362" s="2" t="str">
        <v>111-34-2</v>
      </c>
      <c r="C362" s="2" t="str">
        <v>Vinyl Butyl Ether</v>
      </c>
      <c r="D362" s="2">
        <v>15.2</v>
      </c>
      <c r="E362" s="2">
        <v>4.0999999999999996</v>
      </c>
      <c r="F362" s="2">
        <v>5.0999999999999996</v>
      </c>
      <c r="G362" s="2" t="str">
        <v/>
      </c>
      <c r="H362" s="5">
        <v>5.3860932037980946</v>
      </c>
      <c r="I362">
        <v>0</v>
      </c>
    </row>
    <row r="363" spans="2:9" x14ac:dyDescent="0.25">
      <c r="B363" s="2" t="str">
        <v>6222-17-9</v>
      </c>
      <c r="C363" s="2" t="str">
        <v>Hexylene Glycol Diacetate</v>
      </c>
      <c r="D363" s="2">
        <v>15.3</v>
      </c>
      <c r="E363" s="2">
        <v>4.5</v>
      </c>
      <c r="F363" s="2">
        <v>7.2</v>
      </c>
      <c r="G363" s="2" t="str">
        <v/>
      </c>
      <c r="H363" s="5">
        <v>5.4074023338383101</v>
      </c>
      <c r="I363">
        <v>0</v>
      </c>
    </row>
    <row r="364" spans="2:9" x14ac:dyDescent="0.25">
      <c r="B364" s="2" t="str">
        <v>123-86-4</v>
      </c>
      <c r="C364" s="2" t="str">
        <v>n-Butyl Acetate</v>
      </c>
      <c r="D364" s="2">
        <v>15.8</v>
      </c>
      <c r="E364" s="2">
        <v>3.7</v>
      </c>
      <c r="F364" s="2">
        <v>6.3</v>
      </c>
      <c r="G364" s="2">
        <v>132.6</v>
      </c>
      <c r="H364" s="5">
        <v>5.4083269131959844</v>
      </c>
      <c r="I364">
        <v>0</v>
      </c>
    </row>
    <row r="365" spans="2:9" x14ac:dyDescent="0.25">
      <c r="B365" s="2" t="str">
        <v>57-11-4</v>
      </c>
      <c r="C365" s="2" t="str">
        <v>Stearic Acid</v>
      </c>
      <c r="D365" s="2">
        <v>16.3</v>
      </c>
      <c r="E365" s="2">
        <v>3.3</v>
      </c>
      <c r="F365" s="2">
        <v>5.5</v>
      </c>
      <c r="G365" s="2" t="str">
        <v/>
      </c>
      <c r="H365" s="5">
        <v>5.4561891462814955</v>
      </c>
      <c r="I365">
        <v>0</v>
      </c>
    </row>
    <row r="366" spans="2:9" x14ac:dyDescent="0.25">
      <c r="B366" s="2" t="str">
        <v>110-89-4</v>
      </c>
      <c r="C366" s="2" t="str">
        <v>Piperidine</v>
      </c>
      <c r="D366" s="2">
        <v>17.3</v>
      </c>
      <c r="E366" s="2">
        <v>4.5</v>
      </c>
      <c r="F366" s="2">
        <v>8.1999999999999993</v>
      </c>
      <c r="G366" s="2" t="str">
        <v/>
      </c>
      <c r="H366" s="5">
        <v>5.4626001134990636</v>
      </c>
      <c r="I366">
        <v>0</v>
      </c>
    </row>
    <row r="367" spans="2:9" x14ac:dyDescent="0.25">
      <c r="B367" s="2" t="str">
        <v>591-87-7</v>
      </c>
      <c r="C367" s="2" t="str">
        <v>Allyl Acetate</v>
      </c>
      <c r="D367" s="2">
        <v>15.7</v>
      </c>
      <c r="E367" s="2">
        <v>4.5</v>
      </c>
      <c r="F367" s="2">
        <v>8</v>
      </c>
      <c r="G367" s="2" t="str">
        <v/>
      </c>
      <c r="H367" s="5">
        <v>5.4662601474865804</v>
      </c>
      <c r="I367">
        <v>0</v>
      </c>
    </row>
    <row r="368" spans="2:9" x14ac:dyDescent="0.25">
      <c r="B368" s="2" t="str">
        <v>42842-08-0</v>
      </c>
      <c r="C368" s="2" t="str">
        <v>Ethynyl Propyl Ether</v>
      </c>
      <c r="D368" s="2">
        <v>15.4</v>
      </c>
      <c r="E368" s="2">
        <v>3.8</v>
      </c>
      <c r="F368" s="2">
        <v>5.4</v>
      </c>
      <c r="G368" s="2" t="str">
        <v/>
      </c>
      <c r="H368" s="5">
        <v>5.4708317466359722</v>
      </c>
      <c r="I368">
        <v>0</v>
      </c>
    </row>
    <row r="369" spans="2:9" x14ac:dyDescent="0.25">
      <c r="B369" s="2" t="str">
        <v>66728-50-5</v>
      </c>
      <c r="C369" s="2" t="str">
        <v>Ethylene Glycol Methyl t-Butyl Ether</v>
      </c>
      <c r="D369" s="2">
        <v>15.3</v>
      </c>
      <c r="E369" s="2">
        <v>5.0999999999999996</v>
      </c>
      <c r="F369" s="2">
        <v>8.1999999999999993</v>
      </c>
      <c r="G369" s="2" t="str">
        <v/>
      </c>
      <c r="H369" s="5">
        <v>5.4735728733616034</v>
      </c>
      <c r="I369">
        <v>0</v>
      </c>
    </row>
    <row r="370" spans="2:9" x14ac:dyDescent="0.25">
      <c r="B370" s="2" t="str">
        <v>7319-16-6</v>
      </c>
      <c r="C370" s="2" t="str">
        <v>Methyl 1-Propenyl Ether</v>
      </c>
      <c r="D370" s="2">
        <v>15</v>
      </c>
      <c r="E370" s="2">
        <v>4.3</v>
      </c>
      <c r="F370" s="2">
        <v>5.7</v>
      </c>
      <c r="G370" s="2" t="str">
        <v/>
      </c>
      <c r="H370" s="5">
        <v>5.4854352607609922</v>
      </c>
      <c r="I370">
        <v>0</v>
      </c>
    </row>
    <row r="371" spans="2:9" x14ac:dyDescent="0.25">
      <c r="B371" s="2" t="str">
        <v>103-11-7</v>
      </c>
      <c r="C371" s="2" t="str">
        <v>2-Ethyl Hexyl Acrylate</v>
      </c>
      <c r="D371" s="2">
        <v>15.3</v>
      </c>
      <c r="E371" s="2">
        <v>4.3</v>
      </c>
      <c r="F371" s="2">
        <v>3</v>
      </c>
      <c r="G371" s="2" t="str">
        <v/>
      </c>
      <c r="H371" s="5">
        <v>5.4881690936048981</v>
      </c>
      <c r="I371">
        <v>0</v>
      </c>
    </row>
    <row r="372" spans="2:9" x14ac:dyDescent="0.25">
      <c r="B372" s="2" t="str">
        <v>96-33-3</v>
      </c>
      <c r="C372" s="2" t="str">
        <v>Methyl Acrylate</v>
      </c>
      <c r="D372" s="2">
        <v>15.3</v>
      </c>
      <c r="E372" s="2">
        <v>6.7</v>
      </c>
      <c r="F372" s="2">
        <v>9.4</v>
      </c>
      <c r="G372" s="2" t="str">
        <v/>
      </c>
      <c r="H372" s="5">
        <v>5.4881690936048981</v>
      </c>
      <c r="I372">
        <v>0</v>
      </c>
    </row>
    <row r="373" spans="2:9" x14ac:dyDescent="0.25">
      <c r="B373" s="2" t="str">
        <v>109-53-5</v>
      </c>
      <c r="C373" s="2" t="str">
        <v>Vinyl Isobutyl Ether</v>
      </c>
      <c r="D373" s="2">
        <v>15.1</v>
      </c>
      <c r="E373" s="2">
        <v>4.0999999999999996</v>
      </c>
      <c r="F373" s="2">
        <v>5.0999999999999996</v>
      </c>
      <c r="G373" s="2" t="str">
        <v/>
      </c>
      <c r="H373" s="5">
        <v>5.4927224579437857</v>
      </c>
      <c r="I373">
        <v>0</v>
      </c>
    </row>
    <row r="374" spans="2:9" x14ac:dyDescent="0.25">
      <c r="B374" s="2" t="str">
        <v>122-62-3</v>
      </c>
      <c r="C374" s="2" t="str">
        <v>Di-(2-Ethyl Hexyl) Sebacate</v>
      </c>
      <c r="D374" s="2">
        <v>16.2</v>
      </c>
      <c r="E374" s="2">
        <v>5</v>
      </c>
      <c r="F374" s="2">
        <v>9</v>
      </c>
      <c r="G374" s="2" t="str">
        <v/>
      </c>
      <c r="H374" s="5">
        <v>5.5072679252057464</v>
      </c>
      <c r="I374">
        <v>0</v>
      </c>
    </row>
    <row r="375" spans="2:9" x14ac:dyDescent="0.25">
      <c r="B375" s="2" t="str">
        <v>1515-76-0</v>
      </c>
      <c r="C375" s="2" t="str">
        <v>1-Acetoxy-1,3-Butadiene</v>
      </c>
      <c r="D375" s="2">
        <v>16.100000000000001</v>
      </c>
      <c r="E375" s="2">
        <v>4.4000000000000004</v>
      </c>
      <c r="F375" s="2">
        <v>8.3000000000000007</v>
      </c>
      <c r="G375" s="2" t="str">
        <v/>
      </c>
      <c r="H375" s="5">
        <v>5.5118055118082676</v>
      </c>
      <c r="I375">
        <v>0</v>
      </c>
    </row>
    <row r="376" spans="2:9" x14ac:dyDescent="0.25">
      <c r="B376" s="2" t="str">
        <v>627-40-7</v>
      </c>
      <c r="C376" s="2" t="str">
        <v>Allyl Methyl Ether</v>
      </c>
      <c r="D376" s="2">
        <v>15</v>
      </c>
      <c r="E376" s="2">
        <v>4.3</v>
      </c>
      <c r="F376" s="2">
        <v>5.9</v>
      </c>
      <c r="G376" s="2" t="str">
        <v/>
      </c>
      <c r="H376" s="5">
        <v>5.5145262715848959</v>
      </c>
      <c r="I376">
        <v>0</v>
      </c>
    </row>
    <row r="377" spans="2:9" x14ac:dyDescent="0.25">
      <c r="B377" s="2" t="str">
        <v>123-20-6</v>
      </c>
      <c r="C377" s="2" t="str">
        <v>Vinyl Butyrate</v>
      </c>
      <c r="D377" s="2">
        <v>15.6</v>
      </c>
      <c r="E377" s="2">
        <v>3.9</v>
      </c>
      <c r="F377" s="2">
        <v>6.9</v>
      </c>
      <c r="G377" s="2" t="str">
        <v/>
      </c>
      <c r="H377" s="5">
        <v>5.5362442142665644</v>
      </c>
      <c r="I377">
        <v>0</v>
      </c>
    </row>
    <row r="378" spans="2:9" x14ac:dyDescent="0.25">
      <c r="B378" s="2" t="str">
        <v>112-15-2</v>
      </c>
      <c r="C378" s="2" t="str">
        <v>Diethylene Glycol Monoethyl Ether Acetate</v>
      </c>
      <c r="D378" s="2">
        <v>16.2</v>
      </c>
      <c r="E378" s="2">
        <v>5.0999999999999996</v>
      </c>
      <c r="F378" s="2">
        <v>9.1999999999999993</v>
      </c>
      <c r="G378" s="2" t="str">
        <v/>
      </c>
      <c r="H378" s="5">
        <v>5.5892754449928477</v>
      </c>
      <c r="I378">
        <v>0</v>
      </c>
    </row>
    <row r="379" spans="2:9" x14ac:dyDescent="0.25">
      <c r="B379" s="2" t="str">
        <v>79-37-8</v>
      </c>
      <c r="C379" s="2" t="str">
        <v>Oxalylchloride</v>
      </c>
      <c r="D379" s="2">
        <v>16.100000000000001</v>
      </c>
      <c r="E379" s="2">
        <v>3.8</v>
      </c>
      <c r="F379" s="2">
        <v>7.5</v>
      </c>
      <c r="G379" s="2" t="str">
        <v/>
      </c>
      <c r="H379" s="5">
        <v>5.5910642993977451</v>
      </c>
      <c r="I379">
        <v>0</v>
      </c>
    </row>
    <row r="380" spans="2:9" x14ac:dyDescent="0.25">
      <c r="B380" s="2" t="str">
        <v>3376-35-0</v>
      </c>
      <c r="C380" s="2" t="str">
        <v>Acetonemethyloxime</v>
      </c>
      <c r="D380" s="2">
        <v>14.7</v>
      </c>
      <c r="E380" s="2">
        <v>4.5999999999999996</v>
      </c>
      <c r="F380" s="2">
        <v>4.5999999999999996</v>
      </c>
      <c r="G380" s="2" t="str">
        <v/>
      </c>
      <c r="H380" s="5">
        <v>5.6044625076808243</v>
      </c>
      <c r="I380">
        <v>0</v>
      </c>
    </row>
    <row r="381" spans="2:9" x14ac:dyDescent="0.25">
      <c r="B381" s="2" t="str">
        <v>14861-06-4</v>
      </c>
      <c r="C381" s="2" t="str">
        <v>Vinyl Crotonate</v>
      </c>
      <c r="D381" s="2">
        <v>15.9</v>
      </c>
      <c r="E381" s="2">
        <v>5</v>
      </c>
      <c r="F381" s="2">
        <v>9</v>
      </c>
      <c r="G381" s="2" t="str">
        <v/>
      </c>
      <c r="H381" s="5">
        <v>5.6258332716140815</v>
      </c>
      <c r="I381">
        <v>0</v>
      </c>
    </row>
    <row r="382" spans="2:9" x14ac:dyDescent="0.25">
      <c r="B382" s="2" t="str">
        <v>111-62-6</v>
      </c>
      <c r="C382" s="2" t="str">
        <v>Ethyl Oleate</v>
      </c>
      <c r="D382" s="2">
        <v>16.2</v>
      </c>
      <c r="E382" s="2">
        <v>3.2</v>
      </c>
      <c r="F382" s="2">
        <v>4</v>
      </c>
      <c r="G382" s="2" t="str">
        <v/>
      </c>
      <c r="H382" s="5">
        <v>5.6471231613981994</v>
      </c>
      <c r="I382">
        <v>0</v>
      </c>
    </row>
    <row r="383" spans="2:9" x14ac:dyDescent="0.25">
      <c r="B383" s="2" t="str">
        <v>1634-04-4</v>
      </c>
      <c r="C383" s="2" t="str">
        <v>Methyl-t-Butyl Ether</v>
      </c>
      <c r="D383" s="2">
        <v>14.8</v>
      </c>
      <c r="E383" s="2">
        <v>4.3</v>
      </c>
      <c r="F383" s="2">
        <v>5</v>
      </c>
      <c r="G383" s="2" t="str">
        <v/>
      </c>
      <c r="H383" s="5">
        <v>5.6850681614207588</v>
      </c>
      <c r="I383">
        <v>0</v>
      </c>
    </row>
    <row r="384" spans="2:9" x14ac:dyDescent="0.25">
      <c r="B384" s="2" t="str">
        <v>103-44-6</v>
      </c>
      <c r="C384" s="2" t="str">
        <v>Vinyl 2-Ethylhexyl Ether</v>
      </c>
      <c r="D384" s="2">
        <v>15.6</v>
      </c>
      <c r="E384" s="2">
        <v>3.4</v>
      </c>
      <c r="F384" s="2">
        <v>4.2</v>
      </c>
      <c r="G384" s="2" t="str">
        <v/>
      </c>
      <c r="H384" s="5">
        <v>5.7210138961551218</v>
      </c>
      <c r="I384">
        <v>0</v>
      </c>
    </row>
    <row r="385" spans="2:9" x14ac:dyDescent="0.25">
      <c r="B385" s="2" t="str">
        <v>22174-70-5</v>
      </c>
      <c r="C385" s="2" t="str">
        <v>2-Ethylhexylal - 3,3'-[Methylenebis(oxymethylene)]bisheptane</v>
      </c>
      <c r="D385" s="2">
        <v>15.94</v>
      </c>
      <c r="E385" s="2">
        <v>3.3</v>
      </c>
      <c r="F385" s="2">
        <v>3.64</v>
      </c>
      <c r="G385" s="2">
        <v>321.22000000000003</v>
      </c>
      <c r="H385" s="5">
        <v>5.7229363092734138</v>
      </c>
      <c r="I385">
        <v>0</v>
      </c>
    </row>
    <row r="386" spans="2:9" x14ac:dyDescent="0.25">
      <c r="B386" s="2" t="str">
        <v>124-17-4</v>
      </c>
      <c r="C386" s="2" t="str">
        <v>Diethylene Glycol Butyl Ether Acetate</v>
      </c>
      <c r="D386" s="2">
        <v>16</v>
      </c>
      <c r="E386" s="2">
        <v>4.0999999999999996</v>
      </c>
      <c r="F386" s="2">
        <v>8.1999999999999993</v>
      </c>
      <c r="G386" s="2" t="str">
        <v/>
      </c>
      <c r="H386" s="5">
        <v>5.7306195127577615</v>
      </c>
      <c r="I386">
        <v>0</v>
      </c>
    </row>
    <row r="387" spans="2:9" x14ac:dyDescent="0.25">
      <c r="B387" s="2" t="str">
        <v>818-92-8</v>
      </c>
      <c r="C387" s="2" t="str">
        <v>Allyl Fluoride</v>
      </c>
      <c r="D387" s="2">
        <v>14.9</v>
      </c>
      <c r="E387" s="2">
        <v>6.4</v>
      </c>
      <c r="F387" s="2">
        <v>1</v>
      </c>
      <c r="G387" s="2" t="str">
        <v/>
      </c>
      <c r="H387" s="5">
        <v>5.7314919523628411</v>
      </c>
      <c r="I387">
        <v>0</v>
      </c>
    </row>
    <row r="388" spans="2:9" x14ac:dyDescent="0.25">
      <c r="B388" s="2" t="str">
        <v>109-60-4</v>
      </c>
      <c r="C388" s="2" t="str">
        <v>n-Propyl Acetate</v>
      </c>
      <c r="D388" s="2">
        <v>15.3</v>
      </c>
      <c r="E388" s="2">
        <v>4.3</v>
      </c>
      <c r="F388" s="2">
        <v>7.6</v>
      </c>
      <c r="G388" s="2">
        <v>115.8</v>
      </c>
      <c r="H388" s="5">
        <v>5.7341084747325803</v>
      </c>
      <c r="I388">
        <v>0</v>
      </c>
    </row>
    <row r="389" spans="2:9" x14ac:dyDescent="0.25">
      <c r="B389" s="2" t="str">
        <v>628-63-7</v>
      </c>
      <c r="C389" s="2" t="str">
        <v>Amyl Acetate</v>
      </c>
      <c r="D389" s="2">
        <v>15.8</v>
      </c>
      <c r="E389" s="2">
        <v>3.3</v>
      </c>
      <c r="F389" s="2">
        <v>6.1</v>
      </c>
      <c r="G389" s="2" t="str">
        <v/>
      </c>
      <c r="H389" s="5">
        <v>5.7384666941614286</v>
      </c>
      <c r="I389">
        <v>0</v>
      </c>
    </row>
    <row r="390" spans="2:9" x14ac:dyDescent="0.25">
      <c r="B390" s="2" t="str">
        <v>151-56-4</v>
      </c>
      <c r="C390" s="2" t="str">
        <v>Ethyleneimine</v>
      </c>
      <c r="D390" s="2">
        <v>17.7</v>
      </c>
      <c r="E390" s="2">
        <v>11</v>
      </c>
      <c r="F390" s="2">
        <v>9.8000000000000007</v>
      </c>
      <c r="G390" s="2" t="str">
        <v/>
      </c>
      <c r="H390" s="5">
        <v>5.7593402399927704</v>
      </c>
      <c r="I390">
        <v>0</v>
      </c>
    </row>
    <row r="391" spans="2:9" x14ac:dyDescent="0.25">
      <c r="B391" s="2" t="str">
        <v>106-74-1</v>
      </c>
      <c r="C391" s="2" t="str">
        <v>Ethylene Glycol Mono Ethyl Ether Acrylate</v>
      </c>
      <c r="D391" s="2">
        <v>15.9</v>
      </c>
      <c r="E391" s="2">
        <v>5.0999999999999996</v>
      </c>
      <c r="F391" s="2">
        <v>9.3000000000000007</v>
      </c>
      <c r="G391" s="2" t="str">
        <v/>
      </c>
      <c r="H391" s="5">
        <v>5.7801384066473709</v>
      </c>
      <c r="I391">
        <v>0</v>
      </c>
    </row>
    <row r="392" spans="2:9" x14ac:dyDescent="0.25">
      <c r="B392" s="2" t="str">
        <v>2216-51-5</v>
      </c>
      <c r="C392" s="2" t="str">
        <v>l-Menthol</v>
      </c>
      <c r="D392" s="2">
        <v>16</v>
      </c>
      <c r="E392" s="2">
        <v>4.7</v>
      </c>
      <c r="F392" s="2">
        <v>9</v>
      </c>
      <c r="G392" s="2" t="str">
        <v/>
      </c>
      <c r="H392" s="5">
        <v>5.7827329179203844</v>
      </c>
      <c r="I392">
        <v>0</v>
      </c>
    </row>
    <row r="393" spans="2:9" x14ac:dyDescent="0.25">
      <c r="B393" s="2" t="str">
        <v>116-11-0</v>
      </c>
      <c r="C393" s="2" t="str">
        <v>1-Methyl Vinyl Methyl Ether</v>
      </c>
      <c r="D393" s="2">
        <v>14.8</v>
      </c>
      <c r="E393" s="2">
        <v>4.2</v>
      </c>
      <c r="F393" s="2">
        <v>5.6</v>
      </c>
      <c r="G393" s="2" t="str">
        <v/>
      </c>
      <c r="H393" s="5">
        <v>5.7939623747483902</v>
      </c>
      <c r="I393">
        <v>0</v>
      </c>
    </row>
    <row r="394" spans="2:9" x14ac:dyDescent="0.25">
      <c r="B394" s="2" t="str">
        <v>692-45-5</v>
      </c>
      <c r="C394" s="2" t="str">
        <v>Vinyl Formate</v>
      </c>
      <c r="D394" s="2">
        <v>15.3</v>
      </c>
      <c r="E394" s="2">
        <v>6.5</v>
      </c>
      <c r="F394" s="2">
        <v>9.6999999999999993</v>
      </c>
      <c r="G394" s="2" t="str">
        <v/>
      </c>
      <c r="H394" s="5">
        <v>5.8043087443725803</v>
      </c>
      <c r="I394">
        <v>0</v>
      </c>
    </row>
    <row r="395" spans="2:9" x14ac:dyDescent="0.25">
      <c r="B395" s="2" t="str">
        <v>109-93-3</v>
      </c>
      <c r="C395" s="2" t="str">
        <v>Vinyl Ether</v>
      </c>
      <c r="D395" s="2">
        <v>14.8</v>
      </c>
      <c r="E395" s="2">
        <v>4.2</v>
      </c>
      <c r="F395" s="2">
        <v>5.8</v>
      </c>
      <c r="G395" s="2" t="str">
        <v/>
      </c>
      <c r="H395" s="5">
        <v>5.8180752831155429</v>
      </c>
      <c r="I395">
        <v>0</v>
      </c>
    </row>
    <row r="396" spans="2:9" x14ac:dyDescent="0.25">
      <c r="B396" s="2" t="str">
        <v>460-35-5</v>
      </c>
      <c r="C396" s="2" t="str">
        <v>HCFC 253eb</v>
      </c>
      <c r="D396" s="2">
        <v>14.6</v>
      </c>
      <c r="E396" s="2">
        <v>7.3</v>
      </c>
      <c r="F396" s="2">
        <v>1</v>
      </c>
      <c r="G396" s="2" t="str">
        <v/>
      </c>
      <c r="H396" s="5">
        <v>5.8275209137333883</v>
      </c>
      <c r="I396">
        <v>0</v>
      </c>
    </row>
    <row r="397" spans="2:9" x14ac:dyDescent="0.25">
      <c r="B397" s="2" t="str">
        <v>75-31-0</v>
      </c>
      <c r="C397" s="2" t="str">
        <v>Isopropyl Amine (2-Propan Amine)</v>
      </c>
      <c r="D397" s="2">
        <v>14.8</v>
      </c>
      <c r="E397" s="2">
        <v>4.4000000000000004</v>
      </c>
      <c r="F397" s="2">
        <v>6.6</v>
      </c>
      <c r="G397" s="2" t="str">
        <v/>
      </c>
      <c r="H397" s="5">
        <v>5.8318093247293339</v>
      </c>
      <c r="I397">
        <v>0</v>
      </c>
    </row>
    <row r="398" spans="2:9" x14ac:dyDescent="0.25">
      <c r="B398" s="2" t="str">
        <v>75-43-4</v>
      </c>
      <c r="C398" s="2" t="str">
        <v>Dichloromonofluoromethane (Freon21)</v>
      </c>
      <c r="D398" s="2">
        <v>15.8</v>
      </c>
      <c r="E398" s="2">
        <v>3.1</v>
      </c>
      <c r="F398" s="2">
        <v>5.7</v>
      </c>
      <c r="G398" s="2" t="str">
        <v/>
      </c>
      <c r="H398" s="5">
        <v>5.8660037504249862</v>
      </c>
      <c r="I398">
        <v>0</v>
      </c>
    </row>
    <row r="399" spans="2:9" x14ac:dyDescent="0.25">
      <c r="B399" s="2" t="str">
        <v>102-76-1</v>
      </c>
      <c r="C399" s="2" t="str">
        <v>Glycerol Triacetate</v>
      </c>
      <c r="D399" s="2">
        <v>16.5</v>
      </c>
      <c r="E399" s="2">
        <v>4.5</v>
      </c>
      <c r="F399" s="2">
        <v>9.1</v>
      </c>
      <c r="G399" s="2" t="str">
        <v/>
      </c>
      <c r="H399" s="5">
        <v>5.8728187440104085</v>
      </c>
      <c r="I399">
        <v>0</v>
      </c>
    </row>
    <row r="400" spans="2:9" x14ac:dyDescent="0.25">
      <c r="B400" s="2" t="str">
        <v>36653-82-4</v>
      </c>
      <c r="C400" s="2" t="str">
        <v>Cetyl Alcohol (1-Hexadecanol)</v>
      </c>
      <c r="D400" s="2">
        <v>16.399999999999999</v>
      </c>
      <c r="E400" s="2">
        <v>3.7</v>
      </c>
      <c r="F400" s="2">
        <v>8.1</v>
      </c>
      <c r="G400" s="2" t="str">
        <v/>
      </c>
      <c r="H400" s="5">
        <v>5.8966091951222266</v>
      </c>
      <c r="I400">
        <v>0</v>
      </c>
    </row>
    <row r="401" spans="2:9" x14ac:dyDescent="0.25">
      <c r="B401" s="2" t="str">
        <v>142-29-0</v>
      </c>
      <c r="C401" s="2" t="str">
        <v>Cyclopentene</v>
      </c>
      <c r="D401" s="2">
        <v>16.7</v>
      </c>
      <c r="E401" s="2">
        <v>3.8</v>
      </c>
      <c r="F401" s="2">
        <v>1.7</v>
      </c>
      <c r="G401" s="2" t="str">
        <v/>
      </c>
      <c r="H401" s="5">
        <v>5.9110066824526593</v>
      </c>
      <c r="I401">
        <v>0</v>
      </c>
    </row>
    <row r="402" spans="2:9" x14ac:dyDescent="0.25">
      <c r="B402" s="2" t="str">
        <v>108-91-8</v>
      </c>
      <c r="C402" s="2" t="str">
        <v>Cyclohexylamine</v>
      </c>
      <c r="D402" s="2">
        <v>17.2</v>
      </c>
      <c r="E402" s="2">
        <v>3.1</v>
      </c>
      <c r="F402" s="2">
        <v>6.5</v>
      </c>
      <c r="G402" s="2" t="str">
        <v/>
      </c>
      <c r="H402" s="5">
        <v>5.9203040462462724</v>
      </c>
      <c r="I402">
        <v>0</v>
      </c>
    </row>
    <row r="403" spans="2:9" x14ac:dyDescent="0.25">
      <c r="B403" s="2" t="str">
        <v>96-05-9</v>
      </c>
      <c r="C403" s="2" t="str">
        <v>Allyl Methacrylate</v>
      </c>
      <c r="D403" s="2">
        <v>15.2</v>
      </c>
      <c r="E403" s="2">
        <v>4.0999999999999996</v>
      </c>
      <c r="F403" s="2">
        <v>7.5</v>
      </c>
      <c r="G403" s="2" t="str">
        <v/>
      </c>
      <c r="H403" s="5">
        <v>5.9371710435189602</v>
      </c>
      <c r="I403">
        <v>0</v>
      </c>
    </row>
    <row r="404" spans="2:9" x14ac:dyDescent="0.25">
      <c r="B404" s="2" t="str">
        <v>110-19-0</v>
      </c>
      <c r="C404" s="2" t="str">
        <v>Isobutyl Acetate</v>
      </c>
      <c r="D404" s="2">
        <v>15.1</v>
      </c>
      <c r="E404" s="2">
        <v>3.7</v>
      </c>
      <c r="F404" s="2">
        <v>6.3</v>
      </c>
      <c r="G404" s="2" t="str">
        <v/>
      </c>
      <c r="H404" s="5">
        <v>5.9741108124975399</v>
      </c>
      <c r="I404">
        <v>0</v>
      </c>
    </row>
    <row r="405" spans="2:9" x14ac:dyDescent="0.25">
      <c r="B405" s="2" t="str">
        <v>6140-80-3</v>
      </c>
      <c r="C405" s="2" t="str">
        <v>Allyl Isopropyl Ether</v>
      </c>
      <c r="D405" s="2">
        <v>15</v>
      </c>
      <c r="E405" s="2">
        <v>4.0999999999999996</v>
      </c>
      <c r="F405" s="2">
        <v>7.1</v>
      </c>
      <c r="G405" s="2" t="str">
        <v/>
      </c>
      <c r="H405" s="5">
        <v>5.984145720150873</v>
      </c>
      <c r="I405">
        <v>0</v>
      </c>
    </row>
    <row r="406" spans="2:9" x14ac:dyDescent="0.25">
      <c r="B406" s="2" t="str">
        <v>123-66-0</v>
      </c>
      <c r="C406" s="2" t="str">
        <v>Ethyl Capronate</v>
      </c>
      <c r="D406" s="2">
        <v>15.5</v>
      </c>
      <c r="E406" s="2">
        <v>3.2</v>
      </c>
      <c r="F406" s="2">
        <v>5.9</v>
      </c>
      <c r="G406" s="2" t="str">
        <v/>
      </c>
      <c r="H406" s="5">
        <v>5.9916608715780972</v>
      </c>
      <c r="I406">
        <v>0</v>
      </c>
    </row>
    <row r="407" spans="2:9" x14ac:dyDescent="0.25">
      <c r="B407" s="2" t="str">
        <v>25125-85-3</v>
      </c>
      <c r="C407" s="2" t="str">
        <v>2-Butenyl Methyl Ether (Cis)</v>
      </c>
      <c r="D407" s="2">
        <v>15.2</v>
      </c>
      <c r="E407" s="2">
        <v>3.4</v>
      </c>
      <c r="F407" s="2">
        <v>5</v>
      </c>
      <c r="G407" s="2" t="str">
        <v/>
      </c>
      <c r="H407" s="5">
        <v>5.9941638282582845</v>
      </c>
      <c r="I407">
        <v>0</v>
      </c>
    </row>
    <row r="408" spans="2:9" x14ac:dyDescent="0.25">
      <c r="B408" s="2" t="str">
        <v>540-88-5</v>
      </c>
      <c r="C408" s="2" t="str">
        <v>t-Butyl Acetate</v>
      </c>
      <c r="D408" s="2">
        <v>15</v>
      </c>
      <c r="E408" s="2">
        <v>3.7</v>
      </c>
      <c r="F408" s="2">
        <v>6</v>
      </c>
      <c r="G408" s="2">
        <v>134.80000000000001</v>
      </c>
      <c r="H408" s="5">
        <v>6.0199667773169656</v>
      </c>
      <c r="I408">
        <v>0</v>
      </c>
    </row>
    <row r="409" spans="2:9" x14ac:dyDescent="0.25">
      <c r="B409" s="2" t="str">
        <v>108-65-6</v>
      </c>
      <c r="C409" s="2" t="str">
        <v>Propylene Glycol Monomethyl Ether Acetate</v>
      </c>
      <c r="D409" s="2">
        <v>15.6</v>
      </c>
      <c r="E409" s="2">
        <v>5.6</v>
      </c>
      <c r="F409" s="2">
        <v>9.8000000000000007</v>
      </c>
      <c r="G409" s="2">
        <v>137.1</v>
      </c>
      <c r="H409" s="5">
        <v>6.0539243470661264</v>
      </c>
      <c r="I409">
        <v>0</v>
      </c>
    </row>
    <row r="410" spans="2:9" x14ac:dyDescent="0.25">
      <c r="B410" s="2" t="str">
        <v>96-29-7</v>
      </c>
      <c r="C410" s="2" t="str">
        <v>Methyl Ethyl Ketoxime</v>
      </c>
      <c r="D410" s="2">
        <v>14.7</v>
      </c>
      <c r="E410" s="2">
        <v>4.9000000000000004</v>
      </c>
      <c r="F410" s="2">
        <v>7.8</v>
      </c>
      <c r="G410" s="2" t="str">
        <v/>
      </c>
      <c r="H410" s="5">
        <v>6.0597029630172488</v>
      </c>
      <c r="I410">
        <v>0</v>
      </c>
    </row>
    <row r="411" spans="2:9" x14ac:dyDescent="0.25">
      <c r="B411" s="2" t="str">
        <v>107-00-6</v>
      </c>
      <c r="C411" s="2" t="str">
        <v>Ethyl Acetylene</v>
      </c>
      <c r="D411" s="2">
        <v>15.1</v>
      </c>
      <c r="E411" s="2">
        <v>3.4</v>
      </c>
      <c r="F411" s="2">
        <v>5</v>
      </c>
      <c r="G411" s="2" t="str">
        <v/>
      </c>
      <c r="H411" s="5">
        <v>6.0901559914340462</v>
      </c>
      <c r="I411">
        <v>0</v>
      </c>
    </row>
    <row r="412" spans="2:9" x14ac:dyDescent="0.25">
      <c r="B412" s="2" t="str">
        <v>306-83-2</v>
      </c>
      <c r="C412" s="2" t="str">
        <v>HCFC123</v>
      </c>
      <c r="D412" s="2">
        <v>15</v>
      </c>
      <c r="E412" s="2">
        <v>5.4</v>
      </c>
      <c r="F412" s="2">
        <v>1</v>
      </c>
      <c r="G412" s="2" t="str">
        <v/>
      </c>
      <c r="H412" s="5">
        <v>6.0934390946328501</v>
      </c>
      <c r="I412">
        <v>0</v>
      </c>
    </row>
    <row r="413" spans="2:9" x14ac:dyDescent="0.25">
      <c r="B413" s="2" t="str">
        <v>95481-62-2</v>
      </c>
      <c r="C413" s="2" t="str">
        <v>Estasol HP Oxygenated Solvents</v>
      </c>
      <c r="D413" s="2">
        <v>16.899999999999999</v>
      </c>
      <c r="E413" s="2">
        <v>4.3</v>
      </c>
      <c r="F413" s="2">
        <v>9.1999999999999993</v>
      </c>
      <c r="G413" s="2" t="str">
        <v/>
      </c>
      <c r="H413" s="5">
        <v>6.1122827159744491</v>
      </c>
      <c r="I413">
        <v>0</v>
      </c>
    </row>
    <row r="414" spans="2:9" x14ac:dyDescent="0.25">
      <c r="B414" s="2" t="str">
        <v>4435-53-4</v>
      </c>
      <c r="C414" s="2" t="str">
        <v>3-Methoxy Butyl Acetate</v>
      </c>
      <c r="D414" s="2">
        <v>15.3</v>
      </c>
      <c r="E414" s="2">
        <v>4.0999999999999996</v>
      </c>
      <c r="F414" s="2">
        <v>8.1</v>
      </c>
      <c r="G414" s="2" t="str">
        <v/>
      </c>
      <c r="H414" s="5">
        <v>6.126173356998641</v>
      </c>
      <c r="I414">
        <v>0</v>
      </c>
    </row>
    <row r="415" spans="2:9" x14ac:dyDescent="0.25">
      <c r="B415" s="2" t="str">
        <v>67-66-3</v>
      </c>
      <c r="C415" s="2" t="str">
        <v>Chloroform</v>
      </c>
      <c r="D415" s="2">
        <v>17.8</v>
      </c>
      <c r="E415" s="2">
        <v>3.1</v>
      </c>
      <c r="F415" s="2">
        <v>5.7</v>
      </c>
      <c r="G415" s="2">
        <v>80.5</v>
      </c>
      <c r="H415" s="5">
        <v>6.1326992425847848</v>
      </c>
      <c r="I415">
        <v>0</v>
      </c>
    </row>
    <row r="416" spans="2:9" x14ac:dyDescent="0.25">
      <c r="B416" s="2" t="str">
        <v>6863-58-7</v>
      </c>
      <c r="C416" s="2" t="str">
        <v>Di-sec-Butyl Ether</v>
      </c>
      <c r="D416" s="2">
        <v>15.2</v>
      </c>
      <c r="E416" s="2">
        <v>3.5</v>
      </c>
      <c r="F416" s="2">
        <v>3.3</v>
      </c>
      <c r="G416" s="2" t="str">
        <v/>
      </c>
      <c r="H416" s="5">
        <v>6.1457302251237822</v>
      </c>
      <c r="I416">
        <v>0</v>
      </c>
    </row>
    <row r="417" spans="2:9" x14ac:dyDescent="0.25">
      <c r="B417" s="2" t="str">
        <v>103429-90-9</v>
      </c>
      <c r="C417" s="2" t="str">
        <v>3-Methyl-3-Methoxy Butyl Acetate</v>
      </c>
      <c r="D417" s="2">
        <v>15.3</v>
      </c>
      <c r="E417" s="2">
        <v>3.8</v>
      </c>
      <c r="F417" s="2">
        <v>7.7</v>
      </c>
      <c r="G417" s="2" t="str">
        <v/>
      </c>
      <c r="H417" s="5">
        <v>6.1692787260748725</v>
      </c>
      <c r="I417">
        <v>0</v>
      </c>
    </row>
    <row r="418" spans="2:9" x14ac:dyDescent="0.25">
      <c r="B418" s="2" t="str">
        <v>302-01-2</v>
      </c>
      <c r="C418" s="2" t="str">
        <v>Hydrazine</v>
      </c>
      <c r="D418" s="2">
        <v>14.2</v>
      </c>
      <c r="E418" s="2">
        <v>8.3000000000000007</v>
      </c>
      <c r="F418" s="2">
        <v>8.9</v>
      </c>
      <c r="G418" s="2" t="str">
        <v/>
      </c>
      <c r="H418" s="5">
        <v>6.197580172938471</v>
      </c>
      <c r="I418">
        <v>0</v>
      </c>
    </row>
    <row r="419" spans="2:9" x14ac:dyDescent="0.25">
      <c r="B419" s="2" t="str">
        <v>764-47-6</v>
      </c>
      <c r="C419" s="2" t="str">
        <v>Vinyl Propyl Ether</v>
      </c>
      <c r="D419" s="2">
        <v>14.9</v>
      </c>
      <c r="E419" s="2">
        <v>3.5</v>
      </c>
      <c r="F419" s="2">
        <v>5.2</v>
      </c>
      <c r="G419" s="2" t="str">
        <v/>
      </c>
      <c r="H419" s="5">
        <v>6.2161081071680222</v>
      </c>
      <c r="I419">
        <v>0</v>
      </c>
    </row>
    <row r="420" spans="2:9" x14ac:dyDescent="0.25">
      <c r="B420" s="2" t="str">
        <v>25265-77-4</v>
      </c>
      <c r="C420" s="2" t="str">
        <v>2,2,4-Trimethyl-1,3-Pentanediol Monoisobutyrate (Texanol)</v>
      </c>
      <c r="D420" s="2">
        <v>15.1</v>
      </c>
      <c r="E420" s="2">
        <v>6.1</v>
      </c>
      <c r="F420" s="2">
        <v>9.8000000000000007</v>
      </c>
      <c r="G420" s="2" t="str">
        <v/>
      </c>
      <c r="H420" s="5">
        <v>6.2289646009589772</v>
      </c>
      <c r="I420">
        <v>0</v>
      </c>
    </row>
    <row r="421" spans="2:9" x14ac:dyDescent="0.25">
      <c r="B421" s="2" t="str">
        <v>104-40-5</v>
      </c>
      <c r="C421" s="2" t="str">
        <v>Nonyl Phenol</v>
      </c>
      <c r="D421" s="2">
        <v>16.5</v>
      </c>
      <c r="E421" s="2">
        <v>4.0999999999999996</v>
      </c>
      <c r="F421" s="2">
        <v>9.1999999999999993</v>
      </c>
      <c r="G421" s="2" t="str">
        <v/>
      </c>
      <c r="H421" s="5">
        <v>6.2321745803531519</v>
      </c>
      <c r="I421">
        <v>0</v>
      </c>
    </row>
    <row r="422" spans="2:9" x14ac:dyDescent="0.25">
      <c r="B422" s="2" t="str">
        <v>142-96-1</v>
      </c>
      <c r="C422" s="2" t="str">
        <v>Di-n-Butyl Ether</v>
      </c>
      <c r="D422" s="2">
        <v>15.2</v>
      </c>
      <c r="E422" s="2">
        <v>3.4</v>
      </c>
      <c r="F422" s="2">
        <v>3.2</v>
      </c>
      <c r="G422" s="2" t="str">
        <v/>
      </c>
      <c r="H422" s="5">
        <v>6.2585940913275415</v>
      </c>
      <c r="I422">
        <v>0</v>
      </c>
    </row>
    <row r="423" spans="2:9" x14ac:dyDescent="0.25">
      <c r="B423" s="2" t="str">
        <v>111-82-0, 124-10-7</v>
      </c>
      <c r="C423" s="2" t="str">
        <v>STEPAN C-42</v>
      </c>
      <c r="D423" s="2">
        <v>15.4</v>
      </c>
      <c r="E423" s="2">
        <v>3.2</v>
      </c>
      <c r="F423" s="2">
        <v>3.2</v>
      </c>
      <c r="G423" s="2" t="str">
        <v/>
      </c>
      <c r="H423" s="5">
        <v>6.2649820430708338</v>
      </c>
      <c r="I423">
        <v>0</v>
      </c>
    </row>
    <row r="424" spans="2:9" x14ac:dyDescent="0.25">
      <c r="B424" s="2" t="str">
        <v>105-57-7</v>
      </c>
      <c r="C424" s="2" t="str">
        <v>1,1-Diethoxy Ethane</v>
      </c>
      <c r="D424" s="2">
        <v>15</v>
      </c>
      <c r="E424" s="2">
        <v>3.4</v>
      </c>
      <c r="F424" s="2">
        <v>4</v>
      </c>
      <c r="G424" s="2" t="str">
        <v/>
      </c>
      <c r="H424" s="5">
        <v>6.2713634881100617</v>
      </c>
      <c r="I424">
        <v>0</v>
      </c>
    </row>
    <row r="425" spans="2:9" x14ac:dyDescent="0.25">
      <c r="B425" s="2" t="str">
        <v>693-65-2</v>
      </c>
      <c r="C425" s="2" t="str">
        <v>Di-n-Pentyl Ether</v>
      </c>
      <c r="D425" s="2">
        <v>15.6</v>
      </c>
      <c r="E425" s="2">
        <v>3.1</v>
      </c>
      <c r="F425" s="2">
        <v>3</v>
      </c>
      <c r="G425" s="2" t="str">
        <v/>
      </c>
      <c r="H425" s="5">
        <v>6.2737548565432499</v>
      </c>
      <c r="I425">
        <v>0</v>
      </c>
    </row>
    <row r="426" spans="2:9" x14ac:dyDescent="0.25">
      <c r="B426" s="2" t="str">
        <v>108-21-4</v>
      </c>
      <c r="C426" s="2" t="str">
        <v>Isopropyl Acetate</v>
      </c>
      <c r="D426" s="2">
        <v>14.9</v>
      </c>
      <c r="E426" s="2">
        <v>4.5</v>
      </c>
      <c r="F426" s="2">
        <v>8.1999999999999993</v>
      </c>
      <c r="G426" s="2" t="str">
        <v/>
      </c>
      <c r="H426" s="5">
        <v>6.2801273872430334</v>
      </c>
      <c r="I426">
        <v>0</v>
      </c>
    </row>
    <row r="427" spans="2:9" x14ac:dyDescent="0.25">
      <c r="B427" s="2" t="str">
        <v>111-55-7</v>
      </c>
      <c r="C427" s="2" t="str">
        <v>Ethylene Glycol Diacetate</v>
      </c>
      <c r="D427" s="2">
        <v>16.2</v>
      </c>
      <c r="E427" s="2">
        <v>4.7</v>
      </c>
      <c r="F427" s="2">
        <v>9.8000000000000007</v>
      </c>
      <c r="G427" s="2" t="str">
        <v/>
      </c>
      <c r="H427" s="5">
        <v>6.2992062992094491</v>
      </c>
      <c r="I427">
        <v>0</v>
      </c>
    </row>
    <row r="428" spans="2:9" x14ac:dyDescent="0.25">
      <c r="B428" s="2" t="str">
        <v>77-89-4</v>
      </c>
      <c r="C428" s="2" t="str">
        <v>Acetyl Triethyl Citrate</v>
      </c>
      <c r="D428" s="2">
        <v>16.600000000000001</v>
      </c>
      <c r="E428" s="2">
        <v>3.5</v>
      </c>
      <c r="F428" s="2">
        <v>8.6</v>
      </c>
      <c r="G428" s="2" t="str">
        <v/>
      </c>
      <c r="H428" s="5">
        <v>6.3245553203367573</v>
      </c>
      <c r="I428">
        <v>0</v>
      </c>
    </row>
    <row r="429" spans="2:9" x14ac:dyDescent="0.25">
      <c r="B429" s="2" t="str">
        <v>926-66-9</v>
      </c>
      <c r="C429" s="2" t="str">
        <v>Ethyl Isopropenyl Ether</v>
      </c>
      <c r="D429" s="2">
        <v>14.8</v>
      </c>
      <c r="E429" s="2">
        <v>3.5</v>
      </c>
      <c r="F429" s="2">
        <v>5.0999999999999996</v>
      </c>
      <c r="G429" s="2" t="str">
        <v/>
      </c>
      <c r="H429" s="5">
        <v>6.3253458403473877</v>
      </c>
      <c r="I429">
        <v>0</v>
      </c>
    </row>
    <row r="430" spans="2:9" x14ac:dyDescent="0.25">
      <c r="B430" s="2" t="str">
        <v>352-93-2</v>
      </c>
      <c r="C430" s="2" t="str">
        <v>Diethyl Sulfide</v>
      </c>
      <c r="D430" s="2">
        <v>16.8</v>
      </c>
      <c r="E430" s="2">
        <v>3.1</v>
      </c>
      <c r="F430" s="2">
        <v>2</v>
      </c>
      <c r="G430" s="2" t="str">
        <v/>
      </c>
      <c r="H430" s="5">
        <v>6.3655321851358195</v>
      </c>
      <c r="I430">
        <v>0</v>
      </c>
    </row>
    <row r="431" spans="2:9" x14ac:dyDescent="0.25">
      <c r="B431" s="2" t="str">
        <v>628-81-9</v>
      </c>
      <c r="C431" s="2" t="str">
        <v>Ethyl Butyl Ether</v>
      </c>
      <c r="D431" s="2">
        <v>14.5</v>
      </c>
      <c r="E431" s="2">
        <v>3.9</v>
      </c>
      <c r="F431" s="2">
        <v>4.7</v>
      </c>
      <c r="G431" s="2" t="str">
        <v/>
      </c>
      <c r="H431" s="5">
        <v>6.3851389961378304</v>
      </c>
      <c r="I431">
        <v>0</v>
      </c>
    </row>
    <row r="432" spans="2:9" x14ac:dyDescent="0.25">
      <c r="B432" s="2" t="str">
        <v>1717-00-6</v>
      </c>
      <c r="C432" s="2" t="str">
        <v>HCFC 141b</v>
      </c>
      <c r="D432" s="2">
        <v>15.7</v>
      </c>
      <c r="E432" s="2">
        <v>4</v>
      </c>
      <c r="F432" s="2">
        <v>1</v>
      </c>
      <c r="G432" s="2" t="str">
        <v/>
      </c>
      <c r="H432" s="5">
        <v>6.4288412641781729</v>
      </c>
      <c r="I432">
        <v>0</v>
      </c>
    </row>
    <row r="433" spans="2:9" x14ac:dyDescent="0.25">
      <c r="B433" s="2" t="str">
        <v>926-65-8</v>
      </c>
      <c r="C433" s="2" t="str">
        <v>Vinyl Isopropyl Ether</v>
      </c>
      <c r="D433" s="2">
        <v>14.7</v>
      </c>
      <c r="E433" s="2">
        <v>3.5</v>
      </c>
      <c r="F433" s="2">
        <v>5.2</v>
      </c>
      <c r="G433" s="2" t="str">
        <v/>
      </c>
      <c r="H433" s="5">
        <v>6.4436014774348065</v>
      </c>
      <c r="I433">
        <v>0</v>
      </c>
    </row>
    <row r="434" spans="2:9" x14ac:dyDescent="0.25">
      <c r="B434" s="2" t="str">
        <v>105-46-4</v>
      </c>
      <c r="C434" s="2" t="str">
        <v>sec-Butyl Acetate</v>
      </c>
      <c r="D434" s="2">
        <v>15</v>
      </c>
      <c r="E434" s="2">
        <v>3.7</v>
      </c>
      <c r="F434" s="2">
        <v>7.6</v>
      </c>
      <c r="G434" s="2">
        <v>134</v>
      </c>
      <c r="H434" s="5">
        <v>6.4807406984078604</v>
      </c>
      <c r="I434">
        <v>0</v>
      </c>
    </row>
    <row r="435" spans="2:9" x14ac:dyDescent="0.25">
      <c r="B435" s="2" t="str">
        <v>112-53-8</v>
      </c>
      <c r="C435" s="2" t="str">
        <v>Dodecanol</v>
      </c>
      <c r="D435" s="2">
        <v>16</v>
      </c>
      <c r="E435" s="2">
        <v>4</v>
      </c>
      <c r="F435" s="2">
        <v>9.3000000000000007</v>
      </c>
      <c r="G435" s="2" t="str">
        <v/>
      </c>
      <c r="H435" s="5">
        <v>6.4822835482567411</v>
      </c>
      <c r="I435">
        <v>0</v>
      </c>
    </row>
    <row r="436" spans="2:9" x14ac:dyDescent="0.25">
      <c r="B436" s="2" t="str">
        <v>5131-66-8</v>
      </c>
      <c r="C436" s="2" t="str">
        <v>Propylene Glycol Monobutyl Ether</v>
      </c>
      <c r="D436" s="2">
        <v>15.3</v>
      </c>
      <c r="E436" s="2">
        <v>4.5</v>
      </c>
      <c r="F436" s="2">
        <v>9.1999999999999993</v>
      </c>
      <c r="G436" s="2">
        <v>132</v>
      </c>
      <c r="H436" s="5">
        <v>6.4838260309789302</v>
      </c>
      <c r="I436">
        <v>0</v>
      </c>
    </row>
    <row r="437" spans="2:9" x14ac:dyDescent="0.25">
      <c r="B437" s="2" t="str">
        <v>123-92-2</v>
      </c>
      <c r="C437" s="2" t="str">
        <v>Isoamyl Acetate</v>
      </c>
      <c r="D437" s="2">
        <v>15.3</v>
      </c>
      <c r="E437" s="2">
        <v>3.1</v>
      </c>
      <c r="F437" s="2">
        <v>7</v>
      </c>
      <c r="G437" s="2" t="str">
        <v/>
      </c>
      <c r="H437" s="5">
        <v>6.4899922958351812</v>
      </c>
      <c r="I437">
        <v>0</v>
      </c>
    </row>
    <row r="438" spans="2:9" x14ac:dyDescent="0.25">
      <c r="B438" s="2" t="str">
        <v>108-84-9</v>
      </c>
      <c r="C438" s="2" t="str">
        <v>Methyl Amyl Acetate</v>
      </c>
      <c r="D438" s="2">
        <v>15.2</v>
      </c>
      <c r="E438" s="2">
        <v>3.1</v>
      </c>
      <c r="F438" s="2">
        <v>6.8</v>
      </c>
      <c r="G438" s="2" t="str">
        <v/>
      </c>
      <c r="H438" s="5">
        <v>6.514598989960934</v>
      </c>
      <c r="I438">
        <v>0</v>
      </c>
    </row>
    <row r="439" spans="2:9" x14ac:dyDescent="0.25">
      <c r="B439" s="2" t="str">
        <v>111-43-3</v>
      </c>
      <c r="C439" s="2" t="str">
        <v>Di-n-Propyl Ether</v>
      </c>
      <c r="D439" s="2">
        <v>15.1</v>
      </c>
      <c r="E439" s="2">
        <v>3.2</v>
      </c>
      <c r="F439" s="2">
        <v>3.2</v>
      </c>
      <c r="G439" s="2" t="str">
        <v/>
      </c>
      <c r="H439" s="5">
        <v>6.5184353950929061</v>
      </c>
      <c r="I439">
        <v>0</v>
      </c>
    </row>
    <row r="440" spans="2:9" x14ac:dyDescent="0.25">
      <c r="B440" s="2" t="str">
        <v>108-20-3</v>
      </c>
      <c r="C440" s="2" t="str">
        <v>Isopropyl Ether</v>
      </c>
      <c r="D440" s="2">
        <v>15.1</v>
      </c>
      <c r="E440" s="2">
        <v>3.2</v>
      </c>
      <c r="F440" s="2">
        <v>3.2</v>
      </c>
      <c r="G440" s="2" t="str">
        <v/>
      </c>
      <c r="H440" s="5">
        <v>6.5184353950929061</v>
      </c>
      <c r="I440">
        <v>0</v>
      </c>
    </row>
    <row r="441" spans="2:9" x14ac:dyDescent="0.25">
      <c r="B441" s="2" t="str">
        <v>124-07-2</v>
      </c>
      <c r="C441" s="2" t="str">
        <v>Octanoic Acid</v>
      </c>
      <c r="D441" s="2">
        <v>15.7</v>
      </c>
      <c r="E441" s="2">
        <v>3.3</v>
      </c>
      <c r="F441" s="2">
        <v>8.1999999999999993</v>
      </c>
      <c r="G441" s="2" t="str">
        <v/>
      </c>
      <c r="H441" s="5">
        <v>6.5299310869258029</v>
      </c>
      <c r="I441">
        <v>0</v>
      </c>
    </row>
    <row r="442" spans="2:9" x14ac:dyDescent="0.25">
      <c r="B442" s="2" t="str">
        <v>4439-24-1</v>
      </c>
      <c r="C442" s="2" t="str">
        <v>Ethylene Glycol Monoisobutyl Ether</v>
      </c>
      <c r="D442" s="2">
        <v>15.2</v>
      </c>
      <c r="E442" s="2">
        <v>4.9000000000000004</v>
      </c>
      <c r="F442" s="2">
        <v>9.6</v>
      </c>
      <c r="G442" s="2" t="str">
        <v/>
      </c>
      <c r="H442" s="5">
        <v>6.5909028213136329</v>
      </c>
      <c r="I442">
        <v>0</v>
      </c>
    </row>
    <row r="443" spans="2:9" x14ac:dyDescent="0.25">
      <c r="B443" s="2" t="str">
        <v>503-17-3</v>
      </c>
      <c r="C443" s="2" t="str">
        <v>Dimethyl Acetylene</v>
      </c>
      <c r="D443" s="2">
        <v>15.1</v>
      </c>
      <c r="E443" s="2">
        <v>3.4</v>
      </c>
      <c r="F443" s="2">
        <v>7.6</v>
      </c>
      <c r="G443" s="2" t="str">
        <v/>
      </c>
      <c r="H443" s="5">
        <v>6.621933252457322</v>
      </c>
      <c r="I443">
        <v>0</v>
      </c>
    </row>
    <row r="444" spans="2:9" x14ac:dyDescent="0.25">
      <c r="B444" s="2" t="str">
        <v>14272-48-1</v>
      </c>
      <c r="C444" s="2" t="str">
        <v>Ethoxyethyl Propionate</v>
      </c>
      <c r="D444" s="2">
        <v>16.2</v>
      </c>
      <c r="E444" s="2">
        <v>3.3</v>
      </c>
      <c r="F444" s="2">
        <v>8.8000000000000007</v>
      </c>
      <c r="G444" s="2" t="str">
        <v/>
      </c>
      <c r="H444" s="5">
        <v>6.6513156593263565</v>
      </c>
      <c r="I444">
        <v>0</v>
      </c>
    </row>
    <row r="445" spans="2:9" x14ac:dyDescent="0.25">
      <c r="B445" s="2" t="str">
        <v>5274-66-8</v>
      </c>
      <c r="C445" s="2" t="str">
        <v>Triethylene Glycol Monooleyl Ether</v>
      </c>
      <c r="D445" s="2">
        <v>16</v>
      </c>
      <c r="E445" s="2">
        <v>3.1</v>
      </c>
      <c r="F445" s="2">
        <v>8.4</v>
      </c>
      <c r="G445" s="2" t="str">
        <v/>
      </c>
      <c r="H445" s="5">
        <v>6.6603303221386856</v>
      </c>
      <c r="I445">
        <v>0</v>
      </c>
    </row>
    <row r="446" spans="2:9" x14ac:dyDescent="0.25">
      <c r="B446" s="2" t="str">
        <v>123-95-5</v>
      </c>
      <c r="C446" s="2" t="str">
        <v>Butyl Stearate</v>
      </c>
      <c r="D446" s="2">
        <v>14.5</v>
      </c>
      <c r="E446" s="2">
        <v>3.7</v>
      </c>
      <c r="F446" s="2">
        <v>3.5</v>
      </c>
      <c r="G446" s="2" t="str">
        <v/>
      </c>
      <c r="H446" s="5">
        <v>6.7000000000000011</v>
      </c>
      <c r="I446">
        <v>0</v>
      </c>
    </row>
    <row r="447" spans="2:9" x14ac:dyDescent="0.25">
      <c r="B447" s="2" t="str">
        <v>26547-47-7</v>
      </c>
      <c r="C447" s="2" t="str">
        <v>Ethylene Glycol Di-t-Butyl Ether</v>
      </c>
      <c r="D447" s="2">
        <v>14.7</v>
      </c>
      <c r="E447" s="2">
        <v>4.0999999999999996</v>
      </c>
      <c r="F447" s="2">
        <v>8.1999999999999993</v>
      </c>
      <c r="G447" s="2" t="str">
        <v/>
      </c>
      <c r="H447" s="5">
        <v>6.7705243519243048</v>
      </c>
      <c r="I447">
        <v>0</v>
      </c>
    </row>
    <row r="448" spans="2:9" x14ac:dyDescent="0.25">
      <c r="B448" s="2" t="str">
        <v>381-61-3</v>
      </c>
      <c r="C448" s="2" t="str">
        <v>Fluoroprene</v>
      </c>
      <c r="D448" s="2">
        <v>14.2</v>
      </c>
      <c r="E448" s="2">
        <v>5.8</v>
      </c>
      <c r="F448" s="2">
        <v>1</v>
      </c>
      <c r="G448" s="2" t="str">
        <v/>
      </c>
      <c r="H448" s="5">
        <v>6.8883960397178123</v>
      </c>
      <c r="I448">
        <v>0</v>
      </c>
    </row>
    <row r="449" spans="2:9" x14ac:dyDescent="0.25">
      <c r="B449" s="2" t="str">
        <v>112-70-9</v>
      </c>
      <c r="C449" s="2" t="str">
        <v>Tridecyl Alcohol</v>
      </c>
      <c r="D449" s="2">
        <v>16.2</v>
      </c>
      <c r="E449" s="2">
        <v>3.1</v>
      </c>
      <c r="F449" s="2">
        <v>9</v>
      </c>
      <c r="G449" s="2" t="str">
        <v/>
      </c>
      <c r="H449" s="5">
        <v>6.9282032302755088</v>
      </c>
      <c r="I449">
        <v>0</v>
      </c>
    </row>
    <row r="450" spans="2:9" x14ac:dyDescent="0.25">
      <c r="B450" s="2" t="str">
        <v>23436-19-3</v>
      </c>
      <c r="C450" s="2" t="str">
        <v>Propylene Glycol Monoisobutyl Ether</v>
      </c>
      <c r="D450" s="2">
        <v>15.1</v>
      </c>
      <c r="E450" s="2">
        <v>4.7</v>
      </c>
      <c r="F450" s="2">
        <v>9.8000000000000007</v>
      </c>
      <c r="G450" s="2" t="str">
        <v/>
      </c>
      <c r="H450" s="5">
        <v>6.9310893804653837</v>
      </c>
      <c r="I450">
        <v>0</v>
      </c>
    </row>
    <row r="451" spans="2:9" x14ac:dyDescent="0.25">
      <c r="B451" s="2" t="str">
        <v>25134-01-4</v>
      </c>
      <c r="C451" s="2" t="str">
        <v>Polyphenyleneoxide (PPO)</v>
      </c>
      <c r="D451" s="2">
        <v>17.899999999999999</v>
      </c>
      <c r="E451" s="2">
        <v>3.1</v>
      </c>
      <c r="F451" s="2">
        <v>8.5</v>
      </c>
      <c r="G451" s="2" t="str">
        <v/>
      </c>
      <c r="H451" s="5">
        <v>7.0971825395715991</v>
      </c>
      <c r="I451">
        <v>8</v>
      </c>
    </row>
    <row r="452" spans="2:9" x14ac:dyDescent="0.25">
      <c r="B452" s="2" t="str">
        <v>10025-78-2</v>
      </c>
      <c r="C452" s="2" t="str">
        <v>Trichlorosilane</v>
      </c>
      <c r="D452" s="2">
        <v>14.2</v>
      </c>
      <c r="E452" s="2">
        <v>3.6</v>
      </c>
      <c r="F452" s="2">
        <v>3.8</v>
      </c>
      <c r="G452" s="2" t="str">
        <v/>
      </c>
      <c r="H452" s="5">
        <v>7.1056315693962091</v>
      </c>
      <c r="I452">
        <v>0</v>
      </c>
    </row>
    <row r="453" spans="2:9" x14ac:dyDescent="0.25">
      <c r="B453" s="2" t="str">
        <v>74-99-7</v>
      </c>
      <c r="C453" s="2" t="str">
        <v>Methyl Acetylene</v>
      </c>
      <c r="D453" s="2">
        <v>15.1</v>
      </c>
      <c r="E453" s="2">
        <v>3.8</v>
      </c>
      <c r="F453" s="2">
        <v>9.1999999999999993</v>
      </c>
      <c r="G453" s="2" t="str">
        <v/>
      </c>
      <c r="H453" s="5">
        <v>7.1168813394632355</v>
      </c>
      <c r="I453">
        <v>0</v>
      </c>
    </row>
    <row r="454" spans="2:9" x14ac:dyDescent="0.25">
      <c r="B454" s="2" t="str">
        <v>NA</v>
      </c>
      <c r="C454" s="2" t="str">
        <v>Hexafluorohexanol</v>
      </c>
      <c r="D454" s="2">
        <v>15.1</v>
      </c>
      <c r="E454" s="2">
        <v>4.4000000000000004</v>
      </c>
      <c r="F454" s="2">
        <v>9.9</v>
      </c>
      <c r="G454" s="2" t="str">
        <v/>
      </c>
      <c r="H454" s="5">
        <v>7.1763500472036625</v>
      </c>
      <c r="I454">
        <v>0</v>
      </c>
    </row>
    <row r="455" spans="2:9" x14ac:dyDescent="0.25">
      <c r="B455" s="2" t="str">
        <v>75-50-3</v>
      </c>
      <c r="C455" s="2" t="str">
        <v>Trimethyl Amine</v>
      </c>
      <c r="D455" s="2">
        <v>14.6</v>
      </c>
      <c r="E455" s="2">
        <v>3.4</v>
      </c>
      <c r="F455" s="2">
        <v>1.8</v>
      </c>
      <c r="G455" s="2" t="str">
        <v/>
      </c>
      <c r="H455" s="5">
        <v>7.370888684548154</v>
      </c>
      <c r="I455">
        <v>0</v>
      </c>
    </row>
    <row r="456" spans="2:9" x14ac:dyDescent="0.25">
      <c r="B456" s="2" t="str">
        <v>422-56-0</v>
      </c>
      <c r="C456" s="2" t="str">
        <v>HCFC 225ca</v>
      </c>
      <c r="D456" s="2">
        <v>14.9</v>
      </c>
      <c r="E456" s="2">
        <v>3.5</v>
      </c>
      <c r="F456" s="2">
        <v>1</v>
      </c>
      <c r="G456" s="2" t="str">
        <v/>
      </c>
      <c r="H456" s="5">
        <v>7.3891812807644666</v>
      </c>
      <c r="I456">
        <v>0</v>
      </c>
    </row>
    <row r="457" spans="2:9" x14ac:dyDescent="0.25">
      <c r="B457" s="2" t="str">
        <v>NA</v>
      </c>
      <c r="C457" s="2" t="str">
        <v>HCFC-225ca:cb (45:55)</v>
      </c>
      <c r="D457" s="2">
        <v>14.1</v>
      </c>
      <c r="E457" s="2">
        <v>3.2</v>
      </c>
      <c r="F457" s="2">
        <v>1</v>
      </c>
      <c r="G457" s="2" t="str">
        <v/>
      </c>
      <c r="H457" s="5">
        <v>8.4409715080670686</v>
      </c>
      <c r="I457">
        <v>0</v>
      </c>
    </row>
  </sheetData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F9334AE8-8659-469E-89B5-B105152EF9FC}">
            <x14:iconSet iconSet="3Symbols2" custom="1">
              <x14:cfvo type="percent">
                <xm:f>0</xm:f>
              </x14:cfvo>
              <x14:cfvo type="num">
                <xm:f>4</xm:f>
              </x14:cfvo>
              <x14:cfvo type="num">
                <xm:f>8</xm:f>
              </x14:cfvo>
              <x14:cfIcon iconSet="3Symbols2" iconId="2"/>
              <x14:cfIcon iconSet="3Symbols2" iconId="1"/>
              <x14:cfIcon iconSet="3Symbols2" iconId="0"/>
            </x14:iconSet>
          </x14:cfRule>
          <xm:sqref>H1:H1048576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304C04EFDD9D4D8C2B137BFA5E11A3" ma:contentTypeVersion="12" ma:contentTypeDescription="Create a new document." ma:contentTypeScope="" ma:versionID="2ec1993abfc699d4c24c3743b275bd57">
  <xsd:schema xmlns:xsd="http://www.w3.org/2001/XMLSchema" xmlns:xs="http://www.w3.org/2001/XMLSchema" xmlns:p="http://schemas.microsoft.com/office/2006/metadata/properties" xmlns:ns2="f823125b-d2d2-4d50-973b-cfaa27a6a443" xmlns:ns3="bc2ddc24-b91e-44a1-b8fc-f908258cc062" targetNamespace="http://schemas.microsoft.com/office/2006/metadata/properties" ma:root="true" ma:fieldsID="e02b5f210baf327430f455f40a776169" ns2:_="" ns3:_="">
    <xsd:import namespace="f823125b-d2d2-4d50-973b-cfaa27a6a443"/>
    <xsd:import namespace="bc2ddc24-b91e-44a1-b8fc-f908258cc06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3125b-d2d2-4d50-973b-cfaa27a6a4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1aabcb2b-4680-45b9-9b6f-af8616fb2d8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2ddc24-b91e-44a1-b8fc-f908258cc062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dbe697cc-e33d-4c1e-b72f-7db9b38bd47f}" ma:internalName="TaxCatchAll" ma:showField="CatchAllData" ma:web="bc2ddc24-b91e-44a1-b8fc-f908258cc06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3125b-d2d2-4d50-973b-cfaa27a6a443">
      <Terms xmlns="http://schemas.microsoft.com/office/infopath/2007/PartnerControls"/>
    </lcf76f155ced4ddcb4097134ff3c332f>
    <TaxCatchAll xmlns="bc2ddc24-b91e-44a1-b8fc-f908258cc062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3AD4CAA-F51F-49AB-8300-42542A99B6F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3125b-d2d2-4d50-973b-cfaa27a6a443"/>
    <ds:schemaRef ds:uri="bc2ddc24-b91e-44a1-b8fc-f908258cc06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BFF87D0-76B7-4676-9D9F-149810E297B0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78CCC5D3-8500-4821-961E-62A3EB1E40B2}">
  <ds:schemaRefs>
    <ds:schemaRef ds:uri="http://schemas.microsoft.com/office/2006/metadata/properties"/>
    <ds:schemaRef ds:uri="http://schemas.microsoft.com/office/infopath/2007/PartnerControls"/>
    <ds:schemaRef ds:uri="f823125b-d2d2-4d50-973b-cfaa27a6a443"/>
    <ds:schemaRef ds:uri="bc2ddc24-b91e-44a1-b8fc-f908258cc062"/>
  </ds:schemaRefs>
</ds:datastoreItem>
</file>

<file path=customXml/itemProps4.xml><?xml version="1.0" encoding="utf-8"?>
<ds:datastoreItem xmlns:ds="http://schemas.openxmlformats.org/officeDocument/2006/customXml" ds:itemID="{68E10D85-84AE-403D-BCF7-CE98F88D13D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17</vt:i4>
      </vt:variant>
    </vt:vector>
  </HeadingPairs>
  <TitlesOfParts>
    <vt:vector size="23" baseType="lpstr">
      <vt:lpstr>HSP Calcs</vt:lpstr>
      <vt:lpstr>Chemicals</vt:lpstr>
      <vt:lpstr>HSP 1 Sphere</vt:lpstr>
      <vt:lpstr>HSP 2 Spheres</vt:lpstr>
      <vt:lpstr>HSP Solvent Blends and Chi</vt:lpstr>
      <vt:lpstr>Find a similar substance</vt:lpstr>
      <vt:lpstr>Chemicals</vt:lpstr>
      <vt:lpstr>'HSP 2 Spheres'!dD</vt:lpstr>
      <vt:lpstr>'HSP Solvent Blends and Chi'!dD</vt:lpstr>
      <vt:lpstr>dD</vt:lpstr>
      <vt:lpstr>'HSP 2 Spheres'!dH</vt:lpstr>
      <vt:lpstr>'HSP Solvent Blends and Chi'!dH</vt:lpstr>
      <vt:lpstr>dH</vt:lpstr>
      <vt:lpstr>Distance</vt:lpstr>
      <vt:lpstr>'HSP 2 Spheres'!dP</vt:lpstr>
      <vt:lpstr>'HSP Solvent Blends and Chi'!dP</vt:lpstr>
      <vt:lpstr>dP</vt:lpstr>
      <vt:lpstr>MVolChi</vt:lpstr>
      <vt:lpstr>'HSP 2 Spheres'!R_</vt:lpstr>
      <vt:lpstr>'HSP Solvent Blends and Chi'!R_</vt:lpstr>
      <vt:lpstr>R_</vt:lpstr>
      <vt:lpstr>RT</vt:lpstr>
      <vt:lpstr>Temperature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</dc:creator>
  <cp:lastModifiedBy>LAI Christin</cp:lastModifiedBy>
  <cp:lastPrinted>2021-08-04T10:57:12Z</cp:lastPrinted>
  <dcterms:created xsi:type="dcterms:W3CDTF">2011-08-17T19:19:51Z</dcterms:created>
  <dcterms:modified xsi:type="dcterms:W3CDTF">2024-05-21T20:09:24Z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0x010100B9304C04EFDD9D4D8C2B137BFA5E11A3</vt:lpwstr>
  </property>
  <property fmtid="{D5CDD505-2E9C-101B-9397-08002B2CF9AE}" pid="3" name="MSIP_Label_edaa6760-dc32-42b1-9af8-b6b7dd0c31e7_Enabled">
    <vt:lpwstr>true</vt:lpwstr>
  </property>
  <property fmtid="{D5CDD505-2E9C-101B-9397-08002B2CF9AE}" pid="4" name="MSIP_Label_edaa6760-dc32-42b1-9af8-b6b7dd0c31e7_SetDate">
    <vt:lpwstr>2024-05-21T20:09:13Z</vt:lpwstr>
  </property>
  <property fmtid="{D5CDD505-2E9C-101B-9397-08002B2CF9AE}" pid="5" name="MSIP_Label_edaa6760-dc32-42b1-9af8-b6b7dd0c31e7_Method">
    <vt:lpwstr>Standard</vt:lpwstr>
  </property>
  <property fmtid="{D5CDD505-2E9C-101B-9397-08002B2CF9AE}" pid="6" name="MSIP_Label_edaa6760-dc32-42b1-9af8-b6b7dd0c31e7_Name">
    <vt:lpwstr>Internal EA</vt:lpwstr>
  </property>
  <property fmtid="{D5CDD505-2E9C-101B-9397-08002B2CF9AE}" pid="7" name="MSIP_Label_edaa6760-dc32-42b1-9af8-b6b7dd0c31e7_SiteId">
    <vt:lpwstr>9fdb1b0c-e154-4e66-9ecb-b70f283e1e71</vt:lpwstr>
  </property>
  <property fmtid="{D5CDD505-2E9C-101B-9397-08002B2CF9AE}" pid="8" name="MSIP_Label_edaa6760-dc32-42b1-9af8-b6b7dd0c31e7_ActionId">
    <vt:lpwstr>d63d6321-b6c2-4497-b65d-2c3b331cc8c6</vt:lpwstr>
  </property>
  <property fmtid="{D5CDD505-2E9C-101B-9397-08002B2CF9AE}" pid="9" name="MSIP_Label_edaa6760-dc32-42b1-9af8-b6b7dd0c31e7_ContentBits">
    <vt:lpwstr>0</vt:lpwstr>
  </property>
  <property fmtid="{D5CDD505-2E9C-101B-9397-08002B2CF9AE}" pid="10" name="MediaServiceImageTags">
    <vt:lpwstr/>
  </property>
</Properties>
</file>