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rudy1\Downloads\"/>
    </mc:Choice>
  </mc:AlternateContent>
  <xr:revisionPtr revIDLastSave="0" documentId="13_ncr:1_{C789ADC5-0ADE-4989-A88B-A267461F6579}" xr6:coauthVersionLast="47" xr6:coauthVersionMax="47" xr10:uidLastSave="{00000000-0000-0000-0000-000000000000}"/>
  <bookViews>
    <workbookView xWindow="-110" yWindow="-110" windowWidth="19420" windowHeight="10420" activeTab="1" xr2:uid="{00000000-000D-0000-FFFF-FFFF00000000}"/>
  </bookViews>
  <sheets>
    <sheet name="Theory" sheetId="1" r:id="rId1"/>
    <sheet name="HSP" sheetId="2" r:id="rId2"/>
    <sheet name="API + Cosmetic Actives" sheetId="3" r:id="rId3"/>
    <sheet name="Cosmetics" sheetId="6" r:id="rId4"/>
    <sheet name="Fatty esters" sheetId="5" r:id="rId5"/>
    <sheet name="Fragrances" sheetId="7" r:id="rId6"/>
    <sheet name="Particles" sheetId="8" r:id="rId7"/>
    <sheet name="Polymers" sheetId="9" r:id="rId8"/>
    <sheet name="Surfactants"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hCuRh8pGxi3gjpn1+JmFViQa33lA=="/>
    </ext>
  </extLst>
</workbook>
</file>

<file path=xl/calcChain.xml><?xml version="1.0" encoding="utf-8"?>
<calcChain xmlns="http://schemas.openxmlformats.org/spreadsheetml/2006/main">
  <c r="R87" i="10" l="1"/>
  <c r="L87" i="10"/>
  <c r="V87" i="10" s="1"/>
  <c r="K87" i="10"/>
  <c r="U87" i="10" s="1"/>
  <c r="J87" i="10"/>
  <c r="T87" i="10" s="1"/>
  <c r="I87" i="10"/>
  <c r="S87" i="10" s="1"/>
  <c r="H87" i="10"/>
  <c r="S86" i="10"/>
  <c r="L86" i="10"/>
  <c r="V86" i="10" s="1"/>
  <c r="K86" i="10"/>
  <c r="U86" i="10" s="1"/>
  <c r="J86" i="10"/>
  <c r="T86" i="10" s="1"/>
  <c r="I86" i="10"/>
  <c r="H86" i="10"/>
  <c r="R86" i="10" s="1"/>
  <c r="U85" i="10"/>
  <c r="L85" i="10"/>
  <c r="V85" i="10" s="1"/>
  <c r="K85" i="10"/>
  <c r="J85" i="10"/>
  <c r="T85" i="10" s="1"/>
  <c r="I85" i="10"/>
  <c r="S85" i="10" s="1"/>
  <c r="H85" i="10"/>
  <c r="R85" i="10" s="1"/>
  <c r="L84" i="10"/>
  <c r="V84" i="10" s="1"/>
  <c r="K84" i="10"/>
  <c r="U84" i="10" s="1"/>
  <c r="J84" i="10"/>
  <c r="T84" i="10" s="1"/>
  <c r="I84" i="10"/>
  <c r="S84" i="10" s="1"/>
  <c r="H84" i="10"/>
  <c r="R84" i="10" s="1"/>
  <c r="R83" i="10"/>
  <c r="L83" i="10"/>
  <c r="V83" i="10" s="1"/>
  <c r="K83" i="10"/>
  <c r="U83" i="10" s="1"/>
  <c r="J83" i="10"/>
  <c r="T83" i="10" s="1"/>
  <c r="I83" i="10"/>
  <c r="S83" i="10" s="1"/>
  <c r="H83" i="10"/>
  <c r="S82" i="10"/>
  <c r="L82" i="10"/>
  <c r="V82" i="10" s="1"/>
  <c r="K82" i="10"/>
  <c r="U82" i="10" s="1"/>
  <c r="J82" i="10"/>
  <c r="T82" i="10" s="1"/>
  <c r="I82" i="10"/>
  <c r="H82" i="10"/>
  <c r="R82" i="10" s="1"/>
  <c r="U81" i="10"/>
  <c r="L81" i="10"/>
  <c r="V81" i="10" s="1"/>
  <c r="K81" i="10"/>
  <c r="J81" i="10"/>
  <c r="T81" i="10" s="1"/>
  <c r="I81" i="10"/>
  <c r="S81" i="10" s="1"/>
  <c r="H81" i="10"/>
  <c r="R81" i="10" s="1"/>
  <c r="L80" i="10"/>
  <c r="V80" i="10" s="1"/>
  <c r="K80" i="10"/>
  <c r="U80" i="10" s="1"/>
  <c r="J80" i="10"/>
  <c r="T80" i="10" s="1"/>
  <c r="I80" i="10"/>
  <c r="S80" i="10" s="1"/>
  <c r="H80" i="10"/>
  <c r="R80" i="10" s="1"/>
  <c r="R79" i="10"/>
  <c r="L79" i="10"/>
  <c r="V79" i="10" s="1"/>
  <c r="K79" i="10"/>
  <c r="U79" i="10" s="1"/>
  <c r="J79" i="10"/>
  <c r="T79" i="10" s="1"/>
  <c r="I79" i="10"/>
  <c r="S79" i="10" s="1"/>
  <c r="H79" i="10"/>
  <c r="S78" i="10"/>
  <c r="L78" i="10"/>
  <c r="V78" i="10" s="1"/>
  <c r="K78" i="10"/>
  <c r="U78" i="10" s="1"/>
  <c r="J78" i="10"/>
  <c r="T78" i="10" s="1"/>
  <c r="I78" i="10"/>
  <c r="H78" i="10"/>
  <c r="R78" i="10" s="1"/>
  <c r="U77" i="10"/>
  <c r="L77" i="10"/>
  <c r="V77" i="10" s="1"/>
  <c r="K77" i="10"/>
  <c r="J77" i="10"/>
  <c r="T77" i="10" s="1"/>
  <c r="I77" i="10"/>
  <c r="S77" i="10" s="1"/>
  <c r="H77" i="10"/>
  <c r="R77" i="10" s="1"/>
  <c r="L76" i="10"/>
  <c r="V76" i="10" s="1"/>
  <c r="K76" i="10"/>
  <c r="U76" i="10" s="1"/>
  <c r="J76" i="10"/>
  <c r="T76" i="10" s="1"/>
  <c r="I76" i="10"/>
  <c r="S76" i="10" s="1"/>
  <c r="H76" i="10"/>
  <c r="R76" i="10" s="1"/>
  <c r="R75" i="10"/>
  <c r="L75" i="10"/>
  <c r="V75" i="10" s="1"/>
  <c r="K75" i="10"/>
  <c r="U75" i="10" s="1"/>
  <c r="J75" i="10"/>
  <c r="T75" i="10" s="1"/>
  <c r="I75" i="10"/>
  <c r="S75" i="10" s="1"/>
  <c r="H75" i="10"/>
  <c r="S74" i="10"/>
  <c r="L74" i="10"/>
  <c r="V74" i="10" s="1"/>
  <c r="K74" i="10"/>
  <c r="U74" i="10" s="1"/>
  <c r="J74" i="10"/>
  <c r="T74" i="10" s="1"/>
  <c r="I74" i="10"/>
  <c r="H74" i="10"/>
  <c r="R74" i="10" s="1"/>
  <c r="U73" i="10"/>
  <c r="L73" i="10"/>
  <c r="V73" i="10" s="1"/>
  <c r="K73" i="10"/>
  <c r="J73" i="10"/>
  <c r="T73" i="10" s="1"/>
  <c r="I73" i="10"/>
  <c r="S73" i="10" s="1"/>
  <c r="H73" i="10"/>
  <c r="R73" i="10" s="1"/>
  <c r="L72" i="10"/>
  <c r="V72" i="10" s="1"/>
  <c r="K72" i="10"/>
  <c r="U72" i="10" s="1"/>
  <c r="J72" i="10"/>
  <c r="T72" i="10" s="1"/>
  <c r="I72" i="10"/>
  <c r="S72" i="10" s="1"/>
  <c r="H72" i="10"/>
  <c r="R72" i="10" s="1"/>
  <c r="R71" i="10"/>
  <c r="L71" i="10"/>
  <c r="V71" i="10" s="1"/>
  <c r="K71" i="10"/>
  <c r="U71" i="10" s="1"/>
  <c r="J71" i="10"/>
  <c r="T71" i="10" s="1"/>
  <c r="I71" i="10"/>
  <c r="S71" i="10" s="1"/>
  <c r="H71" i="10"/>
  <c r="S70" i="10"/>
  <c r="L70" i="10"/>
  <c r="V70" i="10" s="1"/>
  <c r="K70" i="10"/>
  <c r="U70" i="10" s="1"/>
  <c r="J70" i="10"/>
  <c r="T70" i="10" s="1"/>
  <c r="I70" i="10"/>
  <c r="H70" i="10"/>
  <c r="R70" i="10" s="1"/>
  <c r="U69" i="10"/>
  <c r="L69" i="10"/>
  <c r="V69" i="10" s="1"/>
  <c r="K69" i="10"/>
  <c r="J69" i="10"/>
  <c r="T69" i="10" s="1"/>
  <c r="I69" i="10"/>
  <c r="S69" i="10" s="1"/>
  <c r="H69" i="10"/>
  <c r="R69" i="10" s="1"/>
  <c r="L68" i="10"/>
  <c r="V68" i="10" s="1"/>
  <c r="K68" i="10"/>
  <c r="U68" i="10" s="1"/>
  <c r="J68" i="10"/>
  <c r="T68" i="10" s="1"/>
  <c r="I68" i="10"/>
  <c r="S68" i="10" s="1"/>
  <c r="H68" i="10"/>
  <c r="R68" i="10" s="1"/>
  <c r="R67" i="10"/>
  <c r="L67" i="10"/>
  <c r="V67" i="10" s="1"/>
  <c r="K67" i="10"/>
  <c r="U67" i="10" s="1"/>
  <c r="J67" i="10"/>
  <c r="T67" i="10" s="1"/>
  <c r="I67" i="10"/>
  <c r="S67" i="10" s="1"/>
  <c r="H67" i="10"/>
  <c r="S66" i="10"/>
  <c r="L66" i="10"/>
  <c r="V66" i="10" s="1"/>
  <c r="K66" i="10"/>
  <c r="U66" i="10" s="1"/>
  <c r="J66" i="10"/>
  <c r="T66" i="10" s="1"/>
  <c r="I66" i="10"/>
  <c r="H66" i="10"/>
  <c r="R66" i="10" s="1"/>
  <c r="L65" i="10"/>
  <c r="V65" i="10" s="1"/>
  <c r="K65" i="10"/>
  <c r="U65" i="10" s="1"/>
  <c r="J65" i="10"/>
  <c r="T65" i="10" s="1"/>
  <c r="I65" i="10"/>
  <c r="S65" i="10" s="1"/>
  <c r="H65" i="10"/>
  <c r="R65" i="10" s="1"/>
  <c r="L64" i="10"/>
  <c r="V64" i="10" s="1"/>
  <c r="K64" i="10"/>
  <c r="U64" i="10" s="1"/>
  <c r="J64" i="10"/>
  <c r="T64" i="10" s="1"/>
  <c r="I64" i="10"/>
  <c r="S64" i="10" s="1"/>
  <c r="H64" i="10"/>
  <c r="R64" i="10" s="1"/>
  <c r="R63" i="10"/>
  <c r="L63" i="10"/>
  <c r="V63" i="10" s="1"/>
  <c r="K63" i="10"/>
  <c r="U63" i="10" s="1"/>
  <c r="J63" i="10"/>
  <c r="T63" i="10" s="1"/>
  <c r="I63" i="10"/>
  <c r="S63" i="10" s="1"/>
  <c r="H63" i="10"/>
  <c r="S62" i="10"/>
  <c r="L62" i="10"/>
  <c r="V62" i="10" s="1"/>
  <c r="K62" i="10"/>
  <c r="U62" i="10" s="1"/>
  <c r="J62" i="10"/>
  <c r="T62" i="10" s="1"/>
  <c r="I62" i="10"/>
  <c r="H62" i="10"/>
  <c r="R62" i="10" s="1"/>
  <c r="L61" i="10"/>
  <c r="V61" i="10" s="1"/>
  <c r="K61" i="10"/>
  <c r="U61" i="10" s="1"/>
  <c r="J61" i="10"/>
  <c r="T61" i="10" s="1"/>
  <c r="I61" i="10"/>
  <c r="S61" i="10" s="1"/>
  <c r="H61" i="10"/>
  <c r="R61" i="10" s="1"/>
  <c r="L60" i="10"/>
  <c r="V60" i="10" s="1"/>
  <c r="K60" i="10"/>
  <c r="U60" i="10" s="1"/>
  <c r="J60" i="10"/>
  <c r="T60" i="10" s="1"/>
  <c r="I60" i="10"/>
  <c r="S60" i="10" s="1"/>
  <c r="H60" i="10"/>
  <c r="R60" i="10" s="1"/>
  <c r="U59" i="10"/>
  <c r="R59" i="10"/>
  <c r="L59" i="10"/>
  <c r="V59" i="10" s="1"/>
  <c r="K59" i="10"/>
  <c r="J59" i="10"/>
  <c r="T59" i="10" s="1"/>
  <c r="I59" i="10"/>
  <c r="S59" i="10" s="1"/>
  <c r="H59" i="10"/>
  <c r="T58" i="10"/>
  <c r="S58" i="10"/>
  <c r="L58" i="10"/>
  <c r="V58" i="10" s="1"/>
  <c r="K58" i="10"/>
  <c r="U58" i="10" s="1"/>
  <c r="J58" i="10"/>
  <c r="I58" i="10"/>
  <c r="H58" i="10"/>
  <c r="R58" i="10" s="1"/>
  <c r="L57" i="10"/>
  <c r="V57" i="10" s="1"/>
  <c r="K57" i="10"/>
  <c r="U57" i="10" s="1"/>
  <c r="J57" i="10"/>
  <c r="T57" i="10" s="1"/>
  <c r="I57" i="10"/>
  <c r="S57" i="10" s="1"/>
  <c r="H57" i="10"/>
  <c r="R57" i="10" s="1"/>
  <c r="L56" i="10"/>
  <c r="V56" i="10" s="1"/>
  <c r="K56" i="10"/>
  <c r="U56" i="10" s="1"/>
  <c r="J56" i="10"/>
  <c r="T56" i="10" s="1"/>
  <c r="I56" i="10"/>
  <c r="S56" i="10" s="1"/>
  <c r="H56" i="10"/>
  <c r="R56" i="10" s="1"/>
  <c r="U55" i="10"/>
  <c r="L55" i="10"/>
  <c r="V55" i="10" s="1"/>
  <c r="K55" i="10"/>
  <c r="J55" i="10"/>
  <c r="T55" i="10" s="1"/>
  <c r="I55" i="10"/>
  <c r="S55" i="10" s="1"/>
  <c r="H55" i="10"/>
  <c r="R55" i="10" s="1"/>
  <c r="T54" i="10"/>
  <c r="S54" i="10"/>
  <c r="L54" i="10"/>
  <c r="V54" i="10" s="1"/>
  <c r="K54" i="10"/>
  <c r="U54" i="10" s="1"/>
  <c r="J54" i="10"/>
  <c r="I54" i="10"/>
  <c r="H54" i="10"/>
  <c r="R54" i="10" s="1"/>
  <c r="L53" i="10"/>
  <c r="V53" i="10" s="1"/>
  <c r="K53" i="10"/>
  <c r="U53" i="10" s="1"/>
  <c r="J53" i="10"/>
  <c r="T53" i="10" s="1"/>
  <c r="I53" i="10"/>
  <c r="S53" i="10" s="1"/>
  <c r="H53" i="10"/>
  <c r="R53" i="10" s="1"/>
  <c r="L52" i="10"/>
  <c r="V52" i="10" s="1"/>
  <c r="K52" i="10"/>
  <c r="U52" i="10" s="1"/>
  <c r="J52" i="10"/>
  <c r="T52" i="10" s="1"/>
  <c r="I52" i="10"/>
  <c r="S52" i="10" s="1"/>
  <c r="H52" i="10"/>
  <c r="R52" i="10" s="1"/>
  <c r="U51" i="10"/>
  <c r="L51" i="10"/>
  <c r="V51" i="10" s="1"/>
  <c r="K51" i="10"/>
  <c r="J51" i="10"/>
  <c r="T51" i="10" s="1"/>
  <c r="I51" i="10"/>
  <c r="S51" i="10" s="1"/>
  <c r="H51" i="10"/>
  <c r="R51" i="10" s="1"/>
  <c r="T50" i="10"/>
  <c r="S50" i="10"/>
  <c r="L50" i="10"/>
  <c r="V50" i="10" s="1"/>
  <c r="K50" i="10"/>
  <c r="U50" i="10" s="1"/>
  <c r="J50" i="10"/>
  <c r="I50" i="10"/>
  <c r="H50" i="10"/>
  <c r="R50" i="10" s="1"/>
  <c r="L49" i="10"/>
  <c r="V49" i="10" s="1"/>
  <c r="K49" i="10"/>
  <c r="U49" i="10" s="1"/>
  <c r="J49" i="10"/>
  <c r="T49" i="10" s="1"/>
  <c r="I49" i="10"/>
  <c r="S49" i="10" s="1"/>
  <c r="H49" i="10"/>
  <c r="R49" i="10" s="1"/>
  <c r="L48" i="10"/>
  <c r="V48" i="10" s="1"/>
  <c r="K48" i="10"/>
  <c r="U48" i="10" s="1"/>
  <c r="J48" i="10"/>
  <c r="T48" i="10" s="1"/>
  <c r="I48" i="10"/>
  <c r="S48" i="10" s="1"/>
  <c r="H48" i="10"/>
  <c r="R48" i="10" s="1"/>
  <c r="L47" i="10"/>
  <c r="V47" i="10" s="1"/>
  <c r="K47" i="10"/>
  <c r="U47" i="10" s="1"/>
  <c r="J47" i="10"/>
  <c r="T47" i="10" s="1"/>
  <c r="I47" i="10"/>
  <c r="S47" i="10" s="1"/>
  <c r="H47" i="10"/>
  <c r="R47" i="10" s="1"/>
  <c r="L46" i="10"/>
  <c r="V46" i="10" s="1"/>
  <c r="K46" i="10"/>
  <c r="U46" i="10" s="1"/>
  <c r="J46" i="10"/>
  <c r="T46" i="10" s="1"/>
  <c r="I46" i="10"/>
  <c r="S46" i="10" s="1"/>
  <c r="H46" i="10"/>
  <c r="R46" i="10" s="1"/>
  <c r="L45" i="10"/>
  <c r="V45" i="10" s="1"/>
  <c r="K45" i="10"/>
  <c r="U45" i="10" s="1"/>
  <c r="J45" i="10"/>
  <c r="T45" i="10" s="1"/>
  <c r="I45" i="10"/>
  <c r="S45" i="10" s="1"/>
  <c r="H45" i="10"/>
  <c r="R45" i="10" s="1"/>
  <c r="S44" i="10"/>
  <c r="L44" i="10"/>
  <c r="V44" i="10" s="1"/>
  <c r="K44" i="10"/>
  <c r="U44" i="10" s="1"/>
  <c r="J44" i="10"/>
  <c r="T44" i="10" s="1"/>
  <c r="I44" i="10"/>
  <c r="H44" i="10"/>
  <c r="R44" i="10" s="1"/>
  <c r="U43" i="10"/>
  <c r="T43" i="10"/>
  <c r="R43" i="10"/>
  <c r="L43" i="10"/>
  <c r="V43" i="10" s="1"/>
  <c r="K43" i="10"/>
  <c r="J43" i="10"/>
  <c r="I43" i="10"/>
  <c r="S43" i="10" s="1"/>
  <c r="H43" i="10"/>
  <c r="V42" i="10"/>
  <c r="T42" i="10"/>
  <c r="S42" i="10"/>
  <c r="L42" i="10"/>
  <c r="K42" i="10"/>
  <c r="U42" i="10" s="1"/>
  <c r="J42" i="10"/>
  <c r="I42" i="10"/>
  <c r="H42" i="10"/>
  <c r="R42" i="10" s="1"/>
  <c r="U41" i="10"/>
  <c r="L41" i="10"/>
  <c r="V41" i="10" s="1"/>
  <c r="K41" i="10"/>
  <c r="J41" i="10"/>
  <c r="T41" i="10" s="1"/>
  <c r="I41" i="10"/>
  <c r="S41" i="10" s="1"/>
  <c r="H41" i="10"/>
  <c r="R41" i="10" s="1"/>
  <c r="L40" i="10"/>
  <c r="V40" i="10" s="1"/>
  <c r="K40" i="10"/>
  <c r="U40" i="10" s="1"/>
  <c r="J40" i="10"/>
  <c r="T40" i="10" s="1"/>
  <c r="I40" i="10"/>
  <c r="S40" i="10" s="1"/>
  <c r="H40" i="10"/>
  <c r="R40" i="10" s="1"/>
  <c r="L39" i="10"/>
  <c r="V39" i="10" s="1"/>
  <c r="K39" i="10"/>
  <c r="U39" i="10" s="1"/>
  <c r="J39" i="10"/>
  <c r="T39" i="10" s="1"/>
  <c r="I39" i="10"/>
  <c r="S39" i="10" s="1"/>
  <c r="H39" i="10"/>
  <c r="R39" i="10" s="1"/>
  <c r="L38" i="10"/>
  <c r="V38" i="10" s="1"/>
  <c r="K38" i="10"/>
  <c r="U38" i="10" s="1"/>
  <c r="J38" i="10"/>
  <c r="T38" i="10" s="1"/>
  <c r="I38" i="10"/>
  <c r="S38" i="10" s="1"/>
  <c r="H38" i="10"/>
  <c r="R38" i="10" s="1"/>
  <c r="L37" i="10"/>
  <c r="V37" i="10" s="1"/>
  <c r="K37" i="10"/>
  <c r="U37" i="10" s="1"/>
  <c r="J37" i="10"/>
  <c r="T37" i="10" s="1"/>
  <c r="I37" i="10"/>
  <c r="S37" i="10" s="1"/>
  <c r="H37" i="10"/>
  <c r="R37" i="10" s="1"/>
  <c r="S36" i="10"/>
  <c r="L36" i="10"/>
  <c r="V36" i="10" s="1"/>
  <c r="K36" i="10"/>
  <c r="U36" i="10" s="1"/>
  <c r="J36" i="10"/>
  <c r="T36" i="10" s="1"/>
  <c r="I36" i="10"/>
  <c r="H36" i="10"/>
  <c r="R36" i="10" s="1"/>
  <c r="U35" i="10"/>
  <c r="T35" i="10"/>
  <c r="R35" i="10"/>
  <c r="L35" i="10"/>
  <c r="V35" i="10" s="1"/>
  <c r="K35" i="10"/>
  <c r="J35" i="10"/>
  <c r="I35" i="10"/>
  <c r="S35" i="10" s="1"/>
  <c r="H35" i="10"/>
  <c r="V34" i="10"/>
  <c r="T34" i="10"/>
  <c r="S34" i="10"/>
  <c r="L34" i="10"/>
  <c r="K34" i="10"/>
  <c r="U34" i="10" s="1"/>
  <c r="J34" i="10"/>
  <c r="I34" i="10"/>
  <c r="H34" i="10"/>
  <c r="R34" i="10" s="1"/>
  <c r="U33" i="10"/>
  <c r="L33" i="10"/>
  <c r="V33" i="10" s="1"/>
  <c r="K33" i="10"/>
  <c r="J33" i="10"/>
  <c r="T33" i="10" s="1"/>
  <c r="I33" i="10"/>
  <c r="S33" i="10" s="1"/>
  <c r="H33" i="10"/>
  <c r="R33" i="10" s="1"/>
  <c r="L32" i="10"/>
  <c r="V32" i="10" s="1"/>
  <c r="K32" i="10"/>
  <c r="U32" i="10" s="1"/>
  <c r="J32" i="10"/>
  <c r="T32" i="10" s="1"/>
  <c r="I32" i="10"/>
  <c r="S32" i="10" s="1"/>
  <c r="H32" i="10"/>
  <c r="R32" i="10" s="1"/>
  <c r="L31" i="10"/>
  <c r="V31" i="10" s="1"/>
  <c r="K31" i="10"/>
  <c r="U31" i="10" s="1"/>
  <c r="J31" i="10"/>
  <c r="T31" i="10" s="1"/>
  <c r="I31" i="10"/>
  <c r="S31" i="10" s="1"/>
  <c r="H31" i="10"/>
  <c r="R31" i="10" s="1"/>
  <c r="L30" i="10"/>
  <c r="V30" i="10" s="1"/>
  <c r="K30" i="10"/>
  <c r="U30" i="10" s="1"/>
  <c r="J30" i="10"/>
  <c r="T30" i="10" s="1"/>
  <c r="I30" i="10"/>
  <c r="S30" i="10" s="1"/>
  <c r="H30" i="10"/>
  <c r="R30" i="10" s="1"/>
  <c r="L29" i="10"/>
  <c r="V29" i="10" s="1"/>
  <c r="K29" i="10"/>
  <c r="U29" i="10" s="1"/>
  <c r="J29" i="10"/>
  <c r="T29" i="10" s="1"/>
  <c r="I29" i="10"/>
  <c r="S29" i="10" s="1"/>
  <c r="H29" i="10"/>
  <c r="R29" i="10" s="1"/>
  <c r="S28" i="10"/>
  <c r="L28" i="10"/>
  <c r="V28" i="10" s="1"/>
  <c r="K28" i="10"/>
  <c r="U28" i="10" s="1"/>
  <c r="J28" i="10"/>
  <c r="T28" i="10" s="1"/>
  <c r="I28" i="10"/>
  <c r="H28" i="10"/>
  <c r="R28" i="10" s="1"/>
  <c r="U27" i="10"/>
  <c r="T27" i="10"/>
  <c r="R27" i="10"/>
  <c r="L27" i="10"/>
  <c r="V27" i="10" s="1"/>
  <c r="K27" i="10"/>
  <c r="J27" i="10"/>
  <c r="I27" i="10"/>
  <c r="S27" i="10" s="1"/>
  <c r="H27" i="10"/>
  <c r="V26" i="10"/>
  <c r="T26" i="10"/>
  <c r="S26" i="10"/>
  <c r="L26" i="10"/>
  <c r="K26" i="10"/>
  <c r="U26" i="10" s="1"/>
  <c r="J26" i="10"/>
  <c r="I26" i="10"/>
  <c r="H26" i="10"/>
  <c r="R26" i="10" s="1"/>
  <c r="U25" i="10"/>
  <c r="L25" i="10"/>
  <c r="V25" i="10" s="1"/>
  <c r="K25" i="10"/>
  <c r="J25" i="10"/>
  <c r="T25" i="10" s="1"/>
  <c r="I25" i="10"/>
  <c r="S25" i="10" s="1"/>
  <c r="H25" i="10"/>
  <c r="R25" i="10" s="1"/>
  <c r="L24" i="10"/>
  <c r="V24" i="10" s="1"/>
  <c r="K24" i="10"/>
  <c r="U24" i="10" s="1"/>
  <c r="J24" i="10"/>
  <c r="T24" i="10" s="1"/>
  <c r="I24" i="10"/>
  <c r="S24" i="10" s="1"/>
  <c r="H24" i="10"/>
  <c r="R24" i="10" s="1"/>
  <c r="L23" i="10"/>
  <c r="V23" i="10" s="1"/>
  <c r="K23" i="10"/>
  <c r="U23" i="10" s="1"/>
  <c r="J23" i="10"/>
  <c r="T23" i="10" s="1"/>
  <c r="I23" i="10"/>
  <c r="S23" i="10" s="1"/>
  <c r="H23" i="10"/>
  <c r="R23" i="10" s="1"/>
  <c r="L22" i="10"/>
  <c r="V22" i="10" s="1"/>
  <c r="K22" i="10"/>
  <c r="U22" i="10" s="1"/>
  <c r="J22" i="10"/>
  <c r="T22" i="10" s="1"/>
  <c r="I22" i="10"/>
  <c r="S22" i="10" s="1"/>
  <c r="H22" i="10"/>
  <c r="R22" i="10" s="1"/>
  <c r="L21" i="10"/>
  <c r="V21" i="10" s="1"/>
  <c r="K21" i="10"/>
  <c r="U21" i="10" s="1"/>
  <c r="J21" i="10"/>
  <c r="T21" i="10" s="1"/>
  <c r="I21" i="10"/>
  <c r="S21" i="10" s="1"/>
  <c r="H21" i="10"/>
  <c r="R21" i="10" s="1"/>
  <c r="S20" i="10"/>
  <c r="L20" i="10"/>
  <c r="V20" i="10" s="1"/>
  <c r="K20" i="10"/>
  <c r="U20" i="10" s="1"/>
  <c r="J20" i="10"/>
  <c r="T20" i="10" s="1"/>
  <c r="I20" i="10"/>
  <c r="H20" i="10"/>
  <c r="R20" i="10" s="1"/>
  <c r="U19" i="10"/>
  <c r="T19" i="10"/>
  <c r="R19" i="10"/>
  <c r="L19" i="10"/>
  <c r="V19" i="10" s="1"/>
  <c r="K19" i="10"/>
  <c r="J19" i="10"/>
  <c r="I19" i="10"/>
  <c r="S19" i="10" s="1"/>
  <c r="H19" i="10"/>
  <c r="T18" i="10"/>
  <c r="S18" i="10"/>
  <c r="L18" i="10"/>
  <c r="V18" i="10" s="1"/>
  <c r="K18" i="10"/>
  <c r="U18" i="10" s="1"/>
  <c r="J18" i="10"/>
  <c r="I18" i="10"/>
  <c r="H18" i="10"/>
  <c r="R18" i="10" s="1"/>
  <c r="U17" i="10"/>
  <c r="L17" i="10"/>
  <c r="V17" i="10" s="1"/>
  <c r="K17" i="10"/>
  <c r="J17" i="10"/>
  <c r="T17" i="10" s="1"/>
  <c r="I17" i="10"/>
  <c r="S17" i="10" s="1"/>
  <c r="H17" i="10"/>
  <c r="R17" i="10" s="1"/>
  <c r="L16" i="10"/>
  <c r="V16" i="10" s="1"/>
  <c r="K16" i="10"/>
  <c r="U16" i="10" s="1"/>
  <c r="J16" i="10"/>
  <c r="T16" i="10" s="1"/>
  <c r="I16" i="10"/>
  <c r="S16" i="10" s="1"/>
  <c r="H16" i="10"/>
  <c r="R16" i="10" s="1"/>
  <c r="L15" i="10"/>
  <c r="V15" i="10" s="1"/>
  <c r="K15" i="10"/>
  <c r="U15" i="10" s="1"/>
  <c r="J15" i="10"/>
  <c r="T15" i="10" s="1"/>
  <c r="I15" i="10"/>
  <c r="S15" i="10" s="1"/>
  <c r="H15" i="10"/>
  <c r="R15" i="10" s="1"/>
  <c r="L14" i="10"/>
  <c r="V14" i="10" s="1"/>
  <c r="K14" i="10"/>
  <c r="U14" i="10" s="1"/>
  <c r="J14" i="10"/>
  <c r="T14" i="10" s="1"/>
  <c r="I14" i="10"/>
  <c r="S14" i="10" s="1"/>
  <c r="H14" i="10"/>
  <c r="R14" i="10" s="1"/>
  <c r="L13" i="10"/>
  <c r="V13" i="10" s="1"/>
  <c r="K13" i="10"/>
  <c r="U13" i="10" s="1"/>
  <c r="J13" i="10"/>
  <c r="T13" i="10" s="1"/>
  <c r="I13" i="10"/>
  <c r="S13" i="10" s="1"/>
  <c r="H13" i="10"/>
  <c r="R13" i="10" s="1"/>
  <c r="S12" i="10"/>
  <c r="L12" i="10"/>
  <c r="V12" i="10" s="1"/>
  <c r="K12" i="10"/>
  <c r="U12" i="10" s="1"/>
  <c r="J12" i="10"/>
  <c r="T12" i="10" s="1"/>
  <c r="I12" i="10"/>
  <c r="H12" i="10"/>
  <c r="R12" i="10" s="1"/>
  <c r="U11" i="10"/>
  <c r="T11" i="10"/>
  <c r="R11" i="10"/>
  <c r="L11" i="10"/>
  <c r="V11" i="10" s="1"/>
  <c r="K11" i="10"/>
  <c r="J11" i="10"/>
  <c r="I11" i="10"/>
  <c r="S11" i="10" s="1"/>
  <c r="H11" i="10"/>
  <c r="T10" i="10"/>
  <c r="S10" i="10"/>
  <c r="L10" i="10"/>
  <c r="V10" i="10" s="1"/>
  <c r="K10" i="10"/>
  <c r="U10" i="10" s="1"/>
  <c r="J10" i="10"/>
  <c r="I10" i="10"/>
  <c r="H10" i="10"/>
  <c r="R10" i="10" s="1"/>
  <c r="U9" i="10"/>
  <c r="L9" i="10"/>
  <c r="V9" i="10" s="1"/>
  <c r="K9" i="10"/>
  <c r="J9" i="10"/>
  <c r="T9" i="10" s="1"/>
  <c r="I9" i="10"/>
  <c r="S9" i="10" s="1"/>
  <c r="H9" i="10"/>
  <c r="R9" i="10" s="1"/>
  <c r="L8" i="10"/>
  <c r="V8" i="10" s="1"/>
  <c r="K8" i="10"/>
  <c r="U8" i="10" s="1"/>
  <c r="J8" i="10"/>
  <c r="T8" i="10" s="1"/>
  <c r="I8" i="10"/>
  <c r="S8" i="10" s="1"/>
  <c r="H8" i="10"/>
  <c r="R8" i="10" s="1"/>
  <c r="L7" i="10"/>
  <c r="V7" i="10" s="1"/>
  <c r="K7" i="10"/>
  <c r="U7" i="10" s="1"/>
  <c r="J7" i="10"/>
  <c r="T7" i="10" s="1"/>
  <c r="I7" i="10"/>
  <c r="S7" i="10" s="1"/>
  <c r="H7" i="10"/>
  <c r="R7" i="10" s="1"/>
  <c r="L6" i="10"/>
  <c r="V6" i="10" s="1"/>
  <c r="K6" i="10"/>
  <c r="U6" i="10" s="1"/>
  <c r="J6" i="10"/>
  <c r="T6" i="10" s="1"/>
  <c r="I6" i="10"/>
  <c r="S6" i="10" s="1"/>
  <c r="H6" i="10"/>
  <c r="R6" i="10" s="1"/>
  <c r="L5" i="10"/>
  <c r="V5" i="10" s="1"/>
  <c r="K5" i="10"/>
  <c r="U5" i="10" s="1"/>
  <c r="J5" i="10"/>
  <c r="T5" i="10" s="1"/>
  <c r="I5" i="10"/>
  <c r="S5" i="10" s="1"/>
  <c r="H5" i="10"/>
  <c r="R5" i="10" s="1"/>
  <c r="S4" i="10"/>
  <c r="L4" i="10"/>
  <c r="V4" i="10" s="1"/>
  <c r="K4" i="10"/>
  <c r="U4" i="10" s="1"/>
  <c r="J4" i="10"/>
  <c r="T4" i="10" s="1"/>
  <c r="I4" i="10"/>
  <c r="H4" i="10"/>
  <c r="R4" i="10" s="1"/>
  <c r="U3" i="10"/>
  <c r="T3" i="10"/>
  <c r="R3" i="10"/>
  <c r="L3" i="10"/>
  <c r="V3" i="10" s="1"/>
  <c r="K3" i="10"/>
  <c r="J3" i="10"/>
  <c r="I3" i="10"/>
  <c r="S3" i="10" s="1"/>
  <c r="H3" i="10"/>
  <c r="S538" i="9"/>
  <c r="Q538" i="9"/>
  <c r="M538" i="9"/>
  <c r="J538" i="9"/>
  <c r="I538" i="9"/>
  <c r="N538" i="9" s="1"/>
  <c r="H538" i="9"/>
  <c r="R538" i="9" s="1"/>
  <c r="G538" i="9"/>
  <c r="L538" i="9" s="1"/>
  <c r="F538" i="9"/>
  <c r="P538" i="9" s="1"/>
  <c r="Q537" i="9"/>
  <c r="J537" i="9"/>
  <c r="I537" i="9"/>
  <c r="H537" i="9"/>
  <c r="M537" i="9" s="1"/>
  <c r="G537" i="9"/>
  <c r="L537" i="9" s="1"/>
  <c r="F537" i="9"/>
  <c r="P537" i="9" s="1"/>
  <c r="P536" i="9"/>
  <c r="K536" i="9"/>
  <c r="J536" i="9"/>
  <c r="T536" i="9" s="1"/>
  <c r="I536" i="9"/>
  <c r="N536" i="9" s="1"/>
  <c r="H536" i="9"/>
  <c r="G536" i="9"/>
  <c r="L536" i="9" s="1"/>
  <c r="F536" i="9"/>
  <c r="P535" i="9"/>
  <c r="J535" i="9"/>
  <c r="T535" i="9" s="1"/>
  <c r="I535" i="9"/>
  <c r="S535" i="9" s="1"/>
  <c r="H535" i="9"/>
  <c r="M535" i="9" s="1"/>
  <c r="G535" i="9"/>
  <c r="F535" i="9"/>
  <c r="K535" i="9" s="1"/>
  <c r="J534" i="9"/>
  <c r="T534" i="9" s="1"/>
  <c r="I534" i="9"/>
  <c r="S534" i="9" s="1"/>
  <c r="H534" i="9"/>
  <c r="R534" i="9" s="1"/>
  <c r="G534" i="9"/>
  <c r="F534" i="9"/>
  <c r="O533" i="9"/>
  <c r="N533" i="9"/>
  <c r="M533" i="9"/>
  <c r="L533" i="9"/>
  <c r="J533" i="9"/>
  <c r="T533" i="9" s="1"/>
  <c r="I533" i="9"/>
  <c r="S533" i="9" s="1"/>
  <c r="H533" i="9"/>
  <c r="R533" i="9" s="1"/>
  <c r="G533" i="9"/>
  <c r="Q533" i="9" s="1"/>
  <c r="F533" i="9"/>
  <c r="K533" i="9" s="1"/>
  <c r="T532" i="9"/>
  <c r="O532" i="9"/>
  <c r="J532" i="9"/>
  <c r="I532" i="9"/>
  <c r="S532" i="9" s="1"/>
  <c r="H532" i="9"/>
  <c r="R532" i="9" s="1"/>
  <c r="G532" i="9"/>
  <c r="F532" i="9"/>
  <c r="P532" i="9" s="1"/>
  <c r="N531" i="9"/>
  <c r="M531" i="9"/>
  <c r="L531" i="9"/>
  <c r="K531" i="9"/>
  <c r="J531" i="9"/>
  <c r="O531" i="9" s="1"/>
  <c r="I531" i="9"/>
  <c r="S531" i="9" s="1"/>
  <c r="H531" i="9"/>
  <c r="R531" i="9" s="1"/>
  <c r="G531" i="9"/>
  <c r="Q531" i="9" s="1"/>
  <c r="F531" i="9"/>
  <c r="P531" i="9" s="1"/>
  <c r="R530" i="9"/>
  <c r="M530" i="9"/>
  <c r="L530" i="9"/>
  <c r="J530" i="9"/>
  <c r="I530" i="9"/>
  <c r="N530" i="9" s="1"/>
  <c r="H530" i="9"/>
  <c r="G530" i="9"/>
  <c r="Q530" i="9" s="1"/>
  <c r="F530" i="9"/>
  <c r="P530" i="9" s="1"/>
  <c r="R529" i="9"/>
  <c r="K529" i="9"/>
  <c r="J529" i="9"/>
  <c r="O529" i="9" s="1"/>
  <c r="I529" i="9"/>
  <c r="H529" i="9"/>
  <c r="M529" i="9" s="1"/>
  <c r="G529" i="9"/>
  <c r="Q529" i="9" s="1"/>
  <c r="F529" i="9"/>
  <c r="P529" i="9" s="1"/>
  <c r="K528" i="9"/>
  <c r="J528" i="9"/>
  <c r="T528" i="9" s="1"/>
  <c r="I528" i="9"/>
  <c r="N528" i="9" s="1"/>
  <c r="H528" i="9"/>
  <c r="G528" i="9"/>
  <c r="L528" i="9" s="1"/>
  <c r="F528" i="9"/>
  <c r="P528" i="9" s="1"/>
  <c r="J527" i="9"/>
  <c r="T527" i="9" s="1"/>
  <c r="I527" i="9"/>
  <c r="S527" i="9" s="1"/>
  <c r="H527" i="9"/>
  <c r="M527" i="9" s="1"/>
  <c r="G527" i="9"/>
  <c r="L527" i="9" s="1"/>
  <c r="F527" i="9"/>
  <c r="K527" i="9" s="1"/>
  <c r="J526" i="9"/>
  <c r="T526" i="9" s="1"/>
  <c r="I526" i="9"/>
  <c r="S526" i="9" s="1"/>
  <c r="H526" i="9"/>
  <c r="G526" i="9"/>
  <c r="L526" i="9" s="1"/>
  <c r="F526" i="9"/>
  <c r="K526" i="9" s="1"/>
  <c r="O525" i="9"/>
  <c r="N525" i="9"/>
  <c r="M525" i="9"/>
  <c r="L525" i="9"/>
  <c r="J525" i="9"/>
  <c r="T525" i="9" s="1"/>
  <c r="I525" i="9"/>
  <c r="S525" i="9" s="1"/>
  <c r="H525" i="9"/>
  <c r="R525" i="9" s="1"/>
  <c r="G525" i="9"/>
  <c r="Q525" i="9" s="1"/>
  <c r="F525" i="9"/>
  <c r="K525" i="9" s="1"/>
  <c r="T524" i="9"/>
  <c r="S524" i="9"/>
  <c r="O524" i="9"/>
  <c r="J524" i="9"/>
  <c r="I524" i="9"/>
  <c r="N524" i="9" s="1"/>
  <c r="H524" i="9"/>
  <c r="R524" i="9" s="1"/>
  <c r="G524" i="9"/>
  <c r="Q524" i="9" s="1"/>
  <c r="F524" i="9"/>
  <c r="P524" i="9" s="1"/>
  <c r="R523" i="9"/>
  <c r="J523" i="9"/>
  <c r="O523" i="9" s="1"/>
  <c r="I523" i="9"/>
  <c r="S523" i="9" s="1"/>
  <c r="H523" i="9"/>
  <c r="M523" i="9" s="1"/>
  <c r="G523" i="9"/>
  <c r="Q523" i="9" s="1"/>
  <c r="F523" i="9"/>
  <c r="P523" i="9" s="1"/>
  <c r="N522" i="9"/>
  <c r="L522" i="9"/>
  <c r="K522" i="9"/>
  <c r="J522" i="9"/>
  <c r="O522" i="9" s="1"/>
  <c r="I522" i="9"/>
  <c r="S522" i="9" s="1"/>
  <c r="H522" i="9"/>
  <c r="M522" i="9" s="1"/>
  <c r="G522" i="9"/>
  <c r="Q522" i="9" s="1"/>
  <c r="F522" i="9"/>
  <c r="P522" i="9" s="1"/>
  <c r="S521" i="9"/>
  <c r="R521" i="9"/>
  <c r="M521" i="9"/>
  <c r="J521" i="9"/>
  <c r="O521" i="9" s="1"/>
  <c r="I521" i="9"/>
  <c r="N521" i="9" s="1"/>
  <c r="H521" i="9"/>
  <c r="G521" i="9"/>
  <c r="L521" i="9" s="1"/>
  <c r="F521" i="9"/>
  <c r="P521" i="9" s="1"/>
  <c r="Q520" i="9"/>
  <c r="J520" i="9"/>
  <c r="I520" i="9"/>
  <c r="N520" i="9" s="1"/>
  <c r="H520" i="9"/>
  <c r="M520" i="9" s="1"/>
  <c r="G520" i="9"/>
  <c r="L520" i="9" s="1"/>
  <c r="F520" i="9"/>
  <c r="K520" i="9" s="1"/>
  <c r="T519" i="9"/>
  <c r="J519" i="9"/>
  <c r="O519" i="9" s="1"/>
  <c r="I519" i="9"/>
  <c r="H519" i="9"/>
  <c r="M519" i="9" s="1"/>
  <c r="G519" i="9"/>
  <c r="L519" i="9" s="1"/>
  <c r="F519" i="9"/>
  <c r="P519" i="9" s="1"/>
  <c r="J518" i="9"/>
  <c r="T518" i="9" s="1"/>
  <c r="I518" i="9"/>
  <c r="S518" i="9" s="1"/>
  <c r="H518" i="9"/>
  <c r="G518" i="9"/>
  <c r="L518" i="9" s="1"/>
  <c r="F518" i="9"/>
  <c r="K518" i="9" s="1"/>
  <c r="M517" i="9"/>
  <c r="J517" i="9"/>
  <c r="T517" i="9" s="1"/>
  <c r="I517" i="9"/>
  <c r="S517" i="9" s="1"/>
  <c r="H517" i="9"/>
  <c r="R517" i="9" s="1"/>
  <c r="G517" i="9"/>
  <c r="F517" i="9"/>
  <c r="K517" i="9" s="1"/>
  <c r="R516" i="9"/>
  <c r="N516" i="9"/>
  <c r="M516" i="9"/>
  <c r="J516" i="9"/>
  <c r="O516" i="9" s="1"/>
  <c r="I516" i="9"/>
  <c r="S516" i="9" s="1"/>
  <c r="H516" i="9"/>
  <c r="G516" i="9"/>
  <c r="Q516" i="9" s="1"/>
  <c r="F516" i="9"/>
  <c r="L515" i="9"/>
  <c r="K515" i="9"/>
  <c r="J515" i="9"/>
  <c r="T515" i="9" s="1"/>
  <c r="I515" i="9"/>
  <c r="N515" i="9" s="1"/>
  <c r="H515" i="9"/>
  <c r="R515" i="9" s="1"/>
  <c r="G515" i="9"/>
  <c r="Q515" i="9" s="1"/>
  <c r="F515" i="9"/>
  <c r="P515" i="9" s="1"/>
  <c r="S514" i="9"/>
  <c r="N514" i="9"/>
  <c r="J514" i="9"/>
  <c r="O514" i="9" s="1"/>
  <c r="I514" i="9"/>
  <c r="H514" i="9"/>
  <c r="M514" i="9" s="1"/>
  <c r="G514" i="9"/>
  <c r="Q514" i="9" s="1"/>
  <c r="F514" i="9"/>
  <c r="P514" i="9" s="1"/>
  <c r="R513" i="9"/>
  <c r="J513" i="9"/>
  <c r="I513" i="9"/>
  <c r="N513" i="9" s="1"/>
  <c r="H513" i="9"/>
  <c r="M513" i="9" s="1"/>
  <c r="G513" i="9"/>
  <c r="L513" i="9" s="1"/>
  <c r="F513" i="9"/>
  <c r="P513" i="9" s="1"/>
  <c r="J512" i="9"/>
  <c r="I512" i="9"/>
  <c r="H512" i="9"/>
  <c r="M512" i="9" s="1"/>
  <c r="G512" i="9"/>
  <c r="Q512" i="9" s="1"/>
  <c r="F512" i="9"/>
  <c r="K512" i="9" s="1"/>
  <c r="O511" i="9"/>
  <c r="K511" i="9"/>
  <c r="J511" i="9"/>
  <c r="T511" i="9" s="1"/>
  <c r="I511" i="9"/>
  <c r="H511" i="9"/>
  <c r="G511" i="9"/>
  <c r="L511" i="9" s="1"/>
  <c r="F511" i="9"/>
  <c r="P511" i="9" s="1"/>
  <c r="S510" i="9"/>
  <c r="N510" i="9"/>
  <c r="J510" i="9"/>
  <c r="O510" i="9" s="1"/>
  <c r="I510" i="9"/>
  <c r="H510" i="9"/>
  <c r="G510" i="9"/>
  <c r="F510" i="9"/>
  <c r="K510" i="9" s="1"/>
  <c r="S509" i="9"/>
  <c r="R509" i="9"/>
  <c r="O509" i="9"/>
  <c r="N509" i="9"/>
  <c r="J509" i="9"/>
  <c r="T509" i="9" s="1"/>
  <c r="I509" i="9"/>
  <c r="H509" i="9"/>
  <c r="M509" i="9" s="1"/>
  <c r="G509" i="9"/>
  <c r="F509" i="9"/>
  <c r="R508" i="9"/>
  <c r="J508" i="9"/>
  <c r="O508" i="9" s="1"/>
  <c r="I508" i="9"/>
  <c r="S508" i="9" s="1"/>
  <c r="H508" i="9"/>
  <c r="M508" i="9" s="1"/>
  <c r="G508" i="9"/>
  <c r="Q508" i="9" s="1"/>
  <c r="F508" i="9"/>
  <c r="P507" i="9"/>
  <c r="O507" i="9"/>
  <c r="M507" i="9"/>
  <c r="L507" i="9"/>
  <c r="J507" i="9"/>
  <c r="T507" i="9" s="1"/>
  <c r="I507" i="9"/>
  <c r="N507" i="9" s="1"/>
  <c r="H507" i="9"/>
  <c r="R507" i="9" s="1"/>
  <c r="G507" i="9"/>
  <c r="Q507" i="9" s="1"/>
  <c r="F507" i="9"/>
  <c r="K507" i="9" s="1"/>
  <c r="T506" i="9"/>
  <c r="S506" i="9"/>
  <c r="K506" i="9"/>
  <c r="J506" i="9"/>
  <c r="O506" i="9" s="1"/>
  <c r="I506" i="9"/>
  <c r="N506" i="9" s="1"/>
  <c r="H506" i="9"/>
  <c r="M506" i="9" s="1"/>
  <c r="G506" i="9"/>
  <c r="Q506" i="9" s="1"/>
  <c r="F506" i="9"/>
  <c r="P506" i="9" s="1"/>
  <c r="Q505" i="9"/>
  <c r="M505" i="9"/>
  <c r="K505" i="9"/>
  <c r="J505" i="9"/>
  <c r="I505" i="9"/>
  <c r="N505" i="9" s="1"/>
  <c r="H505" i="9"/>
  <c r="R505" i="9" s="1"/>
  <c r="G505" i="9"/>
  <c r="L505" i="9" s="1"/>
  <c r="F505" i="9"/>
  <c r="P505" i="9" s="1"/>
  <c r="Q504" i="9"/>
  <c r="P504" i="9"/>
  <c r="L504" i="9"/>
  <c r="J504" i="9"/>
  <c r="I504" i="9"/>
  <c r="H504" i="9"/>
  <c r="M504" i="9" s="1"/>
  <c r="G504" i="9"/>
  <c r="F504" i="9"/>
  <c r="K504" i="9" s="1"/>
  <c r="T503" i="9"/>
  <c r="P503" i="9"/>
  <c r="O503" i="9"/>
  <c r="J503" i="9"/>
  <c r="I503" i="9"/>
  <c r="H503" i="9"/>
  <c r="G503" i="9"/>
  <c r="L503" i="9" s="1"/>
  <c r="F503" i="9"/>
  <c r="K503" i="9" s="1"/>
  <c r="T502" i="9"/>
  <c r="S502" i="9"/>
  <c r="J502" i="9"/>
  <c r="O502" i="9" s="1"/>
  <c r="I502" i="9"/>
  <c r="N502" i="9" s="1"/>
  <c r="H502" i="9"/>
  <c r="G502" i="9"/>
  <c r="F502" i="9"/>
  <c r="K502" i="9" s="1"/>
  <c r="J501" i="9"/>
  <c r="T501" i="9" s="1"/>
  <c r="I501" i="9"/>
  <c r="S501" i="9" s="1"/>
  <c r="H501" i="9"/>
  <c r="R501" i="9" s="1"/>
  <c r="G501" i="9"/>
  <c r="F501" i="9"/>
  <c r="Q500" i="9"/>
  <c r="N500" i="9"/>
  <c r="M500" i="9"/>
  <c r="L500" i="9"/>
  <c r="J500" i="9"/>
  <c r="O500" i="9" s="1"/>
  <c r="I500" i="9"/>
  <c r="S500" i="9" s="1"/>
  <c r="H500" i="9"/>
  <c r="R500" i="9" s="1"/>
  <c r="G500" i="9"/>
  <c r="F500" i="9"/>
  <c r="P499" i="9"/>
  <c r="J499" i="9"/>
  <c r="T499" i="9" s="1"/>
  <c r="I499" i="9"/>
  <c r="N499" i="9" s="1"/>
  <c r="H499" i="9"/>
  <c r="R499" i="9" s="1"/>
  <c r="G499" i="9"/>
  <c r="Q499" i="9" s="1"/>
  <c r="F499" i="9"/>
  <c r="K499" i="9" s="1"/>
  <c r="L498" i="9"/>
  <c r="K498" i="9"/>
  <c r="J498" i="9"/>
  <c r="O498" i="9" s="1"/>
  <c r="I498" i="9"/>
  <c r="S498" i="9" s="1"/>
  <c r="H498" i="9"/>
  <c r="M498" i="9" s="1"/>
  <c r="G498" i="9"/>
  <c r="Q498" i="9" s="1"/>
  <c r="F498" i="9"/>
  <c r="P498" i="9" s="1"/>
  <c r="Q497" i="9"/>
  <c r="O497" i="9"/>
  <c r="M497" i="9"/>
  <c r="K497" i="9"/>
  <c r="J497" i="9"/>
  <c r="T497" i="9" s="1"/>
  <c r="I497" i="9"/>
  <c r="N497" i="9" s="1"/>
  <c r="H497" i="9"/>
  <c r="R497" i="9" s="1"/>
  <c r="G497" i="9"/>
  <c r="L497" i="9" s="1"/>
  <c r="F497" i="9"/>
  <c r="P497" i="9" s="1"/>
  <c r="Q496" i="9"/>
  <c r="L496" i="9"/>
  <c r="J496" i="9"/>
  <c r="I496" i="9"/>
  <c r="S496" i="9" s="1"/>
  <c r="H496" i="9"/>
  <c r="G496" i="9"/>
  <c r="F496" i="9"/>
  <c r="K496" i="9" s="1"/>
  <c r="T495" i="9"/>
  <c r="O495" i="9"/>
  <c r="M495" i="9"/>
  <c r="J495" i="9"/>
  <c r="I495" i="9"/>
  <c r="H495" i="9"/>
  <c r="R495" i="9" s="1"/>
  <c r="G495" i="9"/>
  <c r="L495" i="9" s="1"/>
  <c r="F495" i="9"/>
  <c r="P495" i="9" s="1"/>
  <c r="T494" i="9"/>
  <c r="S494" i="9"/>
  <c r="J494" i="9"/>
  <c r="O494" i="9" s="1"/>
  <c r="I494" i="9"/>
  <c r="N494" i="9" s="1"/>
  <c r="H494" i="9"/>
  <c r="G494" i="9"/>
  <c r="Q494" i="9" s="1"/>
  <c r="F494" i="9"/>
  <c r="K494" i="9" s="1"/>
  <c r="M493" i="9"/>
  <c r="K493" i="9"/>
  <c r="J493" i="9"/>
  <c r="T493" i="9" s="1"/>
  <c r="I493" i="9"/>
  <c r="S493" i="9" s="1"/>
  <c r="H493" i="9"/>
  <c r="R493" i="9" s="1"/>
  <c r="G493" i="9"/>
  <c r="F493" i="9"/>
  <c r="P493" i="9" s="1"/>
  <c r="Q492" i="9"/>
  <c r="N492" i="9"/>
  <c r="M492" i="9"/>
  <c r="L492" i="9"/>
  <c r="J492" i="9"/>
  <c r="O492" i="9" s="1"/>
  <c r="I492" i="9"/>
  <c r="S492" i="9" s="1"/>
  <c r="H492" i="9"/>
  <c r="R492" i="9" s="1"/>
  <c r="G492" i="9"/>
  <c r="F492" i="9"/>
  <c r="T491" i="9"/>
  <c r="O491" i="9"/>
  <c r="J491" i="9"/>
  <c r="I491" i="9"/>
  <c r="H491" i="9"/>
  <c r="R491" i="9" s="1"/>
  <c r="G491" i="9"/>
  <c r="Q491" i="9" s="1"/>
  <c r="F491" i="9"/>
  <c r="P491" i="9" s="1"/>
  <c r="L490" i="9"/>
  <c r="K490" i="9"/>
  <c r="J490" i="9"/>
  <c r="T490" i="9" s="1"/>
  <c r="I490" i="9"/>
  <c r="S490" i="9" s="1"/>
  <c r="H490" i="9"/>
  <c r="M490" i="9" s="1"/>
  <c r="G490" i="9"/>
  <c r="Q490" i="9" s="1"/>
  <c r="F490" i="9"/>
  <c r="P490" i="9" s="1"/>
  <c r="M489" i="9"/>
  <c r="K489" i="9"/>
  <c r="J489" i="9"/>
  <c r="I489" i="9"/>
  <c r="S489" i="9" s="1"/>
  <c r="H489" i="9"/>
  <c r="R489" i="9" s="1"/>
  <c r="G489" i="9"/>
  <c r="L489" i="9" s="1"/>
  <c r="F489" i="9"/>
  <c r="P489" i="9" s="1"/>
  <c r="N488" i="9"/>
  <c r="M488" i="9"/>
  <c r="L488" i="9"/>
  <c r="J488" i="9"/>
  <c r="I488" i="9"/>
  <c r="S488" i="9" s="1"/>
  <c r="H488" i="9"/>
  <c r="R488" i="9" s="1"/>
  <c r="G488" i="9"/>
  <c r="Q488" i="9" s="1"/>
  <c r="F488" i="9"/>
  <c r="K488" i="9" s="1"/>
  <c r="T487" i="9"/>
  <c r="O487" i="9"/>
  <c r="K487" i="9"/>
  <c r="J487" i="9"/>
  <c r="I487" i="9"/>
  <c r="H487" i="9"/>
  <c r="R487" i="9" s="1"/>
  <c r="G487" i="9"/>
  <c r="Q487" i="9" s="1"/>
  <c r="F487" i="9"/>
  <c r="P487" i="9" s="1"/>
  <c r="T486" i="9"/>
  <c r="O486" i="9"/>
  <c r="J486" i="9"/>
  <c r="I486" i="9"/>
  <c r="S486" i="9" s="1"/>
  <c r="H486" i="9"/>
  <c r="G486" i="9"/>
  <c r="Q486" i="9" s="1"/>
  <c r="F486" i="9"/>
  <c r="P486" i="9" s="1"/>
  <c r="J485" i="9"/>
  <c r="T485" i="9" s="1"/>
  <c r="I485" i="9"/>
  <c r="S485" i="9" s="1"/>
  <c r="H485" i="9"/>
  <c r="R485" i="9" s="1"/>
  <c r="G485" i="9"/>
  <c r="F485" i="9"/>
  <c r="P485" i="9" s="1"/>
  <c r="M484" i="9"/>
  <c r="L484" i="9"/>
  <c r="J484" i="9"/>
  <c r="O484" i="9" s="1"/>
  <c r="I484" i="9"/>
  <c r="S484" i="9" s="1"/>
  <c r="H484" i="9"/>
  <c r="R484" i="9" s="1"/>
  <c r="G484" i="9"/>
  <c r="Q484" i="9" s="1"/>
  <c r="F484" i="9"/>
  <c r="O483" i="9"/>
  <c r="L483" i="9"/>
  <c r="J483" i="9"/>
  <c r="T483" i="9" s="1"/>
  <c r="I483" i="9"/>
  <c r="N483" i="9" s="1"/>
  <c r="H483" i="9"/>
  <c r="G483" i="9"/>
  <c r="Q483" i="9" s="1"/>
  <c r="F483" i="9"/>
  <c r="P483" i="9" s="1"/>
  <c r="O482" i="9"/>
  <c r="J482" i="9"/>
  <c r="T482" i="9" s="1"/>
  <c r="I482" i="9"/>
  <c r="S482" i="9" s="1"/>
  <c r="H482" i="9"/>
  <c r="M482" i="9" s="1"/>
  <c r="G482" i="9"/>
  <c r="Q482" i="9" s="1"/>
  <c r="F482" i="9"/>
  <c r="P482" i="9" s="1"/>
  <c r="J481" i="9"/>
  <c r="T481" i="9" s="1"/>
  <c r="I481" i="9"/>
  <c r="N481" i="9" s="1"/>
  <c r="H481" i="9"/>
  <c r="R481" i="9" s="1"/>
  <c r="G481" i="9"/>
  <c r="L481" i="9" s="1"/>
  <c r="F481" i="9"/>
  <c r="P481" i="9" s="1"/>
  <c r="L480" i="9"/>
  <c r="J480" i="9"/>
  <c r="O480" i="9" s="1"/>
  <c r="I480" i="9"/>
  <c r="S480" i="9" s="1"/>
  <c r="H480" i="9"/>
  <c r="R480" i="9" s="1"/>
  <c r="G480" i="9"/>
  <c r="Q480" i="9" s="1"/>
  <c r="F480" i="9"/>
  <c r="K480" i="9" s="1"/>
  <c r="O479" i="9"/>
  <c r="L479" i="9"/>
  <c r="K479" i="9"/>
  <c r="J479" i="9"/>
  <c r="T479" i="9" s="1"/>
  <c r="I479" i="9"/>
  <c r="N479" i="9" s="1"/>
  <c r="H479" i="9"/>
  <c r="R479" i="9" s="1"/>
  <c r="G479" i="9"/>
  <c r="Q479" i="9" s="1"/>
  <c r="F479" i="9"/>
  <c r="P479" i="9" s="1"/>
  <c r="S478" i="9"/>
  <c r="P478" i="9"/>
  <c r="O478" i="9"/>
  <c r="N478" i="9"/>
  <c r="J478" i="9"/>
  <c r="T478" i="9" s="1"/>
  <c r="I478" i="9"/>
  <c r="H478" i="9"/>
  <c r="M478" i="9" s="1"/>
  <c r="G478" i="9"/>
  <c r="F478" i="9"/>
  <c r="K478" i="9" s="1"/>
  <c r="R477" i="9"/>
  <c r="M477" i="9"/>
  <c r="J477" i="9"/>
  <c r="T477" i="9" s="1"/>
  <c r="I477" i="9"/>
  <c r="S477" i="9" s="1"/>
  <c r="H477" i="9"/>
  <c r="G477" i="9"/>
  <c r="L477" i="9" s="1"/>
  <c r="F477" i="9"/>
  <c r="P477" i="9" s="1"/>
  <c r="N476" i="9"/>
  <c r="J476" i="9"/>
  <c r="O476" i="9" s="1"/>
  <c r="I476" i="9"/>
  <c r="S476" i="9" s="1"/>
  <c r="H476" i="9"/>
  <c r="M476" i="9" s="1"/>
  <c r="G476" i="9"/>
  <c r="Q476" i="9" s="1"/>
  <c r="F476" i="9"/>
  <c r="K476" i="9" s="1"/>
  <c r="P475" i="9"/>
  <c r="J475" i="9"/>
  <c r="T475" i="9" s="1"/>
  <c r="I475" i="9"/>
  <c r="N475" i="9" s="1"/>
  <c r="H475" i="9"/>
  <c r="R475" i="9" s="1"/>
  <c r="G475" i="9"/>
  <c r="Q475" i="9" s="1"/>
  <c r="F475" i="9"/>
  <c r="K475" i="9" s="1"/>
  <c r="K474" i="9"/>
  <c r="J474" i="9"/>
  <c r="O474" i="9" s="1"/>
  <c r="I474" i="9"/>
  <c r="S474" i="9" s="1"/>
  <c r="H474" i="9"/>
  <c r="M474" i="9" s="1"/>
  <c r="G474" i="9"/>
  <c r="Q474" i="9" s="1"/>
  <c r="F474" i="9"/>
  <c r="P474" i="9" s="1"/>
  <c r="N473" i="9"/>
  <c r="M473" i="9"/>
  <c r="K473" i="9"/>
  <c r="J473" i="9"/>
  <c r="T473" i="9" s="1"/>
  <c r="I473" i="9"/>
  <c r="S473" i="9" s="1"/>
  <c r="H473" i="9"/>
  <c r="R473" i="9" s="1"/>
  <c r="G473" i="9"/>
  <c r="L473" i="9" s="1"/>
  <c r="F473" i="9"/>
  <c r="P473" i="9" s="1"/>
  <c r="Q472" i="9"/>
  <c r="L472" i="9"/>
  <c r="J472" i="9"/>
  <c r="O472" i="9" s="1"/>
  <c r="I472" i="9"/>
  <c r="H472" i="9"/>
  <c r="R472" i="9" s="1"/>
  <c r="G472" i="9"/>
  <c r="F472" i="9"/>
  <c r="K472" i="9" s="1"/>
  <c r="T471" i="9"/>
  <c r="O471" i="9"/>
  <c r="M471" i="9"/>
  <c r="J471" i="9"/>
  <c r="I471" i="9"/>
  <c r="N471" i="9" s="1"/>
  <c r="H471" i="9"/>
  <c r="R471" i="9" s="1"/>
  <c r="G471" i="9"/>
  <c r="Q471" i="9" s="1"/>
  <c r="F471" i="9"/>
  <c r="P471" i="9" s="1"/>
  <c r="S470" i="9"/>
  <c r="J470" i="9"/>
  <c r="T470" i="9" s="1"/>
  <c r="I470" i="9"/>
  <c r="N470" i="9" s="1"/>
  <c r="H470" i="9"/>
  <c r="M470" i="9" s="1"/>
  <c r="G470" i="9"/>
  <c r="Q470" i="9" s="1"/>
  <c r="F470" i="9"/>
  <c r="P470" i="9" s="1"/>
  <c r="J469" i="9"/>
  <c r="T469" i="9" s="1"/>
  <c r="I469" i="9"/>
  <c r="S469" i="9" s="1"/>
  <c r="H469" i="9"/>
  <c r="R469" i="9" s="1"/>
  <c r="G469" i="9"/>
  <c r="L469" i="9" s="1"/>
  <c r="F469" i="9"/>
  <c r="P469" i="9" s="1"/>
  <c r="L468" i="9"/>
  <c r="J468" i="9"/>
  <c r="O468" i="9" s="1"/>
  <c r="I468" i="9"/>
  <c r="S468" i="9" s="1"/>
  <c r="H468" i="9"/>
  <c r="R468" i="9" s="1"/>
  <c r="G468" i="9"/>
  <c r="Q468" i="9" s="1"/>
  <c r="F468" i="9"/>
  <c r="K468" i="9" s="1"/>
  <c r="Q467" i="9"/>
  <c r="P467" i="9"/>
  <c r="K467" i="9"/>
  <c r="J467" i="9"/>
  <c r="O467" i="9" s="1"/>
  <c r="I467" i="9"/>
  <c r="N467" i="9" s="1"/>
  <c r="H467" i="9"/>
  <c r="G467" i="9"/>
  <c r="L467" i="9" s="1"/>
  <c r="F467" i="9"/>
  <c r="S466" i="9"/>
  <c r="O466" i="9"/>
  <c r="N466" i="9"/>
  <c r="L466" i="9"/>
  <c r="J466" i="9"/>
  <c r="T466" i="9" s="1"/>
  <c r="I466" i="9"/>
  <c r="H466" i="9"/>
  <c r="M466" i="9" s="1"/>
  <c r="G466" i="9"/>
  <c r="Q466" i="9" s="1"/>
  <c r="F466" i="9"/>
  <c r="P466" i="9" s="1"/>
  <c r="R465" i="9"/>
  <c r="M465" i="9"/>
  <c r="J465" i="9"/>
  <c r="T465" i="9" s="1"/>
  <c r="I465" i="9"/>
  <c r="H465" i="9"/>
  <c r="G465" i="9"/>
  <c r="L465" i="9" s="1"/>
  <c r="F465" i="9"/>
  <c r="P465" i="9" s="1"/>
  <c r="N464" i="9"/>
  <c r="J464" i="9"/>
  <c r="O464" i="9" s="1"/>
  <c r="I464" i="9"/>
  <c r="S464" i="9" s="1"/>
  <c r="H464" i="9"/>
  <c r="R464" i="9" s="1"/>
  <c r="G464" i="9"/>
  <c r="Q464" i="9" s="1"/>
  <c r="F464" i="9"/>
  <c r="K464" i="9" s="1"/>
  <c r="T463" i="9"/>
  <c r="K463" i="9"/>
  <c r="J463" i="9"/>
  <c r="O463" i="9" s="1"/>
  <c r="I463" i="9"/>
  <c r="N463" i="9" s="1"/>
  <c r="H463" i="9"/>
  <c r="R463" i="9" s="1"/>
  <c r="G463" i="9"/>
  <c r="L463" i="9" s="1"/>
  <c r="F463" i="9"/>
  <c r="P463" i="9" s="1"/>
  <c r="N462" i="9"/>
  <c r="J462" i="9"/>
  <c r="T462" i="9" s="1"/>
  <c r="I462" i="9"/>
  <c r="S462" i="9" s="1"/>
  <c r="H462" i="9"/>
  <c r="M462" i="9" s="1"/>
  <c r="G462" i="9"/>
  <c r="F462" i="9"/>
  <c r="K462" i="9" s="1"/>
  <c r="M461" i="9"/>
  <c r="K461" i="9"/>
  <c r="J461" i="9"/>
  <c r="T461" i="9" s="1"/>
  <c r="I461" i="9"/>
  <c r="S461" i="9" s="1"/>
  <c r="H461" i="9"/>
  <c r="R461" i="9" s="1"/>
  <c r="G461" i="9"/>
  <c r="L461" i="9" s="1"/>
  <c r="F461" i="9"/>
  <c r="P461" i="9" s="1"/>
  <c r="Q460" i="9"/>
  <c r="L460" i="9"/>
  <c r="J460" i="9"/>
  <c r="O460" i="9" s="1"/>
  <c r="I460" i="9"/>
  <c r="H460" i="9"/>
  <c r="M460" i="9" s="1"/>
  <c r="G460" i="9"/>
  <c r="F460" i="9"/>
  <c r="K460" i="9" s="1"/>
  <c r="P459" i="9"/>
  <c r="O459" i="9"/>
  <c r="M459" i="9"/>
  <c r="L459" i="9"/>
  <c r="J459" i="9"/>
  <c r="T459" i="9" s="1"/>
  <c r="I459" i="9"/>
  <c r="N459" i="9" s="1"/>
  <c r="H459" i="9"/>
  <c r="R459" i="9" s="1"/>
  <c r="G459" i="9"/>
  <c r="Q459" i="9" s="1"/>
  <c r="F459" i="9"/>
  <c r="K459" i="9" s="1"/>
  <c r="S458" i="9"/>
  <c r="P458" i="9"/>
  <c r="J458" i="9"/>
  <c r="O458" i="9" s="1"/>
  <c r="I458" i="9"/>
  <c r="N458" i="9" s="1"/>
  <c r="H458" i="9"/>
  <c r="M458" i="9" s="1"/>
  <c r="G458" i="9"/>
  <c r="Q458" i="9" s="1"/>
  <c r="F458" i="9"/>
  <c r="K458" i="9" s="1"/>
  <c r="L457" i="9"/>
  <c r="J457" i="9"/>
  <c r="T457" i="9" s="1"/>
  <c r="I457" i="9"/>
  <c r="S457" i="9" s="1"/>
  <c r="H457" i="9"/>
  <c r="R457" i="9" s="1"/>
  <c r="G457" i="9"/>
  <c r="Q457" i="9" s="1"/>
  <c r="F457" i="9"/>
  <c r="Q456" i="9"/>
  <c r="N456" i="9"/>
  <c r="M456" i="9"/>
  <c r="L456" i="9"/>
  <c r="J456" i="9"/>
  <c r="O456" i="9" s="1"/>
  <c r="I456" i="9"/>
  <c r="S456" i="9" s="1"/>
  <c r="H456" i="9"/>
  <c r="R456" i="9" s="1"/>
  <c r="G456" i="9"/>
  <c r="F456" i="9"/>
  <c r="S455" i="9"/>
  <c r="P455" i="9"/>
  <c r="J455" i="9"/>
  <c r="I455" i="9"/>
  <c r="N455" i="9" s="1"/>
  <c r="H455" i="9"/>
  <c r="G455" i="9"/>
  <c r="Q455" i="9" s="1"/>
  <c r="F455" i="9"/>
  <c r="K455" i="9" s="1"/>
  <c r="S454" i="9"/>
  <c r="J454" i="9"/>
  <c r="I454" i="9"/>
  <c r="N454" i="9" s="1"/>
  <c r="H454" i="9"/>
  <c r="G454" i="9"/>
  <c r="L454" i="9" s="1"/>
  <c r="F454" i="9"/>
  <c r="O453" i="9"/>
  <c r="J453" i="9"/>
  <c r="T453" i="9" s="1"/>
  <c r="I453" i="9"/>
  <c r="S453" i="9" s="1"/>
  <c r="H453" i="9"/>
  <c r="G453" i="9"/>
  <c r="Q453" i="9" s="1"/>
  <c r="F453" i="9"/>
  <c r="K453" i="9" s="1"/>
  <c r="T452" i="9"/>
  <c r="M452" i="9"/>
  <c r="K452" i="9"/>
  <c r="J452" i="9"/>
  <c r="O452" i="9" s="1"/>
  <c r="I452" i="9"/>
  <c r="H452" i="9"/>
  <c r="R452" i="9" s="1"/>
  <c r="G452" i="9"/>
  <c r="F452" i="9"/>
  <c r="P452" i="9" s="1"/>
  <c r="T451" i="9"/>
  <c r="S451" i="9"/>
  <c r="R451" i="9"/>
  <c r="N451" i="9"/>
  <c r="M451" i="9"/>
  <c r="J451" i="9"/>
  <c r="O451" i="9" s="1"/>
  <c r="I451" i="9"/>
  <c r="H451" i="9"/>
  <c r="G451" i="9"/>
  <c r="Q451" i="9" s="1"/>
  <c r="F451" i="9"/>
  <c r="R450" i="9"/>
  <c r="K450" i="9"/>
  <c r="J450" i="9"/>
  <c r="O450" i="9" s="1"/>
  <c r="I450" i="9"/>
  <c r="N450" i="9" s="1"/>
  <c r="H450" i="9"/>
  <c r="M450" i="9" s="1"/>
  <c r="G450" i="9"/>
  <c r="F450" i="9"/>
  <c r="P450" i="9" s="1"/>
  <c r="P449" i="9"/>
  <c r="L449" i="9"/>
  <c r="K449" i="9"/>
  <c r="J449" i="9"/>
  <c r="O449" i="9" s="1"/>
  <c r="I449" i="9"/>
  <c r="N449" i="9" s="1"/>
  <c r="H449" i="9"/>
  <c r="M449" i="9" s="1"/>
  <c r="G449" i="9"/>
  <c r="Q449" i="9" s="1"/>
  <c r="F449" i="9"/>
  <c r="S448" i="9"/>
  <c r="Q448" i="9"/>
  <c r="O448" i="9"/>
  <c r="J448" i="9"/>
  <c r="T448" i="9" s="1"/>
  <c r="I448" i="9"/>
  <c r="N448" i="9" s="1"/>
  <c r="H448" i="9"/>
  <c r="M448" i="9" s="1"/>
  <c r="G448" i="9"/>
  <c r="L448" i="9" s="1"/>
  <c r="F448" i="9"/>
  <c r="P448" i="9" s="1"/>
  <c r="S447" i="9"/>
  <c r="R447" i="9"/>
  <c r="N447" i="9"/>
  <c r="J447" i="9"/>
  <c r="I447" i="9"/>
  <c r="H447" i="9"/>
  <c r="M447" i="9" s="1"/>
  <c r="G447" i="9"/>
  <c r="L447" i="9" s="1"/>
  <c r="F447" i="9"/>
  <c r="K447" i="9" s="1"/>
  <c r="R446" i="9"/>
  <c r="O446" i="9"/>
  <c r="M446" i="9"/>
  <c r="J446" i="9"/>
  <c r="T446" i="9" s="1"/>
  <c r="I446" i="9"/>
  <c r="H446" i="9"/>
  <c r="G446" i="9"/>
  <c r="L446" i="9" s="1"/>
  <c r="F446" i="9"/>
  <c r="K446" i="9" s="1"/>
  <c r="T445" i="9"/>
  <c r="O445" i="9"/>
  <c r="J445" i="9"/>
  <c r="I445" i="9"/>
  <c r="S445" i="9" s="1"/>
  <c r="H445" i="9"/>
  <c r="G445" i="9"/>
  <c r="Q445" i="9" s="1"/>
  <c r="F445" i="9"/>
  <c r="K445" i="9" s="1"/>
  <c r="T444" i="9"/>
  <c r="M444" i="9"/>
  <c r="K444" i="9"/>
  <c r="J444" i="9"/>
  <c r="O444" i="9" s="1"/>
  <c r="I444" i="9"/>
  <c r="H444" i="9"/>
  <c r="R444" i="9" s="1"/>
  <c r="G444" i="9"/>
  <c r="F444" i="9"/>
  <c r="P444" i="9" s="1"/>
  <c r="T443" i="9"/>
  <c r="S443" i="9"/>
  <c r="R443" i="9"/>
  <c r="N443" i="9"/>
  <c r="M443" i="9"/>
  <c r="J443" i="9"/>
  <c r="O443" i="9" s="1"/>
  <c r="I443" i="9"/>
  <c r="H443" i="9"/>
  <c r="G443" i="9"/>
  <c r="F443" i="9"/>
  <c r="R442" i="9"/>
  <c r="K442" i="9"/>
  <c r="J442" i="9"/>
  <c r="O442" i="9" s="1"/>
  <c r="I442" i="9"/>
  <c r="H442" i="9"/>
  <c r="M442" i="9" s="1"/>
  <c r="G442" i="9"/>
  <c r="F442" i="9"/>
  <c r="P442" i="9" s="1"/>
  <c r="Q441" i="9"/>
  <c r="L441" i="9"/>
  <c r="K441" i="9"/>
  <c r="J441" i="9"/>
  <c r="O441" i="9" s="1"/>
  <c r="I441" i="9"/>
  <c r="N441" i="9" s="1"/>
  <c r="H441" i="9"/>
  <c r="M441" i="9" s="1"/>
  <c r="G441" i="9"/>
  <c r="F441" i="9"/>
  <c r="P441" i="9" s="1"/>
  <c r="Q440" i="9"/>
  <c r="P440" i="9"/>
  <c r="O440" i="9"/>
  <c r="K440" i="9"/>
  <c r="J440" i="9"/>
  <c r="T440" i="9" s="1"/>
  <c r="I440" i="9"/>
  <c r="H440" i="9"/>
  <c r="M440" i="9" s="1"/>
  <c r="G440" i="9"/>
  <c r="L440" i="9" s="1"/>
  <c r="F440" i="9"/>
  <c r="S439" i="9"/>
  <c r="R439" i="9"/>
  <c r="P439" i="9"/>
  <c r="J439" i="9"/>
  <c r="I439" i="9"/>
  <c r="N439" i="9" s="1"/>
  <c r="H439" i="9"/>
  <c r="M439" i="9" s="1"/>
  <c r="G439" i="9"/>
  <c r="L439" i="9" s="1"/>
  <c r="F439" i="9"/>
  <c r="K439" i="9" s="1"/>
  <c r="Q438" i="9"/>
  <c r="J438" i="9"/>
  <c r="T438" i="9" s="1"/>
  <c r="I438" i="9"/>
  <c r="H438" i="9"/>
  <c r="M438" i="9" s="1"/>
  <c r="G438" i="9"/>
  <c r="L438" i="9" s="1"/>
  <c r="F438" i="9"/>
  <c r="K438" i="9" s="1"/>
  <c r="J437" i="9"/>
  <c r="O437" i="9" s="1"/>
  <c r="I437" i="9"/>
  <c r="H437" i="9"/>
  <c r="G437" i="9"/>
  <c r="F437" i="9"/>
  <c r="K437" i="9" s="1"/>
  <c r="S436" i="9"/>
  <c r="O436" i="9"/>
  <c r="N436" i="9"/>
  <c r="M436" i="9"/>
  <c r="J436" i="9"/>
  <c r="T436" i="9" s="1"/>
  <c r="I436" i="9"/>
  <c r="H436" i="9"/>
  <c r="R436" i="9" s="1"/>
  <c r="G436" i="9"/>
  <c r="F436" i="9"/>
  <c r="P436" i="9" s="1"/>
  <c r="S435" i="9"/>
  <c r="R435" i="9"/>
  <c r="N435" i="9"/>
  <c r="J435" i="9"/>
  <c r="O435" i="9" s="1"/>
  <c r="I435" i="9"/>
  <c r="H435" i="9"/>
  <c r="M435" i="9" s="1"/>
  <c r="G435" i="9"/>
  <c r="F435" i="9"/>
  <c r="L434" i="9"/>
  <c r="K434" i="9"/>
  <c r="J434" i="9"/>
  <c r="O434" i="9" s="1"/>
  <c r="I434" i="9"/>
  <c r="N434" i="9" s="1"/>
  <c r="H434" i="9"/>
  <c r="G434" i="9"/>
  <c r="Q434" i="9" s="1"/>
  <c r="F434" i="9"/>
  <c r="P434" i="9" s="1"/>
  <c r="P433" i="9"/>
  <c r="L433" i="9"/>
  <c r="K433" i="9"/>
  <c r="J433" i="9"/>
  <c r="I433" i="9"/>
  <c r="N433" i="9" s="1"/>
  <c r="H433" i="9"/>
  <c r="M433" i="9" s="1"/>
  <c r="G433" i="9"/>
  <c r="Q433" i="9" s="1"/>
  <c r="F433" i="9"/>
  <c r="P432" i="9"/>
  <c r="J432" i="9"/>
  <c r="O432" i="9" s="1"/>
  <c r="I432" i="9"/>
  <c r="N432" i="9" s="1"/>
  <c r="H432" i="9"/>
  <c r="M432" i="9" s="1"/>
  <c r="G432" i="9"/>
  <c r="L432" i="9" s="1"/>
  <c r="F432" i="9"/>
  <c r="K432" i="9" s="1"/>
  <c r="J431" i="9"/>
  <c r="I431" i="9"/>
  <c r="N431" i="9" s="1"/>
  <c r="H431" i="9"/>
  <c r="M431" i="9" s="1"/>
  <c r="G431" i="9"/>
  <c r="L431" i="9" s="1"/>
  <c r="F431" i="9"/>
  <c r="R430" i="9"/>
  <c r="M430" i="9"/>
  <c r="J430" i="9"/>
  <c r="I430" i="9"/>
  <c r="H430" i="9"/>
  <c r="G430" i="9"/>
  <c r="L430" i="9" s="1"/>
  <c r="F430" i="9"/>
  <c r="K430" i="9" s="1"/>
  <c r="T429" i="9"/>
  <c r="M429" i="9"/>
  <c r="L429" i="9"/>
  <c r="J429" i="9"/>
  <c r="O429" i="9" s="1"/>
  <c r="I429" i="9"/>
  <c r="S429" i="9" s="1"/>
  <c r="H429" i="9"/>
  <c r="R429" i="9" s="1"/>
  <c r="G429" i="9"/>
  <c r="Q429" i="9" s="1"/>
  <c r="F429" i="9"/>
  <c r="K429" i="9" s="1"/>
  <c r="T428" i="9"/>
  <c r="P428" i="9"/>
  <c r="O428" i="9"/>
  <c r="N428" i="9"/>
  <c r="K428" i="9"/>
  <c r="J428" i="9"/>
  <c r="I428" i="9"/>
  <c r="S428" i="9" s="1"/>
  <c r="H428" i="9"/>
  <c r="R428" i="9" s="1"/>
  <c r="G428" i="9"/>
  <c r="F428" i="9"/>
  <c r="S427" i="9"/>
  <c r="M427" i="9"/>
  <c r="J427" i="9"/>
  <c r="O427" i="9" s="1"/>
  <c r="I427" i="9"/>
  <c r="N427" i="9" s="1"/>
  <c r="H427" i="9"/>
  <c r="R427" i="9" s="1"/>
  <c r="G427" i="9"/>
  <c r="Q427" i="9" s="1"/>
  <c r="F427" i="9"/>
  <c r="P427" i="9" s="1"/>
  <c r="R426" i="9"/>
  <c r="M426" i="9"/>
  <c r="K426" i="9"/>
  <c r="J426" i="9"/>
  <c r="I426" i="9"/>
  <c r="N426" i="9" s="1"/>
  <c r="H426" i="9"/>
  <c r="G426" i="9"/>
  <c r="Q426" i="9" s="1"/>
  <c r="F426" i="9"/>
  <c r="P426" i="9" s="1"/>
  <c r="M425" i="9"/>
  <c r="K425" i="9"/>
  <c r="J425" i="9"/>
  <c r="O425" i="9" s="1"/>
  <c r="I425" i="9"/>
  <c r="H425" i="9"/>
  <c r="R425" i="9" s="1"/>
  <c r="G425" i="9"/>
  <c r="Q425" i="9" s="1"/>
  <c r="F425" i="9"/>
  <c r="P425" i="9" s="1"/>
  <c r="T424" i="9"/>
  <c r="O424" i="9"/>
  <c r="K424" i="9"/>
  <c r="J424" i="9"/>
  <c r="I424" i="9"/>
  <c r="H424" i="9"/>
  <c r="G424" i="9"/>
  <c r="Q424" i="9" s="1"/>
  <c r="F424" i="9"/>
  <c r="P424" i="9" s="1"/>
  <c r="O423" i="9"/>
  <c r="J423" i="9"/>
  <c r="T423" i="9" s="1"/>
  <c r="I423" i="9"/>
  <c r="S423" i="9" s="1"/>
  <c r="H423" i="9"/>
  <c r="M423" i="9" s="1"/>
  <c r="G423" i="9"/>
  <c r="F423" i="9"/>
  <c r="K423" i="9" s="1"/>
  <c r="R422" i="9"/>
  <c r="M422" i="9"/>
  <c r="J422" i="9"/>
  <c r="T422" i="9" s="1"/>
  <c r="I422" i="9"/>
  <c r="S422" i="9" s="1"/>
  <c r="H422" i="9"/>
  <c r="G422" i="9"/>
  <c r="L422" i="9" s="1"/>
  <c r="F422" i="9"/>
  <c r="T421" i="9"/>
  <c r="P421" i="9"/>
  <c r="N421" i="9"/>
  <c r="J421" i="9"/>
  <c r="O421" i="9" s="1"/>
  <c r="I421" i="9"/>
  <c r="S421" i="9" s="1"/>
  <c r="H421" i="9"/>
  <c r="R421" i="9" s="1"/>
  <c r="G421" i="9"/>
  <c r="Q421" i="9" s="1"/>
  <c r="F421" i="9"/>
  <c r="K421" i="9" s="1"/>
  <c r="T420" i="9"/>
  <c r="S420" i="9"/>
  <c r="N420" i="9"/>
  <c r="J420" i="9"/>
  <c r="O420" i="9" s="1"/>
  <c r="I420" i="9"/>
  <c r="H420" i="9"/>
  <c r="R420" i="9" s="1"/>
  <c r="G420" i="9"/>
  <c r="F420" i="9"/>
  <c r="K420" i="9" s="1"/>
  <c r="R419" i="9"/>
  <c r="O419" i="9"/>
  <c r="N419" i="9"/>
  <c r="L419" i="9"/>
  <c r="J419" i="9"/>
  <c r="T419" i="9" s="1"/>
  <c r="I419" i="9"/>
  <c r="S419" i="9" s="1"/>
  <c r="H419" i="9"/>
  <c r="M419" i="9" s="1"/>
  <c r="G419" i="9"/>
  <c r="Q419" i="9" s="1"/>
  <c r="F419" i="9"/>
  <c r="P419" i="9" s="1"/>
  <c r="R418" i="9"/>
  <c r="M418" i="9"/>
  <c r="K418" i="9"/>
  <c r="J418" i="9"/>
  <c r="I418" i="9"/>
  <c r="N418" i="9" s="1"/>
  <c r="H418" i="9"/>
  <c r="G418" i="9"/>
  <c r="Q418" i="9" s="1"/>
  <c r="F418" i="9"/>
  <c r="P418" i="9" s="1"/>
  <c r="T417" i="9"/>
  <c r="L417" i="9"/>
  <c r="J417" i="9"/>
  <c r="O417" i="9" s="1"/>
  <c r="I417" i="9"/>
  <c r="H417" i="9"/>
  <c r="R417" i="9" s="1"/>
  <c r="G417" i="9"/>
  <c r="Q417" i="9" s="1"/>
  <c r="F417" i="9"/>
  <c r="K417" i="9" s="1"/>
  <c r="S416" i="9"/>
  <c r="O416" i="9"/>
  <c r="K416" i="9"/>
  <c r="J416" i="9"/>
  <c r="T416" i="9" s="1"/>
  <c r="I416" i="9"/>
  <c r="N416" i="9" s="1"/>
  <c r="H416" i="9"/>
  <c r="G416" i="9"/>
  <c r="Q416" i="9" s="1"/>
  <c r="F416" i="9"/>
  <c r="P416" i="9" s="1"/>
  <c r="S415" i="9"/>
  <c r="N415" i="9"/>
  <c r="J415" i="9"/>
  <c r="T415" i="9" s="1"/>
  <c r="I415" i="9"/>
  <c r="H415" i="9"/>
  <c r="M415" i="9" s="1"/>
  <c r="G415" i="9"/>
  <c r="F415" i="9"/>
  <c r="P415" i="9" s="1"/>
  <c r="Q414" i="9"/>
  <c r="O414" i="9"/>
  <c r="M414" i="9"/>
  <c r="J414" i="9"/>
  <c r="T414" i="9" s="1"/>
  <c r="I414" i="9"/>
  <c r="S414" i="9" s="1"/>
  <c r="H414" i="9"/>
  <c r="R414" i="9" s="1"/>
  <c r="G414" i="9"/>
  <c r="L414" i="9" s="1"/>
  <c r="F414" i="9"/>
  <c r="T413" i="9"/>
  <c r="O413" i="9"/>
  <c r="M413" i="9"/>
  <c r="L413" i="9"/>
  <c r="J413" i="9"/>
  <c r="I413" i="9"/>
  <c r="H413" i="9"/>
  <c r="R413" i="9" s="1"/>
  <c r="G413" i="9"/>
  <c r="Q413" i="9" s="1"/>
  <c r="F413" i="9"/>
  <c r="K413" i="9" s="1"/>
  <c r="N412" i="9"/>
  <c r="J412" i="9"/>
  <c r="O412" i="9" s="1"/>
  <c r="I412" i="9"/>
  <c r="S412" i="9" s="1"/>
  <c r="H412" i="9"/>
  <c r="R412" i="9" s="1"/>
  <c r="G412" i="9"/>
  <c r="Q412" i="9" s="1"/>
  <c r="F412" i="9"/>
  <c r="P412" i="9" s="1"/>
  <c r="N411" i="9"/>
  <c r="L411" i="9"/>
  <c r="J411" i="9"/>
  <c r="T411" i="9" s="1"/>
  <c r="I411" i="9"/>
  <c r="S411" i="9" s="1"/>
  <c r="H411" i="9"/>
  <c r="R411" i="9" s="1"/>
  <c r="G411" i="9"/>
  <c r="Q411" i="9" s="1"/>
  <c r="F411" i="9"/>
  <c r="P411" i="9" s="1"/>
  <c r="Q410" i="9"/>
  <c r="L410" i="9"/>
  <c r="J410" i="9"/>
  <c r="O410" i="9" s="1"/>
  <c r="I410" i="9"/>
  <c r="N410" i="9" s="1"/>
  <c r="H410" i="9"/>
  <c r="R410" i="9" s="1"/>
  <c r="G410" i="9"/>
  <c r="F410" i="9"/>
  <c r="P410" i="9" s="1"/>
  <c r="L409" i="9"/>
  <c r="J409" i="9"/>
  <c r="O409" i="9" s="1"/>
  <c r="I409" i="9"/>
  <c r="N409" i="9" s="1"/>
  <c r="H409" i="9"/>
  <c r="R409" i="9" s="1"/>
  <c r="G409" i="9"/>
  <c r="Q409" i="9" s="1"/>
  <c r="F409" i="9"/>
  <c r="P409" i="9" s="1"/>
  <c r="Q408" i="9"/>
  <c r="L408" i="9"/>
  <c r="J408" i="9"/>
  <c r="T408" i="9" s="1"/>
  <c r="I408" i="9"/>
  <c r="S408" i="9" s="1"/>
  <c r="H408" i="9"/>
  <c r="M408" i="9" s="1"/>
  <c r="G408" i="9"/>
  <c r="F408" i="9"/>
  <c r="P408" i="9" s="1"/>
  <c r="Q407" i="9"/>
  <c r="L407" i="9"/>
  <c r="J407" i="9"/>
  <c r="T407" i="9" s="1"/>
  <c r="I407" i="9"/>
  <c r="H407" i="9"/>
  <c r="R407" i="9" s="1"/>
  <c r="G407" i="9"/>
  <c r="F407" i="9"/>
  <c r="P407" i="9" s="1"/>
  <c r="P406" i="9"/>
  <c r="K406" i="9"/>
  <c r="J406" i="9"/>
  <c r="O406" i="9" s="1"/>
  <c r="I406" i="9"/>
  <c r="N406" i="9" s="1"/>
  <c r="H406" i="9"/>
  <c r="G406" i="9"/>
  <c r="L406" i="9" s="1"/>
  <c r="F406" i="9"/>
  <c r="J405" i="9"/>
  <c r="T405" i="9" s="1"/>
  <c r="I405" i="9"/>
  <c r="N405" i="9" s="1"/>
  <c r="H405" i="9"/>
  <c r="M405" i="9" s="1"/>
  <c r="G405" i="9"/>
  <c r="F405" i="9"/>
  <c r="P405" i="9" s="1"/>
  <c r="J404" i="9"/>
  <c r="T404" i="9" s="1"/>
  <c r="I404" i="9"/>
  <c r="S404" i="9" s="1"/>
  <c r="H404" i="9"/>
  <c r="M404" i="9" s="1"/>
  <c r="G404" i="9"/>
  <c r="L404" i="9" s="1"/>
  <c r="F404" i="9"/>
  <c r="R403" i="9"/>
  <c r="O403" i="9"/>
  <c r="M403" i="9"/>
  <c r="J403" i="9"/>
  <c r="T403" i="9" s="1"/>
  <c r="I403" i="9"/>
  <c r="S403" i="9" s="1"/>
  <c r="H403" i="9"/>
  <c r="G403" i="9"/>
  <c r="L403" i="9" s="1"/>
  <c r="F403" i="9"/>
  <c r="K403" i="9" s="1"/>
  <c r="T402" i="9"/>
  <c r="O402" i="9"/>
  <c r="M402" i="9"/>
  <c r="L402" i="9"/>
  <c r="J402" i="9"/>
  <c r="I402" i="9"/>
  <c r="S402" i="9" s="1"/>
  <c r="H402" i="9"/>
  <c r="R402" i="9" s="1"/>
  <c r="G402" i="9"/>
  <c r="Q402" i="9" s="1"/>
  <c r="F402" i="9"/>
  <c r="K402" i="9" s="1"/>
  <c r="T401" i="9"/>
  <c r="P401" i="9"/>
  <c r="K401" i="9"/>
  <c r="J401" i="9"/>
  <c r="O401" i="9" s="1"/>
  <c r="I401" i="9"/>
  <c r="N401" i="9" s="1"/>
  <c r="H401" i="9"/>
  <c r="R401" i="9" s="1"/>
  <c r="G401" i="9"/>
  <c r="Q401" i="9" s="1"/>
  <c r="F401" i="9"/>
  <c r="S400" i="9"/>
  <c r="R400" i="9"/>
  <c r="K400" i="9"/>
  <c r="J400" i="9"/>
  <c r="I400" i="9"/>
  <c r="N400" i="9" s="1"/>
  <c r="H400" i="9"/>
  <c r="M400" i="9" s="1"/>
  <c r="G400" i="9"/>
  <c r="Q400" i="9" s="1"/>
  <c r="F400" i="9"/>
  <c r="P400" i="9" s="1"/>
  <c r="J399" i="9"/>
  <c r="O399" i="9" s="1"/>
  <c r="I399" i="9"/>
  <c r="H399" i="9"/>
  <c r="R399" i="9" s="1"/>
  <c r="G399" i="9"/>
  <c r="Q399" i="9" s="1"/>
  <c r="F399" i="9"/>
  <c r="P399" i="9" s="1"/>
  <c r="P398" i="9"/>
  <c r="K398" i="9"/>
  <c r="J398" i="9"/>
  <c r="O398" i="9" s="1"/>
  <c r="I398" i="9"/>
  <c r="N398" i="9" s="1"/>
  <c r="H398" i="9"/>
  <c r="G398" i="9"/>
  <c r="Q398" i="9" s="1"/>
  <c r="F398" i="9"/>
  <c r="J397" i="9"/>
  <c r="T397" i="9" s="1"/>
  <c r="I397" i="9"/>
  <c r="N397" i="9" s="1"/>
  <c r="H397" i="9"/>
  <c r="M397" i="9" s="1"/>
  <c r="G397" i="9"/>
  <c r="F397" i="9"/>
  <c r="P397" i="9" s="1"/>
  <c r="J396" i="9"/>
  <c r="T396" i="9" s="1"/>
  <c r="I396" i="9"/>
  <c r="S396" i="9" s="1"/>
  <c r="H396" i="9"/>
  <c r="M396" i="9" s="1"/>
  <c r="G396" i="9"/>
  <c r="L396" i="9" s="1"/>
  <c r="F396" i="9"/>
  <c r="N395" i="9"/>
  <c r="J395" i="9"/>
  <c r="T395" i="9" s="1"/>
  <c r="I395" i="9"/>
  <c r="S395" i="9" s="1"/>
  <c r="H395" i="9"/>
  <c r="R395" i="9" s="1"/>
  <c r="G395" i="9"/>
  <c r="L395" i="9" s="1"/>
  <c r="F395" i="9"/>
  <c r="K395" i="9" s="1"/>
  <c r="Q394" i="9"/>
  <c r="M394" i="9"/>
  <c r="L394" i="9"/>
  <c r="J394" i="9"/>
  <c r="T394" i="9" s="1"/>
  <c r="I394" i="9"/>
  <c r="S394" i="9" s="1"/>
  <c r="H394" i="9"/>
  <c r="R394" i="9" s="1"/>
  <c r="G394" i="9"/>
  <c r="F394" i="9"/>
  <c r="K394" i="9" s="1"/>
  <c r="S393" i="9"/>
  <c r="O393" i="9"/>
  <c r="N393" i="9"/>
  <c r="L393" i="9"/>
  <c r="J393" i="9"/>
  <c r="T393" i="9" s="1"/>
  <c r="I393" i="9"/>
  <c r="H393" i="9"/>
  <c r="R393" i="9" s="1"/>
  <c r="G393" i="9"/>
  <c r="Q393" i="9" s="1"/>
  <c r="F393" i="9"/>
  <c r="P393" i="9" s="1"/>
  <c r="R392" i="9"/>
  <c r="J392" i="9"/>
  <c r="I392" i="9"/>
  <c r="S392" i="9" s="1"/>
  <c r="H392" i="9"/>
  <c r="M392" i="9" s="1"/>
  <c r="G392" i="9"/>
  <c r="Q392" i="9" s="1"/>
  <c r="F392" i="9"/>
  <c r="P392" i="9" s="1"/>
  <c r="R391" i="9"/>
  <c r="L391" i="9"/>
  <c r="J391" i="9"/>
  <c r="I391" i="9"/>
  <c r="H391" i="9"/>
  <c r="M391" i="9" s="1"/>
  <c r="G391" i="9"/>
  <c r="Q391" i="9" s="1"/>
  <c r="F391" i="9"/>
  <c r="P391" i="9" s="1"/>
  <c r="Q390" i="9"/>
  <c r="L390" i="9"/>
  <c r="J390" i="9"/>
  <c r="O390" i="9" s="1"/>
  <c r="I390" i="9"/>
  <c r="H390" i="9"/>
  <c r="G390" i="9"/>
  <c r="F390" i="9"/>
  <c r="K390" i="9" s="1"/>
  <c r="P389" i="9"/>
  <c r="O389" i="9"/>
  <c r="K389" i="9"/>
  <c r="J389" i="9"/>
  <c r="T389" i="9" s="1"/>
  <c r="I389" i="9"/>
  <c r="N389" i="9" s="1"/>
  <c r="H389" i="9"/>
  <c r="G389" i="9"/>
  <c r="F389" i="9"/>
  <c r="O388" i="9"/>
  <c r="J388" i="9"/>
  <c r="T388" i="9" s="1"/>
  <c r="I388" i="9"/>
  <c r="S388" i="9" s="1"/>
  <c r="H388" i="9"/>
  <c r="M388" i="9" s="1"/>
  <c r="G388" i="9"/>
  <c r="F388" i="9"/>
  <c r="R387" i="9"/>
  <c r="M387" i="9"/>
  <c r="J387" i="9"/>
  <c r="T387" i="9" s="1"/>
  <c r="I387" i="9"/>
  <c r="S387" i="9" s="1"/>
  <c r="H387" i="9"/>
  <c r="G387" i="9"/>
  <c r="L387" i="9" s="1"/>
  <c r="F387" i="9"/>
  <c r="T386" i="9"/>
  <c r="O386" i="9"/>
  <c r="M386" i="9"/>
  <c r="L386" i="9"/>
  <c r="J386" i="9"/>
  <c r="I386" i="9"/>
  <c r="S386" i="9" s="1"/>
  <c r="H386" i="9"/>
  <c r="R386" i="9" s="1"/>
  <c r="G386" i="9"/>
  <c r="Q386" i="9" s="1"/>
  <c r="F386" i="9"/>
  <c r="K386" i="9" s="1"/>
  <c r="T385" i="9"/>
  <c r="P385" i="9"/>
  <c r="K385" i="9"/>
  <c r="J385" i="9"/>
  <c r="O385" i="9" s="1"/>
  <c r="I385" i="9"/>
  <c r="S385" i="9" s="1"/>
  <c r="H385" i="9"/>
  <c r="R385" i="9" s="1"/>
  <c r="G385" i="9"/>
  <c r="Q385" i="9" s="1"/>
  <c r="F385" i="9"/>
  <c r="M384" i="9"/>
  <c r="K384" i="9"/>
  <c r="J384" i="9"/>
  <c r="I384" i="9"/>
  <c r="N384" i="9" s="1"/>
  <c r="H384" i="9"/>
  <c r="R384" i="9" s="1"/>
  <c r="G384" i="9"/>
  <c r="F384" i="9"/>
  <c r="P384" i="9" s="1"/>
  <c r="R383" i="9"/>
  <c r="Q383" i="9"/>
  <c r="L383" i="9"/>
  <c r="J383" i="9"/>
  <c r="I383" i="9"/>
  <c r="S383" i="9" s="1"/>
  <c r="H383" i="9"/>
  <c r="M383" i="9" s="1"/>
  <c r="G383" i="9"/>
  <c r="F383" i="9"/>
  <c r="Q382" i="9"/>
  <c r="L382" i="9"/>
  <c r="J382" i="9"/>
  <c r="O382" i="9" s="1"/>
  <c r="I382" i="9"/>
  <c r="H382" i="9"/>
  <c r="R382" i="9" s="1"/>
  <c r="G382" i="9"/>
  <c r="F382" i="9"/>
  <c r="P382" i="9" s="1"/>
  <c r="S381" i="9"/>
  <c r="J381" i="9"/>
  <c r="T381" i="9" s="1"/>
  <c r="I381" i="9"/>
  <c r="N381" i="9" s="1"/>
  <c r="H381" i="9"/>
  <c r="G381" i="9"/>
  <c r="Q381" i="9" s="1"/>
  <c r="F381" i="9"/>
  <c r="P381" i="9" s="1"/>
  <c r="S380" i="9"/>
  <c r="N380" i="9"/>
  <c r="J380" i="9"/>
  <c r="T380" i="9" s="1"/>
  <c r="I380" i="9"/>
  <c r="H380" i="9"/>
  <c r="M380" i="9" s="1"/>
  <c r="G380" i="9"/>
  <c r="F380" i="9"/>
  <c r="P380" i="9" s="1"/>
  <c r="Q379" i="9"/>
  <c r="M379" i="9"/>
  <c r="J379" i="9"/>
  <c r="I379" i="9"/>
  <c r="S379" i="9" s="1"/>
  <c r="H379" i="9"/>
  <c r="R379" i="9" s="1"/>
  <c r="G379" i="9"/>
  <c r="L379" i="9" s="1"/>
  <c r="F379" i="9"/>
  <c r="T378" i="9"/>
  <c r="M378" i="9"/>
  <c r="J378" i="9"/>
  <c r="O378" i="9" s="1"/>
  <c r="I378" i="9"/>
  <c r="H378" i="9"/>
  <c r="R378" i="9" s="1"/>
  <c r="G378" i="9"/>
  <c r="Q378" i="9" s="1"/>
  <c r="F378" i="9"/>
  <c r="K378" i="9" s="1"/>
  <c r="S377" i="9"/>
  <c r="L377" i="9"/>
  <c r="J377" i="9"/>
  <c r="T377" i="9" s="1"/>
  <c r="I377" i="9"/>
  <c r="N377" i="9" s="1"/>
  <c r="H377" i="9"/>
  <c r="G377" i="9"/>
  <c r="Q377" i="9" s="1"/>
  <c r="F377" i="9"/>
  <c r="K377" i="9" s="1"/>
  <c r="R376" i="9"/>
  <c r="M376" i="9"/>
  <c r="K376" i="9"/>
  <c r="J376" i="9"/>
  <c r="T376" i="9" s="1"/>
  <c r="I376" i="9"/>
  <c r="N376" i="9" s="1"/>
  <c r="H376" i="9"/>
  <c r="G376" i="9"/>
  <c r="F376" i="9"/>
  <c r="P376" i="9" s="1"/>
  <c r="M375" i="9"/>
  <c r="J375" i="9"/>
  <c r="I375" i="9"/>
  <c r="H375" i="9"/>
  <c r="R375" i="9" s="1"/>
  <c r="G375" i="9"/>
  <c r="Q375" i="9" s="1"/>
  <c r="F375" i="9"/>
  <c r="T374" i="9"/>
  <c r="Q374" i="9"/>
  <c r="P374" i="9"/>
  <c r="L374" i="9"/>
  <c r="J374" i="9"/>
  <c r="O374" i="9" s="1"/>
  <c r="I374" i="9"/>
  <c r="H374" i="9"/>
  <c r="R374" i="9" s="1"/>
  <c r="G374" i="9"/>
  <c r="F374" i="9"/>
  <c r="K374" i="9" s="1"/>
  <c r="T373" i="9"/>
  <c r="P373" i="9"/>
  <c r="K373" i="9"/>
  <c r="J373" i="9"/>
  <c r="O373" i="9" s="1"/>
  <c r="I373" i="9"/>
  <c r="N373" i="9" s="1"/>
  <c r="H373" i="9"/>
  <c r="G373" i="9"/>
  <c r="Q373" i="9" s="1"/>
  <c r="F373" i="9"/>
  <c r="S372" i="9"/>
  <c r="N372" i="9"/>
  <c r="J372" i="9"/>
  <c r="T372" i="9" s="1"/>
  <c r="I372" i="9"/>
  <c r="H372" i="9"/>
  <c r="G372" i="9"/>
  <c r="F372" i="9"/>
  <c r="P372" i="9" s="1"/>
  <c r="Q371" i="9"/>
  <c r="J371" i="9"/>
  <c r="I371" i="9"/>
  <c r="S371" i="9" s="1"/>
  <c r="H371" i="9"/>
  <c r="M371" i="9" s="1"/>
  <c r="G371" i="9"/>
  <c r="L371" i="9" s="1"/>
  <c r="F371" i="9"/>
  <c r="Q370" i="9"/>
  <c r="N370" i="9"/>
  <c r="L370" i="9"/>
  <c r="J370" i="9"/>
  <c r="O370" i="9" s="1"/>
  <c r="I370" i="9"/>
  <c r="S370" i="9" s="1"/>
  <c r="H370" i="9"/>
  <c r="R370" i="9" s="1"/>
  <c r="G370" i="9"/>
  <c r="F370" i="9"/>
  <c r="T369" i="9"/>
  <c r="O369" i="9"/>
  <c r="K369" i="9"/>
  <c r="J369" i="9"/>
  <c r="I369" i="9"/>
  <c r="S369" i="9" s="1"/>
  <c r="H369" i="9"/>
  <c r="R369" i="9" s="1"/>
  <c r="G369" i="9"/>
  <c r="Q369" i="9" s="1"/>
  <c r="F369" i="9"/>
  <c r="P369" i="9" s="1"/>
  <c r="O368" i="9"/>
  <c r="M368" i="9"/>
  <c r="K368" i="9"/>
  <c r="J368" i="9"/>
  <c r="T368" i="9" s="1"/>
  <c r="I368" i="9"/>
  <c r="S368" i="9" s="1"/>
  <c r="H368" i="9"/>
  <c r="R368" i="9" s="1"/>
  <c r="G368" i="9"/>
  <c r="Q368" i="9" s="1"/>
  <c r="F368" i="9"/>
  <c r="P368" i="9" s="1"/>
  <c r="R367" i="9"/>
  <c r="M367" i="9"/>
  <c r="K367" i="9"/>
  <c r="J367" i="9"/>
  <c r="I367" i="9"/>
  <c r="S367" i="9" s="1"/>
  <c r="H367" i="9"/>
  <c r="G367" i="9"/>
  <c r="Q367" i="9" s="1"/>
  <c r="F367" i="9"/>
  <c r="P367" i="9" s="1"/>
  <c r="R366" i="9"/>
  <c r="P366" i="9"/>
  <c r="M366" i="9"/>
  <c r="J366" i="9"/>
  <c r="O366" i="9" s="1"/>
  <c r="I366" i="9"/>
  <c r="H366" i="9"/>
  <c r="G366" i="9"/>
  <c r="Q366" i="9" s="1"/>
  <c r="F366" i="9"/>
  <c r="K366" i="9" s="1"/>
  <c r="T365" i="9"/>
  <c r="P365" i="9"/>
  <c r="K365" i="9"/>
  <c r="J365" i="9"/>
  <c r="O365" i="9" s="1"/>
  <c r="I365" i="9"/>
  <c r="N365" i="9" s="1"/>
  <c r="H365" i="9"/>
  <c r="G365" i="9"/>
  <c r="Q365" i="9" s="1"/>
  <c r="F365" i="9"/>
  <c r="J364" i="9"/>
  <c r="T364" i="9" s="1"/>
  <c r="I364" i="9"/>
  <c r="N364" i="9" s="1"/>
  <c r="H364" i="9"/>
  <c r="M364" i="9" s="1"/>
  <c r="G364" i="9"/>
  <c r="F364" i="9"/>
  <c r="K364" i="9" s="1"/>
  <c r="N363" i="9"/>
  <c r="J363" i="9"/>
  <c r="T363" i="9" s="1"/>
  <c r="I363" i="9"/>
  <c r="S363" i="9" s="1"/>
  <c r="H363" i="9"/>
  <c r="M363" i="9" s="1"/>
  <c r="G363" i="9"/>
  <c r="L363" i="9" s="1"/>
  <c r="F363" i="9"/>
  <c r="O362" i="9"/>
  <c r="M362" i="9"/>
  <c r="L362" i="9"/>
  <c r="J362" i="9"/>
  <c r="T362" i="9" s="1"/>
  <c r="I362" i="9"/>
  <c r="S362" i="9" s="1"/>
  <c r="H362" i="9"/>
  <c r="R362" i="9" s="1"/>
  <c r="G362" i="9"/>
  <c r="Q362" i="9" s="1"/>
  <c r="F362" i="9"/>
  <c r="K362" i="9" s="1"/>
  <c r="N361" i="9"/>
  <c r="L361" i="9"/>
  <c r="J361" i="9"/>
  <c r="T361" i="9" s="1"/>
  <c r="I361" i="9"/>
  <c r="S361" i="9" s="1"/>
  <c r="H361" i="9"/>
  <c r="R361" i="9" s="1"/>
  <c r="G361" i="9"/>
  <c r="Q361" i="9" s="1"/>
  <c r="F361" i="9"/>
  <c r="K361" i="9" s="1"/>
  <c r="R360" i="9"/>
  <c r="M360" i="9"/>
  <c r="J360" i="9"/>
  <c r="T360" i="9" s="1"/>
  <c r="I360" i="9"/>
  <c r="N360" i="9" s="1"/>
  <c r="H360" i="9"/>
  <c r="G360" i="9"/>
  <c r="Q360" i="9" s="1"/>
  <c r="F360" i="9"/>
  <c r="R359" i="9"/>
  <c r="M359" i="9"/>
  <c r="J359" i="9"/>
  <c r="I359" i="9"/>
  <c r="H359" i="9"/>
  <c r="G359" i="9"/>
  <c r="L359" i="9" s="1"/>
  <c r="F359" i="9"/>
  <c r="P359" i="9" s="1"/>
  <c r="T358" i="9"/>
  <c r="P358" i="9"/>
  <c r="M358" i="9"/>
  <c r="L358" i="9"/>
  <c r="J358" i="9"/>
  <c r="O358" i="9" s="1"/>
  <c r="I358" i="9"/>
  <c r="H358" i="9"/>
  <c r="R358" i="9" s="1"/>
  <c r="G358" i="9"/>
  <c r="Q358" i="9" s="1"/>
  <c r="F358" i="9"/>
  <c r="K358" i="9" s="1"/>
  <c r="T357" i="9"/>
  <c r="L357" i="9"/>
  <c r="J357" i="9"/>
  <c r="O357" i="9" s="1"/>
  <c r="I357" i="9"/>
  <c r="N357" i="9" s="1"/>
  <c r="H357" i="9"/>
  <c r="G357" i="9"/>
  <c r="Q357" i="9" s="1"/>
  <c r="F357" i="9"/>
  <c r="P357" i="9" s="1"/>
  <c r="R356" i="9"/>
  <c r="K356" i="9"/>
  <c r="J356" i="9"/>
  <c r="T356" i="9" s="1"/>
  <c r="I356" i="9"/>
  <c r="H356" i="9"/>
  <c r="M356" i="9" s="1"/>
  <c r="G356" i="9"/>
  <c r="F356" i="9"/>
  <c r="P356" i="9" s="1"/>
  <c r="R355" i="9"/>
  <c r="J355" i="9"/>
  <c r="I355" i="9"/>
  <c r="S355" i="9" s="1"/>
  <c r="H355" i="9"/>
  <c r="M355" i="9" s="1"/>
  <c r="G355" i="9"/>
  <c r="L355" i="9" s="1"/>
  <c r="F355" i="9"/>
  <c r="O354" i="9"/>
  <c r="L354" i="9"/>
  <c r="J354" i="9"/>
  <c r="T354" i="9" s="1"/>
  <c r="I354" i="9"/>
  <c r="H354" i="9"/>
  <c r="R354" i="9" s="1"/>
  <c r="G354" i="9"/>
  <c r="Q354" i="9" s="1"/>
  <c r="F354" i="9"/>
  <c r="K354" i="9" s="1"/>
  <c r="T353" i="9"/>
  <c r="O353" i="9"/>
  <c r="M353" i="9"/>
  <c r="J353" i="9"/>
  <c r="I353" i="9"/>
  <c r="S353" i="9" s="1"/>
  <c r="H353" i="9"/>
  <c r="R353" i="9" s="1"/>
  <c r="G353" i="9"/>
  <c r="Q353" i="9" s="1"/>
  <c r="F353" i="9"/>
  <c r="T352" i="9"/>
  <c r="O352" i="9"/>
  <c r="K352" i="9"/>
  <c r="J352" i="9"/>
  <c r="I352" i="9"/>
  <c r="S352" i="9" s="1"/>
  <c r="H352" i="9"/>
  <c r="R352" i="9" s="1"/>
  <c r="G352" i="9"/>
  <c r="F352" i="9"/>
  <c r="P352" i="9" s="1"/>
  <c r="S351" i="9"/>
  <c r="N351" i="9"/>
  <c r="J351" i="9"/>
  <c r="I351" i="9"/>
  <c r="H351" i="9"/>
  <c r="M351" i="9" s="1"/>
  <c r="G351" i="9"/>
  <c r="Q351" i="9" s="1"/>
  <c r="F351" i="9"/>
  <c r="K351" i="9" s="1"/>
  <c r="M350" i="9"/>
  <c r="J350" i="9"/>
  <c r="I350" i="9"/>
  <c r="S350" i="9" s="1"/>
  <c r="H350" i="9"/>
  <c r="R350" i="9" s="1"/>
  <c r="G350" i="9"/>
  <c r="L350" i="9" s="1"/>
  <c r="F350" i="9"/>
  <c r="P350" i="9" s="1"/>
  <c r="Q349" i="9"/>
  <c r="M349" i="9"/>
  <c r="L349" i="9"/>
  <c r="J349" i="9"/>
  <c r="O349" i="9" s="1"/>
  <c r="I349" i="9"/>
  <c r="H349" i="9"/>
  <c r="R349" i="9" s="1"/>
  <c r="G349" i="9"/>
  <c r="F349" i="9"/>
  <c r="K349" i="9" s="1"/>
  <c r="L348" i="9"/>
  <c r="J348" i="9"/>
  <c r="T348" i="9" s="1"/>
  <c r="I348" i="9"/>
  <c r="N348" i="9" s="1"/>
  <c r="H348" i="9"/>
  <c r="G348" i="9"/>
  <c r="Q348" i="9" s="1"/>
  <c r="F348" i="9"/>
  <c r="K348" i="9" s="1"/>
  <c r="S347" i="9"/>
  <c r="N347" i="9"/>
  <c r="J347" i="9"/>
  <c r="T347" i="9" s="1"/>
  <c r="I347" i="9"/>
  <c r="H347" i="9"/>
  <c r="M347" i="9" s="1"/>
  <c r="G347" i="9"/>
  <c r="F347" i="9"/>
  <c r="P347" i="9" s="1"/>
  <c r="R346" i="9"/>
  <c r="M346" i="9"/>
  <c r="J346" i="9"/>
  <c r="T346" i="9" s="1"/>
  <c r="I346" i="9"/>
  <c r="H346" i="9"/>
  <c r="G346" i="9"/>
  <c r="L346" i="9" s="1"/>
  <c r="F346" i="9"/>
  <c r="T345" i="9"/>
  <c r="L345" i="9"/>
  <c r="J345" i="9"/>
  <c r="O345" i="9" s="1"/>
  <c r="I345" i="9"/>
  <c r="S345" i="9" s="1"/>
  <c r="H345" i="9"/>
  <c r="M345" i="9" s="1"/>
  <c r="G345" i="9"/>
  <c r="Q345" i="9" s="1"/>
  <c r="F345" i="9"/>
  <c r="K345" i="9" s="1"/>
  <c r="T344" i="9"/>
  <c r="O344" i="9"/>
  <c r="K344" i="9"/>
  <c r="J344" i="9"/>
  <c r="I344" i="9"/>
  <c r="N344" i="9" s="1"/>
  <c r="H344" i="9"/>
  <c r="R344" i="9" s="1"/>
  <c r="G344" i="9"/>
  <c r="L344" i="9" s="1"/>
  <c r="F344" i="9"/>
  <c r="P344" i="9" s="1"/>
  <c r="S343" i="9"/>
  <c r="N343" i="9"/>
  <c r="J343" i="9"/>
  <c r="I343" i="9"/>
  <c r="H343" i="9"/>
  <c r="G343" i="9"/>
  <c r="Q343" i="9" s="1"/>
  <c r="F343" i="9"/>
  <c r="K343" i="9" s="1"/>
  <c r="M342" i="9"/>
  <c r="J342" i="9"/>
  <c r="I342" i="9"/>
  <c r="H342" i="9"/>
  <c r="R342" i="9" s="1"/>
  <c r="G342" i="9"/>
  <c r="L342" i="9" s="1"/>
  <c r="F342" i="9"/>
  <c r="P342" i="9" s="1"/>
  <c r="Q341" i="9"/>
  <c r="M341" i="9"/>
  <c r="L341" i="9"/>
  <c r="J341" i="9"/>
  <c r="O341" i="9" s="1"/>
  <c r="I341" i="9"/>
  <c r="H341" i="9"/>
  <c r="R341" i="9" s="1"/>
  <c r="G341" i="9"/>
  <c r="F341" i="9"/>
  <c r="K341" i="9" s="1"/>
  <c r="P340" i="9"/>
  <c r="L340" i="9"/>
  <c r="J340" i="9"/>
  <c r="I340" i="9"/>
  <c r="N340" i="9" s="1"/>
  <c r="H340" i="9"/>
  <c r="G340" i="9"/>
  <c r="Q340" i="9" s="1"/>
  <c r="F340" i="9"/>
  <c r="K340" i="9" s="1"/>
  <c r="S339" i="9"/>
  <c r="N339" i="9"/>
  <c r="J339" i="9"/>
  <c r="T339" i="9" s="1"/>
  <c r="I339" i="9"/>
  <c r="H339" i="9"/>
  <c r="M339" i="9" s="1"/>
  <c r="G339" i="9"/>
  <c r="F339" i="9"/>
  <c r="R338" i="9"/>
  <c r="M338" i="9"/>
  <c r="J338" i="9"/>
  <c r="T338" i="9" s="1"/>
  <c r="I338" i="9"/>
  <c r="H338" i="9"/>
  <c r="G338" i="9"/>
  <c r="L338" i="9" s="1"/>
  <c r="F338" i="9"/>
  <c r="T337" i="9"/>
  <c r="J337" i="9"/>
  <c r="O337" i="9" s="1"/>
  <c r="I337" i="9"/>
  <c r="S337" i="9" s="1"/>
  <c r="H337" i="9"/>
  <c r="M337" i="9" s="1"/>
  <c r="G337" i="9"/>
  <c r="Q337" i="9" s="1"/>
  <c r="F337" i="9"/>
  <c r="K337" i="9" s="1"/>
  <c r="T336" i="9"/>
  <c r="O336" i="9"/>
  <c r="K336" i="9"/>
  <c r="J336" i="9"/>
  <c r="I336" i="9"/>
  <c r="N336" i="9" s="1"/>
  <c r="H336" i="9"/>
  <c r="R336" i="9" s="1"/>
  <c r="G336" i="9"/>
  <c r="L336" i="9" s="1"/>
  <c r="F336" i="9"/>
  <c r="P336" i="9" s="1"/>
  <c r="S335" i="9"/>
  <c r="N335" i="9"/>
  <c r="J335" i="9"/>
  <c r="I335" i="9"/>
  <c r="H335" i="9"/>
  <c r="G335" i="9"/>
  <c r="Q335" i="9" s="1"/>
  <c r="F335" i="9"/>
  <c r="K335" i="9" s="1"/>
  <c r="M334" i="9"/>
  <c r="J334" i="9"/>
  <c r="I334" i="9"/>
  <c r="H334" i="9"/>
  <c r="R334" i="9" s="1"/>
  <c r="G334" i="9"/>
  <c r="F334" i="9"/>
  <c r="P334" i="9" s="1"/>
  <c r="Q333" i="9"/>
  <c r="L333" i="9"/>
  <c r="J333" i="9"/>
  <c r="O333" i="9" s="1"/>
  <c r="I333" i="9"/>
  <c r="H333" i="9"/>
  <c r="R333" i="9" s="1"/>
  <c r="G333" i="9"/>
  <c r="F333" i="9"/>
  <c r="K333" i="9" s="1"/>
  <c r="L332" i="9"/>
  <c r="J332" i="9"/>
  <c r="I332" i="9"/>
  <c r="N332" i="9" s="1"/>
  <c r="H332" i="9"/>
  <c r="G332" i="9"/>
  <c r="Q332" i="9" s="1"/>
  <c r="F332" i="9"/>
  <c r="K332" i="9" s="1"/>
  <c r="S331" i="9"/>
  <c r="O331" i="9"/>
  <c r="N331" i="9"/>
  <c r="J331" i="9"/>
  <c r="T331" i="9" s="1"/>
  <c r="I331" i="9"/>
  <c r="H331" i="9"/>
  <c r="M331" i="9" s="1"/>
  <c r="G331" i="9"/>
  <c r="F331" i="9"/>
  <c r="P331" i="9" s="1"/>
  <c r="S330" i="9"/>
  <c r="N330" i="9"/>
  <c r="J330" i="9"/>
  <c r="I330" i="9"/>
  <c r="H330" i="9"/>
  <c r="G330" i="9"/>
  <c r="L330" i="9" s="1"/>
  <c r="F330" i="9"/>
  <c r="R329" i="9"/>
  <c r="M329" i="9"/>
  <c r="J329" i="9"/>
  <c r="I329" i="9"/>
  <c r="H329" i="9"/>
  <c r="G329" i="9"/>
  <c r="L329" i="9" s="1"/>
  <c r="F329" i="9"/>
  <c r="K329" i="9" s="1"/>
  <c r="S328" i="9"/>
  <c r="P328" i="9"/>
  <c r="L328" i="9"/>
  <c r="J328" i="9"/>
  <c r="I328" i="9"/>
  <c r="N328" i="9" s="1"/>
  <c r="H328" i="9"/>
  <c r="G328" i="9"/>
  <c r="Q328" i="9" s="1"/>
  <c r="F328" i="9"/>
  <c r="K328" i="9" s="1"/>
  <c r="R327" i="9"/>
  <c r="O327" i="9"/>
  <c r="K327" i="9"/>
  <c r="J327" i="9"/>
  <c r="T327" i="9" s="1"/>
  <c r="I327" i="9"/>
  <c r="H327" i="9"/>
  <c r="M327" i="9" s="1"/>
  <c r="G327" i="9"/>
  <c r="F327" i="9"/>
  <c r="P327" i="9" s="1"/>
  <c r="R326" i="9"/>
  <c r="M326" i="9"/>
  <c r="J326" i="9"/>
  <c r="I326" i="9"/>
  <c r="S326" i="9" s="1"/>
  <c r="H326" i="9"/>
  <c r="G326" i="9"/>
  <c r="F326" i="9"/>
  <c r="Q325" i="9"/>
  <c r="M325" i="9"/>
  <c r="J325" i="9"/>
  <c r="O325" i="9" s="1"/>
  <c r="I325" i="9"/>
  <c r="S325" i="9" s="1"/>
  <c r="H325" i="9"/>
  <c r="R325" i="9" s="1"/>
  <c r="G325" i="9"/>
  <c r="L325" i="9" s="1"/>
  <c r="F325" i="9"/>
  <c r="K325" i="9" s="1"/>
  <c r="J324" i="9"/>
  <c r="I324" i="9"/>
  <c r="N324" i="9" s="1"/>
  <c r="H324" i="9"/>
  <c r="R324" i="9" s="1"/>
  <c r="G324" i="9"/>
  <c r="Q324" i="9" s="1"/>
  <c r="F324" i="9"/>
  <c r="K324" i="9" s="1"/>
  <c r="S323" i="9"/>
  <c r="N323" i="9"/>
  <c r="L323" i="9"/>
  <c r="J323" i="9"/>
  <c r="I323" i="9"/>
  <c r="H323" i="9"/>
  <c r="M323" i="9" s="1"/>
  <c r="G323" i="9"/>
  <c r="Q323" i="9" s="1"/>
  <c r="F323" i="9"/>
  <c r="P323" i="9" s="1"/>
  <c r="R322" i="9"/>
  <c r="M322" i="9"/>
  <c r="J322" i="9"/>
  <c r="I322" i="9"/>
  <c r="H322" i="9"/>
  <c r="G322" i="9"/>
  <c r="L322" i="9" s="1"/>
  <c r="F322" i="9"/>
  <c r="P322" i="9" s="1"/>
  <c r="Q321" i="9"/>
  <c r="J321" i="9"/>
  <c r="O321" i="9" s="1"/>
  <c r="I321" i="9"/>
  <c r="H321" i="9"/>
  <c r="R321" i="9" s="1"/>
  <c r="G321" i="9"/>
  <c r="L321" i="9" s="1"/>
  <c r="F321" i="9"/>
  <c r="K321" i="9" s="1"/>
  <c r="S320" i="9"/>
  <c r="L320" i="9"/>
  <c r="J320" i="9"/>
  <c r="I320" i="9"/>
  <c r="N320" i="9" s="1"/>
  <c r="H320" i="9"/>
  <c r="G320" i="9"/>
  <c r="Q320" i="9" s="1"/>
  <c r="F320" i="9"/>
  <c r="K320" i="9" s="1"/>
  <c r="P319" i="9"/>
  <c r="O319" i="9"/>
  <c r="K319" i="9"/>
  <c r="J319" i="9"/>
  <c r="T319" i="9" s="1"/>
  <c r="I319" i="9"/>
  <c r="S319" i="9" s="1"/>
  <c r="H319" i="9"/>
  <c r="M319" i="9" s="1"/>
  <c r="G319" i="9"/>
  <c r="F319" i="9"/>
  <c r="R318" i="9"/>
  <c r="M318" i="9"/>
  <c r="J318" i="9"/>
  <c r="T318" i="9" s="1"/>
  <c r="I318" i="9"/>
  <c r="H318" i="9"/>
  <c r="G318" i="9"/>
  <c r="L318" i="9" s="1"/>
  <c r="F318" i="9"/>
  <c r="P318" i="9" s="1"/>
  <c r="J317" i="9"/>
  <c r="I317" i="9"/>
  <c r="H317" i="9"/>
  <c r="R317" i="9" s="1"/>
  <c r="G317" i="9"/>
  <c r="Q317" i="9" s="1"/>
  <c r="F317" i="9"/>
  <c r="K317" i="9" s="1"/>
  <c r="T316" i="9"/>
  <c r="O316" i="9"/>
  <c r="K316" i="9"/>
  <c r="J316" i="9"/>
  <c r="I316" i="9"/>
  <c r="H316" i="9"/>
  <c r="R316" i="9" s="1"/>
  <c r="G316" i="9"/>
  <c r="F316" i="9"/>
  <c r="P316" i="9" s="1"/>
  <c r="T315" i="9"/>
  <c r="N315" i="9"/>
  <c r="J315" i="9"/>
  <c r="O315" i="9" s="1"/>
  <c r="I315" i="9"/>
  <c r="S315" i="9" s="1"/>
  <c r="H315" i="9"/>
  <c r="G315" i="9"/>
  <c r="Q315" i="9" s="1"/>
  <c r="F315" i="9"/>
  <c r="K315" i="9" s="1"/>
  <c r="S314" i="9"/>
  <c r="N314" i="9"/>
  <c r="J314" i="9"/>
  <c r="I314" i="9"/>
  <c r="H314" i="9"/>
  <c r="M314" i="9" s="1"/>
  <c r="G314" i="9"/>
  <c r="F314" i="9"/>
  <c r="J313" i="9"/>
  <c r="O313" i="9" s="1"/>
  <c r="I313" i="9"/>
  <c r="H313" i="9"/>
  <c r="R313" i="9" s="1"/>
  <c r="G313" i="9"/>
  <c r="Q313" i="9" s="1"/>
  <c r="F313" i="9"/>
  <c r="T312" i="9"/>
  <c r="L312" i="9"/>
  <c r="J312" i="9"/>
  <c r="O312" i="9" s="1"/>
  <c r="I312" i="9"/>
  <c r="N312" i="9" s="1"/>
  <c r="H312" i="9"/>
  <c r="R312" i="9" s="1"/>
  <c r="G312" i="9"/>
  <c r="Q312" i="9" s="1"/>
  <c r="F312" i="9"/>
  <c r="K312" i="9" s="1"/>
  <c r="N311" i="9"/>
  <c r="J311" i="9"/>
  <c r="I311" i="9"/>
  <c r="S311" i="9" s="1"/>
  <c r="H311" i="9"/>
  <c r="M311" i="9" s="1"/>
  <c r="G311" i="9"/>
  <c r="Q311" i="9" s="1"/>
  <c r="F311" i="9"/>
  <c r="K311" i="9" s="1"/>
  <c r="M310" i="9"/>
  <c r="J310" i="9"/>
  <c r="T310" i="9" s="1"/>
  <c r="I310" i="9"/>
  <c r="N310" i="9" s="1"/>
  <c r="H310" i="9"/>
  <c r="R310" i="9" s="1"/>
  <c r="G310" i="9"/>
  <c r="L310" i="9" s="1"/>
  <c r="F310" i="9"/>
  <c r="L309" i="9"/>
  <c r="J309" i="9"/>
  <c r="O309" i="9" s="1"/>
  <c r="I309" i="9"/>
  <c r="H309" i="9"/>
  <c r="R309" i="9" s="1"/>
  <c r="G309" i="9"/>
  <c r="Q309" i="9" s="1"/>
  <c r="F309" i="9"/>
  <c r="K309" i="9" s="1"/>
  <c r="L308" i="9"/>
  <c r="J308" i="9"/>
  <c r="O308" i="9" s="1"/>
  <c r="I308" i="9"/>
  <c r="N308" i="9" s="1"/>
  <c r="H308" i="9"/>
  <c r="G308" i="9"/>
  <c r="Q308" i="9" s="1"/>
  <c r="F308" i="9"/>
  <c r="K308" i="9" s="1"/>
  <c r="P307" i="9"/>
  <c r="K307" i="9"/>
  <c r="J307" i="9"/>
  <c r="T307" i="9" s="1"/>
  <c r="I307" i="9"/>
  <c r="H307" i="9"/>
  <c r="M307" i="9" s="1"/>
  <c r="G307" i="9"/>
  <c r="Q307" i="9" s="1"/>
  <c r="F307" i="9"/>
  <c r="J306" i="9"/>
  <c r="I306" i="9"/>
  <c r="H306" i="9"/>
  <c r="R306" i="9" s="1"/>
  <c r="G306" i="9"/>
  <c r="L306" i="9" s="1"/>
  <c r="F306" i="9"/>
  <c r="N305" i="9"/>
  <c r="J305" i="9"/>
  <c r="O305" i="9" s="1"/>
  <c r="I305" i="9"/>
  <c r="S305" i="9" s="1"/>
  <c r="H305" i="9"/>
  <c r="M305" i="9" s="1"/>
  <c r="G305" i="9"/>
  <c r="L305" i="9" s="1"/>
  <c r="F305" i="9"/>
  <c r="K305" i="9" s="1"/>
  <c r="L304" i="9"/>
  <c r="J304" i="9"/>
  <c r="I304" i="9"/>
  <c r="N304" i="9" s="1"/>
  <c r="H304" i="9"/>
  <c r="R304" i="9" s="1"/>
  <c r="G304" i="9"/>
  <c r="Q304" i="9" s="1"/>
  <c r="F304" i="9"/>
  <c r="K304" i="9" s="1"/>
  <c r="P303" i="9"/>
  <c r="K303" i="9"/>
  <c r="J303" i="9"/>
  <c r="O303" i="9" s="1"/>
  <c r="I303" i="9"/>
  <c r="H303" i="9"/>
  <c r="M303" i="9" s="1"/>
  <c r="G303" i="9"/>
  <c r="F303" i="9"/>
  <c r="R302" i="9"/>
  <c r="N302" i="9"/>
  <c r="M302" i="9"/>
  <c r="K302" i="9"/>
  <c r="J302" i="9"/>
  <c r="T302" i="9" s="1"/>
  <c r="I302" i="9"/>
  <c r="S302" i="9" s="1"/>
  <c r="H302" i="9"/>
  <c r="G302" i="9"/>
  <c r="L302" i="9" s="1"/>
  <c r="F302" i="9"/>
  <c r="P302" i="9" s="1"/>
  <c r="T301" i="9"/>
  <c r="Q301" i="9"/>
  <c r="M301" i="9"/>
  <c r="J301" i="9"/>
  <c r="O301" i="9" s="1"/>
  <c r="I301" i="9"/>
  <c r="S301" i="9" s="1"/>
  <c r="H301" i="9"/>
  <c r="R301" i="9" s="1"/>
  <c r="G301" i="9"/>
  <c r="L301" i="9" s="1"/>
  <c r="F301" i="9"/>
  <c r="K301" i="9" s="1"/>
  <c r="T300" i="9"/>
  <c r="P300" i="9"/>
  <c r="M300" i="9"/>
  <c r="K300" i="9"/>
  <c r="J300" i="9"/>
  <c r="O300" i="9" s="1"/>
  <c r="I300" i="9"/>
  <c r="N300" i="9" s="1"/>
  <c r="H300" i="9"/>
  <c r="R300" i="9" s="1"/>
  <c r="G300" i="9"/>
  <c r="F300" i="9"/>
  <c r="S299" i="9"/>
  <c r="N299" i="9"/>
  <c r="K299" i="9"/>
  <c r="J299" i="9"/>
  <c r="T299" i="9" s="1"/>
  <c r="I299" i="9"/>
  <c r="H299" i="9"/>
  <c r="M299" i="9" s="1"/>
  <c r="G299" i="9"/>
  <c r="F299" i="9"/>
  <c r="P299" i="9" s="1"/>
  <c r="R298" i="9"/>
  <c r="M298" i="9"/>
  <c r="J298" i="9"/>
  <c r="T298" i="9" s="1"/>
  <c r="I298" i="9"/>
  <c r="S298" i="9" s="1"/>
  <c r="H298" i="9"/>
  <c r="G298" i="9"/>
  <c r="L298" i="9" s="1"/>
  <c r="F298" i="9"/>
  <c r="Q297" i="9"/>
  <c r="L297" i="9"/>
  <c r="J297" i="9"/>
  <c r="O297" i="9" s="1"/>
  <c r="I297" i="9"/>
  <c r="H297" i="9"/>
  <c r="R297" i="9" s="1"/>
  <c r="G297" i="9"/>
  <c r="F297" i="9"/>
  <c r="K297" i="9" s="1"/>
  <c r="T296" i="9"/>
  <c r="P296" i="9"/>
  <c r="K296" i="9"/>
  <c r="J296" i="9"/>
  <c r="O296" i="9" s="1"/>
  <c r="I296" i="9"/>
  <c r="N296" i="9" s="1"/>
  <c r="H296" i="9"/>
  <c r="R296" i="9" s="1"/>
  <c r="G296" i="9"/>
  <c r="F296" i="9"/>
  <c r="S295" i="9"/>
  <c r="N295" i="9"/>
  <c r="L295" i="9"/>
  <c r="K295" i="9"/>
  <c r="J295" i="9"/>
  <c r="T295" i="9" s="1"/>
  <c r="I295" i="9"/>
  <c r="H295" i="9"/>
  <c r="M295" i="9" s="1"/>
  <c r="G295" i="9"/>
  <c r="Q295" i="9" s="1"/>
  <c r="F295" i="9"/>
  <c r="P295" i="9" s="1"/>
  <c r="R294" i="9"/>
  <c r="M294" i="9"/>
  <c r="K294" i="9"/>
  <c r="J294" i="9"/>
  <c r="T294" i="9" s="1"/>
  <c r="I294" i="9"/>
  <c r="N294" i="9" s="1"/>
  <c r="H294" i="9"/>
  <c r="G294" i="9"/>
  <c r="L294" i="9" s="1"/>
  <c r="F294" i="9"/>
  <c r="P294" i="9" s="1"/>
  <c r="R293" i="9"/>
  <c r="N293" i="9"/>
  <c r="J293" i="9"/>
  <c r="T293" i="9" s="1"/>
  <c r="I293" i="9"/>
  <c r="S293" i="9" s="1"/>
  <c r="H293" i="9"/>
  <c r="M293" i="9" s="1"/>
  <c r="G293" i="9"/>
  <c r="L293" i="9" s="1"/>
  <c r="F293" i="9"/>
  <c r="K293" i="9" s="1"/>
  <c r="T292" i="9"/>
  <c r="R292" i="9"/>
  <c r="N292" i="9"/>
  <c r="M292" i="9"/>
  <c r="J292" i="9"/>
  <c r="O292" i="9" s="1"/>
  <c r="I292" i="9"/>
  <c r="S292" i="9" s="1"/>
  <c r="H292" i="9"/>
  <c r="G292" i="9"/>
  <c r="F292" i="9"/>
  <c r="K292" i="9" s="1"/>
  <c r="O291" i="9"/>
  <c r="M291" i="9"/>
  <c r="J291" i="9"/>
  <c r="T291" i="9" s="1"/>
  <c r="I291" i="9"/>
  <c r="S291" i="9" s="1"/>
  <c r="H291" i="9"/>
  <c r="R291" i="9" s="1"/>
  <c r="G291" i="9"/>
  <c r="F291" i="9"/>
  <c r="P291" i="9" s="1"/>
  <c r="J290" i="9"/>
  <c r="I290" i="9"/>
  <c r="S290" i="9" s="1"/>
  <c r="H290" i="9"/>
  <c r="R290" i="9" s="1"/>
  <c r="G290" i="9"/>
  <c r="Q290" i="9" s="1"/>
  <c r="F290" i="9"/>
  <c r="L289" i="9"/>
  <c r="K289" i="9"/>
  <c r="J289" i="9"/>
  <c r="O289" i="9" s="1"/>
  <c r="I289" i="9"/>
  <c r="H289" i="9"/>
  <c r="M289" i="9" s="1"/>
  <c r="G289" i="9"/>
  <c r="Q289" i="9" s="1"/>
  <c r="F289" i="9"/>
  <c r="P289" i="9" s="1"/>
  <c r="Q288" i="9"/>
  <c r="L288" i="9"/>
  <c r="J288" i="9"/>
  <c r="I288" i="9"/>
  <c r="N288" i="9" s="1"/>
  <c r="H288" i="9"/>
  <c r="G288" i="9"/>
  <c r="F288" i="9"/>
  <c r="P288" i="9" s="1"/>
  <c r="S287" i="9"/>
  <c r="P287" i="9"/>
  <c r="O287" i="9"/>
  <c r="J287" i="9"/>
  <c r="T287" i="9" s="1"/>
  <c r="I287" i="9"/>
  <c r="N287" i="9" s="1"/>
  <c r="H287" i="9"/>
  <c r="M287" i="9" s="1"/>
  <c r="G287" i="9"/>
  <c r="F287" i="9"/>
  <c r="K287" i="9" s="1"/>
  <c r="N286" i="9"/>
  <c r="J286" i="9"/>
  <c r="I286" i="9"/>
  <c r="S286" i="9" s="1"/>
  <c r="H286" i="9"/>
  <c r="M286" i="9" s="1"/>
  <c r="G286" i="9"/>
  <c r="L286" i="9" s="1"/>
  <c r="F286" i="9"/>
  <c r="P285" i="9"/>
  <c r="O285" i="9"/>
  <c r="J285" i="9"/>
  <c r="T285" i="9" s="1"/>
  <c r="I285" i="9"/>
  <c r="H285" i="9"/>
  <c r="R285" i="9" s="1"/>
  <c r="G285" i="9"/>
  <c r="L285" i="9" s="1"/>
  <c r="F285" i="9"/>
  <c r="K285" i="9" s="1"/>
  <c r="T284" i="9"/>
  <c r="P284" i="9"/>
  <c r="O284" i="9"/>
  <c r="J284" i="9"/>
  <c r="I284" i="9"/>
  <c r="H284" i="9"/>
  <c r="G284" i="9"/>
  <c r="F284" i="9"/>
  <c r="K284" i="9" s="1"/>
  <c r="T283" i="9"/>
  <c r="J283" i="9"/>
  <c r="O283" i="9" s="1"/>
  <c r="I283" i="9"/>
  <c r="S283" i="9" s="1"/>
  <c r="H283" i="9"/>
  <c r="R283" i="9" s="1"/>
  <c r="G283" i="9"/>
  <c r="F283" i="9"/>
  <c r="P283" i="9" s="1"/>
  <c r="R282" i="9"/>
  <c r="J282" i="9"/>
  <c r="I282" i="9"/>
  <c r="S282" i="9" s="1"/>
  <c r="H282" i="9"/>
  <c r="M282" i="9" s="1"/>
  <c r="G282" i="9"/>
  <c r="Q282" i="9" s="1"/>
  <c r="F282" i="9"/>
  <c r="M281" i="9"/>
  <c r="L281" i="9"/>
  <c r="K281" i="9"/>
  <c r="J281" i="9"/>
  <c r="O281" i="9" s="1"/>
  <c r="I281" i="9"/>
  <c r="H281" i="9"/>
  <c r="R281" i="9" s="1"/>
  <c r="G281" i="9"/>
  <c r="Q281" i="9" s="1"/>
  <c r="F281" i="9"/>
  <c r="P281" i="9" s="1"/>
  <c r="T280" i="9"/>
  <c r="S280" i="9"/>
  <c r="P280" i="9"/>
  <c r="J280" i="9"/>
  <c r="O280" i="9" s="1"/>
  <c r="I280" i="9"/>
  <c r="N280" i="9" s="1"/>
  <c r="H280" i="9"/>
  <c r="G280" i="9"/>
  <c r="Q280" i="9" s="1"/>
  <c r="F280" i="9"/>
  <c r="K280" i="9" s="1"/>
  <c r="R279" i="9"/>
  <c r="J279" i="9"/>
  <c r="T279" i="9" s="1"/>
  <c r="I279" i="9"/>
  <c r="N279" i="9" s="1"/>
  <c r="H279" i="9"/>
  <c r="M279" i="9" s="1"/>
  <c r="G279" i="9"/>
  <c r="F279" i="9"/>
  <c r="P279" i="9" s="1"/>
  <c r="J278" i="9"/>
  <c r="I278" i="9"/>
  <c r="S278" i="9" s="1"/>
  <c r="H278" i="9"/>
  <c r="M278" i="9" s="1"/>
  <c r="G278" i="9"/>
  <c r="L278" i="9" s="1"/>
  <c r="F278" i="9"/>
  <c r="J277" i="9"/>
  <c r="T277" i="9" s="1"/>
  <c r="I277" i="9"/>
  <c r="H277" i="9"/>
  <c r="R277" i="9" s="1"/>
  <c r="G277" i="9"/>
  <c r="L277" i="9" s="1"/>
  <c r="F277" i="9"/>
  <c r="K277" i="9" s="1"/>
  <c r="N276" i="9"/>
  <c r="J276" i="9"/>
  <c r="T276" i="9" s="1"/>
  <c r="I276" i="9"/>
  <c r="S276" i="9" s="1"/>
  <c r="H276" i="9"/>
  <c r="G276" i="9"/>
  <c r="F276" i="9"/>
  <c r="K276" i="9" s="1"/>
  <c r="O275" i="9"/>
  <c r="N275" i="9"/>
  <c r="M275" i="9"/>
  <c r="J275" i="9"/>
  <c r="T275" i="9" s="1"/>
  <c r="I275" i="9"/>
  <c r="S275" i="9" s="1"/>
  <c r="H275" i="9"/>
  <c r="R275" i="9" s="1"/>
  <c r="G275" i="9"/>
  <c r="F275" i="9"/>
  <c r="P275" i="9" s="1"/>
  <c r="T274" i="9"/>
  <c r="S274" i="9"/>
  <c r="N274" i="9"/>
  <c r="J274" i="9"/>
  <c r="O274" i="9" s="1"/>
  <c r="I274" i="9"/>
  <c r="H274" i="9"/>
  <c r="R274" i="9" s="1"/>
  <c r="G274" i="9"/>
  <c r="Q274" i="9" s="1"/>
  <c r="F274" i="9"/>
  <c r="K273" i="9"/>
  <c r="J273" i="9"/>
  <c r="O273" i="9" s="1"/>
  <c r="I273" i="9"/>
  <c r="N273" i="9" s="1"/>
  <c r="H273" i="9"/>
  <c r="R273" i="9" s="1"/>
  <c r="G273" i="9"/>
  <c r="Q273" i="9" s="1"/>
  <c r="F273" i="9"/>
  <c r="P273" i="9" s="1"/>
  <c r="P272" i="9"/>
  <c r="L272" i="9"/>
  <c r="K272" i="9"/>
  <c r="J272" i="9"/>
  <c r="O272" i="9" s="1"/>
  <c r="I272" i="9"/>
  <c r="N272" i="9" s="1"/>
  <c r="H272" i="9"/>
  <c r="M272" i="9" s="1"/>
  <c r="G272" i="9"/>
  <c r="Q272" i="9" s="1"/>
  <c r="F272" i="9"/>
  <c r="S271" i="9"/>
  <c r="R271" i="9"/>
  <c r="O271" i="9"/>
  <c r="J271" i="9"/>
  <c r="T271" i="9" s="1"/>
  <c r="I271" i="9"/>
  <c r="N271" i="9" s="1"/>
  <c r="H271" i="9"/>
  <c r="M271" i="9" s="1"/>
  <c r="G271" i="9"/>
  <c r="F271" i="9"/>
  <c r="P271" i="9" s="1"/>
  <c r="Q270" i="9"/>
  <c r="J270" i="9"/>
  <c r="I270" i="9"/>
  <c r="H270" i="9"/>
  <c r="G270" i="9"/>
  <c r="L270" i="9" s="1"/>
  <c r="F270" i="9"/>
  <c r="K270" i="9" s="1"/>
  <c r="M269" i="9"/>
  <c r="J269" i="9"/>
  <c r="T269" i="9" s="1"/>
  <c r="I269" i="9"/>
  <c r="H269" i="9"/>
  <c r="R269" i="9" s="1"/>
  <c r="G269" i="9"/>
  <c r="L269" i="9" s="1"/>
  <c r="F269" i="9"/>
  <c r="K269" i="9" s="1"/>
  <c r="T268" i="9"/>
  <c r="O268" i="9"/>
  <c r="N268" i="9"/>
  <c r="J268" i="9"/>
  <c r="I268" i="9"/>
  <c r="S268" i="9" s="1"/>
  <c r="H268" i="9"/>
  <c r="G268" i="9"/>
  <c r="Q268" i="9" s="1"/>
  <c r="F268" i="9"/>
  <c r="K268" i="9" s="1"/>
  <c r="T267" i="9"/>
  <c r="S267" i="9"/>
  <c r="O267" i="9"/>
  <c r="N267" i="9"/>
  <c r="J267" i="9"/>
  <c r="I267" i="9"/>
  <c r="H267" i="9"/>
  <c r="G267" i="9"/>
  <c r="F267" i="9"/>
  <c r="P267" i="9" s="1"/>
  <c r="R266" i="9"/>
  <c r="J266" i="9"/>
  <c r="T266" i="9" s="1"/>
  <c r="I266" i="9"/>
  <c r="S266" i="9" s="1"/>
  <c r="H266" i="9"/>
  <c r="M266" i="9" s="1"/>
  <c r="G266" i="9"/>
  <c r="Q266" i="9" s="1"/>
  <c r="F266" i="9"/>
  <c r="M265" i="9"/>
  <c r="L265" i="9"/>
  <c r="K265" i="9"/>
  <c r="J265" i="9"/>
  <c r="O265" i="9" s="1"/>
  <c r="I265" i="9"/>
  <c r="H265" i="9"/>
  <c r="R265" i="9" s="1"/>
  <c r="G265" i="9"/>
  <c r="Q265" i="9" s="1"/>
  <c r="F265" i="9"/>
  <c r="P265" i="9" s="1"/>
  <c r="S264" i="9"/>
  <c r="J264" i="9"/>
  <c r="O264" i="9" s="1"/>
  <c r="I264" i="9"/>
  <c r="N264" i="9" s="1"/>
  <c r="H264" i="9"/>
  <c r="M264" i="9" s="1"/>
  <c r="G264" i="9"/>
  <c r="Q264" i="9" s="1"/>
  <c r="F264" i="9"/>
  <c r="P264" i="9" s="1"/>
  <c r="O263" i="9"/>
  <c r="J263" i="9"/>
  <c r="T263" i="9" s="1"/>
  <c r="I263" i="9"/>
  <c r="N263" i="9" s="1"/>
  <c r="H263" i="9"/>
  <c r="M263" i="9" s="1"/>
  <c r="G263" i="9"/>
  <c r="Q263" i="9" s="1"/>
  <c r="F263" i="9"/>
  <c r="P263" i="9" s="1"/>
  <c r="J262" i="9"/>
  <c r="I262" i="9"/>
  <c r="S262" i="9" s="1"/>
  <c r="H262" i="9"/>
  <c r="M262" i="9" s="1"/>
  <c r="G262" i="9"/>
  <c r="L262" i="9" s="1"/>
  <c r="F262" i="9"/>
  <c r="J261" i="9"/>
  <c r="T261" i="9" s="1"/>
  <c r="I261" i="9"/>
  <c r="H261" i="9"/>
  <c r="G261" i="9"/>
  <c r="L261" i="9" s="1"/>
  <c r="F261" i="9"/>
  <c r="K261" i="9" s="1"/>
  <c r="L260" i="9"/>
  <c r="J260" i="9"/>
  <c r="T260" i="9" s="1"/>
  <c r="I260" i="9"/>
  <c r="S260" i="9" s="1"/>
  <c r="H260" i="9"/>
  <c r="G260" i="9"/>
  <c r="Q260" i="9" s="1"/>
  <c r="F260" i="9"/>
  <c r="K260" i="9" s="1"/>
  <c r="O259" i="9"/>
  <c r="N259" i="9"/>
  <c r="J259" i="9"/>
  <c r="T259" i="9" s="1"/>
  <c r="I259" i="9"/>
  <c r="S259" i="9" s="1"/>
  <c r="H259" i="9"/>
  <c r="G259" i="9"/>
  <c r="F259" i="9"/>
  <c r="K259" i="9" s="1"/>
  <c r="S258" i="9"/>
  <c r="N258" i="9"/>
  <c r="J258" i="9"/>
  <c r="T258" i="9" s="1"/>
  <c r="I258" i="9"/>
  <c r="H258" i="9"/>
  <c r="R258" i="9" s="1"/>
  <c r="G258" i="9"/>
  <c r="Q258" i="9" s="1"/>
  <c r="F258" i="9"/>
  <c r="P258" i="9" s="1"/>
  <c r="T257" i="9"/>
  <c r="L257" i="9"/>
  <c r="K257" i="9"/>
  <c r="J257" i="9"/>
  <c r="O257" i="9" s="1"/>
  <c r="I257" i="9"/>
  <c r="N257" i="9" s="1"/>
  <c r="H257" i="9"/>
  <c r="R257" i="9" s="1"/>
  <c r="G257" i="9"/>
  <c r="Q257" i="9" s="1"/>
  <c r="F257" i="9"/>
  <c r="P257" i="9" s="1"/>
  <c r="P256" i="9"/>
  <c r="L256" i="9"/>
  <c r="K256" i="9"/>
  <c r="J256" i="9"/>
  <c r="O256" i="9" s="1"/>
  <c r="I256" i="9"/>
  <c r="N256" i="9" s="1"/>
  <c r="H256" i="9"/>
  <c r="M256" i="9" s="1"/>
  <c r="G256" i="9"/>
  <c r="Q256" i="9" s="1"/>
  <c r="F256" i="9"/>
  <c r="O255" i="9"/>
  <c r="L255" i="9"/>
  <c r="J255" i="9"/>
  <c r="T255" i="9" s="1"/>
  <c r="I255" i="9"/>
  <c r="N255" i="9" s="1"/>
  <c r="H255" i="9"/>
  <c r="M255" i="9" s="1"/>
  <c r="G255" i="9"/>
  <c r="Q255" i="9" s="1"/>
  <c r="F255" i="9"/>
  <c r="K255" i="9" s="1"/>
  <c r="R254" i="9"/>
  <c r="J254" i="9"/>
  <c r="T254" i="9" s="1"/>
  <c r="I254" i="9"/>
  <c r="N254" i="9" s="1"/>
  <c r="H254" i="9"/>
  <c r="M254" i="9" s="1"/>
  <c r="G254" i="9"/>
  <c r="L254" i="9" s="1"/>
  <c r="F254" i="9"/>
  <c r="P254" i="9" s="1"/>
  <c r="N253" i="9"/>
  <c r="M253" i="9"/>
  <c r="J253" i="9"/>
  <c r="I253" i="9"/>
  <c r="S253" i="9" s="1"/>
  <c r="H253" i="9"/>
  <c r="R253" i="9" s="1"/>
  <c r="G253" i="9"/>
  <c r="L253" i="9" s="1"/>
  <c r="F253" i="9"/>
  <c r="K253" i="9" s="1"/>
  <c r="T252" i="9"/>
  <c r="O252" i="9"/>
  <c r="J252" i="9"/>
  <c r="I252" i="9"/>
  <c r="S252" i="9" s="1"/>
  <c r="H252" i="9"/>
  <c r="R252" i="9" s="1"/>
  <c r="G252" i="9"/>
  <c r="F252" i="9"/>
  <c r="K252" i="9" s="1"/>
  <c r="P251" i="9"/>
  <c r="O251" i="9"/>
  <c r="J251" i="9"/>
  <c r="T251" i="9" s="1"/>
  <c r="I251" i="9"/>
  <c r="N251" i="9" s="1"/>
  <c r="H251" i="9"/>
  <c r="R251" i="9" s="1"/>
  <c r="G251" i="9"/>
  <c r="Q251" i="9" s="1"/>
  <c r="F251" i="9"/>
  <c r="K251" i="9" s="1"/>
  <c r="S250" i="9"/>
  <c r="L250" i="9"/>
  <c r="J250" i="9"/>
  <c r="O250" i="9" s="1"/>
  <c r="I250" i="9"/>
  <c r="N250" i="9" s="1"/>
  <c r="H250" i="9"/>
  <c r="R250" i="9" s="1"/>
  <c r="G250" i="9"/>
  <c r="Q250" i="9" s="1"/>
  <c r="F250" i="9"/>
  <c r="P250" i="9" s="1"/>
  <c r="N249" i="9"/>
  <c r="M249" i="9"/>
  <c r="L249" i="9"/>
  <c r="J249" i="9"/>
  <c r="O249" i="9" s="1"/>
  <c r="I249" i="9"/>
  <c r="S249" i="9" s="1"/>
  <c r="H249" i="9"/>
  <c r="R249" i="9" s="1"/>
  <c r="G249" i="9"/>
  <c r="Q249" i="9" s="1"/>
  <c r="F249" i="9"/>
  <c r="Q248" i="9"/>
  <c r="L248" i="9"/>
  <c r="J248" i="9"/>
  <c r="O248" i="9" s="1"/>
  <c r="I248" i="9"/>
  <c r="N248" i="9" s="1"/>
  <c r="H248" i="9"/>
  <c r="R248" i="9" s="1"/>
  <c r="G248" i="9"/>
  <c r="F248" i="9"/>
  <c r="P248" i="9" s="1"/>
  <c r="J247" i="9"/>
  <c r="T247" i="9" s="1"/>
  <c r="I247" i="9"/>
  <c r="N247" i="9" s="1"/>
  <c r="H247" i="9"/>
  <c r="M247" i="9" s="1"/>
  <c r="G247" i="9"/>
  <c r="F247" i="9"/>
  <c r="P247" i="9" s="1"/>
  <c r="O246" i="9"/>
  <c r="N246" i="9"/>
  <c r="J246" i="9"/>
  <c r="T246" i="9" s="1"/>
  <c r="I246" i="9"/>
  <c r="S246" i="9" s="1"/>
  <c r="H246" i="9"/>
  <c r="M246" i="9" s="1"/>
  <c r="G246" i="9"/>
  <c r="L246" i="9" s="1"/>
  <c r="F246" i="9"/>
  <c r="P246" i="9" s="1"/>
  <c r="N245" i="9"/>
  <c r="J245" i="9"/>
  <c r="T245" i="9" s="1"/>
  <c r="I245" i="9"/>
  <c r="S245" i="9" s="1"/>
  <c r="H245" i="9"/>
  <c r="M245" i="9" s="1"/>
  <c r="G245" i="9"/>
  <c r="F245" i="9"/>
  <c r="K245" i="9" s="1"/>
  <c r="Q244" i="9"/>
  <c r="O244" i="9"/>
  <c r="L244" i="9"/>
  <c r="J244" i="9"/>
  <c r="T244" i="9" s="1"/>
  <c r="I244" i="9"/>
  <c r="S244" i="9" s="1"/>
  <c r="H244" i="9"/>
  <c r="R244" i="9" s="1"/>
  <c r="G244" i="9"/>
  <c r="F244" i="9"/>
  <c r="K244" i="9" s="1"/>
  <c r="T243" i="9"/>
  <c r="S243" i="9"/>
  <c r="O243" i="9"/>
  <c r="N243" i="9"/>
  <c r="J243" i="9"/>
  <c r="I243" i="9"/>
  <c r="H243" i="9"/>
  <c r="G243" i="9"/>
  <c r="F243" i="9"/>
  <c r="P243" i="9" s="1"/>
  <c r="R242" i="9"/>
  <c r="J242" i="9"/>
  <c r="T242" i="9" s="1"/>
  <c r="I242" i="9"/>
  <c r="S242" i="9" s="1"/>
  <c r="H242" i="9"/>
  <c r="M242" i="9" s="1"/>
  <c r="G242" i="9"/>
  <c r="Q242" i="9" s="1"/>
  <c r="F242" i="9"/>
  <c r="P242" i="9" s="1"/>
  <c r="M241" i="9"/>
  <c r="L241" i="9"/>
  <c r="K241" i="9"/>
  <c r="J241" i="9"/>
  <c r="O241" i="9" s="1"/>
  <c r="I241" i="9"/>
  <c r="H241" i="9"/>
  <c r="R241" i="9" s="1"/>
  <c r="G241" i="9"/>
  <c r="Q241" i="9" s="1"/>
  <c r="F241" i="9"/>
  <c r="P241" i="9" s="1"/>
  <c r="Q240" i="9"/>
  <c r="L240" i="9"/>
  <c r="J240" i="9"/>
  <c r="O240" i="9" s="1"/>
  <c r="I240" i="9"/>
  <c r="N240" i="9" s="1"/>
  <c r="H240" i="9"/>
  <c r="M240" i="9" s="1"/>
  <c r="G240" i="9"/>
  <c r="F240" i="9"/>
  <c r="P240" i="9" s="1"/>
  <c r="O239" i="9"/>
  <c r="J239" i="9"/>
  <c r="T239" i="9" s="1"/>
  <c r="I239" i="9"/>
  <c r="N239" i="9" s="1"/>
  <c r="H239" i="9"/>
  <c r="M239" i="9" s="1"/>
  <c r="G239" i="9"/>
  <c r="Q239" i="9" s="1"/>
  <c r="F239" i="9"/>
  <c r="P239" i="9" s="1"/>
  <c r="O238" i="9"/>
  <c r="J238" i="9"/>
  <c r="T238" i="9" s="1"/>
  <c r="I238" i="9"/>
  <c r="N238" i="9" s="1"/>
  <c r="H238" i="9"/>
  <c r="M238" i="9" s="1"/>
  <c r="G238" i="9"/>
  <c r="L238" i="9" s="1"/>
  <c r="F238" i="9"/>
  <c r="P238" i="9" s="1"/>
  <c r="N237" i="9"/>
  <c r="M237" i="9"/>
  <c r="J237" i="9"/>
  <c r="I237" i="9"/>
  <c r="S237" i="9" s="1"/>
  <c r="H237" i="9"/>
  <c r="R237" i="9" s="1"/>
  <c r="G237" i="9"/>
  <c r="L237" i="9" s="1"/>
  <c r="F237" i="9"/>
  <c r="K237" i="9" s="1"/>
  <c r="T236" i="9"/>
  <c r="O236" i="9"/>
  <c r="J236" i="9"/>
  <c r="I236" i="9"/>
  <c r="S236" i="9" s="1"/>
  <c r="H236" i="9"/>
  <c r="R236" i="9" s="1"/>
  <c r="G236" i="9"/>
  <c r="F236" i="9"/>
  <c r="K236" i="9" s="1"/>
  <c r="T235" i="9"/>
  <c r="O235" i="9"/>
  <c r="J235" i="9"/>
  <c r="I235" i="9"/>
  <c r="S235" i="9" s="1"/>
  <c r="H235" i="9"/>
  <c r="R235" i="9" s="1"/>
  <c r="G235" i="9"/>
  <c r="Q235" i="9" s="1"/>
  <c r="F235" i="9"/>
  <c r="P235" i="9" s="1"/>
  <c r="J234" i="9"/>
  <c r="I234" i="9"/>
  <c r="H234" i="9"/>
  <c r="R234" i="9" s="1"/>
  <c r="G234" i="9"/>
  <c r="Q234" i="9" s="1"/>
  <c r="F234" i="9"/>
  <c r="P234" i="9" s="1"/>
  <c r="T233" i="9"/>
  <c r="M233" i="9"/>
  <c r="K233" i="9"/>
  <c r="J233" i="9"/>
  <c r="O233" i="9" s="1"/>
  <c r="I233" i="9"/>
  <c r="N233" i="9" s="1"/>
  <c r="H233" i="9"/>
  <c r="R233" i="9" s="1"/>
  <c r="G233" i="9"/>
  <c r="L233" i="9" s="1"/>
  <c r="F233" i="9"/>
  <c r="P233" i="9" s="1"/>
  <c r="Q232" i="9"/>
  <c r="N232" i="9"/>
  <c r="M232" i="9"/>
  <c r="L232" i="9"/>
  <c r="J232" i="9"/>
  <c r="O232" i="9" s="1"/>
  <c r="I232" i="9"/>
  <c r="S232" i="9" s="1"/>
  <c r="H232" i="9"/>
  <c r="R232" i="9" s="1"/>
  <c r="G232" i="9"/>
  <c r="F232" i="9"/>
  <c r="T231" i="9"/>
  <c r="J231" i="9"/>
  <c r="O231" i="9" s="1"/>
  <c r="I231" i="9"/>
  <c r="N231" i="9" s="1"/>
  <c r="H231" i="9"/>
  <c r="R231" i="9" s="1"/>
  <c r="G231" i="9"/>
  <c r="F231" i="9"/>
  <c r="P231" i="9" s="1"/>
  <c r="S230" i="9"/>
  <c r="R230" i="9"/>
  <c r="J230" i="9"/>
  <c r="I230" i="9"/>
  <c r="N230" i="9" s="1"/>
  <c r="H230" i="9"/>
  <c r="M230" i="9" s="1"/>
  <c r="G230" i="9"/>
  <c r="Q230" i="9" s="1"/>
  <c r="F230" i="9"/>
  <c r="P230" i="9" s="1"/>
  <c r="S229" i="9"/>
  <c r="O229" i="9"/>
  <c r="N229" i="9"/>
  <c r="M229" i="9"/>
  <c r="J229" i="9"/>
  <c r="T229" i="9" s="1"/>
  <c r="I229" i="9"/>
  <c r="H229" i="9"/>
  <c r="R229" i="9" s="1"/>
  <c r="G229" i="9"/>
  <c r="F229" i="9"/>
  <c r="K229" i="9" s="1"/>
  <c r="M228" i="9"/>
  <c r="J228" i="9"/>
  <c r="T228" i="9" s="1"/>
  <c r="I228" i="9"/>
  <c r="S228" i="9" s="1"/>
  <c r="H228" i="9"/>
  <c r="R228" i="9" s="1"/>
  <c r="G228" i="9"/>
  <c r="F228" i="9"/>
  <c r="K228" i="9" s="1"/>
  <c r="T227" i="9"/>
  <c r="Q227" i="9"/>
  <c r="O227" i="9"/>
  <c r="J227" i="9"/>
  <c r="I227" i="9"/>
  <c r="H227" i="9"/>
  <c r="R227" i="9" s="1"/>
  <c r="G227" i="9"/>
  <c r="L227" i="9" s="1"/>
  <c r="F227" i="9"/>
  <c r="P227" i="9" s="1"/>
  <c r="T226" i="9"/>
  <c r="N226" i="9"/>
  <c r="K226" i="9"/>
  <c r="J226" i="9"/>
  <c r="O226" i="9" s="1"/>
  <c r="I226" i="9"/>
  <c r="S226" i="9" s="1"/>
  <c r="H226" i="9"/>
  <c r="G226" i="9"/>
  <c r="F226" i="9"/>
  <c r="P226" i="9" s="1"/>
  <c r="N225" i="9"/>
  <c r="M225" i="9"/>
  <c r="J225" i="9"/>
  <c r="T225" i="9" s="1"/>
  <c r="I225" i="9"/>
  <c r="S225" i="9" s="1"/>
  <c r="H225" i="9"/>
  <c r="R225" i="9" s="1"/>
  <c r="G225" i="9"/>
  <c r="L225" i="9" s="1"/>
  <c r="F225" i="9"/>
  <c r="Q224" i="9"/>
  <c r="L224" i="9"/>
  <c r="J224" i="9"/>
  <c r="O224" i="9" s="1"/>
  <c r="I224" i="9"/>
  <c r="S224" i="9" s="1"/>
  <c r="H224" i="9"/>
  <c r="R224" i="9" s="1"/>
  <c r="G224" i="9"/>
  <c r="F224" i="9"/>
  <c r="S223" i="9"/>
  <c r="P223" i="9"/>
  <c r="J223" i="9"/>
  <c r="I223" i="9"/>
  <c r="N223" i="9" s="1"/>
  <c r="H223" i="9"/>
  <c r="G223" i="9"/>
  <c r="Q223" i="9" s="1"/>
  <c r="F223" i="9"/>
  <c r="K223" i="9" s="1"/>
  <c r="J222" i="9"/>
  <c r="I222" i="9"/>
  <c r="S222" i="9" s="1"/>
  <c r="H222" i="9"/>
  <c r="G222" i="9"/>
  <c r="L222" i="9" s="1"/>
  <c r="F222" i="9"/>
  <c r="P222" i="9" s="1"/>
  <c r="J221" i="9"/>
  <c r="T221" i="9" s="1"/>
  <c r="I221" i="9"/>
  <c r="S221" i="9" s="1"/>
  <c r="H221" i="9"/>
  <c r="R221" i="9" s="1"/>
  <c r="G221" i="9"/>
  <c r="L221" i="9" s="1"/>
  <c r="F221" i="9"/>
  <c r="K221" i="9" s="1"/>
  <c r="T220" i="9"/>
  <c r="J220" i="9"/>
  <c r="O220" i="9" s="1"/>
  <c r="I220" i="9"/>
  <c r="H220" i="9"/>
  <c r="M220" i="9" s="1"/>
  <c r="G220" i="9"/>
  <c r="Q220" i="9" s="1"/>
  <c r="F220" i="9"/>
  <c r="K220" i="9" s="1"/>
  <c r="J219" i="9"/>
  <c r="I219" i="9"/>
  <c r="N219" i="9" s="1"/>
  <c r="H219" i="9"/>
  <c r="G219" i="9"/>
  <c r="F219" i="9"/>
  <c r="P219" i="9" s="1"/>
  <c r="M218" i="9"/>
  <c r="J218" i="9"/>
  <c r="T218" i="9" s="1"/>
  <c r="I218" i="9"/>
  <c r="S218" i="9" s="1"/>
  <c r="H218" i="9"/>
  <c r="R218" i="9" s="1"/>
  <c r="G218" i="9"/>
  <c r="Q218" i="9" s="1"/>
  <c r="F218" i="9"/>
  <c r="P217" i="9"/>
  <c r="M217" i="9"/>
  <c r="L217" i="9"/>
  <c r="J217" i="9"/>
  <c r="O217" i="9" s="1"/>
  <c r="I217" i="9"/>
  <c r="S217" i="9" s="1"/>
  <c r="H217" i="9"/>
  <c r="R217" i="9" s="1"/>
  <c r="G217" i="9"/>
  <c r="Q217" i="9" s="1"/>
  <c r="F217" i="9"/>
  <c r="K217" i="9" s="1"/>
  <c r="T216" i="9"/>
  <c r="S216" i="9"/>
  <c r="O216" i="9"/>
  <c r="J216" i="9"/>
  <c r="I216" i="9"/>
  <c r="N216" i="9" s="1"/>
  <c r="H216" i="9"/>
  <c r="R216" i="9" s="1"/>
  <c r="G216" i="9"/>
  <c r="F216" i="9"/>
  <c r="P216" i="9" s="1"/>
  <c r="J215" i="9"/>
  <c r="I215" i="9"/>
  <c r="H215" i="9"/>
  <c r="G215" i="9"/>
  <c r="Q215" i="9" s="1"/>
  <c r="F215" i="9"/>
  <c r="P215" i="9" s="1"/>
  <c r="J214" i="9"/>
  <c r="I214" i="9"/>
  <c r="H214" i="9"/>
  <c r="G214" i="9"/>
  <c r="L214" i="9" s="1"/>
  <c r="F214" i="9"/>
  <c r="P214" i="9" s="1"/>
  <c r="J213" i="9"/>
  <c r="I213" i="9"/>
  <c r="H213" i="9"/>
  <c r="G213" i="9"/>
  <c r="Q213" i="9" s="1"/>
  <c r="F213" i="9"/>
  <c r="K213" i="9" s="1"/>
  <c r="P212" i="9"/>
  <c r="O212" i="9"/>
  <c r="K212" i="9"/>
  <c r="J212" i="9"/>
  <c r="T212" i="9" s="1"/>
  <c r="I212" i="9"/>
  <c r="N212" i="9" s="1"/>
  <c r="H212" i="9"/>
  <c r="G212" i="9"/>
  <c r="F212" i="9"/>
  <c r="R211" i="9"/>
  <c r="O211" i="9"/>
  <c r="J211" i="9"/>
  <c r="T211" i="9" s="1"/>
  <c r="I211" i="9"/>
  <c r="N211" i="9" s="1"/>
  <c r="H211" i="9"/>
  <c r="M211" i="9" s="1"/>
  <c r="G211" i="9"/>
  <c r="F211" i="9"/>
  <c r="R210" i="9"/>
  <c r="Q210" i="9"/>
  <c r="M210" i="9"/>
  <c r="J210" i="9"/>
  <c r="T210" i="9" s="1"/>
  <c r="I210" i="9"/>
  <c r="S210" i="9" s="1"/>
  <c r="H210" i="9"/>
  <c r="G210" i="9"/>
  <c r="L210" i="9" s="1"/>
  <c r="F210" i="9"/>
  <c r="T209" i="9"/>
  <c r="Q209" i="9"/>
  <c r="L209" i="9"/>
  <c r="J209" i="9"/>
  <c r="O209" i="9" s="1"/>
  <c r="I209" i="9"/>
  <c r="S209" i="9" s="1"/>
  <c r="H209" i="9"/>
  <c r="G209" i="9"/>
  <c r="F209" i="9"/>
  <c r="T208" i="9"/>
  <c r="S208" i="9"/>
  <c r="P208" i="9"/>
  <c r="O208" i="9"/>
  <c r="J208" i="9"/>
  <c r="I208" i="9"/>
  <c r="N208" i="9" s="1"/>
  <c r="H208" i="9"/>
  <c r="G208" i="9"/>
  <c r="Q208" i="9" s="1"/>
  <c r="F208" i="9"/>
  <c r="K208" i="9" s="1"/>
  <c r="R207" i="9"/>
  <c r="J207" i="9"/>
  <c r="I207" i="9"/>
  <c r="H207" i="9"/>
  <c r="M207" i="9" s="1"/>
  <c r="G207" i="9"/>
  <c r="F207" i="9"/>
  <c r="P207" i="9" s="1"/>
  <c r="J206" i="9"/>
  <c r="I206" i="9"/>
  <c r="S206" i="9" s="1"/>
  <c r="H206" i="9"/>
  <c r="R206" i="9" s="1"/>
  <c r="G206" i="9"/>
  <c r="L206" i="9" s="1"/>
  <c r="F206" i="9"/>
  <c r="J205" i="9"/>
  <c r="I205" i="9"/>
  <c r="H205" i="9"/>
  <c r="G205" i="9"/>
  <c r="Q205" i="9" s="1"/>
  <c r="F205" i="9"/>
  <c r="K205" i="9" s="1"/>
  <c r="O204" i="9"/>
  <c r="M204" i="9"/>
  <c r="L204" i="9"/>
  <c r="K204" i="9"/>
  <c r="J204" i="9"/>
  <c r="T204" i="9" s="1"/>
  <c r="I204" i="9"/>
  <c r="N204" i="9" s="1"/>
  <c r="H204" i="9"/>
  <c r="R204" i="9" s="1"/>
  <c r="G204" i="9"/>
  <c r="Q204" i="9" s="1"/>
  <c r="F204" i="9"/>
  <c r="P204" i="9" s="1"/>
  <c r="R203" i="9"/>
  <c r="J203" i="9"/>
  <c r="O203" i="9" s="1"/>
  <c r="I203" i="9"/>
  <c r="H203" i="9"/>
  <c r="M203" i="9" s="1"/>
  <c r="G203" i="9"/>
  <c r="F203" i="9"/>
  <c r="P203" i="9" s="1"/>
  <c r="K202" i="9"/>
  <c r="J202" i="9"/>
  <c r="I202" i="9"/>
  <c r="S202" i="9" s="1"/>
  <c r="H202" i="9"/>
  <c r="G202" i="9"/>
  <c r="L202" i="9" s="1"/>
  <c r="F202" i="9"/>
  <c r="P202" i="9" s="1"/>
  <c r="P201" i="9"/>
  <c r="M201" i="9"/>
  <c r="L201" i="9"/>
  <c r="J201" i="9"/>
  <c r="O201" i="9" s="1"/>
  <c r="I201" i="9"/>
  <c r="H201" i="9"/>
  <c r="R201" i="9" s="1"/>
  <c r="G201" i="9"/>
  <c r="Q201" i="9" s="1"/>
  <c r="F201" i="9"/>
  <c r="K201" i="9" s="1"/>
  <c r="T200" i="9"/>
  <c r="O200" i="9"/>
  <c r="L200" i="9"/>
  <c r="J200" i="9"/>
  <c r="I200" i="9"/>
  <c r="N200" i="9" s="1"/>
  <c r="H200" i="9"/>
  <c r="R200" i="9" s="1"/>
  <c r="G200" i="9"/>
  <c r="Q200" i="9" s="1"/>
  <c r="F200" i="9"/>
  <c r="K200" i="9" s="1"/>
  <c r="P199" i="9"/>
  <c r="J199" i="9"/>
  <c r="I199" i="9"/>
  <c r="H199" i="9"/>
  <c r="M199" i="9" s="1"/>
  <c r="G199" i="9"/>
  <c r="F199" i="9"/>
  <c r="K199" i="9" s="1"/>
  <c r="K198" i="9"/>
  <c r="J198" i="9"/>
  <c r="T198" i="9" s="1"/>
  <c r="I198" i="9"/>
  <c r="S198" i="9" s="1"/>
  <c r="H198" i="9"/>
  <c r="G198" i="9"/>
  <c r="L198" i="9" s="1"/>
  <c r="F198" i="9"/>
  <c r="P198" i="9" s="1"/>
  <c r="Q197" i="9"/>
  <c r="L197" i="9"/>
  <c r="J197" i="9"/>
  <c r="O197" i="9" s="1"/>
  <c r="I197" i="9"/>
  <c r="H197" i="9"/>
  <c r="M197" i="9" s="1"/>
  <c r="G197" i="9"/>
  <c r="F197" i="9"/>
  <c r="K197" i="9" s="1"/>
  <c r="P196" i="9"/>
  <c r="O196" i="9"/>
  <c r="M196" i="9"/>
  <c r="J196" i="9"/>
  <c r="T196" i="9" s="1"/>
  <c r="I196" i="9"/>
  <c r="N196" i="9" s="1"/>
  <c r="H196" i="9"/>
  <c r="R196" i="9" s="1"/>
  <c r="G196" i="9"/>
  <c r="L196" i="9" s="1"/>
  <c r="F196" i="9"/>
  <c r="K196" i="9" s="1"/>
  <c r="T195" i="9"/>
  <c r="J195" i="9"/>
  <c r="O195" i="9" s="1"/>
  <c r="I195" i="9"/>
  <c r="H195" i="9"/>
  <c r="M195" i="9" s="1"/>
  <c r="G195" i="9"/>
  <c r="F195" i="9"/>
  <c r="P195" i="9" s="1"/>
  <c r="M194" i="9"/>
  <c r="J194" i="9"/>
  <c r="I194" i="9"/>
  <c r="S194" i="9" s="1"/>
  <c r="H194" i="9"/>
  <c r="R194" i="9" s="1"/>
  <c r="G194" i="9"/>
  <c r="L194" i="9" s="1"/>
  <c r="F194" i="9"/>
  <c r="J193" i="9"/>
  <c r="I193" i="9"/>
  <c r="S193" i="9" s="1"/>
  <c r="H193" i="9"/>
  <c r="R193" i="9" s="1"/>
  <c r="G193" i="9"/>
  <c r="F193" i="9"/>
  <c r="K193" i="9" s="1"/>
  <c r="O192" i="9"/>
  <c r="K192" i="9"/>
  <c r="J192" i="9"/>
  <c r="T192" i="9" s="1"/>
  <c r="I192" i="9"/>
  <c r="N192" i="9" s="1"/>
  <c r="H192" i="9"/>
  <c r="G192" i="9"/>
  <c r="L192" i="9" s="1"/>
  <c r="F192" i="9"/>
  <c r="P192" i="9" s="1"/>
  <c r="N191" i="9"/>
  <c r="L191" i="9"/>
  <c r="J191" i="9"/>
  <c r="T191" i="9" s="1"/>
  <c r="I191" i="9"/>
  <c r="S191" i="9" s="1"/>
  <c r="H191" i="9"/>
  <c r="M191" i="9" s="1"/>
  <c r="G191" i="9"/>
  <c r="Q191" i="9" s="1"/>
  <c r="F191" i="9"/>
  <c r="K191" i="9" s="1"/>
  <c r="S190" i="9"/>
  <c r="O190" i="9"/>
  <c r="M190" i="9"/>
  <c r="J190" i="9"/>
  <c r="T190" i="9" s="1"/>
  <c r="I190" i="9"/>
  <c r="N190" i="9" s="1"/>
  <c r="H190" i="9"/>
  <c r="R190" i="9" s="1"/>
  <c r="G190" i="9"/>
  <c r="L190" i="9" s="1"/>
  <c r="F190" i="9"/>
  <c r="P190" i="9" s="1"/>
  <c r="Q189" i="9"/>
  <c r="J189" i="9"/>
  <c r="O189" i="9" s="1"/>
  <c r="I189" i="9"/>
  <c r="S189" i="9" s="1"/>
  <c r="H189" i="9"/>
  <c r="G189" i="9"/>
  <c r="L189" i="9" s="1"/>
  <c r="F189" i="9"/>
  <c r="K189" i="9" s="1"/>
  <c r="T188" i="9"/>
  <c r="K188" i="9"/>
  <c r="J188" i="9"/>
  <c r="O188" i="9" s="1"/>
  <c r="I188" i="9"/>
  <c r="N188" i="9" s="1"/>
  <c r="H188" i="9"/>
  <c r="R188" i="9" s="1"/>
  <c r="G188" i="9"/>
  <c r="L188" i="9" s="1"/>
  <c r="F188" i="9"/>
  <c r="P188" i="9" s="1"/>
  <c r="O187" i="9"/>
  <c r="J187" i="9"/>
  <c r="T187" i="9" s="1"/>
  <c r="I187" i="9"/>
  <c r="S187" i="9" s="1"/>
  <c r="H187" i="9"/>
  <c r="M187" i="9" s="1"/>
  <c r="G187" i="9"/>
  <c r="F187" i="9"/>
  <c r="K187" i="9" s="1"/>
  <c r="K186" i="9"/>
  <c r="J186" i="9"/>
  <c r="I186" i="9"/>
  <c r="S186" i="9" s="1"/>
  <c r="H186" i="9"/>
  <c r="R186" i="9" s="1"/>
  <c r="G186" i="9"/>
  <c r="L186" i="9" s="1"/>
  <c r="F186" i="9"/>
  <c r="P186" i="9" s="1"/>
  <c r="N185" i="9"/>
  <c r="M185" i="9"/>
  <c r="L185" i="9"/>
  <c r="J185" i="9"/>
  <c r="O185" i="9" s="1"/>
  <c r="I185" i="9"/>
  <c r="S185" i="9" s="1"/>
  <c r="H185" i="9"/>
  <c r="R185" i="9" s="1"/>
  <c r="G185" i="9"/>
  <c r="Q185" i="9" s="1"/>
  <c r="F185" i="9"/>
  <c r="K185" i="9" s="1"/>
  <c r="T184" i="9"/>
  <c r="P184" i="9"/>
  <c r="O184" i="9"/>
  <c r="J184" i="9"/>
  <c r="I184" i="9"/>
  <c r="N184" i="9" s="1"/>
  <c r="H184" i="9"/>
  <c r="R184" i="9" s="1"/>
  <c r="G184" i="9"/>
  <c r="Q184" i="9" s="1"/>
  <c r="F184" i="9"/>
  <c r="K184" i="9" s="1"/>
  <c r="S183" i="9"/>
  <c r="J183" i="9"/>
  <c r="I183" i="9"/>
  <c r="N183" i="9" s="1"/>
  <c r="H183" i="9"/>
  <c r="M183" i="9" s="1"/>
  <c r="G183" i="9"/>
  <c r="Q183" i="9" s="1"/>
  <c r="F183" i="9"/>
  <c r="K183" i="9" s="1"/>
  <c r="K182" i="9"/>
  <c r="J182" i="9"/>
  <c r="T182" i="9" s="1"/>
  <c r="I182" i="9"/>
  <c r="H182" i="9"/>
  <c r="R182" i="9" s="1"/>
  <c r="G182" i="9"/>
  <c r="L182" i="9" s="1"/>
  <c r="F182" i="9"/>
  <c r="P182" i="9" s="1"/>
  <c r="Q181" i="9"/>
  <c r="L181" i="9"/>
  <c r="J181" i="9"/>
  <c r="I181" i="9"/>
  <c r="H181" i="9"/>
  <c r="M181" i="9" s="1"/>
  <c r="G181" i="9"/>
  <c r="F181" i="9"/>
  <c r="K181" i="9" s="1"/>
  <c r="Q180" i="9"/>
  <c r="M180" i="9"/>
  <c r="L180" i="9"/>
  <c r="J180" i="9"/>
  <c r="T180" i="9" s="1"/>
  <c r="I180" i="9"/>
  <c r="N180" i="9" s="1"/>
  <c r="H180" i="9"/>
  <c r="R180" i="9" s="1"/>
  <c r="G180" i="9"/>
  <c r="F180" i="9"/>
  <c r="T179" i="9"/>
  <c r="R179" i="9"/>
  <c r="O179" i="9"/>
  <c r="M179" i="9"/>
  <c r="J179" i="9"/>
  <c r="I179" i="9"/>
  <c r="S179" i="9" s="1"/>
  <c r="H179" i="9"/>
  <c r="G179" i="9"/>
  <c r="F179" i="9"/>
  <c r="L178" i="9"/>
  <c r="K178" i="9"/>
  <c r="J178" i="9"/>
  <c r="I178" i="9"/>
  <c r="N178" i="9" s="1"/>
  <c r="H178" i="9"/>
  <c r="G178" i="9"/>
  <c r="Q178" i="9" s="1"/>
  <c r="F178" i="9"/>
  <c r="P178" i="9" s="1"/>
  <c r="Q177" i="9"/>
  <c r="M177" i="9"/>
  <c r="K177" i="9"/>
  <c r="J177" i="9"/>
  <c r="I177" i="9"/>
  <c r="H177" i="9"/>
  <c r="R177" i="9" s="1"/>
  <c r="G177" i="9"/>
  <c r="L177" i="9" s="1"/>
  <c r="F177" i="9"/>
  <c r="P177" i="9" s="1"/>
  <c r="T176" i="9"/>
  <c r="P176" i="9"/>
  <c r="O176" i="9"/>
  <c r="J176" i="9"/>
  <c r="I176" i="9"/>
  <c r="H176" i="9"/>
  <c r="G176" i="9"/>
  <c r="L176" i="9" s="1"/>
  <c r="F176" i="9"/>
  <c r="K176" i="9" s="1"/>
  <c r="S175" i="9"/>
  <c r="P175" i="9"/>
  <c r="J175" i="9"/>
  <c r="I175" i="9"/>
  <c r="N175" i="9" s="1"/>
  <c r="H175" i="9"/>
  <c r="G175" i="9"/>
  <c r="F175" i="9"/>
  <c r="K175" i="9" s="1"/>
  <c r="M174" i="9"/>
  <c r="J174" i="9"/>
  <c r="I174" i="9"/>
  <c r="S174" i="9" s="1"/>
  <c r="H174" i="9"/>
  <c r="R174" i="9" s="1"/>
  <c r="G174" i="9"/>
  <c r="F174" i="9"/>
  <c r="S173" i="9"/>
  <c r="O173" i="9"/>
  <c r="N173" i="9"/>
  <c r="M173" i="9"/>
  <c r="J173" i="9"/>
  <c r="T173" i="9" s="1"/>
  <c r="I173" i="9"/>
  <c r="H173" i="9"/>
  <c r="R173" i="9" s="1"/>
  <c r="G173" i="9"/>
  <c r="L173" i="9" s="1"/>
  <c r="F173" i="9"/>
  <c r="T172" i="9"/>
  <c r="S172" i="9"/>
  <c r="P172" i="9"/>
  <c r="L172" i="9"/>
  <c r="K172" i="9"/>
  <c r="J172" i="9"/>
  <c r="O172" i="9" s="1"/>
  <c r="I172" i="9"/>
  <c r="N172" i="9" s="1"/>
  <c r="H172" i="9"/>
  <c r="R172" i="9" s="1"/>
  <c r="G172" i="9"/>
  <c r="Q172" i="9" s="1"/>
  <c r="F172" i="9"/>
  <c r="S171" i="9"/>
  <c r="R171" i="9"/>
  <c r="M171" i="9"/>
  <c r="J171" i="9"/>
  <c r="O171" i="9" s="1"/>
  <c r="I171" i="9"/>
  <c r="N171" i="9" s="1"/>
  <c r="H171" i="9"/>
  <c r="G171" i="9"/>
  <c r="L171" i="9" s="1"/>
  <c r="F171" i="9"/>
  <c r="N170" i="9"/>
  <c r="L170" i="9"/>
  <c r="J170" i="9"/>
  <c r="I170" i="9"/>
  <c r="S170" i="9" s="1"/>
  <c r="H170" i="9"/>
  <c r="M170" i="9" s="1"/>
  <c r="G170" i="9"/>
  <c r="Q170" i="9" s="1"/>
  <c r="F170" i="9"/>
  <c r="P170" i="9" s="1"/>
  <c r="R169" i="9"/>
  <c r="M169" i="9"/>
  <c r="J169" i="9"/>
  <c r="I169" i="9"/>
  <c r="H169" i="9"/>
  <c r="G169" i="9"/>
  <c r="L169" i="9" s="1"/>
  <c r="F169" i="9"/>
  <c r="P169" i="9" s="1"/>
  <c r="J168" i="9"/>
  <c r="O168" i="9" s="1"/>
  <c r="I168" i="9"/>
  <c r="H168" i="9"/>
  <c r="G168" i="9"/>
  <c r="L168" i="9" s="1"/>
  <c r="F168" i="9"/>
  <c r="K168" i="9" s="1"/>
  <c r="N167" i="9"/>
  <c r="K167" i="9"/>
  <c r="J167" i="9"/>
  <c r="I167" i="9"/>
  <c r="S167" i="9" s="1"/>
  <c r="H167" i="9"/>
  <c r="G167" i="9"/>
  <c r="F167" i="9"/>
  <c r="P167" i="9" s="1"/>
  <c r="R166" i="9"/>
  <c r="O166" i="9"/>
  <c r="M166" i="9"/>
  <c r="J166" i="9"/>
  <c r="T166" i="9" s="1"/>
  <c r="I166" i="9"/>
  <c r="S166" i="9" s="1"/>
  <c r="H166" i="9"/>
  <c r="G166" i="9"/>
  <c r="F166" i="9"/>
  <c r="Q165" i="9"/>
  <c r="J165" i="9"/>
  <c r="T165" i="9" s="1"/>
  <c r="I165" i="9"/>
  <c r="N165" i="9" s="1"/>
  <c r="H165" i="9"/>
  <c r="G165" i="9"/>
  <c r="L165" i="9" s="1"/>
  <c r="F165" i="9"/>
  <c r="T164" i="9"/>
  <c r="N164" i="9"/>
  <c r="M164" i="9"/>
  <c r="L164" i="9"/>
  <c r="J164" i="9"/>
  <c r="O164" i="9" s="1"/>
  <c r="I164" i="9"/>
  <c r="S164" i="9" s="1"/>
  <c r="H164" i="9"/>
  <c r="R164" i="9" s="1"/>
  <c r="G164" i="9"/>
  <c r="Q164" i="9" s="1"/>
  <c r="F164" i="9"/>
  <c r="K164" i="9" s="1"/>
  <c r="T163" i="9"/>
  <c r="Q163" i="9"/>
  <c r="L163" i="9"/>
  <c r="J163" i="9"/>
  <c r="O163" i="9" s="1"/>
  <c r="I163" i="9"/>
  <c r="N163" i="9" s="1"/>
  <c r="H163" i="9"/>
  <c r="M163" i="9" s="1"/>
  <c r="G163" i="9"/>
  <c r="F163" i="9"/>
  <c r="P163" i="9" s="1"/>
  <c r="N162" i="9"/>
  <c r="L162" i="9"/>
  <c r="K162" i="9"/>
  <c r="J162" i="9"/>
  <c r="I162" i="9"/>
  <c r="S162" i="9" s="1"/>
  <c r="H162" i="9"/>
  <c r="M162" i="9" s="1"/>
  <c r="G162" i="9"/>
  <c r="Q162" i="9" s="1"/>
  <c r="F162" i="9"/>
  <c r="P162" i="9" s="1"/>
  <c r="Q161" i="9"/>
  <c r="P161" i="9"/>
  <c r="J161" i="9"/>
  <c r="I161" i="9"/>
  <c r="H161" i="9"/>
  <c r="R161" i="9" s="1"/>
  <c r="G161" i="9"/>
  <c r="L161" i="9" s="1"/>
  <c r="F161" i="9"/>
  <c r="K161" i="9" s="1"/>
  <c r="T160" i="9"/>
  <c r="Q160" i="9"/>
  <c r="J160" i="9"/>
  <c r="O160" i="9" s="1"/>
  <c r="I160" i="9"/>
  <c r="H160" i="9"/>
  <c r="G160" i="9"/>
  <c r="L160" i="9" s="1"/>
  <c r="F160" i="9"/>
  <c r="S159" i="9"/>
  <c r="O159" i="9"/>
  <c r="K159" i="9"/>
  <c r="J159" i="9"/>
  <c r="T159" i="9" s="1"/>
  <c r="I159" i="9"/>
  <c r="N159" i="9" s="1"/>
  <c r="H159" i="9"/>
  <c r="G159" i="9"/>
  <c r="F159" i="9"/>
  <c r="P159" i="9" s="1"/>
  <c r="R158" i="9"/>
  <c r="M158" i="9"/>
  <c r="J158" i="9"/>
  <c r="T158" i="9" s="1"/>
  <c r="I158" i="9"/>
  <c r="S158" i="9" s="1"/>
  <c r="H158" i="9"/>
  <c r="G158" i="9"/>
  <c r="F158" i="9"/>
  <c r="T157" i="9"/>
  <c r="O157" i="9"/>
  <c r="N157" i="9"/>
  <c r="J157" i="9"/>
  <c r="I157" i="9"/>
  <c r="S157" i="9" s="1"/>
  <c r="H157" i="9"/>
  <c r="R157" i="9" s="1"/>
  <c r="G157" i="9"/>
  <c r="Q157" i="9" s="1"/>
  <c r="F157" i="9"/>
  <c r="N156" i="9"/>
  <c r="L156" i="9"/>
  <c r="K156" i="9"/>
  <c r="J156" i="9"/>
  <c r="O156" i="9" s="1"/>
  <c r="I156" i="9"/>
  <c r="S156" i="9" s="1"/>
  <c r="H156" i="9"/>
  <c r="R156" i="9" s="1"/>
  <c r="G156" i="9"/>
  <c r="Q156" i="9" s="1"/>
  <c r="F156" i="9"/>
  <c r="P156" i="9" s="1"/>
  <c r="K155" i="9"/>
  <c r="J155" i="9"/>
  <c r="O155" i="9" s="1"/>
  <c r="I155" i="9"/>
  <c r="N155" i="9" s="1"/>
  <c r="H155" i="9"/>
  <c r="R155" i="9" s="1"/>
  <c r="G155" i="9"/>
  <c r="Q155" i="9" s="1"/>
  <c r="F155" i="9"/>
  <c r="P155" i="9" s="1"/>
  <c r="N154" i="9"/>
  <c r="L154" i="9"/>
  <c r="K154" i="9"/>
  <c r="J154" i="9"/>
  <c r="I154" i="9"/>
  <c r="S154" i="9" s="1"/>
  <c r="H154" i="9"/>
  <c r="M154" i="9" s="1"/>
  <c r="G154" i="9"/>
  <c r="Q154" i="9" s="1"/>
  <c r="F154" i="9"/>
  <c r="P154" i="9" s="1"/>
  <c r="R153" i="9"/>
  <c r="Q153" i="9"/>
  <c r="J153" i="9"/>
  <c r="I153" i="9"/>
  <c r="H153" i="9"/>
  <c r="M153" i="9" s="1"/>
  <c r="G153" i="9"/>
  <c r="L153" i="9" s="1"/>
  <c r="F153" i="9"/>
  <c r="P153" i="9" s="1"/>
  <c r="T152" i="9"/>
  <c r="P152" i="9"/>
  <c r="O152" i="9"/>
  <c r="J152" i="9"/>
  <c r="I152" i="9"/>
  <c r="H152" i="9"/>
  <c r="G152" i="9"/>
  <c r="Q152" i="9" s="1"/>
  <c r="F152" i="9"/>
  <c r="K152" i="9" s="1"/>
  <c r="K151" i="9"/>
  <c r="J151" i="9"/>
  <c r="T151" i="9" s="1"/>
  <c r="I151" i="9"/>
  <c r="S151" i="9" s="1"/>
  <c r="H151" i="9"/>
  <c r="G151" i="9"/>
  <c r="F151" i="9"/>
  <c r="P151" i="9" s="1"/>
  <c r="T150" i="9"/>
  <c r="O150" i="9"/>
  <c r="N150" i="9"/>
  <c r="M150" i="9"/>
  <c r="J150" i="9"/>
  <c r="I150" i="9"/>
  <c r="S150" i="9" s="1"/>
  <c r="H150" i="9"/>
  <c r="R150" i="9" s="1"/>
  <c r="G150" i="9"/>
  <c r="F150" i="9"/>
  <c r="T149" i="9"/>
  <c r="S149" i="9"/>
  <c r="J149" i="9"/>
  <c r="O149" i="9" s="1"/>
  <c r="I149" i="9"/>
  <c r="N149" i="9" s="1"/>
  <c r="H149" i="9"/>
  <c r="R149" i="9" s="1"/>
  <c r="G149" i="9"/>
  <c r="Q149" i="9" s="1"/>
  <c r="F149" i="9"/>
  <c r="N148" i="9"/>
  <c r="M148" i="9"/>
  <c r="L148" i="9"/>
  <c r="J148" i="9"/>
  <c r="O148" i="9" s="1"/>
  <c r="I148" i="9"/>
  <c r="S148" i="9" s="1"/>
  <c r="H148" i="9"/>
  <c r="R148" i="9" s="1"/>
  <c r="G148" i="9"/>
  <c r="Q148" i="9" s="1"/>
  <c r="F148" i="9"/>
  <c r="K148" i="9" s="1"/>
  <c r="M147" i="9"/>
  <c r="K147" i="9"/>
  <c r="J147" i="9"/>
  <c r="T147" i="9" s="1"/>
  <c r="I147" i="9"/>
  <c r="N147" i="9" s="1"/>
  <c r="H147" i="9"/>
  <c r="R147" i="9" s="1"/>
  <c r="G147" i="9"/>
  <c r="Q147" i="9" s="1"/>
  <c r="F147" i="9"/>
  <c r="P147" i="9" s="1"/>
  <c r="N146" i="9"/>
  <c r="J146" i="9"/>
  <c r="I146" i="9"/>
  <c r="S146" i="9" s="1"/>
  <c r="H146" i="9"/>
  <c r="M146" i="9" s="1"/>
  <c r="G146" i="9"/>
  <c r="Q146" i="9" s="1"/>
  <c r="F146" i="9"/>
  <c r="P146" i="9" s="1"/>
  <c r="R145" i="9"/>
  <c r="J145" i="9"/>
  <c r="I145" i="9"/>
  <c r="H145" i="9"/>
  <c r="M145" i="9" s="1"/>
  <c r="G145" i="9"/>
  <c r="L145" i="9" s="1"/>
  <c r="F145" i="9"/>
  <c r="K145" i="9" s="1"/>
  <c r="Q144" i="9"/>
  <c r="O144" i="9"/>
  <c r="J144" i="9"/>
  <c r="T144" i="9" s="1"/>
  <c r="I144" i="9"/>
  <c r="H144" i="9"/>
  <c r="G144" i="9"/>
  <c r="L144" i="9" s="1"/>
  <c r="F144" i="9"/>
  <c r="K144" i="9" s="1"/>
  <c r="S143" i="9"/>
  <c r="N143" i="9"/>
  <c r="K143" i="9"/>
  <c r="J143" i="9"/>
  <c r="T143" i="9" s="1"/>
  <c r="I143" i="9"/>
  <c r="H143" i="9"/>
  <c r="G143" i="9"/>
  <c r="F143" i="9"/>
  <c r="P143" i="9" s="1"/>
  <c r="O142" i="9"/>
  <c r="N142" i="9"/>
  <c r="J142" i="9"/>
  <c r="T142" i="9" s="1"/>
  <c r="I142" i="9"/>
  <c r="S142" i="9" s="1"/>
  <c r="H142" i="9"/>
  <c r="R142" i="9" s="1"/>
  <c r="G142" i="9"/>
  <c r="F142" i="9"/>
  <c r="T141" i="9"/>
  <c r="J141" i="9"/>
  <c r="O141" i="9" s="1"/>
  <c r="I141" i="9"/>
  <c r="S141" i="9" s="1"/>
  <c r="H141" i="9"/>
  <c r="R141" i="9" s="1"/>
  <c r="G141" i="9"/>
  <c r="Q141" i="9" s="1"/>
  <c r="F141" i="9"/>
  <c r="N140" i="9"/>
  <c r="M140" i="9"/>
  <c r="J140" i="9"/>
  <c r="O140" i="9" s="1"/>
  <c r="I140" i="9"/>
  <c r="S140" i="9" s="1"/>
  <c r="H140" i="9"/>
  <c r="R140" i="9" s="1"/>
  <c r="G140" i="9"/>
  <c r="Q140" i="9" s="1"/>
  <c r="F140" i="9"/>
  <c r="P140" i="9" s="1"/>
  <c r="L139" i="9"/>
  <c r="K139" i="9"/>
  <c r="J139" i="9"/>
  <c r="T139" i="9" s="1"/>
  <c r="I139" i="9"/>
  <c r="N139" i="9" s="1"/>
  <c r="H139" i="9"/>
  <c r="R139" i="9" s="1"/>
  <c r="G139" i="9"/>
  <c r="Q139" i="9" s="1"/>
  <c r="F139" i="9"/>
  <c r="P139" i="9" s="1"/>
  <c r="J138" i="9"/>
  <c r="I138" i="9"/>
  <c r="N138" i="9" s="1"/>
  <c r="H138" i="9"/>
  <c r="M138" i="9" s="1"/>
  <c r="G138" i="9"/>
  <c r="Q138" i="9" s="1"/>
  <c r="F138" i="9"/>
  <c r="P138" i="9" s="1"/>
  <c r="P137" i="9"/>
  <c r="J137" i="9"/>
  <c r="I137" i="9"/>
  <c r="H137" i="9"/>
  <c r="R137" i="9" s="1"/>
  <c r="G137" i="9"/>
  <c r="L137" i="9" s="1"/>
  <c r="F137" i="9"/>
  <c r="K137" i="9" s="1"/>
  <c r="Q136" i="9"/>
  <c r="P136" i="9"/>
  <c r="L136" i="9"/>
  <c r="J136" i="9"/>
  <c r="T136" i="9" s="1"/>
  <c r="I136" i="9"/>
  <c r="H136" i="9"/>
  <c r="G136" i="9"/>
  <c r="F136" i="9"/>
  <c r="K136" i="9" s="1"/>
  <c r="S135" i="9"/>
  <c r="O135" i="9"/>
  <c r="N135" i="9"/>
  <c r="K135" i="9"/>
  <c r="J135" i="9"/>
  <c r="T135" i="9" s="1"/>
  <c r="I135" i="9"/>
  <c r="H135" i="9"/>
  <c r="G135" i="9"/>
  <c r="F135" i="9"/>
  <c r="P135" i="9" s="1"/>
  <c r="R134" i="9"/>
  <c r="O134" i="9"/>
  <c r="M134" i="9"/>
  <c r="J134" i="9"/>
  <c r="T134" i="9" s="1"/>
  <c r="I134" i="9"/>
  <c r="S134" i="9" s="1"/>
  <c r="H134" i="9"/>
  <c r="G134" i="9"/>
  <c r="F134" i="9"/>
  <c r="L133" i="9"/>
  <c r="J133" i="9"/>
  <c r="T133" i="9" s="1"/>
  <c r="I133" i="9"/>
  <c r="S133" i="9" s="1"/>
  <c r="H133" i="9"/>
  <c r="R133" i="9" s="1"/>
  <c r="G133" i="9"/>
  <c r="Q133" i="9" s="1"/>
  <c r="F133" i="9"/>
  <c r="P132" i="9"/>
  <c r="N132" i="9"/>
  <c r="J132" i="9"/>
  <c r="O132" i="9" s="1"/>
  <c r="I132" i="9"/>
  <c r="S132" i="9" s="1"/>
  <c r="H132" i="9"/>
  <c r="R132" i="9" s="1"/>
  <c r="G132" i="9"/>
  <c r="Q132" i="9" s="1"/>
  <c r="F132" i="9"/>
  <c r="K132" i="9" s="1"/>
  <c r="L131" i="9"/>
  <c r="K131" i="9"/>
  <c r="J131" i="9"/>
  <c r="T131" i="9" s="1"/>
  <c r="I131" i="9"/>
  <c r="N131" i="9" s="1"/>
  <c r="H131" i="9"/>
  <c r="M131" i="9" s="1"/>
  <c r="G131" i="9"/>
  <c r="Q131" i="9" s="1"/>
  <c r="F131" i="9"/>
  <c r="P131" i="9" s="1"/>
  <c r="K130" i="9"/>
  <c r="J130" i="9"/>
  <c r="I130" i="9"/>
  <c r="S130" i="9" s="1"/>
  <c r="H130" i="9"/>
  <c r="M130" i="9" s="1"/>
  <c r="G130" i="9"/>
  <c r="Q130" i="9" s="1"/>
  <c r="F130" i="9"/>
  <c r="P130" i="9" s="1"/>
  <c r="R129" i="9"/>
  <c r="Q129" i="9"/>
  <c r="P129" i="9"/>
  <c r="J129" i="9"/>
  <c r="I129" i="9"/>
  <c r="H129" i="9"/>
  <c r="M129" i="9" s="1"/>
  <c r="G129" i="9"/>
  <c r="L129" i="9" s="1"/>
  <c r="F129" i="9"/>
  <c r="K129" i="9" s="1"/>
  <c r="T128" i="9"/>
  <c r="P128" i="9"/>
  <c r="O128" i="9"/>
  <c r="L128" i="9"/>
  <c r="J128" i="9"/>
  <c r="I128" i="9"/>
  <c r="H128" i="9"/>
  <c r="G128" i="9"/>
  <c r="Q128" i="9" s="1"/>
  <c r="F128" i="9"/>
  <c r="K128" i="9" s="1"/>
  <c r="O127" i="9"/>
  <c r="J127" i="9"/>
  <c r="T127" i="9" s="1"/>
  <c r="I127" i="9"/>
  <c r="S127" i="9" s="1"/>
  <c r="H127" i="9"/>
  <c r="G127" i="9"/>
  <c r="F127" i="9"/>
  <c r="P127" i="9" s="1"/>
  <c r="T126" i="9"/>
  <c r="O126" i="9"/>
  <c r="N126" i="9"/>
  <c r="J126" i="9"/>
  <c r="I126" i="9"/>
  <c r="S126" i="9" s="1"/>
  <c r="H126" i="9"/>
  <c r="R126" i="9" s="1"/>
  <c r="G126" i="9"/>
  <c r="F126" i="9"/>
  <c r="T125" i="9"/>
  <c r="S125" i="9"/>
  <c r="N125" i="9"/>
  <c r="M125" i="9"/>
  <c r="L125" i="9"/>
  <c r="J125" i="9"/>
  <c r="O125" i="9" s="1"/>
  <c r="I125" i="9"/>
  <c r="H125" i="9"/>
  <c r="R125" i="9" s="1"/>
  <c r="G125" i="9"/>
  <c r="Q125" i="9" s="1"/>
  <c r="F125" i="9"/>
  <c r="L124" i="9"/>
  <c r="J124" i="9"/>
  <c r="O124" i="9" s="1"/>
  <c r="I124" i="9"/>
  <c r="S124" i="9" s="1"/>
  <c r="H124" i="9"/>
  <c r="R124" i="9" s="1"/>
  <c r="G124" i="9"/>
  <c r="Q124" i="9" s="1"/>
  <c r="F124" i="9"/>
  <c r="P124" i="9" s="1"/>
  <c r="O123" i="9"/>
  <c r="M123" i="9"/>
  <c r="J123" i="9"/>
  <c r="T123" i="9" s="1"/>
  <c r="I123" i="9"/>
  <c r="N123" i="9" s="1"/>
  <c r="H123" i="9"/>
  <c r="R123" i="9" s="1"/>
  <c r="G123" i="9"/>
  <c r="Q123" i="9" s="1"/>
  <c r="F123" i="9"/>
  <c r="P123" i="9" s="1"/>
  <c r="J122" i="9"/>
  <c r="I122" i="9"/>
  <c r="S122" i="9" s="1"/>
  <c r="H122" i="9"/>
  <c r="M122" i="9" s="1"/>
  <c r="G122" i="9"/>
  <c r="Q122" i="9" s="1"/>
  <c r="F122" i="9"/>
  <c r="K122" i="9" s="1"/>
  <c r="R121" i="9"/>
  <c r="P121" i="9"/>
  <c r="O121" i="9"/>
  <c r="M121" i="9"/>
  <c r="J121" i="9"/>
  <c r="T121" i="9" s="1"/>
  <c r="I121" i="9"/>
  <c r="H121" i="9"/>
  <c r="G121" i="9"/>
  <c r="L121" i="9" s="1"/>
  <c r="F121" i="9"/>
  <c r="K121" i="9" s="1"/>
  <c r="T120" i="9"/>
  <c r="Q120" i="9"/>
  <c r="O120" i="9"/>
  <c r="L120" i="9"/>
  <c r="J120" i="9"/>
  <c r="I120" i="9"/>
  <c r="S120" i="9" s="1"/>
  <c r="H120" i="9"/>
  <c r="G120" i="9"/>
  <c r="F120" i="9"/>
  <c r="K120" i="9" s="1"/>
  <c r="S119" i="9"/>
  <c r="P119" i="9"/>
  <c r="K119" i="9"/>
  <c r="J119" i="9"/>
  <c r="T119" i="9" s="1"/>
  <c r="I119" i="9"/>
  <c r="N119" i="9" s="1"/>
  <c r="H119" i="9"/>
  <c r="R119" i="9" s="1"/>
  <c r="G119" i="9"/>
  <c r="F119" i="9"/>
  <c r="R118" i="9"/>
  <c r="M118" i="9"/>
  <c r="J118" i="9"/>
  <c r="T118" i="9" s="1"/>
  <c r="I118" i="9"/>
  <c r="S118" i="9" s="1"/>
  <c r="H118" i="9"/>
  <c r="G118" i="9"/>
  <c r="Q118" i="9" s="1"/>
  <c r="F118" i="9"/>
  <c r="T117" i="9"/>
  <c r="O117" i="9"/>
  <c r="N117" i="9"/>
  <c r="J117" i="9"/>
  <c r="I117" i="9"/>
  <c r="S117" i="9" s="1"/>
  <c r="H117" i="9"/>
  <c r="R117" i="9" s="1"/>
  <c r="G117" i="9"/>
  <c r="Q117" i="9" s="1"/>
  <c r="F117" i="9"/>
  <c r="P117" i="9" s="1"/>
  <c r="M116" i="9"/>
  <c r="J116" i="9"/>
  <c r="O116" i="9" s="1"/>
  <c r="I116" i="9"/>
  <c r="S116" i="9" s="1"/>
  <c r="H116" i="9"/>
  <c r="R116" i="9" s="1"/>
  <c r="G116" i="9"/>
  <c r="Q116" i="9" s="1"/>
  <c r="F116" i="9"/>
  <c r="K116" i="9" s="1"/>
  <c r="T115" i="9"/>
  <c r="O115" i="9"/>
  <c r="M115" i="9"/>
  <c r="J115" i="9"/>
  <c r="I115" i="9"/>
  <c r="N115" i="9" s="1"/>
  <c r="H115" i="9"/>
  <c r="R115" i="9" s="1"/>
  <c r="G115" i="9"/>
  <c r="Q115" i="9" s="1"/>
  <c r="F115" i="9"/>
  <c r="P115" i="9" s="1"/>
  <c r="S114" i="9"/>
  <c r="L114" i="9"/>
  <c r="J114" i="9"/>
  <c r="I114" i="9"/>
  <c r="N114" i="9" s="1"/>
  <c r="H114" i="9"/>
  <c r="M114" i="9" s="1"/>
  <c r="G114" i="9"/>
  <c r="Q114" i="9" s="1"/>
  <c r="F114" i="9"/>
  <c r="P114" i="9" s="1"/>
  <c r="R113" i="9"/>
  <c r="Q113" i="9"/>
  <c r="M113" i="9"/>
  <c r="J113" i="9"/>
  <c r="I113" i="9"/>
  <c r="H113" i="9"/>
  <c r="G113" i="9"/>
  <c r="L113" i="9" s="1"/>
  <c r="F113" i="9"/>
  <c r="K113" i="9" s="1"/>
  <c r="L112" i="9"/>
  <c r="J112" i="9"/>
  <c r="O112" i="9" s="1"/>
  <c r="I112" i="9"/>
  <c r="S112" i="9" s="1"/>
  <c r="H112" i="9"/>
  <c r="G112" i="9"/>
  <c r="Q112" i="9" s="1"/>
  <c r="F112" i="9"/>
  <c r="K112" i="9" s="1"/>
  <c r="O111" i="9"/>
  <c r="N111" i="9"/>
  <c r="J111" i="9"/>
  <c r="T111" i="9" s="1"/>
  <c r="I111" i="9"/>
  <c r="S111" i="9" s="1"/>
  <c r="H111" i="9"/>
  <c r="G111" i="9"/>
  <c r="F111" i="9"/>
  <c r="P111" i="9" s="1"/>
  <c r="T110" i="9"/>
  <c r="R110" i="9"/>
  <c r="J110" i="9"/>
  <c r="O110" i="9" s="1"/>
  <c r="I110" i="9"/>
  <c r="S110" i="9" s="1"/>
  <c r="H110" i="9"/>
  <c r="M110" i="9" s="1"/>
  <c r="G110" i="9"/>
  <c r="Q110" i="9" s="1"/>
  <c r="F110" i="9"/>
  <c r="T109" i="9"/>
  <c r="S109" i="9"/>
  <c r="L109" i="9"/>
  <c r="K109" i="9"/>
  <c r="J109" i="9"/>
  <c r="O109" i="9" s="1"/>
  <c r="I109" i="9"/>
  <c r="N109" i="9" s="1"/>
  <c r="H109" i="9"/>
  <c r="R109" i="9" s="1"/>
  <c r="G109" i="9"/>
  <c r="Q109" i="9" s="1"/>
  <c r="F109" i="9"/>
  <c r="P109" i="9" s="1"/>
  <c r="T108" i="9"/>
  <c r="S108" i="9"/>
  <c r="R108" i="9"/>
  <c r="K108" i="9"/>
  <c r="J108" i="9"/>
  <c r="O108" i="9" s="1"/>
  <c r="I108" i="9"/>
  <c r="N108" i="9" s="1"/>
  <c r="H108" i="9"/>
  <c r="M108" i="9" s="1"/>
  <c r="G108" i="9"/>
  <c r="Q108" i="9" s="1"/>
  <c r="F108" i="9"/>
  <c r="P108" i="9" s="1"/>
  <c r="R107" i="9"/>
  <c r="Q107" i="9"/>
  <c r="K107" i="9"/>
  <c r="J107" i="9"/>
  <c r="T107" i="9" s="1"/>
  <c r="I107" i="9"/>
  <c r="N107" i="9" s="1"/>
  <c r="H107" i="9"/>
  <c r="M107" i="9" s="1"/>
  <c r="G107" i="9"/>
  <c r="L107" i="9" s="1"/>
  <c r="F107" i="9"/>
  <c r="P107" i="9" s="1"/>
  <c r="Q106" i="9"/>
  <c r="P106" i="9"/>
  <c r="N106" i="9"/>
  <c r="J106" i="9"/>
  <c r="I106" i="9"/>
  <c r="S106" i="9" s="1"/>
  <c r="H106" i="9"/>
  <c r="M106" i="9" s="1"/>
  <c r="G106" i="9"/>
  <c r="L106" i="9" s="1"/>
  <c r="F106" i="9"/>
  <c r="K106" i="9" s="1"/>
  <c r="R105" i="9"/>
  <c r="Q105" i="9"/>
  <c r="M105" i="9"/>
  <c r="J105" i="9"/>
  <c r="T105" i="9" s="1"/>
  <c r="I105" i="9"/>
  <c r="H105" i="9"/>
  <c r="G105" i="9"/>
  <c r="L105" i="9" s="1"/>
  <c r="F105" i="9"/>
  <c r="K105" i="9" s="1"/>
  <c r="O104" i="9"/>
  <c r="J104" i="9"/>
  <c r="T104" i="9" s="1"/>
  <c r="I104" i="9"/>
  <c r="S104" i="9" s="1"/>
  <c r="H104" i="9"/>
  <c r="G104" i="9"/>
  <c r="Q104" i="9" s="1"/>
  <c r="F104" i="9"/>
  <c r="K104" i="9" s="1"/>
  <c r="S103" i="9"/>
  <c r="M103" i="9"/>
  <c r="J103" i="9"/>
  <c r="T103" i="9" s="1"/>
  <c r="I103" i="9"/>
  <c r="N103" i="9" s="1"/>
  <c r="H103" i="9"/>
  <c r="R103" i="9" s="1"/>
  <c r="G103" i="9"/>
  <c r="F103" i="9"/>
  <c r="K103" i="9" s="1"/>
  <c r="O102" i="9"/>
  <c r="N102" i="9"/>
  <c r="J102" i="9"/>
  <c r="T102" i="9" s="1"/>
  <c r="I102" i="9"/>
  <c r="S102" i="9" s="1"/>
  <c r="H102" i="9"/>
  <c r="R102" i="9" s="1"/>
  <c r="G102" i="9"/>
  <c r="Q102" i="9" s="1"/>
  <c r="F102" i="9"/>
  <c r="T101" i="9"/>
  <c r="S101" i="9"/>
  <c r="L101" i="9"/>
  <c r="J101" i="9"/>
  <c r="O101" i="9" s="1"/>
  <c r="I101" i="9"/>
  <c r="N101" i="9" s="1"/>
  <c r="H101" i="9"/>
  <c r="R101" i="9" s="1"/>
  <c r="G101" i="9"/>
  <c r="Q101" i="9" s="1"/>
  <c r="F101" i="9"/>
  <c r="P101" i="9" s="1"/>
  <c r="T100" i="9"/>
  <c r="S100" i="9"/>
  <c r="L100" i="9"/>
  <c r="J100" i="9"/>
  <c r="O100" i="9" s="1"/>
  <c r="I100" i="9"/>
  <c r="N100" i="9" s="1"/>
  <c r="H100" i="9"/>
  <c r="M100" i="9" s="1"/>
  <c r="G100" i="9"/>
  <c r="Q100" i="9" s="1"/>
  <c r="F100" i="9"/>
  <c r="P100" i="9" s="1"/>
  <c r="T99" i="9"/>
  <c r="R99" i="9"/>
  <c r="O99" i="9"/>
  <c r="K99" i="9"/>
  <c r="J99" i="9"/>
  <c r="I99" i="9"/>
  <c r="H99" i="9"/>
  <c r="M99" i="9" s="1"/>
  <c r="G99" i="9"/>
  <c r="Q99" i="9" s="1"/>
  <c r="F99" i="9"/>
  <c r="P99" i="9" s="1"/>
  <c r="Q98" i="9"/>
  <c r="P98" i="9"/>
  <c r="J98" i="9"/>
  <c r="I98" i="9"/>
  <c r="S98" i="9" s="1"/>
  <c r="H98" i="9"/>
  <c r="M98" i="9" s="1"/>
  <c r="G98" i="9"/>
  <c r="L98" i="9" s="1"/>
  <c r="F98" i="9"/>
  <c r="K98" i="9" s="1"/>
  <c r="R97" i="9"/>
  <c r="P97" i="9"/>
  <c r="O97" i="9"/>
  <c r="M97" i="9"/>
  <c r="J97" i="9"/>
  <c r="T97" i="9" s="1"/>
  <c r="I97" i="9"/>
  <c r="H97" i="9"/>
  <c r="G97" i="9"/>
  <c r="L97" i="9" s="1"/>
  <c r="F97" i="9"/>
  <c r="K97" i="9" s="1"/>
  <c r="Q96" i="9"/>
  <c r="J96" i="9"/>
  <c r="I96" i="9"/>
  <c r="H96" i="9"/>
  <c r="G96" i="9"/>
  <c r="L96" i="9" s="1"/>
  <c r="F96" i="9"/>
  <c r="K96" i="9" s="1"/>
  <c r="S95" i="9"/>
  <c r="P95" i="9"/>
  <c r="N95" i="9"/>
  <c r="K95" i="9"/>
  <c r="J95" i="9"/>
  <c r="T95" i="9" s="1"/>
  <c r="I95" i="9"/>
  <c r="H95" i="9"/>
  <c r="R95" i="9" s="1"/>
  <c r="G95" i="9"/>
  <c r="F95" i="9"/>
  <c r="T94" i="9"/>
  <c r="R94" i="9"/>
  <c r="M94" i="9"/>
  <c r="J94" i="9"/>
  <c r="O94" i="9" s="1"/>
  <c r="I94" i="9"/>
  <c r="S94" i="9" s="1"/>
  <c r="H94" i="9"/>
  <c r="G94" i="9"/>
  <c r="F94" i="9"/>
  <c r="T93" i="9"/>
  <c r="M93" i="9"/>
  <c r="K93" i="9"/>
  <c r="J93" i="9"/>
  <c r="O93" i="9" s="1"/>
  <c r="I93" i="9"/>
  <c r="N93" i="9" s="1"/>
  <c r="H93" i="9"/>
  <c r="R93" i="9" s="1"/>
  <c r="G93" i="9"/>
  <c r="Q93" i="9" s="1"/>
  <c r="F93" i="9"/>
  <c r="P93" i="9" s="1"/>
  <c r="T92" i="9"/>
  <c r="R92" i="9"/>
  <c r="M92" i="9"/>
  <c r="J92" i="9"/>
  <c r="O92" i="9" s="1"/>
  <c r="I92" i="9"/>
  <c r="N92" i="9" s="1"/>
  <c r="H92" i="9"/>
  <c r="G92" i="9"/>
  <c r="F92" i="9"/>
  <c r="K92" i="9" s="1"/>
  <c r="Q91" i="9"/>
  <c r="L91" i="9"/>
  <c r="J91" i="9"/>
  <c r="I91" i="9"/>
  <c r="N91" i="9" s="1"/>
  <c r="H91" i="9"/>
  <c r="M91" i="9" s="1"/>
  <c r="G91" i="9"/>
  <c r="F91" i="9"/>
  <c r="P91" i="9" s="1"/>
  <c r="S90" i="9"/>
  <c r="Q90" i="9"/>
  <c r="J90" i="9"/>
  <c r="I90" i="9"/>
  <c r="N90" i="9" s="1"/>
  <c r="H90" i="9"/>
  <c r="M90" i="9" s="1"/>
  <c r="G90" i="9"/>
  <c r="L90" i="9" s="1"/>
  <c r="F90" i="9"/>
  <c r="R89" i="9"/>
  <c r="Q89" i="9"/>
  <c r="M89" i="9"/>
  <c r="J89" i="9"/>
  <c r="T89" i="9" s="1"/>
  <c r="I89" i="9"/>
  <c r="H89" i="9"/>
  <c r="G89" i="9"/>
  <c r="L89" i="9" s="1"/>
  <c r="F89" i="9"/>
  <c r="K89" i="9" s="1"/>
  <c r="T88" i="9"/>
  <c r="O88" i="9"/>
  <c r="J88" i="9"/>
  <c r="I88" i="9"/>
  <c r="S88" i="9" s="1"/>
  <c r="H88" i="9"/>
  <c r="G88" i="9"/>
  <c r="Q88" i="9" s="1"/>
  <c r="F88" i="9"/>
  <c r="K88" i="9" s="1"/>
  <c r="J87" i="9"/>
  <c r="T87" i="9" s="1"/>
  <c r="I87" i="9"/>
  <c r="S87" i="9" s="1"/>
  <c r="H87" i="9"/>
  <c r="R87" i="9" s="1"/>
  <c r="G87" i="9"/>
  <c r="F87" i="9"/>
  <c r="K87" i="9" s="1"/>
  <c r="R86" i="9"/>
  <c r="M86" i="9"/>
  <c r="J86" i="9"/>
  <c r="T86" i="9" s="1"/>
  <c r="I86" i="9"/>
  <c r="S86" i="9" s="1"/>
  <c r="H86" i="9"/>
  <c r="G86" i="9"/>
  <c r="F86" i="9"/>
  <c r="T85" i="9"/>
  <c r="K85" i="9"/>
  <c r="J85" i="9"/>
  <c r="O85" i="9" s="1"/>
  <c r="I85" i="9"/>
  <c r="S85" i="9" s="1"/>
  <c r="H85" i="9"/>
  <c r="R85" i="9" s="1"/>
  <c r="G85" i="9"/>
  <c r="L85" i="9" s="1"/>
  <c r="F85" i="9"/>
  <c r="P85" i="9" s="1"/>
  <c r="T84" i="9"/>
  <c r="S84" i="9"/>
  <c r="R84" i="9"/>
  <c r="M84" i="9"/>
  <c r="K84" i="9"/>
  <c r="J84" i="9"/>
  <c r="O84" i="9" s="1"/>
  <c r="I84" i="9"/>
  <c r="N84" i="9" s="1"/>
  <c r="H84" i="9"/>
  <c r="G84" i="9"/>
  <c r="Q84" i="9" s="1"/>
  <c r="F84" i="9"/>
  <c r="P84" i="9" s="1"/>
  <c r="T83" i="9"/>
  <c r="O83" i="9"/>
  <c r="J83" i="9"/>
  <c r="I83" i="9"/>
  <c r="N83" i="9" s="1"/>
  <c r="H83" i="9"/>
  <c r="M83" i="9" s="1"/>
  <c r="G83" i="9"/>
  <c r="L83" i="9" s="1"/>
  <c r="F83" i="9"/>
  <c r="Q82" i="9"/>
  <c r="J82" i="9"/>
  <c r="I82" i="9"/>
  <c r="S82" i="9" s="1"/>
  <c r="H82" i="9"/>
  <c r="G82" i="9"/>
  <c r="L82" i="9" s="1"/>
  <c r="F82" i="9"/>
  <c r="P82" i="9" s="1"/>
  <c r="P81" i="9"/>
  <c r="J81" i="9"/>
  <c r="I81" i="9"/>
  <c r="H81" i="9"/>
  <c r="R81" i="9" s="1"/>
  <c r="G81" i="9"/>
  <c r="L81" i="9" s="1"/>
  <c r="F81" i="9"/>
  <c r="K81" i="9" s="1"/>
  <c r="T80" i="9"/>
  <c r="J80" i="9"/>
  <c r="O80" i="9" s="1"/>
  <c r="I80" i="9"/>
  <c r="S80" i="9" s="1"/>
  <c r="H80" i="9"/>
  <c r="G80" i="9"/>
  <c r="L80" i="9" s="1"/>
  <c r="F80" i="9"/>
  <c r="K80" i="9" s="1"/>
  <c r="O79" i="9"/>
  <c r="N79" i="9"/>
  <c r="J79" i="9"/>
  <c r="T79" i="9" s="1"/>
  <c r="I79" i="9"/>
  <c r="S79" i="9" s="1"/>
  <c r="H79" i="9"/>
  <c r="G79" i="9"/>
  <c r="F79" i="9"/>
  <c r="P79" i="9" s="1"/>
  <c r="O78" i="9"/>
  <c r="J78" i="9"/>
  <c r="T78" i="9" s="1"/>
  <c r="I78" i="9"/>
  <c r="S78" i="9" s="1"/>
  <c r="H78" i="9"/>
  <c r="R78" i="9" s="1"/>
  <c r="G78" i="9"/>
  <c r="Q78" i="9" s="1"/>
  <c r="F78" i="9"/>
  <c r="Q77" i="9"/>
  <c r="L77" i="9"/>
  <c r="K77" i="9"/>
  <c r="J77" i="9"/>
  <c r="O77" i="9" s="1"/>
  <c r="I77" i="9"/>
  <c r="N77" i="9" s="1"/>
  <c r="H77" i="9"/>
  <c r="G77" i="9"/>
  <c r="F77" i="9"/>
  <c r="P77" i="9" s="1"/>
  <c r="S76" i="9"/>
  <c r="R76" i="9"/>
  <c r="L76" i="9"/>
  <c r="J76" i="9"/>
  <c r="O76" i="9" s="1"/>
  <c r="I76" i="9"/>
  <c r="N76" i="9" s="1"/>
  <c r="H76" i="9"/>
  <c r="M76" i="9" s="1"/>
  <c r="G76" i="9"/>
  <c r="Q76" i="9" s="1"/>
  <c r="F76" i="9"/>
  <c r="P76" i="9" s="1"/>
  <c r="R75" i="9"/>
  <c r="O75" i="9"/>
  <c r="K75" i="9"/>
  <c r="J75" i="9"/>
  <c r="T75" i="9" s="1"/>
  <c r="I75" i="9"/>
  <c r="N75" i="9" s="1"/>
  <c r="H75" i="9"/>
  <c r="M75" i="9" s="1"/>
  <c r="G75" i="9"/>
  <c r="F75" i="9"/>
  <c r="P75" i="9" s="1"/>
  <c r="S74" i="9"/>
  <c r="N74" i="9"/>
  <c r="J74" i="9"/>
  <c r="I74" i="9"/>
  <c r="H74" i="9"/>
  <c r="M74" i="9" s="1"/>
  <c r="G74" i="9"/>
  <c r="L74" i="9" s="1"/>
  <c r="F74" i="9"/>
  <c r="P74" i="9" s="1"/>
  <c r="Q73" i="9"/>
  <c r="P73" i="9"/>
  <c r="O73" i="9"/>
  <c r="J73" i="9"/>
  <c r="T73" i="9" s="1"/>
  <c r="I73" i="9"/>
  <c r="H73" i="9"/>
  <c r="M73" i="9" s="1"/>
  <c r="G73" i="9"/>
  <c r="L73" i="9" s="1"/>
  <c r="F73" i="9"/>
  <c r="K73" i="9" s="1"/>
  <c r="T72" i="9"/>
  <c r="J72" i="9"/>
  <c r="O72" i="9" s="1"/>
  <c r="I72" i="9"/>
  <c r="S72" i="9" s="1"/>
  <c r="H72" i="9"/>
  <c r="G72" i="9"/>
  <c r="L72" i="9" s="1"/>
  <c r="F72" i="9"/>
  <c r="K72" i="9" s="1"/>
  <c r="O71" i="9"/>
  <c r="J71" i="9"/>
  <c r="T71" i="9" s="1"/>
  <c r="I71" i="9"/>
  <c r="S71" i="9" s="1"/>
  <c r="H71" i="9"/>
  <c r="R71" i="9" s="1"/>
  <c r="G71" i="9"/>
  <c r="F71" i="9"/>
  <c r="P71" i="9" s="1"/>
  <c r="T70" i="9"/>
  <c r="R70" i="9"/>
  <c r="M70" i="9"/>
  <c r="J70" i="9"/>
  <c r="O70" i="9" s="1"/>
  <c r="I70" i="9"/>
  <c r="S70" i="9" s="1"/>
  <c r="H70" i="9"/>
  <c r="G70" i="9"/>
  <c r="Q70" i="9" s="1"/>
  <c r="F70" i="9"/>
  <c r="T69" i="9"/>
  <c r="M69" i="9"/>
  <c r="L69" i="9"/>
  <c r="K69" i="9"/>
  <c r="J69" i="9"/>
  <c r="O69" i="9" s="1"/>
  <c r="I69" i="9"/>
  <c r="H69" i="9"/>
  <c r="R69" i="9" s="1"/>
  <c r="G69" i="9"/>
  <c r="Q69" i="9" s="1"/>
  <c r="F69" i="9"/>
  <c r="P69" i="9" s="1"/>
  <c r="T68" i="9"/>
  <c r="S68" i="9"/>
  <c r="R68" i="9"/>
  <c r="M68" i="9"/>
  <c r="K68" i="9"/>
  <c r="J68" i="9"/>
  <c r="O68" i="9" s="1"/>
  <c r="I68" i="9"/>
  <c r="N68" i="9" s="1"/>
  <c r="H68" i="9"/>
  <c r="G68" i="9"/>
  <c r="Q68" i="9" s="1"/>
  <c r="F68" i="9"/>
  <c r="P68" i="9" s="1"/>
  <c r="T67" i="9"/>
  <c r="O67" i="9"/>
  <c r="J67" i="9"/>
  <c r="I67" i="9"/>
  <c r="H67" i="9"/>
  <c r="M67" i="9" s="1"/>
  <c r="G67" i="9"/>
  <c r="Q67" i="9" s="1"/>
  <c r="F67" i="9"/>
  <c r="Q66" i="9"/>
  <c r="J66" i="9"/>
  <c r="I66" i="9"/>
  <c r="S66" i="9" s="1"/>
  <c r="H66" i="9"/>
  <c r="M66" i="9" s="1"/>
  <c r="G66" i="9"/>
  <c r="L66" i="9" s="1"/>
  <c r="F66" i="9"/>
  <c r="L65" i="9"/>
  <c r="J65" i="9"/>
  <c r="T65" i="9" s="1"/>
  <c r="I65" i="9"/>
  <c r="H65" i="9"/>
  <c r="G65" i="9"/>
  <c r="Q65" i="9" s="1"/>
  <c r="F65" i="9"/>
  <c r="K65" i="9" s="1"/>
  <c r="O64" i="9"/>
  <c r="L64" i="9"/>
  <c r="J64" i="9"/>
  <c r="T64" i="9" s="1"/>
  <c r="I64" i="9"/>
  <c r="N64" i="9" s="1"/>
  <c r="H64" i="9"/>
  <c r="G64" i="9"/>
  <c r="Q64" i="9" s="1"/>
  <c r="F64" i="9"/>
  <c r="M63" i="9"/>
  <c r="J63" i="9"/>
  <c r="I63" i="9"/>
  <c r="H63" i="9"/>
  <c r="R63" i="9" s="1"/>
  <c r="G63" i="9"/>
  <c r="F63" i="9"/>
  <c r="P63" i="9" s="1"/>
  <c r="R62" i="9"/>
  <c r="O62" i="9"/>
  <c r="M62" i="9"/>
  <c r="J62" i="9"/>
  <c r="T62" i="9" s="1"/>
  <c r="I62" i="9"/>
  <c r="S62" i="9" s="1"/>
  <c r="H62" i="9"/>
  <c r="G62" i="9"/>
  <c r="L62" i="9" s="1"/>
  <c r="F62" i="9"/>
  <c r="L61" i="9"/>
  <c r="J61" i="9"/>
  <c r="O61" i="9" s="1"/>
  <c r="I61" i="9"/>
  <c r="S61" i="9" s="1"/>
  <c r="H61" i="9"/>
  <c r="R61" i="9" s="1"/>
  <c r="G61" i="9"/>
  <c r="Q61" i="9" s="1"/>
  <c r="F61" i="9"/>
  <c r="P61" i="9" s="1"/>
  <c r="R60" i="9"/>
  <c r="K60" i="9"/>
  <c r="J60" i="9"/>
  <c r="T60" i="9" s="1"/>
  <c r="I60" i="9"/>
  <c r="H60" i="9"/>
  <c r="M60" i="9" s="1"/>
  <c r="G60" i="9"/>
  <c r="Q60" i="9" s="1"/>
  <c r="F60" i="9"/>
  <c r="P60" i="9" s="1"/>
  <c r="P59" i="9"/>
  <c r="L59" i="9"/>
  <c r="J59" i="9"/>
  <c r="O59" i="9" s="1"/>
  <c r="I59" i="9"/>
  <c r="H59" i="9"/>
  <c r="G59" i="9"/>
  <c r="Q59" i="9" s="1"/>
  <c r="F59" i="9"/>
  <c r="K59" i="9" s="1"/>
  <c r="R58" i="9"/>
  <c r="O58" i="9"/>
  <c r="M58" i="9"/>
  <c r="K58" i="9"/>
  <c r="J58" i="9"/>
  <c r="T58" i="9" s="1"/>
  <c r="I58" i="9"/>
  <c r="N58" i="9" s="1"/>
  <c r="H58" i="9"/>
  <c r="G58" i="9"/>
  <c r="F58" i="9"/>
  <c r="P58" i="9" s="1"/>
  <c r="T57" i="9"/>
  <c r="N57" i="9"/>
  <c r="J57" i="9"/>
  <c r="O57" i="9" s="1"/>
  <c r="I57" i="9"/>
  <c r="S57" i="9" s="1"/>
  <c r="H57" i="9"/>
  <c r="M57" i="9" s="1"/>
  <c r="G57" i="9"/>
  <c r="Q57" i="9" s="1"/>
  <c r="F57" i="9"/>
  <c r="S56" i="9"/>
  <c r="K56" i="9"/>
  <c r="J56" i="9"/>
  <c r="T56" i="9" s="1"/>
  <c r="I56" i="9"/>
  <c r="N56" i="9" s="1"/>
  <c r="H56" i="9"/>
  <c r="R56" i="9" s="1"/>
  <c r="G56" i="9"/>
  <c r="L56" i="9" s="1"/>
  <c r="F56" i="9"/>
  <c r="P56" i="9" s="1"/>
  <c r="T55" i="9"/>
  <c r="R55" i="9"/>
  <c r="L55" i="9"/>
  <c r="J55" i="9"/>
  <c r="O55" i="9" s="1"/>
  <c r="I55" i="9"/>
  <c r="H55" i="9"/>
  <c r="M55" i="9" s="1"/>
  <c r="G55" i="9"/>
  <c r="Q55" i="9" s="1"/>
  <c r="F55" i="9"/>
  <c r="K55" i="9" s="1"/>
  <c r="T54" i="9"/>
  <c r="S54" i="9"/>
  <c r="R54" i="9"/>
  <c r="O54" i="9"/>
  <c r="K54" i="9"/>
  <c r="J54" i="9"/>
  <c r="I54" i="9"/>
  <c r="N54" i="9" s="1"/>
  <c r="H54" i="9"/>
  <c r="M54" i="9" s="1"/>
  <c r="G54" i="9"/>
  <c r="L54" i="9" s="1"/>
  <c r="F54" i="9"/>
  <c r="P54" i="9" s="1"/>
  <c r="S53" i="9"/>
  <c r="Q53" i="9"/>
  <c r="N53" i="9"/>
  <c r="L53" i="9"/>
  <c r="J53" i="9"/>
  <c r="I53" i="9"/>
  <c r="H53" i="9"/>
  <c r="G53" i="9"/>
  <c r="F53" i="9"/>
  <c r="K53" i="9" s="1"/>
  <c r="P52" i="9"/>
  <c r="M52" i="9"/>
  <c r="J52" i="9"/>
  <c r="O52" i="9" s="1"/>
  <c r="I52" i="9"/>
  <c r="H52" i="9"/>
  <c r="R52" i="9" s="1"/>
  <c r="G52" i="9"/>
  <c r="L52" i="9" s="1"/>
  <c r="F52" i="9"/>
  <c r="K52" i="9" s="1"/>
  <c r="Q51" i="9"/>
  <c r="J51" i="9"/>
  <c r="O51" i="9" s="1"/>
  <c r="I51" i="9"/>
  <c r="S51" i="9" s="1"/>
  <c r="H51" i="9"/>
  <c r="G51" i="9"/>
  <c r="L51" i="9" s="1"/>
  <c r="F51" i="9"/>
  <c r="K50" i="9"/>
  <c r="J50" i="9"/>
  <c r="I50" i="9"/>
  <c r="N50" i="9" s="1"/>
  <c r="H50" i="9"/>
  <c r="G50" i="9"/>
  <c r="F50" i="9"/>
  <c r="P50" i="9" s="1"/>
  <c r="L49" i="9"/>
  <c r="J49" i="9"/>
  <c r="O49" i="9" s="1"/>
  <c r="I49" i="9"/>
  <c r="H49" i="9"/>
  <c r="M49" i="9" s="1"/>
  <c r="G49" i="9"/>
  <c r="Q49" i="9" s="1"/>
  <c r="F49" i="9"/>
  <c r="S48" i="9"/>
  <c r="M48" i="9"/>
  <c r="J48" i="9"/>
  <c r="T48" i="9" s="1"/>
  <c r="I48" i="9"/>
  <c r="N48" i="9" s="1"/>
  <c r="H48" i="9"/>
  <c r="R48" i="9" s="1"/>
  <c r="G48" i="9"/>
  <c r="L48" i="9" s="1"/>
  <c r="F48" i="9"/>
  <c r="K48" i="9" s="1"/>
  <c r="S47" i="9"/>
  <c r="J47" i="9"/>
  <c r="O47" i="9" s="1"/>
  <c r="I47" i="9"/>
  <c r="N47" i="9" s="1"/>
  <c r="H47" i="9"/>
  <c r="G47" i="9"/>
  <c r="Q47" i="9" s="1"/>
  <c r="F47" i="9"/>
  <c r="K47" i="9" s="1"/>
  <c r="S46" i="9"/>
  <c r="Q46" i="9"/>
  <c r="M46" i="9"/>
  <c r="J46" i="9"/>
  <c r="I46" i="9"/>
  <c r="N46" i="9" s="1"/>
  <c r="H46" i="9"/>
  <c r="R46" i="9" s="1"/>
  <c r="G46" i="9"/>
  <c r="L46" i="9" s="1"/>
  <c r="F46" i="9"/>
  <c r="P46" i="9" s="1"/>
  <c r="S45" i="9"/>
  <c r="R45" i="9"/>
  <c r="P45" i="9"/>
  <c r="J45" i="9"/>
  <c r="I45" i="9"/>
  <c r="N45" i="9" s="1"/>
  <c r="H45" i="9"/>
  <c r="M45" i="9" s="1"/>
  <c r="G45" i="9"/>
  <c r="F45" i="9"/>
  <c r="K45" i="9" s="1"/>
  <c r="T44" i="9"/>
  <c r="O44" i="9"/>
  <c r="M44" i="9"/>
  <c r="K44" i="9"/>
  <c r="J44" i="9"/>
  <c r="I44" i="9"/>
  <c r="H44" i="9"/>
  <c r="R44" i="9" s="1"/>
  <c r="G44" i="9"/>
  <c r="L44" i="9" s="1"/>
  <c r="F44" i="9"/>
  <c r="P44" i="9" s="1"/>
  <c r="Q43" i="9"/>
  <c r="P43" i="9"/>
  <c r="L43" i="9"/>
  <c r="J43" i="9"/>
  <c r="O43" i="9" s="1"/>
  <c r="I43" i="9"/>
  <c r="S43" i="9" s="1"/>
  <c r="H43" i="9"/>
  <c r="G43" i="9"/>
  <c r="F43" i="9"/>
  <c r="K43" i="9" s="1"/>
  <c r="R42" i="9"/>
  <c r="O42" i="9"/>
  <c r="K42" i="9"/>
  <c r="J42" i="9"/>
  <c r="T42" i="9" s="1"/>
  <c r="I42" i="9"/>
  <c r="N42" i="9" s="1"/>
  <c r="H42" i="9"/>
  <c r="M42" i="9" s="1"/>
  <c r="G42" i="9"/>
  <c r="F42" i="9"/>
  <c r="P42" i="9" s="1"/>
  <c r="T41" i="9"/>
  <c r="Q41" i="9"/>
  <c r="J41" i="9"/>
  <c r="O41" i="9" s="1"/>
  <c r="I41" i="9"/>
  <c r="S41" i="9" s="1"/>
  <c r="H41" i="9"/>
  <c r="M41" i="9" s="1"/>
  <c r="G41" i="9"/>
  <c r="L41" i="9" s="1"/>
  <c r="F41" i="9"/>
  <c r="T40" i="9"/>
  <c r="O40" i="9"/>
  <c r="M40" i="9"/>
  <c r="K40" i="9"/>
  <c r="J40" i="9"/>
  <c r="I40" i="9"/>
  <c r="H40" i="9"/>
  <c r="R40" i="9" s="1"/>
  <c r="G40" i="9"/>
  <c r="L40" i="9" s="1"/>
  <c r="F40" i="9"/>
  <c r="P40" i="9" s="1"/>
  <c r="T39" i="9"/>
  <c r="S39" i="9"/>
  <c r="R39" i="9"/>
  <c r="L39" i="9"/>
  <c r="J39" i="9"/>
  <c r="O39" i="9" s="1"/>
  <c r="I39" i="9"/>
  <c r="N39" i="9" s="1"/>
  <c r="H39" i="9"/>
  <c r="M39" i="9" s="1"/>
  <c r="G39" i="9"/>
  <c r="Q39" i="9" s="1"/>
  <c r="F39" i="9"/>
  <c r="K39" i="9" s="1"/>
  <c r="T38" i="9"/>
  <c r="R38" i="9"/>
  <c r="K38" i="9"/>
  <c r="J38" i="9"/>
  <c r="O38" i="9" s="1"/>
  <c r="I38" i="9"/>
  <c r="H38" i="9"/>
  <c r="M38" i="9" s="1"/>
  <c r="G38" i="9"/>
  <c r="F38" i="9"/>
  <c r="P38" i="9" s="1"/>
  <c r="S37" i="9"/>
  <c r="Q37" i="9"/>
  <c r="P37" i="9"/>
  <c r="N37" i="9"/>
  <c r="L37" i="9"/>
  <c r="J37" i="9"/>
  <c r="I37" i="9"/>
  <c r="H37" i="9"/>
  <c r="M37" i="9" s="1"/>
  <c r="G37" i="9"/>
  <c r="F37" i="9"/>
  <c r="K37" i="9" s="1"/>
  <c r="T36" i="9"/>
  <c r="R36" i="9"/>
  <c r="P36" i="9"/>
  <c r="J36" i="9"/>
  <c r="O36" i="9" s="1"/>
  <c r="I36" i="9"/>
  <c r="H36" i="9"/>
  <c r="M36" i="9" s="1"/>
  <c r="G36" i="9"/>
  <c r="L36" i="9" s="1"/>
  <c r="F36" i="9"/>
  <c r="K36" i="9" s="1"/>
  <c r="S35" i="9"/>
  <c r="Q35" i="9"/>
  <c r="N35" i="9"/>
  <c r="L35" i="9"/>
  <c r="J35" i="9"/>
  <c r="O35" i="9" s="1"/>
  <c r="I35" i="9"/>
  <c r="H35" i="9"/>
  <c r="G35" i="9"/>
  <c r="F35" i="9"/>
  <c r="K35" i="9" s="1"/>
  <c r="O34" i="9"/>
  <c r="M34" i="9"/>
  <c r="J34" i="9"/>
  <c r="T34" i="9" s="1"/>
  <c r="I34" i="9"/>
  <c r="N34" i="9" s="1"/>
  <c r="H34" i="9"/>
  <c r="R34" i="9" s="1"/>
  <c r="G34" i="9"/>
  <c r="F34" i="9"/>
  <c r="P34" i="9" s="1"/>
  <c r="T33" i="9"/>
  <c r="Q33" i="9"/>
  <c r="L33" i="9"/>
  <c r="J33" i="9"/>
  <c r="O33" i="9" s="1"/>
  <c r="I33" i="9"/>
  <c r="S33" i="9" s="1"/>
  <c r="H33" i="9"/>
  <c r="M33" i="9" s="1"/>
  <c r="G33" i="9"/>
  <c r="F33" i="9"/>
  <c r="T32" i="9"/>
  <c r="P32" i="9"/>
  <c r="J32" i="9"/>
  <c r="O32" i="9" s="1"/>
  <c r="I32" i="9"/>
  <c r="H32" i="9"/>
  <c r="G32" i="9"/>
  <c r="L32" i="9" s="1"/>
  <c r="F32" i="9"/>
  <c r="K32" i="9" s="1"/>
  <c r="R31" i="9"/>
  <c r="J31" i="9"/>
  <c r="I31" i="9"/>
  <c r="H31" i="9"/>
  <c r="M31" i="9" s="1"/>
  <c r="G31" i="9"/>
  <c r="F31" i="9"/>
  <c r="K31" i="9" s="1"/>
  <c r="Q30" i="9"/>
  <c r="O30" i="9"/>
  <c r="M30" i="9"/>
  <c r="J30" i="9"/>
  <c r="T30" i="9" s="1"/>
  <c r="I30" i="9"/>
  <c r="N30" i="9" s="1"/>
  <c r="H30" i="9"/>
  <c r="R30" i="9" s="1"/>
  <c r="G30" i="9"/>
  <c r="L30" i="9" s="1"/>
  <c r="F30" i="9"/>
  <c r="P30" i="9" s="1"/>
  <c r="S29" i="9"/>
  <c r="R29" i="9"/>
  <c r="N29" i="9"/>
  <c r="J29" i="9"/>
  <c r="I29" i="9"/>
  <c r="H29" i="9"/>
  <c r="M29" i="9" s="1"/>
  <c r="G29" i="9"/>
  <c r="F29" i="9"/>
  <c r="R28" i="9"/>
  <c r="O28" i="9"/>
  <c r="K28" i="9"/>
  <c r="J28" i="9"/>
  <c r="T28" i="9" s="1"/>
  <c r="I28" i="9"/>
  <c r="H28" i="9"/>
  <c r="M28" i="9" s="1"/>
  <c r="G28" i="9"/>
  <c r="F28" i="9"/>
  <c r="P28" i="9" s="1"/>
  <c r="S27" i="9"/>
  <c r="P27" i="9"/>
  <c r="J27" i="9"/>
  <c r="O27" i="9" s="1"/>
  <c r="I27" i="9"/>
  <c r="N27" i="9" s="1"/>
  <c r="H27" i="9"/>
  <c r="G27" i="9"/>
  <c r="Q27" i="9" s="1"/>
  <c r="F27" i="9"/>
  <c r="K27" i="9" s="1"/>
  <c r="R26" i="9"/>
  <c r="O26" i="9"/>
  <c r="K26" i="9"/>
  <c r="J26" i="9"/>
  <c r="T26" i="9" s="1"/>
  <c r="I26" i="9"/>
  <c r="N26" i="9" s="1"/>
  <c r="H26" i="9"/>
  <c r="M26" i="9" s="1"/>
  <c r="G26" i="9"/>
  <c r="F26" i="9"/>
  <c r="P26" i="9" s="1"/>
  <c r="N25" i="9"/>
  <c r="J25" i="9"/>
  <c r="O25" i="9" s="1"/>
  <c r="I25" i="9"/>
  <c r="S25" i="9" s="1"/>
  <c r="H25" i="9"/>
  <c r="M25" i="9" s="1"/>
  <c r="G25" i="9"/>
  <c r="F25" i="9"/>
  <c r="M24" i="9"/>
  <c r="K24" i="9"/>
  <c r="J24" i="9"/>
  <c r="T24" i="9" s="1"/>
  <c r="I24" i="9"/>
  <c r="N24" i="9" s="1"/>
  <c r="H24" i="9"/>
  <c r="R24" i="9" s="1"/>
  <c r="G24" i="9"/>
  <c r="L24" i="9" s="1"/>
  <c r="F24" i="9"/>
  <c r="P24" i="9" s="1"/>
  <c r="N23" i="9"/>
  <c r="L23" i="9"/>
  <c r="J23" i="9"/>
  <c r="O23" i="9" s="1"/>
  <c r="I23" i="9"/>
  <c r="S23" i="9" s="1"/>
  <c r="H23" i="9"/>
  <c r="G23" i="9"/>
  <c r="Q23" i="9" s="1"/>
  <c r="F23" i="9"/>
  <c r="K23" i="9" s="1"/>
  <c r="O22" i="9"/>
  <c r="K22" i="9"/>
  <c r="J22" i="9"/>
  <c r="T22" i="9" s="1"/>
  <c r="I22" i="9"/>
  <c r="N22" i="9" s="1"/>
  <c r="H22" i="9"/>
  <c r="R22" i="9" s="1"/>
  <c r="G22" i="9"/>
  <c r="L22" i="9" s="1"/>
  <c r="F22" i="9"/>
  <c r="P22" i="9" s="1"/>
  <c r="P21" i="9"/>
  <c r="J21" i="9"/>
  <c r="I21" i="9"/>
  <c r="N21" i="9" s="1"/>
  <c r="H21" i="9"/>
  <c r="G21" i="9"/>
  <c r="Q21" i="9" s="1"/>
  <c r="F21" i="9"/>
  <c r="K21" i="9" s="1"/>
  <c r="Q20" i="9"/>
  <c r="K20" i="9"/>
  <c r="J20" i="9"/>
  <c r="O20" i="9" s="1"/>
  <c r="I20" i="9"/>
  <c r="H20" i="9"/>
  <c r="R20" i="9" s="1"/>
  <c r="G20" i="9"/>
  <c r="L20" i="9" s="1"/>
  <c r="F20" i="9"/>
  <c r="P20" i="9" s="1"/>
  <c r="Q19" i="9"/>
  <c r="P19" i="9"/>
  <c r="N19" i="9"/>
  <c r="J19" i="9"/>
  <c r="O19" i="9" s="1"/>
  <c r="I19" i="9"/>
  <c r="S19" i="9" s="1"/>
  <c r="H19" i="9"/>
  <c r="G19" i="9"/>
  <c r="L19" i="9" s="1"/>
  <c r="F19" i="9"/>
  <c r="K19" i="9" s="1"/>
  <c r="R18" i="9"/>
  <c r="P18" i="9"/>
  <c r="J18" i="9"/>
  <c r="I18" i="9"/>
  <c r="N18" i="9" s="1"/>
  <c r="H18" i="9"/>
  <c r="M18" i="9" s="1"/>
  <c r="G18" i="9"/>
  <c r="F18" i="9"/>
  <c r="K18" i="9" s="1"/>
  <c r="Q17" i="9"/>
  <c r="J17" i="9"/>
  <c r="O17" i="9" s="1"/>
  <c r="I17" i="9"/>
  <c r="H17" i="9"/>
  <c r="M17" i="9" s="1"/>
  <c r="G17" i="9"/>
  <c r="L17" i="9" s="1"/>
  <c r="F17" i="9"/>
  <c r="S16" i="9"/>
  <c r="M16" i="9"/>
  <c r="K16" i="9"/>
  <c r="J16" i="9"/>
  <c r="O16" i="9" s="1"/>
  <c r="I16" i="9"/>
  <c r="N16" i="9" s="1"/>
  <c r="H16" i="9"/>
  <c r="R16" i="9" s="1"/>
  <c r="G16" i="9"/>
  <c r="L16" i="9" s="1"/>
  <c r="F16" i="9"/>
  <c r="P16" i="9" s="1"/>
  <c r="R15" i="9"/>
  <c r="L15" i="9"/>
  <c r="J15" i="9"/>
  <c r="O15" i="9" s="1"/>
  <c r="I15" i="9"/>
  <c r="S15" i="9" s="1"/>
  <c r="H15" i="9"/>
  <c r="M15" i="9" s="1"/>
  <c r="G15" i="9"/>
  <c r="Q15" i="9" s="1"/>
  <c r="F15" i="9"/>
  <c r="K15" i="9" s="1"/>
  <c r="T14" i="9"/>
  <c r="S14" i="9"/>
  <c r="Q14" i="9"/>
  <c r="K14" i="9"/>
  <c r="J14" i="9"/>
  <c r="O14" i="9" s="1"/>
  <c r="I14" i="9"/>
  <c r="N14" i="9" s="1"/>
  <c r="H14" i="9"/>
  <c r="R14" i="9" s="1"/>
  <c r="G14" i="9"/>
  <c r="L14" i="9" s="1"/>
  <c r="F14" i="9"/>
  <c r="P14" i="9" s="1"/>
  <c r="R13" i="9"/>
  <c r="L13" i="9"/>
  <c r="J13" i="9"/>
  <c r="I13" i="9"/>
  <c r="S13" i="9" s="1"/>
  <c r="H13" i="9"/>
  <c r="M13" i="9" s="1"/>
  <c r="G13" i="9"/>
  <c r="Q13" i="9" s="1"/>
  <c r="F13" i="9"/>
  <c r="K13" i="9" s="1"/>
  <c r="T12" i="9"/>
  <c r="O12" i="9"/>
  <c r="K12" i="9"/>
  <c r="J12" i="9"/>
  <c r="I12" i="9"/>
  <c r="H12" i="9"/>
  <c r="R12" i="9" s="1"/>
  <c r="G12" i="9"/>
  <c r="F12" i="9"/>
  <c r="P12" i="9" s="1"/>
  <c r="P11" i="9"/>
  <c r="J11" i="9"/>
  <c r="O11" i="9" s="1"/>
  <c r="I11" i="9"/>
  <c r="N11" i="9" s="1"/>
  <c r="H11" i="9"/>
  <c r="G11" i="9"/>
  <c r="Q11" i="9" s="1"/>
  <c r="F11" i="9"/>
  <c r="K11" i="9" s="1"/>
  <c r="O10" i="9"/>
  <c r="K10" i="9"/>
  <c r="J10" i="9"/>
  <c r="T10" i="9" s="1"/>
  <c r="I10" i="9"/>
  <c r="N10" i="9" s="1"/>
  <c r="H10" i="9"/>
  <c r="R10" i="9" s="1"/>
  <c r="G10" i="9"/>
  <c r="F10" i="9"/>
  <c r="P10" i="9" s="1"/>
  <c r="T9" i="9"/>
  <c r="Q9" i="9"/>
  <c r="L9" i="9"/>
  <c r="J9" i="9"/>
  <c r="O9" i="9" s="1"/>
  <c r="I9" i="9"/>
  <c r="S9" i="9" s="1"/>
  <c r="H9" i="9"/>
  <c r="M9" i="9" s="1"/>
  <c r="G9" i="9"/>
  <c r="F9" i="9"/>
  <c r="T8" i="9"/>
  <c r="S8" i="9"/>
  <c r="O8" i="9"/>
  <c r="K8" i="9"/>
  <c r="J8" i="9"/>
  <c r="I8" i="9"/>
  <c r="N8" i="9" s="1"/>
  <c r="H8" i="9"/>
  <c r="R8" i="9" s="1"/>
  <c r="G8" i="9"/>
  <c r="L8" i="9" s="1"/>
  <c r="F8" i="9"/>
  <c r="P8" i="9" s="1"/>
  <c r="T7" i="9"/>
  <c r="N7" i="9"/>
  <c r="J7" i="9"/>
  <c r="O7" i="9" s="1"/>
  <c r="I7" i="9"/>
  <c r="S7" i="9" s="1"/>
  <c r="H7" i="9"/>
  <c r="M7" i="9" s="1"/>
  <c r="G7" i="9"/>
  <c r="Q7" i="9" s="1"/>
  <c r="F7" i="9"/>
  <c r="K7" i="9" s="1"/>
  <c r="T6" i="9"/>
  <c r="S6" i="9"/>
  <c r="O6" i="9"/>
  <c r="K6" i="9"/>
  <c r="J6" i="9"/>
  <c r="I6" i="9"/>
  <c r="N6" i="9" s="1"/>
  <c r="H6" i="9"/>
  <c r="R6" i="9" s="1"/>
  <c r="G6" i="9"/>
  <c r="F6" i="9"/>
  <c r="P6" i="9" s="1"/>
  <c r="S5" i="9"/>
  <c r="R5" i="9"/>
  <c r="L5" i="9"/>
  <c r="J5" i="9"/>
  <c r="I5" i="9"/>
  <c r="N5" i="9" s="1"/>
  <c r="H5" i="9"/>
  <c r="M5" i="9" s="1"/>
  <c r="G5" i="9"/>
  <c r="Q5" i="9" s="1"/>
  <c r="F5" i="9"/>
  <c r="K5" i="9" s="1"/>
  <c r="T4" i="9"/>
  <c r="O4" i="9"/>
  <c r="M4" i="9"/>
  <c r="K4" i="9"/>
  <c r="J4" i="9"/>
  <c r="I4" i="9"/>
  <c r="H4" i="9"/>
  <c r="R4" i="9" s="1"/>
  <c r="G4" i="9"/>
  <c r="F4" i="9"/>
  <c r="P4" i="9" s="1"/>
  <c r="P3" i="9"/>
  <c r="J3" i="9"/>
  <c r="O3" i="9" s="1"/>
  <c r="I3" i="9"/>
  <c r="S3" i="9" s="1"/>
  <c r="H3" i="9"/>
  <c r="G3" i="9"/>
  <c r="Q3" i="9" s="1"/>
  <c r="F3" i="9"/>
  <c r="K3" i="9" s="1"/>
  <c r="Q16" i="8"/>
  <c r="J16" i="8"/>
  <c r="T16" i="8" s="1"/>
  <c r="I16" i="8"/>
  <c r="S16" i="8" s="1"/>
  <c r="H16" i="8"/>
  <c r="R16" i="8" s="1"/>
  <c r="G16" i="8"/>
  <c r="F16" i="8"/>
  <c r="P16" i="8" s="1"/>
  <c r="S15" i="8"/>
  <c r="J15" i="8"/>
  <c r="T15" i="8" s="1"/>
  <c r="I15" i="8"/>
  <c r="H15" i="8"/>
  <c r="R15" i="8" s="1"/>
  <c r="G15" i="8"/>
  <c r="Q15" i="8" s="1"/>
  <c r="F15" i="8"/>
  <c r="P15" i="8" s="1"/>
  <c r="Q14" i="8"/>
  <c r="J14" i="8"/>
  <c r="T14" i="8" s="1"/>
  <c r="I14" i="8"/>
  <c r="S14" i="8" s="1"/>
  <c r="H14" i="8"/>
  <c r="R14" i="8" s="1"/>
  <c r="G14" i="8"/>
  <c r="F14" i="8"/>
  <c r="P14" i="8" s="1"/>
  <c r="S13" i="8"/>
  <c r="J13" i="8"/>
  <c r="T13" i="8" s="1"/>
  <c r="I13" i="8"/>
  <c r="H13" i="8"/>
  <c r="R13" i="8" s="1"/>
  <c r="G13" i="8"/>
  <c r="Q13" i="8" s="1"/>
  <c r="F13" i="8"/>
  <c r="P13" i="8" s="1"/>
  <c r="Q12" i="8"/>
  <c r="J12" i="8"/>
  <c r="T12" i="8" s="1"/>
  <c r="I12" i="8"/>
  <c r="S12" i="8" s="1"/>
  <c r="H12" i="8"/>
  <c r="R12" i="8" s="1"/>
  <c r="G12" i="8"/>
  <c r="F12" i="8"/>
  <c r="P12" i="8" s="1"/>
  <c r="S11" i="8"/>
  <c r="J11" i="8"/>
  <c r="T11" i="8" s="1"/>
  <c r="I11" i="8"/>
  <c r="H11" i="8"/>
  <c r="R11" i="8" s="1"/>
  <c r="G11" i="8"/>
  <c r="Q11" i="8" s="1"/>
  <c r="F11" i="8"/>
  <c r="P11" i="8" s="1"/>
  <c r="J10" i="8"/>
  <c r="T10" i="8" s="1"/>
  <c r="I10" i="8"/>
  <c r="S10" i="8" s="1"/>
  <c r="H10" i="8"/>
  <c r="R10" i="8" s="1"/>
  <c r="G10" i="8"/>
  <c r="Q10" i="8" s="1"/>
  <c r="F10" i="8"/>
  <c r="P10" i="8" s="1"/>
  <c r="S9" i="8"/>
  <c r="J9" i="8"/>
  <c r="T9" i="8" s="1"/>
  <c r="I9" i="8"/>
  <c r="H9" i="8"/>
  <c r="R9" i="8" s="1"/>
  <c r="G9" i="8"/>
  <c r="Q9" i="8" s="1"/>
  <c r="F9" i="8"/>
  <c r="P9" i="8" s="1"/>
  <c r="S8" i="8"/>
  <c r="J8" i="8"/>
  <c r="T8" i="8" s="1"/>
  <c r="I8" i="8"/>
  <c r="H8" i="8"/>
  <c r="R8" i="8" s="1"/>
  <c r="G8" i="8"/>
  <c r="Q8" i="8" s="1"/>
  <c r="F8" i="8"/>
  <c r="P8" i="8" s="1"/>
  <c r="S7" i="8"/>
  <c r="Q7" i="8"/>
  <c r="J7" i="8"/>
  <c r="T7" i="8" s="1"/>
  <c r="I7" i="8"/>
  <c r="H7" i="8"/>
  <c r="R7" i="8" s="1"/>
  <c r="G7" i="8"/>
  <c r="F7" i="8"/>
  <c r="P7" i="8" s="1"/>
  <c r="J6" i="8"/>
  <c r="T6" i="8" s="1"/>
  <c r="I6" i="8"/>
  <c r="S6" i="8" s="1"/>
  <c r="H6" i="8"/>
  <c r="R6" i="8" s="1"/>
  <c r="G6" i="8"/>
  <c r="Q6" i="8" s="1"/>
  <c r="F6" i="8"/>
  <c r="P6" i="8" s="1"/>
  <c r="S5" i="8"/>
  <c r="J5" i="8"/>
  <c r="T5" i="8" s="1"/>
  <c r="I5" i="8"/>
  <c r="H5" i="8"/>
  <c r="R5" i="8" s="1"/>
  <c r="G5" i="8"/>
  <c r="Q5" i="8" s="1"/>
  <c r="F5" i="8"/>
  <c r="P5" i="8" s="1"/>
  <c r="J4" i="8"/>
  <c r="T4" i="8" s="1"/>
  <c r="I4" i="8"/>
  <c r="S4" i="8" s="1"/>
  <c r="H4" i="8"/>
  <c r="R4" i="8" s="1"/>
  <c r="G4" i="8"/>
  <c r="Q4" i="8" s="1"/>
  <c r="F4" i="8"/>
  <c r="P4" i="8" s="1"/>
  <c r="S3" i="8"/>
  <c r="Q3" i="8"/>
  <c r="J3" i="8"/>
  <c r="T3" i="8" s="1"/>
  <c r="I3" i="8"/>
  <c r="H3" i="8"/>
  <c r="R3" i="8" s="1"/>
  <c r="G3" i="8"/>
  <c r="F3" i="8"/>
  <c r="P3" i="8" s="1"/>
  <c r="R286" i="7"/>
  <c r="K286" i="7"/>
  <c r="U286" i="7" s="1"/>
  <c r="J286" i="7"/>
  <c r="T286" i="7" s="1"/>
  <c r="I286" i="7"/>
  <c r="S286" i="7" s="1"/>
  <c r="H286" i="7"/>
  <c r="G286" i="7"/>
  <c r="Q286" i="7" s="1"/>
  <c r="K285" i="7"/>
  <c r="U285" i="7" s="1"/>
  <c r="J285" i="7"/>
  <c r="T285" i="7" s="1"/>
  <c r="I285" i="7"/>
  <c r="S285" i="7" s="1"/>
  <c r="H285" i="7"/>
  <c r="R285" i="7" s="1"/>
  <c r="G285" i="7"/>
  <c r="Q285" i="7" s="1"/>
  <c r="R284" i="7"/>
  <c r="K284" i="7"/>
  <c r="U284" i="7" s="1"/>
  <c r="J284" i="7"/>
  <c r="T284" i="7" s="1"/>
  <c r="I284" i="7"/>
  <c r="S284" i="7" s="1"/>
  <c r="H284" i="7"/>
  <c r="G284" i="7"/>
  <c r="Q284" i="7" s="1"/>
  <c r="T283" i="7"/>
  <c r="K283" i="7"/>
  <c r="U283" i="7" s="1"/>
  <c r="J283" i="7"/>
  <c r="I283" i="7"/>
  <c r="S283" i="7" s="1"/>
  <c r="H283" i="7"/>
  <c r="R283" i="7" s="1"/>
  <c r="G283" i="7"/>
  <c r="Q283" i="7" s="1"/>
  <c r="K282" i="7"/>
  <c r="U282" i="7" s="1"/>
  <c r="J282" i="7"/>
  <c r="T282" i="7" s="1"/>
  <c r="I282" i="7"/>
  <c r="S282" i="7" s="1"/>
  <c r="H282" i="7"/>
  <c r="R282" i="7" s="1"/>
  <c r="G282" i="7"/>
  <c r="Q282" i="7" s="1"/>
  <c r="T281" i="7"/>
  <c r="R281" i="7"/>
  <c r="K281" i="7"/>
  <c r="U281" i="7" s="1"/>
  <c r="J281" i="7"/>
  <c r="I281" i="7"/>
  <c r="S281" i="7" s="1"/>
  <c r="H281" i="7"/>
  <c r="G281" i="7"/>
  <c r="Q281" i="7" s="1"/>
  <c r="T280" i="7"/>
  <c r="K280" i="7"/>
  <c r="U280" i="7" s="1"/>
  <c r="J280" i="7"/>
  <c r="I280" i="7"/>
  <c r="S280" i="7" s="1"/>
  <c r="H280" i="7"/>
  <c r="R280" i="7" s="1"/>
  <c r="G280" i="7"/>
  <c r="Q280" i="7" s="1"/>
  <c r="R279" i="7"/>
  <c r="K279" i="7"/>
  <c r="U279" i="7" s="1"/>
  <c r="J279" i="7"/>
  <c r="T279" i="7" s="1"/>
  <c r="I279" i="7"/>
  <c r="S279" i="7" s="1"/>
  <c r="H279" i="7"/>
  <c r="G279" i="7"/>
  <c r="Q279" i="7" s="1"/>
  <c r="R278" i="7"/>
  <c r="K278" i="7"/>
  <c r="U278" i="7" s="1"/>
  <c r="J278" i="7"/>
  <c r="T278" i="7" s="1"/>
  <c r="I278" i="7"/>
  <c r="S278" i="7" s="1"/>
  <c r="H278" i="7"/>
  <c r="G278" i="7"/>
  <c r="Q278" i="7" s="1"/>
  <c r="K277" i="7"/>
  <c r="U277" i="7" s="1"/>
  <c r="J277" i="7"/>
  <c r="T277" i="7" s="1"/>
  <c r="I277" i="7"/>
  <c r="S277" i="7" s="1"/>
  <c r="H277" i="7"/>
  <c r="R277" i="7" s="1"/>
  <c r="G277" i="7"/>
  <c r="Q277" i="7" s="1"/>
  <c r="R276" i="7"/>
  <c r="K276" i="7"/>
  <c r="U276" i="7" s="1"/>
  <c r="J276" i="7"/>
  <c r="T276" i="7" s="1"/>
  <c r="I276" i="7"/>
  <c r="S276" i="7" s="1"/>
  <c r="H276" i="7"/>
  <c r="G276" i="7"/>
  <c r="Q276" i="7" s="1"/>
  <c r="T275" i="7"/>
  <c r="K275" i="7"/>
  <c r="U275" i="7" s="1"/>
  <c r="J275" i="7"/>
  <c r="I275" i="7"/>
  <c r="S275" i="7" s="1"/>
  <c r="H275" i="7"/>
  <c r="R275" i="7" s="1"/>
  <c r="G275" i="7"/>
  <c r="Q275" i="7" s="1"/>
  <c r="K274" i="7"/>
  <c r="U274" i="7" s="1"/>
  <c r="J274" i="7"/>
  <c r="T274" i="7" s="1"/>
  <c r="I274" i="7"/>
  <c r="S274" i="7" s="1"/>
  <c r="H274" i="7"/>
  <c r="R274" i="7" s="1"/>
  <c r="G274" i="7"/>
  <c r="Q274" i="7" s="1"/>
  <c r="T273" i="7"/>
  <c r="R273" i="7"/>
  <c r="K273" i="7"/>
  <c r="U273" i="7" s="1"/>
  <c r="J273" i="7"/>
  <c r="I273" i="7"/>
  <c r="S273" i="7" s="1"/>
  <c r="H273" i="7"/>
  <c r="G273" i="7"/>
  <c r="Q273" i="7" s="1"/>
  <c r="T272" i="7"/>
  <c r="K272" i="7"/>
  <c r="U272" i="7" s="1"/>
  <c r="J272" i="7"/>
  <c r="I272" i="7"/>
  <c r="S272" i="7" s="1"/>
  <c r="H272" i="7"/>
  <c r="R272" i="7" s="1"/>
  <c r="G272" i="7"/>
  <c r="Q272" i="7" s="1"/>
  <c r="R271" i="7"/>
  <c r="K271" i="7"/>
  <c r="U271" i="7" s="1"/>
  <c r="J271" i="7"/>
  <c r="T271" i="7" s="1"/>
  <c r="I271" i="7"/>
  <c r="S271" i="7" s="1"/>
  <c r="H271" i="7"/>
  <c r="G271" i="7"/>
  <c r="Q271" i="7" s="1"/>
  <c r="R270" i="7"/>
  <c r="K270" i="7"/>
  <c r="U270" i="7" s="1"/>
  <c r="J270" i="7"/>
  <c r="T270" i="7" s="1"/>
  <c r="I270" i="7"/>
  <c r="S270" i="7" s="1"/>
  <c r="H270" i="7"/>
  <c r="G270" i="7"/>
  <c r="Q270" i="7" s="1"/>
  <c r="K269" i="7"/>
  <c r="U269" i="7" s="1"/>
  <c r="J269" i="7"/>
  <c r="T269" i="7" s="1"/>
  <c r="I269" i="7"/>
  <c r="S269" i="7" s="1"/>
  <c r="H269" i="7"/>
  <c r="R269" i="7" s="1"/>
  <c r="G269" i="7"/>
  <c r="Q269" i="7" s="1"/>
  <c r="R268" i="7"/>
  <c r="K268" i="7"/>
  <c r="U268" i="7" s="1"/>
  <c r="J268" i="7"/>
  <c r="T268" i="7" s="1"/>
  <c r="I268" i="7"/>
  <c r="S268" i="7" s="1"/>
  <c r="H268" i="7"/>
  <c r="G268" i="7"/>
  <c r="Q268" i="7" s="1"/>
  <c r="K267" i="7"/>
  <c r="U267" i="7" s="1"/>
  <c r="J267" i="7"/>
  <c r="T267" i="7" s="1"/>
  <c r="I267" i="7"/>
  <c r="S267" i="7" s="1"/>
  <c r="H267" i="7"/>
  <c r="R267" i="7" s="1"/>
  <c r="G267" i="7"/>
  <c r="Q267" i="7" s="1"/>
  <c r="K266" i="7"/>
  <c r="U266" i="7" s="1"/>
  <c r="J266" i="7"/>
  <c r="T266" i="7" s="1"/>
  <c r="I266" i="7"/>
  <c r="S266" i="7" s="1"/>
  <c r="H266" i="7"/>
  <c r="R266" i="7" s="1"/>
  <c r="G266" i="7"/>
  <c r="Q266" i="7" s="1"/>
  <c r="T265" i="7"/>
  <c r="R265" i="7"/>
  <c r="K265" i="7"/>
  <c r="U265" i="7" s="1"/>
  <c r="J265" i="7"/>
  <c r="I265" i="7"/>
  <c r="S265" i="7" s="1"/>
  <c r="H265" i="7"/>
  <c r="G265" i="7"/>
  <c r="Q265" i="7" s="1"/>
  <c r="T264" i="7"/>
  <c r="K264" i="7"/>
  <c r="U264" i="7" s="1"/>
  <c r="J264" i="7"/>
  <c r="I264" i="7"/>
  <c r="S264" i="7" s="1"/>
  <c r="H264" i="7"/>
  <c r="R264" i="7" s="1"/>
  <c r="G264" i="7"/>
  <c r="Q264" i="7" s="1"/>
  <c r="T263" i="7"/>
  <c r="R263" i="7"/>
  <c r="K263" i="7"/>
  <c r="U263" i="7" s="1"/>
  <c r="J263" i="7"/>
  <c r="I263" i="7"/>
  <c r="S263" i="7" s="1"/>
  <c r="H263" i="7"/>
  <c r="G263" i="7"/>
  <c r="Q263" i="7" s="1"/>
  <c r="K262" i="7"/>
  <c r="U262" i="7" s="1"/>
  <c r="J262" i="7"/>
  <c r="T262" i="7" s="1"/>
  <c r="I262" i="7"/>
  <c r="S262" i="7" s="1"/>
  <c r="H262" i="7"/>
  <c r="R262" i="7" s="1"/>
  <c r="G262" i="7"/>
  <c r="Q262" i="7" s="1"/>
  <c r="K261" i="7"/>
  <c r="U261" i="7" s="1"/>
  <c r="J261" i="7"/>
  <c r="T261" i="7" s="1"/>
  <c r="I261" i="7"/>
  <c r="S261" i="7" s="1"/>
  <c r="H261" i="7"/>
  <c r="R261" i="7" s="1"/>
  <c r="G261" i="7"/>
  <c r="Q261" i="7" s="1"/>
  <c r="R260" i="7"/>
  <c r="K260" i="7"/>
  <c r="U260" i="7" s="1"/>
  <c r="J260" i="7"/>
  <c r="T260" i="7" s="1"/>
  <c r="I260" i="7"/>
  <c r="S260" i="7" s="1"/>
  <c r="H260" i="7"/>
  <c r="G260" i="7"/>
  <c r="Q260" i="7" s="1"/>
  <c r="T259" i="7"/>
  <c r="K259" i="7"/>
  <c r="U259" i="7" s="1"/>
  <c r="J259" i="7"/>
  <c r="I259" i="7"/>
  <c r="S259" i="7" s="1"/>
  <c r="H259" i="7"/>
  <c r="R259" i="7" s="1"/>
  <c r="G259" i="7"/>
  <c r="Q259" i="7" s="1"/>
  <c r="R258" i="7"/>
  <c r="K258" i="7"/>
  <c r="U258" i="7" s="1"/>
  <c r="J258" i="7"/>
  <c r="T258" i="7" s="1"/>
  <c r="I258" i="7"/>
  <c r="S258" i="7" s="1"/>
  <c r="H258" i="7"/>
  <c r="G258" i="7"/>
  <c r="Q258" i="7" s="1"/>
  <c r="T257" i="7"/>
  <c r="R257" i="7"/>
  <c r="K257" i="7"/>
  <c r="U257" i="7" s="1"/>
  <c r="J257" i="7"/>
  <c r="I257" i="7"/>
  <c r="S257" i="7" s="1"/>
  <c r="H257" i="7"/>
  <c r="G257" i="7"/>
  <c r="Q257" i="7" s="1"/>
  <c r="K256" i="7"/>
  <c r="U256" i="7" s="1"/>
  <c r="J256" i="7"/>
  <c r="T256" i="7" s="1"/>
  <c r="I256" i="7"/>
  <c r="S256" i="7" s="1"/>
  <c r="H256" i="7"/>
  <c r="R256" i="7" s="1"/>
  <c r="G256" i="7"/>
  <c r="Q256" i="7" s="1"/>
  <c r="T255" i="7"/>
  <c r="R255" i="7"/>
  <c r="K255" i="7"/>
  <c r="U255" i="7" s="1"/>
  <c r="J255" i="7"/>
  <c r="I255" i="7"/>
  <c r="S255" i="7" s="1"/>
  <c r="H255" i="7"/>
  <c r="G255" i="7"/>
  <c r="Q255" i="7" s="1"/>
  <c r="K254" i="7"/>
  <c r="U254" i="7" s="1"/>
  <c r="J254" i="7"/>
  <c r="T254" i="7" s="1"/>
  <c r="I254" i="7"/>
  <c r="S254" i="7" s="1"/>
  <c r="H254" i="7"/>
  <c r="R254" i="7" s="1"/>
  <c r="G254" i="7"/>
  <c r="Q254" i="7" s="1"/>
  <c r="K253" i="7"/>
  <c r="U253" i="7" s="1"/>
  <c r="J253" i="7"/>
  <c r="T253" i="7" s="1"/>
  <c r="I253" i="7"/>
  <c r="S253" i="7" s="1"/>
  <c r="H253" i="7"/>
  <c r="R253" i="7" s="1"/>
  <c r="G253" i="7"/>
  <c r="Q253" i="7" s="1"/>
  <c r="R252" i="7"/>
  <c r="K252" i="7"/>
  <c r="U252" i="7" s="1"/>
  <c r="J252" i="7"/>
  <c r="T252" i="7" s="1"/>
  <c r="I252" i="7"/>
  <c r="S252" i="7" s="1"/>
  <c r="H252" i="7"/>
  <c r="G252" i="7"/>
  <c r="Q252" i="7" s="1"/>
  <c r="T251" i="7"/>
  <c r="K251" i="7"/>
  <c r="U251" i="7" s="1"/>
  <c r="J251" i="7"/>
  <c r="I251" i="7"/>
  <c r="S251" i="7" s="1"/>
  <c r="H251" i="7"/>
  <c r="R251" i="7" s="1"/>
  <c r="G251" i="7"/>
  <c r="Q251" i="7" s="1"/>
  <c r="R250" i="7"/>
  <c r="K250" i="7"/>
  <c r="U250" i="7" s="1"/>
  <c r="J250" i="7"/>
  <c r="T250" i="7" s="1"/>
  <c r="I250" i="7"/>
  <c r="S250" i="7" s="1"/>
  <c r="H250" i="7"/>
  <c r="G250" i="7"/>
  <c r="Q250" i="7" s="1"/>
  <c r="T249" i="7"/>
  <c r="R249" i="7"/>
  <c r="K249" i="7"/>
  <c r="U249" i="7" s="1"/>
  <c r="J249" i="7"/>
  <c r="I249" i="7"/>
  <c r="S249" i="7" s="1"/>
  <c r="H249" i="7"/>
  <c r="G249" i="7"/>
  <c r="Q249" i="7" s="1"/>
  <c r="K248" i="7"/>
  <c r="U248" i="7" s="1"/>
  <c r="J248" i="7"/>
  <c r="T248" i="7" s="1"/>
  <c r="I248" i="7"/>
  <c r="S248" i="7" s="1"/>
  <c r="H248" i="7"/>
  <c r="R248" i="7" s="1"/>
  <c r="G248" i="7"/>
  <c r="Q248" i="7" s="1"/>
  <c r="T247" i="7"/>
  <c r="R247" i="7"/>
  <c r="K247" i="7"/>
  <c r="U247" i="7" s="1"/>
  <c r="J247" i="7"/>
  <c r="I247" i="7"/>
  <c r="S247" i="7" s="1"/>
  <c r="H247" i="7"/>
  <c r="G247" i="7"/>
  <c r="Q247" i="7" s="1"/>
  <c r="K246" i="7"/>
  <c r="U246" i="7" s="1"/>
  <c r="J246" i="7"/>
  <c r="T246" i="7" s="1"/>
  <c r="I246" i="7"/>
  <c r="S246" i="7" s="1"/>
  <c r="H246" i="7"/>
  <c r="R246" i="7" s="1"/>
  <c r="G246" i="7"/>
  <c r="Q246" i="7" s="1"/>
  <c r="K245" i="7"/>
  <c r="U245" i="7" s="1"/>
  <c r="J245" i="7"/>
  <c r="T245" i="7" s="1"/>
  <c r="I245" i="7"/>
  <c r="S245" i="7" s="1"/>
  <c r="H245" i="7"/>
  <c r="R245" i="7" s="1"/>
  <c r="G245" i="7"/>
  <c r="Q245" i="7" s="1"/>
  <c r="R244" i="7"/>
  <c r="K244" i="7"/>
  <c r="U244" i="7" s="1"/>
  <c r="J244" i="7"/>
  <c r="T244" i="7" s="1"/>
  <c r="I244" i="7"/>
  <c r="S244" i="7" s="1"/>
  <c r="H244" i="7"/>
  <c r="G244" i="7"/>
  <c r="Q244" i="7" s="1"/>
  <c r="T243" i="7"/>
  <c r="K243" i="7"/>
  <c r="U243" i="7" s="1"/>
  <c r="J243" i="7"/>
  <c r="I243" i="7"/>
  <c r="S243" i="7" s="1"/>
  <c r="H243" i="7"/>
  <c r="R243" i="7" s="1"/>
  <c r="G243" i="7"/>
  <c r="Q243" i="7" s="1"/>
  <c r="R242" i="7"/>
  <c r="K242" i="7"/>
  <c r="U242" i="7" s="1"/>
  <c r="J242" i="7"/>
  <c r="T242" i="7" s="1"/>
  <c r="I242" i="7"/>
  <c r="S242" i="7" s="1"/>
  <c r="H242" i="7"/>
  <c r="G242" i="7"/>
  <c r="Q242" i="7" s="1"/>
  <c r="T241" i="7"/>
  <c r="R241" i="7"/>
  <c r="K241" i="7"/>
  <c r="U241" i="7" s="1"/>
  <c r="J241" i="7"/>
  <c r="I241" i="7"/>
  <c r="S241" i="7" s="1"/>
  <c r="H241" i="7"/>
  <c r="G241" i="7"/>
  <c r="Q241" i="7" s="1"/>
  <c r="K240" i="7"/>
  <c r="U240" i="7" s="1"/>
  <c r="J240" i="7"/>
  <c r="T240" i="7" s="1"/>
  <c r="I240" i="7"/>
  <c r="S240" i="7" s="1"/>
  <c r="H240" i="7"/>
  <c r="R240" i="7" s="1"/>
  <c r="G240" i="7"/>
  <c r="Q240" i="7" s="1"/>
  <c r="T239" i="7"/>
  <c r="R239" i="7"/>
  <c r="K239" i="7"/>
  <c r="U239" i="7" s="1"/>
  <c r="J239" i="7"/>
  <c r="I239" i="7"/>
  <c r="S239" i="7" s="1"/>
  <c r="H239" i="7"/>
  <c r="G239" i="7"/>
  <c r="Q239" i="7" s="1"/>
  <c r="K238" i="7"/>
  <c r="U238" i="7" s="1"/>
  <c r="J238" i="7"/>
  <c r="T238" i="7" s="1"/>
  <c r="I238" i="7"/>
  <c r="S238" i="7" s="1"/>
  <c r="H238" i="7"/>
  <c r="R238" i="7" s="1"/>
  <c r="G238" i="7"/>
  <c r="Q238" i="7" s="1"/>
  <c r="K237" i="7"/>
  <c r="U237" i="7" s="1"/>
  <c r="J237" i="7"/>
  <c r="T237" i="7" s="1"/>
  <c r="I237" i="7"/>
  <c r="S237" i="7" s="1"/>
  <c r="H237" i="7"/>
  <c r="R237" i="7" s="1"/>
  <c r="G237" i="7"/>
  <c r="Q237" i="7" s="1"/>
  <c r="R236" i="7"/>
  <c r="K236" i="7"/>
  <c r="U236" i="7" s="1"/>
  <c r="J236" i="7"/>
  <c r="T236" i="7" s="1"/>
  <c r="I236" i="7"/>
  <c r="S236" i="7" s="1"/>
  <c r="H236" i="7"/>
  <c r="G236" i="7"/>
  <c r="Q236" i="7" s="1"/>
  <c r="T235" i="7"/>
  <c r="K235" i="7"/>
  <c r="U235" i="7" s="1"/>
  <c r="J235" i="7"/>
  <c r="I235" i="7"/>
  <c r="S235" i="7" s="1"/>
  <c r="H235" i="7"/>
  <c r="R235" i="7" s="1"/>
  <c r="G235" i="7"/>
  <c r="Q235" i="7" s="1"/>
  <c r="R234" i="7"/>
  <c r="K234" i="7"/>
  <c r="U234" i="7" s="1"/>
  <c r="J234" i="7"/>
  <c r="T234" i="7" s="1"/>
  <c r="I234" i="7"/>
  <c r="S234" i="7" s="1"/>
  <c r="H234" i="7"/>
  <c r="G234" i="7"/>
  <c r="Q234" i="7" s="1"/>
  <c r="T233" i="7"/>
  <c r="R233" i="7"/>
  <c r="K233" i="7"/>
  <c r="U233" i="7" s="1"/>
  <c r="J233" i="7"/>
  <c r="I233" i="7"/>
  <c r="S233" i="7" s="1"/>
  <c r="H233" i="7"/>
  <c r="G233" i="7"/>
  <c r="Q233" i="7" s="1"/>
  <c r="K232" i="7"/>
  <c r="U232" i="7" s="1"/>
  <c r="J232" i="7"/>
  <c r="T232" i="7" s="1"/>
  <c r="I232" i="7"/>
  <c r="S232" i="7" s="1"/>
  <c r="H232" i="7"/>
  <c r="R232" i="7" s="1"/>
  <c r="G232" i="7"/>
  <c r="Q232" i="7" s="1"/>
  <c r="T231" i="7"/>
  <c r="R231" i="7"/>
  <c r="K231" i="7"/>
  <c r="U231" i="7" s="1"/>
  <c r="J231" i="7"/>
  <c r="I231" i="7"/>
  <c r="S231" i="7" s="1"/>
  <c r="H231" i="7"/>
  <c r="G231" i="7"/>
  <c r="Q231" i="7" s="1"/>
  <c r="K230" i="7"/>
  <c r="U230" i="7" s="1"/>
  <c r="J230" i="7"/>
  <c r="T230" i="7" s="1"/>
  <c r="I230" i="7"/>
  <c r="S230" i="7" s="1"/>
  <c r="H230" i="7"/>
  <c r="R230" i="7" s="1"/>
  <c r="G230" i="7"/>
  <c r="Q230" i="7" s="1"/>
  <c r="K229" i="7"/>
  <c r="U229" i="7" s="1"/>
  <c r="J229" i="7"/>
  <c r="T229" i="7" s="1"/>
  <c r="I229" i="7"/>
  <c r="S229" i="7" s="1"/>
  <c r="H229" i="7"/>
  <c r="R229" i="7" s="1"/>
  <c r="G229" i="7"/>
  <c r="Q229" i="7" s="1"/>
  <c r="R228" i="7"/>
  <c r="K228" i="7"/>
  <c r="U228" i="7" s="1"/>
  <c r="J228" i="7"/>
  <c r="T228" i="7" s="1"/>
  <c r="I228" i="7"/>
  <c r="S228" i="7" s="1"/>
  <c r="H228" i="7"/>
  <c r="G228" i="7"/>
  <c r="Q228" i="7" s="1"/>
  <c r="T227" i="7"/>
  <c r="K227" i="7"/>
  <c r="U227" i="7" s="1"/>
  <c r="J227" i="7"/>
  <c r="I227" i="7"/>
  <c r="S227" i="7" s="1"/>
  <c r="H227" i="7"/>
  <c r="R227" i="7" s="1"/>
  <c r="G227" i="7"/>
  <c r="Q227" i="7" s="1"/>
  <c r="R226" i="7"/>
  <c r="K226" i="7"/>
  <c r="U226" i="7" s="1"/>
  <c r="J226" i="7"/>
  <c r="T226" i="7" s="1"/>
  <c r="I226" i="7"/>
  <c r="S226" i="7" s="1"/>
  <c r="H226" i="7"/>
  <c r="G226" i="7"/>
  <c r="Q226" i="7" s="1"/>
  <c r="T225" i="7"/>
  <c r="K225" i="7"/>
  <c r="U225" i="7" s="1"/>
  <c r="J225" i="7"/>
  <c r="I225" i="7"/>
  <c r="S225" i="7" s="1"/>
  <c r="H225" i="7"/>
  <c r="R225" i="7" s="1"/>
  <c r="G225" i="7"/>
  <c r="Q225" i="7" s="1"/>
  <c r="K224" i="7"/>
  <c r="U224" i="7" s="1"/>
  <c r="J224" i="7"/>
  <c r="T224" i="7" s="1"/>
  <c r="I224" i="7"/>
  <c r="S224" i="7" s="1"/>
  <c r="H224" i="7"/>
  <c r="R224" i="7" s="1"/>
  <c r="G224" i="7"/>
  <c r="Q224" i="7" s="1"/>
  <c r="T223" i="7"/>
  <c r="R223" i="7"/>
  <c r="K223" i="7"/>
  <c r="U223" i="7" s="1"/>
  <c r="J223" i="7"/>
  <c r="I223" i="7"/>
  <c r="S223" i="7" s="1"/>
  <c r="H223" i="7"/>
  <c r="G223" i="7"/>
  <c r="Q223" i="7" s="1"/>
  <c r="K222" i="7"/>
  <c r="U222" i="7" s="1"/>
  <c r="J222" i="7"/>
  <c r="T222" i="7" s="1"/>
  <c r="I222" i="7"/>
  <c r="S222" i="7" s="1"/>
  <c r="H222" i="7"/>
  <c r="R222" i="7" s="1"/>
  <c r="G222" i="7"/>
  <c r="Q222" i="7" s="1"/>
  <c r="K221" i="7"/>
  <c r="U221" i="7" s="1"/>
  <c r="J221" i="7"/>
  <c r="T221" i="7" s="1"/>
  <c r="I221" i="7"/>
  <c r="S221" i="7" s="1"/>
  <c r="H221" i="7"/>
  <c r="R221" i="7" s="1"/>
  <c r="G221" i="7"/>
  <c r="Q221" i="7" s="1"/>
  <c r="R220" i="7"/>
  <c r="K220" i="7"/>
  <c r="U220" i="7" s="1"/>
  <c r="J220" i="7"/>
  <c r="T220" i="7" s="1"/>
  <c r="I220" i="7"/>
  <c r="S220" i="7" s="1"/>
  <c r="H220" i="7"/>
  <c r="G220" i="7"/>
  <c r="Q220" i="7" s="1"/>
  <c r="T219" i="7"/>
  <c r="K219" i="7"/>
  <c r="U219" i="7" s="1"/>
  <c r="J219" i="7"/>
  <c r="I219" i="7"/>
  <c r="S219" i="7" s="1"/>
  <c r="H219" i="7"/>
  <c r="R219" i="7" s="1"/>
  <c r="G219" i="7"/>
  <c r="Q219" i="7" s="1"/>
  <c r="R218" i="7"/>
  <c r="K218" i="7"/>
  <c r="U218" i="7" s="1"/>
  <c r="J218" i="7"/>
  <c r="T218" i="7" s="1"/>
  <c r="I218" i="7"/>
  <c r="S218" i="7" s="1"/>
  <c r="H218" i="7"/>
  <c r="G218" i="7"/>
  <c r="Q218" i="7" s="1"/>
  <c r="T217" i="7"/>
  <c r="K217" i="7"/>
  <c r="U217" i="7" s="1"/>
  <c r="J217" i="7"/>
  <c r="I217" i="7"/>
  <c r="S217" i="7" s="1"/>
  <c r="H217" i="7"/>
  <c r="R217" i="7" s="1"/>
  <c r="G217" i="7"/>
  <c r="Q217" i="7" s="1"/>
  <c r="K216" i="7"/>
  <c r="U216" i="7" s="1"/>
  <c r="J216" i="7"/>
  <c r="T216" i="7" s="1"/>
  <c r="I216" i="7"/>
  <c r="S216" i="7" s="1"/>
  <c r="H216" i="7"/>
  <c r="R216" i="7" s="1"/>
  <c r="G216" i="7"/>
  <c r="Q216" i="7" s="1"/>
  <c r="T215" i="7"/>
  <c r="R215" i="7"/>
  <c r="K215" i="7"/>
  <c r="U215" i="7" s="1"/>
  <c r="J215" i="7"/>
  <c r="I215" i="7"/>
  <c r="S215" i="7" s="1"/>
  <c r="H215" i="7"/>
  <c r="G215" i="7"/>
  <c r="Q215" i="7" s="1"/>
  <c r="K214" i="7"/>
  <c r="U214" i="7" s="1"/>
  <c r="J214" i="7"/>
  <c r="T214" i="7" s="1"/>
  <c r="I214" i="7"/>
  <c r="S214" i="7" s="1"/>
  <c r="H214" i="7"/>
  <c r="R214" i="7" s="1"/>
  <c r="G214" i="7"/>
  <c r="Q214" i="7" s="1"/>
  <c r="K213" i="7"/>
  <c r="U213" i="7" s="1"/>
  <c r="J213" i="7"/>
  <c r="T213" i="7" s="1"/>
  <c r="I213" i="7"/>
  <c r="S213" i="7" s="1"/>
  <c r="H213" i="7"/>
  <c r="R213" i="7" s="1"/>
  <c r="G213" i="7"/>
  <c r="Q213" i="7" s="1"/>
  <c r="R212" i="7"/>
  <c r="K212" i="7"/>
  <c r="U212" i="7" s="1"/>
  <c r="J212" i="7"/>
  <c r="T212" i="7" s="1"/>
  <c r="I212" i="7"/>
  <c r="S212" i="7" s="1"/>
  <c r="H212" i="7"/>
  <c r="G212" i="7"/>
  <c r="Q212" i="7" s="1"/>
  <c r="T211" i="7"/>
  <c r="K211" i="7"/>
  <c r="U211" i="7" s="1"/>
  <c r="J211" i="7"/>
  <c r="I211" i="7"/>
  <c r="S211" i="7" s="1"/>
  <c r="H211" i="7"/>
  <c r="R211" i="7" s="1"/>
  <c r="G211" i="7"/>
  <c r="Q211" i="7" s="1"/>
  <c r="R210" i="7"/>
  <c r="K210" i="7"/>
  <c r="U210" i="7" s="1"/>
  <c r="J210" i="7"/>
  <c r="T210" i="7" s="1"/>
  <c r="I210" i="7"/>
  <c r="S210" i="7" s="1"/>
  <c r="H210" i="7"/>
  <c r="G210" i="7"/>
  <c r="Q210" i="7" s="1"/>
  <c r="T209" i="7"/>
  <c r="K209" i="7"/>
  <c r="U209" i="7" s="1"/>
  <c r="J209" i="7"/>
  <c r="I209" i="7"/>
  <c r="S209" i="7" s="1"/>
  <c r="H209" i="7"/>
  <c r="R209" i="7" s="1"/>
  <c r="G209" i="7"/>
  <c r="Q209" i="7" s="1"/>
  <c r="K208" i="7"/>
  <c r="U208" i="7" s="1"/>
  <c r="J208" i="7"/>
  <c r="T208" i="7" s="1"/>
  <c r="I208" i="7"/>
  <c r="S208" i="7" s="1"/>
  <c r="H208" i="7"/>
  <c r="R208" i="7" s="1"/>
  <c r="G208" i="7"/>
  <c r="Q208" i="7" s="1"/>
  <c r="T207" i="7"/>
  <c r="R207" i="7"/>
  <c r="K207" i="7"/>
  <c r="U207" i="7" s="1"/>
  <c r="J207" i="7"/>
  <c r="I207" i="7"/>
  <c r="S207" i="7" s="1"/>
  <c r="H207" i="7"/>
  <c r="G207" i="7"/>
  <c r="Q207" i="7" s="1"/>
  <c r="K206" i="7"/>
  <c r="U206" i="7" s="1"/>
  <c r="J206" i="7"/>
  <c r="T206" i="7" s="1"/>
  <c r="I206" i="7"/>
  <c r="S206" i="7" s="1"/>
  <c r="H206" i="7"/>
  <c r="R206" i="7" s="1"/>
  <c r="G206" i="7"/>
  <c r="Q206" i="7" s="1"/>
  <c r="K205" i="7"/>
  <c r="U205" i="7" s="1"/>
  <c r="J205" i="7"/>
  <c r="T205" i="7" s="1"/>
  <c r="I205" i="7"/>
  <c r="S205" i="7" s="1"/>
  <c r="H205" i="7"/>
  <c r="R205" i="7" s="1"/>
  <c r="G205" i="7"/>
  <c r="Q205" i="7" s="1"/>
  <c r="R204" i="7"/>
  <c r="K204" i="7"/>
  <c r="U204" i="7" s="1"/>
  <c r="J204" i="7"/>
  <c r="T204" i="7" s="1"/>
  <c r="I204" i="7"/>
  <c r="S204" i="7" s="1"/>
  <c r="H204" i="7"/>
  <c r="G204" i="7"/>
  <c r="Q204" i="7" s="1"/>
  <c r="T203" i="7"/>
  <c r="K203" i="7"/>
  <c r="U203" i="7" s="1"/>
  <c r="J203" i="7"/>
  <c r="I203" i="7"/>
  <c r="S203" i="7" s="1"/>
  <c r="H203" i="7"/>
  <c r="R203" i="7" s="1"/>
  <c r="G203" i="7"/>
  <c r="Q203" i="7" s="1"/>
  <c r="R202" i="7"/>
  <c r="K202" i="7"/>
  <c r="U202" i="7" s="1"/>
  <c r="J202" i="7"/>
  <c r="T202" i="7" s="1"/>
  <c r="I202" i="7"/>
  <c r="S202" i="7" s="1"/>
  <c r="H202" i="7"/>
  <c r="G202" i="7"/>
  <c r="Q202" i="7" s="1"/>
  <c r="T201" i="7"/>
  <c r="K201" i="7"/>
  <c r="U201" i="7" s="1"/>
  <c r="J201" i="7"/>
  <c r="I201" i="7"/>
  <c r="S201" i="7" s="1"/>
  <c r="H201" i="7"/>
  <c r="R201" i="7" s="1"/>
  <c r="G201" i="7"/>
  <c r="Q201" i="7" s="1"/>
  <c r="K200" i="7"/>
  <c r="U200" i="7" s="1"/>
  <c r="J200" i="7"/>
  <c r="T200" i="7" s="1"/>
  <c r="I200" i="7"/>
  <c r="S200" i="7" s="1"/>
  <c r="H200" i="7"/>
  <c r="R200" i="7" s="1"/>
  <c r="G200" i="7"/>
  <c r="Q200" i="7" s="1"/>
  <c r="T199" i="7"/>
  <c r="R199" i="7"/>
  <c r="K199" i="7"/>
  <c r="U199" i="7" s="1"/>
  <c r="J199" i="7"/>
  <c r="I199" i="7"/>
  <c r="S199" i="7" s="1"/>
  <c r="H199" i="7"/>
  <c r="G199" i="7"/>
  <c r="Q199" i="7" s="1"/>
  <c r="K198" i="7"/>
  <c r="U198" i="7" s="1"/>
  <c r="J198" i="7"/>
  <c r="T198" i="7" s="1"/>
  <c r="I198" i="7"/>
  <c r="S198" i="7" s="1"/>
  <c r="H198" i="7"/>
  <c r="R198" i="7" s="1"/>
  <c r="G198" i="7"/>
  <c r="Q198" i="7" s="1"/>
  <c r="K197" i="7"/>
  <c r="U197" i="7" s="1"/>
  <c r="J197" i="7"/>
  <c r="T197" i="7" s="1"/>
  <c r="I197" i="7"/>
  <c r="S197" i="7" s="1"/>
  <c r="H197" i="7"/>
  <c r="R197" i="7" s="1"/>
  <c r="G197" i="7"/>
  <c r="Q197" i="7" s="1"/>
  <c r="R196" i="7"/>
  <c r="K196" i="7"/>
  <c r="U196" i="7" s="1"/>
  <c r="J196" i="7"/>
  <c r="T196" i="7" s="1"/>
  <c r="I196" i="7"/>
  <c r="S196" i="7" s="1"/>
  <c r="H196" i="7"/>
  <c r="G196" i="7"/>
  <c r="Q196" i="7" s="1"/>
  <c r="T195" i="7"/>
  <c r="K195" i="7"/>
  <c r="U195" i="7" s="1"/>
  <c r="J195" i="7"/>
  <c r="I195" i="7"/>
  <c r="S195" i="7" s="1"/>
  <c r="H195" i="7"/>
  <c r="R195" i="7" s="1"/>
  <c r="G195" i="7"/>
  <c r="Q195" i="7" s="1"/>
  <c r="R194" i="7"/>
  <c r="K194" i="7"/>
  <c r="U194" i="7" s="1"/>
  <c r="J194" i="7"/>
  <c r="T194" i="7" s="1"/>
  <c r="I194" i="7"/>
  <c r="S194" i="7" s="1"/>
  <c r="H194" i="7"/>
  <c r="G194" i="7"/>
  <c r="Q194" i="7" s="1"/>
  <c r="T193" i="7"/>
  <c r="K193" i="7"/>
  <c r="U193" i="7" s="1"/>
  <c r="J193" i="7"/>
  <c r="I193" i="7"/>
  <c r="S193" i="7" s="1"/>
  <c r="H193" i="7"/>
  <c r="R193" i="7" s="1"/>
  <c r="G193" i="7"/>
  <c r="Q193" i="7" s="1"/>
  <c r="K192" i="7"/>
  <c r="U192" i="7" s="1"/>
  <c r="J192" i="7"/>
  <c r="T192" i="7" s="1"/>
  <c r="I192" i="7"/>
  <c r="S192" i="7" s="1"/>
  <c r="H192" i="7"/>
  <c r="R192" i="7" s="1"/>
  <c r="G192" i="7"/>
  <c r="Q192" i="7" s="1"/>
  <c r="T191" i="7"/>
  <c r="R191" i="7"/>
  <c r="K191" i="7"/>
  <c r="U191" i="7" s="1"/>
  <c r="J191" i="7"/>
  <c r="I191" i="7"/>
  <c r="S191" i="7" s="1"/>
  <c r="H191" i="7"/>
  <c r="G191" i="7"/>
  <c r="Q191" i="7" s="1"/>
  <c r="K190" i="7"/>
  <c r="U190" i="7" s="1"/>
  <c r="J190" i="7"/>
  <c r="T190" i="7" s="1"/>
  <c r="I190" i="7"/>
  <c r="S190" i="7" s="1"/>
  <c r="H190" i="7"/>
  <c r="R190" i="7" s="1"/>
  <c r="G190" i="7"/>
  <c r="Q190" i="7" s="1"/>
  <c r="K189" i="7"/>
  <c r="U189" i="7" s="1"/>
  <c r="J189" i="7"/>
  <c r="T189" i="7" s="1"/>
  <c r="I189" i="7"/>
  <c r="S189" i="7" s="1"/>
  <c r="H189" i="7"/>
  <c r="R189" i="7" s="1"/>
  <c r="G189" i="7"/>
  <c r="Q189" i="7" s="1"/>
  <c r="R188" i="7"/>
  <c r="K188" i="7"/>
  <c r="U188" i="7" s="1"/>
  <c r="J188" i="7"/>
  <c r="T188" i="7" s="1"/>
  <c r="I188" i="7"/>
  <c r="S188" i="7" s="1"/>
  <c r="H188" i="7"/>
  <c r="G188" i="7"/>
  <c r="Q188" i="7" s="1"/>
  <c r="T187" i="7"/>
  <c r="K187" i="7"/>
  <c r="U187" i="7" s="1"/>
  <c r="J187" i="7"/>
  <c r="I187" i="7"/>
  <c r="S187" i="7" s="1"/>
  <c r="H187" i="7"/>
  <c r="R187" i="7" s="1"/>
  <c r="G187" i="7"/>
  <c r="Q187" i="7" s="1"/>
  <c r="R186" i="7"/>
  <c r="K186" i="7"/>
  <c r="U186" i="7" s="1"/>
  <c r="J186" i="7"/>
  <c r="T186" i="7" s="1"/>
  <c r="I186" i="7"/>
  <c r="S186" i="7" s="1"/>
  <c r="H186" i="7"/>
  <c r="G186" i="7"/>
  <c r="Q186" i="7" s="1"/>
  <c r="T185" i="7"/>
  <c r="K185" i="7"/>
  <c r="U185" i="7" s="1"/>
  <c r="J185" i="7"/>
  <c r="I185" i="7"/>
  <c r="S185" i="7" s="1"/>
  <c r="H185" i="7"/>
  <c r="R185" i="7" s="1"/>
  <c r="G185" i="7"/>
  <c r="Q185" i="7" s="1"/>
  <c r="K184" i="7"/>
  <c r="U184" i="7" s="1"/>
  <c r="J184" i="7"/>
  <c r="T184" i="7" s="1"/>
  <c r="I184" i="7"/>
  <c r="S184" i="7" s="1"/>
  <c r="H184" i="7"/>
  <c r="R184" i="7" s="1"/>
  <c r="G184" i="7"/>
  <c r="Q184" i="7" s="1"/>
  <c r="T183" i="7"/>
  <c r="R183" i="7"/>
  <c r="K183" i="7"/>
  <c r="U183" i="7" s="1"/>
  <c r="J183" i="7"/>
  <c r="I183" i="7"/>
  <c r="S183" i="7" s="1"/>
  <c r="H183" i="7"/>
  <c r="G183" i="7"/>
  <c r="Q183" i="7" s="1"/>
  <c r="K182" i="7"/>
  <c r="U182" i="7" s="1"/>
  <c r="J182" i="7"/>
  <c r="T182" i="7" s="1"/>
  <c r="I182" i="7"/>
  <c r="S182" i="7" s="1"/>
  <c r="H182" i="7"/>
  <c r="R182" i="7" s="1"/>
  <c r="G182" i="7"/>
  <c r="Q182" i="7" s="1"/>
  <c r="K181" i="7"/>
  <c r="U181" i="7" s="1"/>
  <c r="J181" i="7"/>
  <c r="T181" i="7" s="1"/>
  <c r="I181" i="7"/>
  <c r="S181" i="7" s="1"/>
  <c r="H181" i="7"/>
  <c r="R181" i="7" s="1"/>
  <c r="G181" i="7"/>
  <c r="Q181" i="7" s="1"/>
  <c r="R180" i="7"/>
  <c r="K180" i="7"/>
  <c r="U180" i="7" s="1"/>
  <c r="J180" i="7"/>
  <c r="T180" i="7" s="1"/>
  <c r="I180" i="7"/>
  <c r="S180" i="7" s="1"/>
  <c r="H180" i="7"/>
  <c r="G180" i="7"/>
  <c r="Q180" i="7" s="1"/>
  <c r="T179" i="7"/>
  <c r="K179" i="7"/>
  <c r="U179" i="7" s="1"/>
  <c r="J179" i="7"/>
  <c r="I179" i="7"/>
  <c r="S179" i="7" s="1"/>
  <c r="H179" i="7"/>
  <c r="R179" i="7" s="1"/>
  <c r="G179" i="7"/>
  <c r="Q179" i="7" s="1"/>
  <c r="R178" i="7"/>
  <c r="K178" i="7"/>
  <c r="U178" i="7" s="1"/>
  <c r="J178" i="7"/>
  <c r="T178" i="7" s="1"/>
  <c r="I178" i="7"/>
  <c r="S178" i="7" s="1"/>
  <c r="H178" i="7"/>
  <c r="G178" i="7"/>
  <c r="Q178" i="7" s="1"/>
  <c r="K177" i="7"/>
  <c r="U177" i="7" s="1"/>
  <c r="J177" i="7"/>
  <c r="T177" i="7" s="1"/>
  <c r="I177" i="7"/>
  <c r="S177" i="7" s="1"/>
  <c r="H177" i="7"/>
  <c r="R177" i="7" s="1"/>
  <c r="G177" i="7"/>
  <c r="Q177" i="7" s="1"/>
  <c r="T176" i="7"/>
  <c r="R176" i="7"/>
  <c r="K176" i="7"/>
  <c r="U176" i="7" s="1"/>
  <c r="J176" i="7"/>
  <c r="I176" i="7"/>
  <c r="S176" i="7" s="1"/>
  <c r="H176" i="7"/>
  <c r="G176" i="7"/>
  <c r="Q176" i="7" s="1"/>
  <c r="R175" i="7"/>
  <c r="Q175" i="7"/>
  <c r="K175" i="7"/>
  <c r="U175" i="7" s="1"/>
  <c r="J175" i="7"/>
  <c r="T175" i="7" s="1"/>
  <c r="I175" i="7"/>
  <c r="S175" i="7" s="1"/>
  <c r="H175" i="7"/>
  <c r="G175" i="7"/>
  <c r="K174" i="7"/>
  <c r="U174" i="7" s="1"/>
  <c r="J174" i="7"/>
  <c r="T174" i="7" s="1"/>
  <c r="I174" i="7"/>
  <c r="S174" i="7" s="1"/>
  <c r="H174" i="7"/>
  <c r="R174" i="7" s="1"/>
  <c r="G174" i="7"/>
  <c r="Q174" i="7" s="1"/>
  <c r="R173" i="7"/>
  <c r="K173" i="7"/>
  <c r="U173" i="7" s="1"/>
  <c r="J173" i="7"/>
  <c r="T173" i="7" s="1"/>
  <c r="I173" i="7"/>
  <c r="S173" i="7" s="1"/>
  <c r="H173" i="7"/>
  <c r="G173" i="7"/>
  <c r="Q173" i="7" s="1"/>
  <c r="R172" i="7"/>
  <c r="K172" i="7"/>
  <c r="U172" i="7" s="1"/>
  <c r="J172" i="7"/>
  <c r="T172" i="7" s="1"/>
  <c r="I172" i="7"/>
  <c r="S172" i="7" s="1"/>
  <c r="H172" i="7"/>
  <c r="G172" i="7"/>
  <c r="Q172" i="7" s="1"/>
  <c r="U171" i="7"/>
  <c r="K171" i="7"/>
  <c r="J171" i="7"/>
  <c r="T171" i="7" s="1"/>
  <c r="I171" i="7"/>
  <c r="S171" i="7" s="1"/>
  <c r="H171" i="7"/>
  <c r="R171" i="7" s="1"/>
  <c r="G171" i="7"/>
  <c r="Q171" i="7" s="1"/>
  <c r="U170" i="7"/>
  <c r="K170" i="7"/>
  <c r="J170" i="7"/>
  <c r="T170" i="7" s="1"/>
  <c r="I170" i="7"/>
  <c r="S170" i="7" s="1"/>
  <c r="H170" i="7"/>
  <c r="R170" i="7" s="1"/>
  <c r="G170" i="7"/>
  <c r="Q170" i="7" s="1"/>
  <c r="S169" i="7"/>
  <c r="Q169" i="7"/>
  <c r="K169" i="7"/>
  <c r="U169" i="7" s="1"/>
  <c r="J169" i="7"/>
  <c r="T169" i="7" s="1"/>
  <c r="I169" i="7"/>
  <c r="H169" i="7"/>
  <c r="R169" i="7" s="1"/>
  <c r="G169" i="7"/>
  <c r="R168" i="7"/>
  <c r="K168" i="7"/>
  <c r="U168" i="7" s="1"/>
  <c r="J168" i="7"/>
  <c r="T168" i="7" s="1"/>
  <c r="I168" i="7"/>
  <c r="S168" i="7" s="1"/>
  <c r="H168" i="7"/>
  <c r="G168" i="7"/>
  <c r="Q168" i="7" s="1"/>
  <c r="T167" i="7"/>
  <c r="K167" i="7"/>
  <c r="U167" i="7" s="1"/>
  <c r="J167" i="7"/>
  <c r="I167" i="7"/>
  <c r="S167" i="7" s="1"/>
  <c r="H167" i="7"/>
  <c r="R167" i="7" s="1"/>
  <c r="G167" i="7"/>
  <c r="Q167" i="7" s="1"/>
  <c r="U166" i="7"/>
  <c r="Q166" i="7"/>
  <c r="K166" i="7"/>
  <c r="J166" i="7"/>
  <c r="T166" i="7" s="1"/>
  <c r="I166" i="7"/>
  <c r="S166" i="7" s="1"/>
  <c r="H166" i="7"/>
  <c r="R166" i="7" s="1"/>
  <c r="G166" i="7"/>
  <c r="K165" i="7"/>
  <c r="U165" i="7" s="1"/>
  <c r="J165" i="7"/>
  <c r="T165" i="7" s="1"/>
  <c r="I165" i="7"/>
  <c r="S165" i="7" s="1"/>
  <c r="H165" i="7"/>
  <c r="R165" i="7" s="1"/>
  <c r="G165" i="7"/>
  <c r="Q165" i="7" s="1"/>
  <c r="U164" i="7"/>
  <c r="Q164" i="7"/>
  <c r="K164" i="7"/>
  <c r="J164" i="7"/>
  <c r="T164" i="7" s="1"/>
  <c r="I164" i="7"/>
  <c r="S164" i="7" s="1"/>
  <c r="H164" i="7"/>
  <c r="R164" i="7" s="1"/>
  <c r="G164" i="7"/>
  <c r="U163" i="7"/>
  <c r="S163" i="7"/>
  <c r="K163" i="7"/>
  <c r="J163" i="7"/>
  <c r="T163" i="7" s="1"/>
  <c r="I163" i="7"/>
  <c r="H163" i="7"/>
  <c r="R163" i="7" s="1"/>
  <c r="G163" i="7"/>
  <c r="Q163" i="7" s="1"/>
  <c r="K162" i="7"/>
  <c r="U162" i="7" s="1"/>
  <c r="J162" i="7"/>
  <c r="T162" i="7" s="1"/>
  <c r="I162" i="7"/>
  <c r="S162" i="7" s="1"/>
  <c r="H162" i="7"/>
  <c r="R162" i="7" s="1"/>
  <c r="G162" i="7"/>
  <c r="Q162" i="7" s="1"/>
  <c r="S161" i="7"/>
  <c r="K161" i="7"/>
  <c r="U161" i="7" s="1"/>
  <c r="J161" i="7"/>
  <c r="T161" i="7" s="1"/>
  <c r="I161" i="7"/>
  <c r="H161" i="7"/>
  <c r="R161" i="7" s="1"/>
  <c r="G161" i="7"/>
  <c r="Q161" i="7" s="1"/>
  <c r="S160" i="7"/>
  <c r="K160" i="7"/>
  <c r="U160" i="7" s="1"/>
  <c r="J160" i="7"/>
  <c r="T160" i="7" s="1"/>
  <c r="I160" i="7"/>
  <c r="H160" i="7"/>
  <c r="R160" i="7" s="1"/>
  <c r="G160" i="7"/>
  <c r="Q160" i="7" s="1"/>
  <c r="T159" i="7"/>
  <c r="K159" i="7"/>
  <c r="U159" i="7" s="1"/>
  <c r="J159" i="7"/>
  <c r="I159" i="7"/>
  <c r="S159" i="7" s="1"/>
  <c r="H159" i="7"/>
  <c r="R159" i="7" s="1"/>
  <c r="G159" i="7"/>
  <c r="Q159" i="7" s="1"/>
  <c r="U158" i="7"/>
  <c r="K158" i="7"/>
  <c r="J158" i="7"/>
  <c r="T158" i="7" s="1"/>
  <c r="I158" i="7"/>
  <c r="S158" i="7" s="1"/>
  <c r="H158" i="7"/>
  <c r="R158" i="7" s="1"/>
  <c r="G158" i="7"/>
  <c r="Q158" i="7" s="1"/>
  <c r="Q157" i="7"/>
  <c r="K157" i="7"/>
  <c r="U157" i="7" s="1"/>
  <c r="J157" i="7"/>
  <c r="T157" i="7" s="1"/>
  <c r="I157" i="7"/>
  <c r="S157" i="7" s="1"/>
  <c r="H157" i="7"/>
  <c r="R157" i="7" s="1"/>
  <c r="G157" i="7"/>
  <c r="U156" i="7"/>
  <c r="S156" i="7"/>
  <c r="R156" i="7"/>
  <c r="K156" i="7"/>
  <c r="J156" i="7"/>
  <c r="T156" i="7" s="1"/>
  <c r="I156" i="7"/>
  <c r="H156" i="7"/>
  <c r="G156" i="7"/>
  <c r="Q156" i="7" s="1"/>
  <c r="U155" i="7"/>
  <c r="S155" i="7"/>
  <c r="K155" i="7"/>
  <c r="J155" i="7"/>
  <c r="T155" i="7" s="1"/>
  <c r="I155" i="7"/>
  <c r="H155" i="7"/>
  <c r="R155" i="7" s="1"/>
  <c r="G155" i="7"/>
  <c r="Q155" i="7" s="1"/>
  <c r="U154" i="7"/>
  <c r="Q154" i="7"/>
  <c r="K154" i="7"/>
  <c r="J154" i="7"/>
  <c r="T154" i="7" s="1"/>
  <c r="I154" i="7"/>
  <c r="S154" i="7" s="1"/>
  <c r="H154" i="7"/>
  <c r="R154" i="7" s="1"/>
  <c r="G154" i="7"/>
  <c r="S153" i="7"/>
  <c r="Q153" i="7"/>
  <c r="K153" i="7"/>
  <c r="U153" i="7" s="1"/>
  <c r="J153" i="7"/>
  <c r="T153" i="7" s="1"/>
  <c r="I153" i="7"/>
  <c r="H153" i="7"/>
  <c r="R153" i="7" s="1"/>
  <c r="G153" i="7"/>
  <c r="U152" i="7"/>
  <c r="R152" i="7"/>
  <c r="Q152" i="7"/>
  <c r="K152" i="7"/>
  <c r="J152" i="7"/>
  <c r="T152" i="7" s="1"/>
  <c r="I152" i="7"/>
  <c r="S152" i="7" s="1"/>
  <c r="H152" i="7"/>
  <c r="G152" i="7"/>
  <c r="U151" i="7"/>
  <c r="T151" i="7"/>
  <c r="K151" i="7"/>
  <c r="J151" i="7"/>
  <c r="I151" i="7"/>
  <c r="S151" i="7" s="1"/>
  <c r="H151" i="7"/>
  <c r="R151" i="7" s="1"/>
  <c r="G151" i="7"/>
  <c r="Q151" i="7" s="1"/>
  <c r="Q150" i="7"/>
  <c r="K150" i="7"/>
  <c r="U150" i="7" s="1"/>
  <c r="J150" i="7"/>
  <c r="T150" i="7" s="1"/>
  <c r="I150" i="7"/>
  <c r="S150" i="7" s="1"/>
  <c r="H150" i="7"/>
  <c r="R150" i="7" s="1"/>
  <c r="G150" i="7"/>
  <c r="S149" i="7"/>
  <c r="K149" i="7"/>
  <c r="U149" i="7" s="1"/>
  <c r="J149" i="7"/>
  <c r="T149" i="7" s="1"/>
  <c r="I149" i="7"/>
  <c r="H149" i="7"/>
  <c r="R149" i="7" s="1"/>
  <c r="G149" i="7"/>
  <c r="Q149" i="7" s="1"/>
  <c r="S148" i="7"/>
  <c r="Q148" i="7"/>
  <c r="K148" i="7"/>
  <c r="U148" i="7" s="1"/>
  <c r="J148" i="7"/>
  <c r="T148" i="7" s="1"/>
  <c r="I148" i="7"/>
  <c r="H148" i="7"/>
  <c r="R148" i="7" s="1"/>
  <c r="G148" i="7"/>
  <c r="S147" i="7"/>
  <c r="K147" i="7"/>
  <c r="U147" i="7" s="1"/>
  <c r="J147" i="7"/>
  <c r="T147" i="7" s="1"/>
  <c r="I147" i="7"/>
  <c r="H147" i="7"/>
  <c r="R147" i="7" s="1"/>
  <c r="G147" i="7"/>
  <c r="Q147" i="7" s="1"/>
  <c r="K146" i="7"/>
  <c r="U146" i="7" s="1"/>
  <c r="J146" i="7"/>
  <c r="T146" i="7" s="1"/>
  <c r="I146" i="7"/>
  <c r="S146" i="7" s="1"/>
  <c r="H146" i="7"/>
  <c r="R146" i="7" s="1"/>
  <c r="G146" i="7"/>
  <c r="Q146" i="7" s="1"/>
  <c r="Q145" i="7"/>
  <c r="K145" i="7"/>
  <c r="U145" i="7" s="1"/>
  <c r="J145" i="7"/>
  <c r="T145" i="7" s="1"/>
  <c r="I145" i="7"/>
  <c r="S145" i="7" s="1"/>
  <c r="H145" i="7"/>
  <c r="R145" i="7" s="1"/>
  <c r="G145" i="7"/>
  <c r="U144" i="7"/>
  <c r="R144" i="7"/>
  <c r="K144" i="7"/>
  <c r="J144" i="7"/>
  <c r="T144" i="7" s="1"/>
  <c r="I144" i="7"/>
  <c r="S144" i="7" s="1"/>
  <c r="H144" i="7"/>
  <c r="G144" i="7"/>
  <c r="Q144" i="7" s="1"/>
  <c r="K143" i="7"/>
  <c r="U143" i="7" s="1"/>
  <c r="J143" i="7"/>
  <c r="T143" i="7" s="1"/>
  <c r="I143" i="7"/>
  <c r="S143" i="7" s="1"/>
  <c r="H143" i="7"/>
  <c r="R143" i="7" s="1"/>
  <c r="G143" i="7"/>
  <c r="Q143" i="7" s="1"/>
  <c r="Q142" i="7"/>
  <c r="K142" i="7"/>
  <c r="U142" i="7" s="1"/>
  <c r="J142" i="7"/>
  <c r="T142" i="7" s="1"/>
  <c r="I142" i="7"/>
  <c r="S142" i="7" s="1"/>
  <c r="H142" i="7"/>
  <c r="R142" i="7" s="1"/>
  <c r="G142" i="7"/>
  <c r="S141" i="7"/>
  <c r="K141" i="7"/>
  <c r="U141" i="7" s="1"/>
  <c r="J141" i="7"/>
  <c r="T141" i="7" s="1"/>
  <c r="I141" i="7"/>
  <c r="H141" i="7"/>
  <c r="R141" i="7" s="1"/>
  <c r="G141" i="7"/>
  <c r="Q141" i="7" s="1"/>
  <c r="U140" i="7"/>
  <c r="S140" i="7"/>
  <c r="Q140" i="7"/>
  <c r="K140" i="7"/>
  <c r="J140" i="7"/>
  <c r="T140" i="7" s="1"/>
  <c r="I140" i="7"/>
  <c r="H140" i="7"/>
  <c r="R140" i="7" s="1"/>
  <c r="G140" i="7"/>
  <c r="U139" i="7"/>
  <c r="K139" i="7"/>
  <c r="J139" i="7"/>
  <c r="T139" i="7" s="1"/>
  <c r="I139" i="7"/>
  <c r="S139" i="7" s="1"/>
  <c r="H139" i="7"/>
  <c r="R139" i="7" s="1"/>
  <c r="G139" i="7"/>
  <c r="Q139" i="7" s="1"/>
  <c r="U138" i="7"/>
  <c r="K138" i="7"/>
  <c r="J138" i="7"/>
  <c r="T138" i="7" s="1"/>
  <c r="I138" i="7"/>
  <c r="S138" i="7" s="1"/>
  <c r="H138" i="7"/>
  <c r="R138" i="7" s="1"/>
  <c r="G138" i="7"/>
  <c r="Q138" i="7" s="1"/>
  <c r="S137" i="7"/>
  <c r="Q137" i="7"/>
  <c r="K137" i="7"/>
  <c r="U137" i="7" s="1"/>
  <c r="J137" i="7"/>
  <c r="T137" i="7" s="1"/>
  <c r="I137" i="7"/>
  <c r="H137" i="7"/>
  <c r="R137" i="7" s="1"/>
  <c r="G137" i="7"/>
  <c r="R136" i="7"/>
  <c r="K136" i="7"/>
  <c r="U136" i="7" s="1"/>
  <c r="J136" i="7"/>
  <c r="T136" i="7" s="1"/>
  <c r="I136" i="7"/>
  <c r="S136" i="7" s="1"/>
  <c r="H136" i="7"/>
  <c r="G136" i="7"/>
  <c r="Q136" i="7" s="1"/>
  <c r="T135" i="7"/>
  <c r="K135" i="7"/>
  <c r="U135" i="7" s="1"/>
  <c r="J135" i="7"/>
  <c r="I135" i="7"/>
  <c r="S135" i="7" s="1"/>
  <c r="H135" i="7"/>
  <c r="R135" i="7" s="1"/>
  <c r="G135" i="7"/>
  <c r="Q135" i="7" s="1"/>
  <c r="U134" i="7"/>
  <c r="Q134" i="7"/>
  <c r="K134" i="7"/>
  <c r="J134" i="7"/>
  <c r="T134" i="7" s="1"/>
  <c r="I134" i="7"/>
  <c r="S134" i="7" s="1"/>
  <c r="H134" i="7"/>
  <c r="R134" i="7" s="1"/>
  <c r="G134" i="7"/>
  <c r="K133" i="7"/>
  <c r="U133" i="7" s="1"/>
  <c r="J133" i="7"/>
  <c r="T133" i="7" s="1"/>
  <c r="I133" i="7"/>
  <c r="S133" i="7" s="1"/>
  <c r="H133" i="7"/>
  <c r="R133" i="7" s="1"/>
  <c r="G133" i="7"/>
  <c r="Q133" i="7" s="1"/>
  <c r="U132" i="7"/>
  <c r="Q132" i="7"/>
  <c r="K132" i="7"/>
  <c r="J132" i="7"/>
  <c r="T132" i="7" s="1"/>
  <c r="I132" i="7"/>
  <c r="S132" i="7" s="1"/>
  <c r="H132" i="7"/>
  <c r="R132" i="7" s="1"/>
  <c r="G132" i="7"/>
  <c r="U131" i="7"/>
  <c r="S131" i="7"/>
  <c r="K131" i="7"/>
  <c r="J131" i="7"/>
  <c r="T131" i="7" s="1"/>
  <c r="I131" i="7"/>
  <c r="H131" i="7"/>
  <c r="R131" i="7" s="1"/>
  <c r="G131" i="7"/>
  <c r="Q131" i="7" s="1"/>
  <c r="K130" i="7"/>
  <c r="U130" i="7" s="1"/>
  <c r="J130" i="7"/>
  <c r="T130" i="7" s="1"/>
  <c r="I130" i="7"/>
  <c r="S130" i="7" s="1"/>
  <c r="H130" i="7"/>
  <c r="R130" i="7" s="1"/>
  <c r="G130" i="7"/>
  <c r="Q130" i="7" s="1"/>
  <c r="S129" i="7"/>
  <c r="K129" i="7"/>
  <c r="U129" i="7" s="1"/>
  <c r="J129" i="7"/>
  <c r="T129" i="7" s="1"/>
  <c r="I129" i="7"/>
  <c r="H129" i="7"/>
  <c r="R129" i="7" s="1"/>
  <c r="G129" i="7"/>
  <c r="Q129" i="7" s="1"/>
  <c r="S128" i="7"/>
  <c r="K128" i="7"/>
  <c r="U128" i="7" s="1"/>
  <c r="J128" i="7"/>
  <c r="T128" i="7" s="1"/>
  <c r="I128" i="7"/>
  <c r="H128" i="7"/>
  <c r="R128" i="7" s="1"/>
  <c r="G128" i="7"/>
  <c r="Q128" i="7" s="1"/>
  <c r="T127" i="7"/>
  <c r="K127" i="7"/>
  <c r="U127" i="7" s="1"/>
  <c r="J127" i="7"/>
  <c r="I127" i="7"/>
  <c r="S127" i="7" s="1"/>
  <c r="H127" i="7"/>
  <c r="R127" i="7" s="1"/>
  <c r="G127" i="7"/>
  <c r="Q127" i="7" s="1"/>
  <c r="U126" i="7"/>
  <c r="K126" i="7"/>
  <c r="J126" i="7"/>
  <c r="T126" i="7" s="1"/>
  <c r="I126" i="7"/>
  <c r="S126" i="7" s="1"/>
  <c r="H126" i="7"/>
  <c r="R126" i="7" s="1"/>
  <c r="G126" i="7"/>
  <c r="Q126" i="7" s="1"/>
  <c r="Q125" i="7"/>
  <c r="K125" i="7"/>
  <c r="U125" i="7" s="1"/>
  <c r="J125" i="7"/>
  <c r="T125" i="7" s="1"/>
  <c r="I125" i="7"/>
  <c r="S125" i="7" s="1"/>
  <c r="H125" i="7"/>
  <c r="R125" i="7" s="1"/>
  <c r="G125" i="7"/>
  <c r="U124" i="7"/>
  <c r="S124" i="7"/>
  <c r="R124" i="7"/>
  <c r="K124" i="7"/>
  <c r="J124" i="7"/>
  <c r="T124" i="7" s="1"/>
  <c r="I124" i="7"/>
  <c r="H124" i="7"/>
  <c r="G124" i="7"/>
  <c r="Q124" i="7" s="1"/>
  <c r="U123" i="7"/>
  <c r="K123" i="7"/>
  <c r="J123" i="7"/>
  <c r="T123" i="7" s="1"/>
  <c r="I123" i="7"/>
  <c r="S123" i="7" s="1"/>
  <c r="H123" i="7"/>
  <c r="R123" i="7" s="1"/>
  <c r="G123" i="7"/>
  <c r="Q123" i="7" s="1"/>
  <c r="U122" i="7"/>
  <c r="Q122" i="7"/>
  <c r="K122" i="7"/>
  <c r="J122" i="7"/>
  <c r="T122" i="7" s="1"/>
  <c r="I122" i="7"/>
  <c r="S122" i="7" s="1"/>
  <c r="H122" i="7"/>
  <c r="R122" i="7" s="1"/>
  <c r="G122" i="7"/>
  <c r="S121" i="7"/>
  <c r="Q121" i="7"/>
  <c r="K121" i="7"/>
  <c r="U121" i="7" s="1"/>
  <c r="J121" i="7"/>
  <c r="T121" i="7" s="1"/>
  <c r="I121" i="7"/>
  <c r="H121" i="7"/>
  <c r="R121" i="7" s="1"/>
  <c r="G121" i="7"/>
  <c r="U120" i="7"/>
  <c r="R120" i="7"/>
  <c r="Q120" i="7"/>
  <c r="K120" i="7"/>
  <c r="J120" i="7"/>
  <c r="T120" i="7" s="1"/>
  <c r="I120" i="7"/>
  <c r="S120" i="7" s="1"/>
  <c r="H120" i="7"/>
  <c r="G120" i="7"/>
  <c r="U119" i="7"/>
  <c r="T119" i="7"/>
  <c r="K119" i="7"/>
  <c r="J119" i="7"/>
  <c r="I119" i="7"/>
  <c r="S119" i="7" s="1"/>
  <c r="H119" i="7"/>
  <c r="R119" i="7" s="1"/>
  <c r="G119" i="7"/>
  <c r="Q119" i="7" s="1"/>
  <c r="Q118" i="7"/>
  <c r="K118" i="7"/>
  <c r="U118" i="7" s="1"/>
  <c r="J118" i="7"/>
  <c r="T118" i="7" s="1"/>
  <c r="I118" i="7"/>
  <c r="S118" i="7" s="1"/>
  <c r="H118" i="7"/>
  <c r="R118" i="7" s="1"/>
  <c r="G118" i="7"/>
  <c r="S117" i="7"/>
  <c r="K117" i="7"/>
  <c r="U117" i="7" s="1"/>
  <c r="J117" i="7"/>
  <c r="T117" i="7" s="1"/>
  <c r="I117" i="7"/>
  <c r="H117" i="7"/>
  <c r="R117" i="7" s="1"/>
  <c r="G117" i="7"/>
  <c r="Q117" i="7" s="1"/>
  <c r="S116" i="7"/>
  <c r="Q116" i="7"/>
  <c r="K116" i="7"/>
  <c r="U116" i="7" s="1"/>
  <c r="J116" i="7"/>
  <c r="T116" i="7" s="1"/>
  <c r="I116" i="7"/>
  <c r="H116" i="7"/>
  <c r="R116" i="7" s="1"/>
  <c r="G116" i="7"/>
  <c r="S115" i="7"/>
  <c r="K115" i="7"/>
  <c r="U115" i="7" s="1"/>
  <c r="J115" i="7"/>
  <c r="T115" i="7" s="1"/>
  <c r="I115" i="7"/>
  <c r="H115" i="7"/>
  <c r="R115" i="7" s="1"/>
  <c r="G115" i="7"/>
  <c r="Q115" i="7" s="1"/>
  <c r="K114" i="7"/>
  <c r="U114" i="7" s="1"/>
  <c r="J114" i="7"/>
  <c r="T114" i="7" s="1"/>
  <c r="I114" i="7"/>
  <c r="S114" i="7" s="1"/>
  <c r="H114" i="7"/>
  <c r="R114" i="7" s="1"/>
  <c r="G114" i="7"/>
  <c r="Q114" i="7" s="1"/>
  <c r="Q113" i="7"/>
  <c r="K113" i="7"/>
  <c r="U113" i="7" s="1"/>
  <c r="J113" i="7"/>
  <c r="T113" i="7" s="1"/>
  <c r="I113" i="7"/>
  <c r="S113" i="7" s="1"/>
  <c r="H113" i="7"/>
  <c r="R113" i="7" s="1"/>
  <c r="G113" i="7"/>
  <c r="U112" i="7"/>
  <c r="R112" i="7"/>
  <c r="K112" i="7"/>
  <c r="J112" i="7"/>
  <c r="T112" i="7" s="1"/>
  <c r="I112" i="7"/>
  <c r="S112" i="7" s="1"/>
  <c r="H112" i="7"/>
  <c r="G112" i="7"/>
  <c r="Q112" i="7" s="1"/>
  <c r="K111" i="7"/>
  <c r="U111" i="7" s="1"/>
  <c r="J111" i="7"/>
  <c r="T111" i="7" s="1"/>
  <c r="I111" i="7"/>
  <c r="S111" i="7" s="1"/>
  <c r="H111" i="7"/>
  <c r="R111" i="7" s="1"/>
  <c r="G111" i="7"/>
  <c r="Q111" i="7" s="1"/>
  <c r="Q110" i="7"/>
  <c r="K110" i="7"/>
  <c r="U110" i="7" s="1"/>
  <c r="J110" i="7"/>
  <c r="T110" i="7" s="1"/>
  <c r="I110" i="7"/>
  <c r="S110" i="7" s="1"/>
  <c r="H110" i="7"/>
  <c r="R110" i="7" s="1"/>
  <c r="G110" i="7"/>
  <c r="S109" i="7"/>
  <c r="K109" i="7"/>
  <c r="U109" i="7" s="1"/>
  <c r="J109" i="7"/>
  <c r="T109" i="7" s="1"/>
  <c r="I109" i="7"/>
  <c r="H109" i="7"/>
  <c r="R109" i="7" s="1"/>
  <c r="G109" i="7"/>
  <c r="Q109" i="7" s="1"/>
  <c r="U108" i="7"/>
  <c r="S108" i="7"/>
  <c r="Q108" i="7"/>
  <c r="K108" i="7"/>
  <c r="J108" i="7"/>
  <c r="T108" i="7" s="1"/>
  <c r="I108" i="7"/>
  <c r="H108" i="7"/>
  <c r="R108" i="7" s="1"/>
  <c r="G108" i="7"/>
  <c r="U107" i="7"/>
  <c r="K107" i="7"/>
  <c r="J107" i="7"/>
  <c r="T107" i="7" s="1"/>
  <c r="I107" i="7"/>
  <c r="S107" i="7" s="1"/>
  <c r="H107" i="7"/>
  <c r="R107" i="7" s="1"/>
  <c r="G107" i="7"/>
  <c r="Q107" i="7" s="1"/>
  <c r="U106" i="7"/>
  <c r="K106" i="7"/>
  <c r="J106" i="7"/>
  <c r="T106" i="7" s="1"/>
  <c r="I106" i="7"/>
  <c r="S106" i="7" s="1"/>
  <c r="H106" i="7"/>
  <c r="R106" i="7" s="1"/>
  <c r="G106" i="7"/>
  <c r="Q106" i="7" s="1"/>
  <c r="S105" i="7"/>
  <c r="Q105" i="7"/>
  <c r="K105" i="7"/>
  <c r="U105" i="7" s="1"/>
  <c r="J105" i="7"/>
  <c r="T105" i="7" s="1"/>
  <c r="I105" i="7"/>
  <c r="H105" i="7"/>
  <c r="R105" i="7" s="1"/>
  <c r="G105" i="7"/>
  <c r="R104" i="7"/>
  <c r="K104" i="7"/>
  <c r="U104" i="7" s="1"/>
  <c r="J104" i="7"/>
  <c r="T104" i="7" s="1"/>
  <c r="I104" i="7"/>
  <c r="S104" i="7" s="1"/>
  <c r="H104" i="7"/>
  <c r="G104" i="7"/>
  <c r="Q104" i="7" s="1"/>
  <c r="T103" i="7"/>
  <c r="K103" i="7"/>
  <c r="U103" i="7" s="1"/>
  <c r="J103" i="7"/>
  <c r="I103" i="7"/>
  <c r="S103" i="7" s="1"/>
  <c r="H103" i="7"/>
  <c r="R103" i="7" s="1"/>
  <c r="G103" i="7"/>
  <c r="Q103" i="7" s="1"/>
  <c r="U102" i="7"/>
  <c r="Q102" i="7"/>
  <c r="K102" i="7"/>
  <c r="J102" i="7"/>
  <c r="T102" i="7" s="1"/>
  <c r="I102" i="7"/>
  <c r="S102" i="7" s="1"/>
  <c r="H102" i="7"/>
  <c r="R102" i="7" s="1"/>
  <c r="G102" i="7"/>
  <c r="K101" i="7"/>
  <c r="U101" i="7" s="1"/>
  <c r="J101" i="7"/>
  <c r="T101" i="7" s="1"/>
  <c r="I101" i="7"/>
  <c r="S101" i="7" s="1"/>
  <c r="H101" i="7"/>
  <c r="R101" i="7" s="1"/>
  <c r="G101" i="7"/>
  <c r="Q101" i="7" s="1"/>
  <c r="U100" i="7"/>
  <c r="Q100" i="7"/>
  <c r="K100" i="7"/>
  <c r="J100" i="7"/>
  <c r="T100" i="7" s="1"/>
  <c r="I100" i="7"/>
  <c r="S100" i="7" s="1"/>
  <c r="H100" i="7"/>
  <c r="R100" i="7" s="1"/>
  <c r="G100" i="7"/>
  <c r="U99" i="7"/>
  <c r="S99" i="7"/>
  <c r="K99" i="7"/>
  <c r="J99" i="7"/>
  <c r="T99" i="7" s="1"/>
  <c r="I99" i="7"/>
  <c r="H99" i="7"/>
  <c r="R99" i="7" s="1"/>
  <c r="G99" i="7"/>
  <c r="Q99" i="7" s="1"/>
  <c r="K98" i="7"/>
  <c r="U98" i="7" s="1"/>
  <c r="J98" i="7"/>
  <c r="T98" i="7" s="1"/>
  <c r="I98" i="7"/>
  <c r="S98" i="7" s="1"/>
  <c r="H98" i="7"/>
  <c r="R98" i="7" s="1"/>
  <c r="G98" i="7"/>
  <c r="Q98" i="7" s="1"/>
  <c r="S97" i="7"/>
  <c r="K97" i="7"/>
  <c r="U97" i="7" s="1"/>
  <c r="J97" i="7"/>
  <c r="T97" i="7" s="1"/>
  <c r="I97" i="7"/>
  <c r="H97" i="7"/>
  <c r="R97" i="7" s="1"/>
  <c r="G97" i="7"/>
  <c r="Q97" i="7" s="1"/>
  <c r="S96" i="7"/>
  <c r="K96" i="7"/>
  <c r="U96" i="7" s="1"/>
  <c r="J96" i="7"/>
  <c r="T96" i="7" s="1"/>
  <c r="I96" i="7"/>
  <c r="H96" i="7"/>
  <c r="R96" i="7" s="1"/>
  <c r="G96" i="7"/>
  <c r="Q96" i="7" s="1"/>
  <c r="T95" i="7"/>
  <c r="K95" i="7"/>
  <c r="U95" i="7" s="1"/>
  <c r="J95" i="7"/>
  <c r="I95" i="7"/>
  <c r="S95" i="7" s="1"/>
  <c r="H95" i="7"/>
  <c r="R95" i="7" s="1"/>
  <c r="G95" i="7"/>
  <c r="Q95" i="7" s="1"/>
  <c r="U94" i="7"/>
  <c r="K94" i="7"/>
  <c r="J94" i="7"/>
  <c r="T94" i="7" s="1"/>
  <c r="I94" i="7"/>
  <c r="S94" i="7" s="1"/>
  <c r="H94" i="7"/>
  <c r="R94" i="7" s="1"/>
  <c r="G94" i="7"/>
  <c r="Q94" i="7" s="1"/>
  <c r="Q93" i="7"/>
  <c r="K93" i="7"/>
  <c r="U93" i="7" s="1"/>
  <c r="J93" i="7"/>
  <c r="T93" i="7" s="1"/>
  <c r="I93" i="7"/>
  <c r="S93" i="7" s="1"/>
  <c r="H93" i="7"/>
  <c r="R93" i="7" s="1"/>
  <c r="G93" i="7"/>
  <c r="U92" i="7"/>
  <c r="S92" i="7"/>
  <c r="R92" i="7"/>
  <c r="K92" i="7"/>
  <c r="J92" i="7"/>
  <c r="T92" i="7" s="1"/>
  <c r="I92" i="7"/>
  <c r="H92" i="7"/>
  <c r="G92" i="7"/>
  <c r="Q92" i="7" s="1"/>
  <c r="U91" i="7"/>
  <c r="K91" i="7"/>
  <c r="J91" i="7"/>
  <c r="T91" i="7" s="1"/>
  <c r="I91" i="7"/>
  <c r="S91" i="7" s="1"/>
  <c r="H91" i="7"/>
  <c r="R91" i="7" s="1"/>
  <c r="G91" i="7"/>
  <c r="Q91" i="7" s="1"/>
  <c r="U90" i="7"/>
  <c r="Q90" i="7"/>
  <c r="K90" i="7"/>
  <c r="J90" i="7"/>
  <c r="T90" i="7" s="1"/>
  <c r="I90" i="7"/>
  <c r="S90" i="7" s="1"/>
  <c r="H90" i="7"/>
  <c r="R90" i="7" s="1"/>
  <c r="G90" i="7"/>
  <c r="S89" i="7"/>
  <c r="Q89" i="7"/>
  <c r="K89" i="7"/>
  <c r="U89" i="7" s="1"/>
  <c r="J89" i="7"/>
  <c r="T89" i="7" s="1"/>
  <c r="I89" i="7"/>
  <c r="H89" i="7"/>
  <c r="R89" i="7" s="1"/>
  <c r="G89" i="7"/>
  <c r="U88" i="7"/>
  <c r="R88" i="7"/>
  <c r="Q88" i="7"/>
  <c r="K88" i="7"/>
  <c r="J88" i="7"/>
  <c r="T88" i="7" s="1"/>
  <c r="I88" i="7"/>
  <c r="S88" i="7" s="1"/>
  <c r="H88" i="7"/>
  <c r="G88" i="7"/>
  <c r="U87" i="7"/>
  <c r="T87" i="7"/>
  <c r="K87" i="7"/>
  <c r="J87" i="7"/>
  <c r="I87" i="7"/>
  <c r="S87" i="7" s="1"/>
  <c r="H87" i="7"/>
  <c r="R87" i="7" s="1"/>
  <c r="G87" i="7"/>
  <c r="Q87" i="7" s="1"/>
  <c r="Q86" i="7"/>
  <c r="K86" i="7"/>
  <c r="U86" i="7" s="1"/>
  <c r="J86" i="7"/>
  <c r="T86" i="7" s="1"/>
  <c r="I86" i="7"/>
  <c r="S86" i="7" s="1"/>
  <c r="H86" i="7"/>
  <c r="R86" i="7" s="1"/>
  <c r="G86" i="7"/>
  <c r="S85" i="7"/>
  <c r="K85" i="7"/>
  <c r="U85" i="7" s="1"/>
  <c r="J85" i="7"/>
  <c r="T85" i="7" s="1"/>
  <c r="I85" i="7"/>
  <c r="H85" i="7"/>
  <c r="R85" i="7" s="1"/>
  <c r="G85" i="7"/>
  <c r="Q85" i="7" s="1"/>
  <c r="S84" i="7"/>
  <c r="Q84" i="7"/>
  <c r="K84" i="7"/>
  <c r="U84" i="7" s="1"/>
  <c r="J84" i="7"/>
  <c r="T84" i="7" s="1"/>
  <c r="I84" i="7"/>
  <c r="H84" i="7"/>
  <c r="R84" i="7" s="1"/>
  <c r="G84" i="7"/>
  <c r="S83" i="7"/>
  <c r="K83" i="7"/>
  <c r="U83" i="7" s="1"/>
  <c r="J83" i="7"/>
  <c r="T83" i="7" s="1"/>
  <c r="I83" i="7"/>
  <c r="H83" i="7"/>
  <c r="R83" i="7" s="1"/>
  <c r="G83" i="7"/>
  <c r="Q83" i="7" s="1"/>
  <c r="K82" i="7"/>
  <c r="U82" i="7" s="1"/>
  <c r="J82" i="7"/>
  <c r="T82" i="7" s="1"/>
  <c r="I82" i="7"/>
  <c r="S82" i="7" s="1"/>
  <c r="H82" i="7"/>
  <c r="R82" i="7" s="1"/>
  <c r="G82" i="7"/>
  <c r="Q82" i="7" s="1"/>
  <c r="Q81" i="7"/>
  <c r="K81" i="7"/>
  <c r="U81" i="7" s="1"/>
  <c r="J81" i="7"/>
  <c r="T81" i="7" s="1"/>
  <c r="I81" i="7"/>
  <c r="S81" i="7" s="1"/>
  <c r="H81" i="7"/>
  <c r="R81" i="7" s="1"/>
  <c r="G81" i="7"/>
  <c r="U80" i="7"/>
  <c r="R80" i="7"/>
  <c r="K80" i="7"/>
  <c r="J80" i="7"/>
  <c r="T80" i="7" s="1"/>
  <c r="I80" i="7"/>
  <c r="S80" i="7" s="1"/>
  <c r="H80" i="7"/>
  <c r="G80" i="7"/>
  <c r="Q80" i="7" s="1"/>
  <c r="K79" i="7"/>
  <c r="U79" i="7" s="1"/>
  <c r="J79" i="7"/>
  <c r="T79" i="7" s="1"/>
  <c r="I79" i="7"/>
  <c r="S79" i="7" s="1"/>
  <c r="H79" i="7"/>
  <c r="R79" i="7" s="1"/>
  <c r="G79" i="7"/>
  <c r="Q79" i="7" s="1"/>
  <c r="Q78" i="7"/>
  <c r="K78" i="7"/>
  <c r="U78" i="7" s="1"/>
  <c r="J78" i="7"/>
  <c r="T78" i="7" s="1"/>
  <c r="I78" i="7"/>
  <c r="S78" i="7" s="1"/>
  <c r="H78" i="7"/>
  <c r="R78" i="7" s="1"/>
  <c r="G78" i="7"/>
  <c r="S77" i="7"/>
  <c r="K77" i="7"/>
  <c r="U77" i="7" s="1"/>
  <c r="J77" i="7"/>
  <c r="T77" i="7" s="1"/>
  <c r="I77" i="7"/>
  <c r="H77" i="7"/>
  <c r="R77" i="7" s="1"/>
  <c r="G77" i="7"/>
  <c r="Q77" i="7" s="1"/>
  <c r="U76" i="7"/>
  <c r="S76" i="7"/>
  <c r="Q76" i="7"/>
  <c r="K76" i="7"/>
  <c r="J76" i="7"/>
  <c r="T76" i="7" s="1"/>
  <c r="I76" i="7"/>
  <c r="H76" i="7"/>
  <c r="R76" i="7" s="1"/>
  <c r="G76" i="7"/>
  <c r="U75" i="7"/>
  <c r="K75" i="7"/>
  <c r="J75" i="7"/>
  <c r="T75" i="7" s="1"/>
  <c r="I75" i="7"/>
  <c r="S75" i="7" s="1"/>
  <c r="H75" i="7"/>
  <c r="R75" i="7" s="1"/>
  <c r="G75" i="7"/>
  <c r="Q75" i="7" s="1"/>
  <c r="U74" i="7"/>
  <c r="K74" i="7"/>
  <c r="J74" i="7"/>
  <c r="T74" i="7" s="1"/>
  <c r="I74" i="7"/>
  <c r="S74" i="7" s="1"/>
  <c r="H74" i="7"/>
  <c r="R74" i="7" s="1"/>
  <c r="G74" i="7"/>
  <c r="Q74" i="7" s="1"/>
  <c r="S73" i="7"/>
  <c r="Q73" i="7"/>
  <c r="K73" i="7"/>
  <c r="U73" i="7" s="1"/>
  <c r="J73" i="7"/>
  <c r="T73" i="7" s="1"/>
  <c r="I73" i="7"/>
  <c r="H73" i="7"/>
  <c r="R73" i="7" s="1"/>
  <c r="G73" i="7"/>
  <c r="R72" i="7"/>
  <c r="K72" i="7"/>
  <c r="U72" i="7" s="1"/>
  <c r="J72" i="7"/>
  <c r="T72" i="7" s="1"/>
  <c r="I72" i="7"/>
  <c r="S72" i="7" s="1"/>
  <c r="H72" i="7"/>
  <c r="G72" i="7"/>
  <c r="Q72" i="7" s="1"/>
  <c r="T71" i="7"/>
  <c r="K71" i="7"/>
  <c r="U71" i="7" s="1"/>
  <c r="J71" i="7"/>
  <c r="I71" i="7"/>
  <c r="S71" i="7" s="1"/>
  <c r="H71" i="7"/>
  <c r="R71" i="7" s="1"/>
  <c r="G71" i="7"/>
  <c r="Q71" i="7" s="1"/>
  <c r="U70" i="7"/>
  <c r="Q70" i="7"/>
  <c r="K70" i="7"/>
  <c r="J70" i="7"/>
  <c r="T70" i="7" s="1"/>
  <c r="I70" i="7"/>
  <c r="S70" i="7" s="1"/>
  <c r="H70" i="7"/>
  <c r="R70" i="7" s="1"/>
  <c r="G70" i="7"/>
  <c r="K69" i="7"/>
  <c r="U69" i="7" s="1"/>
  <c r="J69" i="7"/>
  <c r="T69" i="7" s="1"/>
  <c r="I69" i="7"/>
  <c r="S69" i="7" s="1"/>
  <c r="H69" i="7"/>
  <c r="R69" i="7" s="1"/>
  <c r="G69" i="7"/>
  <c r="Q69" i="7" s="1"/>
  <c r="U68" i="7"/>
  <c r="Q68" i="7"/>
  <c r="K68" i="7"/>
  <c r="J68" i="7"/>
  <c r="T68" i="7" s="1"/>
  <c r="I68" i="7"/>
  <c r="S68" i="7" s="1"/>
  <c r="H68" i="7"/>
  <c r="R68" i="7" s="1"/>
  <c r="G68" i="7"/>
  <c r="U67" i="7"/>
  <c r="S67" i="7"/>
  <c r="K67" i="7"/>
  <c r="J67" i="7"/>
  <c r="T67" i="7" s="1"/>
  <c r="I67" i="7"/>
  <c r="H67" i="7"/>
  <c r="R67" i="7" s="1"/>
  <c r="G67" i="7"/>
  <c r="Q67" i="7" s="1"/>
  <c r="K66" i="7"/>
  <c r="U66" i="7" s="1"/>
  <c r="J66" i="7"/>
  <c r="T66" i="7" s="1"/>
  <c r="I66" i="7"/>
  <c r="S66" i="7" s="1"/>
  <c r="H66" i="7"/>
  <c r="R66" i="7" s="1"/>
  <c r="G66" i="7"/>
  <c r="Q66" i="7" s="1"/>
  <c r="S65" i="7"/>
  <c r="K65" i="7"/>
  <c r="U65" i="7" s="1"/>
  <c r="J65" i="7"/>
  <c r="T65" i="7" s="1"/>
  <c r="I65" i="7"/>
  <c r="H65" i="7"/>
  <c r="R65" i="7" s="1"/>
  <c r="G65" i="7"/>
  <c r="Q65" i="7" s="1"/>
  <c r="S64" i="7"/>
  <c r="K64" i="7"/>
  <c r="U64" i="7" s="1"/>
  <c r="J64" i="7"/>
  <c r="T64" i="7" s="1"/>
  <c r="I64" i="7"/>
  <c r="H64" i="7"/>
  <c r="R64" i="7" s="1"/>
  <c r="G64" i="7"/>
  <c r="Q64" i="7" s="1"/>
  <c r="K63" i="7"/>
  <c r="U63" i="7" s="1"/>
  <c r="J63" i="7"/>
  <c r="T63" i="7" s="1"/>
  <c r="I63" i="7"/>
  <c r="S63" i="7" s="1"/>
  <c r="H63" i="7"/>
  <c r="R63" i="7" s="1"/>
  <c r="G63" i="7"/>
  <c r="Q63" i="7" s="1"/>
  <c r="U62" i="7"/>
  <c r="K62" i="7"/>
  <c r="J62" i="7"/>
  <c r="T62" i="7" s="1"/>
  <c r="I62" i="7"/>
  <c r="S62" i="7" s="1"/>
  <c r="H62" i="7"/>
  <c r="R62" i="7" s="1"/>
  <c r="G62" i="7"/>
  <c r="Q62" i="7" s="1"/>
  <c r="Q61" i="7"/>
  <c r="K61" i="7"/>
  <c r="U61" i="7" s="1"/>
  <c r="J61" i="7"/>
  <c r="T61" i="7" s="1"/>
  <c r="I61" i="7"/>
  <c r="S61" i="7" s="1"/>
  <c r="H61" i="7"/>
  <c r="R61" i="7" s="1"/>
  <c r="G61" i="7"/>
  <c r="U60" i="7"/>
  <c r="S60" i="7"/>
  <c r="R60" i="7"/>
  <c r="K60" i="7"/>
  <c r="J60" i="7"/>
  <c r="T60" i="7" s="1"/>
  <c r="I60" i="7"/>
  <c r="H60" i="7"/>
  <c r="G60" i="7"/>
  <c r="Q60" i="7" s="1"/>
  <c r="U59" i="7"/>
  <c r="K59" i="7"/>
  <c r="J59" i="7"/>
  <c r="T59" i="7" s="1"/>
  <c r="I59" i="7"/>
  <c r="S59" i="7" s="1"/>
  <c r="H59" i="7"/>
  <c r="R59" i="7" s="1"/>
  <c r="G59" i="7"/>
  <c r="Q59" i="7" s="1"/>
  <c r="U58" i="7"/>
  <c r="Q58" i="7"/>
  <c r="K58" i="7"/>
  <c r="J58" i="7"/>
  <c r="T58" i="7" s="1"/>
  <c r="I58" i="7"/>
  <c r="S58" i="7" s="1"/>
  <c r="H58" i="7"/>
  <c r="R58" i="7" s="1"/>
  <c r="G58" i="7"/>
  <c r="S57" i="7"/>
  <c r="Q57" i="7"/>
  <c r="K57" i="7"/>
  <c r="U57" i="7" s="1"/>
  <c r="J57" i="7"/>
  <c r="T57" i="7" s="1"/>
  <c r="I57" i="7"/>
  <c r="H57" i="7"/>
  <c r="R57" i="7" s="1"/>
  <c r="G57" i="7"/>
  <c r="U56" i="7"/>
  <c r="R56" i="7"/>
  <c r="Q56" i="7"/>
  <c r="K56" i="7"/>
  <c r="J56" i="7"/>
  <c r="T56" i="7" s="1"/>
  <c r="I56" i="7"/>
  <c r="S56" i="7" s="1"/>
  <c r="H56" i="7"/>
  <c r="G56" i="7"/>
  <c r="U55" i="7"/>
  <c r="T55" i="7"/>
  <c r="K55" i="7"/>
  <c r="J55" i="7"/>
  <c r="I55" i="7"/>
  <c r="S55" i="7" s="1"/>
  <c r="H55" i="7"/>
  <c r="R55" i="7" s="1"/>
  <c r="G55" i="7"/>
  <c r="Q55" i="7" s="1"/>
  <c r="Q54" i="7"/>
  <c r="K54" i="7"/>
  <c r="U54" i="7" s="1"/>
  <c r="J54" i="7"/>
  <c r="T54" i="7" s="1"/>
  <c r="I54" i="7"/>
  <c r="S54" i="7" s="1"/>
  <c r="H54" i="7"/>
  <c r="R54" i="7" s="1"/>
  <c r="G54" i="7"/>
  <c r="S53" i="7"/>
  <c r="K53" i="7"/>
  <c r="U53" i="7" s="1"/>
  <c r="J53" i="7"/>
  <c r="T53" i="7" s="1"/>
  <c r="I53" i="7"/>
  <c r="H53" i="7"/>
  <c r="R53" i="7" s="1"/>
  <c r="G53" i="7"/>
  <c r="Q53" i="7" s="1"/>
  <c r="S52" i="7"/>
  <c r="Q52" i="7"/>
  <c r="K52" i="7"/>
  <c r="U52" i="7" s="1"/>
  <c r="J52" i="7"/>
  <c r="T52" i="7" s="1"/>
  <c r="I52" i="7"/>
  <c r="H52" i="7"/>
  <c r="R52" i="7" s="1"/>
  <c r="G52" i="7"/>
  <c r="S51" i="7"/>
  <c r="K51" i="7"/>
  <c r="U51" i="7" s="1"/>
  <c r="J51" i="7"/>
  <c r="T51" i="7" s="1"/>
  <c r="I51" i="7"/>
  <c r="H51" i="7"/>
  <c r="R51" i="7" s="1"/>
  <c r="G51" i="7"/>
  <c r="Q51" i="7" s="1"/>
  <c r="K50" i="7"/>
  <c r="U50" i="7" s="1"/>
  <c r="J50" i="7"/>
  <c r="T50" i="7" s="1"/>
  <c r="I50" i="7"/>
  <c r="S50" i="7" s="1"/>
  <c r="H50" i="7"/>
  <c r="R50" i="7" s="1"/>
  <c r="G50" i="7"/>
  <c r="Q50" i="7" s="1"/>
  <c r="Q49" i="7"/>
  <c r="K49" i="7"/>
  <c r="U49" i="7" s="1"/>
  <c r="J49" i="7"/>
  <c r="T49" i="7" s="1"/>
  <c r="I49" i="7"/>
  <c r="S49" i="7" s="1"/>
  <c r="H49" i="7"/>
  <c r="R49" i="7" s="1"/>
  <c r="G49" i="7"/>
  <c r="U48" i="7"/>
  <c r="R48" i="7"/>
  <c r="K48" i="7"/>
  <c r="J48" i="7"/>
  <c r="T48" i="7" s="1"/>
  <c r="I48" i="7"/>
  <c r="S48" i="7" s="1"/>
  <c r="H48" i="7"/>
  <c r="G48" i="7"/>
  <c r="Q48" i="7" s="1"/>
  <c r="K47" i="7"/>
  <c r="U47" i="7" s="1"/>
  <c r="J47" i="7"/>
  <c r="T47" i="7" s="1"/>
  <c r="I47" i="7"/>
  <c r="S47" i="7" s="1"/>
  <c r="H47" i="7"/>
  <c r="R47" i="7" s="1"/>
  <c r="G47" i="7"/>
  <c r="Q47" i="7" s="1"/>
  <c r="U46" i="7"/>
  <c r="Q46" i="7"/>
  <c r="K46" i="7"/>
  <c r="J46" i="7"/>
  <c r="T46" i="7" s="1"/>
  <c r="I46" i="7"/>
  <c r="S46" i="7" s="1"/>
  <c r="H46" i="7"/>
  <c r="R46" i="7" s="1"/>
  <c r="G46" i="7"/>
  <c r="S45" i="7"/>
  <c r="K45" i="7"/>
  <c r="U45" i="7" s="1"/>
  <c r="J45" i="7"/>
  <c r="T45" i="7" s="1"/>
  <c r="I45" i="7"/>
  <c r="H45" i="7"/>
  <c r="R45" i="7" s="1"/>
  <c r="G45" i="7"/>
  <c r="Q45" i="7" s="1"/>
  <c r="U44" i="7"/>
  <c r="S44" i="7"/>
  <c r="Q44" i="7"/>
  <c r="K44" i="7"/>
  <c r="J44" i="7"/>
  <c r="T44" i="7" s="1"/>
  <c r="I44" i="7"/>
  <c r="H44" i="7"/>
  <c r="R44" i="7" s="1"/>
  <c r="G44" i="7"/>
  <c r="U43" i="7"/>
  <c r="K43" i="7"/>
  <c r="J43" i="7"/>
  <c r="T43" i="7" s="1"/>
  <c r="I43" i="7"/>
  <c r="S43" i="7" s="1"/>
  <c r="H43" i="7"/>
  <c r="R43" i="7" s="1"/>
  <c r="G43" i="7"/>
  <c r="Q43" i="7" s="1"/>
  <c r="U42" i="7"/>
  <c r="K42" i="7"/>
  <c r="J42" i="7"/>
  <c r="T42" i="7" s="1"/>
  <c r="I42" i="7"/>
  <c r="S42" i="7" s="1"/>
  <c r="H42" i="7"/>
  <c r="R42" i="7" s="1"/>
  <c r="G42" i="7"/>
  <c r="Q42" i="7" s="1"/>
  <c r="S41" i="7"/>
  <c r="Q41" i="7"/>
  <c r="K41" i="7"/>
  <c r="U41" i="7" s="1"/>
  <c r="J41" i="7"/>
  <c r="T41" i="7" s="1"/>
  <c r="I41" i="7"/>
  <c r="H41" i="7"/>
  <c r="R41" i="7" s="1"/>
  <c r="G41" i="7"/>
  <c r="R40" i="7"/>
  <c r="K40" i="7"/>
  <c r="U40" i="7" s="1"/>
  <c r="J40" i="7"/>
  <c r="T40" i="7" s="1"/>
  <c r="I40" i="7"/>
  <c r="S40" i="7" s="1"/>
  <c r="H40" i="7"/>
  <c r="G40" i="7"/>
  <c r="Q40" i="7" s="1"/>
  <c r="T39" i="7"/>
  <c r="K39" i="7"/>
  <c r="U39" i="7" s="1"/>
  <c r="J39" i="7"/>
  <c r="I39" i="7"/>
  <c r="S39" i="7" s="1"/>
  <c r="H39" i="7"/>
  <c r="R39" i="7" s="1"/>
  <c r="G39" i="7"/>
  <c r="Q39" i="7" s="1"/>
  <c r="U38" i="7"/>
  <c r="Q38" i="7"/>
  <c r="K38" i="7"/>
  <c r="J38" i="7"/>
  <c r="T38" i="7" s="1"/>
  <c r="I38" i="7"/>
  <c r="S38" i="7" s="1"/>
  <c r="H38" i="7"/>
  <c r="R38" i="7" s="1"/>
  <c r="G38" i="7"/>
  <c r="K37" i="7"/>
  <c r="U37" i="7" s="1"/>
  <c r="J37" i="7"/>
  <c r="T37" i="7" s="1"/>
  <c r="I37" i="7"/>
  <c r="S37" i="7" s="1"/>
  <c r="H37" i="7"/>
  <c r="R37" i="7" s="1"/>
  <c r="G37" i="7"/>
  <c r="Q37" i="7" s="1"/>
  <c r="U36" i="7"/>
  <c r="Q36" i="7"/>
  <c r="K36" i="7"/>
  <c r="J36" i="7"/>
  <c r="T36" i="7" s="1"/>
  <c r="I36" i="7"/>
  <c r="S36" i="7" s="1"/>
  <c r="H36" i="7"/>
  <c r="R36" i="7" s="1"/>
  <c r="G36" i="7"/>
  <c r="U35" i="7"/>
  <c r="S35" i="7"/>
  <c r="K35" i="7"/>
  <c r="J35" i="7"/>
  <c r="T35" i="7" s="1"/>
  <c r="I35" i="7"/>
  <c r="H35" i="7"/>
  <c r="R35" i="7" s="1"/>
  <c r="G35" i="7"/>
  <c r="Q35" i="7" s="1"/>
  <c r="K34" i="7"/>
  <c r="U34" i="7" s="1"/>
  <c r="J34" i="7"/>
  <c r="T34" i="7" s="1"/>
  <c r="I34" i="7"/>
  <c r="S34" i="7" s="1"/>
  <c r="H34" i="7"/>
  <c r="R34" i="7" s="1"/>
  <c r="G34" i="7"/>
  <c r="Q34" i="7" s="1"/>
  <c r="S33" i="7"/>
  <c r="K33" i="7"/>
  <c r="U33" i="7" s="1"/>
  <c r="J33" i="7"/>
  <c r="T33" i="7" s="1"/>
  <c r="I33" i="7"/>
  <c r="H33" i="7"/>
  <c r="R33" i="7" s="1"/>
  <c r="G33" i="7"/>
  <c r="Q33" i="7" s="1"/>
  <c r="S32" i="7"/>
  <c r="K32" i="7"/>
  <c r="U32" i="7" s="1"/>
  <c r="J32" i="7"/>
  <c r="T32" i="7" s="1"/>
  <c r="I32" i="7"/>
  <c r="H32" i="7"/>
  <c r="R32" i="7" s="1"/>
  <c r="G32" i="7"/>
  <c r="Q32" i="7" s="1"/>
  <c r="K31" i="7"/>
  <c r="U31" i="7" s="1"/>
  <c r="J31" i="7"/>
  <c r="T31" i="7" s="1"/>
  <c r="I31" i="7"/>
  <c r="S31" i="7" s="1"/>
  <c r="H31" i="7"/>
  <c r="R31" i="7" s="1"/>
  <c r="G31" i="7"/>
  <c r="Q31" i="7" s="1"/>
  <c r="U30" i="7"/>
  <c r="K30" i="7"/>
  <c r="J30" i="7"/>
  <c r="T30" i="7" s="1"/>
  <c r="I30" i="7"/>
  <c r="S30" i="7" s="1"/>
  <c r="H30" i="7"/>
  <c r="R30" i="7" s="1"/>
  <c r="G30" i="7"/>
  <c r="Q30" i="7" s="1"/>
  <c r="Q29" i="7"/>
  <c r="K29" i="7"/>
  <c r="U29" i="7" s="1"/>
  <c r="J29" i="7"/>
  <c r="T29" i="7" s="1"/>
  <c r="I29" i="7"/>
  <c r="S29" i="7" s="1"/>
  <c r="H29" i="7"/>
  <c r="R29" i="7" s="1"/>
  <c r="G29" i="7"/>
  <c r="U28" i="7"/>
  <c r="S28" i="7"/>
  <c r="R28" i="7"/>
  <c r="K28" i="7"/>
  <c r="J28" i="7"/>
  <c r="T28" i="7" s="1"/>
  <c r="I28" i="7"/>
  <c r="H28" i="7"/>
  <c r="G28" i="7"/>
  <c r="Q28" i="7" s="1"/>
  <c r="U27" i="7"/>
  <c r="K27" i="7"/>
  <c r="J27" i="7"/>
  <c r="T27" i="7" s="1"/>
  <c r="I27" i="7"/>
  <c r="S27" i="7" s="1"/>
  <c r="H27" i="7"/>
  <c r="R27" i="7" s="1"/>
  <c r="G27" i="7"/>
  <c r="Q27" i="7" s="1"/>
  <c r="U26" i="7"/>
  <c r="Q26" i="7"/>
  <c r="K26" i="7"/>
  <c r="J26" i="7"/>
  <c r="T26" i="7" s="1"/>
  <c r="I26" i="7"/>
  <c r="S26" i="7" s="1"/>
  <c r="H26" i="7"/>
  <c r="R26" i="7" s="1"/>
  <c r="G26" i="7"/>
  <c r="S25" i="7"/>
  <c r="Q25" i="7"/>
  <c r="K25" i="7"/>
  <c r="U25" i="7" s="1"/>
  <c r="J25" i="7"/>
  <c r="T25" i="7" s="1"/>
  <c r="I25" i="7"/>
  <c r="H25" i="7"/>
  <c r="R25" i="7" s="1"/>
  <c r="G25" i="7"/>
  <c r="U24" i="7"/>
  <c r="R24" i="7"/>
  <c r="Q24" i="7"/>
  <c r="K24" i="7"/>
  <c r="J24" i="7"/>
  <c r="T24" i="7" s="1"/>
  <c r="I24" i="7"/>
  <c r="S24" i="7" s="1"/>
  <c r="H24" i="7"/>
  <c r="G24" i="7"/>
  <c r="U23" i="7"/>
  <c r="T23" i="7"/>
  <c r="K23" i="7"/>
  <c r="J23" i="7"/>
  <c r="I23" i="7"/>
  <c r="S23" i="7" s="1"/>
  <c r="H23" i="7"/>
  <c r="R23" i="7" s="1"/>
  <c r="G23" i="7"/>
  <c r="Q23" i="7" s="1"/>
  <c r="Q22" i="7"/>
  <c r="K22" i="7"/>
  <c r="U22" i="7" s="1"/>
  <c r="J22" i="7"/>
  <c r="T22" i="7" s="1"/>
  <c r="I22" i="7"/>
  <c r="S22" i="7" s="1"/>
  <c r="H22" i="7"/>
  <c r="R22" i="7" s="1"/>
  <c r="G22" i="7"/>
  <c r="S21" i="7"/>
  <c r="K21" i="7"/>
  <c r="U21" i="7" s="1"/>
  <c r="J21" i="7"/>
  <c r="T21" i="7" s="1"/>
  <c r="I21" i="7"/>
  <c r="H21" i="7"/>
  <c r="R21" i="7" s="1"/>
  <c r="G21" i="7"/>
  <c r="Q21" i="7" s="1"/>
  <c r="S20" i="7"/>
  <c r="Q20" i="7"/>
  <c r="K20" i="7"/>
  <c r="U20" i="7" s="1"/>
  <c r="J20" i="7"/>
  <c r="T20" i="7" s="1"/>
  <c r="I20" i="7"/>
  <c r="H20" i="7"/>
  <c r="R20" i="7" s="1"/>
  <c r="G20" i="7"/>
  <c r="S19" i="7"/>
  <c r="K19" i="7"/>
  <c r="U19" i="7" s="1"/>
  <c r="J19" i="7"/>
  <c r="T19" i="7" s="1"/>
  <c r="I19" i="7"/>
  <c r="H19" i="7"/>
  <c r="R19" i="7" s="1"/>
  <c r="G19" i="7"/>
  <c r="Q19" i="7" s="1"/>
  <c r="K18" i="7"/>
  <c r="U18" i="7" s="1"/>
  <c r="J18" i="7"/>
  <c r="T18" i="7" s="1"/>
  <c r="I18" i="7"/>
  <c r="S18" i="7" s="1"/>
  <c r="H18" i="7"/>
  <c r="R18" i="7" s="1"/>
  <c r="G18" i="7"/>
  <c r="Q18" i="7" s="1"/>
  <c r="Q17" i="7"/>
  <c r="K17" i="7"/>
  <c r="U17" i="7" s="1"/>
  <c r="J17" i="7"/>
  <c r="T17" i="7" s="1"/>
  <c r="I17" i="7"/>
  <c r="S17" i="7" s="1"/>
  <c r="H17" i="7"/>
  <c r="R17" i="7" s="1"/>
  <c r="G17" i="7"/>
  <c r="U16" i="7"/>
  <c r="R16" i="7"/>
  <c r="K16" i="7"/>
  <c r="J16" i="7"/>
  <c r="T16" i="7" s="1"/>
  <c r="I16" i="7"/>
  <c r="S16" i="7" s="1"/>
  <c r="H16" i="7"/>
  <c r="G16" i="7"/>
  <c r="Q16" i="7" s="1"/>
  <c r="K15" i="7"/>
  <c r="U15" i="7" s="1"/>
  <c r="J15" i="7"/>
  <c r="T15" i="7" s="1"/>
  <c r="I15" i="7"/>
  <c r="S15" i="7" s="1"/>
  <c r="H15" i="7"/>
  <c r="R15" i="7" s="1"/>
  <c r="G15" i="7"/>
  <c r="Q15" i="7" s="1"/>
  <c r="U14" i="7"/>
  <c r="Q14" i="7"/>
  <c r="K14" i="7"/>
  <c r="J14" i="7"/>
  <c r="T14" i="7" s="1"/>
  <c r="I14" i="7"/>
  <c r="S14" i="7" s="1"/>
  <c r="H14" i="7"/>
  <c r="R14" i="7" s="1"/>
  <c r="G14" i="7"/>
  <c r="S13" i="7"/>
  <c r="K13" i="7"/>
  <c r="U13" i="7" s="1"/>
  <c r="J13" i="7"/>
  <c r="T13" i="7" s="1"/>
  <c r="I13" i="7"/>
  <c r="H13" i="7"/>
  <c r="R13" i="7" s="1"/>
  <c r="G13" i="7"/>
  <c r="Q13" i="7" s="1"/>
  <c r="U12" i="7"/>
  <c r="S12" i="7"/>
  <c r="Q12" i="7"/>
  <c r="K12" i="7"/>
  <c r="J12" i="7"/>
  <c r="T12" i="7" s="1"/>
  <c r="I12" i="7"/>
  <c r="H12" i="7"/>
  <c r="R12" i="7" s="1"/>
  <c r="G12" i="7"/>
  <c r="U11" i="7"/>
  <c r="K11" i="7"/>
  <c r="J11" i="7"/>
  <c r="T11" i="7" s="1"/>
  <c r="I11" i="7"/>
  <c r="S11" i="7" s="1"/>
  <c r="H11" i="7"/>
  <c r="R11" i="7" s="1"/>
  <c r="G11" i="7"/>
  <c r="Q11" i="7" s="1"/>
  <c r="U10" i="7"/>
  <c r="K10" i="7"/>
  <c r="J10" i="7"/>
  <c r="T10" i="7" s="1"/>
  <c r="I10" i="7"/>
  <c r="S10" i="7" s="1"/>
  <c r="H10" i="7"/>
  <c r="R10" i="7" s="1"/>
  <c r="G10" i="7"/>
  <c r="Q10" i="7" s="1"/>
  <c r="S9" i="7"/>
  <c r="Q9" i="7"/>
  <c r="K9" i="7"/>
  <c r="U9" i="7" s="1"/>
  <c r="J9" i="7"/>
  <c r="T9" i="7" s="1"/>
  <c r="I9" i="7"/>
  <c r="H9" i="7"/>
  <c r="R9" i="7" s="1"/>
  <c r="G9" i="7"/>
  <c r="R8" i="7"/>
  <c r="K8" i="7"/>
  <c r="U8" i="7" s="1"/>
  <c r="J8" i="7"/>
  <c r="T8" i="7" s="1"/>
  <c r="I8" i="7"/>
  <c r="S8" i="7" s="1"/>
  <c r="H8" i="7"/>
  <c r="G8" i="7"/>
  <c r="Q8" i="7" s="1"/>
  <c r="T7" i="7"/>
  <c r="K7" i="7"/>
  <c r="U7" i="7" s="1"/>
  <c r="J7" i="7"/>
  <c r="I7" i="7"/>
  <c r="S7" i="7" s="1"/>
  <c r="H7" i="7"/>
  <c r="R7" i="7" s="1"/>
  <c r="G7" i="7"/>
  <c r="Q7" i="7" s="1"/>
  <c r="U6" i="7"/>
  <c r="Q6" i="7"/>
  <c r="K6" i="7"/>
  <c r="J6" i="7"/>
  <c r="T6" i="7" s="1"/>
  <c r="I6" i="7"/>
  <c r="S6" i="7" s="1"/>
  <c r="H6" i="7"/>
  <c r="R6" i="7" s="1"/>
  <c r="G6" i="7"/>
  <c r="K5" i="7"/>
  <c r="U5" i="7" s="1"/>
  <c r="J5" i="7"/>
  <c r="T5" i="7" s="1"/>
  <c r="I5" i="7"/>
  <c r="S5" i="7" s="1"/>
  <c r="H5" i="7"/>
  <c r="R5" i="7" s="1"/>
  <c r="G5" i="7"/>
  <c r="Q5" i="7" s="1"/>
  <c r="U4" i="7"/>
  <c r="Q4" i="7"/>
  <c r="K4" i="7"/>
  <c r="J4" i="7"/>
  <c r="T4" i="7" s="1"/>
  <c r="I4" i="7"/>
  <c r="S4" i="7" s="1"/>
  <c r="H4" i="7"/>
  <c r="R4" i="7" s="1"/>
  <c r="G4" i="7"/>
  <c r="U3" i="7"/>
  <c r="S3" i="7"/>
  <c r="K3" i="7"/>
  <c r="J3" i="7"/>
  <c r="T3" i="7" s="1"/>
  <c r="I3" i="7"/>
  <c r="H3" i="7"/>
  <c r="R3" i="7" s="1"/>
  <c r="G3" i="7"/>
  <c r="Q3" i="7" s="1"/>
  <c r="K65" i="6"/>
  <c r="U65" i="6" s="1"/>
  <c r="J65" i="6"/>
  <c r="T65" i="6" s="1"/>
  <c r="I65" i="6"/>
  <c r="S65" i="6" s="1"/>
  <c r="H65" i="6"/>
  <c r="R65" i="6" s="1"/>
  <c r="G65" i="6"/>
  <c r="Q65" i="6" s="1"/>
  <c r="S64" i="6"/>
  <c r="K64" i="6"/>
  <c r="U64" i="6" s="1"/>
  <c r="J64" i="6"/>
  <c r="T64" i="6" s="1"/>
  <c r="I64" i="6"/>
  <c r="H64" i="6"/>
  <c r="R64" i="6" s="1"/>
  <c r="G64" i="6"/>
  <c r="Q64" i="6" s="1"/>
  <c r="S63" i="6"/>
  <c r="K63" i="6"/>
  <c r="U63" i="6" s="1"/>
  <c r="J63" i="6"/>
  <c r="T63" i="6" s="1"/>
  <c r="I63" i="6"/>
  <c r="H63" i="6"/>
  <c r="R63" i="6" s="1"/>
  <c r="G63" i="6"/>
  <c r="Q63" i="6" s="1"/>
  <c r="K62" i="6"/>
  <c r="U62" i="6" s="1"/>
  <c r="J62" i="6"/>
  <c r="T62" i="6" s="1"/>
  <c r="I62" i="6"/>
  <c r="S62" i="6" s="1"/>
  <c r="H62" i="6"/>
  <c r="R62" i="6" s="1"/>
  <c r="G62" i="6"/>
  <c r="Q62" i="6" s="1"/>
  <c r="U61" i="6"/>
  <c r="K61" i="6"/>
  <c r="J61" i="6"/>
  <c r="T61" i="6" s="1"/>
  <c r="I61" i="6"/>
  <c r="S61" i="6" s="1"/>
  <c r="H61" i="6"/>
  <c r="R61" i="6" s="1"/>
  <c r="G61" i="6"/>
  <c r="Q61" i="6" s="1"/>
  <c r="Q60" i="6"/>
  <c r="K60" i="6"/>
  <c r="U60" i="6" s="1"/>
  <c r="J60" i="6"/>
  <c r="T60" i="6" s="1"/>
  <c r="I60" i="6"/>
  <c r="S60" i="6" s="1"/>
  <c r="H60" i="6"/>
  <c r="R60" i="6" s="1"/>
  <c r="G60" i="6"/>
  <c r="U59" i="6"/>
  <c r="S59" i="6"/>
  <c r="R59" i="6"/>
  <c r="K59" i="6"/>
  <c r="J59" i="6"/>
  <c r="T59" i="6" s="1"/>
  <c r="I59" i="6"/>
  <c r="H59" i="6"/>
  <c r="G59" i="6"/>
  <c r="Q59" i="6" s="1"/>
  <c r="U58" i="6"/>
  <c r="K58" i="6"/>
  <c r="J58" i="6"/>
  <c r="T58" i="6" s="1"/>
  <c r="I58" i="6"/>
  <c r="S58" i="6" s="1"/>
  <c r="H58" i="6"/>
  <c r="R58" i="6" s="1"/>
  <c r="G58" i="6"/>
  <c r="Q58" i="6" s="1"/>
  <c r="U57" i="6"/>
  <c r="Q57" i="6"/>
  <c r="K57" i="6"/>
  <c r="J57" i="6"/>
  <c r="T57" i="6" s="1"/>
  <c r="I57" i="6"/>
  <c r="S57" i="6" s="1"/>
  <c r="H57" i="6"/>
  <c r="R57" i="6" s="1"/>
  <c r="G57" i="6"/>
  <c r="S56" i="6"/>
  <c r="Q56" i="6"/>
  <c r="K56" i="6"/>
  <c r="U56" i="6" s="1"/>
  <c r="J56" i="6"/>
  <c r="T56" i="6" s="1"/>
  <c r="I56" i="6"/>
  <c r="H56" i="6"/>
  <c r="R56" i="6" s="1"/>
  <c r="G56" i="6"/>
  <c r="U55" i="6"/>
  <c r="R55" i="6"/>
  <c r="Q55" i="6"/>
  <c r="K55" i="6"/>
  <c r="J55" i="6"/>
  <c r="T55" i="6" s="1"/>
  <c r="I55" i="6"/>
  <c r="S55" i="6" s="1"/>
  <c r="H55" i="6"/>
  <c r="G55" i="6"/>
  <c r="U54" i="6"/>
  <c r="T54" i="6"/>
  <c r="K54" i="6"/>
  <c r="J54" i="6"/>
  <c r="I54" i="6"/>
  <c r="S54" i="6" s="1"/>
  <c r="H54" i="6"/>
  <c r="R54" i="6" s="1"/>
  <c r="G54" i="6"/>
  <c r="Q54" i="6" s="1"/>
  <c r="Q53" i="6"/>
  <c r="K53" i="6"/>
  <c r="U53" i="6" s="1"/>
  <c r="J53" i="6"/>
  <c r="T53" i="6" s="1"/>
  <c r="I53" i="6"/>
  <c r="S53" i="6" s="1"/>
  <c r="H53" i="6"/>
  <c r="R53" i="6" s="1"/>
  <c r="G53" i="6"/>
  <c r="S52" i="6"/>
  <c r="K52" i="6"/>
  <c r="U52" i="6" s="1"/>
  <c r="J52" i="6"/>
  <c r="T52" i="6" s="1"/>
  <c r="I52" i="6"/>
  <c r="H52" i="6"/>
  <c r="R52" i="6" s="1"/>
  <c r="G52" i="6"/>
  <c r="Q52" i="6" s="1"/>
  <c r="S51" i="6"/>
  <c r="Q51" i="6"/>
  <c r="K51" i="6"/>
  <c r="U51" i="6" s="1"/>
  <c r="J51" i="6"/>
  <c r="T51" i="6" s="1"/>
  <c r="I51" i="6"/>
  <c r="H51" i="6"/>
  <c r="R51" i="6" s="1"/>
  <c r="G51" i="6"/>
  <c r="S50" i="6"/>
  <c r="K50" i="6"/>
  <c r="U50" i="6" s="1"/>
  <c r="J50" i="6"/>
  <c r="T50" i="6" s="1"/>
  <c r="I50" i="6"/>
  <c r="H50" i="6"/>
  <c r="R50" i="6" s="1"/>
  <c r="G50" i="6"/>
  <c r="Q50" i="6" s="1"/>
  <c r="K49" i="6"/>
  <c r="U49" i="6" s="1"/>
  <c r="J49" i="6"/>
  <c r="T49" i="6" s="1"/>
  <c r="I49" i="6"/>
  <c r="S49" i="6" s="1"/>
  <c r="H49" i="6"/>
  <c r="R49" i="6" s="1"/>
  <c r="G49" i="6"/>
  <c r="Q49" i="6" s="1"/>
  <c r="Q48" i="6"/>
  <c r="K48" i="6"/>
  <c r="U48" i="6" s="1"/>
  <c r="J48" i="6"/>
  <c r="T48" i="6" s="1"/>
  <c r="I48" i="6"/>
  <c r="S48" i="6" s="1"/>
  <c r="H48" i="6"/>
  <c r="R48" i="6" s="1"/>
  <c r="G48" i="6"/>
  <c r="U47" i="6"/>
  <c r="R47" i="6"/>
  <c r="K47" i="6"/>
  <c r="J47" i="6"/>
  <c r="T47" i="6" s="1"/>
  <c r="I47" i="6"/>
  <c r="S47" i="6" s="1"/>
  <c r="H47" i="6"/>
  <c r="G47" i="6"/>
  <c r="Q47" i="6" s="1"/>
  <c r="K46" i="6"/>
  <c r="U46" i="6" s="1"/>
  <c r="J46" i="6"/>
  <c r="T46" i="6" s="1"/>
  <c r="I46" i="6"/>
  <c r="S46" i="6" s="1"/>
  <c r="H46" i="6"/>
  <c r="R46" i="6" s="1"/>
  <c r="G46" i="6"/>
  <c r="Q46" i="6" s="1"/>
  <c r="U45" i="6"/>
  <c r="Q45" i="6"/>
  <c r="K45" i="6"/>
  <c r="J45" i="6"/>
  <c r="T45" i="6" s="1"/>
  <c r="I45" i="6"/>
  <c r="S45" i="6" s="1"/>
  <c r="H45" i="6"/>
  <c r="R45" i="6" s="1"/>
  <c r="G45" i="6"/>
  <c r="S44" i="6"/>
  <c r="K44" i="6"/>
  <c r="U44" i="6" s="1"/>
  <c r="J44" i="6"/>
  <c r="T44" i="6" s="1"/>
  <c r="I44" i="6"/>
  <c r="H44" i="6"/>
  <c r="R44" i="6" s="1"/>
  <c r="G44" i="6"/>
  <c r="Q44" i="6" s="1"/>
  <c r="U43" i="6"/>
  <c r="S43" i="6"/>
  <c r="Q43" i="6"/>
  <c r="K43" i="6"/>
  <c r="J43" i="6"/>
  <c r="T43" i="6" s="1"/>
  <c r="I43" i="6"/>
  <c r="H43" i="6"/>
  <c r="R43" i="6" s="1"/>
  <c r="G43" i="6"/>
  <c r="U42" i="6"/>
  <c r="K42" i="6"/>
  <c r="J42" i="6"/>
  <c r="T42" i="6" s="1"/>
  <c r="I42" i="6"/>
  <c r="S42" i="6" s="1"/>
  <c r="H42" i="6"/>
  <c r="R42" i="6" s="1"/>
  <c r="G42" i="6"/>
  <c r="Q42" i="6" s="1"/>
  <c r="U41" i="6"/>
  <c r="K41" i="6"/>
  <c r="J41" i="6"/>
  <c r="T41" i="6" s="1"/>
  <c r="I41" i="6"/>
  <c r="S41" i="6" s="1"/>
  <c r="H41" i="6"/>
  <c r="R41" i="6" s="1"/>
  <c r="G41" i="6"/>
  <c r="Q41" i="6" s="1"/>
  <c r="S40" i="6"/>
  <c r="Q40" i="6"/>
  <c r="K40" i="6"/>
  <c r="U40" i="6" s="1"/>
  <c r="J40" i="6"/>
  <c r="T40" i="6" s="1"/>
  <c r="I40" i="6"/>
  <c r="H40" i="6"/>
  <c r="R40" i="6" s="1"/>
  <c r="G40" i="6"/>
  <c r="R39" i="6"/>
  <c r="K39" i="6"/>
  <c r="U39" i="6" s="1"/>
  <c r="J39" i="6"/>
  <c r="T39" i="6" s="1"/>
  <c r="I39" i="6"/>
  <c r="S39" i="6" s="1"/>
  <c r="H39" i="6"/>
  <c r="G39" i="6"/>
  <c r="Q39" i="6" s="1"/>
  <c r="T38" i="6"/>
  <c r="K38" i="6"/>
  <c r="U38" i="6" s="1"/>
  <c r="J38" i="6"/>
  <c r="I38" i="6"/>
  <c r="S38" i="6" s="1"/>
  <c r="H38" i="6"/>
  <c r="R38" i="6" s="1"/>
  <c r="G38" i="6"/>
  <c r="Q38" i="6" s="1"/>
  <c r="U37" i="6"/>
  <c r="Q37" i="6"/>
  <c r="K37" i="6"/>
  <c r="J37" i="6"/>
  <c r="T37" i="6" s="1"/>
  <c r="I37" i="6"/>
  <c r="S37" i="6" s="1"/>
  <c r="H37" i="6"/>
  <c r="R37" i="6" s="1"/>
  <c r="G37" i="6"/>
  <c r="K36" i="6"/>
  <c r="U36" i="6" s="1"/>
  <c r="J36" i="6"/>
  <c r="T36" i="6" s="1"/>
  <c r="I36" i="6"/>
  <c r="S36" i="6" s="1"/>
  <c r="H36" i="6"/>
  <c r="R36" i="6" s="1"/>
  <c r="G36" i="6"/>
  <c r="Q36" i="6" s="1"/>
  <c r="U35" i="6"/>
  <c r="S35" i="6"/>
  <c r="Q35" i="6"/>
  <c r="K35" i="6"/>
  <c r="J35" i="6"/>
  <c r="T35" i="6" s="1"/>
  <c r="I35" i="6"/>
  <c r="H35" i="6"/>
  <c r="R35" i="6" s="1"/>
  <c r="G35" i="6"/>
  <c r="U34" i="6"/>
  <c r="S34" i="6"/>
  <c r="K34" i="6"/>
  <c r="J34" i="6"/>
  <c r="T34" i="6" s="1"/>
  <c r="I34" i="6"/>
  <c r="H34" i="6"/>
  <c r="R34" i="6" s="1"/>
  <c r="G34" i="6"/>
  <c r="Q34" i="6" s="1"/>
  <c r="K33" i="6"/>
  <c r="U33" i="6" s="1"/>
  <c r="J33" i="6"/>
  <c r="T33" i="6" s="1"/>
  <c r="I33" i="6"/>
  <c r="S33" i="6" s="1"/>
  <c r="H33" i="6"/>
  <c r="R33" i="6" s="1"/>
  <c r="G33" i="6"/>
  <c r="Q33" i="6" s="1"/>
  <c r="S32" i="6"/>
  <c r="K32" i="6"/>
  <c r="U32" i="6" s="1"/>
  <c r="J32" i="6"/>
  <c r="T32" i="6" s="1"/>
  <c r="I32" i="6"/>
  <c r="H32" i="6"/>
  <c r="R32" i="6" s="1"/>
  <c r="G32" i="6"/>
  <c r="Q32" i="6" s="1"/>
  <c r="S31" i="6"/>
  <c r="K31" i="6"/>
  <c r="U31" i="6" s="1"/>
  <c r="J31" i="6"/>
  <c r="T31" i="6" s="1"/>
  <c r="I31" i="6"/>
  <c r="H31" i="6"/>
  <c r="R31" i="6" s="1"/>
  <c r="G31" i="6"/>
  <c r="Q31" i="6" s="1"/>
  <c r="K30" i="6"/>
  <c r="U30" i="6" s="1"/>
  <c r="J30" i="6"/>
  <c r="T30" i="6" s="1"/>
  <c r="I30" i="6"/>
  <c r="S30" i="6" s="1"/>
  <c r="H30" i="6"/>
  <c r="R30" i="6" s="1"/>
  <c r="G30" i="6"/>
  <c r="Q30" i="6" s="1"/>
  <c r="U29" i="6"/>
  <c r="K29" i="6"/>
  <c r="J29" i="6"/>
  <c r="T29" i="6" s="1"/>
  <c r="I29" i="6"/>
  <c r="S29" i="6" s="1"/>
  <c r="H29" i="6"/>
  <c r="R29" i="6" s="1"/>
  <c r="G29" i="6"/>
  <c r="Q29" i="6" s="1"/>
  <c r="Q28" i="6"/>
  <c r="K28" i="6"/>
  <c r="U28" i="6" s="1"/>
  <c r="J28" i="6"/>
  <c r="T28" i="6" s="1"/>
  <c r="I28" i="6"/>
  <c r="S28" i="6" s="1"/>
  <c r="H28" i="6"/>
  <c r="R28" i="6" s="1"/>
  <c r="G28" i="6"/>
  <c r="U27" i="6"/>
  <c r="S27" i="6"/>
  <c r="R27" i="6"/>
  <c r="K27" i="6"/>
  <c r="J27" i="6"/>
  <c r="T27" i="6" s="1"/>
  <c r="I27" i="6"/>
  <c r="H27" i="6"/>
  <c r="G27" i="6"/>
  <c r="Q27" i="6" s="1"/>
  <c r="U26" i="6"/>
  <c r="K26" i="6"/>
  <c r="J26" i="6"/>
  <c r="T26" i="6" s="1"/>
  <c r="I26" i="6"/>
  <c r="S26" i="6" s="1"/>
  <c r="H26" i="6"/>
  <c r="R26" i="6" s="1"/>
  <c r="G26" i="6"/>
  <c r="Q26" i="6" s="1"/>
  <c r="U25" i="6"/>
  <c r="Q25" i="6"/>
  <c r="K25" i="6"/>
  <c r="J25" i="6"/>
  <c r="T25" i="6" s="1"/>
  <c r="I25" i="6"/>
  <c r="S25" i="6" s="1"/>
  <c r="H25" i="6"/>
  <c r="R25" i="6" s="1"/>
  <c r="G25" i="6"/>
  <c r="S24" i="6"/>
  <c r="Q24" i="6"/>
  <c r="K24" i="6"/>
  <c r="U24" i="6" s="1"/>
  <c r="J24" i="6"/>
  <c r="T24" i="6" s="1"/>
  <c r="I24" i="6"/>
  <c r="H24" i="6"/>
  <c r="R24" i="6" s="1"/>
  <c r="G24" i="6"/>
  <c r="U23" i="6"/>
  <c r="R23" i="6"/>
  <c r="Q23" i="6"/>
  <c r="K23" i="6"/>
  <c r="J23" i="6"/>
  <c r="T23" i="6" s="1"/>
  <c r="I23" i="6"/>
  <c r="S23" i="6" s="1"/>
  <c r="H23" i="6"/>
  <c r="G23" i="6"/>
  <c r="U22" i="6"/>
  <c r="T22" i="6"/>
  <c r="K22" i="6"/>
  <c r="J22" i="6"/>
  <c r="I22" i="6"/>
  <c r="S22" i="6" s="1"/>
  <c r="H22" i="6"/>
  <c r="R22" i="6" s="1"/>
  <c r="G22" i="6"/>
  <c r="Q22" i="6" s="1"/>
  <c r="Q21" i="6"/>
  <c r="K21" i="6"/>
  <c r="U21" i="6" s="1"/>
  <c r="J21" i="6"/>
  <c r="T21" i="6" s="1"/>
  <c r="I21" i="6"/>
  <c r="S21" i="6" s="1"/>
  <c r="H21" i="6"/>
  <c r="R21" i="6" s="1"/>
  <c r="G21" i="6"/>
  <c r="S20" i="6"/>
  <c r="K20" i="6"/>
  <c r="U20" i="6" s="1"/>
  <c r="J20" i="6"/>
  <c r="T20" i="6" s="1"/>
  <c r="I20" i="6"/>
  <c r="H20" i="6"/>
  <c r="R20" i="6" s="1"/>
  <c r="G20" i="6"/>
  <c r="Q20" i="6" s="1"/>
  <c r="S19" i="6"/>
  <c r="Q19" i="6"/>
  <c r="K19" i="6"/>
  <c r="U19" i="6" s="1"/>
  <c r="J19" i="6"/>
  <c r="T19" i="6" s="1"/>
  <c r="I19" i="6"/>
  <c r="H19" i="6"/>
  <c r="R19" i="6" s="1"/>
  <c r="G19" i="6"/>
  <c r="S18" i="6"/>
  <c r="K18" i="6"/>
  <c r="U18" i="6" s="1"/>
  <c r="J18" i="6"/>
  <c r="T18" i="6" s="1"/>
  <c r="I18" i="6"/>
  <c r="H18" i="6"/>
  <c r="R18" i="6" s="1"/>
  <c r="G18" i="6"/>
  <c r="Q18" i="6" s="1"/>
  <c r="K17" i="6"/>
  <c r="U17" i="6" s="1"/>
  <c r="J17" i="6"/>
  <c r="T17" i="6" s="1"/>
  <c r="I17" i="6"/>
  <c r="S17" i="6" s="1"/>
  <c r="H17" i="6"/>
  <c r="R17" i="6" s="1"/>
  <c r="G17" i="6"/>
  <c r="Q17" i="6" s="1"/>
  <c r="Q16" i="6"/>
  <c r="K16" i="6"/>
  <c r="U16" i="6" s="1"/>
  <c r="J16" i="6"/>
  <c r="T16" i="6" s="1"/>
  <c r="I16" i="6"/>
  <c r="S16" i="6" s="1"/>
  <c r="H16" i="6"/>
  <c r="R16" i="6" s="1"/>
  <c r="G16" i="6"/>
  <c r="U15" i="6"/>
  <c r="R15" i="6"/>
  <c r="K15" i="6"/>
  <c r="J15" i="6"/>
  <c r="T15" i="6" s="1"/>
  <c r="I15" i="6"/>
  <c r="S15" i="6" s="1"/>
  <c r="H15" i="6"/>
  <c r="G15" i="6"/>
  <c r="Q15" i="6" s="1"/>
  <c r="U14" i="6"/>
  <c r="K14" i="6"/>
  <c r="J14" i="6"/>
  <c r="T14" i="6" s="1"/>
  <c r="I14" i="6"/>
  <c r="S14" i="6" s="1"/>
  <c r="H14" i="6"/>
  <c r="R14" i="6" s="1"/>
  <c r="G14" i="6"/>
  <c r="Q14" i="6" s="1"/>
  <c r="Q13" i="6"/>
  <c r="K13" i="6"/>
  <c r="U13" i="6" s="1"/>
  <c r="J13" i="6"/>
  <c r="T13" i="6" s="1"/>
  <c r="I13" i="6"/>
  <c r="S13" i="6" s="1"/>
  <c r="H13" i="6"/>
  <c r="R13" i="6" s="1"/>
  <c r="G13" i="6"/>
  <c r="S12" i="6"/>
  <c r="Q12" i="6"/>
  <c r="K12" i="6"/>
  <c r="U12" i="6" s="1"/>
  <c r="J12" i="6"/>
  <c r="T12" i="6" s="1"/>
  <c r="I12" i="6"/>
  <c r="H12" i="6"/>
  <c r="R12" i="6" s="1"/>
  <c r="G12" i="6"/>
  <c r="T11" i="6"/>
  <c r="S11" i="6"/>
  <c r="K11" i="6"/>
  <c r="U11" i="6" s="1"/>
  <c r="J11" i="6"/>
  <c r="I11" i="6"/>
  <c r="H11" i="6"/>
  <c r="R11" i="6" s="1"/>
  <c r="G11" i="6"/>
  <c r="Q11" i="6" s="1"/>
  <c r="T10" i="6"/>
  <c r="K10" i="6"/>
  <c r="U10" i="6" s="1"/>
  <c r="J10" i="6"/>
  <c r="I10" i="6"/>
  <c r="S10" i="6" s="1"/>
  <c r="H10" i="6"/>
  <c r="R10" i="6" s="1"/>
  <c r="G10" i="6"/>
  <c r="Q10" i="6" s="1"/>
  <c r="Q9" i="6"/>
  <c r="K9" i="6"/>
  <c r="U9" i="6" s="1"/>
  <c r="J9" i="6"/>
  <c r="T9" i="6" s="1"/>
  <c r="I9" i="6"/>
  <c r="S9" i="6" s="1"/>
  <c r="H9" i="6"/>
  <c r="R9" i="6" s="1"/>
  <c r="G9" i="6"/>
  <c r="S8" i="6"/>
  <c r="R8" i="6"/>
  <c r="K8" i="6"/>
  <c r="U8" i="6" s="1"/>
  <c r="J8" i="6"/>
  <c r="T8" i="6" s="1"/>
  <c r="I8" i="6"/>
  <c r="H8" i="6"/>
  <c r="G8" i="6"/>
  <c r="Q8" i="6" s="1"/>
  <c r="T7" i="6"/>
  <c r="R7" i="6"/>
  <c r="K7" i="6"/>
  <c r="U7" i="6" s="1"/>
  <c r="J7" i="6"/>
  <c r="I7" i="6"/>
  <c r="S7" i="6" s="1"/>
  <c r="H7" i="6"/>
  <c r="G7" i="6"/>
  <c r="Q7" i="6" s="1"/>
  <c r="U6" i="6"/>
  <c r="K6" i="6"/>
  <c r="J6" i="6"/>
  <c r="T6" i="6" s="1"/>
  <c r="I6" i="6"/>
  <c r="S6" i="6" s="1"/>
  <c r="H6" i="6"/>
  <c r="R6" i="6" s="1"/>
  <c r="G6" i="6"/>
  <c r="Q6" i="6" s="1"/>
  <c r="R5" i="6"/>
  <c r="Q5" i="6"/>
  <c r="K5" i="6"/>
  <c r="U5" i="6" s="1"/>
  <c r="J5" i="6"/>
  <c r="T5" i="6" s="1"/>
  <c r="I5" i="6"/>
  <c r="S5" i="6" s="1"/>
  <c r="H5" i="6"/>
  <c r="G5" i="6"/>
  <c r="R4" i="6"/>
  <c r="Q4" i="6"/>
  <c r="K4" i="6"/>
  <c r="U4" i="6" s="1"/>
  <c r="J4" i="6"/>
  <c r="T4" i="6" s="1"/>
  <c r="I4" i="6"/>
  <c r="S4" i="6" s="1"/>
  <c r="H4" i="6"/>
  <c r="G4" i="6"/>
  <c r="S3" i="6"/>
  <c r="K3" i="6"/>
  <c r="U3" i="6" s="1"/>
  <c r="J3" i="6"/>
  <c r="T3" i="6" s="1"/>
  <c r="I3" i="6"/>
  <c r="H3" i="6"/>
  <c r="R3" i="6" s="1"/>
  <c r="G3" i="6"/>
  <c r="Q3" i="6" s="1"/>
  <c r="O12" i="5"/>
  <c r="N12" i="5"/>
  <c r="M12" i="5"/>
  <c r="K12" i="5"/>
  <c r="P12" i="5" s="1"/>
  <c r="J12" i="5"/>
  <c r="T12" i="5" s="1"/>
  <c r="I12" i="5"/>
  <c r="S12" i="5" s="1"/>
  <c r="H12" i="5"/>
  <c r="R12" i="5" s="1"/>
  <c r="G12" i="5"/>
  <c r="Q12" i="5" s="1"/>
  <c r="O11" i="5"/>
  <c r="N11" i="5"/>
  <c r="K11" i="5"/>
  <c r="P11" i="5" s="1"/>
  <c r="J11" i="5"/>
  <c r="T11" i="5" s="1"/>
  <c r="I11" i="5"/>
  <c r="S11" i="5" s="1"/>
  <c r="H11" i="5"/>
  <c r="R11" i="5" s="1"/>
  <c r="G11" i="5"/>
  <c r="L11" i="5" s="1"/>
  <c r="U10" i="5"/>
  <c r="S10" i="5"/>
  <c r="R10" i="5"/>
  <c r="K10" i="5"/>
  <c r="J10" i="5"/>
  <c r="T10" i="5" s="1"/>
  <c r="I10" i="5"/>
  <c r="H10" i="5"/>
  <c r="G10" i="5"/>
  <c r="Q10" i="5" s="1"/>
  <c r="K9" i="5"/>
  <c r="U9" i="5" s="1"/>
  <c r="J9" i="5"/>
  <c r="T9" i="5" s="1"/>
  <c r="I9" i="5"/>
  <c r="S9" i="5" s="1"/>
  <c r="H9" i="5"/>
  <c r="R9" i="5" s="1"/>
  <c r="G9" i="5"/>
  <c r="Q9" i="5" s="1"/>
  <c r="R8" i="5"/>
  <c r="K8" i="5"/>
  <c r="U8" i="5" s="1"/>
  <c r="J8" i="5"/>
  <c r="T8" i="5" s="1"/>
  <c r="I8" i="5"/>
  <c r="S8" i="5" s="1"/>
  <c r="H8" i="5"/>
  <c r="G8" i="5"/>
  <c r="Q8" i="5" s="1"/>
  <c r="T7" i="5"/>
  <c r="S7" i="5"/>
  <c r="K7" i="5"/>
  <c r="U7" i="5" s="1"/>
  <c r="J7" i="5"/>
  <c r="I7" i="5"/>
  <c r="H7" i="5"/>
  <c r="R7" i="5" s="1"/>
  <c r="G7" i="5"/>
  <c r="Q7" i="5" s="1"/>
  <c r="U6" i="5"/>
  <c r="R6" i="5"/>
  <c r="K6" i="5"/>
  <c r="J6" i="5"/>
  <c r="T6" i="5" s="1"/>
  <c r="I6" i="5"/>
  <c r="S6" i="5" s="1"/>
  <c r="H6" i="5"/>
  <c r="G6" i="5"/>
  <c r="Q6" i="5" s="1"/>
  <c r="K5" i="5"/>
  <c r="U5" i="5" s="1"/>
  <c r="J5" i="5"/>
  <c r="T5" i="5" s="1"/>
  <c r="I5" i="5"/>
  <c r="S5" i="5" s="1"/>
  <c r="H5" i="5"/>
  <c r="R5" i="5" s="1"/>
  <c r="G5" i="5"/>
  <c r="Q5" i="5" s="1"/>
  <c r="R4" i="5"/>
  <c r="K4" i="5"/>
  <c r="U4" i="5" s="1"/>
  <c r="J4" i="5"/>
  <c r="T4" i="5" s="1"/>
  <c r="I4" i="5"/>
  <c r="S4" i="5" s="1"/>
  <c r="H4" i="5"/>
  <c r="G4" i="5"/>
  <c r="Q4" i="5" s="1"/>
  <c r="Q3" i="5"/>
  <c r="P3" i="5"/>
  <c r="K3" i="5"/>
  <c r="U3" i="5" s="1"/>
  <c r="J3" i="5"/>
  <c r="O3" i="5" s="1"/>
  <c r="I3" i="5"/>
  <c r="N3" i="5" s="1"/>
  <c r="H3" i="5"/>
  <c r="M3" i="5" s="1"/>
  <c r="G3" i="5"/>
  <c r="L3" i="5" s="1"/>
  <c r="U27" i="3"/>
  <c r="Q27" i="3"/>
  <c r="K27" i="3"/>
  <c r="J27" i="3"/>
  <c r="T27" i="3" s="1"/>
  <c r="I27" i="3"/>
  <c r="S27" i="3" s="1"/>
  <c r="H27" i="3"/>
  <c r="R27" i="3" s="1"/>
  <c r="G27" i="3"/>
  <c r="R26" i="3"/>
  <c r="Q26" i="3"/>
  <c r="K26" i="3"/>
  <c r="U26" i="3" s="1"/>
  <c r="J26" i="3"/>
  <c r="T26" i="3" s="1"/>
  <c r="I26" i="3"/>
  <c r="S26" i="3" s="1"/>
  <c r="H26" i="3"/>
  <c r="G26" i="3"/>
  <c r="T25" i="3"/>
  <c r="S25" i="3"/>
  <c r="K25" i="3"/>
  <c r="U25" i="3" s="1"/>
  <c r="J25" i="3"/>
  <c r="I25" i="3"/>
  <c r="H25" i="3"/>
  <c r="R25" i="3" s="1"/>
  <c r="G25" i="3"/>
  <c r="Q25" i="3" s="1"/>
  <c r="K24" i="3"/>
  <c r="U24" i="3" s="1"/>
  <c r="J24" i="3"/>
  <c r="T24" i="3" s="1"/>
  <c r="I24" i="3"/>
  <c r="S24" i="3" s="1"/>
  <c r="H24" i="3"/>
  <c r="R24" i="3" s="1"/>
  <c r="G24" i="3"/>
  <c r="Q24" i="3" s="1"/>
  <c r="U23" i="3"/>
  <c r="K23" i="3"/>
  <c r="J23" i="3"/>
  <c r="T23" i="3" s="1"/>
  <c r="I23" i="3"/>
  <c r="S23" i="3" s="1"/>
  <c r="H23" i="3"/>
  <c r="R23" i="3" s="1"/>
  <c r="G23" i="3"/>
  <c r="Q23" i="3" s="1"/>
  <c r="S22" i="3"/>
  <c r="R22" i="3"/>
  <c r="K22" i="3"/>
  <c r="U22" i="3" s="1"/>
  <c r="J22" i="3"/>
  <c r="T22" i="3" s="1"/>
  <c r="I22" i="3"/>
  <c r="H22" i="3"/>
  <c r="G22" i="3"/>
  <c r="Q22" i="3" s="1"/>
  <c r="U21" i="3"/>
  <c r="T21" i="3"/>
  <c r="Q21" i="3"/>
  <c r="K21" i="3"/>
  <c r="J21" i="3"/>
  <c r="I21" i="3"/>
  <c r="S21" i="3" s="1"/>
  <c r="H21" i="3"/>
  <c r="R21" i="3" s="1"/>
  <c r="G21" i="3"/>
  <c r="S20" i="3"/>
  <c r="K20" i="3"/>
  <c r="U20" i="3" s="1"/>
  <c r="J20" i="3"/>
  <c r="T20" i="3" s="1"/>
  <c r="I20" i="3"/>
  <c r="H20" i="3"/>
  <c r="R20" i="3" s="1"/>
  <c r="G20" i="3"/>
  <c r="Q20" i="3" s="1"/>
  <c r="K19" i="3"/>
  <c r="U19" i="3" s="1"/>
  <c r="J19" i="3"/>
  <c r="T19" i="3" s="1"/>
  <c r="I19" i="3"/>
  <c r="S19" i="3" s="1"/>
  <c r="H19" i="3"/>
  <c r="R19" i="3" s="1"/>
  <c r="G19" i="3"/>
  <c r="Q19" i="3" s="1"/>
  <c r="S18" i="3"/>
  <c r="K18" i="3"/>
  <c r="U18" i="3" s="1"/>
  <c r="J18" i="3"/>
  <c r="T18" i="3" s="1"/>
  <c r="I18" i="3"/>
  <c r="H18" i="3"/>
  <c r="R18" i="3" s="1"/>
  <c r="G18" i="3"/>
  <c r="Q18" i="3" s="1"/>
  <c r="U17" i="3"/>
  <c r="R17" i="3"/>
  <c r="Q17" i="3"/>
  <c r="K17" i="3"/>
  <c r="J17" i="3"/>
  <c r="T17" i="3" s="1"/>
  <c r="I17" i="3"/>
  <c r="S17" i="3" s="1"/>
  <c r="H17" i="3"/>
  <c r="G17" i="3"/>
  <c r="T16" i="3"/>
  <c r="K16" i="3"/>
  <c r="U16" i="3" s="1"/>
  <c r="J16" i="3"/>
  <c r="I16" i="3"/>
  <c r="S16" i="3" s="1"/>
  <c r="H16" i="3"/>
  <c r="R16" i="3" s="1"/>
  <c r="G16" i="3"/>
  <c r="Q16" i="3" s="1"/>
  <c r="Q15" i="3"/>
  <c r="K15" i="3"/>
  <c r="U15" i="3" s="1"/>
  <c r="J15" i="3"/>
  <c r="T15" i="3" s="1"/>
  <c r="I15" i="3"/>
  <c r="S15" i="3" s="1"/>
  <c r="H15" i="3"/>
  <c r="R15" i="3" s="1"/>
  <c r="G15" i="3"/>
  <c r="Q14" i="3"/>
  <c r="K14" i="3"/>
  <c r="U14" i="3" s="1"/>
  <c r="J14" i="3"/>
  <c r="T14" i="3" s="1"/>
  <c r="I14" i="3"/>
  <c r="S14" i="3" s="1"/>
  <c r="H14" i="3"/>
  <c r="R14" i="3" s="1"/>
  <c r="G14" i="3"/>
  <c r="S13" i="3"/>
  <c r="R13" i="3"/>
  <c r="Q13" i="3"/>
  <c r="K13" i="3"/>
  <c r="U13" i="3" s="1"/>
  <c r="J13" i="3"/>
  <c r="T13" i="3" s="1"/>
  <c r="I13" i="3"/>
  <c r="H13" i="3"/>
  <c r="G13" i="3"/>
  <c r="U12" i="3"/>
  <c r="K12" i="3"/>
  <c r="J12" i="3"/>
  <c r="T12" i="3" s="1"/>
  <c r="I12" i="3"/>
  <c r="S12" i="3" s="1"/>
  <c r="H12" i="3"/>
  <c r="R12" i="3" s="1"/>
  <c r="G12" i="3"/>
  <c r="Q12" i="3" s="1"/>
  <c r="U11" i="3"/>
  <c r="Q11" i="3"/>
  <c r="K11" i="3"/>
  <c r="J11" i="3"/>
  <c r="T11" i="3" s="1"/>
  <c r="I11" i="3"/>
  <c r="S11" i="3" s="1"/>
  <c r="H11" i="3"/>
  <c r="R11" i="3" s="1"/>
  <c r="G11" i="3"/>
  <c r="R10" i="3"/>
  <c r="Q10" i="3"/>
  <c r="K10" i="3"/>
  <c r="U10" i="3" s="1"/>
  <c r="J10" i="3"/>
  <c r="T10" i="3" s="1"/>
  <c r="I10" i="3"/>
  <c r="S10" i="3" s="1"/>
  <c r="H10" i="3"/>
  <c r="G10" i="3"/>
  <c r="T9" i="3"/>
  <c r="S9" i="3"/>
  <c r="R9" i="3"/>
  <c r="K9" i="3"/>
  <c r="U9" i="3" s="1"/>
  <c r="J9" i="3"/>
  <c r="I9" i="3"/>
  <c r="H9" i="3"/>
  <c r="G9" i="3"/>
  <c r="Q9" i="3" s="1"/>
  <c r="S8" i="3"/>
  <c r="K8" i="3"/>
  <c r="U8" i="3" s="1"/>
  <c r="J8" i="3"/>
  <c r="T8" i="3" s="1"/>
  <c r="I8" i="3"/>
  <c r="H8" i="3"/>
  <c r="R8" i="3" s="1"/>
  <c r="G8" i="3"/>
  <c r="Q8" i="3" s="1"/>
  <c r="Q7" i="3"/>
  <c r="K7" i="3"/>
  <c r="U7" i="3" s="1"/>
  <c r="J7" i="3"/>
  <c r="T7" i="3" s="1"/>
  <c r="I7" i="3"/>
  <c r="S7" i="3" s="1"/>
  <c r="H7" i="3"/>
  <c r="R7" i="3" s="1"/>
  <c r="G7" i="3"/>
  <c r="S6" i="3"/>
  <c r="R6" i="3"/>
  <c r="Q6" i="3"/>
  <c r="K6" i="3"/>
  <c r="U6" i="3" s="1"/>
  <c r="J6" i="3"/>
  <c r="T6" i="3" s="1"/>
  <c r="I6" i="3"/>
  <c r="H6" i="3"/>
  <c r="G6" i="3"/>
  <c r="U5" i="3"/>
  <c r="T5" i="3"/>
  <c r="S5" i="3"/>
  <c r="Q5" i="3"/>
  <c r="K5" i="3"/>
  <c r="J5" i="3"/>
  <c r="I5" i="3"/>
  <c r="H5" i="3"/>
  <c r="R5" i="3" s="1"/>
  <c r="G5" i="3"/>
  <c r="T4" i="3"/>
  <c r="S4" i="3"/>
  <c r="K4" i="3"/>
  <c r="U4" i="3" s="1"/>
  <c r="J4" i="3"/>
  <c r="I4" i="3"/>
  <c r="H4" i="3"/>
  <c r="R4" i="3" s="1"/>
  <c r="G4" i="3"/>
  <c r="Q4" i="3" s="1"/>
  <c r="K3" i="3"/>
  <c r="U3" i="3" s="1"/>
  <c r="J3" i="3"/>
  <c r="T3" i="3" s="1"/>
  <c r="I3" i="3"/>
  <c r="S3" i="3" s="1"/>
  <c r="H3" i="3"/>
  <c r="R3" i="3" s="1"/>
  <c r="G3" i="3"/>
  <c r="Q3" i="3" s="1"/>
  <c r="U12" i="5" l="1"/>
  <c r="Q11" i="5"/>
  <c r="L12" i="5"/>
  <c r="N3" i="9"/>
  <c r="M10" i="9"/>
  <c r="L11" i="9"/>
  <c r="M20" i="9"/>
  <c r="L21" i="9"/>
  <c r="N38" i="9"/>
  <c r="S38" i="9"/>
  <c r="Q45" i="9"/>
  <c r="L45" i="9"/>
  <c r="S49" i="9"/>
  <c r="N49" i="9"/>
  <c r="M53" i="9"/>
  <c r="R53" i="9"/>
  <c r="O91" i="9"/>
  <c r="T91" i="9"/>
  <c r="T96" i="9"/>
  <c r="O96" i="9"/>
  <c r="S31" i="9"/>
  <c r="N31" i="9"/>
  <c r="N40" i="9"/>
  <c r="S40" i="9"/>
  <c r="M47" i="9"/>
  <c r="R47" i="9"/>
  <c r="K51" i="9"/>
  <c r="P51" i="9"/>
  <c r="P83" i="9"/>
  <c r="K83" i="9"/>
  <c r="P5" i="9"/>
  <c r="M12" i="9"/>
  <c r="T16" i="9"/>
  <c r="T20" i="9"/>
  <c r="S21" i="9"/>
  <c r="Q22" i="9"/>
  <c r="L27" i="9"/>
  <c r="O31" i="9"/>
  <c r="T31" i="9"/>
  <c r="Q86" i="9"/>
  <c r="L86" i="9"/>
  <c r="M6" i="9"/>
  <c r="S11" i="9"/>
  <c r="S22" i="9"/>
  <c r="T23" i="9"/>
  <c r="O24" i="9"/>
  <c r="T25" i="9"/>
  <c r="O46" i="9"/>
  <c r="T46" i="9"/>
  <c r="P48" i="9"/>
  <c r="N59" i="9"/>
  <c r="S59" i="9"/>
  <c r="R65" i="9"/>
  <c r="M65" i="9"/>
  <c r="L4" i="9"/>
  <c r="Q4" i="9"/>
  <c r="N13" i="9"/>
  <c r="S24" i="9"/>
  <c r="N55" i="9"/>
  <c r="S55" i="9"/>
  <c r="R77" i="9"/>
  <c r="M77" i="9"/>
  <c r="Q92" i="9"/>
  <c r="L92" i="9"/>
  <c r="M11" i="5"/>
  <c r="R7" i="9"/>
  <c r="M8" i="9"/>
  <c r="L12" i="9"/>
  <c r="Q12" i="9"/>
  <c r="P13" i="9"/>
  <c r="M14" i="9"/>
  <c r="M21" i="9"/>
  <c r="R21" i="9"/>
  <c r="M50" i="9"/>
  <c r="R50" i="9"/>
  <c r="P67" i="9"/>
  <c r="K67" i="9"/>
  <c r="P87" i="9"/>
  <c r="L6" i="9"/>
  <c r="Q6" i="9"/>
  <c r="S17" i="9"/>
  <c r="N17" i="9"/>
  <c r="T18" i="9"/>
  <c r="O18" i="9"/>
  <c r="M23" i="9"/>
  <c r="R23" i="9"/>
  <c r="Q25" i="9"/>
  <c r="L25" i="9"/>
  <c r="K29" i="9"/>
  <c r="P29" i="9"/>
  <c r="R32" i="9"/>
  <c r="M32" i="9"/>
  <c r="L38" i="9"/>
  <c r="Q38" i="9"/>
  <c r="N9" i="9"/>
  <c r="N15" i="9"/>
  <c r="L28" i="9"/>
  <c r="Q28" i="9"/>
  <c r="Q29" i="9"/>
  <c r="L29" i="9"/>
  <c r="Q31" i="9"/>
  <c r="L31" i="9"/>
  <c r="N32" i="9"/>
  <c r="S32" i="9"/>
  <c r="T50" i="9"/>
  <c r="O50" i="9"/>
  <c r="S63" i="9"/>
  <c r="N63" i="9"/>
  <c r="P66" i="9"/>
  <c r="K66" i="9"/>
  <c r="T15" i="9"/>
  <c r="S30" i="9"/>
  <c r="P35" i="9"/>
  <c r="R37" i="9"/>
  <c r="L47" i="9"/>
  <c r="T49" i="9"/>
  <c r="T52" i="9"/>
  <c r="P53" i="9"/>
  <c r="M56" i="9"/>
  <c r="O65" i="9"/>
  <c r="N70" i="9"/>
  <c r="T76" i="9"/>
  <c r="L78" i="9"/>
  <c r="N82" i="9"/>
  <c r="Q85" i="9"/>
  <c r="R91" i="9"/>
  <c r="S93" i="9"/>
  <c r="N94" i="9"/>
  <c r="Q97" i="9"/>
  <c r="N98" i="9"/>
  <c r="R100" i="9"/>
  <c r="K101" i="9"/>
  <c r="O107" i="9"/>
  <c r="P113" i="9"/>
  <c r="K114" i="9"/>
  <c r="L116" i="9"/>
  <c r="N118" i="9"/>
  <c r="Q121" i="9"/>
  <c r="L122" i="9"/>
  <c r="K124" i="9"/>
  <c r="O131" i="9"/>
  <c r="M133" i="9"/>
  <c r="O136" i="9"/>
  <c r="S138" i="9"/>
  <c r="M139" i="9"/>
  <c r="L141" i="9"/>
  <c r="O143" i="9"/>
  <c r="R146" i="9"/>
  <c r="L147" i="9"/>
  <c r="P148" i="9"/>
  <c r="N151" i="9"/>
  <c r="T155" i="9"/>
  <c r="M156" i="9"/>
  <c r="N158" i="9"/>
  <c r="K163" i="9"/>
  <c r="P164" i="9"/>
  <c r="O165" i="9"/>
  <c r="Q171" i="9"/>
  <c r="Q173" i="9"/>
  <c r="N174" i="9"/>
  <c r="O181" i="9"/>
  <c r="T181" i="9"/>
  <c r="R183" i="9"/>
  <c r="M184" i="9"/>
  <c r="N187" i="9"/>
  <c r="M188" i="9"/>
  <c r="S203" i="9"/>
  <c r="N203" i="9"/>
  <c r="N41" i="9"/>
  <c r="Q44" i="9"/>
  <c r="N51" i="9"/>
  <c r="O56" i="9"/>
  <c r="O60" i="9"/>
  <c r="P65" i="9"/>
  <c r="N66" i="9"/>
  <c r="M71" i="9"/>
  <c r="M78" i="9"/>
  <c r="N86" i="9"/>
  <c r="N87" i="9"/>
  <c r="O103" i="9"/>
  <c r="L104" i="9"/>
  <c r="L110" i="9"/>
  <c r="T112" i="9"/>
  <c r="O118" i="9"/>
  <c r="N122" i="9"/>
  <c r="S123" i="9"/>
  <c r="M126" i="9"/>
  <c r="T132" i="9"/>
  <c r="N133" i="9"/>
  <c r="M137" i="9"/>
  <c r="O139" i="9"/>
  <c r="M141" i="9"/>
  <c r="L149" i="9"/>
  <c r="O151" i="9"/>
  <c r="L152" i="9"/>
  <c r="O158" i="9"/>
  <c r="T167" i="9"/>
  <c r="O167" i="9"/>
  <c r="P171" i="9"/>
  <c r="K171" i="9"/>
  <c r="S178" i="9"/>
  <c r="M182" i="9"/>
  <c r="P191" i="9"/>
  <c r="Q199" i="9"/>
  <c r="L199" i="9"/>
  <c r="R202" i="9"/>
  <c r="M202" i="9"/>
  <c r="O205" i="9"/>
  <c r="T205" i="9"/>
  <c r="O213" i="9"/>
  <c r="T213" i="9"/>
  <c r="M215" i="9"/>
  <c r="R215" i="9"/>
  <c r="R223" i="9"/>
  <c r="M223" i="9"/>
  <c r="L57" i="9"/>
  <c r="K61" i="9"/>
  <c r="R67" i="9"/>
  <c r="L68" i="9"/>
  <c r="N71" i="9"/>
  <c r="Q74" i="9"/>
  <c r="K76" i="9"/>
  <c r="T77" i="9"/>
  <c r="N78" i="9"/>
  <c r="Q81" i="9"/>
  <c r="R83" i="9"/>
  <c r="L84" i="9"/>
  <c r="O87" i="9"/>
  <c r="L88" i="9"/>
  <c r="P92" i="9"/>
  <c r="M95" i="9"/>
  <c r="L99" i="9"/>
  <c r="M101" i="9"/>
  <c r="P103" i="9"/>
  <c r="L108" i="9"/>
  <c r="N116" i="9"/>
  <c r="M119" i="9"/>
  <c r="P122" i="9"/>
  <c r="M124" i="9"/>
  <c r="L130" i="9"/>
  <c r="R131" i="9"/>
  <c r="O133" i="9"/>
  <c r="K138" i="9"/>
  <c r="T140" i="9"/>
  <c r="N141" i="9"/>
  <c r="P144" i="9"/>
  <c r="O147" i="9"/>
  <c r="M149" i="9"/>
  <c r="R154" i="9"/>
  <c r="L155" i="9"/>
  <c r="R162" i="9"/>
  <c r="S165" i="9"/>
  <c r="N166" i="9"/>
  <c r="P168" i="9"/>
  <c r="K169" i="9"/>
  <c r="P179" i="9"/>
  <c r="K179" i="9"/>
  <c r="O180" i="9"/>
  <c r="M186" i="9"/>
  <c r="Q193" i="9"/>
  <c r="L193" i="9"/>
  <c r="T194" i="9"/>
  <c r="O194" i="9"/>
  <c r="Q196" i="9"/>
  <c r="S207" i="9"/>
  <c r="N207" i="9"/>
  <c r="S215" i="9"/>
  <c r="N215" i="9"/>
  <c r="O105" i="9"/>
  <c r="N110" i="9"/>
  <c r="K115" i="9"/>
  <c r="P116" i="9"/>
  <c r="L117" i="9"/>
  <c r="K123" i="9"/>
  <c r="N124" i="9"/>
  <c r="K127" i="9"/>
  <c r="N130" i="9"/>
  <c r="S131" i="9"/>
  <c r="L132" i="9"/>
  <c r="Q137" i="9"/>
  <c r="L138" i="9"/>
  <c r="K140" i="9"/>
  <c r="P145" i="9"/>
  <c r="K146" i="9"/>
  <c r="T148" i="9"/>
  <c r="K153" i="9"/>
  <c r="M155" i="9"/>
  <c r="L157" i="9"/>
  <c r="Q168" i="9"/>
  <c r="T171" i="9"/>
  <c r="M172" i="9"/>
  <c r="Q179" i="9"/>
  <c r="L179" i="9"/>
  <c r="S199" i="9"/>
  <c r="N199" i="9"/>
  <c r="T203" i="9"/>
  <c r="T207" i="9"/>
  <c r="O207" i="9"/>
  <c r="Q231" i="9"/>
  <c r="L231" i="9"/>
  <c r="L3" i="9"/>
  <c r="L7" i="9"/>
  <c r="T17" i="9"/>
  <c r="M22" i="9"/>
  <c r="K30" i="9"/>
  <c r="N33" i="9"/>
  <c r="K34" i="9"/>
  <c r="Q36" i="9"/>
  <c r="N43" i="9"/>
  <c r="K46" i="9"/>
  <c r="T47" i="9"/>
  <c r="O48" i="9"/>
  <c r="Q54" i="9"/>
  <c r="M61" i="9"/>
  <c r="P89" i="9"/>
  <c r="K91" i="9"/>
  <c r="S92" i="9"/>
  <c r="L93" i="9"/>
  <c r="O95" i="9"/>
  <c r="K100" i="9"/>
  <c r="M102" i="9"/>
  <c r="P105" i="9"/>
  <c r="K111" i="9"/>
  <c r="L115" i="9"/>
  <c r="M117" i="9"/>
  <c r="O119" i="9"/>
  <c r="R122" i="9"/>
  <c r="L123" i="9"/>
  <c r="N127" i="9"/>
  <c r="M132" i="9"/>
  <c r="N134" i="9"/>
  <c r="S139" i="9"/>
  <c r="L140" i="9"/>
  <c r="M142" i="9"/>
  <c r="Q145" i="9"/>
  <c r="L146" i="9"/>
  <c r="M157" i="9"/>
  <c r="M161" i="9"/>
  <c r="R163" i="9"/>
  <c r="R165" i="9"/>
  <c r="M165" i="9"/>
  <c r="T168" i="9"/>
  <c r="K170" i="9"/>
  <c r="M178" i="9"/>
  <c r="R178" i="9"/>
  <c r="R189" i="9"/>
  <c r="M189" i="9"/>
  <c r="R198" i="9"/>
  <c r="M198" i="9"/>
  <c r="T199" i="9"/>
  <c r="O199" i="9"/>
  <c r="R214" i="9"/>
  <c r="M214" i="9"/>
  <c r="S234" i="9"/>
  <c r="N234" i="9"/>
  <c r="S147" i="9"/>
  <c r="T156" i="9"/>
  <c r="S163" i="9"/>
  <c r="Q169" i="9"/>
  <c r="T175" i="9"/>
  <c r="O175" i="9"/>
  <c r="Q195" i="9"/>
  <c r="L195" i="9"/>
  <c r="P200" i="9"/>
  <c r="Q216" i="9"/>
  <c r="L216" i="9"/>
  <c r="Q228" i="9"/>
  <c r="L228" i="9"/>
  <c r="Q52" i="9"/>
  <c r="R130" i="9"/>
  <c r="K160" i="9"/>
  <c r="P160" i="9"/>
  <c r="T174" i="9"/>
  <c r="O174" i="9"/>
  <c r="S182" i="9"/>
  <c r="N182" i="9"/>
  <c r="T183" i="9"/>
  <c r="O183" i="9"/>
  <c r="Q203" i="9"/>
  <c r="L203" i="9"/>
  <c r="K209" i="9"/>
  <c r="P209" i="9"/>
  <c r="T219" i="9"/>
  <c r="O219" i="9"/>
  <c r="T222" i="9"/>
  <c r="O222" i="9"/>
  <c r="P224" i="9"/>
  <c r="K224" i="9"/>
  <c r="T61" i="9"/>
  <c r="M85" i="9"/>
  <c r="M109" i="9"/>
  <c r="T124" i="9"/>
  <c r="R138" i="9"/>
  <c r="S155" i="9"/>
  <c r="Q176" i="9"/>
  <c r="L183" i="9"/>
  <c r="L184" i="9"/>
  <c r="N189" i="9"/>
  <c r="S195" i="9"/>
  <c r="N195" i="9"/>
  <c r="N227" i="9"/>
  <c r="S227" i="9"/>
  <c r="S251" i="9"/>
  <c r="P255" i="9"/>
  <c r="P259" i="9"/>
  <c r="P298" i="9"/>
  <c r="K298" i="9"/>
  <c r="Q299" i="9"/>
  <c r="L299" i="9"/>
  <c r="Q300" i="9"/>
  <c r="L300" i="9"/>
  <c r="S318" i="9"/>
  <c r="N318" i="9"/>
  <c r="S322" i="9"/>
  <c r="N322" i="9"/>
  <c r="T323" i="9"/>
  <c r="O323" i="9"/>
  <c r="O324" i="9"/>
  <c r="T324" i="9"/>
  <c r="T335" i="9"/>
  <c r="O335" i="9"/>
  <c r="S356" i="9"/>
  <c r="N356" i="9"/>
  <c r="N194" i="9"/>
  <c r="K195" i="9"/>
  <c r="R197" i="9"/>
  <c r="K203" i="9"/>
  <c r="L205" i="9"/>
  <c r="M206" i="9"/>
  <c r="K207" i="9"/>
  <c r="S211" i="9"/>
  <c r="L213" i="9"/>
  <c r="N218" i="9"/>
  <c r="K219" i="9"/>
  <c r="M221" i="9"/>
  <c r="K222" i="9"/>
  <c r="T224" i="9"/>
  <c r="L242" i="9"/>
  <c r="M250" i="9"/>
  <c r="M257" i="9"/>
  <c r="N260" i="9"/>
  <c r="O261" i="9"/>
  <c r="N262" i="9"/>
  <c r="L266" i="9"/>
  <c r="L273" i="9"/>
  <c r="O276" i="9"/>
  <c r="O277" i="9"/>
  <c r="N278" i="9"/>
  <c r="K279" i="9"/>
  <c r="L282" i="9"/>
  <c r="S284" i="9"/>
  <c r="N284" i="9"/>
  <c r="S288" i="9"/>
  <c r="L290" i="9"/>
  <c r="T306" i="9"/>
  <c r="O306" i="9"/>
  <c r="P308" i="9"/>
  <c r="S317" i="9"/>
  <c r="N317" i="9"/>
  <c r="O320" i="9"/>
  <c r="T320" i="9"/>
  <c r="M324" i="9"/>
  <c r="S334" i="9"/>
  <c r="N334" i="9"/>
  <c r="M343" i="9"/>
  <c r="R343" i="9"/>
  <c r="S346" i="9"/>
  <c r="N346" i="9"/>
  <c r="Q352" i="9"/>
  <c r="L352" i="9"/>
  <c r="R170" i="9"/>
  <c r="Q192" i="9"/>
  <c r="T197" i="9"/>
  <c r="N198" i="9"/>
  <c r="Q202" i="9"/>
  <c r="S204" i="9"/>
  <c r="Q206" i="9"/>
  <c r="S212" i="9"/>
  <c r="P213" i="9"/>
  <c r="K215" i="9"/>
  <c r="T217" i="9"/>
  <c r="R220" i="9"/>
  <c r="N221" i="9"/>
  <c r="N222" i="9"/>
  <c r="M227" i="9"/>
  <c r="Q233" i="9"/>
  <c r="M234" i="9"/>
  <c r="O260" i="9"/>
  <c r="P261" i="9"/>
  <c r="Q262" i="9"/>
  <c r="K263" i="9"/>
  <c r="S272" i="9"/>
  <c r="M273" i="9"/>
  <c r="P276" i="9"/>
  <c r="P277" i="9"/>
  <c r="Q278" i="9"/>
  <c r="O279" i="9"/>
  <c r="M283" i="9"/>
  <c r="R289" i="9"/>
  <c r="M290" i="9"/>
  <c r="K291" i="9"/>
  <c r="L296" i="9"/>
  <c r="Q296" i="9"/>
  <c r="M306" i="9"/>
  <c r="T308" i="9"/>
  <c r="P310" i="9"/>
  <c r="K310" i="9"/>
  <c r="T314" i="9"/>
  <c r="O314" i="9"/>
  <c r="N319" i="9"/>
  <c r="M321" i="9"/>
  <c r="P324" i="9"/>
  <c r="R330" i="9"/>
  <c r="M330" i="9"/>
  <c r="P335" i="9"/>
  <c r="L337" i="9"/>
  <c r="P348" i="9"/>
  <c r="P183" i="9"/>
  <c r="Q188" i="9"/>
  <c r="K190" i="9"/>
  <c r="Q214" i="9"/>
  <c r="K216" i="9"/>
  <c r="Q221" i="9"/>
  <c r="K235" i="9"/>
  <c r="T241" i="9"/>
  <c r="N242" i="9"/>
  <c r="K243" i="9"/>
  <c r="L251" i="9"/>
  <c r="L258" i="9"/>
  <c r="Q261" i="9"/>
  <c r="R262" i="9"/>
  <c r="L263" i="9"/>
  <c r="T265" i="9"/>
  <c r="N266" i="9"/>
  <c r="L274" i="9"/>
  <c r="Q277" i="9"/>
  <c r="R278" i="9"/>
  <c r="T281" i="9"/>
  <c r="N282" i="9"/>
  <c r="N283" i="9"/>
  <c r="T289" i="9"/>
  <c r="N290" i="9"/>
  <c r="L317" i="9"/>
  <c r="P320" i="9"/>
  <c r="L326" i="9"/>
  <c r="Q326" i="9"/>
  <c r="T332" i="9"/>
  <c r="O332" i="9"/>
  <c r="Q336" i="9"/>
  <c r="P339" i="9"/>
  <c r="K339" i="9"/>
  <c r="T343" i="9"/>
  <c r="O343" i="9"/>
  <c r="T355" i="9"/>
  <c r="O355" i="9"/>
  <c r="K231" i="9"/>
  <c r="L235" i="9"/>
  <c r="K238" i="9"/>
  <c r="K239" i="9"/>
  <c r="M251" i="9"/>
  <c r="S257" i="9"/>
  <c r="M258" i="9"/>
  <c r="K264" i="9"/>
  <c r="L268" i="9"/>
  <c r="K271" i="9"/>
  <c r="M274" i="9"/>
  <c r="L280" i="9"/>
  <c r="Q286" i="9"/>
  <c r="O288" i="9"/>
  <c r="T288" i="9"/>
  <c r="N291" i="9"/>
  <c r="S303" i="9"/>
  <c r="N303" i="9"/>
  <c r="O304" i="9"/>
  <c r="T304" i="9"/>
  <c r="T311" i="9"/>
  <c r="O311" i="9"/>
  <c r="L313" i="9"/>
  <c r="R314" i="9"/>
  <c r="P315" i="9"/>
  <c r="S327" i="9"/>
  <c r="N327" i="9"/>
  <c r="M333" i="9"/>
  <c r="S342" i="9"/>
  <c r="N342" i="9"/>
  <c r="L239" i="9"/>
  <c r="K240" i="9"/>
  <c r="K246" i="9"/>
  <c r="K247" i="9"/>
  <c r="K248" i="9"/>
  <c r="K254" i="9"/>
  <c r="L264" i="9"/>
  <c r="P270" i="9"/>
  <c r="T273" i="9"/>
  <c r="S279" i="9"/>
  <c r="Q285" i="9"/>
  <c r="R286" i="9"/>
  <c r="K288" i="9"/>
  <c r="P306" i="9"/>
  <c r="K306" i="9"/>
  <c r="P312" i="9"/>
  <c r="Q319" i="9"/>
  <c r="L319" i="9"/>
  <c r="O328" i="9"/>
  <c r="T328" i="9"/>
  <c r="O329" i="9"/>
  <c r="T329" i="9"/>
  <c r="P332" i="9"/>
  <c r="Q344" i="9"/>
  <c r="T351" i="9"/>
  <c r="O351" i="9"/>
  <c r="P228" i="9"/>
  <c r="P236" i="9"/>
  <c r="Q238" i="9"/>
  <c r="O247" i="9"/>
  <c r="O254" i="9"/>
  <c r="R263" i="9"/>
  <c r="O269" i="9"/>
  <c r="R287" i="9"/>
  <c r="O293" i="9"/>
  <c r="P304" i="9"/>
  <c r="S309" i="9"/>
  <c r="N309" i="9"/>
  <c r="P311" i="9"/>
  <c r="M335" i="9"/>
  <c r="R335" i="9"/>
  <c r="T340" i="9"/>
  <c r="O340" i="9"/>
  <c r="P269" i="9"/>
  <c r="S307" i="9"/>
  <c r="N307" i="9"/>
  <c r="L334" i="9"/>
  <c r="Q334" i="9"/>
  <c r="S338" i="9"/>
  <c r="N338" i="9"/>
  <c r="O295" i="9"/>
  <c r="Q305" i="9"/>
  <c r="M316" i="9"/>
  <c r="N325" i="9"/>
  <c r="Q329" i="9"/>
  <c r="R337" i="9"/>
  <c r="R345" i="9"/>
  <c r="K347" i="9"/>
  <c r="Q355" i="9"/>
  <c r="K357" i="9"/>
  <c r="S360" i="9"/>
  <c r="M361" i="9"/>
  <c r="O363" i="9"/>
  <c r="R364" i="9"/>
  <c r="N368" i="9"/>
  <c r="T370" i="9"/>
  <c r="R371" i="9"/>
  <c r="O372" i="9"/>
  <c r="S376" i="9"/>
  <c r="O380" i="9"/>
  <c r="K381" i="9"/>
  <c r="L385" i="9"/>
  <c r="P390" i="9"/>
  <c r="K392" i="9"/>
  <c r="O394" i="9"/>
  <c r="M395" i="9"/>
  <c r="N396" i="9"/>
  <c r="K397" i="9"/>
  <c r="Q406" i="9"/>
  <c r="M407" i="9"/>
  <c r="K408" i="9"/>
  <c r="M410" i="9"/>
  <c r="K411" i="9"/>
  <c r="M417" i="9"/>
  <c r="L425" i="9"/>
  <c r="T430" i="9"/>
  <c r="O430" i="9"/>
  <c r="Q432" i="9"/>
  <c r="K436" i="9"/>
  <c r="S437" i="9"/>
  <c r="N437" i="9"/>
  <c r="K448" i="9"/>
  <c r="S452" i="9"/>
  <c r="N452" i="9"/>
  <c r="P343" i="9"/>
  <c r="P351" i="9"/>
  <c r="R363" i="9"/>
  <c r="S364" i="9"/>
  <c r="L366" i="9"/>
  <c r="O377" i="9"/>
  <c r="R380" i="9"/>
  <c r="O381" i="9"/>
  <c r="S384" i="9"/>
  <c r="N385" i="9"/>
  <c r="O396" i="9"/>
  <c r="O397" i="9"/>
  <c r="T412" i="9"/>
  <c r="P417" i="9"/>
  <c r="P420" i="9"/>
  <c r="L421" i="9"/>
  <c r="N429" i="9"/>
  <c r="S431" i="9"/>
  <c r="S432" i="9"/>
  <c r="R438" i="9"/>
  <c r="M297" i="9"/>
  <c r="M313" i="9"/>
  <c r="O339" i="9"/>
  <c r="O347" i="9"/>
  <c r="R351" i="9"/>
  <c r="O361" i="9"/>
  <c r="S365" i="9"/>
  <c r="N369" i="9"/>
  <c r="S373" i="9"/>
  <c r="L375" i="9"/>
  <c r="P377" i="9"/>
  <c r="L378" i="9"/>
  <c r="K382" i="9"/>
  <c r="N392" i="9"/>
  <c r="K393" i="9"/>
  <c r="L398" i="9"/>
  <c r="L399" i="9"/>
  <c r="S401" i="9"/>
  <c r="N408" i="9"/>
  <c r="M411" i="9"/>
  <c r="K415" i="9"/>
  <c r="L418" i="9"/>
  <c r="M421" i="9"/>
  <c r="L426" i="9"/>
  <c r="Q430" i="9"/>
  <c r="T432" i="9"/>
  <c r="S434" i="9"/>
  <c r="T437" i="9"/>
  <c r="P361" i="9"/>
  <c r="M399" i="9"/>
  <c r="O408" i="9"/>
  <c r="Q443" i="9"/>
  <c r="L443" i="9"/>
  <c r="T297" i="9"/>
  <c r="N298" i="9"/>
  <c r="O302" i="9"/>
  <c r="O348" i="9"/>
  <c r="N353" i="9"/>
  <c r="S357" i="9"/>
  <c r="L367" i="9"/>
  <c r="N403" i="9"/>
  <c r="N404" i="9"/>
  <c r="K405" i="9"/>
  <c r="K409" i="9"/>
  <c r="O411" i="9"/>
  <c r="K412" i="9"/>
  <c r="O415" i="9"/>
  <c r="L416" i="9"/>
  <c r="M428" i="9"/>
  <c r="K431" i="9"/>
  <c r="P431" i="9"/>
  <c r="Q435" i="9"/>
  <c r="L435" i="9"/>
  <c r="Q442" i="9"/>
  <c r="L442" i="9"/>
  <c r="P378" i="9"/>
  <c r="N388" i="9"/>
  <c r="O404" i="9"/>
  <c r="O405" i="9"/>
  <c r="N423" i="9"/>
  <c r="R434" i="9"/>
  <c r="M434" i="9"/>
  <c r="Q450" i="9"/>
  <c r="L450" i="9"/>
  <c r="O299" i="9"/>
  <c r="T309" i="9"/>
  <c r="P333" i="9"/>
  <c r="S336" i="9"/>
  <c r="P341" i="9"/>
  <c r="S344" i="9"/>
  <c r="P349" i="9"/>
  <c r="N350" i="9"/>
  <c r="Q359" i="9"/>
  <c r="P362" i="9"/>
  <c r="L368" i="9"/>
  <c r="K372" i="9"/>
  <c r="O376" i="9"/>
  <c r="N379" i="9"/>
  <c r="K380" i="9"/>
  <c r="T382" i="9"/>
  <c r="N387" i="9"/>
  <c r="L401" i="9"/>
  <c r="K407" i="9"/>
  <c r="M409" i="9"/>
  <c r="K410" i="9"/>
  <c r="Q422" i="9"/>
  <c r="L424" i="9"/>
  <c r="Q437" i="9"/>
  <c r="L437" i="9"/>
  <c r="N442" i="9"/>
  <c r="S442" i="9"/>
  <c r="Q342" i="9"/>
  <c r="Q350" i="9"/>
  <c r="Q428" i="9"/>
  <c r="L428" i="9"/>
  <c r="O433" i="9"/>
  <c r="T433" i="9"/>
  <c r="S444" i="9"/>
  <c r="N444" i="9"/>
  <c r="T472" i="9"/>
  <c r="M485" i="9"/>
  <c r="M501" i="9"/>
  <c r="N517" i="9"/>
  <c r="M457" i="9"/>
  <c r="T460" i="9"/>
  <c r="N461" i="9"/>
  <c r="O462" i="9"/>
  <c r="M468" i="9"/>
  <c r="M469" i="9"/>
  <c r="O473" i="9"/>
  <c r="N474" i="9"/>
  <c r="M480" i="9"/>
  <c r="K481" i="9"/>
  <c r="N485" i="9"/>
  <c r="N490" i="9"/>
  <c r="N493" i="9"/>
  <c r="N498" i="9"/>
  <c r="N501" i="9"/>
  <c r="L506" i="9"/>
  <c r="L508" i="9"/>
  <c r="T510" i="9"/>
  <c r="L512" i="9"/>
  <c r="T514" i="9"/>
  <c r="M515" i="9"/>
  <c r="T516" i="9"/>
  <c r="O517" i="9"/>
  <c r="N518" i="9"/>
  <c r="P525" i="9"/>
  <c r="N526" i="9"/>
  <c r="N527" i="9"/>
  <c r="P533" i="9"/>
  <c r="M534" i="9"/>
  <c r="N535" i="9"/>
  <c r="N457" i="9"/>
  <c r="P462" i="9"/>
  <c r="T467" i="9"/>
  <c r="N469" i="9"/>
  <c r="K470" i="9"/>
  <c r="L475" i="9"/>
  <c r="N480" i="9"/>
  <c r="M481" i="9"/>
  <c r="K482" i="9"/>
  <c r="O485" i="9"/>
  <c r="K486" i="9"/>
  <c r="O490" i="9"/>
  <c r="K491" i="9"/>
  <c r="O493" i="9"/>
  <c r="L499" i="9"/>
  <c r="T500" i="9"/>
  <c r="O501" i="9"/>
  <c r="S505" i="9"/>
  <c r="S507" i="9"/>
  <c r="Q511" i="9"/>
  <c r="P512" i="9"/>
  <c r="K513" i="9"/>
  <c r="O515" i="9"/>
  <c r="O518" i="9"/>
  <c r="K519" i="9"/>
  <c r="R522" i="9"/>
  <c r="K523" i="9"/>
  <c r="O526" i="9"/>
  <c r="O527" i="9"/>
  <c r="O528" i="9"/>
  <c r="L529" i="9"/>
  <c r="K532" i="9"/>
  <c r="O534" i="9"/>
  <c r="O535" i="9"/>
  <c r="O536" i="9"/>
  <c r="K537" i="9"/>
  <c r="T441" i="9"/>
  <c r="L445" i="9"/>
  <c r="L453" i="9"/>
  <c r="O457" i="9"/>
  <c r="L464" i="9"/>
  <c r="T468" i="9"/>
  <c r="O469" i="9"/>
  <c r="L470" i="9"/>
  <c r="K471" i="9"/>
  <c r="M475" i="9"/>
  <c r="L482" i="9"/>
  <c r="L486" i="9"/>
  <c r="L491" i="9"/>
  <c r="M499" i="9"/>
  <c r="N508" i="9"/>
  <c r="K514" i="9"/>
  <c r="L523" i="9"/>
  <c r="M524" i="9"/>
  <c r="P527" i="9"/>
  <c r="M532" i="9"/>
  <c r="K538" i="9"/>
  <c r="O438" i="9"/>
  <c r="N445" i="9"/>
  <c r="L451" i="9"/>
  <c r="N453" i="9"/>
  <c r="Q454" i="9"/>
  <c r="L455" i="9"/>
  <c r="Q463" i="9"/>
  <c r="M464" i="9"/>
  <c r="K465" i="9"/>
  <c r="K466" i="9"/>
  <c r="L471" i="9"/>
  <c r="O475" i="9"/>
  <c r="L476" i="9"/>
  <c r="K477" i="9"/>
  <c r="S481" i="9"/>
  <c r="N482" i="9"/>
  <c r="K483" i="9"/>
  <c r="N486" i="9"/>
  <c r="P494" i="9"/>
  <c r="K495" i="9"/>
  <c r="O499" i="9"/>
  <c r="P502" i="9"/>
  <c r="R506" i="9"/>
  <c r="R512" i="9"/>
  <c r="Q513" i="9"/>
  <c r="L514" i="9"/>
  <c r="L516" i="9"/>
  <c r="P520" i="9"/>
  <c r="K521" i="9"/>
  <c r="T522" i="9"/>
  <c r="K530" i="9"/>
  <c r="T531" i="9"/>
  <c r="N532" i="9"/>
  <c r="S536" i="9"/>
  <c r="S515" i="9"/>
  <c r="S450" i="9"/>
  <c r="T508" i="9"/>
  <c r="R520" i="9"/>
  <c r="Q521" i="9"/>
  <c r="T529" i="9"/>
  <c r="Q503" i="9"/>
  <c r="R514" i="9"/>
  <c r="M3" i="9"/>
  <c r="R3" i="9"/>
  <c r="M19" i="9"/>
  <c r="R19" i="9"/>
  <c r="O29" i="9"/>
  <c r="T29" i="9"/>
  <c r="O74" i="9"/>
  <c r="T74" i="9"/>
  <c r="T81" i="9"/>
  <c r="O81" i="9"/>
  <c r="R320" i="9"/>
  <c r="M320" i="9"/>
  <c r="M27" i="9"/>
  <c r="R27" i="9"/>
  <c r="L50" i="9"/>
  <c r="Q50" i="9"/>
  <c r="M59" i="9"/>
  <c r="R59" i="9"/>
  <c r="R111" i="9"/>
  <c r="M111" i="9"/>
  <c r="L245" i="9"/>
  <c r="Q245" i="9"/>
  <c r="N4" i="9"/>
  <c r="S4" i="9"/>
  <c r="K9" i="9"/>
  <c r="P9" i="9"/>
  <c r="N12" i="9"/>
  <c r="S12" i="9"/>
  <c r="M35" i="9"/>
  <c r="R35" i="9"/>
  <c r="O37" i="9"/>
  <c r="T37" i="9"/>
  <c r="K41" i="9"/>
  <c r="P41" i="9"/>
  <c r="N44" i="9"/>
  <c r="S44" i="9"/>
  <c r="S69" i="9"/>
  <c r="N69" i="9"/>
  <c r="Q72" i="9"/>
  <c r="S96" i="9"/>
  <c r="N96" i="9"/>
  <c r="P206" i="9"/>
  <c r="K206" i="9"/>
  <c r="R3" i="5"/>
  <c r="U11" i="5"/>
  <c r="S3" i="5"/>
  <c r="K17" i="9"/>
  <c r="P17" i="9"/>
  <c r="N20" i="9"/>
  <c r="S20" i="9"/>
  <c r="T63" i="9"/>
  <c r="O63" i="9"/>
  <c r="N65" i="9"/>
  <c r="S65" i="9"/>
  <c r="Q94" i="9"/>
  <c r="L94" i="9"/>
  <c r="O106" i="9"/>
  <c r="T106" i="9"/>
  <c r="S197" i="9"/>
  <c r="N197" i="9"/>
  <c r="T3" i="5"/>
  <c r="L10" i="9"/>
  <c r="Q10" i="9"/>
  <c r="K25" i="9"/>
  <c r="P25" i="9"/>
  <c r="N28" i="9"/>
  <c r="S28" i="9"/>
  <c r="L42" i="9"/>
  <c r="Q42" i="9"/>
  <c r="M51" i="9"/>
  <c r="R51" i="9"/>
  <c r="O53" i="9"/>
  <c r="T53" i="9"/>
  <c r="K57" i="9"/>
  <c r="P57" i="9"/>
  <c r="N60" i="9"/>
  <c r="S60" i="9"/>
  <c r="O5" i="9"/>
  <c r="T5" i="9"/>
  <c r="L18" i="9"/>
  <c r="Q18" i="9"/>
  <c r="K33" i="9"/>
  <c r="P33" i="9"/>
  <c r="N36" i="9"/>
  <c r="S36" i="9"/>
  <c r="N67" i="9"/>
  <c r="S67" i="9"/>
  <c r="Q75" i="9"/>
  <c r="L75" i="9"/>
  <c r="M82" i="9"/>
  <c r="R82" i="9"/>
  <c r="R114" i="9"/>
  <c r="O13" i="9"/>
  <c r="T13" i="9"/>
  <c r="L26" i="9"/>
  <c r="Q26" i="9"/>
  <c r="L58" i="9"/>
  <c r="Q58" i="9"/>
  <c r="T113" i="9"/>
  <c r="O113" i="9"/>
  <c r="P185" i="9"/>
  <c r="M11" i="9"/>
  <c r="R11" i="9"/>
  <c r="O21" i="9"/>
  <c r="T21" i="9"/>
  <c r="L34" i="9"/>
  <c r="Q34" i="9"/>
  <c r="M43" i="9"/>
  <c r="R43" i="9"/>
  <c r="O45" i="9"/>
  <c r="T45" i="9"/>
  <c r="K49" i="9"/>
  <c r="P49" i="9"/>
  <c r="N52" i="9"/>
  <c r="S52" i="9"/>
  <c r="K62" i="9"/>
  <c r="P62" i="9"/>
  <c r="K64" i="9"/>
  <c r="P64" i="9"/>
  <c r="R79" i="9"/>
  <c r="M79" i="9"/>
  <c r="P90" i="9"/>
  <c r="K90" i="9"/>
  <c r="N99" i="9"/>
  <c r="S99" i="9"/>
  <c r="O122" i="9"/>
  <c r="T122" i="9"/>
  <c r="O129" i="9"/>
  <c r="T129" i="9"/>
  <c r="K134" i="9"/>
  <c r="P134" i="9"/>
  <c r="N144" i="9"/>
  <c r="S144" i="9"/>
  <c r="M152" i="9"/>
  <c r="R152" i="9"/>
  <c r="K157" i="9"/>
  <c r="P157" i="9"/>
  <c r="M159" i="9"/>
  <c r="R159" i="9"/>
  <c r="O162" i="9"/>
  <c r="T162" i="9"/>
  <c r="O169" i="9"/>
  <c r="T169" i="9"/>
  <c r="K174" i="9"/>
  <c r="P174" i="9"/>
  <c r="Q62" i="9"/>
  <c r="K63" i="9"/>
  <c r="K70" i="9"/>
  <c r="P70" i="9"/>
  <c r="K71" i="9"/>
  <c r="M72" i="9"/>
  <c r="R72" i="9"/>
  <c r="K74" i="9"/>
  <c r="S75" i="9"/>
  <c r="S77" i="9"/>
  <c r="P80" i="9"/>
  <c r="M81" i="9"/>
  <c r="Q83" i="9"/>
  <c r="N85" i="9"/>
  <c r="L87" i="9"/>
  <c r="Q87" i="9"/>
  <c r="N88" i="9"/>
  <c r="N89" i="9"/>
  <c r="S89" i="9"/>
  <c r="R90" i="9"/>
  <c r="K102" i="9"/>
  <c r="P102" i="9"/>
  <c r="M104" i="9"/>
  <c r="R104" i="9"/>
  <c r="S107" i="9"/>
  <c r="P112" i="9"/>
  <c r="K117" i="9"/>
  <c r="K118" i="9"/>
  <c r="P118" i="9"/>
  <c r="M120" i="9"/>
  <c r="R120" i="9"/>
  <c r="L127" i="9"/>
  <c r="Q127" i="9"/>
  <c r="L134" i="9"/>
  <c r="Q134" i="9"/>
  <c r="N137" i="9"/>
  <c r="S137" i="9"/>
  <c r="K142" i="9"/>
  <c r="P142" i="9"/>
  <c r="N152" i="9"/>
  <c r="S152" i="9"/>
  <c r="L167" i="9"/>
  <c r="Q167" i="9"/>
  <c r="L174" i="9"/>
  <c r="Q174" i="9"/>
  <c r="N177" i="9"/>
  <c r="S177" i="9"/>
  <c r="P187" i="9"/>
  <c r="R199" i="9"/>
  <c r="N241" i="9"/>
  <c r="S241" i="9"/>
  <c r="S269" i="9"/>
  <c r="N269" i="9"/>
  <c r="S270" i="9"/>
  <c r="N270" i="9"/>
  <c r="N333" i="9"/>
  <c r="S333" i="9"/>
  <c r="K338" i="9"/>
  <c r="P338" i="9"/>
  <c r="N341" i="9"/>
  <c r="S341" i="9"/>
  <c r="K346" i="9"/>
  <c r="P346" i="9"/>
  <c r="N349" i="9"/>
  <c r="S349" i="9"/>
  <c r="M64" i="9"/>
  <c r="R64" i="9"/>
  <c r="Q80" i="9"/>
  <c r="O82" i="9"/>
  <c r="T82" i="9"/>
  <c r="O114" i="9"/>
  <c r="T114" i="9"/>
  <c r="K125" i="9"/>
  <c r="P125" i="9"/>
  <c r="M127" i="9"/>
  <c r="R127" i="9"/>
  <c r="O130" i="9"/>
  <c r="T130" i="9"/>
  <c r="O137" i="9"/>
  <c r="T137" i="9"/>
  <c r="L142" i="9"/>
  <c r="Q142" i="9"/>
  <c r="N145" i="9"/>
  <c r="S145" i="9"/>
  <c r="K150" i="9"/>
  <c r="P150" i="9"/>
  <c r="M160" i="9"/>
  <c r="R160" i="9"/>
  <c r="K165" i="9"/>
  <c r="P165" i="9"/>
  <c r="M167" i="9"/>
  <c r="R167" i="9"/>
  <c r="O170" i="9"/>
  <c r="T170" i="9"/>
  <c r="O177" i="9"/>
  <c r="T177" i="9"/>
  <c r="O193" i="9"/>
  <c r="T193" i="9"/>
  <c r="R205" i="9"/>
  <c r="M205" i="9"/>
  <c r="P262" i="9"/>
  <c r="K262" i="9"/>
  <c r="N265" i="9"/>
  <c r="S265" i="9"/>
  <c r="L60" i="9"/>
  <c r="N61" i="9"/>
  <c r="S64" i="9"/>
  <c r="R66" i="9"/>
  <c r="L67" i="9"/>
  <c r="R73" i="9"/>
  <c r="K78" i="9"/>
  <c r="P78" i="9"/>
  <c r="K79" i="9"/>
  <c r="M80" i="9"/>
  <c r="R80" i="9"/>
  <c r="K82" i="9"/>
  <c r="S83" i="9"/>
  <c r="P88" i="9"/>
  <c r="L95" i="9"/>
  <c r="Q95" i="9"/>
  <c r="N97" i="9"/>
  <c r="S97" i="9"/>
  <c r="R98" i="9"/>
  <c r="K110" i="9"/>
  <c r="P110" i="9"/>
  <c r="M112" i="9"/>
  <c r="R112" i="9"/>
  <c r="T116" i="9"/>
  <c r="L135" i="9"/>
  <c r="Q135" i="9"/>
  <c r="O138" i="9"/>
  <c r="T138" i="9"/>
  <c r="O145" i="9"/>
  <c r="T145" i="9"/>
  <c r="L150" i="9"/>
  <c r="Q150" i="9"/>
  <c r="N153" i="9"/>
  <c r="S153" i="9"/>
  <c r="N160" i="9"/>
  <c r="S160" i="9"/>
  <c r="L175" i="9"/>
  <c r="Q175" i="9"/>
  <c r="S181" i="9"/>
  <c r="N181" i="9"/>
  <c r="Q187" i="9"/>
  <c r="L187" i="9"/>
  <c r="S205" i="9"/>
  <c r="N205" i="9"/>
  <c r="N213" i="9"/>
  <c r="S213" i="9"/>
  <c r="P229" i="9"/>
  <c r="T253" i="9"/>
  <c r="O253" i="9"/>
  <c r="T3" i="9"/>
  <c r="P7" i="9"/>
  <c r="Q8" i="9"/>
  <c r="R9" i="9"/>
  <c r="S10" i="9"/>
  <c r="T11" i="9"/>
  <c r="P15" i="9"/>
  <c r="Q16" i="9"/>
  <c r="R17" i="9"/>
  <c r="S18" i="9"/>
  <c r="T19" i="9"/>
  <c r="P23" i="9"/>
  <c r="Q24" i="9"/>
  <c r="R25" i="9"/>
  <c r="S26" i="9"/>
  <c r="T27" i="9"/>
  <c r="P31" i="9"/>
  <c r="Q32" i="9"/>
  <c r="R33" i="9"/>
  <c r="S34" i="9"/>
  <c r="T35" i="9"/>
  <c r="P39" i="9"/>
  <c r="Q40" i="9"/>
  <c r="R41" i="9"/>
  <c r="S42" i="9"/>
  <c r="T43" i="9"/>
  <c r="P47" i="9"/>
  <c r="Q48" i="9"/>
  <c r="R49" i="9"/>
  <c r="S50" i="9"/>
  <c r="T51" i="9"/>
  <c r="P55" i="9"/>
  <c r="Q56" i="9"/>
  <c r="R57" i="9"/>
  <c r="S58" i="9"/>
  <c r="T59" i="9"/>
  <c r="O89" i="9"/>
  <c r="O90" i="9"/>
  <c r="T90" i="9"/>
  <c r="M128" i="9"/>
  <c r="R128" i="9"/>
  <c r="K133" i="9"/>
  <c r="P133" i="9"/>
  <c r="M135" i="9"/>
  <c r="R135" i="9"/>
  <c r="L143" i="9"/>
  <c r="Q143" i="9"/>
  <c r="O146" i="9"/>
  <c r="T146" i="9"/>
  <c r="O153" i="9"/>
  <c r="T153" i="9"/>
  <c r="K158" i="9"/>
  <c r="P158" i="9"/>
  <c r="M168" i="9"/>
  <c r="R168" i="9"/>
  <c r="K173" i="9"/>
  <c r="P173" i="9"/>
  <c r="M175" i="9"/>
  <c r="R175" i="9"/>
  <c r="O178" i="9"/>
  <c r="T178" i="9"/>
  <c r="N214" i="9"/>
  <c r="S214" i="9"/>
  <c r="S220" i="9"/>
  <c r="N220" i="9"/>
  <c r="L63" i="9"/>
  <c r="Q63" i="9"/>
  <c r="O66" i="9"/>
  <c r="T66" i="9"/>
  <c r="L71" i="9"/>
  <c r="Q71" i="9"/>
  <c r="N72" i="9"/>
  <c r="N73" i="9"/>
  <c r="S73" i="9"/>
  <c r="R74" i="9"/>
  <c r="K86" i="9"/>
  <c r="P86" i="9"/>
  <c r="O86" i="9"/>
  <c r="M88" i="9"/>
  <c r="R88" i="9"/>
  <c r="S91" i="9"/>
  <c r="P96" i="9"/>
  <c r="L103" i="9"/>
  <c r="Q103" i="9"/>
  <c r="N104" i="9"/>
  <c r="N105" i="9"/>
  <c r="S105" i="9"/>
  <c r="R106" i="9"/>
  <c r="S115" i="9"/>
  <c r="L119" i="9"/>
  <c r="Q119" i="9"/>
  <c r="N120" i="9"/>
  <c r="N121" i="9"/>
  <c r="S121" i="9"/>
  <c r="N128" i="9"/>
  <c r="S128" i="9"/>
  <c r="K141" i="9"/>
  <c r="P141" i="9"/>
  <c r="M143" i="9"/>
  <c r="R143" i="9"/>
  <c r="L151" i="9"/>
  <c r="Q151" i="9"/>
  <c r="L158" i="9"/>
  <c r="Q158" i="9"/>
  <c r="N161" i="9"/>
  <c r="S161" i="9"/>
  <c r="N168" i="9"/>
  <c r="S168" i="9"/>
  <c r="S188" i="9"/>
  <c r="P194" i="9"/>
  <c r="K194" i="9"/>
  <c r="Q194" i="9"/>
  <c r="K210" i="9"/>
  <c r="P210" i="9"/>
  <c r="R247" i="9"/>
  <c r="L70" i="9"/>
  <c r="M87" i="9"/>
  <c r="O98" i="9"/>
  <c r="T98" i="9"/>
  <c r="L102" i="9"/>
  <c r="L118" i="9"/>
  <c r="K126" i="9"/>
  <c r="P126" i="9"/>
  <c r="M136" i="9"/>
  <c r="R136" i="9"/>
  <c r="K149" i="9"/>
  <c r="P149" i="9"/>
  <c r="M151" i="9"/>
  <c r="R151" i="9"/>
  <c r="O154" i="9"/>
  <c r="T154" i="9"/>
  <c r="O161" i="9"/>
  <c r="T161" i="9"/>
  <c r="K166" i="9"/>
  <c r="P166" i="9"/>
  <c r="M176" i="9"/>
  <c r="R176" i="9"/>
  <c r="K180" i="9"/>
  <c r="P180" i="9"/>
  <c r="T186" i="9"/>
  <c r="O186" i="9"/>
  <c r="R192" i="9"/>
  <c r="M192" i="9"/>
  <c r="R209" i="9"/>
  <c r="M209" i="9"/>
  <c r="L247" i="9"/>
  <c r="Q247" i="9"/>
  <c r="N62" i="9"/>
  <c r="P72" i="9"/>
  <c r="L79" i="9"/>
  <c r="Q79" i="9"/>
  <c r="N80" i="9"/>
  <c r="N81" i="9"/>
  <c r="S81" i="9"/>
  <c r="K94" i="9"/>
  <c r="P94" i="9"/>
  <c r="M96" i="9"/>
  <c r="R96" i="9"/>
  <c r="P104" i="9"/>
  <c r="L111" i="9"/>
  <c r="Q111" i="9"/>
  <c r="N112" i="9"/>
  <c r="N113" i="9"/>
  <c r="S113" i="9"/>
  <c r="P120" i="9"/>
  <c r="L126" i="9"/>
  <c r="Q126" i="9"/>
  <c r="N129" i="9"/>
  <c r="S129" i="9"/>
  <c r="N136" i="9"/>
  <c r="S136" i="9"/>
  <c r="M144" i="9"/>
  <c r="R144" i="9"/>
  <c r="L159" i="9"/>
  <c r="Q159" i="9"/>
  <c r="L166" i="9"/>
  <c r="Q166" i="9"/>
  <c r="N169" i="9"/>
  <c r="S169" i="9"/>
  <c r="N176" i="9"/>
  <c r="S176" i="9"/>
  <c r="R181" i="9"/>
  <c r="O182" i="9"/>
  <c r="R187" i="9"/>
  <c r="P189" i="9"/>
  <c r="O191" i="9"/>
  <c r="S192" i="9"/>
  <c r="M193" i="9"/>
  <c r="O198" i="9"/>
  <c r="M200" i="9"/>
  <c r="T201" i="9"/>
  <c r="N202" i="9"/>
  <c r="L208" i="9"/>
  <c r="K211" i="9"/>
  <c r="P211" i="9"/>
  <c r="O214" i="9"/>
  <c r="T214" i="9"/>
  <c r="O215" i="9"/>
  <c r="T215" i="9"/>
  <c r="L229" i="9"/>
  <c r="Q229" i="9"/>
  <c r="R238" i="9"/>
  <c r="T248" i="9"/>
  <c r="P252" i="9"/>
  <c r="Q254" i="9"/>
  <c r="R261" i="9"/>
  <c r="M261" i="9"/>
  <c r="S273" i="9"/>
  <c r="Q276" i="9"/>
  <c r="L276" i="9"/>
  <c r="N179" i="9"/>
  <c r="Q182" i="9"/>
  <c r="T185" i="9"/>
  <c r="N186" i="9"/>
  <c r="N193" i="9"/>
  <c r="Q198" i="9"/>
  <c r="S201" i="9"/>
  <c r="N201" i="9"/>
  <c r="Q207" i="9"/>
  <c r="L207" i="9"/>
  <c r="L211" i="9"/>
  <c r="Q211" i="9"/>
  <c r="K232" i="9"/>
  <c r="P232" i="9"/>
  <c r="P249" i="9"/>
  <c r="K249" i="9"/>
  <c r="S261" i="9"/>
  <c r="N261" i="9"/>
  <c r="N306" i="9"/>
  <c r="S306" i="9"/>
  <c r="S180" i="9"/>
  <c r="R191" i="9"/>
  <c r="P193" i="9"/>
  <c r="S196" i="9"/>
  <c r="L212" i="9"/>
  <c r="Q212" i="9"/>
  <c r="K218" i="9"/>
  <c r="P218" i="9"/>
  <c r="O223" i="9"/>
  <c r="T223" i="9"/>
  <c r="P225" i="9"/>
  <c r="K225" i="9"/>
  <c r="O234" i="9"/>
  <c r="T234" i="9"/>
  <c r="L236" i="9"/>
  <c r="Q236" i="9"/>
  <c r="Q243" i="9"/>
  <c r="L243" i="9"/>
  <c r="Q186" i="9"/>
  <c r="T189" i="9"/>
  <c r="O206" i="9"/>
  <c r="T206" i="9"/>
  <c r="M212" i="9"/>
  <c r="R212" i="9"/>
  <c r="Q226" i="9"/>
  <c r="L226" i="9"/>
  <c r="R243" i="9"/>
  <c r="M243" i="9"/>
  <c r="P245" i="9"/>
  <c r="L252" i="9"/>
  <c r="Q252" i="9"/>
  <c r="Q259" i="9"/>
  <c r="L259" i="9"/>
  <c r="R267" i="9"/>
  <c r="M267" i="9"/>
  <c r="L271" i="9"/>
  <c r="Q271" i="9"/>
  <c r="Q292" i="9"/>
  <c r="L292" i="9"/>
  <c r="P181" i="9"/>
  <c r="S184" i="9"/>
  <c r="R195" i="9"/>
  <c r="P197" i="9"/>
  <c r="S200" i="9"/>
  <c r="P205" i="9"/>
  <c r="R208" i="9"/>
  <c r="M208" i="9"/>
  <c r="L219" i="9"/>
  <c r="Q219" i="9"/>
  <c r="Q222" i="9"/>
  <c r="M226" i="9"/>
  <c r="R226" i="9"/>
  <c r="R259" i="9"/>
  <c r="M259" i="9"/>
  <c r="Q190" i="9"/>
  <c r="T202" i="9"/>
  <c r="O202" i="9"/>
  <c r="N206" i="9"/>
  <c r="N210" i="9"/>
  <c r="M213" i="9"/>
  <c r="R213" i="9"/>
  <c r="R219" i="9"/>
  <c r="M219" i="9"/>
  <c r="M222" i="9"/>
  <c r="R222" i="9"/>
  <c r="O230" i="9"/>
  <c r="T230" i="9"/>
  <c r="T237" i="9"/>
  <c r="O237" i="9"/>
  <c r="M270" i="9"/>
  <c r="R270" i="9"/>
  <c r="Q284" i="9"/>
  <c r="L284" i="9"/>
  <c r="N209" i="9"/>
  <c r="O210" i="9"/>
  <c r="K214" i="9"/>
  <c r="L215" i="9"/>
  <c r="M216" i="9"/>
  <c r="N217" i="9"/>
  <c r="O218" i="9"/>
  <c r="L220" i="9"/>
  <c r="O221" i="9"/>
  <c r="M224" i="9"/>
  <c r="O225" i="9"/>
  <c r="K227" i="9"/>
  <c r="N228" i="9"/>
  <c r="K230" i="9"/>
  <c r="M231" i="9"/>
  <c r="K234" i="9"/>
  <c r="M235" i="9"/>
  <c r="S238" i="9"/>
  <c r="R240" i="9"/>
  <c r="M244" i="9"/>
  <c r="R245" i="9"/>
  <c r="S247" i="9"/>
  <c r="T250" i="9"/>
  <c r="S254" i="9"/>
  <c r="R256" i="9"/>
  <c r="R264" i="9"/>
  <c r="P266" i="9"/>
  <c r="K266" i="9"/>
  <c r="O266" i="9"/>
  <c r="P268" i="9"/>
  <c r="T270" i="9"/>
  <c r="O270" i="9"/>
  <c r="P274" i="9"/>
  <c r="K274" i="9"/>
  <c r="K275" i="9"/>
  <c r="R276" i="9"/>
  <c r="M276" i="9"/>
  <c r="K283" i="9"/>
  <c r="R284" i="9"/>
  <c r="M284" i="9"/>
  <c r="L316" i="9"/>
  <c r="Q316" i="9"/>
  <c r="Q327" i="9"/>
  <c r="L327" i="9"/>
  <c r="K330" i="9"/>
  <c r="P330" i="9"/>
  <c r="S219" i="9"/>
  <c r="P221" i="9"/>
  <c r="L223" i="9"/>
  <c r="N224" i="9"/>
  <c r="Q225" i="9"/>
  <c r="O228" i="9"/>
  <c r="L230" i="9"/>
  <c r="S233" i="9"/>
  <c r="L234" i="9"/>
  <c r="N235" i="9"/>
  <c r="S240" i="9"/>
  <c r="O242" i="9"/>
  <c r="N244" i="9"/>
  <c r="M248" i="9"/>
  <c r="K250" i="9"/>
  <c r="S256" i="9"/>
  <c r="O258" i="9"/>
  <c r="P260" i="9"/>
  <c r="K267" i="9"/>
  <c r="R272" i="9"/>
  <c r="K278" i="9"/>
  <c r="P278" i="9"/>
  <c r="N281" i="9"/>
  <c r="S281" i="9"/>
  <c r="P282" i="9"/>
  <c r="K282" i="9"/>
  <c r="K286" i="9"/>
  <c r="P286" i="9"/>
  <c r="N289" i="9"/>
  <c r="S289" i="9"/>
  <c r="P290" i="9"/>
  <c r="K290" i="9"/>
  <c r="Q294" i="9"/>
  <c r="R308" i="9"/>
  <c r="M308" i="9"/>
  <c r="P237" i="9"/>
  <c r="T240" i="9"/>
  <c r="Q246" i="9"/>
  <c r="P253" i="9"/>
  <c r="T256" i="9"/>
  <c r="T262" i="9"/>
  <c r="O262" i="9"/>
  <c r="T264" i="9"/>
  <c r="R268" i="9"/>
  <c r="M268" i="9"/>
  <c r="L279" i="9"/>
  <c r="Q279" i="9"/>
  <c r="L287" i="9"/>
  <c r="Q287" i="9"/>
  <c r="S297" i="9"/>
  <c r="N297" i="9"/>
  <c r="Q303" i="9"/>
  <c r="L303" i="9"/>
  <c r="Q310" i="9"/>
  <c r="P314" i="9"/>
  <c r="K314" i="9"/>
  <c r="Q237" i="9"/>
  <c r="R239" i="9"/>
  <c r="P244" i="9"/>
  <c r="R246" i="9"/>
  <c r="T249" i="9"/>
  <c r="Q253" i="9"/>
  <c r="R255" i="9"/>
  <c r="R260" i="9"/>
  <c r="M260" i="9"/>
  <c r="Q269" i="9"/>
  <c r="T272" i="9"/>
  <c r="S277" i="9"/>
  <c r="N277" i="9"/>
  <c r="S285" i="9"/>
  <c r="N285" i="9"/>
  <c r="P220" i="9"/>
  <c r="T232" i="9"/>
  <c r="M236" i="9"/>
  <c r="S239" i="9"/>
  <c r="M252" i="9"/>
  <c r="S255" i="9"/>
  <c r="S263" i="9"/>
  <c r="Q275" i="9"/>
  <c r="L275" i="9"/>
  <c r="Q283" i="9"/>
  <c r="L283" i="9"/>
  <c r="Q291" i="9"/>
  <c r="L291" i="9"/>
  <c r="S313" i="9"/>
  <c r="N313" i="9"/>
  <c r="L218" i="9"/>
  <c r="S231" i="9"/>
  <c r="N236" i="9"/>
  <c r="K242" i="9"/>
  <c r="O245" i="9"/>
  <c r="S248" i="9"/>
  <c r="N252" i="9"/>
  <c r="K258" i="9"/>
  <c r="Q267" i="9"/>
  <c r="L267" i="9"/>
  <c r="M277" i="9"/>
  <c r="T278" i="9"/>
  <c r="O278" i="9"/>
  <c r="M280" i="9"/>
  <c r="R280" i="9"/>
  <c r="O282" i="9"/>
  <c r="T282" i="9"/>
  <c r="M285" i="9"/>
  <c r="T286" i="9"/>
  <c r="O286" i="9"/>
  <c r="M288" i="9"/>
  <c r="R288" i="9"/>
  <c r="O290" i="9"/>
  <c r="T290" i="9"/>
  <c r="T322" i="9"/>
  <c r="O322" i="9"/>
  <c r="N529" i="9"/>
  <c r="S529" i="9"/>
  <c r="O298" i="9"/>
  <c r="R303" i="9"/>
  <c r="P305" i="9"/>
  <c r="O307" i="9"/>
  <c r="S308" i="9"/>
  <c r="M309" i="9"/>
  <c r="L311" i="9"/>
  <c r="L314" i="9"/>
  <c r="Q314" i="9"/>
  <c r="L315" i="9"/>
  <c r="M317" i="9"/>
  <c r="K322" i="9"/>
  <c r="S329" i="9"/>
  <c r="N329" i="9"/>
  <c r="S354" i="9"/>
  <c r="N354" i="9"/>
  <c r="S359" i="9"/>
  <c r="N359" i="9"/>
  <c r="S294" i="9"/>
  <c r="Q298" i="9"/>
  <c r="S310" i="9"/>
  <c r="N316" i="9"/>
  <c r="S316" i="9"/>
  <c r="O326" i="9"/>
  <c r="T326" i="9"/>
  <c r="L331" i="9"/>
  <c r="Q331" i="9"/>
  <c r="O334" i="9"/>
  <c r="T334" i="9"/>
  <c r="L339" i="9"/>
  <c r="Q339" i="9"/>
  <c r="O342" i="9"/>
  <c r="T342" i="9"/>
  <c r="L347" i="9"/>
  <c r="Q347" i="9"/>
  <c r="O350" i="9"/>
  <c r="T350" i="9"/>
  <c r="M372" i="9"/>
  <c r="R372" i="9"/>
  <c r="M390" i="9"/>
  <c r="R390" i="9"/>
  <c r="K396" i="9"/>
  <c r="P396" i="9"/>
  <c r="N424" i="9"/>
  <c r="S424" i="9"/>
  <c r="P293" i="9"/>
  <c r="S296" i="9"/>
  <c r="T303" i="9"/>
  <c r="M304" i="9"/>
  <c r="R305" i="9"/>
  <c r="R307" i="9"/>
  <c r="P309" i="9"/>
  <c r="S312" i="9"/>
  <c r="P317" i="9"/>
  <c r="K318" i="9"/>
  <c r="T321" i="9"/>
  <c r="K323" i="9"/>
  <c r="M357" i="9"/>
  <c r="R357" i="9"/>
  <c r="T384" i="9"/>
  <c r="O384" i="9"/>
  <c r="P292" i="9"/>
  <c r="Q293" i="9"/>
  <c r="Q302" i="9"/>
  <c r="T305" i="9"/>
  <c r="R319" i="9"/>
  <c r="P325" i="9"/>
  <c r="N326" i="9"/>
  <c r="R328" i="9"/>
  <c r="M328" i="9"/>
  <c r="T330" i="9"/>
  <c r="O330" i="9"/>
  <c r="K353" i="9"/>
  <c r="P353" i="9"/>
  <c r="T371" i="9"/>
  <c r="O371" i="9"/>
  <c r="R295" i="9"/>
  <c r="P297" i="9"/>
  <c r="S300" i="9"/>
  <c r="R311" i="9"/>
  <c r="K313" i="9"/>
  <c r="P313" i="9"/>
  <c r="M315" i="9"/>
  <c r="R315" i="9"/>
  <c r="S321" i="9"/>
  <c r="N321" i="9"/>
  <c r="M332" i="9"/>
  <c r="R332" i="9"/>
  <c r="M340" i="9"/>
  <c r="R340" i="9"/>
  <c r="M348" i="9"/>
  <c r="R348" i="9"/>
  <c r="N301" i="9"/>
  <c r="Q306" i="9"/>
  <c r="O318" i="9"/>
  <c r="P326" i="9"/>
  <c r="K326" i="9"/>
  <c r="K331" i="9"/>
  <c r="P360" i="9"/>
  <c r="K360" i="9"/>
  <c r="P364" i="9"/>
  <c r="K370" i="9"/>
  <c r="P370" i="9"/>
  <c r="Q376" i="9"/>
  <c r="L376" i="9"/>
  <c r="O294" i="9"/>
  <c r="M296" i="9"/>
  <c r="R299" i="9"/>
  <c r="P301" i="9"/>
  <c r="S304" i="9"/>
  <c r="L307" i="9"/>
  <c r="O310" i="9"/>
  <c r="M312" i="9"/>
  <c r="T313" i="9"/>
  <c r="O317" i="9"/>
  <c r="T317" i="9"/>
  <c r="Q318" i="9"/>
  <c r="L324" i="9"/>
  <c r="S375" i="9"/>
  <c r="N375" i="9"/>
  <c r="K334" i="9"/>
  <c r="L335" i="9"/>
  <c r="M336" i="9"/>
  <c r="N337" i="9"/>
  <c r="O338" i="9"/>
  <c r="K342" i="9"/>
  <c r="L343" i="9"/>
  <c r="M344" i="9"/>
  <c r="N345" i="9"/>
  <c r="O346" i="9"/>
  <c r="K350" i="9"/>
  <c r="L351" i="9"/>
  <c r="M352" i="9"/>
  <c r="K355" i="9"/>
  <c r="P355" i="9"/>
  <c r="O359" i="9"/>
  <c r="T359" i="9"/>
  <c r="O360" i="9"/>
  <c r="N362" i="9"/>
  <c r="L364" i="9"/>
  <c r="Q364" i="9"/>
  <c r="L365" i="9"/>
  <c r="T366" i="9"/>
  <c r="L369" i="9"/>
  <c r="M374" i="9"/>
  <c r="O375" i="9"/>
  <c r="T375" i="9"/>
  <c r="S378" i="9"/>
  <c r="N378" i="9"/>
  <c r="K379" i="9"/>
  <c r="P379" i="9"/>
  <c r="N383" i="9"/>
  <c r="N390" i="9"/>
  <c r="S390" i="9"/>
  <c r="L397" i="9"/>
  <c r="Q397" i="9"/>
  <c r="N407" i="9"/>
  <c r="S407" i="9"/>
  <c r="Q478" i="9"/>
  <c r="L478" i="9"/>
  <c r="N491" i="9"/>
  <c r="S491" i="9"/>
  <c r="N352" i="9"/>
  <c r="O356" i="9"/>
  <c r="K359" i="9"/>
  <c r="N366" i="9"/>
  <c r="S366" i="9"/>
  <c r="N367" i="9"/>
  <c r="M369" i="9"/>
  <c r="N371" i="9"/>
  <c r="M373" i="9"/>
  <c r="R373" i="9"/>
  <c r="L381" i="9"/>
  <c r="N382" i="9"/>
  <c r="S382" i="9"/>
  <c r="P383" i="9"/>
  <c r="K383" i="9"/>
  <c r="N391" i="9"/>
  <c r="S391" i="9"/>
  <c r="S413" i="9"/>
  <c r="N413" i="9"/>
  <c r="P321" i="9"/>
  <c r="Q322" i="9"/>
  <c r="R323" i="9"/>
  <c r="S324" i="9"/>
  <c r="T325" i="9"/>
  <c r="P329" i="9"/>
  <c r="Q330" i="9"/>
  <c r="R331" i="9"/>
  <c r="S332" i="9"/>
  <c r="T333" i="9"/>
  <c r="P337" i="9"/>
  <c r="Q338" i="9"/>
  <c r="R339" i="9"/>
  <c r="S340" i="9"/>
  <c r="T341" i="9"/>
  <c r="P345" i="9"/>
  <c r="Q346" i="9"/>
  <c r="R347" i="9"/>
  <c r="S348" i="9"/>
  <c r="T349" i="9"/>
  <c r="M354" i="9"/>
  <c r="L380" i="9"/>
  <c r="Q380" i="9"/>
  <c r="O391" i="9"/>
  <c r="T391" i="9"/>
  <c r="M398" i="9"/>
  <c r="R398" i="9"/>
  <c r="S426" i="9"/>
  <c r="O455" i="9"/>
  <c r="T455" i="9"/>
  <c r="N465" i="9"/>
  <c r="S465" i="9"/>
  <c r="L356" i="9"/>
  <c r="Q356" i="9"/>
  <c r="K371" i="9"/>
  <c r="P371" i="9"/>
  <c r="R377" i="9"/>
  <c r="M377" i="9"/>
  <c r="O392" i="9"/>
  <c r="T392" i="9"/>
  <c r="K404" i="9"/>
  <c r="P404" i="9"/>
  <c r="P437" i="9"/>
  <c r="O439" i="9"/>
  <c r="T439" i="9"/>
  <c r="N440" i="9"/>
  <c r="S440" i="9"/>
  <c r="T454" i="9"/>
  <c r="O454" i="9"/>
  <c r="N358" i="9"/>
  <c r="S358" i="9"/>
  <c r="M365" i="9"/>
  <c r="R365" i="9"/>
  <c r="P375" i="9"/>
  <c r="K375" i="9"/>
  <c r="T379" i="9"/>
  <c r="O379" i="9"/>
  <c r="Q384" i="9"/>
  <c r="L384" i="9"/>
  <c r="K387" i="9"/>
  <c r="P387" i="9"/>
  <c r="K388" i="9"/>
  <c r="P388" i="9"/>
  <c r="N399" i="9"/>
  <c r="S399" i="9"/>
  <c r="L405" i="9"/>
  <c r="Q405" i="9"/>
  <c r="M416" i="9"/>
  <c r="R416" i="9"/>
  <c r="K422" i="9"/>
  <c r="P422" i="9"/>
  <c r="L353" i="9"/>
  <c r="P354" i="9"/>
  <c r="L360" i="9"/>
  <c r="K363" i="9"/>
  <c r="P363" i="9"/>
  <c r="Q363" i="9"/>
  <c r="O367" i="9"/>
  <c r="T367" i="9"/>
  <c r="M370" i="9"/>
  <c r="L373" i="9"/>
  <c r="N374" i="9"/>
  <c r="S374" i="9"/>
  <c r="M381" i="9"/>
  <c r="R381" i="9"/>
  <c r="M382" i="9"/>
  <c r="O383" i="9"/>
  <c r="T383" i="9"/>
  <c r="L388" i="9"/>
  <c r="Q388" i="9"/>
  <c r="L389" i="9"/>
  <c r="Q389" i="9"/>
  <c r="N355" i="9"/>
  <c r="O364" i="9"/>
  <c r="L372" i="9"/>
  <c r="Q372" i="9"/>
  <c r="M389" i="9"/>
  <c r="R389" i="9"/>
  <c r="O400" i="9"/>
  <c r="T400" i="9"/>
  <c r="M406" i="9"/>
  <c r="R406" i="9"/>
  <c r="Q420" i="9"/>
  <c r="L420" i="9"/>
  <c r="S410" i="9"/>
  <c r="K414" i="9"/>
  <c r="P414" i="9"/>
  <c r="S418" i="9"/>
  <c r="O426" i="9"/>
  <c r="T426" i="9"/>
  <c r="N430" i="9"/>
  <c r="S430" i="9"/>
  <c r="K435" i="9"/>
  <c r="P435" i="9"/>
  <c r="R441" i="9"/>
  <c r="P457" i="9"/>
  <c r="K457" i="9"/>
  <c r="R483" i="9"/>
  <c r="M483" i="9"/>
  <c r="N519" i="9"/>
  <c r="S519" i="9"/>
  <c r="M385" i="9"/>
  <c r="N386" i="9"/>
  <c r="O387" i="9"/>
  <c r="K391" i="9"/>
  <c r="L392" i="9"/>
  <c r="M393" i="9"/>
  <c r="N394" i="9"/>
  <c r="O395" i="9"/>
  <c r="K399" i="9"/>
  <c r="L400" i="9"/>
  <c r="M401" i="9"/>
  <c r="N402" i="9"/>
  <c r="T410" i="9"/>
  <c r="O418" i="9"/>
  <c r="T418" i="9"/>
  <c r="P423" i="9"/>
  <c r="M437" i="9"/>
  <c r="R437" i="9"/>
  <c r="L444" i="9"/>
  <c r="Q444" i="9"/>
  <c r="P453" i="9"/>
  <c r="Q462" i="9"/>
  <c r="L462" i="9"/>
  <c r="R467" i="9"/>
  <c r="M467" i="9"/>
  <c r="P395" i="9"/>
  <c r="Q396" i="9"/>
  <c r="R397" i="9"/>
  <c r="S398" i="9"/>
  <c r="T399" i="9"/>
  <c r="P403" i="9"/>
  <c r="Q404" i="9"/>
  <c r="R405" i="9"/>
  <c r="S406" i="9"/>
  <c r="L423" i="9"/>
  <c r="Q423" i="9"/>
  <c r="R423" i="9"/>
  <c r="P429" i="9"/>
  <c r="O431" i="9"/>
  <c r="T431" i="9"/>
  <c r="T435" i="9"/>
  <c r="N446" i="9"/>
  <c r="S446" i="9"/>
  <c r="K451" i="9"/>
  <c r="P451" i="9"/>
  <c r="S460" i="9"/>
  <c r="N460" i="9"/>
  <c r="Q469" i="9"/>
  <c r="N487" i="9"/>
  <c r="S487" i="9"/>
  <c r="P386" i="9"/>
  <c r="Q387" i="9"/>
  <c r="R388" i="9"/>
  <c r="S389" i="9"/>
  <c r="T390" i="9"/>
  <c r="P394" i="9"/>
  <c r="Q395" i="9"/>
  <c r="R396" i="9"/>
  <c r="S397" i="9"/>
  <c r="T398" i="9"/>
  <c r="P402" i="9"/>
  <c r="Q403" i="9"/>
  <c r="R404" i="9"/>
  <c r="S405" i="9"/>
  <c r="T406" i="9"/>
  <c r="S409" i="9"/>
  <c r="L415" i="9"/>
  <c r="Q415" i="9"/>
  <c r="R415" i="9"/>
  <c r="N425" i="9"/>
  <c r="S425" i="9"/>
  <c r="T425" i="9"/>
  <c r="T427" i="9"/>
  <c r="R433" i="9"/>
  <c r="M453" i="9"/>
  <c r="R453" i="9"/>
  <c r="P454" i="9"/>
  <c r="K454" i="9"/>
  <c r="S472" i="9"/>
  <c r="N472" i="9"/>
  <c r="M496" i="9"/>
  <c r="R496" i="9"/>
  <c r="M510" i="9"/>
  <c r="R510" i="9"/>
  <c r="T409" i="9"/>
  <c r="N417" i="9"/>
  <c r="S417" i="9"/>
  <c r="L436" i="9"/>
  <c r="Q436" i="9"/>
  <c r="P445" i="9"/>
  <c r="O447" i="9"/>
  <c r="T447" i="9"/>
  <c r="L501" i="9"/>
  <c r="Q501" i="9"/>
  <c r="N504" i="9"/>
  <c r="S504" i="9"/>
  <c r="O407" i="9"/>
  <c r="R408" i="9"/>
  <c r="L412" i="9"/>
  <c r="P413" i="9"/>
  <c r="M420" i="9"/>
  <c r="N422" i="9"/>
  <c r="K427" i="9"/>
  <c r="R431" i="9"/>
  <c r="N438" i="9"/>
  <c r="S438" i="9"/>
  <c r="K443" i="9"/>
  <c r="P443" i="9"/>
  <c r="R449" i="9"/>
  <c r="M454" i="9"/>
  <c r="R454" i="9"/>
  <c r="R455" i="9"/>
  <c r="M455" i="9"/>
  <c r="K456" i="9"/>
  <c r="P456" i="9"/>
  <c r="T489" i="9"/>
  <c r="O489" i="9"/>
  <c r="M412" i="9"/>
  <c r="N414" i="9"/>
  <c r="K419" i="9"/>
  <c r="O422" i="9"/>
  <c r="M424" i="9"/>
  <c r="R424" i="9"/>
  <c r="L427" i="9"/>
  <c r="M445" i="9"/>
  <c r="R445" i="9"/>
  <c r="Q446" i="9"/>
  <c r="P447" i="9"/>
  <c r="T449" i="9"/>
  <c r="L452" i="9"/>
  <c r="Q452" i="9"/>
  <c r="P430" i="9"/>
  <c r="Q431" i="9"/>
  <c r="R432" i="9"/>
  <c r="S433" i="9"/>
  <c r="T434" i="9"/>
  <c r="P438" i="9"/>
  <c r="Q439" i="9"/>
  <c r="R440" i="9"/>
  <c r="S441" i="9"/>
  <c r="T442" i="9"/>
  <c r="P446" i="9"/>
  <c r="Q447" i="9"/>
  <c r="R448" i="9"/>
  <c r="S449" i="9"/>
  <c r="T450" i="9"/>
  <c r="T458" i="9"/>
  <c r="R460" i="9"/>
  <c r="R462" i="9"/>
  <c r="P464" i="9"/>
  <c r="S467" i="9"/>
  <c r="T474" i="9"/>
  <c r="R476" i="9"/>
  <c r="R478" i="9"/>
  <c r="P480" i="9"/>
  <c r="S483" i="9"/>
  <c r="P488" i="9"/>
  <c r="O504" i="9"/>
  <c r="T504" i="9"/>
  <c r="K508" i="9"/>
  <c r="P508" i="9"/>
  <c r="N468" i="9"/>
  <c r="Q473" i="9"/>
  <c r="T476" i="9"/>
  <c r="N477" i="9"/>
  <c r="N484" i="9"/>
  <c r="R490" i="9"/>
  <c r="K492" i="9"/>
  <c r="P492" i="9"/>
  <c r="M494" i="9"/>
  <c r="R494" i="9"/>
  <c r="O496" i="9"/>
  <c r="T496" i="9"/>
  <c r="S497" i="9"/>
  <c r="S499" i="9"/>
  <c r="L502" i="9"/>
  <c r="Q502" i="9"/>
  <c r="O505" i="9"/>
  <c r="T505" i="9"/>
  <c r="M511" i="9"/>
  <c r="R511" i="9"/>
  <c r="L517" i="9"/>
  <c r="Q517" i="9"/>
  <c r="P518" i="9"/>
  <c r="O537" i="9"/>
  <c r="T537" i="9"/>
  <c r="L458" i="9"/>
  <c r="O461" i="9"/>
  <c r="M463" i="9"/>
  <c r="R466" i="9"/>
  <c r="P468" i="9"/>
  <c r="O470" i="9"/>
  <c r="S471" i="9"/>
  <c r="M472" i="9"/>
  <c r="L474" i="9"/>
  <c r="O477" i="9"/>
  <c r="M479" i="9"/>
  <c r="R482" i="9"/>
  <c r="K484" i="9"/>
  <c r="P484" i="9"/>
  <c r="K485" i="9"/>
  <c r="M486" i="9"/>
  <c r="R486" i="9"/>
  <c r="L487" i="9"/>
  <c r="N489" i="9"/>
  <c r="M502" i="9"/>
  <c r="R502" i="9"/>
  <c r="N511" i="9"/>
  <c r="S511" i="9"/>
  <c r="O520" i="9"/>
  <c r="T520" i="9"/>
  <c r="Q461" i="9"/>
  <c r="T464" i="9"/>
  <c r="K469" i="9"/>
  <c r="Q477" i="9"/>
  <c r="T480" i="9"/>
  <c r="M487" i="9"/>
  <c r="M491" i="9"/>
  <c r="T492" i="9"/>
  <c r="Q495" i="9"/>
  <c r="N496" i="9"/>
  <c r="R498" i="9"/>
  <c r="K500" i="9"/>
  <c r="P500" i="9"/>
  <c r="K509" i="9"/>
  <c r="P509" i="9"/>
  <c r="S513" i="9"/>
  <c r="S459" i="9"/>
  <c r="O465" i="9"/>
  <c r="R470" i="9"/>
  <c r="P472" i="9"/>
  <c r="S475" i="9"/>
  <c r="O481" i="9"/>
  <c r="T484" i="9"/>
  <c r="O488" i="9"/>
  <c r="T488" i="9"/>
  <c r="Q489" i="9"/>
  <c r="L494" i="9"/>
  <c r="P496" i="9"/>
  <c r="M503" i="9"/>
  <c r="R503" i="9"/>
  <c r="R504" i="9"/>
  <c r="L509" i="9"/>
  <c r="Q509" i="9"/>
  <c r="P510" i="9"/>
  <c r="N512" i="9"/>
  <c r="S512" i="9"/>
  <c r="M518" i="9"/>
  <c r="R518" i="9"/>
  <c r="Q519" i="9"/>
  <c r="Q465" i="9"/>
  <c r="Q481" i="9"/>
  <c r="L493" i="9"/>
  <c r="Q493" i="9"/>
  <c r="N495" i="9"/>
  <c r="S495" i="9"/>
  <c r="T498" i="9"/>
  <c r="N503" i="9"/>
  <c r="S503" i="9"/>
  <c r="O512" i="9"/>
  <c r="T512" i="9"/>
  <c r="K516" i="9"/>
  <c r="P516" i="9"/>
  <c r="L534" i="9"/>
  <c r="Q534" i="9"/>
  <c r="T456" i="9"/>
  <c r="R458" i="9"/>
  <c r="P460" i="9"/>
  <c r="S463" i="9"/>
  <c r="R474" i="9"/>
  <c r="P476" i="9"/>
  <c r="S479" i="9"/>
  <c r="L485" i="9"/>
  <c r="Q485" i="9"/>
  <c r="K501" i="9"/>
  <c r="P501" i="9"/>
  <c r="L510" i="9"/>
  <c r="Q510" i="9"/>
  <c r="O513" i="9"/>
  <c r="T513" i="9"/>
  <c r="R526" i="9"/>
  <c r="M526" i="9"/>
  <c r="Q532" i="9"/>
  <c r="L532" i="9"/>
  <c r="P517" i="9"/>
  <c r="Q518" i="9"/>
  <c r="R519" i="9"/>
  <c r="S520" i="9"/>
  <c r="T521" i="9"/>
  <c r="N523" i="9"/>
  <c r="Q527" i="9"/>
  <c r="R535" i="9"/>
  <c r="R527" i="9"/>
  <c r="S530" i="9"/>
  <c r="L535" i="9"/>
  <c r="Q535" i="9"/>
  <c r="Q536" i="9"/>
  <c r="K524" i="9"/>
  <c r="Q528" i="9"/>
  <c r="O538" i="9"/>
  <c r="T538" i="9"/>
  <c r="L524" i="9"/>
  <c r="S528" i="9"/>
  <c r="O530" i="9"/>
  <c r="T530" i="9"/>
  <c r="M536" i="9"/>
  <c r="R536" i="9"/>
  <c r="T523" i="9"/>
  <c r="M528" i="9"/>
  <c r="R528" i="9"/>
  <c r="N534" i="9"/>
  <c r="R537" i="9"/>
  <c r="P526" i="9"/>
  <c r="Q526" i="9"/>
  <c r="K534" i="9"/>
  <c r="P534" i="9"/>
  <c r="N537" i="9"/>
  <c r="S537" i="9"/>
</calcChain>
</file>

<file path=xl/sharedStrings.xml><?xml version="1.0" encoding="utf-8"?>
<sst xmlns="http://schemas.openxmlformats.org/spreadsheetml/2006/main" count="4722" uniqueCount="1101">
  <si>
    <t>Solvents are represented as points in a three dimensional space called HSP space. This is because there are three parameters (δD, δP, and δH) that are required to describe where they like - or dislike - being found. What they dissolve, or like to be together with, will have similar HSP. It has been found that perfect HSP matches are not required for complete solubility, however.</t>
  </si>
  <si>
    <t>The HSP Distance between two molecules, conventionally called Ra, is the measure of how alike they are. The smaller Ra, the more likely they are to be compatible. The famous formula, used for nearly 50 years is:</t>
  </si>
  <si>
    <t>Ra² = 4(δD1-δD2)² + (δP1-δP2)² + (δH1-δH2)²</t>
  </si>
  <si>
    <t>If from measurements of "good" and "bad" solvents you can define a sphere of radius Ro which contains all the good solvents, then you can define a Relative Energy Difference, RED, which tells you where you are in solubility space:</t>
  </si>
  <si>
    <t>RED = Ra/Ro</t>
  </si>
  <si>
    <t>If:</t>
  </si>
  <si>
    <t>- RED &lt; 1 the molecules are alike and will dissolve</t>
  </si>
  <si>
    <t>- RED = 1 the system will partially dissolve</t>
  </si>
  <si>
    <t>- RED &gt; 1 the system will not dissolve</t>
  </si>
  <si>
    <t>References:</t>
  </si>
  <si>
    <t>Official site of HSP</t>
  </si>
  <si>
    <t>Wikipedia</t>
  </si>
  <si>
    <t>NXTLEVVEL SOLVENTS*</t>
  </si>
  <si>
    <t>DISPERSION</t>
  </si>
  <si>
    <t>POLAR</t>
  </si>
  <si>
    <t>HYDROGEN</t>
  </si>
  <si>
    <t>Ro</t>
  </si>
  <si>
    <t xml:space="preserve">Ethyl levulinate </t>
  </si>
  <si>
    <t>Butyl levulinate</t>
  </si>
  <si>
    <t>EtLPK</t>
  </si>
  <si>
    <t>EtLGK</t>
  </si>
  <si>
    <t>EHL</t>
  </si>
  <si>
    <t>*Values by VLCI</t>
  </si>
  <si>
    <t>ACTIVE INGREDIENT</t>
  </si>
  <si>
    <t>HSP</t>
  </si>
  <si>
    <t>Mvol</t>
  </si>
  <si>
    <t>DISTANCE TO</t>
  </si>
  <si>
    <t>RED TO (BASED ON Ro OF THE ACTIVE INGREDIENT)</t>
  </si>
  <si>
    <t>RED TO (BASED ON Ro OF NXTLEVVEL SOLVENT)</t>
  </si>
  <si>
    <t>D</t>
  </si>
  <si>
    <t>P</t>
  </si>
  <si>
    <t>H</t>
  </si>
  <si>
    <t>ETHYL LEVULINATE</t>
  </si>
  <si>
    <t>BUTYL LEVULINATE</t>
  </si>
  <si>
    <t>Aspirin</t>
  </si>
  <si>
    <t>-</t>
  </si>
  <si>
    <t>Benzophenone</t>
  </si>
  <si>
    <t>Benzophenone-1</t>
  </si>
  <si>
    <t>Benzophenone-12</t>
  </si>
  <si>
    <t>Benzophenone-2</t>
  </si>
  <si>
    <t>Benzophenone-3</t>
  </si>
  <si>
    <t>Benzophenone-6</t>
  </si>
  <si>
    <t>Benzophenone-7</t>
  </si>
  <si>
    <t>Benzophenone-8</t>
  </si>
  <si>
    <t>Carbamazepine*</t>
  </si>
  <si>
    <t>Folic Acid</t>
  </si>
  <si>
    <t>Griseofulvin*</t>
  </si>
  <si>
    <t>Henna</t>
  </si>
  <si>
    <t>Ibuprofen</t>
  </si>
  <si>
    <t>Indomethacin*</t>
  </si>
  <si>
    <t>Intraconazole*</t>
  </si>
  <si>
    <t>Ketaconazole*</t>
  </si>
  <si>
    <t>Lycosol**</t>
  </si>
  <si>
    <t>Matrixyl 3000**</t>
  </si>
  <si>
    <t>Nicotine</t>
  </si>
  <si>
    <t>Paracetamol</t>
  </si>
  <si>
    <t>Salicylic Acid</t>
  </si>
  <si>
    <t>UREA</t>
  </si>
  <si>
    <t>Vitamin d-2</t>
  </si>
  <si>
    <t>Vitamin d-3</t>
  </si>
  <si>
    <t>*Ghent University</t>
  </si>
  <si>
    <t>**VLCI</t>
  </si>
  <si>
    <t>FATTY ESTER</t>
  </si>
  <si>
    <t>RED TO (BASED ON Ro OF THE FATTY ESTER)</t>
  </si>
  <si>
    <t>Coconut oil</t>
  </si>
  <si>
    <t>Methyl caprylate</t>
  </si>
  <si>
    <t>Methyl laurate</t>
  </si>
  <si>
    <t>Methyl linoleate</t>
  </si>
  <si>
    <t>Methyl myristate</t>
  </si>
  <si>
    <t>Methyl oleate</t>
  </si>
  <si>
    <t>Methyl palmitate</t>
  </si>
  <si>
    <t>Methyl stearate</t>
  </si>
  <si>
    <t>Palm oil</t>
  </si>
  <si>
    <t>Used frying oil</t>
  </si>
  <si>
    <t>SOLVENT</t>
  </si>
  <si>
    <t>RED TO (BASED ON Ro OF THE SOLVENT)</t>
  </si>
  <si>
    <t>Apg Surfactant (Typical)</t>
  </si>
  <si>
    <t>Butylene Glycol</t>
  </si>
  <si>
    <t>Butylene Glycol Caprylate/Caprate</t>
  </si>
  <si>
    <t>C12-15 Alkyl Lactate</t>
  </si>
  <si>
    <t>Caprylyl Glycol</t>
  </si>
  <si>
    <t>Cetearyl Alcohol</t>
  </si>
  <si>
    <t>Cetearyl Ethylhexanoate</t>
  </si>
  <si>
    <t>Cetearyl Isononanoate</t>
  </si>
  <si>
    <t>Cocamidopropyl Betaine (Capb)</t>
  </si>
  <si>
    <t>Dibutyl Adipate</t>
  </si>
  <si>
    <t>Diisopropyl Adipate</t>
  </si>
  <si>
    <t>Diisopropyl Dimer Dilinoleate</t>
  </si>
  <si>
    <t>Diisostearyl Dimer Dilinoleate</t>
  </si>
  <si>
    <t>Dilinoleic Acid</t>
  </si>
  <si>
    <t>Dimethyl Isosorbide</t>
  </si>
  <si>
    <t>Dipropylene Glycol Isobornyl Ether</t>
  </si>
  <si>
    <t>Ethoxydiglycol</t>
  </si>
  <si>
    <t>Ethylhexyl Methoxycinnamate</t>
  </si>
  <si>
    <t>Ethylhexyl Palmitate</t>
  </si>
  <si>
    <t>Ethylhexyl Palmitate/Stearate</t>
  </si>
  <si>
    <t>Ethylhexyl Salicylate (Octyl Salicylate)</t>
  </si>
  <si>
    <t>Ethylhexyl Stearate</t>
  </si>
  <si>
    <t>Glycerin</t>
  </si>
  <si>
    <t>Glyceryl Diisostearate</t>
  </si>
  <si>
    <t>Glyceryl Isostearate</t>
  </si>
  <si>
    <t>Glyceryl Myristate</t>
  </si>
  <si>
    <t>Glyceryl Stearate</t>
  </si>
  <si>
    <t>Hexyldecanol</t>
  </si>
  <si>
    <t>Isostearic Acid</t>
  </si>
  <si>
    <t>Isostearyl Alcohol</t>
  </si>
  <si>
    <t>Isostearyl Lactate</t>
  </si>
  <si>
    <t>Octocrylene</t>
  </si>
  <si>
    <t>Octyldodecanol</t>
  </si>
  <si>
    <t>Peg100-Stearate</t>
  </si>
  <si>
    <t>Peg-12</t>
  </si>
  <si>
    <t>Peg-6 Caprylic/Capric Glycerides</t>
  </si>
  <si>
    <t>Peg-7 Glyceryl Cocoate</t>
  </si>
  <si>
    <t>Peg-8</t>
  </si>
  <si>
    <t>Phenoxyethyl Caprylate</t>
  </si>
  <si>
    <t>Ppg-11 Stearyl Ether</t>
  </si>
  <si>
    <t>Ppg-15 Stearyl Ether</t>
  </si>
  <si>
    <t>Ppg-3 Myristyl Ether</t>
  </si>
  <si>
    <t>Ppg-5 Laureth-5</t>
  </si>
  <si>
    <t>Propylene Glycol Dicaprylate/Dicaprate</t>
  </si>
  <si>
    <t>Propylene Glycol Distearate</t>
  </si>
  <si>
    <t>Propylene Glycol Isostearate</t>
  </si>
  <si>
    <t>Propylene Glycol Laurate</t>
  </si>
  <si>
    <t>Propylene Glycol Myristate</t>
  </si>
  <si>
    <t>Propylene Glycol Oleate</t>
  </si>
  <si>
    <t>Propylene Glycol Propyl Ether</t>
  </si>
  <si>
    <t>Propylene Glycol Ricinoleate</t>
  </si>
  <si>
    <t>Propylene Glycol Stearate</t>
  </si>
  <si>
    <t>Sodium Lauryl Ether Sulfate (Sles)</t>
  </si>
  <si>
    <t>Span 20</t>
  </si>
  <si>
    <t>Span 40</t>
  </si>
  <si>
    <t>Span 80</t>
  </si>
  <si>
    <t>Steareth-21</t>
  </si>
  <si>
    <t>Tricaprin</t>
  </si>
  <si>
    <t>Triethylhexanoin</t>
  </si>
  <si>
    <t>Triheptanoin</t>
  </si>
  <si>
    <t>Tween 20</t>
  </si>
  <si>
    <t>Tween 40</t>
  </si>
  <si>
    <t>Tween 80</t>
  </si>
  <si>
    <t>FRAGRANCE</t>
  </si>
  <si>
    <t>RED TO (BASED ON Ro OF THE FRAGRANCE)</t>
  </si>
  <si>
    <t>1,13-Tridecanoic Acid, Diethyl Ester</t>
  </si>
  <si>
    <t>2,6-Dimethyl-5-Heptenal</t>
  </si>
  <si>
    <t>2-Methoxy Naphthalene</t>
  </si>
  <si>
    <t>3-Methyl-2-Butenyl Acetate</t>
  </si>
  <si>
    <t>Acetic Acid Hexyl Ester</t>
  </si>
  <si>
    <t>Adoxal</t>
  </si>
  <si>
    <t>Aldehyde Mna</t>
  </si>
  <si>
    <t>Allo-Ocimene</t>
  </si>
  <si>
    <t>Allyl Amyl Glycolate</t>
  </si>
  <si>
    <t>Allyl Caproate</t>
  </si>
  <si>
    <t>Allyl Cyclohexane Propionate</t>
  </si>
  <si>
    <t>Allyl Heptanoate</t>
  </si>
  <si>
    <t>Allyl Hexanoate</t>
  </si>
  <si>
    <t>Amyl Acetate</t>
  </si>
  <si>
    <t>Amyl Benzoate</t>
  </si>
  <si>
    <t>Amyl Cinnamate</t>
  </si>
  <si>
    <t>Amyl Cinnamic Aldehyde</t>
  </si>
  <si>
    <t>Amyl Cinnamic Aldehyde Dimethyl Acetal</t>
  </si>
  <si>
    <t>Amyl Propionate</t>
  </si>
  <si>
    <t>Amyl Salicylate</t>
  </si>
  <si>
    <t>Anethol</t>
  </si>
  <si>
    <t>Anisic Aldehyde</t>
  </si>
  <si>
    <t>Anisole</t>
  </si>
  <si>
    <t>Applinal</t>
  </si>
  <si>
    <t>Aurantiol</t>
  </si>
  <si>
    <t>Bacdanol</t>
  </si>
  <si>
    <t>Benzaldehyde</t>
  </si>
  <si>
    <t>Benzyl Acetate Extra</t>
  </si>
  <si>
    <t>Benzyl Alcohol</t>
  </si>
  <si>
    <t>Benzyl Benzoate</t>
  </si>
  <si>
    <t>Benzyl Butyrate</t>
  </si>
  <si>
    <t>Benzyl Formate</t>
  </si>
  <si>
    <t>Benzyl Iso Valerate</t>
  </si>
  <si>
    <t>Benzyl Propionate</t>
  </si>
  <si>
    <t>Benzyl Salicylate</t>
  </si>
  <si>
    <t>Beta Damascone</t>
  </si>
  <si>
    <t>Beta Gamma Hexanol</t>
  </si>
  <si>
    <t>Buccoxime</t>
  </si>
  <si>
    <t>Butyl Benzoate</t>
  </si>
  <si>
    <t>Cadinene</t>
  </si>
  <si>
    <t>Camphene</t>
  </si>
  <si>
    <t>Camphor White</t>
  </si>
  <si>
    <t>Carbitol</t>
  </si>
  <si>
    <t>Carvacrol</t>
  </si>
  <si>
    <t>Cedrol</t>
  </si>
  <si>
    <t>Cedryl Acetate</t>
  </si>
  <si>
    <t>Cetalox</t>
  </si>
  <si>
    <t>Cineol</t>
  </si>
  <si>
    <t>Cinnamaldehyde</t>
  </si>
  <si>
    <t>Cinnamyl Cinnamate</t>
  </si>
  <si>
    <t>Cinnamyl Isovalerate</t>
  </si>
  <si>
    <t>Cis-3-Hexenyl Acetate</t>
  </si>
  <si>
    <t>Cis-3-Hexenyl Salicylate</t>
  </si>
  <si>
    <t>Cis-Jasmone (Jasmacyclene)</t>
  </si>
  <si>
    <t>Citral (Neral)</t>
  </si>
  <si>
    <t>Citronellol</t>
  </si>
  <si>
    <t>Citronellyl Acetate</t>
  </si>
  <si>
    <t>Citronellyl Formate</t>
  </si>
  <si>
    <t>Citronellyl Isobutyrate</t>
  </si>
  <si>
    <t>Citronellyl Nitrile</t>
  </si>
  <si>
    <t>Citronellyl Propionate</t>
  </si>
  <si>
    <t>Clove Leaf Oil</t>
  </si>
  <si>
    <t>Coumarin</t>
  </si>
  <si>
    <t>Cresol</t>
  </si>
  <si>
    <t>Cuminic Alcohol</t>
  </si>
  <si>
    <t>Cuminic Aldehyde</t>
  </si>
  <si>
    <t>Cyclamen Aldehyde</t>
  </si>
  <si>
    <t>Cyclohexyl Ethyl Acetate</t>
  </si>
  <si>
    <t>Cyclohexyl Salicylate</t>
  </si>
  <si>
    <t>Cymal</t>
  </si>
  <si>
    <t>Cymene</t>
  </si>
  <si>
    <t>d-Carvone</t>
  </si>
  <si>
    <t>Decyl Aldehyde</t>
  </si>
  <si>
    <t>Delta Damascone</t>
  </si>
  <si>
    <t>Delta-Nonalactone</t>
  </si>
  <si>
    <t>Delta-Undecalactone</t>
  </si>
  <si>
    <t>Diethyl Malonate</t>
  </si>
  <si>
    <t>Dihydrojasmonate</t>
  </si>
  <si>
    <t>Dihydrolinalool</t>
  </si>
  <si>
    <t>Dihydromyrcenol</t>
  </si>
  <si>
    <t>Dihydromyrcenyl Acetate</t>
  </si>
  <si>
    <t>Dimethyl Benzyl Carbinol</t>
  </si>
  <si>
    <t>Dimethyl Benzyl Carbinyl Acetate</t>
  </si>
  <si>
    <t>Dimethyl Octanol</t>
  </si>
  <si>
    <t>Diphenyl Methane</t>
  </si>
  <si>
    <t>d-Limonene</t>
  </si>
  <si>
    <t>Dow Dpm</t>
  </si>
  <si>
    <t>Ethyl Acetate</t>
  </si>
  <si>
    <t>Ethyl Aceto Acetate</t>
  </si>
  <si>
    <t>Ethyl Amyl Ketone</t>
  </si>
  <si>
    <t>Ethyl Benzoate</t>
  </si>
  <si>
    <t>Ethyl Butyrate</t>
  </si>
  <si>
    <t>Ethyl Heptoate</t>
  </si>
  <si>
    <t>Ethyl Hexanoate</t>
  </si>
  <si>
    <t>Ethyl Hexyl Ketone</t>
  </si>
  <si>
    <t>Ethyl Methyl Phenyl Glycidate</t>
  </si>
  <si>
    <t>Ethyl Phenyl Acetate</t>
  </si>
  <si>
    <t>Ethyl Undecylenate</t>
  </si>
  <si>
    <t>Ethyl Vanillin</t>
  </si>
  <si>
    <t>Ethyl-2-Methyl Butyrate</t>
  </si>
  <si>
    <t>Ethyl-2-Methyl Pentanoate</t>
  </si>
  <si>
    <t>Ethylene Brassylate</t>
  </si>
  <si>
    <t>Eucalyptol</t>
  </si>
  <si>
    <t>Eucalyptus Oil</t>
  </si>
  <si>
    <t>Eugenol Rectified</t>
  </si>
  <si>
    <t>Exaltolide</t>
  </si>
  <si>
    <t>Fenchyl Acetate</t>
  </si>
  <si>
    <t>Fenchyl Alcohol</t>
  </si>
  <si>
    <t>Florhydral</t>
  </si>
  <si>
    <t>Florocyclene</t>
  </si>
  <si>
    <t>Gamma Decalactone</t>
  </si>
  <si>
    <t>Gamma Dodecalactone</t>
  </si>
  <si>
    <t>Gataxolide</t>
  </si>
  <si>
    <t>Geranial</t>
  </si>
  <si>
    <t>Geraniol</t>
  </si>
  <si>
    <t>Geranyl Acetate</t>
  </si>
  <si>
    <t>Geranyl Anthranilate</t>
  </si>
  <si>
    <t>Geranyl Formate</t>
  </si>
  <si>
    <t>Geranyl Isobutyrate</t>
  </si>
  <si>
    <t>Geranyl Nitrile</t>
  </si>
  <si>
    <t>Grapefruit Oil</t>
  </si>
  <si>
    <t>Helional</t>
  </si>
  <si>
    <t>Heliotropin</t>
  </si>
  <si>
    <t>Hexadecanolide</t>
  </si>
  <si>
    <t>Hexenol</t>
  </si>
  <si>
    <t>Hexenyl Acetate</t>
  </si>
  <si>
    <t>Hexenyl Isobutyrate</t>
  </si>
  <si>
    <t>Hexenyl Salicylate</t>
  </si>
  <si>
    <t>Hexyl Acetate</t>
  </si>
  <si>
    <t>Hexyl Cinnamic Aldehyde</t>
  </si>
  <si>
    <t>Hexyl Formate</t>
  </si>
  <si>
    <t>Hexyl Neopentanoate</t>
  </si>
  <si>
    <t>Hexyl Salicylate</t>
  </si>
  <si>
    <t>Hexyl Tiglate</t>
  </si>
  <si>
    <t>Hydroxyambran</t>
  </si>
  <si>
    <t>Hydroxycitronellal</t>
  </si>
  <si>
    <t>Ionone Beta</t>
  </si>
  <si>
    <t>Ionone Gamma Methyl</t>
  </si>
  <si>
    <t>Irg 201</t>
  </si>
  <si>
    <t>Iso E Super</t>
  </si>
  <si>
    <t>Iso Eugenol</t>
  </si>
  <si>
    <t>Iso Jasmone</t>
  </si>
  <si>
    <t>Isoamyl Alcohol</t>
  </si>
  <si>
    <t>Isoamyl Phenyl Acetate</t>
  </si>
  <si>
    <t>Iso-Amyl Salicylate</t>
  </si>
  <si>
    <t>Isobornyl Acetate</t>
  </si>
  <si>
    <t>Isobornyl Formate</t>
  </si>
  <si>
    <t>Isobutyl Benzoate</t>
  </si>
  <si>
    <t>Isobutyl Isohexanoate</t>
  </si>
  <si>
    <t>Isononyl Acetate</t>
  </si>
  <si>
    <t>Isononyl Alcohol</t>
  </si>
  <si>
    <t>Isooctyl Acetate</t>
  </si>
  <si>
    <t>Isopulegol</t>
  </si>
  <si>
    <t>Isopulegol Acetate</t>
  </si>
  <si>
    <t>Isoquinoline</t>
  </si>
  <si>
    <t>Iyral</t>
  </si>
  <si>
    <t>Jasmacyclene</t>
  </si>
  <si>
    <t>Koavone</t>
  </si>
  <si>
    <t>Lauric Aldehyde</t>
  </si>
  <si>
    <t>Lavandin</t>
  </si>
  <si>
    <t>Lavandin Oil</t>
  </si>
  <si>
    <t>Lavender</t>
  </si>
  <si>
    <t>Lavender Oil</t>
  </si>
  <si>
    <t>Levo-Carveol</t>
  </si>
  <si>
    <t>Ligustral</t>
  </si>
  <si>
    <t>Lilial</t>
  </si>
  <si>
    <t>Linalool</t>
  </si>
  <si>
    <t>Linalyl Acetate</t>
  </si>
  <si>
    <t>Linalyl Benzoate</t>
  </si>
  <si>
    <t>Linalyl Formate</t>
  </si>
  <si>
    <t>l-Menthone</t>
  </si>
  <si>
    <t>Majantol</t>
  </si>
  <si>
    <t>Mayol</t>
  </si>
  <si>
    <t>Menthofuran</t>
  </si>
  <si>
    <t>Menthone</t>
  </si>
  <si>
    <t>Menthyl Acetate</t>
  </si>
  <si>
    <t>Methyl Acetophenone</t>
  </si>
  <si>
    <t>Methyl Amyl Ketone</t>
  </si>
  <si>
    <t>Methyl Anthranilate</t>
  </si>
  <si>
    <t>Methyl Benzoate</t>
  </si>
  <si>
    <t>Methyl Benzyl Acetate</t>
  </si>
  <si>
    <t>Methyl Beta Naphthyl Ketone</t>
  </si>
  <si>
    <t>Methyl Cedrylone</t>
  </si>
  <si>
    <t>Methyl Chavicol</t>
  </si>
  <si>
    <t>Methyl Cinnamate</t>
  </si>
  <si>
    <t>Methyl Dihydro Jasmoriate</t>
  </si>
  <si>
    <t>Methyl Eugenol</t>
  </si>
  <si>
    <t>Methyl Heptenone</t>
  </si>
  <si>
    <t>Methyl Heptyl Ketone</t>
  </si>
  <si>
    <t>Methyl Hexyl Ketone</t>
  </si>
  <si>
    <t>Methyl Nonyl Acetaldehyde</t>
  </si>
  <si>
    <t>Methyl Octyl Acetaldehyde</t>
  </si>
  <si>
    <t>Methyl Paraanisate</t>
  </si>
  <si>
    <t>Methyl Phenyl Carbinyl Acetate</t>
  </si>
  <si>
    <t>Methyl Salicylate</t>
  </si>
  <si>
    <t>Methyl-N-Methyl Anthranilate</t>
  </si>
  <si>
    <t>Methyl-p-Isopropyl Phenyl Propionaldehyde</t>
  </si>
  <si>
    <t>Methylpropyl Phenyl Acetate</t>
  </si>
  <si>
    <t>Musk Ketone</t>
  </si>
  <si>
    <t>Myrcene</t>
  </si>
  <si>
    <t>Myristicin</t>
  </si>
  <si>
    <t>n-Amyl Butyrate</t>
  </si>
  <si>
    <t>Neral</t>
  </si>
  <si>
    <t>Nerol</t>
  </si>
  <si>
    <t>Neryl Acetate</t>
  </si>
  <si>
    <t>Nonalactone</t>
  </si>
  <si>
    <t>Nonyl Acetate</t>
  </si>
  <si>
    <t>Nonyl Aldehyde</t>
  </si>
  <si>
    <t>Norlimbanol</t>
  </si>
  <si>
    <t>Octalactone</t>
  </si>
  <si>
    <t>Octyl Alcohol (Octanol-2)</t>
  </si>
  <si>
    <t>Orange (d-Limonene)</t>
  </si>
  <si>
    <t>Orange Florida (Limonene)</t>
  </si>
  <si>
    <t>Orange Terpenes (Limonene)</t>
  </si>
  <si>
    <t>Ortholate (Verdox)</t>
  </si>
  <si>
    <t>Oxahexadecanolide-10</t>
  </si>
  <si>
    <t>Oxahexadecanolide-11</t>
  </si>
  <si>
    <t>P.T. Bucinal</t>
  </si>
  <si>
    <t>Para Hydroxy Phenyl Butanone</t>
  </si>
  <si>
    <t>Para-Cresol</t>
  </si>
  <si>
    <t>Para-Cresyl Methyl Ether</t>
  </si>
  <si>
    <t>Para-Cymene</t>
  </si>
  <si>
    <t>Para-Isopropyl Phenylacetaldehyde</t>
  </si>
  <si>
    <t>Para-Menth-3-En-1-ol</t>
  </si>
  <si>
    <t>Para-Methyl Acetophenone</t>
  </si>
  <si>
    <t>Patchouli Alcohol</t>
  </si>
  <si>
    <t>Peppermint Oil (Menthol)</t>
  </si>
  <si>
    <t>Phenoxy Ethanol</t>
  </si>
  <si>
    <t>Phenoxyethyl Isobutyrate</t>
  </si>
  <si>
    <t>Phenyl Acetaldehyde</t>
  </si>
  <si>
    <t>Phenyl Acetaldehyde Dimethyl Acetal</t>
  </si>
  <si>
    <t>Phenyl Ethyl Acetate</t>
  </si>
  <si>
    <t>Phenyl Ethyl Benzoate</t>
  </si>
  <si>
    <t>Phenyl Ethyl Dimethyl Carbinol</t>
  </si>
  <si>
    <t>Phenyl Ethyl Isobutyrate</t>
  </si>
  <si>
    <t>Phenyl Ethyl Phenyl Acetate</t>
  </si>
  <si>
    <t>Phenyl Hexanol/Phenoxanol</t>
  </si>
  <si>
    <t>Phenylethanol</t>
  </si>
  <si>
    <t>Phenylethyl Formate</t>
  </si>
  <si>
    <t>Phenylethylphenylacetate</t>
  </si>
  <si>
    <t>Piperonal (Heliotropine)</t>
  </si>
  <si>
    <t>Polysantol</t>
  </si>
  <si>
    <t>Prenyl Acetate</t>
  </si>
  <si>
    <t>Propyl Butyrate</t>
  </si>
  <si>
    <t>Ptbcha (Vertenex)</t>
  </si>
  <si>
    <t>p-Tert-Butyl-α-Methyl Hydrocinnamic Aldehyde</t>
  </si>
  <si>
    <t>Pulegone</t>
  </si>
  <si>
    <t>Rosaphen</t>
  </si>
  <si>
    <t>Safrole</t>
  </si>
  <si>
    <t>Sandalwood (Use Santalol)</t>
  </si>
  <si>
    <t>Terpineol Alpha And Beta</t>
  </si>
  <si>
    <t>Terpinyl Acetate</t>
  </si>
  <si>
    <t>Tetra Hydro Linalool</t>
  </si>
  <si>
    <t>Tetradecanoic Acid, Isopropyl Ester</t>
  </si>
  <si>
    <t>Tetrahydrogeraniol</t>
  </si>
  <si>
    <t>Tetrahydromyrcenol</t>
  </si>
  <si>
    <t>Tonalid/Musk Plus</t>
  </si>
  <si>
    <t>Tridecenyl Propionate</t>
  </si>
  <si>
    <t>Undecalactone</t>
  </si>
  <si>
    <t>Undecavertol</t>
  </si>
  <si>
    <t>Undecyl Aldehyde</t>
  </si>
  <si>
    <t>Undecylenic Aldehyde</t>
  </si>
  <si>
    <t>Vanillin</t>
  </si>
  <si>
    <t>Veratrol</t>
  </si>
  <si>
    <t>Verdox (Ortholate)</t>
  </si>
  <si>
    <t>Vertenex</t>
  </si>
  <si>
    <t>Vetivone</t>
  </si>
  <si>
    <t>α-Cyclohexyl Cinnamic Aldehyde</t>
  </si>
  <si>
    <t>α-Irone</t>
  </si>
  <si>
    <t>α-Iso Gamma Methyl Ionone</t>
  </si>
  <si>
    <t>α-Isohexyl Cinnamic Aldehyde</t>
  </si>
  <si>
    <t>α-N-Methylione (I Or Ii)</t>
  </si>
  <si>
    <t>α-Pinene</t>
  </si>
  <si>
    <t>α-Terpinene</t>
  </si>
  <si>
    <t>α-Terpineol</t>
  </si>
  <si>
    <t>β-Methyl Naphthyl Ketone</t>
  </si>
  <si>
    <t>β-Pinene</t>
  </si>
  <si>
    <t>β-Terpineol</t>
  </si>
  <si>
    <t>γ-Methylionone (I Or Ii)</t>
  </si>
  <si>
    <t>γ-Nonalactone</t>
  </si>
  <si>
    <t>γ-Terpinene</t>
  </si>
  <si>
    <t>γ-Undecalactone</t>
  </si>
  <si>
    <t>PARTICLE</t>
  </si>
  <si>
    <t>RED TO (BASED ON Ro OF THE PARTICLE)</t>
  </si>
  <si>
    <t>Al2O3</t>
  </si>
  <si>
    <t>C60</t>
  </si>
  <si>
    <t>Carbon Black - High Hydrophilicity</t>
  </si>
  <si>
    <t>Carbon Black - Low Hydrophilicity</t>
  </si>
  <si>
    <t>Carbon Fibre (Hansen solubility parameters for a carbon fiber/epoxy composite, 2007)</t>
  </si>
  <si>
    <t>Carbon Nano Tubes</t>
  </si>
  <si>
    <t>Fin Talc M15*</t>
  </si>
  <si>
    <t>Fumed Silica</t>
  </si>
  <si>
    <t>Glassy Carbon (Hansen solubility parameters for a carbon fiber/epoxy composite, 2007)</t>
  </si>
  <si>
    <t>Hydroxyapatite</t>
  </si>
  <si>
    <t>TiO2</t>
  </si>
  <si>
    <t>ZnO</t>
  </si>
  <si>
    <t>ZrO2</t>
  </si>
  <si>
    <t>*VLCI</t>
  </si>
  <si>
    <t>POLYMER</t>
  </si>
  <si>
    <t>RED TO (BASED ON Ro OF THE POLYMER)</t>
  </si>
  <si>
    <t>BASIC DESCRIPTION</t>
  </si>
  <si>
    <t>(Lucite) 2042 PEMA</t>
  </si>
  <si>
    <t>Polyacrylate</t>
  </si>
  <si>
    <t>1% in Water +Amines</t>
  </si>
  <si>
    <t>Biologically interesting systems</t>
  </si>
  <si>
    <t>1% in Water -Amines</t>
  </si>
  <si>
    <t>2-Comp Epoxy Chemical Res.</t>
  </si>
  <si>
    <t>4H 35 Deg C</t>
  </si>
  <si>
    <t>Correlations for Some Barrier-Type Polymers</t>
  </si>
  <si>
    <t>4H- 58 35 Deg C</t>
  </si>
  <si>
    <t>ABS CR</t>
  </si>
  <si>
    <t>Chemical Resistance of High Performance and Other Polymers</t>
  </si>
  <si>
    <t>Acetal Celanese</t>
  </si>
  <si>
    <t>Chemical Resistance Data - Modern Plastics Encylopedia</t>
  </si>
  <si>
    <t>Acetalhomo-Duo</t>
  </si>
  <si>
    <t>Acid Diethylene glycol maleate - phthalate</t>
  </si>
  <si>
    <t>Polyester - Solvent Range</t>
  </si>
  <si>
    <t>ACLAR 2%&lt;swelling&lt;5%</t>
  </si>
  <si>
    <t>Miscellaneous</t>
  </si>
  <si>
    <t>ACLAR swelling &gt;5%</t>
  </si>
  <si>
    <t>Acrylamide Monomer</t>
  </si>
  <si>
    <t>Miscellaneous - Solvent Range</t>
  </si>
  <si>
    <t>Acrylate Example</t>
  </si>
  <si>
    <t>Polymer</t>
  </si>
  <si>
    <t>Acryloid B-44</t>
  </si>
  <si>
    <t>Acrylics Solvent Range</t>
  </si>
  <si>
    <t>Acryloid B-66</t>
  </si>
  <si>
    <t>Acryloid B-72</t>
  </si>
  <si>
    <t>Acryloid B-82</t>
  </si>
  <si>
    <t>Acryloid K 120N</t>
  </si>
  <si>
    <t>Vinyl Resins - Solvent Range</t>
  </si>
  <si>
    <t>Alftalat AC 366</t>
  </si>
  <si>
    <t>Binder in solution: Alkyd and polyester</t>
  </si>
  <si>
    <t>Alftalat AM 756</t>
  </si>
  <si>
    <t>Alftalat AN 896</t>
  </si>
  <si>
    <t>Alftalat AN 950</t>
  </si>
  <si>
    <t>Alftalat AT 316</t>
  </si>
  <si>
    <t>Alftalat AT 576</t>
  </si>
  <si>
    <t>Alkyd 45% Soya</t>
  </si>
  <si>
    <t>Alkydal F 261 Hs</t>
  </si>
  <si>
    <t>Alkydal F 41</t>
  </si>
  <si>
    <t>Chlorinated rubber</t>
  </si>
  <si>
    <t>Allopren R10</t>
  </si>
  <si>
    <t>Polymers at Different Test Concentrations - (Conc) Chlorinated Rubber</t>
  </si>
  <si>
    <t>Alloprene R10 (10%)</t>
  </si>
  <si>
    <t>Alloprene R10 (30%)</t>
  </si>
  <si>
    <t>Alloprene R10 (60%)</t>
  </si>
  <si>
    <t>Cyclized Rubber</t>
  </si>
  <si>
    <t>Alpex</t>
  </si>
  <si>
    <t>Styrene Polymers And Copolymers - Solvent Range</t>
  </si>
  <si>
    <t>Amoco 18-290</t>
  </si>
  <si>
    <t>Epoxy</t>
  </si>
  <si>
    <t>Araldite DY O25</t>
  </si>
  <si>
    <t>Bakelite Sulfone P-47</t>
  </si>
  <si>
    <t>Barex</t>
  </si>
  <si>
    <t>Barex 210 CR</t>
  </si>
  <si>
    <t>Barex 210 CR-Styrene</t>
  </si>
  <si>
    <t>Silicone Resin</t>
  </si>
  <si>
    <t>Baysilon UD 125</t>
  </si>
  <si>
    <t>Amino Resin</t>
  </si>
  <si>
    <t>BE 370</t>
  </si>
  <si>
    <t>Beckolin 27 Modified Oil</t>
  </si>
  <si>
    <t>Beetle 681</t>
  </si>
  <si>
    <t>Bethoxazin</t>
  </si>
  <si>
    <t>Bitumen</t>
  </si>
  <si>
    <t>Blood Serum</t>
  </si>
  <si>
    <t>Blood serum, human, swelling</t>
  </si>
  <si>
    <t>BMA/AN 80/20</t>
  </si>
  <si>
    <t>Bromobutyl Rubber Swelling</t>
  </si>
  <si>
    <t>Bromobutyl Rubber L</t>
  </si>
  <si>
    <t>Bromobutyl Rubber S</t>
  </si>
  <si>
    <t>Polybutadiene</t>
  </si>
  <si>
    <t>Buna Huls B10</t>
  </si>
  <si>
    <t>Buna N Butadiene/Acrylonitrile</t>
  </si>
  <si>
    <t>Buton 100 Butadiene-Styrene</t>
  </si>
  <si>
    <t>Polyvinylbutyral</t>
  </si>
  <si>
    <t>Buton 300</t>
  </si>
  <si>
    <t>Breakthrough Time (Bt) Correlations for Common Types of Chemical Protective Films at Practical Film Thickness</t>
  </si>
  <si>
    <t>Butvar B 76</t>
  </si>
  <si>
    <t>Butyl  4 Hr (2)</t>
  </si>
  <si>
    <t>Butyl 1 Hr</t>
  </si>
  <si>
    <t>Butyl 20 Min</t>
  </si>
  <si>
    <t>Carbon dioxide room temperature</t>
  </si>
  <si>
    <t>Carbon-60</t>
  </si>
  <si>
    <t>Polyisoprene</t>
  </si>
  <si>
    <t>Carboxy term. DEG Phth.-iPhth.</t>
  </si>
  <si>
    <t>Cariflex IR 305</t>
  </si>
  <si>
    <t>Cell. Acet. Butyrate</t>
  </si>
  <si>
    <t>Cellulose Acetate</t>
  </si>
  <si>
    <t>Cell. Acet. Propionate</t>
  </si>
  <si>
    <t>Cellulose Acetate Butyrate</t>
  </si>
  <si>
    <t>Cellidora A</t>
  </si>
  <si>
    <t>Rosin Derivatives</t>
  </si>
  <si>
    <t>Cellit BP-300</t>
  </si>
  <si>
    <t>Cellolyn 102</t>
  </si>
  <si>
    <t>Cellophane Swelling</t>
  </si>
  <si>
    <t>Chloroparaffin</t>
  </si>
  <si>
    <t>Breakthrough Time (Bt) Correlations for Common Types of Chemical Protective Films at
Practical Film Thickness</t>
  </si>
  <si>
    <t>Cellulose Nitrate</t>
  </si>
  <si>
    <t>Cellulose-Paper Strength</t>
  </si>
  <si>
    <t>Cereclor 70</t>
  </si>
  <si>
    <t>CH 5100 3 Hr</t>
  </si>
  <si>
    <t>CH 5200 3 Hr</t>
  </si>
  <si>
    <t>Chlorinated Rubber</t>
  </si>
  <si>
    <t>Chloropar 40</t>
  </si>
  <si>
    <t>Chlorophyll</t>
  </si>
  <si>
    <t xml:space="preserve">Polymers at Different Test Concentrations - (Conc) Acrylics </t>
  </si>
  <si>
    <t>Cholesterol</t>
  </si>
  <si>
    <t>Coal Tar Pitch Sol.</t>
  </si>
  <si>
    <t>Conoco H-35 Hydrocarbon M</t>
  </si>
  <si>
    <t>Croda AC500 Thermoset (10%)</t>
  </si>
  <si>
    <t>Croda AC500 Thermoset (30%)</t>
  </si>
  <si>
    <t>Croda AC550 Thermoset (10%)</t>
  </si>
  <si>
    <t>Croda AC550 Thermoset (30%)</t>
  </si>
  <si>
    <t>Cryplex 1473-5</t>
  </si>
  <si>
    <t>Polymers of Interest for Conservation of Paintings</t>
  </si>
  <si>
    <t>CyclicOlefinCopolymer (COC)</t>
  </si>
  <si>
    <t>Cymel 300</t>
  </si>
  <si>
    <t>Cymel 325</t>
  </si>
  <si>
    <t>CZ Resin Sol</t>
  </si>
  <si>
    <t>Dammar Dewaxed</t>
  </si>
  <si>
    <t>Dammar Gum</t>
  </si>
  <si>
    <t>Isocyanate</t>
  </si>
  <si>
    <t>Dammar Gum Dewaxed</t>
  </si>
  <si>
    <t>DEG Isophthalate</t>
  </si>
  <si>
    <t>Polyurethane</t>
  </si>
  <si>
    <t>DEG Phth</t>
  </si>
  <si>
    <t>Depot Fat (Lard) 37C</t>
  </si>
  <si>
    <t>Desmodur  L</t>
  </si>
  <si>
    <t>Desmodur N</t>
  </si>
  <si>
    <t>Desmolac 4200</t>
  </si>
  <si>
    <t>Desmophen 1100</t>
  </si>
  <si>
    <t>Desmophen 1150</t>
  </si>
  <si>
    <t>Desmophen 1200</t>
  </si>
  <si>
    <t>Desmophen 1700</t>
  </si>
  <si>
    <t>Desmophen 651</t>
  </si>
  <si>
    <t>Desmophen 800</t>
  </si>
  <si>
    <t>Desmophen 850</t>
  </si>
  <si>
    <t>Dextran C solubility</t>
  </si>
  <si>
    <t>DNA</t>
  </si>
  <si>
    <t>DODA 3457</t>
  </si>
  <si>
    <t>DODA 6225</t>
  </si>
  <si>
    <t>Dow Epoxy Novolac 438</t>
  </si>
  <si>
    <t>Dow Epoxy Novolac 444</t>
  </si>
  <si>
    <t>Dow X-2635 Adipate-Terephthalate</t>
  </si>
  <si>
    <t>Dow X-2635 Maleate</t>
  </si>
  <si>
    <t>Duroftal T 354</t>
  </si>
  <si>
    <t>Dynapol L 812</t>
  </si>
  <si>
    <t>Dynapol L 850</t>
  </si>
  <si>
    <t>Dynomin MM 9</t>
  </si>
  <si>
    <t>Polymers at Different Test Concentrations - (Conc) Epoxy Polymers</t>
  </si>
  <si>
    <t>Dynomin UM 15</t>
  </si>
  <si>
    <t>Elvax 150</t>
  </si>
  <si>
    <t>Elvax 250</t>
  </si>
  <si>
    <t>Elvax EOD 3602-1</t>
  </si>
  <si>
    <t>Epikote 1001</t>
  </si>
  <si>
    <t>Epikote 1001 (10%)</t>
  </si>
  <si>
    <t>Epikote 1001 (20%)</t>
  </si>
  <si>
    <t>Epikote 1001 (40%)</t>
  </si>
  <si>
    <t>Epikote 1001 (60%)</t>
  </si>
  <si>
    <t>Epikote 1004</t>
  </si>
  <si>
    <t>Epikote 1004 (30%)</t>
  </si>
  <si>
    <t>Epikote 1004 (60%)</t>
  </si>
  <si>
    <t>Epikote 1007</t>
  </si>
  <si>
    <t>Epikote 1007 (30%)</t>
  </si>
  <si>
    <t>Epikote 1009</t>
  </si>
  <si>
    <t>Epikote 1009 (10%)</t>
  </si>
  <si>
    <t>Epikote 1009 (30%)</t>
  </si>
  <si>
    <t>Epikote 1009 (60%)</t>
  </si>
  <si>
    <t>Epikote 828</t>
  </si>
  <si>
    <t>Epikote 828 (30%)</t>
  </si>
  <si>
    <t>Epikote 828 (60%)</t>
  </si>
  <si>
    <t>Epocryl E-11 ?</t>
  </si>
  <si>
    <t>Ethylcellulose</t>
  </si>
  <si>
    <t>Epon 1001</t>
  </si>
  <si>
    <t>Ethylene Vinylacetate (EVA) Solubility</t>
  </si>
  <si>
    <t>Epoxy Example</t>
  </si>
  <si>
    <t>Epoxy Example 2</t>
  </si>
  <si>
    <t>Ester Gum</t>
  </si>
  <si>
    <t>Ester Gum BL</t>
  </si>
  <si>
    <t>Estimate Dried Oil</t>
  </si>
  <si>
    <t>Ethocel HE10</t>
  </si>
  <si>
    <t>Ethocel Std 20</t>
  </si>
  <si>
    <t>Ethyl Cellulose N22?</t>
  </si>
  <si>
    <t>EVA 4055 Sol</t>
  </si>
  <si>
    <t>EVOH Sol</t>
  </si>
  <si>
    <t>Exon 470 PVC</t>
  </si>
  <si>
    <t>Nitrocellulose</t>
  </si>
  <si>
    <t>Exon 471</t>
  </si>
  <si>
    <t>Exon 473</t>
  </si>
  <si>
    <t>FEP</t>
  </si>
  <si>
    <t>Acrylonitrile butadiene</t>
  </si>
  <si>
    <t>Formvar 15/95E</t>
  </si>
  <si>
    <t>Formvar 7/70E Poly(vinyl formal)</t>
  </si>
  <si>
    <t>Furan</t>
  </si>
  <si>
    <t>Furfuryl Alcohol</t>
  </si>
  <si>
    <t>Supplemental Chemical Resistance Corrlations</t>
  </si>
  <si>
    <t>Geon 121</t>
  </si>
  <si>
    <t>Gilsonite</t>
  </si>
  <si>
    <t>Chlorosulfonated PE</t>
  </si>
  <si>
    <t>Half-Sec.-Nitro Cellulose  H 23</t>
  </si>
  <si>
    <t>Polymers at Different Test Concentrations - (Conc)  Chlorosulfonated polyethylene</t>
  </si>
  <si>
    <t>HDPE</t>
  </si>
  <si>
    <t>Hexadecyl Monoester of Trimellitic Anhydride</t>
  </si>
  <si>
    <t>Hycar 1052</t>
  </si>
  <si>
    <t>Hyd Bis A Propane Glycol Fum iPhth</t>
  </si>
  <si>
    <t>Hyd Bisphenol A Fum iPhthalate</t>
  </si>
  <si>
    <t>Hydrogenated Sperm Oil Wx135</t>
  </si>
  <si>
    <t>Hypalon +/- Not OK</t>
  </si>
  <si>
    <t>Hypalon +/- OK</t>
  </si>
  <si>
    <t>Hypalon 20</t>
  </si>
  <si>
    <t>Hypalon 20 (30%)</t>
  </si>
  <si>
    <t>Hypalon 20 Chlorosulfonated PE</t>
  </si>
  <si>
    <t>Vinylchloride Copolymers</t>
  </si>
  <si>
    <t>Hypalon 30</t>
  </si>
  <si>
    <t>Permeation of LDPE by Organic Liquids</t>
  </si>
  <si>
    <t>Hytrel +/- Not OK</t>
  </si>
  <si>
    <t>Hytrel +/- OK</t>
  </si>
  <si>
    <t>Isobornyl Maleic Anhydride/Cyclol 75/25</t>
  </si>
  <si>
    <t>Kauri Gum</t>
  </si>
  <si>
    <t>Polymers at Different Test Concentrations - (Conc) Flourinated Polyethers</t>
  </si>
  <si>
    <t>Ketone Resin S588</t>
  </si>
  <si>
    <t>Koppers KTPL-A</t>
  </si>
  <si>
    <t>Lard 23C</t>
  </si>
  <si>
    <t>Based on Solvent Range Solubility Data - Not too Reliable</t>
  </si>
  <si>
    <t>Lard 37C</t>
  </si>
  <si>
    <t>Laroflex Mp 45</t>
  </si>
  <si>
    <t>LDPE Perm&lt;0.8</t>
  </si>
  <si>
    <t>LDPE Perm&gt;80</t>
  </si>
  <si>
    <t>Lignin</t>
  </si>
  <si>
    <t>Lucite 2044 PMMA</t>
  </si>
  <si>
    <t>Lumiflon LF200 (10%)</t>
  </si>
  <si>
    <t>Lumiflon LF200 (30%)</t>
  </si>
  <si>
    <t>Lumiflon LF916 (10%)</t>
  </si>
  <si>
    <t>Lumiflon LF916 (30%)</t>
  </si>
  <si>
    <t>Lustrex High Test 88 Rubber Mod PS</t>
  </si>
  <si>
    <t>Lutanal I60</t>
  </si>
  <si>
    <t>Lutonal IC/1203</t>
  </si>
  <si>
    <t>Lytron 810 Styrene Maleic Anhydride</t>
  </si>
  <si>
    <t>Lytron 820</t>
  </si>
  <si>
    <t>MAA/EA/ST 15/38/47</t>
  </si>
  <si>
    <t>MAA/MA/VA 15/17.5/67.5</t>
  </si>
  <si>
    <t>MAA/MA/VA 15/27.5/57.5</t>
  </si>
  <si>
    <t>Macrynal SM 510N</t>
  </si>
  <si>
    <t>Marbon 9200</t>
  </si>
  <si>
    <t>MMA/Cyclol 58/42</t>
  </si>
  <si>
    <t>MMA/EA 25/75</t>
  </si>
  <si>
    <t>MMA/EA 50/50</t>
  </si>
  <si>
    <t>MMA/EA/AA 45/45/10</t>
  </si>
  <si>
    <t>MMA/EA/AGE 40/40/20</t>
  </si>
  <si>
    <t>MMA/EA/AN 40/40/20</t>
  </si>
  <si>
    <t>MMA/EA/AN 55/30/15?</t>
  </si>
  <si>
    <t>MMA/EA/Cyclol 40/40/20</t>
  </si>
  <si>
    <t>MMA/EA/MAA 40/40/20</t>
  </si>
  <si>
    <t>MMA/EA/Methylol acrylamide 45/45/10?</t>
  </si>
  <si>
    <t>MMA/EA/t-Butylaminomethacrylate 40/40/20</t>
  </si>
  <si>
    <t>MMA/EA/Vinyl Butyl Ether 40/40/20</t>
  </si>
  <si>
    <t>Modaflow</t>
  </si>
  <si>
    <t>Mowilith 50 PVAc</t>
  </si>
  <si>
    <t>Mowital B 30 H</t>
  </si>
  <si>
    <t>Mowital B 60 H</t>
  </si>
  <si>
    <t>Mylar PET</t>
  </si>
  <si>
    <t>Natural Rubber</t>
  </si>
  <si>
    <t>Natural Rubber 1 Hr</t>
  </si>
  <si>
    <t>Polyisobutylene</t>
  </si>
  <si>
    <t>Natural Rubber 20 Min</t>
  </si>
  <si>
    <t>Natural Rubber 4 Hr</t>
  </si>
  <si>
    <t>Neoprene 1 Hr</t>
  </si>
  <si>
    <t>Neoprene 20 Min</t>
  </si>
  <si>
    <t>Neoprene 4 Hr</t>
  </si>
  <si>
    <t>Neoprene Cr</t>
  </si>
  <si>
    <t>Nitrile 1 Hr</t>
  </si>
  <si>
    <t>Acrylic</t>
  </si>
  <si>
    <t>Nitrile 20 Min</t>
  </si>
  <si>
    <t>Nitrile 4 Hr</t>
  </si>
  <si>
    <t>Nylon 66</t>
  </si>
  <si>
    <t>PA11 CR</t>
  </si>
  <si>
    <t>PA6 CR</t>
  </si>
  <si>
    <t>PA66 Sol</t>
  </si>
  <si>
    <t>Palm Oil</t>
  </si>
  <si>
    <t>PAN</t>
  </si>
  <si>
    <t>PAN 92%-PMMA 8% ref1</t>
  </si>
  <si>
    <t>PAN 92%-PMMA 8% ref2</t>
  </si>
  <si>
    <t>Paraloid B72</t>
  </si>
  <si>
    <t>Paraloid Exper. Res. QR 954</t>
  </si>
  <si>
    <t>Paraloid P 400</t>
  </si>
  <si>
    <t>Paraloid P 410</t>
  </si>
  <si>
    <t>Parapol S-50</t>
  </si>
  <si>
    <t>Polyvinylacetate</t>
  </si>
  <si>
    <t>Parapol S-60</t>
  </si>
  <si>
    <t>Parlon P 10</t>
  </si>
  <si>
    <t>PBMA (10%)</t>
  </si>
  <si>
    <t>PBMA (30%)</t>
  </si>
  <si>
    <t>PC</t>
  </si>
  <si>
    <t>PCTFE</t>
  </si>
  <si>
    <t>PDMS strong swelling</t>
  </si>
  <si>
    <t>PE</t>
  </si>
  <si>
    <t>PE? CR Questionable Values</t>
  </si>
  <si>
    <t>PECTFE Sol at High Temp.</t>
  </si>
  <si>
    <t>PEDOT:PSS</t>
  </si>
  <si>
    <t>PEI 1200 psi</t>
  </si>
  <si>
    <t>PEI 2400 psi</t>
  </si>
  <si>
    <t>PEI 600 psi</t>
  </si>
  <si>
    <t>PEMA (10%)</t>
  </si>
  <si>
    <t>PEMA (30%)</t>
  </si>
  <si>
    <t>PEN (Polyethylenenaphthlene) solubility</t>
  </si>
  <si>
    <t>Penta Benzoate-Maleate glycol</t>
  </si>
  <si>
    <t>Pentalyn 255</t>
  </si>
  <si>
    <t>Solubility of Polyacrylonitirile</t>
  </si>
  <si>
    <t>Pentalyn 830</t>
  </si>
  <si>
    <t>PEO 4000 ? Heated Samples</t>
  </si>
  <si>
    <t>PEO 4000 ? Samples Heated</t>
  </si>
  <si>
    <t>Pergut S 5</t>
  </si>
  <si>
    <t>Acrylate Resin</t>
  </si>
  <si>
    <t>PES L B + C =1</t>
  </si>
  <si>
    <t>PES L C=1</t>
  </si>
  <si>
    <t>PES Sol</t>
  </si>
  <si>
    <t>PET</t>
  </si>
  <si>
    <t>PETG</t>
  </si>
  <si>
    <t>Chlorinated polypropylene</t>
  </si>
  <si>
    <t>PETP CR</t>
  </si>
  <si>
    <t>PFA(?)</t>
  </si>
  <si>
    <t>Phenodur 373U</t>
  </si>
  <si>
    <t>Phenolic</t>
  </si>
  <si>
    <t>Phenolics</t>
  </si>
  <si>
    <t>PiBMA (10%)</t>
  </si>
  <si>
    <t>Poly(Ethylene/Chlorotrifluoroethylene)</t>
  </si>
  <si>
    <t>PiBMA (30%)</t>
  </si>
  <si>
    <t>Piccoflex 120</t>
  </si>
  <si>
    <t>PEI - Polyethylene Imide - Environmental Stress Cracking (ESC)</t>
  </si>
  <si>
    <t>Piccopale 110</t>
  </si>
  <si>
    <t>Piccorone 450L</t>
  </si>
  <si>
    <t>PKHH</t>
  </si>
  <si>
    <t>PLA</t>
  </si>
  <si>
    <t>PLA (HSIP)</t>
  </si>
  <si>
    <t>PLA Plasticization of Polylactide with Myrcene and polymer</t>
  </si>
  <si>
    <t>Plastokyd AC4X (30%)</t>
  </si>
  <si>
    <t>Plastokyd S27 (30%)</t>
  </si>
  <si>
    <t>Plastokyd SC140 (30%)</t>
  </si>
  <si>
    <t>Plastokyd SC400 (30%)</t>
  </si>
  <si>
    <t>Plastopal H</t>
  </si>
  <si>
    <t>Plexal C-34</t>
  </si>
  <si>
    <t>Plexigum M527</t>
  </si>
  <si>
    <t>Various Sources</t>
  </si>
  <si>
    <t>Plexigum MB319</t>
  </si>
  <si>
    <t>Pliolite P-1230</t>
  </si>
  <si>
    <t>Pliolyte S-100</t>
  </si>
  <si>
    <t>PMMA</t>
  </si>
  <si>
    <t>Phenolic resin</t>
  </si>
  <si>
    <t>PMMA (10%)</t>
  </si>
  <si>
    <t>PMMA (30%)</t>
  </si>
  <si>
    <t>PMMA CR</t>
  </si>
  <si>
    <t>Petroleum hydrocarbon resin</t>
  </si>
  <si>
    <t>Poly(butyl acrylate)</t>
  </si>
  <si>
    <t>Poly(Butyl methacrylate)?</t>
  </si>
  <si>
    <t>Poly(ethylene oxide) 200,000</t>
  </si>
  <si>
    <t>Poly(ethylene oxide) 3350 V&gt;41</t>
  </si>
  <si>
    <t>Poly(propylene oxide)</t>
  </si>
  <si>
    <t>Poly(vinyl butyl ether)</t>
  </si>
  <si>
    <t>Polymers at Different Test Concentrations - (Conc) Acrylic modified Alkyd</t>
  </si>
  <si>
    <t>Poly(vinyl ethyl ether)?</t>
  </si>
  <si>
    <t>Polyacrylonitrile (PAN)</t>
  </si>
  <si>
    <t>Polyacrylonitrile (PAN) ref1</t>
  </si>
  <si>
    <t>Polyamide 66</t>
  </si>
  <si>
    <t>Polycaprolactone</t>
  </si>
  <si>
    <t>Polycarbonate (PC)</t>
  </si>
  <si>
    <t>Polycyclol</t>
  </si>
  <si>
    <t>Polyesterimide</t>
  </si>
  <si>
    <t>Polyether sulfone</t>
  </si>
  <si>
    <t>Polyethersulfone</t>
  </si>
  <si>
    <t>Polyethersulfone (Ultrason E)</t>
  </si>
  <si>
    <t>Polyethylene (PE)</t>
  </si>
  <si>
    <t>Polyethylene 1 Hr</t>
  </si>
  <si>
    <t>Polyethylene 20 Min</t>
  </si>
  <si>
    <t>Polyethylene 4 Hr</t>
  </si>
  <si>
    <t>Polyethylene oxide (PEO, PEG)</t>
  </si>
  <si>
    <t>Polyethylene sulfide</t>
  </si>
  <si>
    <t>Polyethylenesulfide</t>
  </si>
  <si>
    <t>Polyethylenesulfide (Good)</t>
  </si>
  <si>
    <t>Polyethylmethacrylate (PEMA)</t>
  </si>
  <si>
    <t>Polyisobutylene Oppanol B15</t>
  </si>
  <si>
    <t>Polyisoprene SW</t>
  </si>
  <si>
    <t>Polylactic acid (PLA)</t>
  </si>
  <si>
    <t>Polymethacrylonitrile</t>
  </si>
  <si>
    <t>Polymethylmethacrylate (PMMA)</t>
  </si>
  <si>
    <t>Polymethylmethacrylate (PMMA) ref1</t>
  </si>
  <si>
    <t>Polymethylmethacrylate (PMMA) ref2</t>
  </si>
  <si>
    <t>Polyoxymethylene (PON)</t>
  </si>
  <si>
    <t>Polyphenyleneoxide (PPO)</t>
  </si>
  <si>
    <t>Polypropylene (PP)</t>
  </si>
  <si>
    <t>Polypropylene oxide (PPO, PPG)</t>
  </si>
  <si>
    <t>Polysar 5630</t>
  </si>
  <si>
    <t>Polysilicone</t>
  </si>
  <si>
    <t>Polystyrene (PS)</t>
  </si>
  <si>
    <t>Polyisoprene swelling</t>
  </si>
  <si>
    <t>Polystyrene LG</t>
  </si>
  <si>
    <t>Polysulphone</t>
  </si>
  <si>
    <t>Polyurethane (PU)</t>
  </si>
  <si>
    <t>Polyvinylacetate (PVA)</t>
  </si>
  <si>
    <t>Polyvinylalcohol</t>
  </si>
  <si>
    <t>Polyvinylalcohol (PVOH)</t>
  </si>
  <si>
    <t>Polyvinylalcohol 1 Hr</t>
  </si>
  <si>
    <t>Polyvinylalcohol 20 Min</t>
  </si>
  <si>
    <t>Polyvinylalcohol 4 Hr  </t>
  </si>
  <si>
    <t>Polyvinylbutylether</t>
  </si>
  <si>
    <t>Styrene–butadiene raw elastomer</t>
  </si>
  <si>
    <t>Polyvinylchloride (PVC)</t>
  </si>
  <si>
    <t>Polyvinylidenefluoride (PVF)</t>
  </si>
  <si>
    <t>Polyvinylidine Fluoride Sol.</t>
  </si>
  <si>
    <t>Polystyrene</t>
  </si>
  <si>
    <t>Polyvinylpyrrolidone (PVP)</t>
  </si>
  <si>
    <t>POMH+POMC CR</t>
  </si>
  <si>
    <t>PP</t>
  </si>
  <si>
    <t>PPO CR</t>
  </si>
  <si>
    <t>PPS CR 93 Deg C</t>
  </si>
  <si>
    <t>PPS TS 60% 12Mo</t>
  </si>
  <si>
    <t>PS</t>
  </si>
  <si>
    <t>Psoriasis Scales</t>
  </si>
  <si>
    <t>PSU CR</t>
  </si>
  <si>
    <t>PSU Ultrason S</t>
  </si>
  <si>
    <t>PTFE L80 CR</t>
  </si>
  <si>
    <t>p-Toluene sulfonamide</t>
  </si>
  <si>
    <t>PUR</t>
  </si>
  <si>
    <t>PUR CR</t>
  </si>
  <si>
    <t>PVAC</t>
  </si>
  <si>
    <t>PVBE</t>
  </si>
  <si>
    <t>PVC</t>
  </si>
  <si>
    <t>PVC 1 Hr</t>
  </si>
  <si>
    <t>PVC 20 Min</t>
  </si>
  <si>
    <t>PVC 4 Hr</t>
  </si>
  <si>
    <t>PVC moderate swelling</t>
  </si>
  <si>
    <t>Polysulfone PSU</t>
  </si>
  <si>
    <t>PVDC (110C) Solubility</t>
  </si>
  <si>
    <t>PVDC (130C) Solubility</t>
  </si>
  <si>
    <t>PVEE</t>
  </si>
  <si>
    <t>PVF? (DMF Only Good Solvent)</t>
  </si>
  <si>
    <t>PViBE</t>
  </si>
  <si>
    <t>PVOH (Not Good,+B509 See Chap. 5)</t>
  </si>
  <si>
    <t>R ABS</t>
  </si>
  <si>
    <t>R ACM</t>
  </si>
  <si>
    <t>R AU Ester PU</t>
  </si>
  <si>
    <t>High Temperature Solubility of PVDC</t>
  </si>
  <si>
    <t>R Butyl</t>
  </si>
  <si>
    <t>R Cellulose Acetate</t>
  </si>
  <si>
    <t>R Chlorinated PVC</t>
  </si>
  <si>
    <t>R Cr Chloroprene</t>
  </si>
  <si>
    <t>R CSM</t>
  </si>
  <si>
    <t>Chemical Resistance of Plastics</t>
  </si>
  <si>
    <t>R Diallylphthalate</t>
  </si>
  <si>
    <t>Chemical Resistance of Elastomers</t>
  </si>
  <si>
    <t>R Ebonite 0.722</t>
  </si>
  <si>
    <t>R ECO</t>
  </si>
  <si>
    <t>R EPDM</t>
  </si>
  <si>
    <t>R Epoxy Cold Curing</t>
  </si>
  <si>
    <t>R Epoxy Hot Curing</t>
  </si>
  <si>
    <t>R Ethylene/Propylene</t>
  </si>
  <si>
    <t>R FKM (Viton) (0.76 Fit)</t>
  </si>
  <si>
    <t>R FQ Fl/Si</t>
  </si>
  <si>
    <t>R HDPE/LDPE</t>
  </si>
  <si>
    <t>R HET Resin</t>
  </si>
  <si>
    <t>R Isophthalic</t>
  </si>
  <si>
    <t>R Natural Rubber</t>
  </si>
  <si>
    <t>R NBR</t>
  </si>
  <si>
    <t>R PA12</t>
  </si>
  <si>
    <t>R PA66</t>
  </si>
  <si>
    <t>R PET</t>
  </si>
  <si>
    <t>R PEU Ether PU</t>
  </si>
  <si>
    <t>R PMMA</t>
  </si>
  <si>
    <t>R Polyamideimide</t>
  </si>
  <si>
    <t>R Polybutyleneterephthalate</t>
  </si>
  <si>
    <t>R Polycarbonate</t>
  </si>
  <si>
    <t>R Polyimides</t>
  </si>
  <si>
    <t>R Polyphenyleneoxide</t>
  </si>
  <si>
    <t>R Polypropylene</t>
  </si>
  <si>
    <t>R Polysulphone</t>
  </si>
  <si>
    <t>R POM Acetal</t>
  </si>
  <si>
    <t>R Q Silicone (0.748 Fit)</t>
  </si>
  <si>
    <t>R SBR</t>
  </si>
  <si>
    <t>R T Sulphide</t>
  </si>
  <si>
    <t>R Terephtalic</t>
  </si>
  <si>
    <t>R TFP Tetflprop (0.744 Fit)</t>
  </si>
  <si>
    <t>R TPX</t>
  </si>
  <si>
    <t>R+H PBA</t>
  </si>
  <si>
    <t>R+H PEMA</t>
  </si>
  <si>
    <t>R+H PiBMA</t>
  </si>
  <si>
    <t>R+H PMAA</t>
  </si>
  <si>
    <t>R+H PMMA</t>
  </si>
  <si>
    <t>R+H PnBMA</t>
  </si>
  <si>
    <t>Rhodamin FB, soluble dye</t>
  </si>
  <si>
    <t>SAN</t>
  </si>
  <si>
    <t>SAN 85/15</t>
  </si>
  <si>
    <t>Santolite MHP Arylsulfonamide-formaldehyde Condensate</t>
  </si>
  <si>
    <t>Saran F-120 VC/AN?</t>
  </si>
  <si>
    <t>Saran F-220 ?</t>
  </si>
  <si>
    <t>Saranex 4Hr</t>
  </si>
  <si>
    <t>Shell Polyaldehyde Ex 39</t>
  </si>
  <si>
    <t>Shell Polyaldehyde Ex 40</t>
  </si>
  <si>
    <t>Shell X-450</t>
  </si>
  <si>
    <t>Shellac</t>
  </si>
  <si>
    <t>Silicone DC 23?</t>
  </si>
  <si>
    <t>Silicone DC-1107?</t>
  </si>
  <si>
    <t>Silicone Example</t>
  </si>
  <si>
    <t>Sinclair 3840A</t>
  </si>
  <si>
    <t>Skin, viable human rapid permeation</t>
  </si>
  <si>
    <t>SMA 1430A</t>
  </si>
  <si>
    <t>Soalkyd 1935-EGAX</t>
  </si>
  <si>
    <t>Soamin M 60</t>
  </si>
  <si>
    <t>Sol Mylar 49001</t>
  </si>
  <si>
    <t>Sol Mylar 49002</t>
  </si>
  <si>
    <t>Sty/2EHA/AA 81/11/8</t>
  </si>
  <si>
    <t>Sty/Butenol 85/15</t>
  </si>
  <si>
    <t>Sty/Cyclol 82/18</t>
  </si>
  <si>
    <t>Sty/Half Ester MA 60/40</t>
  </si>
  <si>
    <t>Sty/MA 85/15</t>
  </si>
  <si>
    <t>Sty/MAA 90/10</t>
  </si>
  <si>
    <t>Sty/Prop Half E MA 57/43</t>
  </si>
  <si>
    <t>Sty/VBE 85/15</t>
  </si>
  <si>
    <t>Styrene/acrylonitrile copolymer (30%AN)</t>
  </si>
  <si>
    <t>Styron 44OM-27 Modified PS</t>
  </si>
  <si>
    <t>Styron 475M-27</t>
  </si>
  <si>
    <t>Styron 480-27</t>
  </si>
  <si>
    <t>Sucrose</t>
  </si>
  <si>
    <t>Super Beckacite 1001</t>
  </si>
  <si>
    <t>Suprasec F-5100</t>
  </si>
  <si>
    <t>Synresin A 560</t>
  </si>
  <si>
    <t>Teflon (SL2-, Limited Data Truncated)</t>
  </si>
  <si>
    <t>TEG EG Maleate Terephthalate</t>
  </si>
  <si>
    <t>TEG Maleate</t>
  </si>
  <si>
    <t>Tolonate HDB (Rh-Poulenc)</t>
  </si>
  <si>
    <t>Tolonate HDT (Rh-Poulenc)</t>
  </si>
  <si>
    <t>Topas 6013 Sol</t>
  </si>
  <si>
    <t>Uformite MX-61</t>
  </si>
  <si>
    <t>Tolonate Solubility</t>
  </si>
  <si>
    <t>Uracron 15</t>
  </si>
  <si>
    <t>Urea</t>
  </si>
  <si>
    <t>COC Solubility</t>
  </si>
  <si>
    <t>VA/EA/CY 70/20/10</t>
  </si>
  <si>
    <t>VA/EHA/CYC/MAA/76/12/8/4</t>
  </si>
  <si>
    <t>VA/EHA/MA 63/33/4</t>
  </si>
  <si>
    <t>Vamac</t>
  </si>
  <si>
    <t>Varez 123</t>
  </si>
  <si>
    <t>VBE/AN/MAA 46/27/27</t>
  </si>
  <si>
    <t>VBE/MA/MAC 46/27/27</t>
  </si>
  <si>
    <t>VCVA Copolymer</t>
  </si>
  <si>
    <t>VDC/AA 75/25 ?</t>
  </si>
  <si>
    <t>Versamid 100</t>
  </si>
  <si>
    <t>Versamid 100?</t>
  </si>
  <si>
    <t>Versamid 115</t>
  </si>
  <si>
    <t>Epoxy Curing Agents</t>
  </si>
  <si>
    <t>Versamid 125</t>
  </si>
  <si>
    <t>Versamid 140</t>
  </si>
  <si>
    <t>Versamid 930</t>
  </si>
  <si>
    <t>Versamid 961</t>
  </si>
  <si>
    <t>Polyamide</t>
  </si>
  <si>
    <t>Versamid 965</t>
  </si>
  <si>
    <t>Vesturit BL 908</t>
  </si>
  <si>
    <t>Vesturit BL 915</t>
  </si>
  <si>
    <t>Vilit MB 30</t>
  </si>
  <si>
    <t>Vilit MC 31</t>
  </si>
  <si>
    <t>Vilit MC 39</t>
  </si>
  <si>
    <t>Vinsol Rosin Derivatave</t>
  </si>
  <si>
    <t>Vinyl Silane</t>
  </si>
  <si>
    <t>Vinylite AYAA PVAC</t>
  </si>
  <si>
    <t>Vinylite VAGD</t>
  </si>
  <si>
    <t>Vinylite VAGH</t>
  </si>
  <si>
    <t>Vinylite VMCA</t>
  </si>
  <si>
    <t>Vinylite VMCC</t>
  </si>
  <si>
    <t>Vinylite VMCH</t>
  </si>
  <si>
    <t>Vinylite VXCC</t>
  </si>
  <si>
    <t>Vinylite VYHH</t>
  </si>
  <si>
    <t>Vinylite VYLF</t>
  </si>
  <si>
    <t>Vinylite XYHL Poly(vinyl butyral)</t>
  </si>
  <si>
    <t>Vinylite XYSG Poly(vinyl butyral)</t>
  </si>
  <si>
    <t>Vipla KR (PVC)</t>
  </si>
  <si>
    <t>Vitel PE 101-X</t>
  </si>
  <si>
    <t>Vitel PE 101-X Linear</t>
  </si>
  <si>
    <t>Viton 1 Hr</t>
  </si>
  <si>
    <t>Viton 20 Min</t>
  </si>
  <si>
    <t>Viton 4 Hr</t>
  </si>
  <si>
    <t>VYHH-NIF Rept</t>
  </si>
  <si>
    <t>Vyset 69</t>
  </si>
  <si>
    <t>Zein (protein from corn/maize)</t>
  </si>
  <si>
    <t>Zink Silicate - Chemical Res.</t>
  </si>
  <si>
    <t>*https://polymerdatabase.com/polymer%20physics/Hansen%20Solubility%20Sphere.html</t>
  </si>
  <si>
    <t>**Unknown source</t>
  </si>
  <si>
    <t>SURFACTANT</t>
  </si>
  <si>
    <t>SPHERE</t>
  </si>
  <si>
    <t>RED TO (BASED ON Ro OF THE SURFACTANT)</t>
  </si>
  <si>
    <t>Benzyl Alcohol Ethoxylate (2)</t>
  </si>
  <si>
    <t>Average</t>
  </si>
  <si>
    <t>Benzyl Alcohol Ethoxylate (4)</t>
  </si>
  <si>
    <t>C12 EO 3</t>
  </si>
  <si>
    <t>C12 EO 6</t>
  </si>
  <si>
    <t>C12 EO 8</t>
  </si>
  <si>
    <t>C24 EO 12</t>
  </si>
  <si>
    <t>C24 EO 2</t>
  </si>
  <si>
    <t>C24 EO 22</t>
  </si>
  <si>
    <t>C46 EO 7</t>
  </si>
  <si>
    <t>Calcium Lauroyl Lactylate</t>
  </si>
  <si>
    <t>Capric Diethanolamide</t>
  </si>
  <si>
    <t>Cetyl Betaine</t>
  </si>
  <si>
    <t>Hydrophilic</t>
  </si>
  <si>
    <t>Hydrophobic</t>
  </si>
  <si>
    <t>Dihexadecyldimethyl Ammonium Chloride</t>
  </si>
  <si>
    <t>Disodium Coco-Glucoside(1)Sulfosuccinate</t>
  </si>
  <si>
    <t>Disodium Coco-Glucoside(2)Sulfosuccinate</t>
  </si>
  <si>
    <t>Disodium Lauryl Sulfosuccinate</t>
  </si>
  <si>
    <t>Dodecylphenol Ethoxylate (12)</t>
  </si>
  <si>
    <t>Dodecylphenol Ethoxylate (6)</t>
  </si>
  <si>
    <t>Hexadecylamidopropyl Betaine</t>
  </si>
  <si>
    <t>Isostearyl Monoethanolamide</t>
  </si>
  <si>
    <t>Lauryl Diethanolamide</t>
  </si>
  <si>
    <t>Lauryl Dimethyl Amine Oxide</t>
  </si>
  <si>
    <t>Lauryl Monoethanolamide</t>
  </si>
  <si>
    <t>Lithium Dodecyl Sulfate</t>
  </si>
  <si>
    <t>Magnesium Lauryl Sulfate</t>
  </si>
  <si>
    <t>Nonylphenol Ethoxylate (15)</t>
  </si>
  <si>
    <t>Nonylphenol Ethoxylate (30)</t>
  </si>
  <si>
    <t>Nonylphenol Ethoxylate (4)</t>
  </si>
  <si>
    <t>Nonylphenol Ethoxylate (9)</t>
  </si>
  <si>
    <t>Oleyl Diethanolamide</t>
  </si>
  <si>
    <t>Polyoxyethylene (20) Sorbitan Monolaurate</t>
  </si>
  <si>
    <t>Polyoxyethylene (20) Sorbitan Monooleate TWEEN 80</t>
  </si>
  <si>
    <t>Polyoxyethylene (20) Sorbitan Monopalmitate</t>
  </si>
  <si>
    <t>Polyoxyethylene (20) Sorbitan Monostearate</t>
  </si>
  <si>
    <t>Polyoxyethylene (20) Sorbitan Trioleate TWEEN 85</t>
  </si>
  <si>
    <t>Polyoxyethylene (20) Sorbitan Tristearate</t>
  </si>
  <si>
    <t>Polyoxyethylene (4) Sorbitan Monolaurate</t>
  </si>
  <si>
    <t>Polyoxyethylene (4) Sorbitan Monostearate</t>
  </si>
  <si>
    <t>Polyoxyethylene (5) Sorbitan Monooleate TWEEN 81</t>
  </si>
  <si>
    <t>Sodium Bis(2-Ethylhexyl) Sulfosuccinate</t>
  </si>
  <si>
    <t>Sodium Coco-Glucoside(1)Tartarate</t>
  </si>
  <si>
    <t>Sodium Coco-Glucoside(2)Tartarate</t>
  </si>
  <si>
    <t>Sodium Decyl Diphenyloxide Disulfonate</t>
  </si>
  <si>
    <t>Sodium Dibutyl Sulfosuccinate</t>
  </si>
  <si>
    <t>Sodium Dicyclohexyl Sulfosuccinate</t>
  </si>
  <si>
    <t>Sodium Diethyl Hexyl Sulfosuccinate</t>
  </si>
  <si>
    <t>Sodium Di-Methyldodecyl Sulfosuccinate</t>
  </si>
  <si>
    <t>Sodium Dodecyl Benzene Sulfonate</t>
  </si>
  <si>
    <t>Sodium Dodecyl Sulfate</t>
  </si>
  <si>
    <t>Sodium Hexadecyl Diphenyloxide Disulfonate</t>
  </si>
  <si>
    <t>Sodium Hexadecyl Isethioinate</t>
  </si>
  <si>
    <t>Sodium Lauroamphoacetate</t>
  </si>
  <si>
    <t>Sodium Lauroyl Lactylate</t>
  </si>
  <si>
    <t>Sodium Lauroyl Sarcosinate</t>
  </si>
  <si>
    <t>Sodium Lauryl Ether (2) Sulfate</t>
  </si>
  <si>
    <t>Sodium Lauryl Ether (3) Sulfate</t>
  </si>
  <si>
    <t>Sodium Lauryl Sulfate</t>
  </si>
  <si>
    <t>Sodium Octyl Sulfate</t>
  </si>
  <si>
    <t>Sodium Stearoyl-2-Lactylate</t>
  </si>
  <si>
    <t>Sorbitan Monolaurate</t>
  </si>
  <si>
    <t>Sorbitan Monooleate SPAN 80</t>
  </si>
  <si>
    <t>Sorbitan Monopalmitate</t>
  </si>
  <si>
    <t>Sorbitan Monostearate</t>
  </si>
  <si>
    <t>Sorbitan Trioleate SPAN 85</t>
  </si>
  <si>
    <t>Sorbitan Tristearate</t>
  </si>
  <si>
    <t>Stearyl Alcohol Ethoxylate (2)</t>
  </si>
  <si>
    <t>Stearyl Alcohol Ethoxylate (20)</t>
  </si>
  <si>
    <t>Stearyl Monoethanolamide</t>
  </si>
  <si>
    <r>
      <t>TiO2</t>
    </r>
    <r>
      <rPr>
        <b/>
        <u/>
        <sz val="9"/>
        <color rgb="FF000000"/>
        <rFont val="Calibri"/>
        <family val="2"/>
        <scheme val="major"/>
      </rPr>
      <t xml:space="preserve"> (Pirika)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</si>
</sst>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rial"/>
    </font>
    <font>
      <sz val="9"/>
      <color theme="1"/>
      <name val="Calibri"/>
      <family val="2"/>
    </font>
    <font>
      <sz val="11"/>
      <color theme="1"/>
      <name val="Calibri"/>
      <family val="2"/>
    </font>
    <font>
      <b/>
      <sz val="9"/>
      <color theme="1"/>
      <name val="Calibri"/>
      <family val="2"/>
    </font>
    <font>
      <u/>
      <sz val="9"/>
      <color rgb="FF1155CC"/>
      <name val="Calibri"/>
      <family val="2"/>
    </font>
    <font>
      <b/>
      <sz val="9"/>
      <color theme="1"/>
      <name val="Calibri"/>
      <family val="2"/>
      <scheme val="major"/>
    </font>
    <font>
      <b/>
      <sz val="9"/>
      <color rgb="FF000000"/>
      <name val="Calibri"/>
      <family val="2"/>
      <scheme val="major"/>
    </font>
    <font>
      <sz val="11"/>
      <color theme="1"/>
      <name val="Calibri"/>
      <family val="2"/>
      <scheme val="major"/>
    </font>
    <font>
      <sz val="9"/>
      <color theme="1"/>
      <name val="Calibri"/>
      <family val="2"/>
      <scheme val="major"/>
    </font>
    <font>
      <sz val="9"/>
      <name val="Calibri"/>
      <family val="2"/>
      <scheme val="major"/>
    </font>
    <font>
      <b/>
      <u/>
      <sz val="9"/>
      <color rgb="FF1155CC"/>
      <name val="Calibri"/>
      <family val="2"/>
      <scheme val="major"/>
    </font>
    <font>
      <sz val="11"/>
      <name val="Calibri"/>
      <family val="2"/>
      <scheme val="major"/>
    </font>
    <font>
      <b/>
      <sz val="9"/>
      <color theme="5"/>
      <name val="Calibri"/>
      <family val="2"/>
      <scheme val="major"/>
    </font>
    <font>
      <b/>
      <u/>
      <sz val="9"/>
      <color rgb="FF000000"/>
      <name val="Calibri"/>
      <family val="2"/>
      <scheme val="major"/>
    </font>
    <font>
      <b/>
      <sz val="11"/>
      <color theme="1"/>
      <name val="Calibri"/>
      <family val="2"/>
      <scheme val="maj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applyFont="1" applyAlignment="1"/>
    <xf numFmtId="0" fontId="1"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2" fillId="0" borderId="0" xfId="0" applyFont="1" applyAlignment="1">
      <alignment vertical="center"/>
    </xf>
    <xf numFmtId="0" fontId="5" fillId="0" borderId="1" xfId="0" applyFont="1" applyBorder="1" applyAlignment="1">
      <alignment horizontal="left" vertical="center"/>
    </xf>
    <xf numFmtId="2" fontId="6" fillId="0" borderId="1" xfId="0" applyNumberFormat="1" applyFont="1" applyBorder="1" applyAlignment="1">
      <alignment horizontal="center" vertical="center" wrapText="1"/>
    </xf>
    <xf numFmtId="0" fontId="7" fillId="0" borderId="0" xfId="0" applyFont="1" applyAlignment="1"/>
    <xf numFmtId="0" fontId="5" fillId="0" borderId="1" xfId="0" applyFont="1" applyBorder="1" applyAlignment="1">
      <alignment vertical="center"/>
    </xf>
    <xf numFmtId="2" fontId="8" fillId="0" borderId="1" xfId="0" applyNumberFormat="1" applyFont="1" applyBorder="1" applyAlignment="1">
      <alignment horizontal="center" vertical="center"/>
    </xf>
    <xf numFmtId="2" fontId="8" fillId="0" borderId="1" xfId="0" applyNumberFormat="1" applyFont="1" applyBorder="1" applyAlignment="1">
      <alignment horizontal="center" vertical="center" wrapText="1"/>
    </xf>
    <xf numFmtId="0" fontId="9"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xf numFmtId="2" fontId="5" fillId="0" borderId="0" xfId="0" applyNumberFormat="1" applyFont="1" applyBorder="1" applyAlignment="1">
      <alignment horizontal="center" vertical="center"/>
    </xf>
    <xf numFmtId="0" fontId="5" fillId="0" borderId="0" xfId="0" applyFont="1" applyBorder="1" applyAlignment="1">
      <alignment horizontal="center" vertical="center"/>
    </xf>
    <xf numFmtId="0" fontId="8" fillId="0" borderId="0" xfId="0" applyFont="1" applyBorder="1" applyAlignment="1">
      <alignment horizontal="left" vertical="center" wrapText="1"/>
    </xf>
    <xf numFmtId="2" fontId="8" fillId="0" borderId="0" xfId="0" applyNumberFormat="1" applyFont="1" applyBorder="1" applyAlignment="1">
      <alignment horizontal="center" vertical="center" wrapText="1"/>
    </xf>
    <xf numFmtId="0" fontId="8" fillId="0" borderId="0" xfId="0" applyFont="1" applyBorder="1" applyAlignment="1">
      <alignment horizontal="left" vertical="center"/>
    </xf>
    <xf numFmtId="2" fontId="8" fillId="0" borderId="0" xfId="0" applyNumberFormat="1" applyFont="1" applyBorder="1" applyAlignment="1">
      <alignment horizontal="center" vertical="center"/>
    </xf>
    <xf numFmtId="2" fontId="8" fillId="0" borderId="0" xfId="0" applyNumberFormat="1" applyFont="1" applyBorder="1" applyAlignment="1">
      <alignment horizontal="left" vertical="center" wrapText="1"/>
    </xf>
    <xf numFmtId="0" fontId="8" fillId="0" borderId="0" xfId="0" applyFont="1" applyBorder="1" applyAlignment="1">
      <alignment horizontal="center" vertical="center" wrapText="1"/>
    </xf>
    <xf numFmtId="164" fontId="8" fillId="0" borderId="0" xfId="0" applyNumberFormat="1" applyFont="1" applyBorder="1" applyAlignment="1">
      <alignment horizontal="center" vertical="center" wrapText="1"/>
    </xf>
    <xf numFmtId="164" fontId="8" fillId="0" borderId="0" xfId="0" applyNumberFormat="1" applyFont="1" applyBorder="1" applyAlignment="1">
      <alignment horizontal="center" vertical="center"/>
    </xf>
    <xf numFmtId="0" fontId="7" fillId="0" borderId="0" xfId="0" applyFont="1" applyBorder="1" applyAlignment="1"/>
    <xf numFmtId="0" fontId="8" fillId="0" borderId="0" xfId="0" applyFont="1" applyBorder="1"/>
    <xf numFmtId="0" fontId="5" fillId="0" borderId="0" xfId="0" applyFont="1" applyBorder="1" applyAlignment="1">
      <alignment horizontal="left" vertical="center" wrapText="1"/>
    </xf>
    <xf numFmtId="0" fontId="5" fillId="0" borderId="0" xfId="0" applyFont="1" applyBorder="1" applyAlignment="1">
      <alignment horizontal="left" vertical="center"/>
    </xf>
    <xf numFmtId="2" fontId="5" fillId="0" borderId="0" xfId="0" applyNumberFormat="1" applyFont="1" applyBorder="1" applyAlignment="1">
      <alignment horizontal="left" vertical="center" wrapText="1"/>
    </xf>
    <xf numFmtId="0" fontId="12" fillId="0" borderId="0" xfId="0" applyFont="1" applyBorder="1" applyAlignment="1">
      <alignment horizontal="left" vertical="center"/>
    </xf>
    <xf numFmtId="0" fontId="5" fillId="0" borderId="0" xfId="0" applyFont="1" applyBorder="1" applyAlignment="1"/>
    <xf numFmtId="0" fontId="10" fillId="0" borderId="0" xfId="0" applyFont="1" applyBorder="1" applyAlignment="1">
      <alignment horizontal="left" vertical="center" wrapText="1"/>
    </xf>
    <xf numFmtId="0" fontId="6" fillId="0" borderId="0" xfId="0" applyFont="1" applyBorder="1" applyAlignment="1">
      <alignment horizontal="left" vertical="center"/>
    </xf>
    <xf numFmtId="0" fontId="14" fillId="0" borderId="0" xfId="0" applyFont="1" applyBorder="1" applyAlignment="1"/>
    <xf numFmtId="0" fontId="5" fillId="0" borderId="0" xfId="0" applyFont="1" applyBorder="1" applyAlignment="1">
      <alignment horizontal="center" vertical="center"/>
    </xf>
    <xf numFmtId="0" fontId="8" fillId="0" borderId="0" xfId="0" applyFont="1" applyBorder="1" applyAlignment="1"/>
    <xf numFmtId="0" fontId="9" fillId="0" borderId="0" xfId="0" applyFont="1" applyBorder="1"/>
    <xf numFmtId="0" fontId="5" fillId="0" borderId="0" xfId="0" applyFont="1" applyBorder="1" applyAlignment="1">
      <alignment horizontal="left" vertical="center"/>
    </xf>
    <xf numFmtId="0" fontId="5" fillId="0" borderId="0" xfId="0" applyFont="1" applyBorder="1" applyAlignment="1"/>
    <xf numFmtId="2" fontId="5" fillId="0" borderId="0" xfId="0" applyNumberFormat="1" applyFont="1" applyBorder="1" applyAlignment="1">
      <alignment horizontal="center" vertical="center"/>
    </xf>
    <xf numFmtId="0" fontId="7" fillId="0" borderId="0" xfId="0" applyFont="1" applyBorder="1" applyAlignment="1"/>
    <xf numFmtId="0" fontId="11" fillId="0" borderId="0" xfId="0" applyFont="1" applyBorder="1"/>
    <xf numFmtId="0" fontId="14" fillId="0" borderId="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n.wikipedia.org/wiki/Hansen_solubility_parameter" TargetMode="External"/><Relationship Id="rId1" Type="http://schemas.openxmlformats.org/officeDocument/2006/relationships/hyperlink" Target="https://www.hansen-solubility.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hansen-solubility.com/" TargetMode="External"/><Relationship Id="rId3" Type="http://schemas.openxmlformats.org/officeDocument/2006/relationships/hyperlink" Target="https://www.hansen-solubility.com/" TargetMode="External"/><Relationship Id="rId7" Type="http://schemas.openxmlformats.org/officeDocument/2006/relationships/hyperlink" Target="https://www.hansen-solubility.com/" TargetMode="External"/><Relationship Id="rId2" Type="http://schemas.openxmlformats.org/officeDocument/2006/relationships/hyperlink" Target="https://www.hansen-solubility.com/" TargetMode="External"/><Relationship Id="rId1" Type="http://schemas.openxmlformats.org/officeDocument/2006/relationships/hyperlink" Target="https://www.hansen-solubility.com/" TargetMode="External"/><Relationship Id="rId6" Type="http://schemas.openxmlformats.org/officeDocument/2006/relationships/hyperlink" Target="http://www.titanex.com.tw/doc/tecsupport/PCC-14-stability%20parameter%20of%20mineral%20suspension.pdf" TargetMode="External"/><Relationship Id="rId11" Type="http://schemas.openxmlformats.org/officeDocument/2006/relationships/hyperlink" Target="https://www.hansen-solubility.com/" TargetMode="External"/><Relationship Id="rId5" Type="http://schemas.openxmlformats.org/officeDocument/2006/relationships/hyperlink" Target="https://www.hansen-solubility.com/" TargetMode="External"/><Relationship Id="rId10" Type="http://schemas.openxmlformats.org/officeDocument/2006/relationships/hyperlink" Target="https://www.hansen-solubility.com/" TargetMode="External"/><Relationship Id="rId4" Type="http://schemas.openxmlformats.org/officeDocument/2006/relationships/hyperlink" Target="https://www.hansen-solubility.com/" TargetMode="External"/><Relationship Id="rId9" Type="http://schemas.openxmlformats.org/officeDocument/2006/relationships/hyperlink" Target="http://pirika.com/ENG/HSP/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6640625" defaultRowHeight="15" customHeight="1" x14ac:dyDescent="0.3"/>
  <cols>
    <col min="1" max="16384" width="12.6640625" style="4"/>
  </cols>
  <sheetData>
    <row r="1" spans="1:26" ht="15" customHeight="1" x14ac:dyDescent="0.3">
      <c r="A1" s="1" t="s">
        <v>0</v>
      </c>
      <c r="B1" s="1"/>
      <c r="C1" s="1"/>
      <c r="D1" s="1"/>
      <c r="E1" s="1"/>
      <c r="F1" s="1"/>
      <c r="G1" s="1"/>
      <c r="H1" s="1"/>
      <c r="I1" s="1"/>
      <c r="J1" s="1"/>
      <c r="K1" s="1"/>
      <c r="L1" s="1"/>
      <c r="M1" s="1"/>
      <c r="N1" s="1"/>
      <c r="O1" s="1"/>
      <c r="P1" s="1"/>
      <c r="Q1" s="1"/>
      <c r="R1" s="1"/>
      <c r="S1" s="1"/>
      <c r="T1" s="1"/>
      <c r="U1" s="1"/>
      <c r="V1" s="1"/>
      <c r="W1" s="1"/>
      <c r="X1" s="1"/>
      <c r="Y1" s="1"/>
      <c r="Z1" s="1"/>
    </row>
    <row r="2" spans="1:26" ht="15" customHeight="1" x14ac:dyDescent="0.3">
      <c r="A2" s="1" t="s">
        <v>1</v>
      </c>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3">
      <c r="A3" s="2" t="s">
        <v>2</v>
      </c>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3">
      <c r="A4" s="1" t="s">
        <v>3</v>
      </c>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3">
      <c r="A5" s="2" t="s">
        <v>4</v>
      </c>
      <c r="B5" s="1"/>
      <c r="C5" s="1"/>
      <c r="D5" s="1"/>
      <c r="E5" s="1"/>
      <c r="F5" s="1"/>
      <c r="G5" s="1"/>
      <c r="H5" s="1"/>
      <c r="I5" s="1"/>
      <c r="J5" s="1"/>
      <c r="K5" s="1"/>
      <c r="L5" s="1"/>
      <c r="M5" s="1"/>
      <c r="N5" s="1"/>
      <c r="O5" s="1"/>
      <c r="P5" s="1"/>
      <c r="Q5" s="1"/>
      <c r="R5" s="1"/>
      <c r="S5" s="1"/>
      <c r="T5" s="1"/>
      <c r="U5" s="1"/>
      <c r="V5" s="1"/>
      <c r="W5" s="1"/>
      <c r="X5" s="1"/>
      <c r="Y5" s="1"/>
      <c r="Z5" s="1"/>
    </row>
    <row r="6" spans="1:26" ht="15" customHeight="1" x14ac:dyDescent="0.3">
      <c r="A6" s="1" t="s">
        <v>5</v>
      </c>
      <c r="B6" s="1"/>
      <c r="C6" s="1"/>
      <c r="D6" s="1"/>
      <c r="E6" s="1"/>
      <c r="F6" s="1"/>
      <c r="G6" s="1"/>
      <c r="H6" s="1"/>
      <c r="I6" s="1"/>
      <c r="J6" s="1"/>
      <c r="K6" s="1"/>
      <c r="L6" s="1"/>
      <c r="M6" s="1"/>
      <c r="N6" s="1"/>
      <c r="O6" s="1"/>
      <c r="P6" s="1"/>
      <c r="Q6" s="1"/>
      <c r="R6" s="1"/>
      <c r="S6" s="1"/>
      <c r="T6" s="1"/>
      <c r="U6" s="1"/>
      <c r="V6" s="1"/>
      <c r="W6" s="1"/>
      <c r="X6" s="1"/>
      <c r="Y6" s="1"/>
      <c r="Z6" s="1"/>
    </row>
    <row r="7" spans="1:26" ht="15" customHeight="1" x14ac:dyDescent="0.3">
      <c r="A7" s="1" t="s">
        <v>6</v>
      </c>
      <c r="B7" s="1"/>
      <c r="C7" s="1"/>
      <c r="D7" s="1"/>
      <c r="E7" s="1"/>
      <c r="F7" s="1"/>
      <c r="G7" s="1"/>
      <c r="H7" s="1"/>
      <c r="I7" s="1"/>
      <c r="J7" s="1"/>
      <c r="K7" s="1"/>
      <c r="L7" s="1"/>
      <c r="M7" s="1"/>
      <c r="N7" s="1"/>
      <c r="O7" s="1"/>
      <c r="P7" s="1"/>
      <c r="Q7" s="1"/>
      <c r="R7" s="1"/>
      <c r="S7" s="1"/>
      <c r="T7" s="1"/>
      <c r="U7" s="1"/>
      <c r="V7" s="1"/>
      <c r="W7" s="1"/>
      <c r="X7" s="1"/>
      <c r="Y7" s="1"/>
      <c r="Z7" s="1"/>
    </row>
    <row r="8" spans="1:26" ht="15" customHeight="1" x14ac:dyDescent="0.3">
      <c r="A8" s="1" t="s">
        <v>7</v>
      </c>
      <c r="B8" s="1"/>
      <c r="C8" s="1"/>
      <c r="D8" s="1"/>
      <c r="E8" s="1"/>
      <c r="F8" s="1"/>
      <c r="G8" s="1"/>
      <c r="H8" s="1"/>
      <c r="I8" s="1"/>
      <c r="J8" s="1"/>
      <c r="K8" s="1"/>
      <c r="L8" s="1"/>
      <c r="M8" s="1"/>
      <c r="N8" s="1"/>
      <c r="O8" s="1"/>
      <c r="P8" s="1"/>
      <c r="Q8" s="1"/>
      <c r="R8" s="1"/>
      <c r="S8" s="1"/>
      <c r="T8" s="1"/>
      <c r="U8" s="1"/>
      <c r="V8" s="1"/>
      <c r="W8" s="1"/>
      <c r="X8" s="1"/>
      <c r="Y8" s="1"/>
      <c r="Z8" s="1"/>
    </row>
    <row r="9" spans="1:26" ht="15" customHeight="1" x14ac:dyDescent="0.3">
      <c r="A9" s="1" t="s">
        <v>8</v>
      </c>
      <c r="B9" s="1"/>
      <c r="C9" s="1"/>
      <c r="D9" s="1"/>
      <c r="E9" s="1"/>
      <c r="F9" s="1"/>
      <c r="G9" s="1"/>
      <c r="H9" s="1"/>
      <c r="I9" s="1"/>
      <c r="J9" s="1"/>
      <c r="K9" s="1"/>
      <c r="L9" s="1"/>
      <c r="M9" s="1"/>
      <c r="N9" s="1"/>
      <c r="O9" s="1"/>
      <c r="P9" s="1"/>
      <c r="Q9" s="1"/>
      <c r="R9" s="1"/>
      <c r="S9" s="1"/>
      <c r="T9" s="1"/>
      <c r="U9" s="1"/>
      <c r="V9" s="1"/>
      <c r="W9" s="1"/>
      <c r="X9" s="1"/>
      <c r="Y9" s="1"/>
      <c r="Z9" s="1"/>
    </row>
    <row r="10" spans="1:26" ht="1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3">
      <c r="A11" s="1" t="s">
        <v>9</v>
      </c>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3">
      <c r="A12" s="3" t="s">
        <v>10</v>
      </c>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3">
      <c r="A13" s="3" t="s">
        <v>11</v>
      </c>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5"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5"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5"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5"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5"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5"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5"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5"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5"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5"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5"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5"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5"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5"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5"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5"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5"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5"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5"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5"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5"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5"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5"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5"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5"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5"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5"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5"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5"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5"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5"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5"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5"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5"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5"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5"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5"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5"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5"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5"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5"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5"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5"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5"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5"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5"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5"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5"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5"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5"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5"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5"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5"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5"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5"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5"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5"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5"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5"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5"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5"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5"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5"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5"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5"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5"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5"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5"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5"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5"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5"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5"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5"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5"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5"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5"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5"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5"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5"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5"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5"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5"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5"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5"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5"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5"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5"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5"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5"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5"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5"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5"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5"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5"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5"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5"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5"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5"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5"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5"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5"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5"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5"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5"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5"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5"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5"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5"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5"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5"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5"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5"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5"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5"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5"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5"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5"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5"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5"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5"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5"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5"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5"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5"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5"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5"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5"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5"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5"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5"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5"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5"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5"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5"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5"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5"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5"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5"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5"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5"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5"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5"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5"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5"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5"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5"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5"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5"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5"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5"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5"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5"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5"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5"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5"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5"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5"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5"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5"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5"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5"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5"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5"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5"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5"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5"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5"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5"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5"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5"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5"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5"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5"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5"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5"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5"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5"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5"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5"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5"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5"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5"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5"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5"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5"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5"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5"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5"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5"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5"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5"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5"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5"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5"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5"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5"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5"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5"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5"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5"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5"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5"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5"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5"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5"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5"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5"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5"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5"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5"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5"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5"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5"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5"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5"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5"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5"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5"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5"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5"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5"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5"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5"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5"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5"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5"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5"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5"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5"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5"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5"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5"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5"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5"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5"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5"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5"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5"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5"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5"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5"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5"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5"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5"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5"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5"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5"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5"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5"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5"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5"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5"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5"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5"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5"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5"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5"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5"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5"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5"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5"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5"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5"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5"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5"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5"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5"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5"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5"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5"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5"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5"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5"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5"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5"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5"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5"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5"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5"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5"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5"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5"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5"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5"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5"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5"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5"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5"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5"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5"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5"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5"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5"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5"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5"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5"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5"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5"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5"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5"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5"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5"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5"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5"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5"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5"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5"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5"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5"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5"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5"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5"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5"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5"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5"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5"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5"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5"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5"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5"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5"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5"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5"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5"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5"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5"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5"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5"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5"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5"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5"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5"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5"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5"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5"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5"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5"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5"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5"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5"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5"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5"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5"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5"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5"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5"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5"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5"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5"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5"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5"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5"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5"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5"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5"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5"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5"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5"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5"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5"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5"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5"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5"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5"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5"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5"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5"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5"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5"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5"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5"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5"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5"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5"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5"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5"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5"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5"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5"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5"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5"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5"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5"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5"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5"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5"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5"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5"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5"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5"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5"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5"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5"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5"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5"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5"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5"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5"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5"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5"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5"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5"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5"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5"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5"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5"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5"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5"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5"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5"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5"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5"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5"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5"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5"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5"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5"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5"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5"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5"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5"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5"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5"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5"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5"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5"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5"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5"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5"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5"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5"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5"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5"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5"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5"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5"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5"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5"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5"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5"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5"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5"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5"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5"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5"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5"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5"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5"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5"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5"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5"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5"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5"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5"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5"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5"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5"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5"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5"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5"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5"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5"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5"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5"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5"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5"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5"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5"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5"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5"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5"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5"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5"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5"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5"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5"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5"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5"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5"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5"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5"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5"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5"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5"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5"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5"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5"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5"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5"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5"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5"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5"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5"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5"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5"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5"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5"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5"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5"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5"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5"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5"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5"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5"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5"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5"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5"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5"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5"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5"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5"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5"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5"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5"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5"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5"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5"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5"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5"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5"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5"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5"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5"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5"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5"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5"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5"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5"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5"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5"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5"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5"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5"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5"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5"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5"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5"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5"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5"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5"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5"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5"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5"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5"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5"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5"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5"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5"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5"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5"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5"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5"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5"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5"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5"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5"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5"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5"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5"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5"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5"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5"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5"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5"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5"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5"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5"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5"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5"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5"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5"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5"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5"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5"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5"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5"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5"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5"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5"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5"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5"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5"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5"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5"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5"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5"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5"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5"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5"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5"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5"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5"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5"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5"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5"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5"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5"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5"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5"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5"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5"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5"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5"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5"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5"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5"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5"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5"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5"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5"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5"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5"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5"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5"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5"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5"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5"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5"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5"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5"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5"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5"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5"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5"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5"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5"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5"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5"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5"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5"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5"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5"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5"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5"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5"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5"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5"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5"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5"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5"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5"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5"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5"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5"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5"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5"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5"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5"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5"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5"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5"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5"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5"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5"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5"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5"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5"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5"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5"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5"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5"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5"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5"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5"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5"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5"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5"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5"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5"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5"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5"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5"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5"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5"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5"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5"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5"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5"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5"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5"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5"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5"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5"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5"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5"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5"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5"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5"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5"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5"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5"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5"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5"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5"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5"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5"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5"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5"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5"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5"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5"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5"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5"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5"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5"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5"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5"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5"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5"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5"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5"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5"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5"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5"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5"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5"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5"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5"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5"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5"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5"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5"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5"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5"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5"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5"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5"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5"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5"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5"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5"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5"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5"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5"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5"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5"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5"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5"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5"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5"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5"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5"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5"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5"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5"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5"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5"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5"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5"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5"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5"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5"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5"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5"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5"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5"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5"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5"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5"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5"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5"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5"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5"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5"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5"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5"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5"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5"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5"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5"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5"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5"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5"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5"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5"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5"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5"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5"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5"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5"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5"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5"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5"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5"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5"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5"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5"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5"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5"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5"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5"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5"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5"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5"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5"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5"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5"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5"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5"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5"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5"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5"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5"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5"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5"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5"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5"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5"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5"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5"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5"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5"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5"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5"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5"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5"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5"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5"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5"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5"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5"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5"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5"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5"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5"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5"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5"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5"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5"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5"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5"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5"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5"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5"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5"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5"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5"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5"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5"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5"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5"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5"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5"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5"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5"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5"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5"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5"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5"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5"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5"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5"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5"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5"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5"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5"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5"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5"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5"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5"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5"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5"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5"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5"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5"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5"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5"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5"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5"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5"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5"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5"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5"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5"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5"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5"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5"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5"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5"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5"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5"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5"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5"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5"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5"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5"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5"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5"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5"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5"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5"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5"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5"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5"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5"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5"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5"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5"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5"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5"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5"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5"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5"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5"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5"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5"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5"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5"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5"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5"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5"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5"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5"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5"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5"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5"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5"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5"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5"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5"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5"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5"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5"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5"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5"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5"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5"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5"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5"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5"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5"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5"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5"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5"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5"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5"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5"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5"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5"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5"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5"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5"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5"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5"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5"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5"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5"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5"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5"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5"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5"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5"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5"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5"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5"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5"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5"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5"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5"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5"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5"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ef="A12" r:id="rId1" xr:uid="{00000000-0004-0000-0000-000000000000}"/>
    <hyperlink ref="A13"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7"/>
  <sheetViews>
    <sheetView tabSelected="1" workbookViewId="0"/>
  </sheetViews>
  <sheetFormatPr defaultColWidth="12.6640625" defaultRowHeight="15" customHeight="1" x14ac:dyDescent="0.35"/>
  <cols>
    <col min="1" max="1" width="15.5" style="7" customWidth="1"/>
    <col min="2" max="16384" width="12.6640625" style="7"/>
  </cols>
  <sheetData>
    <row r="1" spans="1:5" ht="15" customHeight="1" x14ac:dyDescent="0.35">
      <c r="A1" s="5" t="s">
        <v>12</v>
      </c>
      <c r="B1" s="6" t="s">
        <v>13</v>
      </c>
      <c r="C1" s="6" t="s">
        <v>14</v>
      </c>
      <c r="D1" s="6" t="s">
        <v>15</v>
      </c>
      <c r="E1" s="6" t="s">
        <v>16</v>
      </c>
    </row>
    <row r="2" spans="1:5" ht="15" customHeight="1" x14ac:dyDescent="0.35">
      <c r="A2" s="8" t="s">
        <v>17</v>
      </c>
      <c r="B2" s="9">
        <v>14.6</v>
      </c>
      <c r="C2" s="9">
        <v>10.46</v>
      </c>
      <c r="D2" s="10">
        <v>6.98</v>
      </c>
      <c r="E2" s="9">
        <v>16.3</v>
      </c>
    </row>
    <row r="3" spans="1:5" ht="15" customHeight="1" x14ac:dyDescent="0.35">
      <c r="A3" s="8" t="s">
        <v>18</v>
      </c>
      <c r="B3" s="9">
        <v>15.69</v>
      </c>
      <c r="C3" s="9">
        <v>9.66</v>
      </c>
      <c r="D3" s="9">
        <v>5.82</v>
      </c>
      <c r="E3" s="9">
        <v>13.5</v>
      </c>
    </row>
    <row r="4" spans="1:5" ht="15" customHeight="1" x14ac:dyDescent="0.35">
      <c r="A4" s="8" t="s">
        <v>19</v>
      </c>
      <c r="B4" s="9">
        <v>15.17</v>
      </c>
      <c r="C4" s="9">
        <v>4.68</v>
      </c>
      <c r="D4" s="9">
        <v>6.8</v>
      </c>
      <c r="E4" s="9">
        <v>15.9</v>
      </c>
    </row>
    <row r="5" spans="1:5" ht="15" customHeight="1" x14ac:dyDescent="0.35">
      <c r="A5" s="8" t="s">
        <v>20</v>
      </c>
      <c r="B5" s="9">
        <v>15.27</v>
      </c>
      <c r="C5" s="9">
        <v>12.72</v>
      </c>
      <c r="D5" s="9">
        <v>10.93</v>
      </c>
      <c r="E5" s="9">
        <v>13.7</v>
      </c>
    </row>
    <row r="6" spans="1:5" ht="15" customHeight="1" x14ac:dyDescent="0.35">
      <c r="A6" s="8" t="s">
        <v>21</v>
      </c>
      <c r="B6" s="9">
        <v>15.27</v>
      </c>
      <c r="C6" s="9">
        <v>6.43</v>
      </c>
      <c r="D6" s="9">
        <v>3.85</v>
      </c>
      <c r="E6" s="9">
        <v>14.8</v>
      </c>
    </row>
    <row r="7" spans="1:5" ht="15" customHeight="1" x14ac:dyDescent="0.35">
      <c r="A7" s="1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xSplit="1" ySplit="2" topLeftCell="B3" activePane="bottomRight" state="frozen"/>
      <selection pane="topRight" activeCell="B1" sqref="B1"/>
      <selection pane="bottomLeft" activeCell="A3" sqref="A3"/>
      <selection pane="bottomRight" sqref="A1:A2"/>
    </sheetView>
  </sheetViews>
  <sheetFormatPr defaultColWidth="12.6640625" defaultRowHeight="15" customHeight="1" x14ac:dyDescent="0.3"/>
  <cols>
    <col min="1" max="1" width="13.5" style="30" customWidth="1"/>
    <col min="2" max="6" width="12.6640625" style="13" customWidth="1"/>
    <col min="7" max="7" width="13.1640625" style="13" customWidth="1"/>
    <col min="8" max="8" width="13.25" style="13" customWidth="1"/>
    <col min="9" max="11" width="10.5" style="13" customWidth="1"/>
    <col min="12" max="26" width="12.6640625" style="13" customWidth="1"/>
    <col min="27" max="16384" width="12.6640625" style="13"/>
  </cols>
  <sheetData>
    <row r="1" spans="1:26" ht="15" customHeight="1" x14ac:dyDescent="0.3">
      <c r="A1" s="37" t="s">
        <v>23</v>
      </c>
      <c r="B1" s="39" t="s">
        <v>24</v>
      </c>
      <c r="C1" s="35"/>
      <c r="D1" s="36"/>
      <c r="E1" s="34" t="s">
        <v>16</v>
      </c>
      <c r="F1" s="34" t="s">
        <v>25</v>
      </c>
      <c r="G1" s="34" t="s">
        <v>26</v>
      </c>
      <c r="H1" s="35"/>
      <c r="I1" s="35"/>
      <c r="J1" s="35"/>
      <c r="K1" s="36"/>
      <c r="L1" s="34" t="s">
        <v>27</v>
      </c>
      <c r="M1" s="35"/>
      <c r="N1" s="35"/>
      <c r="O1" s="35"/>
      <c r="P1" s="36"/>
      <c r="Q1" s="34" t="s">
        <v>28</v>
      </c>
      <c r="R1" s="35"/>
      <c r="S1" s="35"/>
      <c r="T1" s="35"/>
      <c r="U1" s="36"/>
      <c r="V1" s="12"/>
      <c r="W1" s="12"/>
      <c r="X1" s="12"/>
      <c r="Y1" s="12"/>
      <c r="Z1" s="12"/>
    </row>
    <row r="2" spans="1:26" ht="15" customHeight="1" x14ac:dyDescent="0.3">
      <c r="A2" s="38"/>
      <c r="B2" s="14" t="s">
        <v>29</v>
      </c>
      <c r="C2" s="15" t="s">
        <v>30</v>
      </c>
      <c r="D2" s="15" t="s">
        <v>31</v>
      </c>
      <c r="E2" s="36"/>
      <c r="F2" s="36"/>
      <c r="G2" s="15" t="s">
        <v>32</v>
      </c>
      <c r="H2" s="15" t="s">
        <v>33</v>
      </c>
      <c r="I2" s="15" t="s">
        <v>19</v>
      </c>
      <c r="J2" s="15" t="s">
        <v>20</v>
      </c>
      <c r="K2" s="15" t="s">
        <v>21</v>
      </c>
      <c r="L2" s="15" t="s">
        <v>32</v>
      </c>
      <c r="M2" s="15" t="s">
        <v>33</v>
      </c>
      <c r="N2" s="15" t="s">
        <v>19</v>
      </c>
      <c r="O2" s="15" t="s">
        <v>20</v>
      </c>
      <c r="P2" s="15" t="s">
        <v>21</v>
      </c>
      <c r="Q2" s="15" t="s">
        <v>32</v>
      </c>
      <c r="R2" s="15" t="s">
        <v>33</v>
      </c>
      <c r="S2" s="15" t="s">
        <v>19</v>
      </c>
      <c r="T2" s="15" t="s">
        <v>20</v>
      </c>
      <c r="U2" s="15" t="s">
        <v>21</v>
      </c>
      <c r="V2" s="12"/>
      <c r="W2" s="12"/>
      <c r="X2" s="12"/>
      <c r="Y2" s="12"/>
      <c r="Z2" s="12"/>
    </row>
    <row r="3" spans="1:26" ht="15" customHeight="1" x14ac:dyDescent="0.3">
      <c r="A3" s="26" t="s">
        <v>34</v>
      </c>
      <c r="B3" s="17">
        <v>19</v>
      </c>
      <c r="C3" s="17">
        <v>6.7</v>
      </c>
      <c r="D3" s="17">
        <v>10.1</v>
      </c>
      <c r="E3" s="17" t="s">
        <v>35</v>
      </c>
      <c r="F3" s="22">
        <v>139.6</v>
      </c>
      <c r="G3" s="17">
        <f>SQRT((4*(HSP!$B$2-$B3)^2+(HSP!$C$2-$C3)^2+(HSP!$D$2-$D3)^2))</f>
        <v>10.065386232033028</v>
      </c>
      <c r="H3" s="17">
        <f>SQRT((4*(HSP!$B$3-$B3)^2+(HSP!$C$3-$C3)^2+(HSP!$D$3-$D3)^2))</f>
        <v>8.4204750459816697</v>
      </c>
      <c r="I3" s="17">
        <f>SQRT((4*(HSP!$B$4-$B3)^2+(HSP!$C$4-$C3)^2+(HSP!$D$4-$D3)^2))</f>
        <v>8.5817247683667883</v>
      </c>
      <c r="J3" s="17">
        <f>SQRT((4*(HSP!$B$5-$B3)^2+(HSP!$C$5-$C3)^2+(HSP!$D$5-$D3)^2))</f>
        <v>9.6218969023784506</v>
      </c>
      <c r="K3" s="17">
        <f>SQRT((4*(HSP!$B$6-$B3)^2+(HSP!$C$6-$C3)^2+(HSP!$D$6-$D3)^2))</f>
        <v>9.7358615437977551</v>
      </c>
      <c r="L3" s="17" t="s">
        <v>35</v>
      </c>
      <c r="M3" s="17" t="s">
        <v>35</v>
      </c>
      <c r="N3" s="17" t="s">
        <v>35</v>
      </c>
      <c r="O3" s="17" t="s">
        <v>35</v>
      </c>
      <c r="P3" s="17" t="s">
        <v>35</v>
      </c>
      <c r="Q3" s="17">
        <f>$G3/HSP!$E$2</f>
        <v>0.61750835779343727</v>
      </c>
      <c r="R3" s="17">
        <f>$H3/HSP!$E$3</f>
        <v>0.62373889229493851</v>
      </c>
      <c r="S3" s="17">
        <f>$I3/HSP!$E$4</f>
        <v>0.53973111750734515</v>
      </c>
      <c r="T3" s="17">
        <f>$J3/HSP!$E$5</f>
        <v>0.70232824104952196</v>
      </c>
      <c r="U3" s="17">
        <f>$K3/HSP!$E$6</f>
        <v>0.65782848268903749</v>
      </c>
      <c r="V3" s="12"/>
      <c r="W3" s="12"/>
      <c r="X3" s="12"/>
      <c r="Y3" s="12"/>
      <c r="Z3" s="12"/>
    </row>
    <row r="4" spans="1:26" ht="15" customHeight="1" x14ac:dyDescent="0.3">
      <c r="A4" s="26" t="s">
        <v>36</v>
      </c>
      <c r="B4" s="17">
        <v>19.5</v>
      </c>
      <c r="C4" s="17">
        <v>7.2</v>
      </c>
      <c r="D4" s="17">
        <v>5.0999999999999996</v>
      </c>
      <c r="E4" s="17" t="s">
        <v>35</v>
      </c>
      <c r="F4" s="22">
        <v>167.9</v>
      </c>
      <c r="G4" s="17">
        <f>SQRT((4*(HSP!$B$2-$B4)^2+(HSP!$C$2-$C4)^2+(HSP!$D$2-$D4)^2))</f>
        <v>10.497714036874887</v>
      </c>
      <c r="H4" s="17">
        <f>SQRT((4*(HSP!$B$3-$B4)^2+(HSP!$C$3-$C4)^2+(HSP!$D$3-$D4)^2))</f>
        <v>8.039552226336987</v>
      </c>
      <c r="I4" s="17">
        <f>SQRT((4*(HSP!$B$4-$B4)^2+(HSP!$C$4-$C4)^2+(HSP!$D$4-$D4)^2))</f>
        <v>9.1780172150633934</v>
      </c>
      <c r="J4" s="17">
        <f>SQRT((4*(HSP!$B$5-$B4)^2+(HSP!$C$5-$C4)^2+(HSP!$D$5-$D4)^2))</f>
        <v>11.663228541017279</v>
      </c>
      <c r="K4" s="17">
        <f>SQRT((4*(HSP!$B$6-$B4)^2+(HSP!$C$6-$C4)^2+(HSP!$D$6-$D4)^2))</f>
        <v>8.5864428024648269</v>
      </c>
      <c r="L4" s="17" t="s">
        <v>35</v>
      </c>
      <c r="M4" s="17" t="s">
        <v>35</v>
      </c>
      <c r="N4" s="17" t="s">
        <v>35</v>
      </c>
      <c r="O4" s="17" t="s">
        <v>35</v>
      </c>
      <c r="P4" s="17" t="s">
        <v>35</v>
      </c>
      <c r="Q4" s="17">
        <f>$G4/HSP!$E$2</f>
        <v>0.64403153600459428</v>
      </c>
      <c r="R4" s="17">
        <f>$H4/HSP!$E$3</f>
        <v>0.59552238713607308</v>
      </c>
      <c r="S4" s="17">
        <f>$I4/HSP!$E$4</f>
        <v>0.57723378711090523</v>
      </c>
      <c r="T4" s="17">
        <f>$J4/HSP!$E$5</f>
        <v>0.85133055043921746</v>
      </c>
      <c r="U4" s="17">
        <f>$K4/HSP!$E$6</f>
        <v>0.58016505422059639</v>
      </c>
      <c r="V4" s="12"/>
      <c r="W4" s="12"/>
      <c r="X4" s="12"/>
      <c r="Y4" s="12"/>
      <c r="Z4" s="12"/>
    </row>
    <row r="5" spans="1:26" ht="15" customHeight="1" x14ac:dyDescent="0.3">
      <c r="A5" s="26" t="s">
        <v>37</v>
      </c>
      <c r="B5" s="17">
        <v>20.5</v>
      </c>
      <c r="C5" s="17">
        <v>9.9</v>
      </c>
      <c r="D5" s="17">
        <v>15.4</v>
      </c>
      <c r="E5" s="17" t="s">
        <v>35</v>
      </c>
      <c r="F5" s="22">
        <v>172</v>
      </c>
      <c r="G5" s="17">
        <f>SQRT((4*(HSP!$B$2-$B5)^2+(HSP!$C$2-$C5)^2+(HSP!$D$2-$D5)^2))</f>
        <v>14.506894912420094</v>
      </c>
      <c r="H5" s="17">
        <f>SQRT((4*(HSP!$B$3-$B5)^2+(HSP!$C$3-$C5)^2+(HSP!$D$3-$D5)^2))</f>
        <v>13.578600811571125</v>
      </c>
      <c r="I5" s="17">
        <f>SQRT((4*(HSP!$B$4-$B5)^2+(HSP!$C$4-$C5)^2+(HSP!$D$4-$D5)^2))</f>
        <v>14.657557777474393</v>
      </c>
      <c r="J5" s="17">
        <f>SQRT((4*(HSP!$B$5-$B5)^2+(HSP!$C$5-$C5)^2+(HSP!$D$5-$D5)^2))</f>
        <v>11.719424047281505</v>
      </c>
      <c r="K5" s="17">
        <f>SQRT((4*(HSP!$B$6-$B5)^2+(HSP!$C$6-$C5)^2+(HSP!$D$6-$D5)^2))</f>
        <v>15.964178650967296</v>
      </c>
      <c r="L5" s="17" t="s">
        <v>35</v>
      </c>
      <c r="M5" s="17" t="s">
        <v>35</v>
      </c>
      <c r="N5" s="17" t="s">
        <v>35</v>
      </c>
      <c r="O5" s="17" t="s">
        <v>35</v>
      </c>
      <c r="P5" s="17" t="s">
        <v>35</v>
      </c>
      <c r="Q5" s="17">
        <f>$G5/HSP!$E$2</f>
        <v>0.88999355290920823</v>
      </c>
      <c r="R5" s="17">
        <f>$H5/HSP!$E$3</f>
        <v>1.0058222823386018</v>
      </c>
      <c r="S5" s="17">
        <f>$I5/HSP!$E$4</f>
        <v>0.92185897971537056</v>
      </c>
      <c r="T5" s="17">
        <f>$J5/HSP!$E$5</f>
        <v>0.85543241221032884</v>
      </c>
      <c r="U5" s="17">
        <f>$K5/HSP!$E$6</f>
        <v>1.0786607196599525</v>
      </c>
      <c r="V5" s="12"/>
      <c r="W5" s="12"/>
      <c r="X5" s="12"/>
      <c r="Y5" s="12"/>
      <c r="Z5" s="12"/>
    </row>
    <row r="6" spans="1:26" ht="15" customHeight="1" x14ac:dyDescent="0.3">
      <c r="A6" s="26" t="s">
        <v>38</v>
      </c>
      <c r="B6" s="17">
        <v>18.7</v>
      </c>
      <c r="C6" s="17">
        <v>6.4</v>
      </c>
      <c r="D6" s="17">
        <v>7.6</v>
      </c>
      <c r="E6" s="17" t="s">
        <v>35</v>
      </c>
      <c r="F6" s="22">
        <v>307.3</v>
      </c>
      <c r="G6" s="17">
        <f>SQRT((4*(HSP!$B$2-$B6)^2+(HSP!$C$2-$C6)^2+(HSP!$D$2-$D6)^2))</f>
        <v>9.1710413803449828</v>
      </c>
      <c r="H6" s="17">
        <f>SQRT((4*(HSP!$B$3-$B6)^2+(HSP!$C$3-$C6)^2+(HSP!$D$3-$D6)^2))</f>
        <v>7.0736412122753292</v>
      </c>
      <c r="I6" s="17">
        <f>SQRT((4*(HSP!$B$4-$B6)^2+(HSP!$C$4-$C6)^2+(HSP!$D$4-$D6)^2))</f>
        <v>7.3104035456327567</v>
      </c>
      <c r="J6" s="17">
        <f>SQRT((4*(HSP!$B$5-$B6)^2+(HSP!$C$5-$C6)^2+(HSP!$D$5-$D6)^2))</f>
        <v>9.9040850157902014</v>
      </c>
      <c r="K6" s="17">
        <f>SQRT((4*(HSP!$B$6-$B6)^2+(HSP!$C$6-$C6)^2+(HSP!$D$6-$D6)^2))</f>
        <v>7.818119978613784</v>
      </c>
      <c r="L6" s="17" t="s">
        <v>35</v>
      </c>
      <c r="M6" s="17" t="s">
        <v>35</v>
      </c>
      <c r="N6" s="17" t="s">
        <v>35</v>
      </c>
      <c r="O6" s="17" t="s">
        <v>35</v>
      </c>
      <c r="P6" s="17" t="s">
        <v>35</v>
      </c>
      <c r="Q6" s="17">
        <f>$G6/HSP!$E$2</f>
        <v>0.56264057548128732</v>
      </c>
      <c r="R6" s="17">
        <f>$H6/HSP!$E$3</f>
        <v>0.52397342313150586</v>
      </c>
      <c r="S6" s="17">
        <f>$I6/HSP!$E$4</f>
        <v>0.45977380790143124</v>
      </c>
      <c r="T6" s="17">
        <f>$J6/HSP!$E$5</f>
        <v>0.72292591356132863</v>
      </c>
      <c r="U6" s="17">
        <f>$K6/HSP!$E$6</f>
        <v>0.52825134990633671</v>
      </c>
      <c r="V6" s="12"/>
      <c r="W6" s="12"/>
      <c r="X6" s="12"/>
      <c r="Y6" s="12"/>
      <c r="Z6" s="12"/>
    </row>
    <row r="7" spans="1:26" ht="15" customHeight="1" x14ac:dyDescent="0.3">
      <c r="A7" s="26" t="s">
        <v>39</v>
      </c>
      <c r="B7" s="17">
        <v>20.5</v>
      </c>
      <c r="C7" s="17">
        <v>12.1</v>
      </c>
      <c r="D7" s="17">
        <v>25.3</v>
      </c>
      <c r="E7" s="17" t="s">
        <v>35</v>
      </c>
      <c r="F7" s="22">
        <v>179.7</v>
      </c>
      <c r="G7" s="17">
        <f>SQRT((4*(HSP!$B$2-$B7)^2+(HSP!$C$2-$C7)^2+(HSP!$D$2-$D7)^2))</f>
        <v>21.852963185801599</v>
      </c>
      <c r="H7" s="17">
        <f>SQRT((4*(HSP!$B$3-$B7)^2+(HSP!$C$3-$C7)^2+(HSP!$D$3-$D7)^2))</f>
        <v>21.862488421952339</v>
      </c>
      <c r="I7" s="17">
        <f>SQRT((4*(HSP!$B$4-$B7)^2+(HSP!$C$4-$C7)^2+(HSP!$D$4-$D7)^2))</f>
        <v>22.604026190039686</v>
      </c>
      <c r="J7" s="17">
        <f>SQRT((4*(HSP!$B$5-$B7)^2+(HSP!$C$5-$C7)^2+(HSP!$D$5-$D7)^2))</f>
        <v>17.784625382616301</v>
      </c>
      <c r="K7" s="17">
        <f>SQRT((4*(HSP!$B$6-$B7)^2+(HSP!$C$6-$C7)^2+(HSP!$D$6-$D7)^2))</f>
        <v>24.528819784082561</v>
      </c>
      <c r="L7" s="17" t="s">
        <v>35</v>
      </c>
      <c r="M7" s="17" t="s">
        <v>35</v>
      </c>
      <c r="N7" s="17" t="s">
        <v>35</v>
      </c>
      <c r="O7" s="17" t="s">
        <v>35</v>
      </c>
      <c r="P7" s="17" t="s">
        <v>35</v>
      </c>
      <c r="Q7" s="17">
        <f>$G7/HSP!$E$2</f>
        <v>1.3406725880859875</v>
      </c>
      <c r="R7" s="17">
        <f>$H7/HSP!$E$3</f>
        <v>1.6194435868112844</v>
      </c>
      <c r="S7" s="17">
        <f>$I7/HSP!$E$4</f>
        <v>1.4216368672980935</v>
      </c>
      <c r="T7" s="17">
        <f>$J7/HSP!$E$5</f>
        <v>1.2981478381471754</v>
      </c>
      <c r="U7" s="17">
        <f>$K7/HSP!$E$6</f>
        <v>1.6573526881136864</v>
      </c>
      <c r="V7" s="12"/>
      <c r="W7" s="12"/>
      <c r="X7" s="12"/>
      <c r="Y7" s="12"/>
      <c r="Z7" s="12"/>
    </row>
    <row r="8" spans="1:26" ht="15" customHeight="1" x14ac:dyDescent="0.3">
      <c r="A8" s="26" t="s">
        <v>40</v>
      </c>
      <c r="B8" s="17">
        <v>20.3</v>
      </c>
      <c r="C8" s="17">
        <v>9.3000000000000007</v>
      </c>
      <c r="D8" s="17">
        <v>10.9</v>
      </c>
      <c r="E8" s="17" t="s">
        <v>35</v>
      </c>
      <c r="F8" s="22">
        <v>189.9</v>
      </c>
      <c r="G8" s="17">
        <f>SQRT((4*(HSP!$B$2-$B8)^2+(HSP!$C$2-$C8)^2+(HSP!$D$2-$D8)^2))</f>
        <v>12.110821607141277</v>
      </c>
      <c r="H8" s="17">
        <f>SQRT((4*(HSP!$B$3-$B8)^2+(HSP!$C$3-$C8)^2+(HSP!$D$3-$D8)^2))</f>
        <v>10.533014763115071</v>
      </c>
      <c r="I8" s="17">
        <f>SQRT((4*(HSP!$B$4-$B8)^2+(HSP!$C$4-$C8)^2+(HSP!$D$4-$D8)^2))</f>
        <v>11.975892451086894</v>
      </c>
      <c r="J8" s="17">
        <f>SQRT((4*(HSP!$B$5-$B8)^2+(HSP!$C$5-$C8)^2+(HSP!$D$5-$D8)^2))</f>
        <v>10.625483518409883</v>
      </c>
      <c r="K8" s="17">
        <f>SQRT((4*(HSP!$B$6-$B8)^2+(HSP!$C$6-$C8)^2+(HSP!$D$6-$D8)^2))</f>
        <v>12.615189257399194</v>
      </c>
      <c r="L8" s="17" t="s">
        <v>35</v>
      </c>
      <c r="M8" s="17" t="s">
        <v>35</v>
      </c>
      <c r="N8" s="17" t="s">
        <v>35</v>
      </c>
      <c r="O8" s="17" t="s">
        <v>35</v>
      </c>
      <c r="P8" s="17" t="s">
        <v>35</v>
      </c>
      <c r="Q8" s="17">
        <f>$G8/HSP!$E$2</f>
        <v>0.74299519062216424</v>
      </c>
      <c r="R8" s="17">
        <f>$H8/HSP!$E$3</f>
        <v>0.78022331578630155</v>
      </c>
      <c r="S8" s="17">
        <f>$I8/HSP!$E$4</f>
        <v>0.75320078308722604</v>
      </c>
      <c r="T8" s="17">
        <f>$J8/HSP!$E$5</f>
        <v>0.77558273857006454</v>
      </c>
      <c r="U8" s="17">
        <f>$K8/HSP!$E$6</f>
        <v>0.85237765252697251</v>
      </c>
      <c r="V8" s="12"/>
      <c r="W8" s="12"/>
      <c r="X8" s="12"/>
      <c r="Y8" s="12"/>
      <c r="Z8" s="12"/>
    </row>
    <row r="9" spans="1:26" ht="15" customHeight="1" x14ac:dyDescent="0.3">
      <c r="A9" s="26" t="s">
        <v>41</v>
      </c>
      <c r="B9" s="17">
        <v>20.2</v>
      </c>
      <c r="C9" s="17">
        <v>10.6</v>
      </c>
      <c r="D9" s="17">
        <v>15.8</v>
      </c>
      <c r="E9" s="17" t="s">
        <v>35</v>
      </c>
      <c r="F9" s="22">
        <v>215.7</v>
      </c>
      <c r="G9" s="17">
        <f>SQRT((4*(HSP!$B$2-$B9)^2+(HSP!$C$2-$C9)^2+(HSP!$D$2-$D9)^2))</f>
        <v>14.256647572273083</v>
      </c>
      <c r="H9" s="17">
        <f>SQRT((4*(HSP!$B$3-$B9)^2+(HSP!$C$3-$C9)^2+(HSP!$D$3-$D9)^2))</f>
        <v>13.484969410421368</v>
      </c>
      <c r="I9" s="17">
        <f>SQRT((4*(HSP!$B$4-$B9)^2+(HSP!$C$4-$C9)^2+(HSP!$D$4-$D9)^2))</f>
        <v>14.739402972983674</v>
      </c>
      <c r="J9" s="17">
        <f>SQRT((4*(HSP!$B$5-$B9)^2+(HSP!$C$5-$C9)^2+(HSP!$D$5-$D9)^2))</f>
        <v>11.199593742631917</v>
      </c>
      <c r="K9" s="17">
        <f>SQRT((4*(HSP!$B$6-$B9)^2+(HSP!$C$6-$C9)^2+(HSP!$D$6-$D9)^2))</f>
        <v>16.044033158779001</v>
      </c>
      <c r="L9" s="17" t="s">
        <v>35</v>
      </c>
      <c r="M9" s="17" t="s">
        <v>35</v>
      </c>
      <c r="N9" s="17" t="s">
        <v>35</v>
      </c>
      <c r="O9" s="17" t="s">
        <v>35</v>
      </c>
      <c r="P9" s="17" t="s">
        <v>35</v>
      </c>
      <c r="Q9" s="17">
        <f>$G9/HSP!$E$2</f>
        <v>0.87464095535417685</v>
      </c>
      <c r="R9" s="17">
        <f>$H9/HSP!$E$3</f>
        <v>0.99888662299417541</v>
      </c>
      <c r="S9" s="17">
        <f>$I9/HSP!$E$4</f>
        <v>0.92700647628828137</v>
      </c>
      <c r="T9" s="17">
        <f>$J9/HSP!$E$5</f>
        <v>0.81748859435269472</v>
      </c>
      <c r="U9" s="17">
        <f>$K9/HSP!$E$6</f>
        <v>1.0840562945120946</v>
      </c>
      <c r="V9" s="12"/>
      <c r="W9" s="12"/>
      <c r="X9" s="12"/>
      <c r="Y9" s="12"/>
      <c r="Z9" s="12"/>
    </row>
    <row r="10" spans="1:26" ht="15" customHeight="1" x14ac:dyDescent="0.3">
      <c r="A10" s="26" t="s">
        <v>42</v>
      </c>
      <c r="B10" s="17">
        <v>20.8</v>
      </c>
      <c r="C10" s="17">
        <v>9.3000000000000007</v>
      </c>
      <c r="D10" s="17">
        <v>9.8000000000000007</v>
      </c>
      <c r="E10" s="17" t="s">
        <v>35</v>
      </c>
      <c r="F10" s="22">
        <v>180.3</v>
      </c>
      <c r="G10" s="17">
        <f>SQRT((4*(HSP!$B$2-$B10)^2+(HSP!$C$2-$C10)^2+(HSP!$D$2-$D10)^2))</f>
        <v>12.769416588082638</v>
      </c>
      <c r="H10" s="17">
        <f>SQRT((4*(HSP!$B$3-$B10)^2+(HSP!$C$3-$C10)^2+(HSP!$D$3-$D10)^2))</f>
        <v>10.973531792454061</v>
      </c>
      <c r="I10" s="17">
        <f>SQRT((4*(HSP!$B$4-$B10)^2+(HSP!$C$4-$C10)^2+(HSP!$D$4-$D10)^2))</f>
        <v>12.535230352889414</v>
      </c>
      <c r="J10" s="17">
        <f>SQRT((4*(HSP!$B$5-$B10)^2+(HSP!$C$5-$C10)^2+(HSP!$D$5-$D10)^2))</f>
        <v>11.631719563331986</v>
      </c>
      <c r="K10" s="17">
        <f>SQRT((4*(HSP!$B$6-$B10)^2+(HSP!$C$6-$C10)^2+(HSP!$D$6-$D10)^2))</f>
        <v>12.882662768232352</v>
      </c>
      <c r="L10" s="17" t="s">
        <v>35</v>
      </c>
      <c r="M10" s="17" t="s">
        <v>35</v>
      </c>
      <c r="N10" s="17" t="s">
        <v>35</v>
      </c>
      <c r="O10" s="17" t="s">
        <v>35</v>
      </c>
      <c r="P10" s="17" t="s">
        <v>35</v>
      </c>
      <c r="Q10" s="17">
        <f>$G10/HSP!$E$2</f>
        <v>0.78339979067991639</v>
      </c>
      <c r="R10" s="17">
        <f>$H10/HSP!$E$3</f>
        <v>0.812854206848449</v>
      </c>
      <c r="S10" s="17">
        <f>$I10/HSP!$E$4</f>
        <v>0.78837926747732157</v>
      </c>
      <c r="T10" s="17">
        <f>$J10/HSP!$E$5</f>
        <v>0.84903062506072891</v>
      </c>
      <c r="U10" s="17">
        <f>$K10/HSP!$E$6</f>
        <v>0.87045018704272648</v>
      </c>
      <c r="V10" s="12"/>
      <c r="W10" s="12"/>
      <c r="X10" s="12"/>
      <c r="Y10" s="12"/>
      <c r="Z10" s="12"/>
    </row>
    <row r="11" spans="1:26" ht="15" customHeight="1" x14ac:dyDescent="0.3">
      <c r="A11" s="26" t="s">
        <v>43</v>
      </c>
      <c r="B11" s="17">
        <v>20.100000000000001</v>
      </c>
      <c r="C11" s="17">
        <v>10.7</v>
      </c>
      <c r="D11" s="17">
        <v>15.8</v>
      </c>
      <c r="E11" s="17" t="s">
        <v>35</v>
      </c>
      <c r="F11" s="22">
        <v>194.1</v>
      </c>
      <c r="G11" s="17">
        <f>SQRT((4*(HSP!$B$2-$B11)^2+(HSP!$C$2-$C11)^2+(HSP!$D$2-$D11)^2))</f>
        <v>14.101418368376994</v>
      </c>
      <c r="H11" s="17">
        <f>SQRT((4*(HSP!$B$3-$B11)^2+(HSP!$C$3-$C11)^2+(HSP!$D$3-$D11)^2))</f>
        <v>13.359431125613099</v>
      </c>
      <c r="I11" s="17">
        <f>SQRT((4*(HSP!$B$4-$B11)^2+(HSP!$C$4-$C11)^2+(HSP!$D$4-$D11)^2))</f>
        <v>14.644452874723591</v>
      </c>
      <c r="J11" s="17">
        <f>SQRT((4*(HSP!$B$5-$B11)^2+(HSP!$C$5-$C11)^2+(HSP!$D$5-$D11)^2))</f>
        <v>11.005130621669155</v>
      </c>
      <c r="K11" s="17">
        <f>SQRT((4*(HSP!$B$6-$B11)^2+(HSP!$C$6-$C11)^2+(HSP!$D$6-$D11)^2))</f>
        <v>15.948385498225209</v>
      </c>
      <c r="L11" s="17" t="s">
        <v>35</v>
      </c>
      <c r="M11" s="17" t="s">
        <v>35</v>
      </c>
      <c r="N11" s="17" t="s">
        <v>35</v>
      </c>
      <c r="O11" s="17" t="s">
        <v>35</v>
      </c>
      <c r="P11" s="17" t="s">
        <v>35</v>
      </c>
      <c r="Q11" s="17">
        <f>$G11/HSP!$E$2</f>
        <v>0.86511769131147198</v>
      </c>
      <c r="R11" s="17">
        <f>$H11/HSP!$E$3</f>
        <v>0.98958749078615549</v>
      </c>
      <c r="S11" s="17">
        <f>$I11/HSP!$E$4</f>
        <v>0.92103477199519435</v>
      </c>
      <c r="T11" s="17">
        <f>$J11/HSP!$E$5</f>
        <v>0.80329420596125223</v>
      </c>
      <c r="U11" s="17">
        <f>$K11/HSP!$E$6</f>
        <v>1.0775936147449465</v>
      </c>
      <c r="V11" s="12"/>
      <c r="W11" s="12"/>
      <c r="X11" s="12"/>
      <c r="Y11" s="12"/>
      <c r="Z11" s="12"/>
    </row>
    <row r="12" spans="1:26" ht="15" customHeight="1" x14ac:dyDescent="0.3">
      <c r="A12" s="27" t="s">
        <v>44</v>
      </c>
      <c r="B12" s="19">
        <v>23.6</v>
      </c>
      <c r="C12" s="19">
        <v>7.41</v>
      </c>
      <c r="D12" s="19">
        <v>9.7899999999999991</v>
      </c>
      <c r="E12" s="17" t="s">
        <v>35</v>
      </c>
      <c r="F12" s="23" t="s">
        <v>35</v>
      </c>
      <c r="G12" s="19">
        <f>SQRT((4*(HSP!$B$2-$B12)^2+(HSP!$C$2-$C12)^2+(HSP!$D$2-$D12)^2))</f>
        <v>18.471561926377532</v>
      </c>
      <c r="H12" s="19">
        <f>SQRT((4*(HSP!$B$3-$B12)^2+(HSP!$C$3-$C12)^2+(HSP!$D$3-$D12)^2))</f>
        <v>16.464987093830352</v>
      </c>
      <c r="I12" s="19">
        <f>SQRT((4*(HSP!$B$4-$B12)^2+(HSP!$C$4-$C12)^2+(HSP!$D$4-$D12)^2))</f>
        <v>17.339336780857568</v>
      </c>
      <c r="J12" s="19">
        <f>SQRT((4*(HSP!$B$5-$B12)^2+(HSP!$C$5-$C12)^2+(HSP!$D$5-$D12)^2))</f>
        <v>17.52287932960791</v>
      </c>
      <c r="K12" s="17">
        <f>SQRT((4*(HSP!$B$6-$B12)^2+(HSP!$C$6-$C12)^2+(HSP!$D$6-$D12)^2))</f>
        <v>17.714389631031608</v>
      </c>
      <c r="L12" s="17" t="s">
        <v>35</v>
      </c>
      <c r="M12" s="17" t="s">
        <v>35</v>
      </c>
      <c r="N12" s="17" t="s">
        <v>35</v>
      </c>
      <c r="O12" s="17" t="s">
        <v>35</v>
      </c>
      <c r="P12" s="17" t="s">
        <v>35</v>
      </c>
      <c r="Q12" s="17">
        <f>$G12/HSP!$E$2</f>
        <v>1.1332246580599712</v>
      </c>
      <c r="R12" s="17">
        <f>$H12/HSP!$E$3</f>
        <v>1.2196286736170632</v>
      </c>
      <c r="S12" s="17">
        <f>$I12/HSP!$E$4</f>
        <v>1.0905243258400985</v>
      </c>
      <c r="T12" s="17">
        <f>$J12/HSP!$E$5</f>
        <v>1.2790422868326943</v>
      </c>
      <c r="U12" s="17">
        <f>$K12/HSP!$E$6</f>
        <v>1.1969182183129465</v>
      </c>
      <c r="V12" s="12"/>
      <c r="W12" s="12"/>
      <c r="X12" s="12"/>
      <c r="Y12" s="12"/>
      <c r="Z12" s="12"/>
    </row>
    <row r="13" spans="1:26" ht="15" customHeight="1" x14ac:dyDescent="0.3">
      <c r="A13" s="26" t="s">
        <v>45</v>
      </c>
      <c r="B13" s="17">
        <v>20.7</v>
      </c>
      <c r="C13" s="17">
        <v>13.5</v>
      </c>
      <c r="D13" s="17">
        <v>13.7</v>
      </c>
      <c r="E13" s="17" t="s">
        <v>35</v>
      </c>
      <c r="F13" s="22">
        <v>292.7</v>
      </c>
      <c r="G13" s="17">
        <f>SQRT((4*(HSP!$B$2-$B13)^2+(HSP!$C$2-$C13)^2+(HSP!$D$2-$D13)^2))</f>
        <v>14.256226709757387</v>
      </c>
      <c r="H13" s="17">
        <f>SQRT((4*(HSP!$B$3-$B13)^2+(HSP!$C$3-$C13)^2+(HSP!$D$3-$D13)^2))</f>
        <v>13.313166415244721</v>
      </c>
      <c r="I13" s="17">
        <f>SQRT((4*(HSP!$B$4-$B13)^2+(HSP!$C$4-$C13)^2+(HSP!$D$4-$D13)^2))</f>
        <v>15.739313835107296</v>
      </c>
      <c r="J13" s="17">
        <f>SQRT((4*(HSP!$B$5-$B13)^2+(HSP!$C$5-$C13)^2+(HSP!$D$5-$D13)^2))</f>
        <v>11.234807519490486</v>
      </c>
      <c r="K13" s="17">
        <f>SQRT((4*(HSP!$B$6-$B13)^2+(HSP!$C$6-$C13)^2+(HSP!$D$6-$D13)^2))</f>
        <v>16.277192632637853</v>
      </c>
      <c r="L13" s="17" t="s">
        <v>35</v>
      </c>
      <c r="M13" s="17" t="s">
        <v>35</v>
      </c>
      <c r="N13" s="17" t="s">
        <v>35</v>
      </c>
      <c r="O13" s="17" t="s">
        <v>35</v>
      </c>
      <c r="P13" s="17" t="s">
        <v>35</v>
      </c>
      <c r="Q13" s="17">
        <f>$G13/HSP!$E$2</f>
        <v>0.8746151355679378</v>
      </c>
      <c r="R13" s="17">
        <f>$H13/HSP!$E$3</f>
        <v>0.98616047520331263</v>
      </c>
      <c r="S13" s="17">
        <f>$I13/HSP!$E$4</f>
        <v>0.98989395189354068</v>
      </c>
      <c r="T13" s="17">
        <f>$J13/HSP!$E$5</f>
        <v>0.82005894302850268</v>
      </c>
      <c r="U13" s="17">
        <f>$K13/HSP!$E$6</f>
        <v>1.099810313016071</v>
      </c>
      <c r="V13" s="12"/>
      <c r="W13" s="12"/>
      <c r="X13" s="12"/>
      <c r="Y13" s="12"/>
      <c r="Z13" s="12"/>
    </row>
    <row r="14" spans="1:26" ht="15" customHeight="1" x14ac:dyDescent="0.3">
      <c r="A14" s="26" t="s">
        <v>46</v>
      </c>
      <c r="B14" s="17">
        <v>22.24</v>
      </c>
      <c r="C14" s="17">
        <v>6.52</v>
      </c>
      <c r="D14" s="17">
        <v>8.56</v>
      </c>
      <c r="E14" s="17" t="s">
        <v>35</v>
      </c>
      <c r="F14" s="22" t="s">
        <v>35</v>
      </c>
      <c r="G14" s="17">
        <f>SQRT((4*(HSP!$B$2-$B14)^2+(HSP!$C$2-$C14)^2+(HSP!$D$2-$D14)^2))</f>
        <v>15.858701081740584</v>
      </c>
      <c r="H14" s="17">
        <f>SQRT((4*(HSP!$B$3-$B14)^2+(HSP!$C$3-$C14)^2+(HSP!$D$3-$D14)^2))</f>
        <v>13.74689783187465</v>
      </c>
      <c r="I14" s="17">
        <f>SQRT((4*(HSP!$B$4-$B14)^2+(HSP!$C$4-$C14)^2+(HSP!$D$4-$D14)^2))</f>
        <v>14.367421480558017</v>
      </c>
      <c r="J14" s="17">
        <f>SQRT((4*(HSP!$B$5-$B14)^2+(HSP!$C$5-$C14)^2+(HSP!$D$5-$D14)^2))</f>
        <v>15.439575771374029</v>
      </c>
      <c r="K14" s="17">
        <f>SQRT((4*(HSP!$B$6-$B14)^2+(HSP!$C$6-$C14)^2+(HSP!$D$6-$D14)^2))</f>
        <v>14.714475865622939</v>
      </c>
      <c r="L14" s="17" t="s">
        <v>35</v>
      </c>
      <c r="M14" s="17" t="s">
        <v>35</v>
      </c>
      <c r="N14" s="17" t="s">
        <v>35</v>
      </c>
      <c r="O14" s="17" t="s">
        <v>35</v>
      </c>
      <c r="P14" s="17" t="s">
        <v>35</v>
      </c>
      <c r="Q14" s="17">
        <f>$G14/HSP!$E$2</f>
        <v>0.97292644673255113</v>
      </c>
      <c r="R14" s="17">
        <f>$H14/HSP!$E$3</f>
        <v>1.018288728287011</v>
      </c>
      <c r="S14" s="17">
        <f>$I14/HSP!$E$4</f>
        <v>0.9036114138715734</v>
      </c>
      <c r="T14" s="17">
        <f>$J14/HSP!$E$5</f>
        <v>1.1269763336769365</v>
      </c>
      <c r="U14" s="17">
        <f>$K14/HSP!$E$6</f>
        <v>0.99422134227182013</v>
      </c>
      <c r="V14" s="12"/>
      <c r="W14" s="12"/>
      <c r="X14" s="12"/>
      <c r="Y14" s="12"/>
      <c r="Z14" s="12"/>
    </row>
    <row r="15" spans="1:26" ht="15" customHeight="1" x14ac:dyDescent="0.3">
      <c r="A15" s="26" t="s">
        <v>47</v>
      </c>
      <c r="B15" s="17">
        <v>19</v>
      </c>
      <c r="C15" s="17">
        <v>16</v>
      </c>
      <c r="D15" s="17">
        <v>14.6</v>
      </c>
      <c r="E15" s="17" t="s">
        <v>35</v>
      </c>
      <c r="F15" s="22">
        <v>117.3</v>
      </c>
      <c r="G15" s="17">
        <f>SQRT((4*(HSP!$B$2-$B15)^2+(HSP!$C$2-$C15)^2+(HSP!$D$2-$D15)^2))</f>
        <v>12.891702757975766</v>
      </c>
      <c r="H15" s="17">
        <f>SQRT((4*(HSP!$B$3-$B15)^2+(HSP!$C$3-$C15)^2+(HSP!$D$3-$D15)^2))</f>
        <v>12.692848380091839</v>
      </c>
      <c r="I15" s="17">
        <f>SQRT((4*(HSP!$B$4-$B15)^2+(HSP!$C$4-$C15)^2+(HSP!$D$4-$D15)^2))</f>
        <v>15.737153491022449</v>
      </c>
      <c r="J15" s="17">
        <f>SQRT((4*(HSP!$B$5-$B15)^2+(HSP!$C$5-$C15)^2+(HSP!$D$5-$D15)^2))</f>
        <v>8.9374996503496451</v>
      </c>
      <c r="K15" s="17">
        <f>SQRT((4*(HSP!$B$6-$B15)^2+(HSP!$C$6-$C15)^2+(HSP!$D$6-$D15)^2))</f>
        <v>16.211076460247792</v>
      </c>
      <c r="L15" s="17" t="s">
        <v>35</v>
      </c>
      <c r="M15" s="17" t="s">
        <v>35</v>
      </c>
      <c r="N15" s="17" t="s">
        <v>35</v>
      </c>
      <c r="O15" s="17" t="s">
        <v>35</v>
      </c>
      <c r="P15" s="17" t="s">
        <v>35</v>
      </c>
      <c r="Q15" s="17">
        <f>$G15/HSP!$E$2</f>
        <v>0.79090200969176472</v>
      </c>
      <c r="R15" s="17">
        <f>$H15/HSP!$E$3</f>
        <v>0.94021099111791395</v>
      </c>
      <c r="S15" s="17">
        <f>$I15/HSP!$E$4</f>
        <v>0.98975808119638042</v>
      </c>
      <c r="T15" s="17">
        <f>$J15/HSP!$E$5</f>
        <v>0.65237223725179894</v>
      </c>
      <c r="U15" s="17">
        <f>$K15/HSP!$E$6</f>
        <v>1.0953430040707968</v>
      </c>
      <c r="V15" s="12"/>
      <c r="W15" s="12"/>
      <c r="X15" s="12"/>
      <c r="Y15" s="12"/>
      <c r="Z15" s="12"/>
    </row>
    <row r="16" spans="1:26" ht="15" customHeight="1" x14ac:dyDescent="0.3">
      <c r="A16" s="26" t="s">
        <v>48</v>
      </c>
      <c r="B16" s="17">
        <v>17.600000000000001</v>
      </c>
      <c r="C16" s="17">
        <v>2.5</v>
      </c>
      <c r="D16" s="17">
        <v>7.6</v>
      </c>
      <c r="E16" s="17" t="s">
        <v>35</v>
      </c>
      <c r="F16" s="22">
        <v>206.8</v>
      </c>
      <c r="G16" s="17">
        <f>SQRT((4*(HSP!$B$2-$B16)^2+(HSP!$C$2-$C16)^2+(HSP!$D$2-$D16)^2))</f>
        <v>9.9872919252418004</v>
      </c>
      <c r="H16" s="17">
        <f>SQRT((4*(HSP!$B$3-$B16)^2+(HSP!$C$3-$C16)^2+(HSP!$D$3-$D16)^2))</f>
        <v>8.3082128042076544</v>
      </c>
      <c r="I16" s="17">
        <f>SQRT((4*(HSP!$B$4-$B16)^2+(HSP!$C$4-$C16)^2+(HSP!$D$4-$D16)^2))</f>
        <v>5.3862788639282337</v>
      </c>
      <c r="J16" s="17">
        <f>SQRT((4*(HSP!$B$5-$B16)^2+(HSP!$C$5-$C16)^2+(HSP!$D$5-$D16)^2))</f>
        <v>11.715498282190136</v>
      </c>
      <c r="K16" s="17">
        <f>SQRT((4*(HSP!$B$6-$B16)^2+(HSP!$C$6-$C16)^2+(HSP!$D$6-$D16)^2))</f>
        <v>7.1570245214055284</v>
      </c>
      <c r="L16" s="17" t="s">
        <v>35</v>
      </c>
      <c r="M16" s="17" t="s">
        <v>35</v>
      </c>
      <c r="N16" s="17" t="s">
        <v>35</v>
      </c>
      <c r="O16" s="17" t="s">
        <v>35</v>
      </c>
      <c r="P16" s="17" t="s">
        <v>35</v>
      </c>
      <c r="Q16" s="17">
        <f>$G16/HSP!$E$2</f>
        <v>0.61271729602710434</v>
      </c>
      <c r="R16" s="17">
        <f>$H16/HSP!$E$3</f>
        <v>0.61542317068204844</v>
      </c>
      <c r="S16" s="17">
        <f>$I16/HSP!$E$4</f>
        <v>0.33875967697661846</v>
      </c>
      <c r="T16" s="17">
        <f>$J16/HSP!$E$5</f>
        <v>0.8551458600138786</v>
      </c>
      <c r="U16" s="17">
        <f>$K16/HSP!$E$6</f>
        <v>0.48358273793280593</v>
      </c>
      <c r="V16" s="12"/>
      <c r="W16" s="12"/>
      <c r="X16" s="12"/>
      <c r="Y16" s="12"/>
      <c r="Z16" s="12"/>
    </row>
    <row r="17" spans="1:26" ht="15" customHeight="1" x14ac:dyDescent="0.3">
      <c r="A17" s="26" t="s">
        <v>49</v>
      </c>
      <c r="B17" s="17">
        <v>23.06</v>
      </c>
      <c r="C17" s="17">
        <v>5.98</v>
      </c>
      <c r="D17" s="17">
        <v>9.42</v>
      </c>
      <c r="E17" s="17" t="s">
        <v>35</v>
      </c>
      <c r="F17" s="22" t="s">
        <v>35</v>
      </c>
      <c r="G17" s="17">
        <f>SQRT((4*(HSP!$B$2-$B17)^2+(HSP!$C$2-$C17)^2+(HSP!$D$2-$D17)^2))</f>
        <v>17.672306018174311</v>
      </c>
      <c r="H17" s="17">
        <f>SQRT((4*(HSP!$B$3-$B17)^2+(HSP!$C$3-$C17)^2+(HSP!$D$3-$D17)^2))</f>
        <v>15.613135495473033</v>
      </c>
      <c r="I17" s="17">
        <f>SQRT((4*(HSP!$B$4-$B17)^2+(HSP!$C$4-$C17)^2+(HSP!$D$4-$D17)^2))</f>
        <v>16.048763192221383</v>
      </c>
      <c r="J17" s="17">
        <f>SQRT((4*(HSP!$B$5-$B17)^2+(HSP!$C$5-$C17)^2+(HSP!$D$5-$D17)^2))</f>
        <v>17.042420602719556</v>
      </c>
      <c r="K17" s="17">
        <f>SQRT((4*(HSP!$B$6-$B17)^2+(HSP!$C$6-$C17)^2+(HSP!$D$6-$D17)^2))</f>
        <v>16.551851860139394</v>
      </c>
      <c r="L17" s="17" t="s">
        <v>35</v>
      </c>
      <c r="M17" s="17" t="s">
        <v>35</v>
      </c>
      <c r="N17" s="17" t="s">
        <v>35</v>
      </c>
      <c r="O17" s="17" t="s">
        <v>35</v>
      </c>
      <c r="P17" s="17" t="s">
        <v>35</v>
      </c>
      <c r="Q17" s="17">
        <f>$G17/HSP!$E$2</f>
        <v>1.0841905532622276</v>
      </c>
      <c r="R17" s="17">
        <f>$H17/HSP!$E$3</f>
        <v>1.1565285552202247</v>
      </c>
      <c r="S17" s="17">
        <f>$I17/HSP!$E$4</f>
        <v>1.0093561756114078</v>
      </c>
      <c r="T17" s="17">
        <f>$J17/HSP!$E$5</f>
        <v>1.2439723067678508</v>
      </c>
      <c r="U17" s="17">
        <f>$K17/HSP!$E$6</f>
        <v>1.1183683689283372</v>
      </c>
      <c r="V17" s="12"/>
      <c r="W17" s="12"/>
      <c r="X17" s="12"/>
      <c r="Y17" s="12"/>
      <c r="Z17" s="12"/>
    </row>
    <row r="18" spans="1:26" ht="15" customHeight="1" x14ac:dyDescent="0.3">
      <c r="A18" s="26" t="s">
        <v>50</v>
      </c>
      <c r="B18" s="17">
        <v>21.76</v>
      </c>
      <c r="C18" s="17">
        <v>6.55</v>
      </c>
      <c r="D18" s="17">
        <v>11.4</v>
      </c>
      <c r="E18" s="17" t="s">
        <v>35</v>
      </c>
      <c r="F18" s="22" t="s">
        <v>35</v>
      </c>
      <c r="G18" s="17">
        <f>SQRT((4*(HSP!$B$2-$B18)^2+(HSP!$C$2-$C18)^2+(HSP!$D$2-$D18)^2))</f>
        <v>15.488282667875097</v>
      </c>
      <c r="H18" s="17">
        <f>SQRT((4*(HSP!$B$3-$B18)^2+(HSP!$C$3-$C18)^2+(HSP!$D$3-$D18)^2))</f>
        <v>13.718166787147622</v>
      </c>
      <c r="I18" s="17">
        <f>SQRT((4*(HSP!$B$4-$B18)^2+(HSP!$C$4-$C18)^2+(HSP!$D$4-$D18)^2))</f>
        <v>14.084363670397044</v>
      </c>
      <c r="J18" s="17">
        <f>SQRT((4*(HSP!$B$5-$B18)^2+(HSP!$C$5-$C18)^2+(HSP!$D$5-$D18)^2))</f>
        <v>14.37950625021597</v>
      </c>
      <c r="K18" s="17">
        <f>SQRT((4*(HSP!$B$6-$B18)^2+(HSP!$C$6-$C18)^2+(HSP!$D$6-$D18)^2))</f>
        <v>15.016567517245747</v>
      </c>
      <c r="L18" s="17" t="s">
        <v>35</v>
      </c>
      <c r="M18" s="17" t="s">
        <v>35</v>
      </c>
      <c r="N18" s="17" t="s">
        <v>35</v>
      </c>
      <c r="O18" s="17" t="s">
        <v>35</v>
      </c>
      <c r="P18" s="17" t="s">
        <v>35</v>
      </c>
      <c r="Q18" s="17">
        <f>$G18/HSP!$E$2</f>
        <v>0.9502013906671839</v>
      </c>
      <c r="R18" s="17">
        <f>$H18/HSP!$E$3</f>
        <v>1.0161605027516758</v>
      </c>
      <c r="S18" s="17">
        <f>$I18/HSP!$E$4</f>
        <v>0.88580903587402793</v>
      </c>
      <c r="T18" s="17">
        <f>$J18/HSP!$E$5</f>
        <v>1.0495989963661292</v>
      </c>
      <c r="U18" s="17">
        <f>$K18/HSP!$E$6</f>
        <v>1.0146329403544423</v>
      </c>
      <c r="V18" s="12"/>
      <c r="W18" s="12"/>
      <c r="X18" s="12"/>
      <c r="Y18" s="12"/>
      <c r="Z18" s="12"/>
    </row>
    <row r="19" spans="1:26" ht="15" customHeight="1" x14ac:dyDescent="0.3">
      <c r="A19" s="26" t="s">
        <v>51</v>
      </c>
      <c r="B19" s="17">
        <v>22.03</v>
      </c>
      <c r="C19" s="17">
        <v>6</v>
      </c>
      <c r="D19" s="17">
        <v>9.61</v>
      </c>
      <c r="E19" s="17" t="s">
        <v>35</v>
      </c>
      <c r="F19" s="22" t="s">
        <v>35</v>
      </c>
      <c r="G19" s="17">
        <f>SQRT((4*(HSP!$B$2-$B19)^2+(HSP!$C$2-$C19)^2+(HSP!$D$2-$D19)^2))</f>
        <v>15.736203481145003</v>
      </c>
      <c r="H19" s="17">
        <f>SQRT((4*(HSP!$B$3-$B19)^2+(HSP!$C$3-$C19)^2+(HSP!$D$3-$D19)^2))</f>
        <v>13.731063323719692</v>
      </c>
      <c r="I19" s="17">
        <f>SQRT((4*(HSP!$B$4-$B19)^2+(HSP!$C$4-$C19)^2+(HSP!$D$4-$D19)^2))</f>
        <v>14.066872431354458</v>
      </c>
      <c r="J19" s="17">
        <f>SQRT((4*(HSP!$B$5-$B19)^2+(HSP!$C$5-$C19)^2+(HSP!$D$5-$D19)^2))</f>
        <v>15.155566634078717</v>
      </c>
      <c r="K19" s="17">
        <f>SQRT((4*(HSP!$B$6-$B19)^2+(HSP!$C$6-$C19)^2+(HSP!$D$6-$D19)^2))</f>
        <v>14.70213930011548</v>
      </c>
      <c r="L19" s="17" t="s">
        <v>35</v>
      </c>
      <c r="M19" s="17" t="s">
        <v>35</v>
      </c>
      <c r="N19" s="17" t="s">
        <v>35</v>
      </c>
      <c r="O19" s="17" t="s">
        <v>35</v>
      </c>
      <c r="P19" s="17" t="s">
        <v>35</v>
      </c>
      <c r="Q19" s="17">
        <f>$G19/HSP!$E$2</f>
        <v>0.96541125651196336</v>
      </c>
      <c r="R19" s="17">
        <f>$H19/HSP!$E$3</f>
        <v>1.0171158017570141</v>
      </c>
      <c r="S19" s="17">
        <f>$I19/HSP!$E$4</f>
        <v>0.88470895794682125</v>
      </c>
      <c r="T19" s="17">
        <f>$J19/HSP!$E$5</f>
        <v>1.106245739713775</v>
      </c>
      <c r="U19" s="17">
        <f>$K19/HSP!$E$6</f>
        <v>0.99338779054834314</v>
      </c>
      <c r="V19" s="12"/>
      <c r="W19" s="12"/>
      <c r="X19" s="12"/>
      <c r="Y19" s="12"/>
      <c r="Z19" s="12"/>
    </row>
    <row r="20" spans="1:26" ht="15" customHeight="1" x14ac:dyDescent="0.3">
      <c r="A20" s="26" t="s">
        <v>52</v>
      </c>
      <c r="B20" s="17">
        <v>17.57</v>
      </c>
      <c r="C20" s="17">
        <v>2.48</v>
      </c>
      <c r="D20" s="17">
        <v>11.4</v>
      </c>
      <c r="E20" s="17" t="s">
        <v>35</v>
      </c>
      <c r="F20" s="22" t="s">
        <v>35</v>
      </c>
      <c r="G20" s="17">
        <f>SQRT((4*(HSP!$B$2-$B20)^2+(HSP!$C$2-$C20)^2+(HSP!$D$2-$D20)^2))</f>
        <v>10.885788901131605</v>
      </c>
      <c r="H20" s="17">
        <f>SQRT((4*(HSP!$B$3-$B20)^2+(HSP!$C$3-$C20)^2+(HSP!$D$3-$D20)^2))</f>
        <v>9.8400406503225391</v>
      </c>
      <c r="I20" s="17">
        <f>SQRT((4*(HSP!$B$4-$B20)^2+(HSP!$C$4-$C20)^2+(HSP!$D$4-$D20)^2))</f>
        <v>7.0028565600046386</v>
      </c>
      <c r="J20" s="17">
        <f>SQRT((4*(HSP!$B$5-$B20)^2+(HSP!$C$5-$C20)^2+(HSP!$D$5-$D20)^2))</f>
        <v>11.235590772184613</v>
      </c>
      <c r="K20" s="17">
        <f>SQRT((4*(HSP!$B$6-$B20)^2+(HSP!$C$6-$C20)^2+(HSP!$D$6-$D20)^2))</f>
        <v>9.6832329312063958</v>
      </c>
      <c r="L20" s="17" t="s">
        <v>35</v>
      </c>
      <c r="M20" s="17" t="s">
        <v>35</v>
      </c>
      <c r="N20" s="17" t="s">
        <v>35</v>
      </c>
      <c r="O20" s="17" t="s">
        <v>35</v>
      </c>
      <c r="P20" s="17" t="s">
        <v>35</v>
      </c>
      <c r="Q20" s="17">
        <f>$G20/HSP!$E$2</f>
        <v>0.6678398098853745</v>
      </c>
      <c r="R20" s="17">
        <f>$H20/HSP!$E$3</f>
        <v>0.72889190002389181</v>
      </c>
      <c r="S20" s="17">
        <f>$I20/HSP!$E$4</f>
        <v>0.44043123018897096</v>
      </c>
      <c r="T20" s="17">
        <f>$J20/HSP!$E$5</f>
        <v>0.82011611475800106</v>
      </c>
      <c r="U20" s="17">
        <f>$K20/HSP!$E$6</f>
        <v>0.65427249535178345</v>
      </c>
      <c r="V20" s="12"/>
      <c r="W20" s="12"/>
      <c r="X20" s="12"/>
      <c r="Y20" s="12"/>
      <c r="Z20" s="12"/>
    </row>
    <row r="21" spans="1:26" ht="15" customHeight="1" x14ac:dyDescent="0.3">
      <c r="A21" s="26" t="s">
        <v>53</v>
      </c>
      <c r="B21" s="17">
        <v>19.66</v>
      </c>
      <c r="C21" s="17">
        <v>13.95</v>
      </c>
      <c r="D21" s="17">
        <v>17.55</v>
      </c>
      <c r="E21" s="17" t="s">
        <v>35</v>
      </c>
      <c r="F21" s="22" t="s">
        <v>35</v>
      </c>
      <c r="G21" s="17">
        <f>SQRT((4*(HSP!$B$2-$B21)^2+(HSP!$C$2-$C21)^2+(HSP!$D$2-$D21)^2))</f>
        <v>15.043915713669763</v>
      </c>
      <c r="H21" s="17">
        <f>SQRT((4*(HSP!$B$3-$B21)^2+(HSP!$C$3-$C21)^2+(HSP!$D$3-$D21)^2))</f>
        <v>14.80002027025639</v>
      </c>
      <c r="I21" s="17">
        <f>SQRT((4*(HSP!$B$4-$B21)^2+(HSP!$C$4-$C21)^2+(HSP!$D$4-$D21)^2))</f>
        <v>16.796898523239342</v>
      </c>
      <c r="J21" s="17">
        <f>SQRT((4*(HSP!$B$5-$B21)^2+(HSP!$C$5-$C21)^2+(HSP!$D$5-$D21)^2))</f>
        <v>11.064614769615797</v>
      </c>
      <c r="K21" s="17">
        <f>SQRT((4*(HSP!$B$6-$B21)^2+(HSP!$C$6-$C21)^2+(HSP!$D$6-$D21)^2))</f>
        <v>17.925646431858461</v>
      </c>
      <c r="L21" s="17" t="s">
        <v>35</v>
      </c>
      <c r="M21" s="17" t="s">
        <v>35</v>
      </c>
      <c r="N21" s="17" t="s">
        <v>35</v>
      </c>
      <c r="O21" s="17" t="s">
        <v>35</v>
      </c>
      <c r="P21" s="17" t="s">
        <v>35</v>
      </c>
      <c r="Q21" s="17">
        <f>$G21/HSP!$E$2</f>
        <v>0.92293961433556826</v>
      </c>
      <c r="R21" s="17">
        <f>$H21/HSP!$E$3</f>
        <v>1.0962977977967696</v>
      </c>
      <c r="S21" s="17">
        <f>$I21/HSP!$E$4</f>
        <v>1.0564087121534178</v>
      </c>
      <c r="T21" s="17">
        <f>$J21/HSP!$E$5</f>
        <v>0.80763611457049622</v>
      </c>
      <c r="U21" s="17">
        <f>$K21/HSP!$E$6</f>
        <v>1.2111923264769229</v>
      </c>
      <c r="V21" s="12"/>
      <c r="W21" s="12"/>
      <c r="X21" s="12"/>
      <c r="Y21" s="12"/>
      <c r="Z21" s="12"/>
    </row>
    <row r="22" spans="1:26" ht="15" customHeight="1" x14ac:dyDescent="0.3">
      <c r="A22" s="26" t="s">
        <v>54</v>
      </c>
      <c r="B22" s="17">
        <v>18.5</v>
      </c>
      <c r="C22" s="17">
        <v>7.8</v>
      </c>
      <c r="D22" s="17">
        <v>6.5</v>
      </c>
      <c r="E22" s="17" t="s">
        <v>35</v>
      </c>
      <c r="F22" s="22">
        <v>160.69999999999999</v>
      </c>
      <c r="G22" s="17">
        <f>SQRT((4*(HSP!$B$2-$B22)^2+(HSP!$C$2-$C22)^2+(HSP!$D$2-$D22)^2))</f>
        <v>8.2550590549068765</v>
      </c>
      <c r="H22" s="17">
        <f>SQRT((4*(HSP!$B$3-$B22)^2+(HSP!$C$3-$C22)^2+(HSP!$D$3-$D22)^2))</f>
        <v>5.9587246957717399</v>
      </c>
      <c r="I22" s="17">
        <f>SQRT((4*(HSP!$B$4-$B22)^2+(HSP!$C$4-$C22)^2+(HSP!$D$4-$D22)^2))</f>
        <v>7.3607064878311785</v>
      </c>
      <c r="J22" s="17">
        <f>SQRT((4*(HSP!$B$5-$B22)^2+(HSP!$C$5-$C22)^2+(HSP!$D$5-$D22)^2))</f>
        <v>9.2500216215963516</v>
      </c>
      <c r="K22" s="17">
        <f>SQRT((4*(HSP!$B$6-$B22)^2+(HSP!$C$6-$C22)^2+(HSP!$D$6-$D22)^2))</f>
        <v>7.1155463599080022</v>
      </c>
      <c r="L22" s="17" t="s">
        <v>35</v>
      </c>
      <c r="M22" s="17" t="s">
        <v>35</v>
      </c>
      <c r="N22" s="17" t="s">
        <v>35</v>
      </c>
      <c r="O22" s="17" t="s">
        <v>35</v>
      </c>
      <c r="P22" s="17" t="s">
        <v>35</v>
      </c>
      <c r="Q22" s="17">
        <f>$G22/HSP!$E$2</f>
        <v>0.5064453407918329</v>
      </c>
      <c r="R22" s="17">
        <f>$H22/HSP!$E$3</f>
        <v>0.44138701450161039</v>
      </c>
      <c r="S22" s="17">
        <f>$I22/HSP!$E$4</f>
        <v>0.46293751495793573</v>
      </c>
      <c r="T22" s="17">
        <f>$J22/HSP!$E$5</f>
        <v>0.67518405997053665</v>
      </c>
      <c r="U22" s="17">
        <f>$K22/HSP!$E$6</f>
        <v>0.48078015945324337</v>
      </c>
      <c r="V22" s="12"/>
      <c r="W22" s="12"/>
      <c r="X22" s="12"/>
      <c r="Y22" s="12"/>
      <c r="Z22" s="12"/>
    </row>
    <row r="23" spans="1:26" ht="15" customHeight="1" x14ac:dyDescent="0.3">
      <c r="A23" s="26" t="s">
        <v>55</v>
      </c>
      <c r="B23" s="17">
        <v>20.2</v>
      </c>
      <c r="C23" s="17">
        <v>13.3</v>
      </c>
      <c r="D23" s="17">
        <v>14.4</v>
      </c>
      <c r="E23" s="17" t="s">
        <v>35</v>
      </c>
      <c r="F23" s="22">
        <v>125.3</v>
      </c>
      <c r="G23" s="17">
        <f>SQRT((4*(HSP!$B$2-$B23)^2+(HSP!$C$2-$C23)^2+(HSP!$D$2-$D23)^2))</f>
        <v>13.731787938939343</v>
      </c>
      <c r="H23" s="17">
        <f>SQRT((4*(HSP!$B$3-$B23)^2+(HSP!$C$3-$C23)^2+(HSP!$D$3-$D23)^2))</f>
        <v>12.970212026023322</v>
      </c>
      <c r="I23" s="17">
        <f>SQRT((4*(HSP!$B$4-$B23)^2+(HSP!$C$4-$C23)^2+(HSP!$D$4-$D23)^2))</f>
        <v>15.273113631476718</v>
      </c>
      <c r="J23" s="17">
        <f>SQRT((4*(HSP!$B$5-$B23)^2+(HSP!$C$5-$C23)^2+(HSP!$D$5-$D23)^2))</f>
        <v>10.468853805455495</v>
      </c>
      <c r="K23" s="17">
        <f>SQRT((4*(HSP!$B$6-$B23)^2+(HSP!$C$6-$C23)^2+(HSP!$D$6-$D23)^2))</f>
        <v>15.991216338978095</v>
      </c>
      <c r="L23" s="17" t="s">
        <v>35</v>
      </c>
      <c r="M23" s="17" t="s">
        <v>35</v>
      </c>
      <c r="N23" s="17" t="s">
        <v>35</v>
      </c>
      <c r="O23" s="17" t="s">
        <v>35</v>
      </c>
      <c r="P23" s="17" t="s">
        <v>35</v>
      </c>
      <c r="Q23" s="17">
        <f>$G23/HSP!$E$2</f>
        <v>0.84244097784903937</v>
      </c>
      <c r="R23" s="17">
        <f>$H23/HSP!$E$3</f>
        <v>0.96075644637209789</v>
      </c>
      <c r="S23" s="17">
        <f>$I23/HSP!$E$4</f>
        <v>0.96057318436960493</v>
      </c>
      <c r="T23" s="17">
        <f>$J23/HSP!$E$5</f>
        <v>0.76414991280697053</v>
      </c>
      <c r="U23" s="17">
        <f>$K23/HSP!$E$6</f>
        <v>1.0804875904714928</v>
      </c>
      <c r="V23" s="12"/>
      <c r="W23" s="12"/>
      <c r="X23" s="12"/>
      <c r="Y23" s="12"/>
      <c r="Z23" s="12"/>
    </row>
    <row r="24" spans="1:26" ht="15" customHeight="1" x14ac:dyDescent="0.3">
      <c r="A24" s="26" t="s">
        <v>56</v>
      </c>
      <c r="B24" s="17">
        <v>19</v>
      </c>
      <c r="C24" s="17">
        <v>9</v>
      </c>
      <c r="D24" s="17">
        <v>13.7</v>
      </c>
      <c r="E24" s="17" t="s">
        <v>35</v>
      </c>
      <c r="F24" s="22">
        <v>119.6</v>
      </c>
      <c r="G24" s="17">
        <f>SQRT((4*(HSP!$B$2-$B24)^2+(HSP!$C$2-$C24)^2+(HSP!$D$2-$D24)^2))</f>
        <v>11.168258592994702</v>
      </c>
      <c r="H24" s="17">
        <f>SQRT((4*(HSP!$B$3-$B24)^2+(HSP!$C$3-$C24)^2+(HSP!$D$3-$D24)^2))</f>
        <v>10.312826964513658</v>
      </c>
      <c r="I24" s="17">
        <f>SQRT((4*(HSP!$B$4-$B24)^2+(HSP!$C$4-$C24)^2+(HSP!$D$4-$D24)^2))</f>
        <v>11.178014134898918</v>
      </c>
      <c r="J24" s="17">
        <f>SQRT((4*(HSP!$B$5-$B24)^2+(HSP!$C$5-$C24)^2+(HSP!$D$5-$D24)^2))</f>
        <v>8.784241572270199</v>
      </c>
      <c r="K24" s="17">
        <f>SQRT((4*(HSP!$B$6-$B24)^2+(HSP!$C$6-$C24)^2+(HSP!$D$6-$D24)^2))</f>
        <v>12.620578433653506</v>
      </c>
      <c r="L24" s="17" t="s">
        <v>35</v>
      </c>
      <c r="M24" s="17" t="s">
        <v>35</v>
      </c>
      <c r="N24" s="17" t="s">
        <v>35</v>
      </c>
      <c r="O24" s="17" t="s">
        <v>35</v>
      </c>
      <c r="P24" s="17" t="s">
        <v>35</v>
      </c>
      <c r="Q24" s="17">
        <f>$G24/HSP!$E$2</f>
        <v>0.6851692388340308</v>
      </c>
      <c r="R24" s="17">
        <f>$H24/HSP!$E$3</f>
        <v>0.76391310848249316</v>
      </c>
      <c r="S24" s="17">
        <f>$I24/HSP!$E$4</f>
        <v>0.70301975691188157</v>
      </c>
      <c r="T24" s="17">
        <f>$J24/HSP!$E$5</f>
        <v>0.64118551622410214</v>
      </c>
      <c r="U24" s="17">
        <f>$K24/HSP!$E$6</f>
        <v>0.85274178605766926</v>
      </c>
      <c r="V24" s="12"/>
      <c r="W24" s="12"/>
      <c r="X24" s="12"/>
      <c r="Y24" s="12"/>
      <c r="Z24" s="12"/>
    </row>
    <row r="25" spans="1:26" ht="15" customHeight="1" x14ac:dyDescent="0.3">
      <c r="A25" s="26" t="s">
        <v>57</v>
      </c>
      <c r="B25" s="17">
        <v>17.399999999999999</v>
      </c>
      <c r="C25" s="17">
        <v>23.8</v>
      </c>
      <c r="D25" s="17">
        <v>28.2</v>
      </c>
      <c r="E25" s="17" t="s">
        <v>35</v>
      </c>
      <c r="F25" s="22">
        <v>46.5</v>
      </c>
      <c r="G25" s="17">
        <f>SQRT((4*(HSP!$B$2-$B25)^2+(HSP!$C$2-$C25)^2+(HSP!$D$2-$D25)^2))</f>
        <v>25.682756861365174</v>
      </c>
      <c r="H25" s="17">
        <f>SQRT((4*(HSP!$B$3-$B25)^2+(HSP!$C$3-$C25)^2+(HSP!$D$3-$D25)^2))</f>
        <v>26.692703122763717</v>
      </c>
      <c r="I25" s="17">
        <f>SQRT((4*(HSP!$B$4-$B25)^2+(HSP!$C$4-$C25)^2+(HSP!$D$4-$D25)^2))</f>
        <v>29.041797465033046</v>
      </c>
      <c r="J25" s="17">
        <f>SQRT((4*(HSP!$B$5-$B25)^2+(HSP!$C$5-$C25)^2+(HSP!$D$5-$D25)^2))</f>
        <v>20.956309312471983</v>
      </c>
      <c r="K25" s="17">
        <f>SQRT((4*(HSP!$B$6-$B25)^2+(HSP!$C$6-$C25)^2+(HSP!$D$6-$D25)^2))</f>
        <v>30.212365018316589</v>
      </c>
      <c r="L25" s="17" t="s">
        <v>35</v>
      </c>
      <c r="M25" s="17" t="s">
        <v>35</v>
      </c>
      <c r="N25" s="17" t="s">
        <v>35</v>
      </c>
      <c r="O25" s="17" t="s">
        <v>35</v>
      </c>
      <c r="P25" s="17" t="s">
        <v>35</v>
      </c>
      <c r="Q25" s="17">
        <f>$G25/HSP!$E$2</f>
        <v>1.575629255298477</v>
      </c>
      <c r="R25" s="17">
        <f>$H25/HSP!$E$3</f>
        <v>1.9772372683528678</v>
      </c>
      <c r="S25" s="17">
        <f>$I25/HSP!$E$4</f>
        <v>1.8265281424549085</v>
      </c>
      <c r="T25" s="17">
        <f>$J25/HSP!$E$5</f>
        <v>1.5296576140490499</v>
      </c>
      <c r="U25" s="17">
        <f>$K25/HSP!$E$6</f>
        <v>2.0413760147511208</v>
      </c>
      <c r="V25" s="12"/>
      <c r="W25" s="12"/>
      <c r="X25" s="12"/>
      <c r="Y25" s="12"/>
      <c r="Z25" s="12"/>
    </row>
    <row r="26" spans="1:26" ht="15" customHeight="1" x14ac:dyDescent="0.3">
      <c r="A26" s="26" t="s">
        <v>58</v>
      </c>
      <c r="B26" s="17">
        <v>17.2</v>
      </c>
      <c r="C26" s="17">
        <v>3</v>
      </c>
      <c r="D26" s="17">
        <v>6.4</v>
      </c>
      <c r="E26" s="17" t="s">
        <v>35</v>
      </c>
      <c r="F26" s="22">
        <v>413.5</v>
      </c>
      <c r="G26" s="17">
        <f>SQRT((4*(HSP!$B$2-$B26)^2+(HSP!$C$2-$C26)^2+(HSP!$D$2-$D26)^2))</f>
        <v>9.1119701492048364</v>
      </c>
      <c r="H26" s="17">
        <f>SQRT((4*(HSP!$B$3-$B26)^2+(HSP!$C$3-$C26)^2+(HSP!$D$3-$D26)^2))</f>
        <v>7.335693559575672</v>
      </c>
      <c r="I26" s="17">
        <f>SQRT((4*(HSP!$B$4-$B26)^2+(HSP!$C$4-$C26)^2+(HSP!$D$4-$D26)^2))</f>
        <v>4.4120290116906515</v>
      </c>
      <c r="J26" s="17">
        <f>SQRT((4*(HSP!$B$5-$B26)^2+(HSP!$C$5-$C26)^2+(HSP!$D$5-$D26)^2))</f>
        <v>11.397319860388231</v>
      </c>
      <c r="K26" s="17">
        <f>SQRT((4*(HSP!$B$6-$B26)^2+(HSP!$C$6-$C26)^2+(HSP!$D$6-$D26)^2))</f>
        <v>5.7590797876049606</v>
      </c>
      <c r="L26" s="17" t="s">
        <v>35</v>
      </c>
      <c r="M26" s="17" t="s">
        <v>35</v>
      </c>
      <c r="N26" s="17" t="s">
        <v>35</v>
      </c>
      <c r="O26" s="17" t="s">
        <v>35</v>
      </c>
      <c r="P26" s="17" t="s">
        <v>35</v>
      </c>
      <c r="Q26" s="17">
        <f>$G26/HSP!$E$2</f>
        <v>0.55901657357084888</v>
      </c>
      <c r="R26" s="17">
        <f>$H26/HSP!$E$3</f>
        <v>0.54338470811671646</v>
      </c>
      <c r="S26" s="17">
        <f>$I26/HSP!$E$4</f>
        <v>0.27748610136419194</v>
      </c>
      <c r="T26" s="17">
        <f>$J26/HSP!$E$5</f>
        <v>0.83192115769257169</v>
      </c>
      <c r="U26" s="17">
        <f>$K26/HSP!$E$6</f>
        <v>0.38912701267601085</v>
      </c>
      <c r="V26" s="12"/>
      <c r="W26" s="12"/>
      <c r="X26" s="12"/>
      <c r="Y26" s="12"/>
      <c r="Z26" s="12"/>
    </row>
    <row r="27" spans="1:26" ht="15" customHeight="1" x14ac:dyDescent="0.3">
      <c r="A27" s="26" t="s">
        <v>59</v>
      </c>
      <c r="B27" s="17">
        <v>17.100000000000001</v>
      </c>
      <c r="C27" s="17">
        <v>2.9</v>
      </c>
      <c r="D27" s="17">
        <v>6.1</v>
      </c>
      <c r="E27" s="17" t="s">
        <v>35</v>
      </c>
      <c r="F27" s="22">
        <v>404.4</v>
      </c>
      <c r="G27" s="17">
        <f>SQRT((4*(HSP!$B$2-$B27)^2+(HSP!$C$2-$C27)^2+(HSP!$D$2-$D27)^2))</f>
        <v>9.1064812084580744</v>
      </c>
      <c r="H27" s="17">
        <f>SQRT((4*(HSP!$B$3-$B27)^2+(HSP!$C$3-$C27)^2+(HSP!$D$3-$D27)^2))</f>
        <v>7.3299658935086471</v>
      </c>
      <c r="I27" s="17">
        <f>SQRT((4*(HSP!$B$4-$B27)^2+(HSP!$C$4-$C27)^2+(HSP!$D$4-$D27)^2))</f>
        <v>4.3078997202813376</v>
      </c>
      <c r="J27" s="17">
        <f>SQRT((4*(HSP!$B$5-$B27)^2+(HSP!$C$5-$C27)^2+(HSP!$D$5-$D27)^2))</f>
        <v>11.53936306734475</v>
      </c>
      <c r="K27" s="17">
        <f>SQRT((4*(HSP!$B$6-$B27)^2+(HSP!$C$6-$C27)^2+(HSP!$D$6-$D27)^2))</f>
        <v>5.5604855903059427</v>
      </c>
      <c r="L27" s="17" t="s">
        <v>35</v>
      </c>
      <c r="M27" s="17" t="s">
        <v>35</v>
      </c>
      <c r="N27" s="17" t="s">
        <v>35</v>
      </c>
      <c r="O27" s="17" t="s">
        <v>35</v>
      </c>
      <c r="P27" s="17" t="s">
        <v>35</v>
      </c>
      <c r="Q27" s="17">
        <f>$G27/HSP!$E$2</f>
        <v>0.55867982873975919</v>
      </c>
      <c r="R27" s="17">
        <f>$H27/HSP!$E$3</f>
        <v>0.54296043655619608</v>
      </c>
      <c r="S27" s="17">
        <f>$I27/HSP!$E$4</f>
        <v>0.2709370893258703</v>
      </c>
      <c r="T27" s="17">
        <f>$J27/HSP!$E$5</f>
        <v>0.8422892749886679</v>
      </c>
      <c r="U27" s="17">
        <f>$K27/HSP!$E$6</f>
        <v>0.37570848583148259</v>
      </c>
      <c r="V27" s="12"/>
      <c r="W27" s="12"/>
      <c r="X27" s="12"/>
      <c r="Y27" s="12"/>
      <c r="Z27" s="12"/>
    </row>
    <row r="28" spans="1:26" ht="15" customHeight="1" x14ac:dyDescent="0.3">
      <c r="A28" s="26"/>
      <c r="B28" s="17"/>
      <c r="C28" s="17"/>
      <c r="D28" s="17"/>
      <c r="E28" s="17"/>
      <c r="F28" s="17"/>
      <c r="G28" s="17"/>
      <c r="H28" s="17"/>
      <c r="I28" s="17"/>
      <c r="J28" s="17"/>
      <c r="K28" s="17"/>
      <c r="L28" s="17"/>
      <c r="M28" s="17"/>
      <c r="N28" s="17"/>
      <c r="O28" s="17"/>
      <c r="P28" s="17"/>
      <c r="Q28" s="17"/>
      <c r="R28" s="17"/>
      <c r="S28" s="17"/>
      <c r="T28" s="17"/>
      <c r="U28" s="17"/>
      <c r="V28" s="12"/>
      <c r="W28" s="12"/>
      <c r="X28" s="12"/>
      <c r="Y28" s="12"/>
      <c r="Z28" s="12"/>
    </row>
    <row r="29" spans="1:26" ht="15" customHeight="1" x14ac:dyDescent="0.3">
      <c r="A29" s="16" t="s">
        <v>60</v>
      </c>
      <c r="B29" s="16"/>
      <c r="C29" s="17"/>
      <c r="D29" s="17"/>
      <c r="E29" s="17"/>
      <c r="F29" s="17"/>
      <c r="G29" s="17"/>
      <c r="H29" s="17"/>
      <c r="I29" s="17"/>
      <c r="J29" s="17"/>
      <c r="K29" s="17"/>
      <c r="L29" s="17"/>
      <c r="M29" s="17"/>
      <c r="N29" s="17"/>
      <c r="O29" s="17"/>
      <c r="P29" s="17"/>
      <c r="Q29" s="17"/>
      <c r="R29" s="17"/>
      <c r="S29" s="17"/>
      <c r="T29" s="17"/>
      <c r="U29" s="17"/>
      <c r="V29" s="12"/>
      <c r="W29" s="12"/>
      <c r="X29" s="12"/>
      <c r="Y29" s="12"/>
      <c r="Z29" s="12"/>
    </row>
    <row r="30" spans="1:26" ht="15" customHeight="1" x14ac:dyDescent="0.3">
      <c r="A30" s="20" t="s">
        <v>61</v>
      </c>
      <c r="B30" s="17"/>
      <c r="C30" s="17"/>
      <c r="D30" s="17"/>
      <c r="E30" s="17"/>
      <c r="F30" s="17"/>
      <c r="G30" s="17"/>
      <c r="H30" s="17"/>
      <c r="I30" s="17"/>
      <c r="J30" s="17"/>
      <c r="K30" s="17"/>
      <c r="L30" s="17"/>
      <c r="M30" s="17"/>
      <c r="N30" s="17"/>
      <c r="O30" s="17"/>
      <c r="P30" s="17"/>
      <c r="Q30" s="17"/>
      <c r="R30" s="17"/>
      <c r="S30" s="17"/>
      <c r="T30" s="17"/>
      <c r="U30" s="17"/>
      <c r="V30" s="12"/>
      <c r="W30" s="12"/>
      <c r="X30" s="12"/>
      <c r="Y30" s="12"/>
      <c r="Z30" s="12"/>
    </row>
    <row r="31" spans="1:26" ht="15" customHeight="1" x14ac:dyDescent="0.3">
      <c r="A31" s="26"/>
      <c r="B31" s="17"/>
      <c r="C31" s="17"/>
      <c r="D31" s="17"/>
      <c r="E31" s="17"/>
      <c r="F31" s="17"/>
      <c r="G31" s="17"/>
      <c r="H31" s="17"/>
      <c r="I31" s="17"/>
      <c r="J31" s="17"/>
      <c r="K31" s="17"/>
      <c r="L31" s="17"/>
      <c r="M31" s="17"/>
      <c r="N31" s="17"/>
      <c r="O31" s="17"/>
      <c r="P31" s="17"/>
      <c r="Q31" s="17"/>
      <c r="R31" s="17"/>
      <c r="S31" s="17"/>
      <c r="T31" s="17"/>
      <c r="U31" s="17"/>
      <c r="V31" s="12"/>
      <c r="W31" s="12"/>
      <c r="X31" s="12"/>
      <c r="Y31" s="12"/>
      <c r="Z31" s="12"/>
    </row>
    <row r="32" spans="1:26" ht="15" customHeight="1" x14ac:dyDescent="0.3">
      <c r="A32" s="26"/>
      <c r="B32" s="17"/>
      <c r="C32" s="17"/>
      <c r="D32" s="17"/>
      <c r="E32" s="17"/>
      <c r="F32" s="17"/>
      <c r="G32" s="17"/>
      <c r="H32" s="17"/>
      <c r="I32" s="17"/>
      <c r="J32" s="17"/>
      <c r="K32" s="17"/>
      <c r="L32" s="17"/>
      <c r="M32" s="17"/>
      <c r="N32" s="17"/>
      <c r="O32" s="17"/>
      <c r="P32" s="17"/>
      <c r="Q32" s="17"/>
      <c r="R32" s="17"/>
      <c r="S32" s="17"/>
      <c r="T32" s="17"/>
      <c r="U32" s="17"/>
      <c r="V32" s="12"/>
      <c r="W32" s="12"/>
      <c r="X32" s="12"/>
      <c r="Y32" s="12"/>
      <c r="Z32" s="12"/>
    </row>
    <row r="33" spans="1:26" ht="15" customHeight="1" x14ac:dyDescent="0.3">
      <c r="A33" s="26"/>
      <c r="B33" s="17"/>
      <c r="C33" s="17"/>
      <c r="D33" s="17"/>
      <c r="E33" s="17"/>
      <c r="F33" s="17"/>
      <c r="G33" s="17"/>
      <c r="H33" s="17"/>
      <c r="I33" s="17"/>
      <c r="J33" s="17"/>
      <c r="K33" s="17"/>
      <c r="L33" s="17"/>
      <c r="M33" s="17"/>
      <c r="N33" s="17"/>
      <c r="O33" s="17"/>
      <c r="P33" s="17"/>
      <c r="Q33" s="17"/>
      <c r="R33" s="17"/>
      <c r="S33" s="17"/>
      <c r="T33" s="17"/>
      <c r="U33" s="17"/>
      <c r="V33" s="12"/>
      <c r="W33" s="12"/>
      <c r="X33" s="12"/>
      <c r="Y33" s="12"/>
      <c r="Z33" s="12"/>
    </row>
    <row r="34" spans="1:26" ht="15" customHeight="1" x14ac:dyDescent="0.3">
      <c r="A34" s="26"/>
      <c r="B34" s="17"/>
      <c r="C34" s="17"/>
      <c r="D34" s="17"/>
      <c r="E34" s="17"/>
      <c r="F34" s="17"/>
      <c r="G34" s="17"/>
      <c r="H34" s="17"/>
      <c r="I34" s="17"/>
      <c r="J34" s="17"/>
      <c r="K34" s="17"/>
      <c r="L34" s="17"/>
      <c r="M34" s="17"/>
      <c r="N34" s="17"/>
      <c r="O34" s="17"/>
      <c r="P34" s="17"/>
      <c r="Q34" s="17"/>
      <c r="R34" s="17"/>
      <c r="S34" s="17"/>
      <c r="T34" s="17"/>
      <c r="U34" s="17"/>
      <c r="V34" s="12"/>
      <c r="W34" s="12"/>
      <c r="X34" s="12"/>
      <c r="Y34" s="12"/>
      <c r="Z34" s="12"/>
    </row>
    <row r="35" spans="1:26" ht="15" customHeight="1" x14ac:dyDescent="0.3">
      <c r="A35" s="26"/>
      <c r="B35" s="17"/>
      <c r="C35" s="17"/>
      <c r="D35" s="17"/>
      <c r="E35" s="17"/>
      <c r="F35" s="17"/>
      <c r="G35" s="17"/>
      <c r="H35" s="17"/>
      <c r="I35" s="17"/>
      <c r="J35" s="17"/>
      <c r="K35" s="17"/>
      <c r="L35" s="17"/>
      <c r="M35" s="17"/>
      <c r="N35" s="17"/>
      <c r="O35" s="17"/>
      <c r="P35" s="17"/>
      <c r="Q35" s="17"/>
      <c r="R35" s="17"/>
      <c r="S35" s="17"/>
      <c r="T35" s="17"/>
      <c r="U35" s="17"/>
      <c r="V35" s="12"/>
      <c r="W35" s="12"/>
      <c r="X35" s="12"/>
      <c r="Y35" s="12"/>
      <c r="Z35" s="12"/>
    </row>
    <row r="36" spans="1:26" ht="15" customHeight="1" x14ac:dyDescent="0.3">
      <c r="A36" s="26"/>
      <c r="B36" s="17"/>
      <c r="C36" s="17"/>
      <c r="D36" s="17"/>
      <c r="E36" s="17"/>
      <c r="F36" s="17"/>
      <c r="G36" s="17"/>
      <c r="H36" s="17"/>
      <c r="I36" s="17"/>
      <c r="J36" s="17"/>
      <c r="K36" s="17"/>
      <c r="L36" s="17"/>
      <c r="M36" s="17"/>
      <c r="N36" s="17"/>
      <c r="O36" s="17"/>
      <c r="P36" s="17"/>
      <c r="Q36" s="17"/>
      <c r="R36" s="17"/>
      <c r="S36" s="17"/>
      <c r="T36" s="17"/>
      <c r="U36" s="17"/>
      <c r="V36" s="12"/>
      <c r="W36" s="12"/>
      <c r="X36" s="12"/>
      <c r="Y36" s="12"/>
      <c r="Z36" s="12"/>
    </row>
    <row r="37" spans="1:26" ht="15" customHeight="1" x14ac:dyDescent="0.3">
      <c r="A37" s="26"/>
      <c r="B37" s="17"/>
      <c r="C37" s="17"/>
      <c r="D37" s="17"/>
      <c r="E37" s="17"/>
      <c r="F37" s="17"/>
      <c r="G37" s="17"/>
      <c r="H37" s="17"/>
      <c r="I37" s="17"/>
      <c r="J37" s="17"/>
      <c r="K37" s="17"/>
      <c r="L37" s="17"/>
      <c r="M37" s="17"/>
      <c r="N37" s="17"/>
      <c r="O37" s="17"/>
      <c r="P37" s="17"/>
      <c r="Q37" s="17"/>
      <c r="R37" s="17"/>
      <c r="S37" s="17"/>
      <c r="T37" s="17"/>
      <c r="U37" s="17"/>
      <c r="V37" s="12"/>
      <c r="W37" s="12"/>
      <c r="X37" s="12"/>
      <c r="Y37" s="12"/>
      <c r="Z37" s="12"/>
    </row>
    <row r="38" spans="1:26" ht="15" customHeight="1" x14ac:dyDescent="0.3">
      <c r="A38" s="26"/>
      <c r="B38" s="17"/>
      <c r="C38" s="17"/>
      <c r="D38" s="17"/>
      <c r="E38" s="17"/>
      <c r="F38" s="17"/>
      <c r="G38" s="17"/>
      <c r="H38" s="17"/>
      <c r="I38" s="17"/>
      <c r="J38" s="17"/>
      <c r="K38" s="17"/>
      <c r="L38" s="17"/>
      <c r="M38" s="17"/>
      <c r="N38" s="17"/>
      <c r="O38" s="17"/>
      <c r="P38" s="17"/>
      <c r="Q38" s="17"/>
      <c r="R38" s="17"/>
      <c r="S38" s="17"/>
      <c r="T38" s="17"/>
      <c r="U38" s="17"/>
      <c r="V38" s="12"/>
      <c r="W38" s="12"/>
      <c r="X38" s="12"/>
      <c r="Y38" s="12"/>
      <c r="Z38" s="12"/>
    </row>
    <row r="39" spans="1:26" ht="15" customHeight="1" x14ac:dyDescent="0.3">
      <c r="A39" s="26"/>
      <c r="B39" s="17"/>
      <c r="C39" s="17"/>
      <c r="D39" s="17"/>
      <c r="E39" s="17"/>
      <c r="F39" s="17"/>
      <c r="G39" s="17"/>
      <c r="H39" s="17"/>
      <c r="I39" s="17"/>
      <c r="J39" s="17"/>
      <c r="K39" s="17"/>
      <c r="L39" s="17"/>
      <c r="M39" s="17"/>
      <c r="N39" s="17"/>
      <c r="O39" s="17"/>
      <c r="P39" s="17"/>
      <c r="Q39" s="17"/>
      <c r="R39" s="17"/>
      <c r="S39" s="17"/>
      <c r="T39" s="17"/>
      <c r="U39" s="17"/>
      <c r="V39" s="12"/>
      <c r="W39" s="12"/>
      <c r="X39" s="12"/>
      <c r="Y39" s="12"/>
      <c r="Z39" s="12"/>
    </row>
    <row r="40" spans="1:26" ht="15" customHeight="1" x14ac:dyDescent="0.3">
      <c r="A40" s="26"/>
      <c r="B40" s="17"/>
      <c r="C40" s="17"/>
      <c r="D40" s="17"/>
      <c r="E40" s="17"/>
      <c r="F40" s="17"/>
      <c r="G40" s="17"/>
      <c r="H40" s="17"/>
      <c r="I40" s="17"/>
      <c r="J40" s="17"/>
      <c r="K40" s="17"/>
      <c r="L40" s="17"/>
      <c r="M40" s="17"/>
      <c r="N40" s="17"/>
      <c r="O40" s="17"/>
      <c r="P40" s="17"/>
      <c r="Q40" s="17"/>
      <c r="R40" s="17"/>
      <c r="S40" s="17"/>
      <c r="T40" s="17"/>
      <c r="U40" s="17"/>
      <c r="V40" s="12"/>
      <c r="W40" s="12"/>
      <c r="X40" s="12"/>
      <c r="Y40" s="12"/>
      <c r="Z40" s="12"/>
    </row>
    <row r="41" spans="1:26" ht="15" customHeight="1" x14ac:dyDescent="0.3">
      <c r="A41" s="26"/>
      <c r="B41" s="17"/>
      <c r="C41" s="17"/>
      <c r="D41" s="17"/>
      <c r="E41" s="17"/>
      <c r="F41" s="17"/>
      <c r="G41" s="17"/>
      <c r="H41" s="17"/>
      <c r="I41" s="17"/>
      <c r="J41" s="17"/>
      <c r="K41" s="17"/>
      <c r="L41" s="17"/>
      <c r="M41" s="17"/>
      <c r="N41" s="17"/>
      <c r="O41" s="17"/>
      <c r="P41" s="17"/>
      <c r="Q41" s="17"/>
      <c r="R41" s="17"/>
      <c r="S41" s="17"/>
      <c r="T41" s="17"/>
      <c r="U41" s="17"/>
      <c r="V41" s="12"/>
      <c r="W41" s="12"/>
      <c r="X41" s="12"/>
      <c r="Y41" s="12"/>
      <c r="Z41" s="12"/>
    </row>
    <row r="42" spans="1:26" ht="15" customHeight="1" x14ac:dyDescent="0.3">
      <c r="A42" s="26"/>
      <c r="B42" s="17"/>
      <c r="C42" s="17"/>
      <c r="D42" s="17"/>
      <c r="E42" s="17"/>
      <c r="F42" s="17"/>
      <c r="G42" s="17"/>
      <c r="H42" s="17"/>
      <c r="I42" s="17"/>
      <c r="J42" s="17"/>
      <c r="K42" s="17"/>
      <c r="L42" s="17"/>
      <c r="M42" s="17"/>
      <c r="N42" s="17"/>
      <c r="O42" s="17"/>
      <c r="P42" s="17"/>
      <c r="Q42" s="17"/>
      <c r="R42" s="17"/>
      <c r="S42" s="17"/>
      <c r="T42" s="17"/>
      <c r="U42" s="17"/>
      <c r="V42" s="12"/>
      <c r="W42" s="12"/>
      <c r="X42" s="12"/>
      <c r="Y42" s="12"/>
      <c r="Z42" s="12"/>
    </row>
    <row r="43" spans="1:26" ht="15" customHeight="1" x14ac:dyDescent="0.3">
      <c r="A43" s="26"/>
      <c r="B43" s="17"/>
      <c r="C43" s="17"/>
      <c r="D43" s="17"/>
      <c r="E43" s="17"/>
      <c r="F43" s="17"/>
      <c r="G43" s="17"/>
      <c r="H43" s="17"/>
      <c r="I43" s="17"/>
      <c r="J43" s="17"/>
      <c r="K43" s="17"/>
      <c r="L43" s="17"/>
      <c r="M43" s="17"/>
      <c r="N43" s="17"/>
      <c r="O43" s="17"/>
      <c r="P43" s="17"/>
      <c r="Q43" s="17"/>
      <c r="R43" s="17"/>
      <c r="S43" s="17"/>
      <c r="T43" s="17"/>
      <c r="U43" s="17"/>
      <c r="V43" s="12"/>
      <c r="W43" s="12"/>
      <c r="X43" s="12"/>
      <c r="Y43" s="12"/>
      <c r="Z43" s="12"/>
    </row>
    <row r="44" spans="1:26" ht="15" customHeight="1" x14ac:dyDescent="0.3">
      <c r="A44" s="26"/>
      <c r="B44" s="17"/>
      <c r="C44" s="17"/>
      <c r="D44" s="17"/>
      <c r="E44" s="17"/>
      <c r="F44" s="17"/>
      <c r="G44" s="17"/>
      <c r="H44" s="17"/>
      <c r="I44" s="17"/>
      <c r="J44" s="17"/>
      <c r="K44" s="17"/>
      <c r="L44" s="17"/>
      <c r="M44" s="17"/>
      <c r="N44" s="17"/>
      <c r="O44" s="17"/>
      <c r="P44" s="17"/>
      <c r="Q44" s="17"/>
      <c r="R44" s="17"/>
      <c r="S44" s="17"/>
      <c r="T44" s="17"/>
      <c r="U44" s="17"/>
      <c r="V44" s="12"/>
      <c r="W44" s="12"/>
      <c r="X44" s="12"/>
      <c r="Y44" s="12"/>
      <c r="Z44" s="12"/>
    </row>
    <row r="45" spans="1:26" ht="15" customHeight="1" x14ac:dyDescent="0.3">
      <c r="A45" s="26"/>
      <c r="B45" s="17"/>
      <c r="C45" s="17"/>
      <c r="D45" s="17"/>
      <c r="E45" s="17"/>
      <c r="F45" s="17"/>
      <c r="G45" s="17"/>
      <c r="H45" s="17"/>
      <c r="I45" s="17"/>
      <c r="J45" s="17"/>
      <c r="K45" s="17"/>
      <c r="L45" s="17"/>
      <c r="M45" s="17"/>
      <c r="N45" s="17"/>
      <c r="O45" s="17"/>
      <c r="P45" s="17"/>
      <c r="Q45" s="17"/>
      <c r="R45" s="17"/>
      <c r="S45" s="17"/>
      <c r="T45" s="17"/>
      <c r="U45" s="17"/>
      <c r="V45" s="12"/>
      <c r="W45" s="12"/>
      <c r="X45" s="12"/>
      <c r="Y45" s="12"/>
      <c r="Z45" s="12"/>
    </row>
    <row r="46" spans="1:26" ht="15" customHeight="1" x14ac:dyDescent="0.3">
      <c r="A46" s="26"/>
      <c r="B46" s="17"/>
      <c r="C46" s="17"/>
      <c r="D46" s="17"/>
      <c r="E46" s="17"/>
      <c r="F46" s="17"/>
      <c r="G46" s="17"/>
      <c r="H46" s="17"/>
      <c r="I46" s="17"/>
      <c r="J46" s="17"/>
      <c r="K46" s="17"/>
      <c r="L46" s="17"/>
      <c r="M46" s="17"/>
      <c r="N46" s="17"/>
      <c r="O46" s="17"/>
      <c r="P46" s="17"/>
      <c r="Q46" s="17"/>
      <c r="R46" s="17"/>
      <c r="S46" s="17"/>
      <c r="T46" s="17"/>
      <c r="U46" s="17"/>
      <c r="V46" s="12"/>
      <c r="W46" s="12"/>
      <c r="X46" s="12"/>
      <c r="Y46" s="12"/>
      <c r="Z46" s="12"/>
    </row>
    <row r="47" spans="1:26" ht="15" customHeight="1" x14ac:dyDescent="0.3">
      <c r="A47" s="26"/>
      <c r="B47" s="17"/>
      <c r="C47" s="17"/>
      <c r="D47" s="17"/>
      <c r="E47" s="17"/>
      <c r="F47" s="17"/>
      <c r="G47" s="17"/>
      <c r="H47" s="17"/>
      <c r="I47" s="17"/>
      <c r="J47" s="17"/>
      <c r="K47" s="17"/>
      <c r="L47" s="17"/>
      <c r="M47" s="17"/>
      <c r="N47" s="17"/>
      <c r="O47" s="17"/>
      <c r="P47" s="17"/>
      <c r="Q47" s="17"/>
      <c r="R47" s="17"/>
      <c r="S47" s="17"/>
      <c r="T47" s="17"/>
      <c r="U47" s="17"/>
      <c r="V47" s="12"/>
      <c r="W47" s="12"/>
      <c r="X47" s="12"/>
      <c r="Y47" s="12"/>
      <c r="Z47" s="12"/>
    </row>
    <row r="48" spans="1:26" ht="15" customHeight="1" x14ac:dyDescent="0.3">
      <c r="A48" s="26"/>
      <c r="B48" s="17"/>
      <c r="C48" s="17"/>
      <c r="D48" s="17"/>
      <c r="E48" s="17"/>
      <c r="F48" s="17"/>
      <c r="G48" s="17"/>
      <c r="H48" s="17"/>
      <c r="I48" s="17"/>
      <c r="J48" s="17"/>
      <c r="K48" s="17"/>
      <c r="L48" s="17"/>
      <c r="M48" s="17"/>
      <c r="N48" s="17"/>
      <c r="O48" s="17"/>
      <c r="P48" s="17"/>
      <c r="Q48" s="17"/>
      <c r="R48" s="17"/>
      <c r="S48" s="17"/>
      <c r="T48" s="17"/>
      <c r="U48" s="17"/>
      <c r="V48" s="12"/>
      <c r="W48" s="12"/>
      <c r="X48" s="12"/>
      <c r="Y48" s="12"/>
      <c r="Z48" s="12"/>
    </row>
    <row r="49" spans="1:26" ht="15" customHeight="1" x14ac:dyDescent="0.3">
      <c r="A49" s="26"/>
      <c r="B49" s="17"/>
      <c r="C49" s="17"/>
      <c r="D49" s="17"/>
      <c r="E49" s="17"/>
      <c r="F49" s="17"/>
      <c r="G49" s="17"/>
      <c r="H49" s="17"/>
      <c r="I49" s="17"/>
      <c r="J49" s="17"/>
      <c r="K49" s="17"/>
      <c r="L49" s="17"/>
      <c r="M49" s="17"/>
      <c r="N49" s="17"/>
      <c r="O49" s="17"/>
      <c r="P49" s="17"/>
      <c r="Q49" s="17"/>
      <c r="R49" s="17"/>
      <c r="S49" s="17"/>
      <c r="T49" s="17"/>
      <c r="U49" s="17"/>
      <c r="V49" s="12"/>
      <c r="W49" s="12"/>
      <c r="X49" s="12"/>
      <c r="Y49" s="12"/>
      <c r="Z49" s="12"/>
    </row>
    <row r="50" spans="1:26" ht="15" customHeight="1" x14ac:dyDescent="0.3">
      <c r="A50" s="26"/>
      <c r="B50" s="17"/>
      <c r="C50" s="17"/>
      <c r="D50" s="17"/>
      <c r="E50" s="17"/>
      <c r="F50" s="17"/>
      <c r="G50" s="17"/>
      <c r="H50" s="17"/>
      <c r="I50" s="17"/>
      <c r="J50" s="17"/>
      <c r="K50" s="17"/>
      <c r="L50" s="17"/>
      <c r="M50" s="17"/>
      <c r="N50" s="17"/>
      <c r="O50" s="17"/>
      <c r="P50" s="17"/>
      <c r="Q50" s="17"/>
      <c r="R50" s="17"/>
      <c r="S50" s="17"/>
      <c r="T50" s="17"/>
      <c r="U50" s="17"/>
      <c r="V50" s="12"/>
      <c r="W50" s="12"/>
      <c r="X50" s="12"/>
      <c r="Y50" s="12"/>
      <c r="Z50" s="12"/>
    </row>
    <row r="51" spans="1:26" ht="15" customHeight="1" x14ac:dyDescent="0.3">
      <c r="A51" s="26"/>
      <c r="B51" s="17"/>
      <c r="C51" s="17"/>
      <c r="D51" s="17"/>
      <c r="E51" s="17"/>
      <c r="F51" s="17"/>
      <c r="G51" s="17"/>
      <c r="H51" s="17"/>
      <c r="I51" s="17"/>
      <c r="J51" s="17"/>
      <c r="K51" s="17"/>
      <c r="L51" s="17"/>
      <c r="M51" s="17"/>
      <c r="N51" s="17"/>
      <c r="O51" s="17"/>
      <c r="P51" s="17"/>
      <c r="Q51" s="17"/>
      <c r="R51" s="17"/>
      <c r="S51" s="17"/>
      <c r="T51" s="17"/>
      <c r="U51" s="17"/>
      <c r="V51" s="12"/>
      <c r="W51" s="12"/>
      <c r="X51" s="12"/>
      <c r="Y51" s="12"/>
      <c r="Z51" s="12"/>
    </row>
    <row r="52" spans="1:26" ht="15" customHeight="1" x14ac:dyDescent="0.3">
      <c r="A52" s="26"/>
      <c r="B52" s="17"/>
      <c r="C52" s="17"/>
      <c r="D52" s="17"/>
      <c r="E52" s="17"/>
      <c r="F52" s="17"/>
      <c r="G52" s="17"/>
      <c r="H52" s="17"/>
      <c r="I52" s="17"/>
      <c r="J52" s="17"/>
      <c r="K52" s="17"/>
      <c r="L52" s="17"/>
      <c r="M52" s="17"/>
      <c r="N52" s="17"/>
      <c r="O52" s="17"/>
      <c r="P52" s="17"/>
      <c r="Q52" s="17"/>
      <c r="R52" s="17"/>
      <c r="S52" s="17"/>
      <c r="T52" s="17"/>
      <c r="U52" s="17"/>
      <c r="V52" s="12"/>
      <c r="W52" s="12"/>
      <c r="X52" s="12"/>
      <c r="Y52" s="12"/>
      <c r="Z52" s="12"/>
    </row>
    <row r="53" spans="1:26" ht="15" customHeight="1" x14ac:dyDescent="0.3">
      <c r="A53" s="26"/>
      <c r="B53" s="17"/>
      <c r="C53" s="17"/>
      <c r="D53" s="17"/>
      <c r="E53" s="17"/>
      <c r="F53" s="17"/>
      <c r="G53" s="17"/>
      <c r="H53" s="17"/>
      <c r="I53" s="17"/>
      <c r="J53" s="17"/>
      <c r="K53" s="17"/>
      <c r="L53" s="17"/>
      <c r="M53" s="17"/>
      <c r="N53" s="17"/>
      <c r="O53" s="17"/>
      <c r="P53" s="17"/>
      <c r="Q53" s="17"/>
      <c r="R53" s="17"/>
      <c r="S53" s="17"/>
      <c r="T53" s="17"/>
      <c r="U53" s="17"/>
      <c r="V53" s="12"/>
      <c r="W53" s="12"/>
      <c r="X53" s="12"/>
      <c r="Y53" s="12"/>
      <c r="Z53" s="12"/>
    </row>
    <row r="54" spans="1:26" ht="15" customHeight="1" x14ac:dyDescent="0.3">
      <c r="A54" s="26"/>
      <c r="B54" s="17"/>
      <c r="C54" s="17"/>
      <c r="D54" s="17"/>
      <c r="E54" s="17"/>
      <c r="F54" s="17"/>
      <c r="G54" s="17"/>
      <c r="H54" s="17"/>
      <c r="I54" s="17"/>
      <c r="J54" s="17"/>
      <c r="K54" s="17"/>
      <c r="L54" s="17"/>
      <c r="M54" s="17"/>
      <c r="N54" s="17"/>
      <c r="O54" s="17"/>
      <c r="P54" s="17"/>
      <c r="Q54" s="17"/>
      <c r="R54" s="17"/>
      <c r="S54" s="17"/>
      <c r="T54" s="17"/>
      <c r="U54" s="17"/>
      <c r="V54" s="12"/>
      <c r="W54" s="12"/>
      <c r="X54" s="12"/>
      <c r="Y54" s="12"/>
      <c r="Z54" s="12"/>
    </row>
    <row r="55" spans="1:26" ht="15" customHeight="1" x14ac:dyDescent="0.3">
      <c r="A55" s="26"/>
      <c r="B55" s="17"/>
      <c r="C55" s="17"/>
      <c r="D55" s="17"/>
      <c r="E55" s="17"/>
      <c r="F55" s="17"/>
      <c r="G55" s="17"/>
      <c r="H55" s="17"/>
      <c r="I55" s="17"/>
      <c r="J55" s="17"/>
      <c r="K55" s="17"/>
      <c r="L55" s="17"/>
      <c r="M55" s="17"/>
      <c r="N55" s="17"/>
      <c r="O55" s="17"/>
      <c r="P55" s="17"/>
      <c r="Q55" s="17"/>
      <c r="R55" s="17"/>
      <c r="S55" s="17"/>
      <c r="T55" s="17"/>
      <c r="U55" s="17"/>
      <c r="V55" s="12"/>
      <c r="W55" s="12"/>
      <c r="X55" s="12"/>
      <c r="Y55" s="12"/>
      <c r="Z55" s="12"/>
    </row>
    <row r="56" spans="1:26" ht="15" customHeight="1" x14ac:dyDescent="0.3">
      <c r="A56" s="26"/>
      <c r="B56" s="17"/>
      <c r="C56" s="17"/>
      <c r="D56" s="17"/>
      <c r="E56" s="17"/>
      <c r="F56" s="17"/>
      <c r="G56" s="17"/>
      <c r="H56" s="17"/>
      <c r="I56" s="17"/>
      <c r="J56" s="17"/>
      <c r="K56" s="17"/>
      <c r="L56" s="17"/>
      <c r="M56" s="17"/>
      <c r="N56" s="17"/>
      <c r="O56" s="17"/>
      <c r="P56" s="17"/>
      <c r="Q56" s="17"/>
      <c r="R56" s="17"/>
      <c r="S56" s="17"/>
      <c r="T56" s="17"/>
      <c r="U56" s="17"/>
      <c r="V56" s="12"/>
      <c r="W56" s="12"/>
      <c r="X56" s="12"/>
      <c r="Y56" s="12"/>
      <c r="Z56" s="12"/>
    </row>
    <row r="57" spans="1:26" ht="15" customHeight="1" x14ac:dyDescent="0.3">
      <c r="A57" s="26"/>
      <c r="B57" s="17"/>
      <c r="C57" s="17"/>
      <c r="D57" s="17"/>
      <c r="E57" s="17"/>
      <c r="F57" s="17"/>
      <c r="G57" s="17"/>
      <c r="H57" s="17"/>
      <c r="I57" s="17"/>
      <c r="J57" s="17"/>
      <c r="K57" s="17"/>
      <c r="L57" s="17"/>
      <c r="M57" s="17"/>
      <c r="N57" s="17"/>
      <c r="O57" s="17"/>
      <c r="P57" s="17"/>
      <c r="Q57" s="17"/>
      <c r="R57" s="17"/>
      <c r="S57" s="17"/>
      <c r="T57" s="17"/>
      <c r="U57" s="17"/>
      <c r="V57" s="12"/>
      <c r="W57" s="12"/>
      <c r="X57" s="12"/>
      <c r="Y57" s="12"/>
      <c r="Z57" s="12"/>
    </row>
    <row r="58" spans="1:26" ht="15" customHeight="1" x14ac:dyDescent="0.3">
      <c r="A58" s="26"/>
      <c r="B58" s="17"/>
      <c r="C58" s="17"/>
      <c r="D58" s="17"/>
      <c r="E58" s="17"/>
      <c r="F58" s="17"/>
      <c r="G58" s="17"/>
      <c r="H58" s="17"/>
      <c r="I58" s="17"/>
      <c r="J58" s="17"/>
      <c r="K58" s="17"/>
      <c r="L58" s="17"/>
      <c r="M58" s="17"/>
      <c r="N58" s="17"/>
      <c r="O58" s="17"/>
      <c r="P58" s="17"/>
      <c r="Q58" s="17"/>
      <c r="R58" s="17"/>
      <c r="S58" s="17"/>
      <c r="T58" s="17"/>
      <c r="U58" s="17"/>
      <c r="V58" s="12"/>
      <c r="W58" s="12"/>
      <c r="X58" s="12"/>
      <c r="Y58" s="12"/>
      <c r="Z58" s="12"/>
    </row>
    <row r="59" spans="1:26" ht="15" customHeight="1" x14ac:dyDescent="0.3">
      <c r="A59" s="26"/>
      <c r="B59" s="17"/>
      <c r="C59" s="17"/>
      <c r="D59" s="17"/>
      <c r="E59" s="17"/>
      <c r="F59" s="17"/>
      <c r="G59" s="17"/>
      <c r="H59" s="17"/>
      <c r="I59" s="17"/>
      <c r="J59" s="17"/>
      <c r="K59" s="17"/>
      <c r="L59" s="17"/>
      <c r="M59" s="17"/>
      <c r="N59" s="17"/>
      <c r="O59" s="17"/>
      <c r="P59" s="17"/>
      <c r="Q59" s="17"/>
      <c r="R59" s="17"/>
      <c r="S59" s="17"/>
      <c r="T59" s="17"/>
      <c r="U59" s="17"/>
      <c r="V59" s="12"/>
      <c r="W59" s="12"/>
      <c r="X59" s="12"/>
      <c r="Y59" s="12"/>
      <c r="Z59" s="12"/>
    </row>
    <row r="60" spans="1:26" ht="15" customHeight="1" x14ac:dyDescent="0.3">
      <c r="A60" s="26"/>
      <c r="B60" s="17"/>
      <c r="C60" s="17"/>
      <c r="D60" s="17"/>
      <c r="E60" s="17"/>
      <c r="F60" s="17"/>
      <c r="G60" s="17"/>
      <c r="H60" s="17"/>
      <c r="I60" s="17"/>
      <c r="J60" s="17"/>
      <c r="K60" s="17"/>
      <c r="L60" s="17"/>
      <c r="M60" s="17"/>
      <c r="N60" s="17"/>
      <c r="O60" s="17"/>
      <c r="P60" s="17"/>
      <c r="Q60" s="17"/>
      <c r="R60" s="17"/>
      <c r="S60" s="17"/>
      <c r="T60" s="17"/>
      <c r="U60" s="17"/>
      <c r="V60" s="12"/>
      <c r="W60" s="12"/>
      <c r="X60" s="12"/>
      <c r="Y60" s="12"/>
      <c r="Z60" s="12"/>
    </row>
    <row r="61" spans="1:26" ht="15" customHeight="1" x14ac:dyDescent="0.3">
      <c r="A61" s="26"/>
      <c r="B61" s="17"/>
      <c r="C61" s="17"/>
      <c r="D61" s="17"/>
      <c r="E61" s="17"/>
      <c r="F61" s="17"/>
      <c r="G61" s="17"/>
      <c r="H61" s="17"/>
      <c r="I61" s="17"/>
      <c r="J61" s="17"/>
      <c r="K61" s="17"/>
      <c r="L61" s="17"/>
      <c r="M61" s="17"/>
      <c r="N61" s="17"/>
      <c r="O61" s="17"/>
      <c r="P61" s="17"/>
      <c r="Q61" s="17"/>
      <c r="R61" s="17"/>
      <c r="S61" s="17"/>
      <c r="T61" s="17"/>
      <c r="U61" s="17"/>
      <c r="V61" s="12"/>
      <c r="W61" s="12"/>
      <c r="X61" s="12"/>
      <c r="Y61" s="12"/>
      <c r="Z61" s="12"/>
    </row>
    <row r="62" spans="1:26" ht="15" customHeight="1" x14ac:dyDescent="0.3">
      <c r="A62" s="26"/>
      <c r="B62" s="17"/>
      <c r="C62" s="17"/>
      <c r="D62" s="17"/>
      <c r="E62" s="17"/>
      <c r="F62" s="17"/>
      <c r="G62" s="17"/>
      <c r="H62" s="17"/>
      <c r="I62" s="17"/>
      <c r="J62" s="17"/>
      <c r="K62" s="17"/>
      <c r="L62" s="17"/>
      <c r="M62" s="17"/>
      <c r="N62" s="17"/>
      <c r="O62" s="17"/>
      <c r="P62" s="17"/>
      <c r="Q62" s="17"/>
      <c r="R62" s="17"/>
      <c r="S62" s="17"/>
      <c r="T62" s="17"/>
      <c r="U62" s="17"/>
      <c r="V62" s="12"/>
      <c r="W62" s="12"/>
      <c r="X62" s="12"/>
      <c r="Y62" s="12"/>
      <c r="Z62" s="12"/>
    </row>
    <row r="63" spans="1:26" ht="15" customHeight="1" x14ac:dyDescent="0.3">
      <c r="A63" s="26"/>
      <c r="B63" s="17"/>
      <c r="C63" s="17"/>
      <c r="D63" s="17"/>
      <c r="E63" s="17"/>
      <c r="F63" s="17"/>
      <c r="G63" s="17"/>
      <c r="H63" s="17"/>
      <c r="I63" s="17"/>
      <c r="J63" s="17"/>
      <c r="K63" s="17"/>
      <c r="L63" s="17"/>
      <c r="M63" s="17"/>
      <c r="N63" s="17"/>
      <c r="O63" s="17"/>
      <c r="P63" s="17"/>
      <c r="Q63" s="17"/>
      <c r="R63" s="17"/>
      <c r="S63" s="17"/>
      <c r="T63" s="17"/>
      <c r="U63" s="17"/>
      <c r="V63" s="12"/>
      <c r="W63" s="12"/>
      <c r="X63" s="12"/>
      <c r="Y63" s="12"/>
      <c r="Z63" s="12"/>
    </row>
    <row r="64" spans="1:26" ht="15" customHeight="1" x14ac:dyDescent="0.3">
      <c r="A64" s="26"/>
      <c r="B64" s="17"/>
      <c r="C64" s="17"/>
      <c r="D64" s="17"/>
      <c r="E64" s="17"/>
      <c r="F64" s="17"/>
      <c r="G64" s="17"/>
      <c r="H64" s="17"/>
      <c r="I64" s="17"/>
      <c r="J64" s="17"/>
      <c r="K64" s="17"/>
      <c r="L64" s="17"/>
      <c r="M64" s="17"/>
      <c r="N64" s="17"/>
      <c r="O64" s="17"/>
      <c r="P64" s="17"/>
      <c r="Q64" s="17"/>
      <c r="R64" s="17"/>
      <c r="S64" s="17"/>
      <c r="T64" s="17"/>
      <c r="U64" s="17"/>
      <c r="V64" s="12"/>
      <c r="W64" s="12"/>
      <c r="X64" s="12"/>
      <c r="Y64" s="12"/>
      <c r="Z64" s="12"/>
    </row>
    <row r="65" spans="1:26" ht="15" customHeight="1" x14ac:dyDescent="0.3">
      <c r="A65" s="26"/>
      <c r="B65" s="17"/>
      <c r="C65" s="17"/>
      <c r="D65" s="17"/>
      <c r="E65" s="17"/>
      <c r="F65" s="17"/>
      <c r="G65" s="17"/>
      <c r="H65" s="17"/>
      <c r="I65" s="17"/>
      <c r="J65" s="17"/>
      <c r="K65" s="17"/>
      <c r="L65" s="17"/>
      <c r="M65" s="17"/>
      <c r="N65" s="17"/>
      <c r="O65" s="17"/>
      <c r="P65" s="17"/>
      <c r="Q65" s="17"/>
      <c r="R65" s="17"/>
      <c r="S65" s="17"/>
      <c r="T65" s="17"/>
      <c r="U65" s="17"/>
      <c r="V65" s="12"/>
      <c r="W65" s="12"/>
      <c r="X65" s="12"/>
      <c r="Y65" s="12"/>
      <c r="Z65" s="12"/>
    </row>
    <row r="66" spans="1:26" ht="15" customHeight="1" x14ac:dyDescent="0.3">
      <c r="A66" s="26"/>
      <c r="B66" s="17"/>
      <c r="C66" s="17"/>
      <c r="D66" s="17"/>
      <c r="E66" s="17"/>
      <c r="F66" s="17"/>
      <c r="G66" s="17"/>
      <c r="H66" s="17"/>
      <c r="I66" s="17"/>
      <c r="J66" s="17"/>
      <c r="K66" s="17"/>
      <c r="L66" s="17"/>
      <c r="M66" s="17"/>
      <c r="N66" s="17"/>
      <c r="O66" s="17"/>
      <c r="P66" s="17"/>
      <c r="Q66" s="17"/>
      <c r="R66" s="17"/>
      <c r="S66" s="17"/>
      <c r="T66" s="17"/>
      <c r="U66" s="17"/>
      <c r="V66" s="12"/>
      <c r="W66" s="12"/>
      <c r="X66" s="12"/>
      <c r="Y66" s="12"/>
      <c r="Z66" s="12"/>
    </row>
    <row r="67" spans="1:26" ht="15" customHeight="1" x14ac:dyDescent="0.3">
      <c r="A67" s="26"/>
      <c r="B67" s="17"/>
      <c r="C67" s="17"/>
      <c r="D67" s="17"/>
      <c r="E67" s="17"/>
      <c r="F67" s="17"/>
      <c r="G67" s="17"/>
      <c r="H67" s="17"/>
      <c r="I67" s="17"/>
      <c r="J67" s="17"/>
      <c r="K67" s="17"/>
      <c r="L67" s="17"/>
      <c r="M67" s="17"/>
      <c r="N67" s="17"/>
      <c r="O67" s="17"/>
      <c r="P67" s="17"/>
      <c r="Q67" s="17"/>
      <c r="R67" s="17"/>
      <c r="S67" s="17"/>
      <c r="T67" s="17"/>
      <c r="U67" s="17"/>
      <c r="V67" s="12"/>
      <c r="W67" s="12"/>
      <c r="X67" s="12"/>
      <c r="Y67" s="12"/>
      <c r="Z67" s="12"/>
    </row>
    <row r="68" spans="1:26" ht="15" customHeight="1" x14ac:dyDescent="0.3">
      <c r="A68" s="26"/>
      <c r="B68" s="17"/>
      <c r="C68" s="17"/>
      <c r="D68" s="17"/>
      <c r="E68" s="17"/>
      <c r="F68" s="17"/>
      <c r="G68" s="17"/>
      <c r="H68" s="17"/>
      <c r="I68" s="17"/>
      <c r="J68" s="17"/>
      <c r="K68" s="17"/>
      <c r="L68" s="17"/>
      <c r="M68" s="17"/>
      <c r="N68" s="17"/>
      <c r="O68" s="17"/>
      <c r="P68" s="17"/>
      <c r="Q68" s="17"/>
      <c r="R68" s="17"/>
      <c r="S68" s="17"/>
      <c r="T68" s="17"/>
      <c r="U68" s="17"/>
      <c r="V68" s="12"/>
      <c r="W68" s="12"/>
      <c r="X68" s="12"/>
      <c r="Y68" s="12"/>
      <c r="Z68" s="12"/>
    </row>
    <row r="69" spans="1:26" ht="15" customHeight="1" x14ac:dyDescent="0.3">
      <c r="A69" s="26"/>
      <c r="B69" s="17"/>
      <c r="C69" s="17"/>
      <c r="D69" s="17"/>
      <c r="E69" s="17"/>
      <c r="F69" s="17"/>
      <c r="G69" s="17"/>
      <c r="H69" s="17"/>
      <c r="I69" s="17"/>
      <c r="J69" s="17"/>
      <c r="K69" s="17"/>
      <c r="L69" s="17"/>
      <c r="M69" s="17"/>
      <c r="N69" s="17"/>
      <c r="O69" s="17"/>
      <c r="P69" s="17"/>
      <c r="Q69" s="17"/>
      <c r="R69" s="17"/>
      <c r="S69" s="17"/>
      <c r="T69" s="17"/>
      <c r="U69" s="17"/>
      <c r="V69" s="12"/>
      <c r="W69" s="12"/>
      <c r="X69" s="12"/>
      <c r="Y69" s="12"/>
      <c r="Z69" s="12"/>
    </row>
    <row r="70" spans="1:26" ht="15" customHeight="1" x14ac:dyDescent="0.3">
      <c r="A70" s="26"/>
      <c r="B70" s="17"/>
      <c r="C70" s="17"/>
      <c r="D70" s="17"/>
      <c r="E70" s="17"/>
      <c r="F70" s="17"/>
      <c r="G70" s="17"/>
      <c r="H70" s="17"/>
      <c r="I70" s="17"/>
      <c r="J70" s="17"/>
      <c r="K70" s="17"/>
      <c r="L70" s="17"/>
      <c r="M70" s="17"/>
      <c r="N70" s="17"/>
      <c r="O70" s="17"/>
      <c r="P70" s="17"/>
      <c r="Q70" s="17"/>
      <c r="R70" s="17"/>
      <c r="S70" s="17"/>
      <c r="T70" s="17"/>
      <c r="U70" s="17"/>
      <c r="V70" s="12"/>
      <c r="W70" s="12"/>
      <c r="X70" s="12"/>
      <c r="Y70" s="12"/>
      <c r="Z70" s="12"/>
    </row>
    <row r="71" spans="1:26" ht="15" customHeight="1" x14ac:dyDescent="0.3">
      <c r="A71" s="26"/>
      <c r="B71" s="17"/>
      <c r="C71" s="17"/>
      <c r="D71" s="17"/>
      <c r="E71" s="17"/>
      <c r="F71" s="17"/>
      <c r="G71" s="17"/>
      <c r="H71" s="17"/>
      <c r="I71" s="17"/>
      <c r="J71" s="17"/>
      <c r="K71" s="17"/>
      <c r="L71" s="17"/>
      <c r="M71" s="17"/>
      <c r="N71" s="17"/>
      <c r="O71" s="17"/>
      <c r="P71" s="17"/>
      <c r="Q71" s="17"/>
      <c r="R71" s="17"/>
      <c r="S71" s="17"/>
      <c r="T71" s="17"/>
      <c r="U71" s="17"/>
      <c r="V71" s="12"/>
      <c r="W71" s="12"/>
      <c r="X71" s="12"/>
      <c r="Y71" s="12"/>
      <c r="Z71" s="12"/>
    </row>
    <row r="72" spans="1:26" ht="15" customHeight="1" x14ac:dyDescent="0.3">
      <c r="A72" s="26"/>
      <c r="B72" s="17"/>
      <c r="C72" s="17"/>
      <c r="D72" s="17"/>
      <c r="E72" s="17"/>
      <c r="F72" s="17"/>
      <c r="G72" s="17"/>
      <c r="H72" s="17"/>
      <c r="I72" s="17"/>
      <c r="J72" s="17"/>
      <c r="K72" s="17"/>
      <c r="L72" s="17"/>
      <c r="M72" s="17"/>
      <c r="N72" s="17"/>
      <c r="O72" s="17"/>
      <c r="P72" s="17"/>
      <c r="Q72" s="17"/>
      <c r="R72" s="17"/>
      <c r="S72" s="17"/>
      <c r="T72" s="17"/>
      <c r="U72" s="17"/>
      <c r="V72" s="12"/>
      <c r="W72" s="12"/>
      <c r="X72" s="12"/>
      <c r="Y72" s="12"/>
      <c r="Z72" s="12"/>
    </row>
    <row r="73" spans="1:26" ht="15" customHeight="1" x14ac:dyDescent="0.3">
      <c r="A73" s="26"/>
      <c r="B73" s="17"/>
      <c r="C73" s="17"/>
      <c r="D73" s="17"/>
      <c r="E73" s="17"/>
      <c r="F73" s="17"/>
      <c r="G73" s="17"/>
      <c r="H73" s="17"/>
      <c r="I73" s="17"/>
      <c r="J73" s="17"/>
      <c r="K73" s="17"/>
      <c r="L73" s="17"/>
      <c r="M73" s="17"/>
      <c r="N73" s="17"/>
      <c r="O73" s="17"/>
      <c r="P73" s="17"/>
      <c r="Q73" s="17"/>
      <c r="R73" s="17"/>
      <c r="S73" s="17"/>
      <c r="T73" s="17"/>
      <c r="U73" s="17"/>
      <c r="V73" s="12"/>
      <c r="W73" s="12"/>
      <c r="X73" s="12"/>
      <c r="Y73" s="12"/>
      <c r="Z73" s="12"/>
    </row>
    <row r="74" spans="1:26" ht="15" customHeight="1" x14ac:dyDescent="0.3">
      <c r="A74" s="26"/>
      <c r="B74" s="17"/>
      <c r="C74" s="17"/>
      <c r="D74" s="17"/>
      <c r="E74" s="17"/>
      <c r="F74" s="17"/>
      <c r="G74" s="17"/>
      <c r="H74" s="17"/>
      <c r="I74" s="17"/>
      <c r="J74" s="17"/>
      <c r="K74" s="17"/>
      <c r="L74" s="17"/>
      <c r="M74" s="17"/>
      <c r="N74" s="17"/>
      <c r="O74" s="17"/>
      <c r="P74" s="17"/>
      <c r="Q74" s="17"/>
      <c r="R74" s="17"/>
      <c r="S74" s="17"/>
      <c r="T74" s="17"/>
      <c r="U74" s="17"/>
      <c r="V74" s="12"/>
      <c r="W74" s="12"/>
      <c r="X74" s="12"/>
      <c r="Y74" s="12"/>
      <c r="Z74" s="12"/>
    </row>
    <row r="75" spans="1:26" ht="15" customHeight="1" x14ac:dyDescent="0.3">
      <c r="A75" s="26"/>
      <c r="B75" s="17"/>
      <c r="C75" s="17"/>
      <c r="D75" s="17"/>
      <c r="E75" s="17"/>
      <c r="F75" s="17"/>
      <c r="G75" s="17"/>
      <c r="H75" s="17"/>
      <c r="I75" s="17"/>
      <c r="J75" s="17"/>
      <c r="K75" s="17"/>
      <c r="L75" s="17"/>
      <c r="M75" s="17"/>
      <c r="N75" s="17"/>
      <c r="O75" s="17"/>
      <c r="P75" s="17"/>
      <c r="Q75" s="17"/>
      <c r="R75" s="17"/>
      <c r="S75" s="17"/>
      <c r="T75" s="17"/>
      <c r="U75" s="17"/>
      <c r="V75" s="12"/>
      <c r="W75" s="12"/>
      <c r="X75" s="12"/>
      <c r="Y75" s="12"/>
      <c r="Z75" s="12"/>
    </row>
    <row r="76" spans="1:26" ht="15" customHeight="1" x14ac:dyDescent="0.3">
      <c r="A76" s="26"/>
      <c r="B76" s="17"/>
      <c r="C76" s="17"/>
      <c r="D76" s="17"/>
      <c r="E76" s="17"/>
      <c r="F76" s="17"/>
      <c r="G76" s="17"/>
      <c r="H76" s="17"/>
      <c r="I76" s="17"/>
      <c r="J76" s="17"/>
      <c r="K76" s="17"/>
      <c r="L76" s="17"/>
      <c r="M76" s="17"/>
      <c r="N76" s="17"/>
      <c r="O76" s="17"/>
      <c r="P76" s="17"/>
      <c r="Q76" s="17"/>
      <c r="R76" s="17"/>
      <c r="S76" s="17"/>
      <c r="T76" s="17"/>
      <c r="U76" s="17"/>
      <c r="V76" s="12"/>
      <c r="W76" s="12"/>
      <c r="X76" s="12"/>
      <c r="Y76" s="12"/>
      <c r="Z76" s="12"/>
    </row>
    <row r="77" spans="1:26" ht="15" customHeight="1" x14ac:dyDescent="0.3">
      <c r="A77" s="26"/>
      <c r="B77" s="17"/>
      <c r="C77" s="17"/>
      <c r="D77" s="17"/>
      <c r="E77" s="17"/>
      <c r="F77" s="17"/>
      <c r="G77" s="17"/>
      <c r="H77" s="17"/>
      <c r="I77" s="17"/>
      <c r="J77" s="17"/>
      <c r="K77" s="17"/>
      <c r="L77" s="17"/>
      <c r="M77" s="17"/>
      <c r="N77" s="17"/>
      <c r="O77" s="17"/>
      <c r="P77" s="17"/>
      <c r="Q77" s="17"/>
      <c r="R77" s="17"/>
      <c r="S77" s="17"/>
      <c r="T77" s="17"/>
      <c r="U77" s="17"/>
      <c r="V77" s="12"/>
      <c r="W77" s="12"/>
      <c r="X77" s="12"/>
      <c r="Y77" s="12"/>
      <c r="Z77" s="12"/>
    </row>
    <row r="78" spans="1:26" ht="15" customHeight="1" x14ac:dyDescent="0.3">
      <c r="A78" s="26"/>
      <c r="B78" s="17"/>
      <c r="C78" s="17"/>
      <c r="D78" s="17"/>
      <c r="E78" s="17"/>
      <c r="F78" s="17"/>
      <c r="G78" s="17"/>
      <c r="H78" s="17"/>
      <c r="I78" s="17"/>
      <c r="J78" s="17"/>
      <c r="K78" s="17"/>
      <c r="L78" s="17"/>
      <c r="M78" s="17"/>
      <c r="N78" s="17"/>
      <c r="O78" s="17"/>
      <c r="P78" s="17"/>
      <c r="Q78" s="17"/>
      <c r="R78" s="17"/>
      <c r="S78" s="17"/>
      <c r="T78" s="17"/>
      <c r="U78" s="17"/>
      <c r="V78" s="12"/>
      <c r="W78" s="12"/>
      <c r="X78" s="12"/>
      <c r="Y78" s="12"/>
      <c r="Z78" s="12"/>
    </row>
    <row r="79" spans="1:26" ht="15" customHeight="1" x14ac:dyDescent="0.3">
      <c r="A79" s="26"/>
      <c r="B79" s="17"/>
      <c r="C79" s="17"/>
      <c r="D79" s="17"/>
      <c r="E79" s="17"/>
      <c r="F79" s="17"/>
      <c r="G79" s="17"/>
      <c r="H79" s="17"/>
      <c r="I79" s="17"/>
      <c r="J79" s="17"/>
      <c r="K79" s="17"/>
      <c r="L79" s="17"/>
      <c r="M79" s="17"/>
      <c r="N79" s="17"/>
      <c r="O79" s="17"/>
      <c r="P79" s="17"/>
      <c r="Q79" s="17"/>
      <c r="R79" s="17"/>
      <c r="S79" s="17"/>
      <c r="T79" s="17"/>
      <c r="U79" s="17"/>
      <c r="V79" s="12"/>
      <c r="W79" s="12"/>
      <c r="X79" s="12"/>
      <c r="Y79" s="12"/>
      <c r="Z79" s="12"/>
    </row>
    <row r="80" spans="1:26" ht="15" customHeight="1" x14ac:dyDescent="0.3">
      <c r="A80" s="26"/>
      <c r="B80" s="17"/>
      <c r="C80" s="17"/>
      <c r="D80" s="17"/>
      <c r="E80" s="17"/>
      <c r="F80" s="17"/>
      <c r="G80" s="17"/>
      <c r="H80" s="17"/>
      <c r="I80" s="17"/>
      <c r="J80" s="17"/>
      <c r="K80" s="17"/>
      <c r="L80" s="17"/>
      <c r="M80" s="17"/>
      <c r="N80" s="17"/>
      <c r="O80" s="17"/>
      <c r="P80" s="17"/>
      <c r="Q80" s="17"/>
      <c r="R80" s="17"/>
      <c r="S80" s="17"/>
      <c r="T80" s="17"/>
      <c r="U80" s="17"/>
      <c r="V80" s="12"/>
      <c r="W80" s="12"/>
      <c r="X80" s="12"/>
      <c r="Y80" s="12"/>
      <c r="Z80" s="12"/>
    </row>
    <row r="81" spans="1:26" ht="15" customHeight="1" x14ac:dyDescent="0.3">
      <c r="A81" s="26"/>
      <c r="B81" s="17"/>
      <c r="C81" s="17"/>
      <c r="D81" s="17"/>
      <c r="E81" s="17"/>
      <c r="F81" s="17"/>
      <c r="G81" s="17"/>
      <c r="H81" s="17"/>
      <c r="I81" s="17"/>
      <c r="J81" s="17"/>
      <c r="K81" s="17"/>
      <c r="L81" s="17"/>
      <c r="M81" s="17"/>
      <c r="N81" s="17"/>
      <c r="O81" s="17"/>
      <c r="P81" s="17"/>
      <c r="Q81" s="17"/>
      <c r="R81" s="17"/>
      <c r="S81" s="17"/>
      <c r="T81" s="17"/>
      <c r="U81" s="17"/>
      <c r="V81" s="12"/>
      <c r="W81" s="12"/>
      <c r="X81" s="12"/>
      <c r="Y81" s="12"/>
      <c r="Z81" s="12"/>
    </row>
    <row r="82" spans="1:26" ht="15" customHeight="1" x14ac:dyDescent="0.3">
      <c r="A82" s="26"/>
      <c r="B82" s="17"/>
      <c r="C82" s="17"/>
      <c r="D82" s="17"/>
      <c r="E82" s="17"/>
      <c r="F82" s="17"/>
      <c r="G82" s="17"/>
      <c r="H82" s="17"/>
      <c r="I82" s="17"/>
      <c r="J82" s="17"/>
      <c r="K82" s="17"/>
      <c r="L82" s="17"/>
      <c r="M82" s="17"/>
      <c r="N82" s="17"/>
      <c r="O82" s="17"/>
      <c r="P82" s="17"/>
      <c r="Q82" s="17"/>
      <c r="R82" s="17"/>
      <c r="S82" s="17"/>
      <c r="T82" s="17"/>
      <c r="U82" s="17"/>
      <c r="V82" s="12"/>
      <c r="W82" s="12"/>
      <c r="X82" s="12"/>
      <c r="Y82" s="12"/>
      <c r="Z82" s="12"/>
    </row>
    <row r="83" spans="1:26" ht="15" customHeight="1" x14ac:dyDescent="0.3">
      <c r="A83" s="26"/>
      <c r="B83" s="17"/>
      <c r="C83" s="17"/>
      <c r="D83" s="17"/>
      <c r="E83" s="17"/>
      <c r="F83" s="17"/>
      <c r="G83" s="17"/>
      <c r="H83" s="17"/>
      <c r="I83" s="17"/>
      <c r="J83" s="17"/>
      <c r="K83" s="17"/>
      <c r="L83" s="17"/>
      <c r="M83" s="17"/>
      <c r="N83" s="17"/>
      <c r="O83" s="17"/>
      <c r="P83" s="17"/>
      <c r="Q83" s="17"/>
      <c r="R83" s="17"/>
      <c r="S83" s="17"/>
      <c r="T83" s="17"/>
      <c r="U83" s="17"/>
      <c r="V83" s="12"/>
      <c r="W83" s="12"/>
      <c r="X83" s="12"/>
      <c r="Y83" s="12"/>
      <c r="Z83" s="12"/>
    </row>
    <row r="84" spans="1:26" ht="15" customHeight="1" x14ac:dyDescent="0.3">
      <c r="A84" s="26"/>
      <c r="B84" s="17"/>
      <c r="C84" s="17"/>
      <c r="D84" s="17"/>
      <c r="E84" s="17"/>
      <c r="F84" s="17"/>
      <c r="G84" s="17"/>
      <c r="H84" s="17"/>
      <c r="I84" s="17"/>
      <c r="J84" s="17"/>
      <c r="K84" s="17"/>
      <c r="L84" s="17"/>
      <c r="M84" s="17"/>
      <c r="N84" s="17"/>
      <c r="O84" s="17"/>
      <c r="P84" s="17"/>
      <c r="Q84" s="17"/>
      <c r="R84" s="17"/>
      <c r="S84" s="17"/>
      <c r="T84" s="17"/>
      <c r="U84" s="17"/>
      <c r="V84" s="12"/>
      <c r="W84" s="12"/>
      <c r="X84" s="12"/>
      <c r="Y84" s="12"/>
      <c r="Z84" s="12"/>
    </row>
    <row r="85" spans="1:26" ht="15" customHeight="1" x14ac:dyDescent="0.3">
      <c r="A85" s="26"/>
      <c r="B85" s="17"/>
      <c r="C85" s="17"/>
      <c r="D85" s="17"/>
      <c r="E85" s="17"/>
      <c r="F85" s="17"/>
      <c r="G85" s="17"/>
      <c r="H85" s="17"/>
      <c r="I85" s="17"/>
      <c r="J85" s="17"/>
      <c r="K85" s="17"/>
      <c r="L85" s="17"/>
      <c r="M85" s="17"/>
      <c r="N85" s="17"/>
      <c r="O85" s="17"/>
      <c r="P85" s="17"/>
      <c r="Q85" s="17"/>
      <c r="R85" s="17"/>
      <c r="S85" s="17"/>
      <c r="T85" s="17"/>
      <c r="U85" s="17"/>
      <c r="V85" s="12"/>
      <c r="W85" s="12"/>
      <c r="X85" s="12"/>
      <c r="Y85" s="12"/>
      <c r="Z85" s="12"/>
    </row>
    <row r="86" spans="1:26" ht="15" customHeight="1" x14ac:dyDescent="0.3">
      <c r="A86" s="26"/>
      <c r="B86" s="17"/>
      <c r="C86" s="17"/>
      <c r="D86" s="17"/>
      <c r="E86" s="17"/>
      <c r="F86" s="17"/>
      <c r="G86" s="17"/>
      <c r="H86" s="17"/>
      <c r="I86" s="17"/>
      <c r="J86" s="17"/>
      <c r="K86" s="17"/>
      <c r="L86" s="17"/>
      <c r="M86" s="17"/>
      <c r="N86" s="17"/>
      <c r="O86" s="17"/>
      <c r="P86" s="17"/>
      <c r="Q86" s="17"/>
      <c r="R86" s="17"/>
      <c r="S86" s="17"/>
      <c r="T86" s="17"/>
      <c r="U86" s="17"/>
      <c r="V86" s="12"/>
      <c r="W86" s="12"/>
      <c r="X86" s="12"/>
      <c r="Y86" s="12"/>
      <c r="Z86" s="12"/>
    </row>
    <row r="87" spans="1:26" ht="15" customHeight="1" x14ac:dyDescent="0.3">
      <c r="A87" s="26"/>
      <c r="B87" s="17"/>
      <c r="C87" s="17"/>
      <c r="D87" s="17"/>
      <c r="E87" s="17"/>
      <c r="F87" s="17"/>
      <c r="G87" s="17"/>
      <c r="H87" s="17"/>
      <c r="I87" s="17"/>
      <c r="J87" s="17"/>
      <c r="K87" s="17"/>
      <c r="L87" s="17"/>
      <c r="M87" s="17"/>
      <c r="N87" s="17"/>
      <c r="O87" s="17"/>
      <c r="P87" s="17"/>
      <c r="Q87" s="17"/>
      <c r="R87" s="17"/>
      <c r="S87" s="17"/>
      <c r="T87" s="17"/>
      <c r="U87" s="17"/>
      <c r="V87" s="12"/>
      <c r="W87" s="12"/>
      <c r="X87" s="12"/>
      <c r="Y87" s="12"/>
      <c r="Z87" s="12"/>
    </row>
    <row r="88" spans="1:26" ht="15" customHeight="1" x14ac:dyDescent="0.3">
      <c r="A88" s="26"/>
      <c r="B88" s="17"/>
      <c r="C88" s="17"/>
      <c r="D88" s="17"/>
      <c r="E88" s="17"/>
      <c r="F88" s="17"/>
      <c r="G88" s="17"/>
      <c r="H88" s="17"/>
      <c r="I88" s="17"/>
      <c r="J88" s="17"/>
      <c r="K88" s="17"/>
      <c r="L88" s="17"/>
      <c r="M88" s="17"/>
      <c r="N88" s="17"/>
      <c r="O88" s="17"/>
      <c r="P88" s="17"/>
      <c r="Q88" s="17"/>
      <c r="R88" s="17"/>
      <c r="S88" s="17"/>
      <c r="T88" s="17"/>
      <c r="U88" s="17"/>
      <c r="V88" s="12"/>
      <c r="W88" s="12"/>
      <c r="X88" s="12"/>
      <c r="Y88" s="12"/>
      <c r="Z88" s="12"/>
    </row>
    <row r="89" spans="1:26" ht="15" customHeight="1" x14ac:dyDescent="0.3">
      <c r="A89" s="26"/>
      <c r="B89" s="17"/>
      <c r="C89" s="17"/>
      <c r="D89" s="17"/>
      <c r="E89" s="17"/>
      <c r="F89" s="17"/>
      <c r="G89" s="17"/>
      <c r="H89" s="17"/>
      <c r="I89" s="17"/>
      <c r="J89" s="17"/>
      <c r="K89" s="17"/>
      <c r="L89" s="17"/>
      <c r="M89" s="17"/>
      <c r="N89" s="17"/>
      <c r="O89" s="17"/>
      <c r="P89" s="17"/>
      <c r="Q89" s="17"/>
      <c r="R89" s="17"/>
      <c r="S89" s="17"/>
      <c r="T89" s="17"/>
      <c r="U89" s="17"/>
      <c r="V89" s="12"/>
      <c r="W89" s="12"/>
      <c r="X89" s="12"/>
      <c r="Y89" s="12"/>
      <c r="Z89" s="12"/>
    </row>
    <row r="90" spans="1:26" ht="15" customHeight="1" x14ac:dyDescent="0.3">
      <c r="A90" s="26"/>
      <c r="B90" s="17"/>
      <c r="C90" s="17"/>
      <c r="D90" s="17"/>
      <c r="E90" s="17"/>
      <c r="F90" s="17"/>
      <c r="G90" s="17"/>
      <c r="H90" s="17"/>
      <c r="I90" s="17"/>
      <c r="J90" s="17"/>
      <c r="K90" s="17"/>
      <c r="L90" s="17"/>
      <c r="M90" s="17"/>
      <c r="N90" s="17"/>
      <c r="O90" s="17"/>
      <c r="P90" s="17"/>
      <c r="Q90" s="17"/>
      <c r="R90" s="17"/>
      <c r="S90" s="17"/>
      <c r="T90" s="17"/>
      <c r="U90" s="17"/>
      <c r="V90" s="12"/>
      <c r="W90" s="12"/>
      <c r="X90" s="12"/>
      <c r="Y90" s="12"/>
      <c r="Z90" s="12"/>
    </row>
    <row r="91" spans="1:26" ht="15" customHeight="1" x14ac:dyDescent="0.3">
      <c r="A91" s="26"/>
      <c r="B91" s="17"/>
      <c r="C91" s="17"/>
      <c r="D91" s="17"/>
      <c r="E91" s="17"/>
      <c r="F91" s="17"/>
      <c r="G91" s="17"/>
      <c r="H91" s="17"/>
      <c r="I91" s="17"/>
      <c r="J91" s="17"/>
      <c r="K91" s="17"/>
      <c r="L91" s="17"/>
      <c r="M91" s="17"/>
      <c r="N91" s="17"/>
      <c r="O91" s="17"/>
      <c r="P91" s="17"/>
      <c r="Q91" s="17"/>
      <c r="R91" s="17"/>
      <c r="S91" s="17"/>
      <c r="T91" s="17"/>
      <c r="U91" s="17"/>
      <c r="V91" s="12"/>
      <c r="W91" s="12"/>
      <c r="X91" s="12"/>
      <c r="Y91" s="12"/>
      <c r="Z91" s="12"/>
    </row>
    <row r="92" spans="1:26" ht="15" customHeight="1" x14ac:dyDescent="0.3">
      <c r="A92" s="26"/>
      <c r="B92" s="17"/>
      <c r="C92" s="17"/>
      <c r="D92" s="17"/>
      <c r="E92" s="17"/>
      <c r="F92" s="17"/>
      <c r="G92" s="17"/>
      <c r="H92" s="17"/>
      <c r="I92" s="17"/>
      <c r="J92" s="17"/>
      <c r="K92" s="17"/>
      <c r="L92" s="17"/>
      <c r="M92" s="17"/>
      <c r="N92" s="17"/>
      <c r="O92" s="17"/>
      <c r="P92" s="17"/>
      <c r="Q92" s="17"/>
      <c r="R92" s="17"/>
      <c r="S92" s="17"/>
      <c r="T92" s="17"/>
      <c r="U92" s="17"/>
      <c r="V92" s="12"/>
      <c r="W92" s="12"/>
      <c r="X92" s="12"/>
      <c r="Y92" s="12"/>
      <c r="Z92" s="12"/>
    </row>
    <row r="93" spans="1:26" ht="15" customHeight="1" x14ac:dyDescent="0.3">
      <c r="A93" s="26"/>
      <c r="B93" s="17"/>
      <c r="C93" s="17"/>
      <c r="D93" s="17"/>
      <c r="E93" s="17"/>
      <c r="F93" s="17"/>
      <c r="G93" s="17"/>
      <c r="H93" s="17"/>
      <c r="I93" s="17"/>
      <c r="J93" s="17"/>
      <c r="K93" s="17"/>
      <c r="L93" s="17"/>
      <c r="M93" s="17"/>
      <c r="N93" s="17"/>
      <c r="O93" s="17"/>
      <c r="P93" s="17"/>
      <c r="Q93" s="17"/>
      <c r="R93" s="17"/>
      <c r="S93" s="17"/>
      <c r="T93" s="17"/>
      <c r="U93" s="17"/>
      <c r="V93" s="12"/>
      <c r="W93" s="12"/>
      <c r="X93" s="12"/>
      <c r="Y93" s="12"/>
      <c r="Z93" s="12"/>
    </row>
    <row r="94" spans="1:26" ht="15" customHeight="1" x14ac:dyDescent="0.3">
      <c r="A94" s="26"/>
      <c r="B94" s="17"/>
      <c r="C94" s="17"/>
      <c r="D94" s="17"/>
      <c r="E94" s="17"/>
      <c r="F94" s="17"/>
      <c r="G94" s="17"/>
      <c r="H94" s="17"/>
      <c r="I94" s="17"/>
      <c r="J94" s="17"/>
      <c r="K94" s="17"/>
      <c r="L94" s="17"/>
      <c r="M94" s="17"/>
      <c r="N94" s="17"/>
      <c r="O94" s="17"/>
      <c r="P94" s="17"/>
      <c r="Q94" s="17"/>
      <c r="R94" s="17"/>
      <c r="S94" s="17"/>
      <c r="T94" s="17"/>
      <c r="U94" s="17"/>
      <c r="V94" s="12"/>
      <c r="W94" s="12"/>
      <c r="X94" s="12"/>
      <c r="Y94" s="12"/>
      <c r="Z94" s="12"/>
    </row>
    <row r="95" spans="1:26" ht="15" customHeight="1" x14ac:dyDescent="0.3">
      <c r="A95" s="26"/>
      <c r="B95" s="17"/>
      <c r="C95" s="17"/>
      <c r="D95" s="17"/>
      <c r="E95" s="17"/>
      <c r="F95" s="17"/>
      <c r="G95" s="17"/>
      <c r="H95" s="17"/>
      <c r="I95" s="17"/>
      <c r="J95" s="17"/>
      <c r="K95" s="17"/>
      <c r="L95" s="17"/>
      <c r="M95" s="17"/>
      <c r="N95" s="17"/>
      <c r="O95" s="17"/>
      <c r="P95" s="17"/>
      <c r="Q95" s="17"/>
      <c r="R95" s="17"/>
      <c r="S95" s="17"/>
      <c r="T95" s="17"/>
      <c r="U95" s="17"/>
      <c r="V95" s="12"/>
      <c r="W95" s="12"/>
      <c r="X95" s="12"/>
      <c r="Y95" s="12"/>
      <c r="Z95" s="12"/>
    </row>
    <row r="96" spans="1:26" ht="15" customHeight="1" x14ac:dyDescent="0.3">
      <c r="A96" s="26"/>
      <c r="B96" s="17"/>
      <c r="C96" s="17"/>
      <c r="D96" s="17"/>
      <c r="E96" s="17"/>
      <c r="F96" s="17"/>
      <c r="G96" s="17"/>
      <c r="H96" s="17"/>
      <c r="I96" s="17"/>
      <c r="J96" s="17"/>
      <c r="K96" s="17"/>
      <c r="L96" s="17"/>
      <c r="M96" s="17"/>
      <c r="N96" s="17"/>
      <c r="O96" s="17"/>
      <c r="P96" s="17"/>
      <c r="Q96" s="17"/>
      <c r="R96" s="17"/>
      <c r="S96" s="17"/>
      <c r="T96" s="17"/>
      <c r="U96" s="17"/>
      <c r="V96" s="12"/>
      <c r="W96" s="12"/>
      <c r="X96" s="12"/>
      <c r="Y96" s="12"/>
      <c r="Z96" s="12"/>
    </row>
    <row r="97" spans="1:26" ht="15" customHeight="1" x14ac:dyDescent="0.3">
      <c r="A97" s="26"/>
      <c r="B97" s="17"/>
      <c r="C97" s="17"/>
      <c r="D97" s="17"/>
      <c r="E97" s="17"/>
      <c r="F97" s="17"/>
      <c r="G97" s="17"/>
      <c r="H97" s="17"/>
      <c r="I97" s="17"/>
      <c r="J97" s="17"/>
      <c r="K97" s="17"/>
      <c r="L97" s="17"/>
      <c r="M97" s="17"/>
      <c r="N97" s="17"/>
      <c r="O97" s="17"/>
      <c r="P97" s="17"/>
      <c r="Q97" s="17"/>
      <c r="R97" s="17"/>
      <c r="S97" s="17"/>
      <c r="T97" s="17"/>
      <c r="U97" s="17"/>
      <c r="V97" s="12"/>
      <c r="W97" s="12"/>
      <c r="X97" s="12"/>
      <c r="Y97" s="12"/>
      <c r="Z97" s="12"/>
    </row>
    <row r="98" spans="1:26" ht="15" customHeight="1" x14ac:dyDescent="0.3">
      <c r="A98" s="26"/>
      <c r="B98" s="17"/>
      <c r="C98" s="17"/>
      <c r="D98" s="17"/>
      <c r="E98" s="17"/>
      <c r="F98" s="17"/>
      <c r="G98" s="17"/>
      <c r="H98" s="17"/>
      <c r="I98" s="17"/>
      <c r="J98" s="17"/>
      <c r="K98" s="17"/>
      <c r="L98" s="17"/>
      <c r="M98" s="17"/>
      <c r="N98" s="17"/>
      <c r="O98" s="17"/>
      <c r="P98" s="17"/>
      <c r="Q98" s="17"/>
      <c r="R98" s="17"/>
      <c r="S98" s="17"/>
      <c r="T98" s="17"/>
      <c r="U98" s="17"/>
      <c r="V98" s="12"/>
      <c r="W98" s="12"/>
      <c r="X98" s="12"/>
      <c r="Y98" s="12"/>
      <c r="Z98" s="12"/>
    </row>
    <row r="99" spans="1:26" ht="15" customHeight="1" x14ac:dyDescent="0.3">
      <c r="A99" s="26"/>
      <c r="B99" s="17"/>
      <c r="C99" s="17"/>
      <c r="D99" s="17"/>
      <c r="E99" s="17"/>
      <c r="F99" s="17"/>
      <c r="G99" s="17"/>
      <c r="H99" s="17"/>
      <c r="I99" s="17"/>
      <c r="J99" s="17"/>
      <c r="K99" s="17"/>
      <c r="L99" s="17"/>
      <c r="M99" s="17"/>
      <c r="N99" s="17"/>
      <c r="O99" s="17"/>
      <c r="P99" s="17"/>
      <c r="Q99" s="17"/>
      <c r="R99" s="17"/>
      <c r="S99" s="17"/>
      <c r="T99" s="17"/>
      <c r="U99" s="17"/>
      <c r="V99" s="12"/>
      <c r="W99" s="12"/>
      <c r="X99" s="12"/>
      <c r="Y99" s="12"/>
      <c r="Z99" s="12"/>
    </row>
    <row r="100" spans="1:26" ht="15" customHeight="1" x14ac:dyDescent="0.3">
      <c r="A100" s="26"/>
      <c r="B100" s="17"/>
      <c r="C100" s="17"/>
      <c r="D100" s="17"/>
      <c r="E100" s="17"/>
      <c r="F100" s="17"/>
      <c r="G100" s="17"/>
      <c r="H100" s="17"/>
      <c r="I100" s="17"/>
      <c r="J100" s="17"/>
      <c r="K100" s="17"/>
      <c r="L100" s="17"/>
      <c r="M100" s="17"/>
      <c r="N100" s="17"/>
      <c r="O100" s="17"/>
      <c r="P100" s="17"/>
      <c r="Q100" s="17"/>
      <c r="R100" s="17"/>
      <c r="S100" s="17"/>
      <c r="T100" s="17"/>
      <c r="U100" s="17"/>
      <c r="V100" s="12"/>
      <c r="W100" s="12"/>
      <c r="X100" s="12"/>
      <c r="Y100" s="12"/>
      <c r="Z100" s="12"/>
    </row>
    <row r="101" spans="1:26" ht="15" customHeight="1" x14ac:dyDescent="0.3">
      <c r="A101" s="26"/>
      <c r="B101" s="17"/>
      <c r="C101" s="17"/>
      <c r="D101" s="17"/>
      <c r="E101" s="17"/>
      <c r="F101" s="17"/>
      <c r="G101" s="17"/>
      <c r="H101" s="17"/>
      <c r="I101" s="17"/>
      <c r="J101" s="17"/>
      <c r="K101" s="17"/>
      <c r="L101" s="17"/>
      <c r="M101" s="17"/>
      <c r="N101" s="17"/>
      <c r="O101" s="17"/>
      <c r="P101" s="17"/>
      <c r="Q101" s="17"/>
      <c r="R101" s="17"/>
      <c r="S101" s="17"/>
      <c r="T101" s="17"/>
      <c r="U101" s="17"/>
      <c r="V101" s="12"/>
      <c r="W101" s="12"/>
      <c r="X101" s="12"/>
      <c r="Y101" s="12"/>
      <c r="Z101" s="12"/>
    </row>
    <row r="102" spans="1:26" ht="15" customHeight="1" x14ac:dyDescent="0.3">
      <c r="A102" s="26"/>
      <c r="B102" s="17"/>
      <c r="C102" s="17"/>
      <c r="D102" s="17"/>
      <c r="E102" s="17"/>
      <c r="F102" s="17"/>
      <c r="G102" s="17"/>
      <c r="H102" s="17"/>
      <c r="I102" s="17"/>
      <c r="J102" s="17"/>
      <c r="K102" s="17"/>
      <c r="L102" s="17"/>
      <c r="M102" s="17"/>
      <c r="N102" s="17"/>
      <c r="O102" s="17"/>
      <c r="P102" s="17"/>
      <c r="Q102" s="17"/>
      <c r="R102" s="17"/>
      <c r="S102" s="17"/>
      <c r="T102" s="17"/>
      <c r="U102" s="17"/>
      <c r="V102" s="12"/>
      <c r="W102" s="12"/>
      <c r="X102" s="12"/>
      <c r="Y102" s="12"/>
      <c r="Z102" s="12"/>
    </row>
    <row r="103" spans="1:26" ht="15" customHeight="1" x14ac:dyDescent="0.3">
      <c r="A103" s="26"/>
      <c r="B103" s="17"/>
      <c r="C103" s="17"/>
      <c r="D103" s="17"/>
      <c r="E103" s="17"/>
      <c r="F103" s="17"/>
      <c r="G103" s="17"/>
      <c r="H103" s="17"/>
      <c r="I103" s="17"/>
      <c r="J103" s="17"/>
      <c r="K103" s="17"/>
      <c r="L103" s="17"/>
      <c r="M103" s="17"/>
      <c r="N103" s="17"/>
      <c r="O103" s="17"/>
      <c r="P103" s="17"/>
      <c r="Q103" s="17"/>
      <c r="R103" s="17"/>
      <c r="S103" s="17"/>
      <c r="T103" s="17"/>
      <c r="U103" s="17"/>
      <c r="V103" s="12"/>
      <c r="W103" s="12"/>
      <c r="X103" s="12"/>
      <c r="Y103" s="12"/>
      <c r="Z103" s="12"/>
    </row>
    <row r="104" spans="1:26" ht="15" customHeight="1" x14ac:dyDescent="0.3">
      <c r="A104" s="26"/>
      <c r="B104" s="17"/>
      <c r="C104" s="17"/>
      <c r="D104" s="17"/>
      <c r="E104" s="17"/>
      <c r="F104" s="17"/>
      <c r="G104" s="17"/>
      <c r="H104" s="17"/>
      <c r="I104" s="17"/>
      <c r="J104" s="17"/>
      <c r="K104" s="17"/>
      <c r="L104" s="17"/>
      <c r="M104" s="17"/>
      <c r="N104" s="17"/>
      <c r="O104" s="17"/>
      <c r="P104" s="17"/>
      <c r="Q104" s="17"/>
      <c r="R104" s="17"/>
      <c r="S104" s="17"/>
      <c r="T104" s="17"/>
      <c r="U104" s="17"/>
      <c r="V104" s="12"/>
      <c r="W104" s="12"/>
      <c r="X104" s="12"/>
      <c r="Y104" s="12"/>
      <c r="Z104" s="12"/>
    </row>
    <row r="105" spans="1:26" ht="15" customHeight="1" x14ac:dyDescent="0.3">
      <c r="A105" s="26"/>
      <c r="B105" s="17"/>
      <c r="C105" s="17"/>
      <c r="D105" s="17"/>
      <c r="E105" s="17"/>
      <c r="F105" s="17"/>
      <c r="G105" s="17"/>
      <c r="H105" s="17"/>
      <c r="I105" s="17"/>
      <c r="J105" s="17"/>
      <c r="K105" s="17"/>
      <c r="L105" s="17"/>
      <c r="M105" s="17"/>
      <c r="N105" s="17"/>
      <c r="O105" s="17"/>
      <c r="P105" s="17"/>
      <c r="Q105" s="17"/>
      <c r="R105" s="17"/>
      <c r="S105" s="17"/>
      <c r="T105" s="17"/>
      <c r="U105" s="17"/>
      <c r="V105" s="12"/>
      <c r="W105" s="12"/>
      <c r="X105" s="12"/>
      <c r="Y105" s="12"/>
      <c r="Z105" s="12"/>
    </row>
    <row r="106" spans="1:26" ht="15" customHeight="1" x14ac:dyDescent="0.3">
      <c r="A106" s="26"/>
      <c r="B106" s="17"/>
      <c r="C106" s="17"/>
      <c r="D106" s="17"/>
      <c r="E106" s="17"/>
      <c r="F106" s="17"/>
      <c r="G106" s="17"/>
      <c r="H106" s="17"/>
      <c r="I106" s="17"/>
      <c r="J106" s="17"/>
      <c r="K106" s="17"/>
      <c r="L106" s="17"/>
      <c r="M106" s="17"/>
      <c r="N106" s="17"/>
      <c r="O106" s="17"/>
      <c r="P106" s="17"/>
      <c r="Q106" s="17"/>
      <c r="R106" s="17"/>
      <c r="S106" s="17"/>
      <c r="T106" s="17"/>
      <c r="U106" s="17"/>
      <c r="V106" s="12"/>
      <c r="W106" s="12"/>
      <c r="X106" s="12"/>
      <c r="Y106" s="12"/>
      <c r="Z106" s="12"/>
    </row>
    <row r="107" spans="1:26" ht="15" customHeight="1" x14ac:dyDescent="0.3">
      <c r="A107" s="26"/>
      <c r="B107" s="17"/>
      <c r="C107" s="17"/>
      <c r="D107" s="17"/>
      <c r="E107" s="17"/>
      <c r="F107" s="17"/>
      <c r="G107" s="17"/>
      <c r="H107" s="17"/>
      <c r="I107" s="17"/>
      <c r="J107" s="17"/>
      <c r="K107" s="17"/>
      <c r="L107" s="17"/>
      <c r="M107" s="17"/>
      <c r="N107" s="17"/>
      <c r="O107" s="17"/>
      <c r="P107" s="17"/>
      <c r="Q107" s="17"/>
      <c r="R107" s="17"/>
      <c r="S107" s="17"/>
      <c r="T107" s="17"/>
      <c r="U107" s="17"/>
      <c r="V107" s="12"/>
      <c r="W107" s="12"/>
      <c r="X107" s="12"/>
      <c r="Y107" s="12"/>
      <c r="Z107" s="12"/>
    </row>
    <row r="108" spans="1:26" ht="15" customHeight="1" x14ac:dyDescent="0.3">
      <c r="A108" s="26"/>
      <c r="B108" s="17"/>
      <c r="C108" s="17"/>
      <c r="D108" s="17"/>
      <c r="E108" s="17"/>
      <c r="F108" s="17"/>
      <c r="G108" s="17"/>
      <c r="H108" s="17"/>
      <c r="I108" s="17"/>
      <c r="J108" s="17"/>
      <c r="K108" s="17"/>
      <c r="L108" s="17"/>
      <c r="M108" s="17"/>
      <c r="N108" s="17"/>
      <c r="O108" s="17"/>
      <c r="P108" s="17"/>
      <c r="Q108" s="17"/>
      <c r="R108" s="17"/>
      <c r="S108" s="17"/>
      <c r="T108" s="17"/>
      <c r="U108" s="17"/>
      <c r="V108" s="12"/>
      <c r="W108" s="12"/>
      <c r="X108" s="12"/>
      <c r="Y108" s="12"/>
      <c r="Z108" s="12"/>
    </row>
    <row r="109" spans="1:26" ht="15" customHeight="1" x14ac:dyDescent="0.3">
      <c r="A109" s="26"/>
      <c r="B109" s="17"/>
      <c r="C109" s="17"/>
      <c r="D109" s="17"/>
      <c r="E109" s="17"/>
      <c r="F109" s="17"/>
      <c r="G109" s="17"/>
      <c r="H109" s="17"/>
      <c r="I109" s="17"/>
      <c r="J109" s="17"/>
      <c r="K109" s="17"/>
      <c r="L109" s="17"/>
      <c r="M109" s="17"/>
      <c r="N109" s="17"/>
      <c r="O109" s="17"/>
      <c r="P109" s="17"/>
      <c r="Q109" s="17"/>
      <c r="R109" s="17"/>
      <c r="S109" s="17"/>
      <c r="T109" s="17"/>
      <c r="U109" s="17"/>
      <c r="V109" s="12"/>
      <c r="W109" s="12"/>
      <c r="X109" s="12"/>
      <c r="Y109" s="12"/>
      <c r="Z109" s="12"/>
    </row>
    <row r="110" spans="1:26" ht="15" customHeight="1" x14ac:dyDescent="0.3">
      <c r="A110" s="26"/>
      <c r="B110" s="17"/>
      <c r="C110" s="17"/>
      <c r="D110" s="17"/>
      <c r="E110" s="17"/>
      <c r="F110" s="17"/>
      <c r="G110" s="17"/>
      <c r="H110" s="17"/>
      <c r="I110" s="17"/>
      <c r="J110" s="17"/>
      <c r="K110" s="17"/>
      <c r="L110" s="17"/>
      <c r="M110" s="17"/>
      <c r="N110" s="17"/>
      <c r="O110" s="17"/>
      <c r="P110" s="17"/>
      <c r="Q110" s="17"/>
      <c r="R110" s="17"/>
      <c r="S110" s="17"/>
      <c r="T110" s="17"/>
      <c r="U110" s="17"/>
      <c r="V110" s="12"/>
      <c r="W110" s="12"/>
      <c r="X110" s="12"/>
      <c r="Y110" s="12"/>
      <c r="Z110" s="12"/>
    </row>
    <row r="111" spans="1:26" ht="15" customHeight="1" x14ac:dyDescent="0.3">
      <c r="A111" s="26"/>
      <c r="B111" s="17"/>
      <c r="C111" s="17"/>
      <c r="D111" s="17"/>
      <c r="E111" s="17"/>
      <c r="F111" s="17"/>
      <c r="G111" s="17"/>
      <c r="H111" s="17"/>
      <c r="I111" s="17"/>
      <c r="J111" s="17"/>
      <c r="K111" s="17"/>
      <c r="L111" s="17"/>
      <c r="M111" s="17"/>
      <c r="N111" s="17"/>
      <c r="O111" s="17"/>
      <c r="P111" s="17"/>
      <c r="Q111" s="17"/>
      <c r="R111" s="17"/>
      <c r="S111" s="17"/>
      <c r="T111" s="17"/>
      <c r="U111" s="17"/>
      <c r="V111" s="12"/>
      <c r="W111" s="12"/>
      <c r="X111" s="12"/>
      <c r="Y111" s="12"/>
      <c r="Z111" s="12"/>
    </row>
    <row r="112" spans="1:26" ht="15" customHeight="1" x14ac:dyDescent="0.3">
      <c r="A112" s="26"/>
      <c r="B112" s="17"/>
      <c r="C112" s="17"/>
      <c r="D112" s="17"/>
      <c r="E112" s="17"/>
      <c r="F112" s="17"/>
      <c r="G112" s="17"/>
      <c r="H112" s="17"/>
      <c r="I112" s="17"/>
      <c r="J112" s="17"/>
      <c r="K112" s="17"/>
      <c r="L112" s="17"/>
      <c r="M112" s="17"/>
      <c r="N112" s="17"/>
      <c r="O112" s="17"/>
      <c r="P112" s="17"/>
      <c r="Q112" s="17"/>
      <c r="R112" s="17"/>
      <c r="S112" s="17"/>
      <c r="T112" s="17"/>
      <c r="U112" s="17"/>
      <c r="V112" s="12"/>
      <c r="W112" s="12"/>
      <c r="X112" s="12"/>
      <c r="Y112" s="12"/>
      <c r="Z112" s="12"/>
    </row>
    <row r="113" spans="1:26" ht="15" customHeight="1" x14ac:dyDescent="0.3">
      <c r="A113" s="26"/>
      <c r="B113" s="17"/>
      <c r="C113" s="17"/>
      <c r="D113" s="17"/>
      <c r="E113" s="17"/>
      <c r="F113" s="17"/>
      <c r="G113" s="17"/>
      <c r="H113" s="17"/>
      <c r="I113" s="17"/>
      <c r="J113" s="17"/>
      <c r="K113" s="17"/>
      <c r="L113" s="17"/>
      <c r="M113" s="17"/>
      <c r="N113" s="17"/>
      <c r="O113" s="17"/>
      <c r="P113" s="17"/>
      <c r="Q113" s="17"/>
      <c r="R113" s="17"/>
      <c r="S113" s="17"/>
      <c r="T113" s="17"/>
      <c r="U113" s="17"/>
      <c r="V113" s="12"/>
      <c r="W113" s="12"/>
      <c r="X113" s="12"/>
      <c r="Y113" s="12"/>
      <c r="Z113" s="12"/>
    </row>
    <row r="114" spans="1:26" ht="15" customHeight="1" x14ac:dyDescent="0.3">
      <c r="A114" s="26"/>
      <c r="B114" s="17"/>
      <c r="C114" s="17"/>
      <c r="D114" s="17"/>
      <c r="E114" s="17"/>
      <c r="F114" s="17"/>
      <c r="G114" s="17"/>
      <c r="H114" s="17"/>
      <c r="I114" s="17"/>
      <c r="J114" s="17"/>
      <c r="K114" s="17"/>
      <c r="L114" s="17"/>
      <c r="M114" s="17"/>
      <c r="N114" s="17"/>
      <c r="O114" s="17"/>
      <c r="P114" s="17"/>
      <c r="Q114" s="17"/>
      <c r="R114" s="17"/>
      <c r="S114" s="17"/>
      <c r="T114" s="17"/>
      <c r="U114" s="17"/>
      <c r="V114" s="12"/>
      <c r="W114" s="12"/>
      <c r="X114" s="12"/>
      <c r="Y114" s="12"/>
      <c r="Z114" s="12"/>
    </row>
    <row r="115" spans="1:26" ht="15" customHeight="1" x14ac:dyDescent="0.3">
      <c r="A115" s="26"/>
      <c r="B115" s="17"/>
      <c r="C115" s="17"/>
      <c r="D115" s="17"/>
      <c r="E115" s="17"/>
      <c r="F115" s="17"/>
      <c r="G115" s="17"/>
      <c r="H115" s="17"/>
      <c r="I115" s="17"/>
      <c r="J115" s="17"/>
      <c r="K115" s="17"/>
      <c r="L115" s="17"/>
      <c r="M115" s="17"/>
      <c r="N115" s="17"/>
      <c r="O115" s="17"/>
      <c r="P115" s="17"/>
      <c r="Q115" s="17"/>
      <c r="R115" s="17"/>
      <c r="S115" s="17"/>
      <c r="T115" s="17"/>
      <c r="U115" s="17"/>
      <c r="V115" s="12"/>
      <c r="W115" s="12"/>
      <c r="X115" s="12"/>
      <c r="Y115" s="12"/>
      <c r="Z115" s="12"/>
    </row>
    <row r="116" spans="1:26" ht="15" customHeight="1" x14ac:dyDescent="0.3">
      <c r="A116" s="26"/>
      <c r="B116" s="17"/>
      <c r="C116" s="17"/>
      <c r="D116" s="17"/>
      <c r="E116" s="17"/>
      <c r="F116" s="17"/>
      <c r="G116" s="17"/>
      <c r="H116" s="17"/>
      <c r="I116" s="17"/>
      <c r="J116" s="17"/>
      <c r="K116" s="17"/>
      <c r="L116" s="17"/>
      <c r="M116" s="17"/>
      <c r="N116" s="17"/>
      <c r="O116" s="17"/>
      <c r="P116" s="17"/>
      <c r="Q116" s="17"/>
      <c r="R116" s="17"/>
      <c r="S116" s="17"/>
      <c r="T116" s="17"/>
      <c r="U116" s="17"/>
      <c r="V116" s="12"/>
      <c r="W116" s="12"/>
      <c r="X116" s="12"/>
      <c r="Y116" s="12"/>
      <c r="Z116" s="12"/>
    </row>
    <row r="117" spans="1:26" ht="15" customHeight="1" x14ac:dyDescent="0.3">
      <c r="A117" s="26"/>
      <c r="B117" s="17"/>
      <c r="C117" s="17"/>
      <c r="D117" s="17"/>
      <c r="E117" s="17"/>
      <c r="F117" s="17"/>
      <c r="G117" s="17"/>
      <c r="H117" s="17"/>
      <c r="I117" s="17"/>
      <c r="J117" s="17"/>
      <c r="K117" s="17"/>
      <c r="L117" s="17"/>
      <c r="M117" s="17"/>
      <c r="N117" s="17"/>
      <c r="O117" s="17"/>
      <c r="P117" s="17"/>
      <c r="Q117" s="17"/>
      <c r="R117" s="17"/>
      <c r="S117" s="17"/>
      <c r="T117" s="17"/>
      <c r="U117" s="17"/>
      <c r="V117" s="12"/>
      <c r="W117" s="12"/>
      <c r="X117" s="12"/>
      <c r="Y117" s="12"/>
      <c r="Z117" s="12"/>
    </row>
    <row r="118" spans="1:26" ht="15" customHeight="1" x14ac:dyDescent="0.3">
      <c r="A118" s="26"/>
      <c r="B118" s="17"/>
      <c r="C118" s="17"/>
      <c r="D118" s="17"/>
      <c r="E118" s="17"/>
      <c r="F118" s="17"/>
      <c r="G118" s="17"/>
      <c r="H118" s="17"/>
      <c r="I118" s="17"/>
      <c r="J118" s="17"/>
      <c r="K118" s="17"/>
      <c r="L118" s="17"/>
      <c r="M118" s="17"/>
      <c r="N118" s="17"/>
      <c r="O118" s="17"/>
      <c r="P118" s="17"/>
      <c r="Q118" s="17"/>
      <c r="R118" s="17"/>
      <c r="S118" s="17"/>
      <c r="T118" s="17"/>
      <c r="U118" s="17"/>
      <c r="V118" s="12"/>
      <c r="W118" s="12"/>
      <c r="X118" s="12"/>
      <c r="Y118" s="12"/>
      <c r="Z118" s="12"/>
    </row>
    <row r="119" spans="1:26" ht="15" customHeight="1" x14ac:dyDescent="0.3">
      <c r="A119" s="26"/>
      <c r="B119" s="17"/>
      <c r="C119" s="17"/>
      <c r="D119" s="17"/>
      <c r="E119" s="17"/>
      <c r="F119" s="17"/>
      <c r="G119" s="17"/>
      <c r="H119" s="17"/>
      <c r="I119" s="17"/>
      <c r="J119" s="17"/>
      <c r="K119" s="17"/>
      <c r="L119" s="17"/>
      <c r="M119" s="17"/>
      <c r="N119" s="17"/>
      <c r="O119" s="17"/>
      <c r="P119" s="17"/>
      <c r="Q119" s="17"/>
      <c r="R119" s="17"/>
      <c r="S119" s="17"/>
      <c r="T119" s="17"/>
      <c r="U119" s="17"/>
      <c r="V119" s="12"/>
      <c r="W119" s="12"/>
      <c r="X119" s="12"/>
      <c r="Y119" s="12"/>
      <c r="Z119" s="12"/>
    </row>
    <row r="120" spans="1:26" ht="15" customHeight="1" x14ac:dyDescent="0.3">
      <c r="A120" s="26"/>
      <c r="B120" s="17"/>
      <c r="C120" s="17"/>
      <c r="D120" s="17"/>
      <c r="E120" s="17"/>
      <c r="F120" s="17"/>
      <c r="G120" s="17"/>
      <c r="H120" s="17"/>
      <c r="I120" s="17"/>
      <c r="J120" s="17"/>
      <c r="K120" s="17"/>
      <c r="L120" s="17"/>
      <c r="M120" s="17"/>
      <c r="N120" s="17"/>
      <c r="O120" s="17"/>
      <c r="P120" s="17"/>
      <c r="Q120" s="17"/>
      <c r="R120" s="17"/>
      <c r="S120" s="17"/>
      <c r="T120" s="17"/>
      <c r="U120" s="17"/>
      <c r="V120" s="12"/>
      <c r="W120" s="12"/>
      <c r="X120" s="12"/>
      <c r="Y120" s="12"/>
      <c r="Z120" s="12"/>
    </row>
    <row r="121" spans="1:26" ht="15" customHeight="1" x14ac:dyDescent="0.3">
      <c r="A121" s="26"/>
      <c r="B121" s="17"/>
      <c r="C121" s="17"/>
      <c r="D121" s="17"/>
      <c r="E121" s="17"/>
      <c r="F121" s="17"/>
      <c r="G121" s="17"/>
      <c r="H121" s="17"/>
      <c r="I121" s="17"/>
      <c r="J121" s="17"/>
      <c r="K121" s="17"/>
      <c r="L121" s="17"/>
      <c r="M121" s="17"/>
      <c r="N121" s="17"/>
      <c r="O121" s="17"/>
      <c r="P121" s="17"/>
      <c r="Q121" s="17"/>
      <c r="R121" s="17"/>
      <c r="S121" s="17"/>
      <c r="T121" s="17"/>
      <c r="U121" s="17"/>
      <c r="V121" s="12"/>
      <c r="W121" s="12"/>
      <c r="X121" s="12"/>
      <c r="Y121" s="12"/>
      <c r="Z121" s="12"/>
    </row>
    <row r="122" spans="1:26" ht="15" customHeight="1" x14ac:dyDescent="0.3">
      <c r="A122" s="26"/>
      <c r="B122" s="17"/>
      <c r="C122" s="17"/>
      <c r="D122" s="17"/>
      <c r="E122" s="17"/>
      <c r="F122" s="17"/>
      <c r="G122" s="17"/>
      <c r="H122" s="17"/>
      <c r="I122" s="17"/>
      <c r="J122" s="17"/>
      <c r="K122" s="17"/>
      <c r="L122" s="17"/>
      <c r="M122" s="17"/>
      <c r="N122" s="17"/>
      <c r="O122" s="17"/>
      <c r="P122" s="17"/>
      <c r="Q122" s="17"/>
      <c r="R122" s="17"/>
      <c r="S122" s="17"/>
      <c r="T122" s="17"/>
      <c r="U122" s="17"/>
      <c r="V122" s="12"/>
      <c r="W122" s="12"/>
      <c r="X122" s="12"/>
      <c r="Y122" s="12"/>
      <c r="Z122" s="12"/>
    </row>
    <row r="123" spans="1:26" ht="15" customHeight="1" x14ac:dyDescent="0.3">
      <c r="A123" s="26"/>
      <c r="B123" s="17"/>
      <c r="C123" s="17"/>
      <c r="D123" s="17"/>
      <c r="E123" s="17"/>
      <c r="F123" s="17"/>
      <c r="G123" s="17"/>
      <c r="H123" s="17"/>
      <c r="I123" s="17"/>
      <c r="J123" s="17"/>
      <c r="K123" s="17"/>
      <c r="L123" s="17"/>
      <c r="M123" s="17"/>
      <c r="N123" s="17"/>
      <c r="O123" s="17"/>
      <c r="P123" s="17"/>
      <c r="Q123" s="17"/>
      <c r="R123" s="17"/>
      <c r="S123" s="17"/>
      <c r="T123" s="17"/>
      <c r="U123" s="17"/>
      <c r="V123" s="12"/>
      <c r="W123" s="12"/>
      <c r="X123" s="12"/>
      <c r="Y123" s="12"/>
      <c r="Z123" s="12"/>
    </row>
    <row r="124" spans="1:26" ht="15" customHeight="1" x14ac:dyDescent="0.3">
      <c r="A124" s="26"/>
      <c r="B124" s="17"/>
      <c r="C124" s="17"/>
      <c r="D124" s="17"/>
      <c r="E124" s="17"/>
      <c r="F124" s="17"/>
      <c r="G124" s="17"/>
      <c r="H124" s="17"/>
      <c r="I124" s="17"/>
      <c r="J124" s="17"/>
      <c r="K124" s="17"/>
      <c r="L124" s="17"/>
      <c r="M124" s="17"/>
      <c r="N124" s="17"/>
      <c r="O124" s="17"/>
      <c r="P124" s="17"/>
      <c r="Q124" s="17"/>
      <c r="R124" s="17"/>
      <c r="S124" s="17"/>
      <c r="T124" s="17"/>
      <c r="U124" s="17"/>
      <c r="V124" s="12"/>
      <c r="W124" s="12"/>
      <c r="X124" s="12"/>
      <c r="Y124" s="12"/>
      <c r="Z124" s="12"/>
    </row>
    <row r="125" spans="1:26" ht="15" customHeight="1" x14ac:dyDescent="0.3">
      <c r="A125" s="26"/>
      <c r="B125" s="17"/>
      <c r="C125" s="17"/>
      <c r="D125" s="17"/>
      <c r="E125" s="17"/>
      <c r="F125" s="17"/>
      <c r="G125" s="17"/>
      <c r="H125" s="17"/>
      <c r="I125" s="17"/>
      <c r="J125" s="17"/>
      <c r="K125" s="17"/>
      <c r="L125" s="17"/>
      <c r="M125" s="17"/>
      <c r="N125" s="17"/>
      <c r="O125" s="17"/>
      <c r="P125" s="17"/>
      <c r="Q125" s="17"/>
      <c r="R125" s="17"/>
      <c r="S125" s="17"/>
      <c r="T125" s="17"/>
      <c r="U125" s="17"/>
      <c r="V125" s="12"/>
      <c r="W125" s="12"/>
      <c r="X125" s="12"/>
      <c r="Y125" s="12"/>
      <c r="Z125" s="12"/>
    </row>
    <row r="126" spans="1:26" ht="15" customHeight="1" x14ac:dyDescent="0.3">
      <c r="A126" s="26"/>
      <c r="B126" s="17"/>
      <c r="C126" s="17"/>
      <c r="D126" s="17"/>
      <c r="E126" s="17"/>
      <c r="F126" s="17"/>
      <c r="G126" s="17"/>
      <c r="H126" s="17"/>
      <c r="I126" s="17"/>
      <c r="J126" s="17"/>
      <c r="K126" s="17"/>
      <c r="L126" s="17"/>
      <c r="M126" s="17"/>
      <c r="N126" s="17"/>
      <c r="O126" s="17"/>
      <c r="P126" s="17"/>
      <c r="Q126" s="17"/>
      <c r="R126" s="17"/>
      <c r="S126" s="17"/>
      <c r="T126" s="17"/>
      <c r="U126" s="17"/>
      <c r="V126" s="12"/>
      <c r="W126" s="12"/>
      <c r="X126" s="12"/>
      <c r="Y126" s="12"/>
      <c r="Z126" s="12"/>
    </row>
    <row r="127" spans="1:26" ht="15" customHeight="1" x14ac:dyDescent="0.3">
      <c r="A127" s="26"/>
      <c r="B127" s="17"/>
      <c r="C127" s="17"/>
      <c r="D127" s="17"/>
      <c r="E127" s="17"/>
      <c r="F127" s="17"/>
      <c r="G127" s="17"/>
      <c r="H127" s="17"/>
      <c r="I127" s="17"/>
      <c r="J127" s="17"/>
      <c r="K127" s="17"/>
      <c r="L127" s="17"/>
      <c r="M127" s="17"/>
      <c r="N127" s="17"/>
      <c r="O127" s="17"/>
      <c r="P127" s="17"/>
      <c r="Q127" s="17"/>
      <c r="R127" s="17"/>
      <c r="S127" s="17"/>
      <c r="T127" s="17"/>
      <c r="U127" s="17"/>
      <c r="V127" s="12"/>
      <c r="W127" s="12"/>
      <c r="X127" s="12"/>
      <c r="Y127" s="12"/>
      <c r="Z127" s="12"/>
    </row>
    <row r="128" spans="1:26" ht="15" customHeight="1" x14ac:dyDescent="0.3">
      <c r="A128" s="26"/>
      <c r="B128" s="17"/>
      <c r="C128" s="17"/>
      <c r="D128" s="17"/>
      <c r="E128" s="17"/>
      <c r="F128" s="17"/>
      <c r="G128" s="17"/>
      <c r="H128" s="17"/>
      <c r="I128" s="17"/>
      <c r="J128" s="17"/>
      <c r="K128" s="17"/>
      <c r="L128" s="17"/>
      <c r="M128" s="17"/>
      <c r="N128" s="17"/>
      <c r="O128" s="17"/>
      <c r="P128" s="17"/>
      <c r="Q128" s="17"/>
      <c r="R128" s="17"/>
      <c r="S128" s="17"/>
      <c r="T128" s="17"/>
      <c r="U128" s="17"/>
      <c r="V128" s="12"/>
      <c r="W128" s="12"/>
      <c r="X128" s="12"/>
      <c r="Y128" s="12"/>
      <c r="Z128" s="12"/>
    </row>
    <row r="129" spans="1:26" ht="15" customHeight="1" x14ac:dyDescent="0.3">
      <c r="A129" s="26"/>
      <c r="B129" s="17"/>
      <c r="C129" s="17"/>
      <c r="D129" s="17"/>
      <c r="E129" s="17"/>
      <c r="F129" s="17"/>
      <c r="G129" s="17"/>
      <c r="H129" s="17"/>
      <c r="I129" s="17"/>
      <c r="J129" s="17"/>
      <c r="K129" s="17"/>
      <c r="L129" s="17"/>
      <c r="M129" s="17"/>
      <c r="N129" s="17"/>
      <c r="O129" s="17"/>
      <c r="P129" s="17"/>
      <c r="Q129" s="17"/>
      <c r="R129" s="17"/>
      <c r="S129" s="17"/>
      <c r="T129" s="17"/>
      <c r="U129" s="17"/>
      <c r="V129" s="12"/>
      <c r="W129" s="12"/>
      <c r="X129" s="12"/>
      <c r="Y129" s="12"/>
      <c r="Z129" s="12"/>
    </row>
    <row r="130" spans="1:26" ht="15" customHeight="1" x14ac:dyDescent="0.3">
      <c r="A130" s="26"/>
      <c r="B130" s="17"/>
      <c r="C130" s="17"/>
      <c r="D130" s="17"/>
      <c r="E130" s="17"/>
      <c r="F130" s="17"/>
      <c r="G130" s="17"/>
      <c r="H130" s="17"/>
      <c r="I130" s="17"/>
      <c r="J130" s="17"/>
      <c r="K130" s="17"/>
      <c r="L130" s="17"/>
      <c r="M130" s="17"/>
      <c r="N130" s="17"/>
      <c r="O130" s="17"/>
      <c r="P130" s="17"/>
      <c r="Q130" s="17"/>
      <c r="R130" s="17"/>
      <c r="S130" s="17"/>
      <c r="T130" s="17"/>
      <c r="U130" s="17"/>
      <c r="V130" s="12"/>
      <c r="W130" s="12"/>
      <c r="X130" s="12"/>
      <c r="Y130" s="12"/>
      <c r="Z130" s="12"/>
    </row>
    <row r="131" spans="1:26" ht="15" customHeight="1" x14ac:dyDescent="0.3">
      <c r="A131" s="26"/>
      <c r="B131" s="17"/>
      <c r="C131" s="17"/>
      <c r="D131" s="17"/>
      <c r="E131" s="17"/>
      <c r="F131" s="17"/>
      <c r="G131" s="17"/>
      <c r="H131" s="17"/>
      <c r="I131" s="17"/>
      <c r="J131" s="17"/>
      <c r="K131" s="17"/>
      <c r="L131" s="17"/>
      <c r="M131" s="17"/>
      <c r="N131" s="17"/>
      <c r="O131" s="17"/>
      <c r="P131" s="17"/>
      <c r="Q131" s="17"/>
      <c r="R131" s="17"/>
      <c r="S131" s="17"/>
      <c r="T131" s="17"/>
      <c r="U131" s="17"/>
      <c r="V131" s="12"/>
      <c r="W131" s="12"/>
      <c r="X131" s="12"/>
      <c r="Y131" s="12"/>
      <c r="Z131" s="12"/>
    </row>
    <row r="132" spans="1:26" ht="15" customHeight="1" x14ac:dyDescent="0.3">
      <c r="A132" s="26"/>
      <c r="B132" s="17"/>
      <c r="C132" s="17"/>
      <c r="D132" s="17"/>
      <c r="E132" s="17"/>
      <c r="F132" s="17"/>
      <c r="G132" s="17"/>
      <c r="H132" s="17"/>
      <c r="I132" s="17"/>
      <c r="J132" s="17"/>
      <c r="K132" s="17"/>
      <c r="L132" s="17"/>
      <c r="M132" s="17"/>
      <c r="N132" s="17"/>
      <c r="O132" s="17"/>
      <c r="P132" s="17"/>
      <c r="Q132" s="17"/>
      <c r="R132" s="17"/>
      <c r="S132" s="17"/>
      <c r="T132" s="17"/>
      <c r="U132" s="17"/>
      <c r="V132" s="12"/>
      <c r="W132" s="12"/>
      <c r="X132" s="12"/>
      <c r="Y132" s="12"/>
      <c r="Z132" s="12"/>
    </row>
    <row r="133" spans="1:26" ht="15" customHeight="1" x14ac:dyDescent="0.3">
      <c r="A133" s="26"/>
      <c r="B133" s="17"/>
      <c r="C133" s="17"/>
      <c r="D133" s="17"/>
      <c r="E133" s="17"/>
      <c r="F133" s="17"/>
      <c r="G133" s="17"/>
      <c r="H133" s="17"/>
      <c r="I133" s="17"/>
      <c r="J133" s="17"/>
      <c r="K133" s="17"/>
      <c r="L133" s="17"/>
      <c r="M133" s="17"/>
      <c r="N133" s="17"/>
      <c r="O133" s="17"/>
      <c r="P133" s="17"/>
      <c r="Q133" s="17"/>
      <c r="R133" s="17"/>
      <c r="S133" s="17"/>
      <c r="T133" s="17"/>
      <c r="U133" s="17"/>
      <c r="V133" s="12"/>
      <c r="W133" s="12"/>
      <c r="X133" s="12"/>
      <c r="Y133" s="12"/>
      <c r="Z133" s="12"/>
    </row>
    <row r="134" spans="1:26" ht="15" customHeight="1" x14ac:dyDescent="0.3">
      <c r="A134" s="26"/>
      <c r="B134" s="17"/>
      <c r="C134" s="17"/>
      <c r="D134" s="17"/>
      <c r="E134" s="17"/>
      <c r="F134" s="17"/>
      <c r="G134" s="17"/>
      <c r="H134" s="17"/>
      <c r="I134" s="17"/>
      <c r="J134" s="17"/>
      <c r="K134" s="17"/>
      <c r="L134" s="17"/>
      <c r="M134" s="17"/>
      <c r="N134" s="17"/>
      <c r="O134" s="17"/>
      <c r="P134" s="17"/>
      <c r="Q134" s="17"/>
      <c r="R134" s="17"/>
      <c r="S134" s="17"/>
      <c r="T134" s="17"/>
      <c r="U134" s="17"/>
      <c r="V134" s="12"/>
      <c r="W134" s="12"/>
      <c r="X134" s="12"/>
      <c r="Y134" s="12"/>
      <c r="Z134" s="12"/>
    </row>
    <row r="135" spans="1:26" ht="15" customHeight="1" x14ac:dyDescent="0.3">
      <c r="A135" s="26"/>
      <c r="B135" s="17"/>
      <c r="C135" s="17"/>
      <c r="D135" s="17"/>
      <c r="E135" s="17"/>
      <c r="F135" s="17"/>
      <c r="G135" s="17"/>
      <c r="H135" s="17"/>
      <c r="I135" s="17"/>
      <c r="J135" s="17"/>
      <c r="K135" s="17"/>
      <c r="L135" s="17"/>
      <c r="M135" s="17"/>
      <c r="N135" s="17"/>
      <c r="O135" s="17"/>
      <c r="P135" s="17"/>
      <c r="Q135" s="17"/>
      <c r="R135" s="17"/>
      <c r="S135" s="17"/>
      <c r="T135" s="17"/>
      <c r="U135" s="17"/>
      <c r="V135" s="12"/>
      <c r="W135" s="12"/>
      <c r="X135" s="12"/>
      <c r="Y135" s="12"/>
      <c r="Z135" s="12"/>
    </row>
    <row r="136" spans="1:26" ht="15" customHeight="1" x14ac:dyDescent="0.3">
      <c r="A136" s="26"/>
      <c r="B136" s="17"/>
      <c r="C136" s="17"/>
      <c r="D136" s="17"/>
      <c r="E136" s="17"/>
      <c r="F136" s="17"/>
      <c r="G136" s="17"/>
      <c r="H136" s="17"/>
      <c r="I136" s="17"/>
      <c r="J136" s="17"/>
      <c r="K136" s="17"/>
      <c r="L136" s="17"/>
      <c r="M136" s="17"/>
      <c r="N136" s="17"/>
      <c r="O136" s="17"/>
      <c r="P136" s="17"/>
      <c r="Q136" s="17"/>
      <c r="R136" s="17"/>
      <c r="S136" s="17"/>
      <c r="T136" s="17"/>
      <c r="U136" s="17"/>
      <c r="V136" s="12"/>
      <c r="W136" s="12"/>
      <c r="X136" s="12"/>
      <c r="Y136" s="12"/>
      <c r="Z136" s="12"/>
    </row>
    <row r="137" spans="1:26" ht="15" customHeight="1" x14ac:dyDescent="0.3">
      <c r="A137" s="26"/>
      <c r="B137" s="17"/>
      <c r="C137" s="17"/>
      <c r="D137" s="17"/>
      <c r="E137" s="17"/>
      <c r="F137" s="17"/>
      <c r="G137" s="17"/>
      <c r="H137" s="17"/>
      <c r="I137" s="17"/>
      <c r="J137" s="17"/>
      <c r="K137" s="17"/>
      <c r="L137" s="17"/>
      <c r="M137" s="17"/>
      <c r="N137" s="17"/>
      <c r="O137" s="17"/>
      <c r="P137" s="17"/>
      <c r="Q137" s="17"/>
      <c r="R137" s="17"/>
      <c r="S137" s="17"/>
      <c r="T137" s="17"/>
      <c r="U137" s="17"/>
      <c r="V137" s="12"/>
      <c r="W137" s="12"/>
      <c r="X137" s="12"/>
      <c r="Y137" s="12"/>
      <c r="Z137" s="12"/>
    </row>
    <row r="138" spans="1:26" ht="15" customHeight="1" x14ac:dyDescent="0.3">
      <c r="A138" s="26"/>
      <c r="B138" s="17"/>
      <c r="C138" s="17"/>
      <c r="D138" s="17"/>
      <c r="E138" s="17"/>
      <c r="F138" s="17"/>
      <c r="G138" s="17"/>
      <c r="H138" s="17"/>
      <c r="I138" s="17"/>
      <c r="J138" s="17"/>
      <c r="K138" s="17"/>
      <c r="L138" s="17"/>
      <c r="M138" s="17"/>
      <c r="N138" s="17"/>
      <c r="O138" s="17"/>
      <c r="P138" s="17"/>
      <c r="Q138" s="17"/>
      <c r="R138" s="17"/>
      <c r="S138" s="17"/>
      <c r="T138" s="17"/>
      <c r="U138" s="17"/>
      <c r="V138" s="12"/>
      <c r="W138" s="12"/>
      <c r="X138" s="12"/>
      <c r="Y138" s="12"/>
      <c r="Z138" s="12"/>
    </row>
    <row r="139" spans="1:26" ht="15" customHeight="1" x14ac:dyDescent="0.3">
      <c r="A139" s="26"/>
      <c r="B139" s="17"/>
      <c r="C139" s="17"/>
      <c r="D139" s="17"/>
      <c r="E139" s="17"/>
      <c r="F139" s="17"/>
      <c r="G139" s="17"/>
      <c r="H139" s="17"/>
      <c r="I139" s="17"/>
      <c r="J139" s="17"/>
      <c r="K139" s="17"/>
      <c r="L139" s="17"/>
      <c r="M139" s="17"/>
      <c r="N139" s="17"/>
      <c r="O139" s="17"/>
      <c r="P139" s="17"/>
      <c r="Q139" s="17"/>
      <c r="R139" s="17"/>
      <c r="S139" s="17"/>
      <c r="T139" s="17"/>
      <c r="U139" s="17"/>
      <c r="V139" s="12"/>
      <c r="W139" s="12"/>
      <c r="X139" s="12"/>
      <c r="Y139" s="12"/>
      <c r="Z139" s="12"/>
    </row>
    <row r="140" spans="1:26" ht="15" customHeight="1" x14ac:dyDescent="0.3">
      <c r="A140" s="26"/>
      <c r="B140" s="17"/>
      <c r="C140" s="17"/>
      <c r="D140" s="17"/>
      <c r="E140" s="17"/>
      <c r="F140" s="17"/>
      <c r="G140" s="17"/>
      <c r="H140" s="17"/>
      <c r="I140" s="17"/>
      <c r="J140" s="17"/>
      <c r="K140" s="17"/>
      <c r="L140" s="17"/>
      <c r="M140" s="17"/>
      <c r="N140" s="17"/>
      <c r="O140" s="17"/>
      <c r="P140" s="17"/>
      <c r="Q140" s="17"/>
      <c r="R140" s="17"/>
      <c r="S140" s="17"/>
      <c r="T140" s="17"/>
      <c r="U140" s="17"/>
      <c r="V140" s="12"/>
      <c r="W140" s="12"/>
      <c r="X140" s="12"/>
      <c r="Y140" s="12"/>
      <c r="Z140" s="12"/>
    </row>
    <row r="141" spans="1:26" ht="15" customHeight="1" x14ac:dyDescent="0.3">
      <c r="A141" s="26"/>
      <c r="B141" s="17"/>
      <c r="C141" s="17"/>
      <c r="D141" s="17"/>
      <c r="E141" s="17"/>
      <c r="F141" s="17"/>
      <c r="G141" s="17"/>
      <c r="H141" s="17"/>
      <c r="I141" s="17"/>
      <c r="J141" s="17"/>
      <c r="K141" s="17"/>
      <c r="L141" s="17"/>
      <c r="M141" s="17"/>
      <c r="N141" s="17"/>
      <c r="O141" s="17"/>
      <c r="P141" s="17"/>
      <c r="Q141" s="17"/>
      <c r="R141" s="17"/>
      <c r="S141" s="17"/>
      <c r="T141" s="17"/>
      <c r="U141" s="17"/>
      <c r="V141" s="12"/>
      <c r="W141" s="12"/>
      <c r="X141" s="12"/>
      <c r="Y141" s="12"/>
      <c r="Z141" s="12"/>
    </row>
    <row r="142" spans="1:26" ht="15" customHeight="1" x14ac:dyDescent="0.3">
      <c r="A142" s="26"/>
      <c r="B142" s="17"/>
      <c r="C142" s="17"/>
      <c r="D142" s="17"/>
      <c r="E142" s="17"/>
      <c r="F142" s="17"/>
      <c r="G142" s="17"/>
      <c r="H142" s="17"/>
      <c r="I142" s="17"/>
      <c r="J142" s="17"/>
      <c r="K142" s="17"/>
      <c r="L142" s="17"/>
      <c r="M142" s="17"/>
      <c r="N142" s="17"/>
      <c r="O142" s="17"/>
      <c r="P142" s="17"/>
      <c r="Q142" s="17"/>
      <c r="R142" s="17"/>
      <c r="S142" s="17"/>
      <c r="T142" s="17"/>
      <c r="U142" s="17"/>
      <c r="V142" s="12"/>
      <c r="W142" s="12"/>
      <c r="X142" s="12"/>
      <c r="Y142" s="12"/>
      <c r="Z142" s="12"/>
    </row>
    <row r="143" spans="1:26" ht="15" customHeight="1" x14ac:dyDescent="0.3">
      <c r="A143" s="26"/>
      <c r="B143" s="17"/>
      <c r="C143" s="17"/>
      <c r="D143" s="17"/>
      <c r="E143" s="17"/>
      <c r="F143" s="17"/>
      <c r="G143" s="17"/>
      <c r="H143" s="17"/>
      <c r="I143" s="17"/>
      <c r="J143" s="17"/>
      <c r="K143" s="17"/>
      <c r="L143" s="17"/>
      <c r="M143" s="17"/>
      <c r="N143" s="17"/>
      <c r="O143" s="17"/>
      <c r="P143" s="17"/>
      <c r="Q143" s="17"/>
      <c r="R143" s="17"/>
      <c r="S143" s="17"/>
      <c r="T143" s="17"/>
      <c r="U143" s="17"/>
      <c r="V143" s="12"/>
      <c r="W143" s="12"/>
      <c r="X143" s="12"/>
      <c r="Y143" s="12"/>
      <c r="Z143" s="12"/>
    </row>
    <row r="144" spans="1:26" ht="15" customHeight="1" x14ac:dyDescent="0.3">
      <c r="A144" s="26"/>
      <c r="B144" s="17"/>
      <c r="C144" s="17"/>
      <c r="D144" s="17"/>
      <c r="E144" s="17"/>
      <c r="F144" s="17"/>
      <c r="G144" s="17"/>
      <c r="H144" s="17"/>
      <c r="I144" s="17"/>
      <c r="J144" s="17"/>
      <c r="K144" s="17"/>
      <c r="L144" s="17"/>
      <c r="M144" s="17"/>
      <c r="N144" s="17"/>
      <c r="O144" s="17"/>
      <c r="P144" s="17"/>
      <c r="Q144" s="17"/>
      <c r="R144" s="17"/>
      <c r="S144" s="17"/>
      <c r="T144" s="17"/>
      <c r="U144" s="17"/>
      <c r="V144" s="12"/>
      <c r="W144" s="12"/>
      <c r="X144" s="12"/>
      <c r="Y144" s="12"/>
      <c r="Z144" s="12"/>
    </row>
    <row r="145" spans="1:26" ht="15" customHeight="1" x14ac:dyDescent="0.3">
      <c r="A145" s="26"/>
      <c r="B145" s="17"/>
      <c r="C145" s="17"/>
      <c r="D145" s="17"/>
      <c r="E145" s="17"/>
      <c r="F145" s="17"/>
      <c r="G145" s="17"/>
      <c r="H145" s="17"/>
      <c r="I145" s="17"/>
      <c r="J145" s="17"/>
      <c r="K145" s="17"/>
      <c r="L145" s="17"/>
      <c r="M145" s="17"/>
      <c r="N145" s="17"/>
      <c r="O145" s="17"/>
      <c r="P145" s="17"/>
      <c r="Q145" s="17"/>
      <c r="R145" s="17"/>
      <c r="S145" s="17"/>
      <c r="T145" s="17"/>
      <c r="U145" s="17"/>
      <c r="V145" s="12"/>
      <c r="W145" s="12"/>
      <c r="X145" s="12"/>
      <c r="Y145" s="12"/>
      <c r="Z145" s="12"/>
    </row>
    <row r="146" spans="1:26" ht="15" customHeight="1" x14ac:dyDescent="0.3">
      <c r="A146" s="26"/>
      <c r="B146" s="17"/>
      <c r="C146" s="17"/>
      <c r="D146" s="17"/>
      <c r="E146" s="17"/>
      <c r="F146" s="17"/>
      <c r="G146" s="17"/>
      <c r="H146" s="17"/>
      <c r="I146" s="17"/>
      <c r="J146" s="17"/>
      <c r="K146" s="17"/>
      <c r="L146" s="17"/>
      <c r="M146" s="17"/>
      <c r="N146" s="17"/>
      <c r="O146" s="17"/>
      <c r="P146" s="17"/>
      <c r="Q146" s="17"/>
      <c r="R146" s="17"/>
      <c r="S146" s="17"/>
      <c r="T146" s="17"/>
      <c r="U146" s="17"/>
      <c r="V146" s="12"/>
      <c r="W146" s="12"/>
      <c r="X146" s="12"/>
      <c r="Y146" s="12"/>
      <c r="Z146" s="12"/>
    </row>
    <row r="147" spans="1:26" ht="15" customHeight="1" x14ac:dyDescent="0.3">
      <c r="A147" s="26"/>
      <c r="B147" s="17"/>
      <c r="C147" s="17"/>
      <c r="D147" s="17"/>
      <c r="E147" s="17"/>
      <c r="F147" s="17"/>
      <c r="G147" s="17"/>
      <c r="H147" s="17"/>
      <c r="I147" s="17"/>
      <c r="J147" s="17"/>
      <c r="K147" s="17"/>
      <c r="L147" s="17"/>
      <c r="M147" s="17"/>
      <c r="N147" s="17"/>
      <c r="O147" s="17"/>
      <c r="P147" s="17"/>
      <c r="Q147" s="17"/>
      <c r="R147" s="17"/>
      <c r="S147" s="17"/>
      <c r="T147" s="17"/>
      <c r="U147" s="17"/>
      <c r="V147" s="12"/>
      <c r="W147" s="12"/>
      <c r="X147" s="12"/>
      <c r="Y147" s="12"/>
      <c r="Z147" s="12"/>
    </row>
    <row r="148" spans="1:26" ht="15" customHeight="1" x14ac:dyDescent="0.3">
      <c r="A148" s="26"/>
      <c r="B148" s="17"/>
      <c r="C148" s="17"/>
      <c r="D148" s="17"/>
      <c r="E148" s="17"/>
      <c r="F148" s="17"/>
      <c r="G148" s="17"/>
      <c r="H148" s="17"/>
      <c r="I148" s="17"/>
      <c r="J148" s="17"/>
      <c r="K148" s="17"/>
      <c r="L148" s="17"/>
      <c r="M148" s="17"/>
      <c r="N148" s="17"/>
      <c r="O148" s="17"/>
      <c r="P148" s="17"/>
      <c r="Q148" s="17"/>
      <c r="R148" s="17"/>
      <c r="S148" s="17"/>
      <c r="T148" s="17"/>
      <c r="U148" s="17"/>
      <c r="V148" s="12"/>
      <c r="W148" s="12"/>
      <c r="X148" s="12"/>
      <c r="Y148" s="12"/>
      <c r="Z148" s="12"/>
    </row>
    <row r="149" spans="1:26" ht="15" customHeight="1" x14ac:dyDescent="0.3">
      <c r="A149" s="26"/>
      <c r="B149" s="17"/>
      <c r="C149" s="17"/>
      <c r="D149" s="17"/>
      <c r="E149" s="17"/>
      <c r="F149" s="17"/>
      <c r="G149" s="17"/>
      <c r="H149" s="17"/>
      <c r="I149" s="17"/>
      <c r="J149" s="17"/>
      <c r="K149" s="17"/>
      <c r="L149" s="17"/>
      <c r="M149" s="17"/>
      <c r="N149" s="17"/>
      <c r="O149" s="17"/>
      <c r="P149" s="17"/>
      <c r="Q149" s="17"/>
      <c r="R149" s="17"/>
      <c r="S149" s="17"/>
      <c r="T149" s="17"/>
      <c r="U149" s="17"/>
      <c r="V149" s="12"/>
      <c r="W149" s="12"/>
      <c r="X149" s="12"/>
      <c r="Y149" s="12"/>
      <c r="Z149" s="12"/>
    </row>
    <row r="150" spans="1:26" ht="15" customHeight="1" x14ac:dyDescent="0.3">
      <c r="A150" s="26"/>
      <c r="B150" s="17"/>
      <c r="C150" s="17"/>
      <c r="D150" s="17"/>
      <c r="E150" s="17"/>
      <c r="F150" s="17"/>
      <c r="G150" s="17"/>
      <c r="H150" s="17"/>
      <c r="I150" s="17"/>
      <c r="J150" s="17"/>
      <c r="K150" s="17"/>
      <c r="L150" s="17"/>
      <c r="M150" s="17"/>
      <c r="N150" s="17"/>
      <c r="O150" s="17"/>
      <c r="P150" s="17"/>
      <c r="Q150" s="17"/>
      <c r="R150" s="17"/>
      <c r="S150" s="17"/>
      <c r="T150" s="17"/>
      <c r="U150" s="17"/>
      <c r="V150" s="12"/>
      <c r="W150" s="12"/>
      <c r="X150" s="12"/>
      <c r="Y150" s="12"/>
      <c r="Z150" s="12"/>
    </row>
    <row r="151" spans="1:26" ht="15" customHeight="1" x14ac:dyDescent="0.3">
      <c r="A151" s="26"/>
      <c r="B151" s="17"/>
      <c r="C151" s="17"/>
      <c r="D151" s="17"/>
      <c r="E151" s="17"/>
      <c r="F151" s="17"/>
      <c r="G151" s="17"/>
      <c r="H151" s="17"/>
      <c r="I151" s="17"/>
      <c r="J151" s="17"/>
      <c r="K151" s="17"/>
      <c r="L151" s="17"/>
      <c r="M151" s="17"/>
      <c r="N151" s="17"/>
      <c r="O151" s="17"/>
      <c r="P151" s="17"/>
      <c r="Q151" s="17"/>
      <c r="R151" s="17"/>
      <c r="S151" s="17"/>
      <c r="T151" s="17"/>
      <c r="U151" s="17"/>
      <c r="V151" s="12"/>
      <c r="W151" s="12"/>
      <c r="X151" s="12"/>
      <c r="Y151" s="12"/>
      <c r="Z151" s="12"/>
    </row>
    <row r="152" spans="1:26" ht="15" customHeight="1" x14ac:dyDescent="0.3">
      <c r="A152" s="26"/>
      <c r="B152" s="17"/>
      <c r="C152" s="17"/>
      <c r="D152" s="17"/>
      <c r="E152" s="17"/>
      <c r="F152" s="17"/>
      <c r="G152" s="17"/>
      <c r="H152" s="17"/>
      <c r="I152" s="17"/>
      <c r="J152" s="17"/>
      <c r="K152" s="17"/>
      <c r="L152" s="17"/>
      <c r="M152" s="17"/>
      <c r="N152" s="17"/>
      <c r="O152" s="17"/>
      <c r="P152" s="17"/>
      <c r="Q152" s="17"/>
      <c r="R152" s="17"/>
      <c r="S152" s="17"/>
      <c r="T152" s="17"/>
      <c r="U152" s="17"/>
      <c r="V152" s="12"/>
      <c r="W152" s="12"/>
      <c r="X152" s="12"/>
      <c r="Y152" s="12"/>
      <c r="Z152" s="12"/>
    </row>
    <row r="153" spans="1:26" ht="15" customHeight="1" x14ac:dyDescent="0.3">
      <c r="A153" s="26"/>
      <c r="B153" s="17"/>
      <c r="C153" s="17"/>
      <c r="D153" s="17"/>
      <c r="E153" s="17"/>
      <c r="F153" s="17"/>
      <c r="G153" s="17"/>
      <c r="H153" s="17"/>
      <c r="I153" s="17"/>
      <c r="J153" s="17"/>
      <c r="K153" s="17"/>
      <c r="L153" s="17"/>
      <c r="M153" s="17"/>
      <c r="N153" s="17"/>
      <c r="O153" s="17"/>
      <c r="P153" s="17"/>
      <c r="Q153" s="17"/>
      <c r="R153" s="17"/>
      <c r="S153" s="17"/>
      <c r="T153" s="17"/>
      <c r="U153" s="17"/>
      <c r="V153" s="12"/>
      <c r="W153" s="12"/>
      <c r="X153" s="12"/>
      <c r="Y153" s="12"/>
      <c r="Z153" s="12"/>
    </row>
    <row r="154" spans="1:26" ht="15" customHeight="1" x14ac:dyDescent="0.3">
      <c r="A154" s="26"/>
      <c r="B154" s="17"/>
      <c r="C154" s="17"/>
      <c r="D154" s="17"/>
      <c r="E154" s="17"/>
      <c r="F154" s="17"/>
      <c r="G154" s="17"/>
      <c r="H154" s="17"/>
      <c r="I154" s="17"/>
      <c r="J154" s="17"/>
      <c r="K154" s="17"/>
      <c r="L154" s="17"/>
      <c r="M154" s="17"/>
      <c r="N154" s="17"/>
      <c r="O154" s="17"/>
      <c r="P154" s="17"/>
      <c r="Q154" s="17"/>
      <c r="R154" s="17"/>
      <c r="S154" s="17"/>
      <c r="T154" s="17"/>
      <c r="U154" s="17"/>
      <c r="V154" s="12"/>
      <c r="W154" s="12"/>
      <c r="X154" s="12"/>
      <c r="Y154" s="12"/>
      <c r="Z154" s="12"/>
    </row>
    <row r="155" spans="1:26" ht="15" customHeight="1" x14ac:dyDescent="0.3">
      <c r="A155" s="26"/>
      <c r="B155" s="17"/>
      <c r="C155" s="17"/>
      <c r="D155" s="17"/>
      <c r="E155" s="17"/>
      <c r="F155" s="17"/>
      <c r="G155" s="17"/>
      <c r="H155" s="17"/>
      <c r="I155" s="17"/>
      <c r="J155" s="17"/>
      <c r="K155" s="17"/>
      <c r="L155" s="17"/>
      <c r="M155" s="17"/>
      <c r="N155" s="17"/>
      <c r="O155" s="17"/>
      <c r="P155" s="17"/>
      <c r="Q155" s="17"/>
      <c r="R155" s="17"/>
      <c r="S155" s="17"/>
      <c r="T155" s="17"/>
      <c r="U155" s="17"/>
      <c r="V155" s="12"/>
      <c r="W155" s="12"/>
      <c r="X155" s="12"/>
      <c r="Y155" s="12"/>
      <c r="Z155" s="12"/>
    </row>
    <row r="156" spans="1:26" ht="15" customHeight="1" x14ac:dyDescent="0.3">
      <c r="A156" s="26"/>
      <c r="B156" s="17"/>
      <c r="C156" s="17"/>
      <c r="D156" s="17"/>
      <c r="E156" s="17"/>
      <c r="F156" s="17"/>
      <c r="G156" s="17"/>
      <c r="H156" s="17"/>
      <c r="I156" s="17"/>
      <c r="J156" s="17"/>
      <c r="K156" s="17"/>
      <c r="L156" s="17"/>
      <c r="M156" s="17"/>
      <c r="N156" s="17"/>
      <c r="O156" s="17"/>
      <c r="P156" s="17"/>
      <c r="Q156" s="17"/>
      <c r="R156" s="17"/>
      <c r="S156" s="17"/>
      <c r="T156" s="17"/>
      <c r="U156" s="17"/>
      <c r="V156" s="12"/>
      <c r="W156" s="12"/>
      <c r="X156" s="12"/>
      <c r="Y156" s="12"/>
      <c r="Z156" s="12"/>
    </row>
    <row r="157" spans="1:26" ht="15" customHeight="1" x14ac:dyDescent="0.3">
      <c r="A157" s="26"/>
      <c r="B157" s="17"/>
      <c r="C157" s="17"/>
      <c r="D157" s="17"/>
      <c r="E157" s="17"/>
      <c r="F157" s="17"/>
      <c r="G157" s="17"/>
      <c r="H157" s="17"/>
      <c r="I157" s="17"/>
      <c r="J157" s="17"/>
      <c r="K157" s="17"/>
      <c r="L157" s="17"/>
      <c r="M157" s="17"/>
      <c r="N157" s="17"/>
      <c r="O157" s="17"/>
      <c r="P157" s="17"/>
      <c r="Q157" s="17"/>
      <c r="R157" s="17"/>
      <c r="S157" s="17"/>
      <c r="T157" s="17"/>
      <c r="U157" s="17"/>
      <c r="V157" s="12"/>
      <c r="W157" s="12"/>
      <c r="X157" s="12"/>
      <c r="Y157" s="12"/>
      <c r="Z157" s="12"/>
    </row>
    <row r="158" spans="1:26" ht="15" customHeight="1" x14ac:dyDescent="0.3">
      <c r="A158" s="26"/>
      <c r="B158" s="17"/>
      <c r="C158" s="17"/>
      <c r="D158" s="17"/>
      <c r="E158" s="17"/>
      <c r="F158" s="17"/>
      <c r="G158" s="17"/>
      <c r="H158" s="17"/>
      <c r="I158" s="17"/>
      <c r="J158" s="17"/>
      <c r="K158" s="17"/>
      <c r="L158" s="17"/>
      <c r="M158" s="17"/>
      <c r="N158" s="17"/>
      <c r="O158" s="17"/>
      <c r="P158" s="17"/>
      <c r="Q158" s="17"/>
      <c r="R158" s="17"/>
      <c r="S158" s="17"/>
      <c r="T158" s="17"/>
      <c r="U158" s="17"/>
      <c r="V158" s="12"/>
      <c r="W158" s="12"/>
      <c r="X158" s="12"/>
      <c r="Y158" s="12"/>
      <c r="Z158" s="12"/>
    </row>
    <row r="159" spans="1:26" ht="15" customHeight="1" x14ac:dyDescent="0.3">
      <c r="A159" s="26"/>
      <c r="B159" s="17"/>
      <c r="C159" s="17"/>
      <c r="D159" s="17"/>
      <c r="E159" s="17"/>
      <c r="F159" s="17"/>
      <c r="G159" s="17"/>
      <c r="H159" s="17"/>
      <c r="I159" s="17"/>
      <c r="J159" s="17"/>
      <c r="K159" s="17"/>
      <c r="L159" s="17"/>
      <c r="M159" s="17"/>
      <c r="N159" s="17"/>
      <c r="O159" s="17"/>
      <c r="P159" s="17"/>
      <c r="Q159" s="17"/>
      <c r="R159" s="17"/>
      <c r="S159" s="17"/>
      <c r="T159" s="17"/>
      <c r="U159" s="17"/>
      <c r="V159" s="12"/>
      <c r="W159" s="12"/>
      <c r="X159" s="12"/>
      <c r="Y159" s="12"/>
      <c r="Z159" s="12"/>
    </row>
    <row r="160" spans="1:26" ht="15" customHeight="1" x14ac:dyDescent="0.3">
      <c r="A160" s="27"/>
      <c r="B160" s="19"/>
      <c r="C160" s="19"/>
      <c r="D160" s="19"/>
      <c r="E160" s="19"/>
      <c r="F160" s="19"/>
      <c r="G160" s="19"/>
      <c r="H160" s="19"/>
      <c r="I160" s="19"/>
      <c r="J160" s="19"/>
      <c r="K160" s="17"/>
      <c r="L160" s="17"/>
      <c r="M160" s="17"/>
      <c r="N160" s="17"/>
      <c r="O160" s="17"/>
      <c r="P160" s="17"/>
      <c r="Q160" s="17"/>
      <c r="R160" s="17"/>
      <c r="S160" s="17"/>
      <c r="T160" s="17"/>
      <c r="U160" s="17"/>
      <c r="V160" s="12"/>
      <c r="W160" s="12"/>
      <c r="X160" s="12"/>
      <c r="Y160" s="12"/>
      <c r="Z160" s="12"/>
    </row>
    <row r="161" spans="1:26" ht="15" customHeight="1" x14ac:dyDescent="0.3">
      <c r="A161" s="26"/>
      <c r="B161" s="17"/>
      <c r="C161" s="17"/>
      <c r="D161" s="17"/>
      <c r="E161" s="17"/>
      <c r="F161" s="17"/>
      <c r="G161" s="17"/>
      <c r="H161" s="17"/>
      <c r="I161" s="17"/>
      <c r="J161" s="17"/>
      <c r="K161" s="17"/>
      <c r="L161" s="17"/>
      <c r="M161" s="17"/>
      <c r="N161" s="17"/>
      <c r="O161" s="17"/>
      <c r="P161" s="17"/>
      <c r="Q161" s="17"/>
      <c r="R161" s="17"/>
      <c r="S161" s="17"/>
      <c r="T161" s="17"/>
      <c r="U161" s="17"/>
      <c r="V161" s="12"/>
      <c r="W161" s="12"/>
      <c r="X161" s="12"/>
      <c r="Y161" s="12"/>
      <c r="Z161" s="12"/>
    </row>
    <row r="162" spans="1:26" ht="15" customHeight="1" x14ac:dyDescent="0.3">
      <c r="A162" s="26"/>
      <c r="B162" s="17"/>
      <c r="C162" s="17"/>
      <c r="D162" s="17"/>
      <c r="E162" s="17"/>
      <c r="F162" s="17"/>
      <c r="G162" s="17"/>
      <c r="H162" s="17"/>
      <c r="I162" s="17"/>
      <c r="J162" s="17"/>
      <c r="K162" s="17"/>
      <c r="L162" s="17"/>
      <c r="M162" s="17"/>
      <c r="N162" s="17"/>
      <c r="O162" s="17"/>
      <c r="P162" s="17"/>
      <c r="Q162" s="17"/>
      <c r="R162" s="17"/>
      <c r="S162" s="17"/>
      <c r="T162" s="17"/>
      <c r="U162" s="17"/>
      <c r="V162" s="12"/>
      <c r="W162" s="12"/>
      <c r="X162" s="12"/>
      <c r="Y162" s="12"/>
      <c r="Z162" s="12"/>
    </row>
    <row r="163" spans="1:26" ht="15" customHeight="1" x14ac:dyDescent="0.3">
      <c r="A163" s="26"/>
      <c r="B163" s="17"/>
      <c r="C163" s="17"/>
      <c r="D163" s="17"/>
      <c r="E163" s="17"/>
      <c r="F163" s="17"/>
      <c r="G163" s="17"/>
      <c r="H163" s="17"/>
      <c r="I163" s="17"/>
      <c r="J163" s="17"/>
      <c r="K163" s="17"/>
      <c r="L163" s="17"/>
      <c r="M163" s="17"/>
      <c r="N163" s="17"/>
      <c r="O163" s="17"/>
      <c r="P163" s="17"/>
      <c r="Q163" s="17"/>
      <c r="R163" s="17"/>
      <c r="S163" s="17"/>
      <c r="T163" s="17"/>
      <c r="U163" s="17"/>
      <c r="V163" s="12"/>
      <c r="W163" s="12"/>
      <c r="X163" s="12"/>
      <c r="Y163" s="12"/>
      <c r="Z163" s="12"/>
    </row>
    <row r="164" spans="1:26" ht="15" customHeight="1" x14ac:dyDescent="0.3">
      <c r="A164" s="26"/>
      <c r="B164" s="17"/>
      <c r="C164" s="17"/>
      <c r="D164" s="17"/>
      <c r="E164" s="17"/>
      <c r="F164" s="17"/>
      <c r="G164" s="17"/>
      <c r="H164" s="17"/>
      <c r="I164" s="17"/>
      <c r="J164" s="17"/>
      <c r="K164" s="17"/>
      <c r="L164" s="17"/>
      <c r="M164" s="17"/>
      <c r="N164" s="17"/>
      <c r="O164" s="17"/>
      <c r="P164" s="17"/>
      <c r="Q164" s="17"/>
      <c r="R164" s="17"/>
      <c r="S164" s="17"/>
      <c r="T164" s="17"/>
      <c r="U164" s="17"/>
      <c r="V164" s="12"/>
      <c r="W164" s="12"/>
      <c r="X164" s="12"/>
      <c r="Y164" s="12"/>
      <c r="Z164" s="12"/>
    </row>
    <row r="165" spans="1:26" ht="15" customHeight="1" x14ac:dyDescent="0.3">
      <c r="A165" s="26"/>
      <c r="B165" s="17"/>
      <c r="C165" s="17"/>
      <c r="D165" s="17"/>
      <c r="E165" s="17"/>
      <c r="F165" s="17"/>
      <c r="G165" s="17"/>
      <c r="H165" s="17"/>
      <c r="I165" s="17"/>
      <c r="J165" s="17"/>
      <c r="K165" s="17"/>
      <c r="L165" s="17"/>
      <c r="M165" s="17"/>
      <c r="N165" s="17"/>
      <c r="O165" s="17"/>
      <c r="P165" s="17"/>
      <c r="Q165" s="17"/>
      <c r="R165" s="17"/>
      <c r="S165" s="17"/>
      <c r="T165" s="17"/>
      <c r="U165" s="17"/>
      <c r="V165" s="12"/>
      <c r="W165" s="12"/>
      <c r="X165" s="12"/>
      <c r="Y165" s="12"/>
      <c r="Z165" s="12"/>
    </row>
    <row r="166" spans="1:26" ht="15" customHeight="1" x14ac:dyDescent="0.3">
      <c r="A166" s="26"/>
      <c r="B166" s="17"/>
      <c r="C166" s="17"/>
      <c r="D166" s="17"/>
      <c r="E166" s="17"/>
      <c r="F166" s="17"/>
      <c r="G166" s="17"/>
      <c r="H166" s="17"/>
      <c r="I166" s="17"/>
      <c r="J166" s="17"/>
      <c r="K166" s="17"/>
      <c r="L166" s="17"/>
      <c r="M166" s="17"/>
      <c r="N166" s="17"/>
      <c r="O166" s="17"/>
      <c r="P166" s="17"/>
      <c r="Q166" s="17"/>
      <c r="R166" s="17"/>
      <c r="S166" s="17"/>
      <c r="T166" s="17"/>
      <c r="U166" s="17"/>
      <c r="V166" s="12"/>
      <c r="W166" s="12"/>
      <c r="X166" s="12"/>
      <c r="Y166" s="12"/>
      <c r="Z166" s="12"/>
    </row>
    <row r="167" spans="1:26" ht="15" customHeight="1" x14ac:dyDescent="0.3">
      <c r="A167" s="26"/>
      <c r="B167" s="17"/>
      <c r="C167" s="17"/>
      <c r="D167" s="17"/>
      <c r="E167" s="17"/>
      <c r="F167" s="17"/>
      <c r="G167" s="17"/>
      <c r="H167" s="17"/>
      <c r="I167" s="17"/>
      <c r="J167" s="17"/>
      <c r="K167" s="17"/>
      <c r="L167" s="17"/>
      <c r="M167" s="17"/>
      <c r="N167" s="17"/>
      <c r="O167" s="17"/>
      <c r="P167" s="17"/>
      <c r="Q167" s="17"/>
      <c r="R167" s="17"/>
      <c r="S167" s="17"/>
      <c r="T167" s="17"/>
      <c r="U167" s="17"/>
      <c r="V167" s="12"/>
      <c r="W167" s="12"/>
      <c r="X167" s="12"/>
      <c r="Y167" s="12"/>
      <c r="Z167" s="12"/>
    </row>
    <row r="168" spans="1:26" ht="15" customHeight="1" x14ac:dyDescent="0.3">
      <c r="A168" s="26"/>
      <c r="B168" s="17"/>
      <c r="C168" s="17"/>
      <c r="D168" s="17"/>
      <c r="E168" s="17"/>
      <c r="F168" s="17"/>
      <c r="G168" s="17"/>
      <c r="H168" s="17"/>
      <c r="I168" s="17"/>
      <c r="J168" s="17"/>
      <c r="K168" s="17"/>
      <c r="L168" s="17"/>
      <c r="M168" s="17"/>
      <c r="N168" s="17"/>
      <c r="O168" s="17"/>
      <c r="P168" s="17"/>
      <c r="Q168" s="17"/>
      <c r="R168" s="17"/>
      <c r="S168" s="17"/>
      <c r="T168" s="17"/>
      <c r="U168" s="17"/>
      <c r="V168" s="12"/>
      <c r="W168" s="12"/>
      <c r="X168" s="12"/>
      <c r="Y168" s="12"/>
      <c r="Z168" s="12"/>
    </row>
    <row r="169" spans="1:26" ht="15" customHeight="1" x14ac:dyDescent="0.3">
      <c r="A169" s="26"/>
      <c r="B169" s="17"/>
      <c r="C169" s="17"/>
      <c r="D169" s="17"/>
      <c r="E169" s="17"/>
      <c r="F169" s="17"/>
      <c r="G169" s="17"/>
      <c r="H169" s="17"/>
      <c r="I169" s="17"/>
      <c r="J169" s="17"/>
      <c r="K169" s="17"/>
      <c r="L169" s="17"/>
      <c r="M169" s="17"/>
      <c r="N169" s="17"/>
      <c r="O169" s="17"/>
      <c r="P169" s="17"/>
      <c r="Q169" s="17"/>
      <c r="R169" s="17"/>
      <c r="S169" s="17"/>
      <c r="T169" s="17"/>
      <c r="U169" s="17"/>
      <c r="V169" s="12"/>
      <c r="W169" s="12"/>
      <c r="X169" s="12"/>
      <c r="Y169" s="12"/>
      <c r="Z169" s="12"/>
    </row>
    <row r="170" spans="1:26" ht="15" customHeight="1" x14ac:dyDescent="0.3">
      <c r="A170" s="26"/>
      <c r="B170" s="17"/>
      <c r="C170" s="17"/>
      <c r="D170" s="17"/>
      <c r="E170" s="17"/>
      <c r="F170" s="17"/>
      <c r="G170" s="17"/>
      <c r="H170" s="17"/>
      <c r="I170" s="17"/>
      <c r="J170" s="17"/>
      <c r="K170" s="17"/>
      <c r="L170" s="17"/>
      <c r="M170" s="17"/>
      <c r="N170" s="17"/>
      <c r="O170" s="17"/>
      <c r="P170" s="17"/>
      <c r="Q170" s="17"/>
      <c r="R170" s="17"/>
      <c r="S170" s="17"/>
      <c r="T170" s="17"/>
      <c r="U170" s="17"/>
      <c r="V170" s="12"/>
      <c r="W170" s="12"/>
      <c r="X170" s="12"/>
      <c r="Y170" s="12"/>
      <c r="Z170" s="12"/>
    </row>
    <row r="171" spans="1:26" ht="15" customHeight="1" x14ac:dyDescent="0.3">
      <c r="A171" s="26"/>
      <c r="B171" s="17"/>
      <c r="C171" s="17"/>
      <c r="D171" s="17"/>
      <c r="E171" s="17"/>
      <c r="F171" s="17"/>
      <c r="G171" s="17"/>
      <c r="H171" s="17"/>
      <c r="I171" s="17"/>
      <c r="J171" s="17"/>
      <c r="K171" s="17"/>
      <c r="L171" s="17"/>
      <c r="M171" s="17"/>
      <c r="N171" s="17"/>
      <c r="O171" s="17"/>
      <c r="P171" s="17"/>
      <c r="Q171" s="17"/>
      <c r="R171" s="17"/>
      <c r="S171" s="17"/>
      <c r="T171" s="17"/>
      <c r="U171" s="17"/>
      <c r="V171" s="12"/>
      <c r="W171" s="12"/>
      <c r="X171" s="12"/>
      <c r="Y171" s="12"/>
      <c r="Z171" s="12"/>
    </row>
    <row r="172" spans="1:26" ht="15" customHeight="1" x14ac:dyDescent="0.3">
      <c r="A172" s="26"/>
      <c r="B172" s="17"/>
      <c r="C172" s="17"/>
      <c r="D172" s="17"/>
      <c r="E172" s="17"/>
      <c r="F172" s="17"/>
      <c r="G172" s="17"/>
      <c r="H172" s="17"/>
      <c r="I172" s="17"/>
      <c r="J172" s="17"/>
      <c r="K172" s="17"/>
      <c r="L172" s="17"/>
      <c r="M172" s="17"/>
      <c r="N172" s="17"/>
      <c r="O172" s="17"/>
      <c r="P172" s="17"/>
      <c r="Q172" s="17"/>
      <c r="R172" s="17"/>
      <c r="S172" s="17"/>
      <c r="T172" s="17"/>
      <c r="U172" s="17"/>
      <c r="V172" s="12"/>
      <c r="W172" s="12"/>
      <c r="X172" s="12"/>
      <c r="Y172" s="12"/>
      <c r="Z172" s="12"/>
    </row>
    <row r="173" spans="1:26" ht="15" customHeight="1" x14ac:dyDescent="0.3">
      <c r="A173" s="26"/>
      <c r="B173" s="17"/>
      <c r="C173" s="17"/>
      <c r="D173" s="17"/>
      <c r="E173" s="17"/>
      <c r="F173" s="17"/>
      <c r="G173" s="17"/>
      <c r="H173" s="17"/>
      <c r="I173" s="17"/>
      <c r="J173" s="17"/>
      <c r="K173" s="17"/>
      <c r="L173" s="17"/>
      <c r="M173" s="17"/>
      <c r="N173" s="17"/>
      <c r="O173" s="17"/>
      <c r="P173" s="17"/>
      <c r="Q173" s="17"/>
      <c r="R173" s="17"/>
      <c r="S173" s="17"/>
      <c r="T173" s="17"/>
      <c r="U173" s="17"/>
      <c r="V173" s="12"/>
      <c r="W173" s="12"/>
      <c r="X173" s="12"/>
      <c r="Y173" s="12"/>
      <c r="Z173" s="12"/>
    </row>
    <row r="174" spans="1:26" ht="15" customHeight="1" x14ac:dyDescent="0.3">
      <c r="A174" s="27"/>
      <c r="B174" s="19"/>
      <c r="C174" s="19"/>
      <c r="D174" s="19"/>
      <c r="E174" s="19"/>
      <c r="F174" s="19"/>
      <c r="G174" s="19"/>
      <c r="H174" s="19"/>
      <c r="I174" s="19"/>
      <c r="J174" s="19"/>
      <c r="K174" s="17"/>
      <c r="L174" s="17"/>
      <c r="M174" s="17"/>
      <c r="N174" s="17"/>
      <c r="O174" s="17"/>
      <c r="P174" s="17"/>
      <c r="Q174" s="17"/>
      <c r="R174" s="17"/>
      <c r="S174" s="17"/>
      <c r="T174" s="17"/>
      <c r="U174" s="17"/>
      <c r="V174" s="12"/>
      <c r="W174" s="12"/>
      <c r="X174" s="12"/>
      <c r="Y174" s="12"/>
      <c r="Z174" s="12"/>
    </row>
    <row r="175" spans="1:26" ht="15" customHeight="1" x14ac:dyDescent="0.3">
      <c r="A175" s="26"/>
      <c r="B175" s="17"/>
      <c r="C175" s="17"/>
      <c r="D175" s="17"/>
      <c r="E175" s="17"/>
      <c r="F175" s="17"/>
      <c r="G175" s="17"/>
      <c r="H175" s="17"/>
      <c r="I175" s="17"/>
      <c r="J175" s="17"/>
      <c r="K175" s="17"/>
      <c r="L175" s="17"/>
      <c r="M175" s="17"/>
      <c r="N175" s="17"/>
      <c r="O175" s="17"/>
      <c r="P175" s="17"/>
      <c r="Q175" s="17"/>
      <c r="R175" s="17"/>
      <c r="S175" s="17"/>
      <c r="T175" s="17"/>
      <c r="U175" s="17"/>
      <c r="V175" s="12"/>
      <c r="W175" s="12"/>
      <c r="X175" s="12"/>
      <c r="Y175" s="12"/>
      <c r="Z175" s="12"/>
    </row>
    <row r="176" spans="1:26" ht="15" customHeight="1" x14ac:dyDescent="0.3">
      <c r="A176" s="26"/>
      <c r="B176" s="17"/>
      <c r="C176" s="17"/>
      <c r="D176" s="17"/>
      <c r="E176" s="17"/>
      <c r="F176" s="17"/>
      <c r="G176" s="17"/>
      <c r="H176" s="17"/>
      <c r="I176" s="17"/>
      <c r="J176" s="17"/>
      <c r="K176" s="17"/>
      <c r="L176" s="17"/>
      <c r="M176" s="17"/>
      <c r="N176" s="17"/>
      <c r="O176" s="17"/>
      <c r="P176" s="17"/>
      <c r="Q176" s="17"/>
      <c r="R176" s="17"/>
      <c r="S176" s="17"/>
      <c r="T176" s="17"/>
      <c r="U176" s="17"/>
      <c r="V176" s="12"/>
      <c r="W176" s="12"/>
      <c r="X176" s="12"/>
      <c r="Y176" s="12"/>
      <c r="Z176" s="12"/>
    </row>
    <row r="177" spans="1:26" ht="15" customHeight="1" x14ac:dyDescent="0.3">
      <c r="A177" s="26"/>
      <c r="B177" s="17"/>
      <c r="C177" s="17"/>
      <c r="D177" s="17"/>
      <c r="E177" s="17"/>
      <c r="F177" s="17"/>
      <c r="G177" s="17"/>
      <c r="H177" s="17"/>
      <c r="I177" s="17"/>
      <c r="J177" s="17"/>
      <c r="K177" s="17"/>
      <c r="L177" s="17"/>
      <c r="M177" s="17"/>
      <c r="N177" s="17"/>
      <c r="O177" s="17"/>
      <c r="P177" s="17"/>
      <c r="Q177" s="17"/>
      <c r="R177" s="17"/>
      <c r="S177" s="17"/>
      <c r="T177" s="17"/>
      <c r="U177" s="17"/>
      <c r="V177" s="12"/>
      <c r="W177" s="12"/>
      <c r="X177" s="12"/>
      <c r="Y177" s="12"/>
      <c r="Z177" s="12"/>
    </row>
    <row r="178" spans="1:26" ht="15" customHeight="1" x14ac:dyDescent="0.3">
      <c r="A178" s="26"/>
      <c r="B178" s="17"/>
      <c r="C178" s="17"/>
      <c r="D178" s="17"/>
      <c r="E178" s="17"/>
      <c r="F178" s="17"/>
      <c r="G178" s="17"/>
      <c r="H178" s="17"/>
      <c r="I178" s="17"/>
      <c r="J178" s="17"/>
      <c r="K178" s="17"/>
      <c r="L178" s="17"/>
      <c r="M178" s="17"/>
      <c r="N178" s="17"/>
      <c r="O178" s="17"/>
      <c r="P178" s="17"/>
      <c r="Q178" s="17"/>
      <c r="R178" s="17"/>
      <c r="S178" s="17"/>
      <c r="T178" s="17"/>
      <c r="U178" s="17"/>
      <c r="V178" s="12"/>
      <c r="W178" s="12"/>
      <c r="X178" s="12"/>
      <c r="Y178" s="12"/>
      <c r="Z178" s="12"/>
    </row>
    <row r="179" spans="1:26" ht="15" customHeight="1" x14ac:dyDescent="0.3">
      <c r="A179" s="26"/>
      <c r="B179" s="17"/>
      <c r="C179" s="17"/>
      <c r="D179" s="17"/>
      <c r="E179" s="17"/>
      <c r="F179" s="17"/>
      <c r="G179" s="17"/>
      <c r="H179" s="17"/>
      <c r="I179" s="17"/>
      <c r="J179" s="17"/>
      <c r="K179" s="17"/>
      <c r="L179" s="17"/>
      <c r="M179" s="17"/>
      <c r="N179" s="17"/>
      <c r="O179" s="17"/>
      <c r="P179" s="17"/>
      <c r="Q179" s="17"/>
      <c r="R179" s="17"/>
      <c r="S179" s="17"/>
      <c r="T179" s="17"/>
      <c r="U179" s="17"/>
      <c r="V179" s="12"/>
      <c r="W179" s="12"/>
      <c r="X179" s="12"/>
      <c r="Y179" s="12"/>
      <c r="Z179" s="12"/>
    </row>
    <row r="180" spans="1:26" ht="15" customHeight="1" x14ac:dyDescent="0.3">
      <c r="A180" s="26"/>
      <c r="B180" s="17"/>
      <c r="C180" s="17"/>
      <c r="D180" s="17"/>
      <c r="E180" s="17"/>
      <c r="F180" s="17"/>
      <c r="G180" s="17"/>
      <c r="H180" s="17"/>
      <c r="I180" s="17"/>
      <c r="J180" s="17"/>
      <c r="K180" s="17"/>
      <c r="L180" s="17"/>
      <c r="M180" s="17"/>
      <c r="N180" s="17"/>
      <c r="O180" s="17"/>
      <c r="P180" s="17"/>
      <c r="Q180" s="17"/>
      <c r="R180" s="17"/>
      <c r="S180" s="17"/>
      <c r="T180" s="17"/>
      <c r="U180" s="17"/>
      <c r="V180" s="12"/>
      <c r="W180" s="12"/>
      <c r="X180" s="12"/>
      <c r="Y180" s="12"/>
      <c r="Z180" s="12"/>
    </row>
    <row r="181" spans="1:26" ht="15" customHeight="1" x14ac:dyDescent="0.3">
      <c r="A181" s="26"/>
      <c r="B181" s="17"/>
      <c r="C181" s="17"/>
      <c r="D181" s="17"/>
      <c r="E181" s="17"/>
      <c r="F181" s="17"/>
      <c r="G181" s="17"/>
      <c r="H181" s="17"/>
      <c r="I181" s="17"/>
      <c r="J181" s="17"/>
      <c r="K181" s="17"/>
      <c r="L181" s="17"/>
      <c r="M181" s="17"/>
      <c r="N181" s="17"/>
      <c r="O181" s="17"/>
      <c r="P181" s="17"/>
      <c r="Q181" s="17"/>
      <c r="R181" s="17"/>
      <c r="S181" s="17"/>
      <c r="T181" s="17"/>
      <c r="U181" s="17"/>
      <c r="V181" s="12"/>
      <c r="W181" s="12"/>
      <c r="X181" s="12"/>
      <c r="Y181" s="12"/>
      <c r="Z181" s="12"/>
    </row>
    <row r="182" spans="1:26" ht="15" customHeight="1" x14ac:dyDescent="0.3">
      <c r="A182" s="26"/>
      <c r="B182" s="17"/>
      <c r="C182" s="17"/>
      <c r="D182" s="17"/>
      <c r="E182" s="17"/>
      <c r="F182" s="17"/>
      <c r="G182" s="17"/>
      <c r="H182" s="17"/>
      <c r="I182" s="17"/>
      <c r="J182" s="17"/>
      <c r="K182" s="17"/>
      <c r="L182" s="17"/>
      <c r="M182" s="17"/>
      <c r="N182" s="17"/>
      <c r="O182" s="17"/>
      <c r="P182" s="17"/>
      <c r="Q182" s="17"/>
      <c r="R182" s="17"/>
      <c r="S182" s="17"/>
      <c r="T182" s="17"/>
      <c r="U182" s="17"/>
      <c r="V182" s="12"/>
      <c r="W182" s="12"/>
      <c r="X182" s="12"/>
      <c r="Y182" s="12"/>
      <c r="Z182" s="12"/>
    </row>
    <row r="183" spans="1:26" ht="15" customHeight="1" x14ac:dyDescent="0.3">
      <c r="A183" s="26"/>
      <c r="B183" s="17"/>
      <c r="C183" s="17"/>
      <c r="D183" s="17"/>
      <c r="E183" s="17"/>
      <c r="F183" s="17"/>
      <c r="G183" s="17"/>
      <c r="H183" s="17"/>
      <c r="I183" s="17"/>
      <c r="J183" s="17"/>
      <c r="K183" s="17"/>
      <c r="L183" s="17"/>
      <c r="M183" s="17"/>
      <c r="N183" s="17"/>
      <c r="O183" s="17"/>
      <c r="P183" s="17"/>
      <c r="Q183" s="17"/>
      <c r="R183" s="17"/>
      <c r="S183" s="17"/>
      <c r="T183" s="17"/>
      <c r="U183" s="17"/>
      <c r="V183" s="12"/>
      <c r="W183" s="12"/>
      <c r="X183" s="12"/>
      <c r="Y183" s="12"/>
      <c r="Z183" s="12"/>
    </row>
    <row r="184" spans="1:26" ht="15" customHeight="1" x14ac:dyDescent="0.3">
      <c r="A184" s="26"/>
      <c r="B184" s="17"/>
      <c r="C184" s="17"/>
      <c r="D184" s="17"/>
      <c r="E184" s="17"/>
      <c r="F184" s="17"/>
      <c r="G184" s="17"/>
      <c r="H184" s="17"/>
      <c r="I184" s="17"/>
      <c r="J184" s="17"/>
      <c r="K184" s="17"/>
      <c r="L184" s="17"/>
      <c r="M184" s="17"/>
      <c r="N184" s="17"/>
      <c r="O184" s="17"/>
      <c r="P184" s="17"/>
      <c r="Q184" s="17"/>
      <c r="R184" s="17"/>
      <c r="S184" s="17"/>
      <c r="T184" s="17"/>
      <c r="U184" s="17"/>
      <c r="V184" s="12"/>
      <c r="W184" s="12"/>
      <c r="X184" s="12"/>
      <c r="Y184" s="12"/>
      <c r="Z184" s="12"/>
    </row>
    <row r="185" spans="1:26" ht="15" customHeight="1" x14ac:dyDescent="0.3">
      <c r="A185" s="26"/>
      <c r="B185" s="17"/>
      <c r="C185" s="17"/>
      <c r="D185" s="17"/>
      <c r="E185" s="17"/>
      <c r="F185" s="17"/>
      <c r="G185" s="17"/>
      <c r="H185" s="17"/>
      <c r="I185" s="17"/>
      <c r="J185" s="17"/>
      <c r="K185" s="17"/>
      <c r="L185" s="17"/>
      <c r="M185" s="17"/>
      <c r="N185" s="17"/>
      <c r="O185" s="17"/>
      <c r="P185" s="17"/>
      <c r="Q185" s="17"/>
      <c r="R185" s="17"/>
      <c r="S185" s="17"/>
      <c r="T185" s="17"/>
      <c r="U185" s="17"/>
      <c r="V185" s="12"/>
      <c r="W185" s="12"/>
      <c r="X185" s="12"/>
      <c r="Y185" s="12"/>
      <c r="Z185" s="12"/>
    </row>
    <row r="186" spans="1:26" ht="15" customHeight="1" x14ac:dyDescent="0.3">
      <c r="A186" s="26"/>
      <c r="B186" s="17"/>
      <c r="C186" s="17"/>
      <c r="D186" s="17"/>
      <c r="E186" s="17"/>
      <c r="F186" s="17"/>
      <c r="G186" s="17"/>
      <c r="H186" s="17"/>
      <c r="I186" s="17"/>
      <c r="J186" s="17"/>
      <c r="K186" s="17"/>
      <c r="L186" s="17"/>
      <c r="M186" s="17"/>
      <c r="N186" s="17"/>
      <c r="O186" s="17"/>
      <c r="P186" s="17"/>
      <c r="Q186" s="17"/>
      <c r="R186" s="17"/>
      <c r="S186" s="17"/>
      <c r="T186" s="17"/>
      <c r="U186" s="17"/>
      <c r="V186" s="12"/>
      <c r="W186" s="12"/>
      <c r="X186" s="12"/>
      <c r="Y186" s="12"/>
      <c r="Z186" s="12"/>
    </row>
    <row r="187" spans="1:26" ht="15" customHeight="1" x14ac:dyDescent="0.3">
      <c r="A187" s="26"/>
      <c r="B187" s="17"/>
      <c r="C187" s="17"/>
      <c r="D187" s="17"/>
      <c r="E187" s="17"/>
      <c r="F187" s="17"/>
      <c r="G187" s="17"/>
      <c r="H187" s="17"/>
      <c r="I187" s="17"/>
      <c r="J187" s="17"/>
      <c r="K187" s="17"/>
      <c r="L187" s="17"/>
      <c r="M187" s="17"/>
      <c r="N187" s="17"/>
      <c r="O187" s="17"/>
      <c r="P187" s="17"/>
      <c r="Q187" s="17"/>
      <c r="R187" s="17"/>
      <c r="S187" s="17"/>
      <c r="T187" s="17"/>
      <c r="U187" s="17"/>
      <c r="V187" s="12"/>
      <c r="W187" s="12"/>
      <c r="X187" s="12"/>
      <c r="Y187" s="12"/>
      <c r="Z187" s="12"/>
    </row>
    <row r="188" spans="1:26" ht="15" customHeight="1" x14ac:dyDescent="0.3">
      <c r="A188" s="26"/>
      <c r="B188" s="17"/>
      <c r="C188" s="17"/>
      <c r="D188" s="17"/>
      <c r="E188" s="17"/>
      <c r="F188" s="17"/>
      <c r="G188" s="17"/>
      <c r="H188" s="17"/>
      <c r="I188" s="17"/>
      <c r="J188" s="17"/>
      <c r="K188" s="17"/>
      <c r="L188" s="17"/>
      <c r="M188" s="17"/>
      <c r="N188" s="17"/>
      <c r="O188" s="17"/>
      <c r="P188" s="17"/>
      <c r="Q188" s="17"/>
      <c r="R188" s="17"/>
      <c r="S188" s="17"/>
      <c r="T188" s="17"/>
      <c r="U188" s="17"/>
      <c r="V188" s="12"/>
      <c r="W188" s="12"/>
      <c r="X188" s="12"/>
      <c r="Y188" s="12"/>
      <c r="Z188" s="12"/>
    </row>
    <row r="189" spans="1:26" ht="15" customHeight="1" x14ac:dyDescent="0.3">
      <c r="A189" s="26"/>
      <c r="B189" s="17"/>
      <c r="C189" s="17"/>
      <c r="D189" s="17"/>
      <c r="E189" s="17"/>
      <c r="F189" s="17"/>
      <c r="G189" s="17"/>
      <c r="H189" s="17"/>
      <c r="I189" s="17"/>
      <c r="J189" s="17"/>
      <c r="K189" s="17"/>
      <c r="L189" s="17"/>
      <c r="M189" s="17"/>
      <c r="N189" s="17"/>
      <c r="O189" s="17"/>
      <c r="P189" s="17"/>
      <c r="Q189" s="17"/>
      <c r="R189" s="17"/>
      <c r="S189" s="17"/>
      <c r="T189" s="17"/>
      <c r="U189" s="17"/>
      <c r="V189" s="12"/>
      <c r="W189" s="12"/>
      <c r="X189" s="12"/>
      <c r="Y189" s="12"/>
      <c r="Z189" s="12"/>
    </row>
    <row r="190" spans="1:26" ht="15" customHeight="1" x14ac:dyDescent="0.3">
      <c r="A190" s="26"/>
      <c r="B190" s="17"/>
      <c r="C190" s="17"/>
      <c r="D190" s="17"/>
      <c r="E190" s="17"/>
      <c r="F190" s="17"/>
      <c r="G190" s="17"/>
      <c r="H190" s="17"/>
      <c r="I190" s="17"/>
      <c r="J190" s="17"/>
      <c r="K190" s="17"/>
      <c r="L190" s="17"/>
      <c r="M190" s="17"/>
      <c r="N190" s="17"/>
      <c r="O190" s="17"/>
      <c r="P190" s="17"/>
      <c r="Q190" s="17"/>
      <c r="R190" s="17"/>
      <c r="S190" s="17"/>
      <c r="T190" s="17"/>
      <c r="U190" s="17"/>
      <c r="V190" s="12"/>
      <c r="W190" s="12"/>
      <c r="X190" s="12"/>
      <c r="Y190" s="12"/>
      <c r="Z190" s="12"/>
    </row>
    <row r="191" spans="1:26" ht="15" customHeight="1" x14ac:dyDescent="0.3">
      <c r="A191" s="26"/>
      <c r="B191" s="17"/>
      <c r="C191" s="17"/>
      <c r="D191" s="17"/>
      <c r="E191" s="17"/>
      <c r="F191" s="17"/>
      <c r="G191" s="17"/>
      <c r="H191" s="17"/>
      <c r="I191" s="17"/>
      <c r="J191" s="17"/>
      <c r="K191" s="17"/>
      <c r="L191" s="17"/>
      <c r="M191" s="17"/>
      <c r="N191" s="17"/>
      <c r="O191" s="17"/>
      <c r="P191" s="17"/>
      <c r="Q191" s="17"/>
      <c r="R191" s="17"/>
      <c r="S191" s="17"/>
      <c r="T191" s="17"/>
      <c r="U191" s="17"/>
      <c r="V191" s="12"/>
      <c r="W191" s="12"/>
      <c r="X191" s="12"/>
      <c r="Y191" s="12"/>
      <c r="Z191" s="12"/>
    </row>
    <row r="192" spans="1:26" ht="15" customHeight="1" x14ac:dyDescent="0.3">
      <c r="A192" s="26"/>
      <c r="B192" s="17"/>
      <c r="C192" s="17"/>
      <c r="D192" s="17"/>
      <c r="E192" s="17"/>
      <c r="F192" s="17"/>
      <c r="G192" s="17"/>
      <c r="H192" s="17"/>
      <c r="I192" s="17"/>
      <c r="J192" s="17"/>
      <c r="K192" s="17"/>
      <c r="L192" s="17"/>
      <c r="M192" s="17"/>
      <c r="N192" s="17"/>
      <c r="O192" s="17"/>
      <c r="P192" s="17"/>
      <c r="Q192" s="17"/>
      <c r="R192" s="17"/>
      <c r="S192" s="17"/>
      <c r="T192" s="17"/>
      <c r="U192" s="17"/>
      <c r="V192" s="12"/>
      <c r="W192" s="12"/>
      <c r="X192" s="12"/>
      <c r="Y192" s="12"/>
      <c r="Z192" s="12"/>
    </row>
    <row r="193" spans="1:26" ht="15" customHeight="1" x14ac:dyDescent="0.3">
      <c r="A193" s="26"/>
      <c r="B193" s="17"/>
      <c r="C193" s="17"/>
      <c r="D193" s="17"/>
      <c r="E193" s="17"/>
      <c r="F193" s="17"/>
      <c r="G193" s="17"/>
      <c r="H193" s="17"/>
      <c r="I193" s="17"/>
      <c r="J193" s="17"/>
      <c r="K193" s="17"/>
      <c r="L193" s="17"/>
      <c r="M193" s="17"/>
      <c r="N193" s="17"/>
      <c r="O193" s="17"/>
      <c r="P193" s="17"/>
      <c r="Q193" s="17"/>
      <c r="R193" s="17"/>
      <c r="S193" s="17"/>
      <c r="T193" s="17"/>
      <c r="U193" s="17"/>
      <c r="V193" s="12"/>
      <c r="W193" s="12"/>
      <c r="X193" s="12"/>
      <c r="Y193" s="12"/>
      <c r="Z193" s="12"/>
    </row>
    <row r="194" spans="1:26" ht="15" customHeight="1" x14ac:dyDescent="0.3">
      <c r="A194" s="26"/>
      <c r="B194" s="17"/>
      <c r="C194" s="17"/>
      <c r="D194" s="17"/>
      <c r="E194" s="17"/>
      <c r="F194" s="17"/>
      <c r="G194" s="17"/>
      <c r="H194" s="17"/>
      <c r="I194" s="17"/>
      <c r="J194" s="17"/>
      <c r="K194" s="17"/>
      <c r="L194" s="17"/>
      <c r="M194" s="17"/>
      <c r="N194" s="17"/>
      <c r="O194" s="17"/>
      <c r="P194" s="17"/>
      <c r="Q194" s="17"/>
      <c r="R194" s="17"/>
      <c r="S194" s="17"/>
      <c r="T194" s="17"/>
      <c r="U194" s="17"/>
      <c r="V194" s="12"/>
      <c r="W194" s="12"/>
      <c r="X194" s="12"/>
      <c r="Y194" s="12"/>
      <c r="Z194" s="12"/>
    </row>
    <row r="195" spans="1:26" ht="15" customHeight="1" x14ac:dyDescent="0.3">
      <c r="A195" s="26"/>
      <c r="B195" s="17"/>
      <c r="C195" s="17"/>
      <c r="D195" s="17"/>
      <c r="E195" s="17"/>
      <c r="F195" s="17"/>
      <c r="G195" s="17"/>
      <c r="H195" s="17"/>
      <c r="I195" s="17"/>
      <c r="J195" s="17"/>
      <c r="K195" s="17"/>
      <c r="L195" s="17"/>
      <c r="M195" s="17"/>
      <c r="N195" s="17"/>
      <c r="O195" s="17"/>
      <c r="P195" s="17"/>
      <c r="Q195" s="17"/>
      <c r="R195" s="17"/>
      <c r="S195" s="17"/>
      <c r="T195" s="17"/>
      <c r="U195" s="17"/>
      <c r="V195" s="12"/>
      <c r="W195" s="12"/>
      <c r="X195" s="12"/>
      <c r="Y195" s="12"/>
      <c r="Z195" s="12"/>
    </row>
    <row r="196" spans="1:26" ht="15" customHeight="1" x14ac:dyDescent="0.3">
      <c r="A196" s="26"/>
      <c r="B196" s="17"/>
      <c r="C196" s="17"/>
      <c r="D196" s="17"/>
      <c r="E196" s="17"/>
      <c r="F196" s="17"/>
      <c r="G196" s="17"/>
      <c r="H196" s="17"/>
      <c r="I196" s="17"/>
      <c r="J196" s="17"/>
      <c r="K196" s="17"/>
      <c r="L196" s="17"/>
      <c r="M196" s="17"/>
      <c r="N196" s="17"/>
      <c r="O196" s="17"/>
      <c r="P196" s="17"/>
      <c r="Q196" s="17"/>
      <c r="R196" s="17"/>
      <c r="S196" s="17"/>
      <c r="T196" s="17"/>
      <c r="U196" s="17"/>
      <c r="V196" s="12"/>
      <c r="W196" s="12"/>
      <c r="X196" s="12"/>
      <c r="Y196" s="12"/>
      <c r="Z196" s="12"/>
    </row>
    <row r="197" spans="1:26" ht="15" customHeight="1" x14ac:dyDescent="0.3">
      <c r="A197" s="26"/>
      <c r="B197" s="17"/>
      <c r="C197" s="17"/>
      <c r="D197" s="17"/>
      <c r="E197" s="17"/>
      <c r="F197" s="17"/>
      <c r="G197" s="17"/>
      <c r="H197" s="17"/>
      <c r="I197" s="17"/>
      <c r="J197" s="17"/>
      <c r="K197" s="17"/>
      <c r="L197" s="17"/>
      <c r="M197" s="17"/>
      <c r="N197" s="17"/>
      <c r="O197" s="17"/>
      <c r="P197" s="17"/>
      <c r="Q197" s="17"/>
      <c r="R197" s="17"/>
      <c r="S197" s="17"/>
      <c r="T197" s="17"/>
      <c r="U197" s="17"/>
      <c r="V197" s="12"/>
      <c r="W197" s="12"/>
      <c r="X197" s="12"/>
      <c r="Y197" s="12"/>
      <c r="Z197" s="12"/>
    </row>
    <row r="198" spans="1:26" ht="15" customHeight="1" x14ac:dyDescent="0.3">
      <c r="A198" s="26"/>
      <c r="B198" s="17"/>
      <c r="C198" s="17"/>
      <c r="D198" s="17"/>
      <c r="E198" s="17"/>
      <c r="F198" s="17"/>
      <c r="G198" s="17"/>
      <c r="H198" s="17"/>
      <c r="I198" s="17"/>
      <c r="J198" s="17"/>
      <c r="K198" s="17"/>
      <c r="L198" s="17"/>
      <c r="M198" s="17"/>
      <c r="N198" s="17"/>
      <c r="O198" s="17"/>
      <c r="P198" s="17"/>
      <c r="Q198" s="17"/>
      <c r="R198" s="17"/>
      <c r="S198" s="17"/>
      <c r="T198" s="17"/>
      <c r="U198" s="17"/>
      <c r="V198" s="12"/>
      <c r="W198" s="12"/>
      <c r="X198" s="12"/>
      <c r="Y198" s="12"/>
      <c r="Z198" s="12"/>
    </row>
    <row r="199" spans="1:26" ht="15" customHeight="1" x14ac:dyDescent="0.3">
      <c r="A199" s="26"/>
      <c r="B199" s="17"/>
      <c r="C199" s="17"/>
      <c r="D199" s="17"/>
      <c r="E199" s="17"/>
      <c r="F199" s="17"/>
      <c r="G199" s="17"/>
      <c r="H199" s="17"/>
      <c r="I199" s="17"/>
      <c r="J199" s="17"/>
      <c r="K199" s="17"/>
      <c r="L199" s="17"/>
      <c r="M199" s="17"/>
      <c r="N199" s="17"/>
      <c r="O199" s="17"/>
      <c r="P199" s="17"/>
      <c r="Q199" s="17"/>
      <c r="R199" s="17"/>
      <c r="S199" s="17"/>
      <c r="T199" s="17"/>
      <c r="U199" s="17"/>
      <c r="V199" s="12"/>
      <c r="W199" s="12"/>
      <c r="X199" s="12"/>
      <c r="Y199" s="12"/>
      <c r="Z199" s="12"/>
    </row>
    <row r="200" spans="1:26" ht="15" customHeight="1" x14ac:dyDescent="0.3">
      <c r="A200" s="26"/>
      <c r="B200" s="17"/>
      <c r="C200" s="17"/>
      <c r="D200" s="17"/>
      <c r="E200" s="17"/>
      <c r="F200" s="17"/>
      <c r="G200" s="17"/>
      <c r="H200" s="17"/>
      <c r="I200" s="17"/>
      <c r="J200" s="17"/>
      <c r="K200" s="17"/>
      <c r="L200" s="17"/>
      <c r="M200" s="17"/>
      <c r="N200" s="17"/>
      <c r="O200" s="17"/>
      <c r="P200" s="17"/>
      <c r="Q200" s="17"/>
      <c r="R200" s="17"/>
      <c r="S200" s="17"/>
      <c r="T200" s="17"/>
      <c r="U200" s="17"/>
      <c r="V200" s="12"/>
      <c r="W200" s="12"/>
      <c r="X200" s="12"/>
      <c r="Y200" s="12"/>
      <c r="Z200" s="12"/>
    </row>
    <row r="201" spans="1:26" ht="15" customHeight="1" x14ac:dyDescent="0.3">
      <c r="A201" s="26"/>
      <c r="B201" s="17"/>
      <c r="C201" s="17"/>
      <c r="D201" s="17"/>
      <c r="E201" s="17"/>
      <c r="F201" s="17"/>
      <c r="G201" s="17"/>
      <c r="H201" s="17"/>
      <c r="I201" s="17"/>
      <c r="J201" s="17"/>
      <c r="K201" s="17"/>
      <c r="L201" s="17"/>
      <c r="M201" s="17"/>
      <c r="N201" s="17"/>
      <c r="O201" s="17"/>
      <c r="P201" s="17"/>
      <c r="Q201" s="17"/>
      <c r="R201" s="17"/>
      <c r="S201" s="17"/>
      <c r="T201" s="17"/>
      <c r="U201" s="17"/>
      <c r="V201" s="12"/>
      <c r="W201" s="12"/>
      <c r="X201" s="12"/>
      <c r="Y201" s="12"/>
      <c r="Z201" s="12"/>
    </row>
    <row r="202" spans="1:26" ht="15" customHeight="1" x14ac:dyDescent="0.3">
      <c r="A202" s="26"/>
      <c r="B202" s="17"/>
      <c r="C202" s="17"/>
      <c r="D202" s="17"/>
      <c r="E202" s="17"/>
      <c r="F202" s="17"/>
      <c r="G202" s="17"/>
      <c r="H202" s="17"/>
      <c r="I202" s="17"/>
      <c r="J202" s="17"/>
      <c r="K202" s="17"/>
      <c r="L202" s="17"/>
      <c r="M202" s="17"/>
      <c r="N202" s="17"/>
      <c r="O202" s="17"/>
      <c r="P202" s="17"/>
      <c r="Q202" s="17"/>
      <c r="R202" s="17"/>
      <c r="S202" s="17"/>
      <c r="T202" s="17"/>
      <c r="U202" s="17"/>
      <c r="V202" s="12"/>
      <c r="W202" s="12"/>
      <c r="X202" s="12"/>
      <c r="Y202" s="12"/>
      <c r="Z202" s="12"/>
    </row>
    <row r="203" spans="1:26" ht="15" customHeight="1" x14ac:dyDescent="0.3">
      <c r="A203" s="26"/>
      <c r="B203" s="17"/>
      <c r="C203" s="17"/>
      <c r="D203" s="17"/>
      <c r="E203" s="17"/>
      <c r="F203" s="17"/>
      <c r="G203" s="17"/>
      <c r="H203" s="17"/>
      <c r="I203" s="17"/>
      <c r="J203" s="17"/>
      <c r="K203" s="17"/>
      <c r="L203" s="17"/>
      <c r="M203" s="17"/>
      <c r="N203" s="17"/>
      <c r="O203" s="17"/>
      <c r="P203" s="17"/>
      <c r="Q203" s="17"/>
      <c r="R203" s="17"/>
      <c r="S203" s="17"/>
      <c r="T203" s="17"/>
      <c r="U203" s="17"/>
      <c r="V203" s="12"/>
      <c r="W203" s="12"/>
      <c r="X203" s="12"/>
      <c r="Y203" s="12"/>
      <c r="Z203" s="12"/>
    </row>
    <row r="204" spans="1:26" ht="15" customHeight="1" x14ac:dyDescent="0.3">
      <c r="A204" s="26"/>
      <c r="B204" s="17"/>
      <c r="C204" s="17"/>
      <c r="D204" s="17"/>
      <c r="E204" s="17"/>
      <c r="F204" s="17"/>
      <c r="G204" s="17"/>
      <c r="H204" s="17"/>
      <c r="I204" s="17"/>
      <c r="J204" s="17"/>
      <c r="K204" s="17"/>
      <c r="L204" s="17"/>
      <c r="M204" s="17"/>
      <c r="N204" s="17"/>
      <c r="O204" s="17"/>
      <c r="P204" s="17"/>
      <c r="Q204" s="17"/>
      <c r="R204" s="17"/>
      <c r="S204" s="17"/>
      <c r="T204" s="17"/>
      <c r="U204" s="17"/>
      <c r="V204" s="12"/>
      <c r="W204" s="12"/>
      <c r="X204" s="12"/>
      <c r="Y204" s="12"/>
      <c r="Z204" s="12"/>
    </row>
    <row r="205" spans="1:26" ht="15" customHeight="1" x14ac:dyDescent="0.3">
      <c r="A205" s="26"/>
      <c r="B205" s="17"/>
      <c r="C205" s="17"/>
      <c r="D205" s="17"/>
      <c r="E205" s="17"/>
      <c r="F205" s="17"/>
      <c r="G205" s="17"/>
      <c r="H205" s="17"/>
      <c r="I205" s="17"/>
      <c r="J205" s="17"/>
      <c r="K205" s="17"/>
      <c r="L205" s="17"/>
      <c r="M205" s="17"/>
      <c r="N205" s="17"/>
      <c r="O205" s="17"/>
      <c r="P205" s="17"/>
      <c r="Q205" s="17"/>
      <c r="R205" s="17"/>
      <c r="S205" s="17"/>
      <c r="T205" s="17"/>
      <c r="U205" s="17"/>
      <c r="V205" s="12"/>
      <c r="W205" s="12"/>
      <c r="X205" s="12"/>
      <c r="Y205" s="12"/>
      <c r="Z205" s="12"/>
    </row>
    <row r="206" spans="1:26" ht="15" customHeight="1" x14ac:dyDescent="0.3">
      <c r="A206" s="26"/>
      <c r="B206" s="17"/>
      <c r="C206" s="17"/>
      <c r="D206" s="17"/>
      <c r="E206" s="17"/>
      <c r="F206" s="17"/>
      <c r="G206" s="17"/>
      <c r="H206" s="17"/>
      <c r="I206" s="17"/>
      <c r="J206" s="17"/>
      <c r="K206" s="17"/>
      <c r="L206" s="17"/>
      <c r="M206" s="17"/>
      <c r="N206" s="17"/>
      <c r="O206" s="17"/>
      <c r="P206" s="17"/>
      <c r="Q206" s="17"/>
      <c r="R206" s="17"/>
      <c r="S206" s="17"/>
      <c r="T206" s="17"/>
      <c r="U206" s="17"/>
      <c r="V206" s="12"/>
      <c r="W206" s="12"/>
      <c r="X206" s="12"/>
      <c r="Y206" s="12"/>
      <c r="Z206" s="12"/>
    </row>
    <row r="207" spans="1:26" ht="15" customHeight="1" x14ac:dyDescent="0.3">
      <c r="A207" s="26"/>
      <c r="B207" s="17"/>
      <c r="C207" s="17"/>
      <c r="D207" s="17"/>
      <c r="E207" s="17"/>
      <c r="F207" s="17"/>
      <c r="G207" s="17"/>
      <c r="H207" s="17"/>
      <c r="I207" s="17"/>
      <c r="J207" s="17"/>
      <c r="K207" s="17"/>
      <c r="L207" s="17"/>
      <c r="M207" s="17"/>
      <c r="N207" s="17"/>
      <c r="O207" s="17"/>
      <c r="P207" s="17"/>
      <c r="Q207" s="17"/>
      <c r="R207" s="17"/>
      <c r="S207" s="17"/>
      <c r="T207" s="17"/>
      <c r="U207" s="17"/>
      <c r="V207" s="12"/>
      <c r="W207" s="12"/>
      <c r="X207" s="12"/>
      <c r="Y207" s="12"/>
      <c r="Z207" s="12"/>
    </row>
    <row r="208" spans="1:26" ht="15" customHeight="1" x14ac:dyDescent="0.3">
      <c r="A208" s="26"/>
      <c r="B208" s="17"/>
      <c r="C208" s="17"/>
      <c r="D208" s="17"/>
      <c r="E208" s="17"/>
      <c r="F208" s="17"/>
      <c r="G208" s="17"/>
      <c r="H208" s="17"/>
      <c r="I208" s="17"/>
      <c r="J208" s="17"/>
      <c r="K208" s="17"/>
      <c r="L208" s="17"/>
      <c r="M208" s="17"/>
      <c r="N208" s="17"/>
      <c r="O208" s="17"/>
      <c r="P208" s="17"/>
      <c r="Q208" s="17"/>
      <c r="R208" s="17"/>
      <c r="S208" s="17"/>
      <c r="T208" s="17"/>
      <c r="U208" s="17"/>
      <c r="V208" s="12"/>
      <c r="W208" s="12"/>
      <c r="X208" s="12"/>
      <c r="Y208" s="12"/>
      <c r="Z208" s="12"/>
    </row>
    <row r="209" spans="1:26" ht="15" customHeight="1" x14ac:dyDescent="0.3">
      <c r="A209" s="26"/>
      <c r="B209" s="17"/>
      <c r="C209" s="17"/>
      <c r="D209" s="17"/>
      <c r="E209" s="17"/>
      <c r="F209" s="17"/>
      <c r="G209" s="17"/>
      <c r="H209" s="17"/>
      <c r="I209" s="17"/>
      <c r="J209" s="17"/>
      <c r="K209" s="17"/>
      <c r="L209" s="17"/>
      <c r="M209" s="17"/>
      <c r="N209" s="17"/>
      <c r="O209" s="17"/>
      <c r="P209" s="17"/>
      <c r="Q209" s="17"/>
      <c r="R209" s="17"/>
      <c r="S209" s="17"/>
      <c r="T209" s="17"/>
      <c r="U209" s="17"/>
      <c r="V209" s="12"/>
      <c r="W209" s="12"/>
      <c r="X209" s="12"/>
      <c r="Y209" s="12"/>
      <c r="Z209" s="12"/>
    </row>
    <row r="210" spans="1:26" ht="15" customHeight="1" x14ac:dyDescent="0.3">
      <c r="A210" s="26"/>
      <c r="B210" s="17"/>
      <c r="C210" s="17"/>
      <c r="D210" s="17"/>
      <c r="E210" s="17"/>
      <c r="F210" s="17"/>
      <c r="G210" s="17"/>
      <c r="H210" s="17"/>
      <c r="I210" s="17"/>
      <c r="J210" s="17"/>
      <c r="K210" s="17"/>
      <c r="L210" s="17"/>
      <c r="M210" s="17"/>
      <c r="N210" s="17"/>
      <c r="O210" s="17"/>
      <c r="P210" s="17"/>
      <c r="Q210" s="17"/>
      <c r="R210" s="17"/>
      <c r="S210" s="17"/>
      <c r="T210" s="17"/>
      <c r="U210" s="17"/>
      <c r="V210" s="12"/>
      <c r="W210" s="12"/>
      <c r="X210" s="12"/>
      <c r="Y210" s="12"/>
      <c r="Z210" s="12"/>
    </row>
    <row r="211" spans="1:26" ht="15" customHeight="1" x14ac:dyDescent="0.3">
      <c r="A211" s="26"/>
      <c r="B211" s="17"/>
      <c r="C211" s="17"/>
      <c r="D211" s="17"/>
      <c r="E211" s="17"/>
      <c r="F211" s="17"/>
      <c r="G211" s="17"/>
      <c r="H211" s="17"/>
      <c r="I211" s="17"/>
      <c r="J211" s="17"/>
      <c r="K211" s="17"/>
      <c r="L211" s="17"/>
      <c r="M211" s="17"/>
      <c r="N211" s="17"/>
      <c r="O211" s="17"/>
      <c r="P211" s="17"/>
      <c r="Q211" s="17"/>
      <c r="R211" s="17"/>
      <c r="S211" s="17"/>
      <c r="T211" s="17"/>
      <c r="U211" s="17"/>
      <c r="V211" s="12"/>
      <c r="W211" s="12"/>
      <c r="X211" s="12"/>
      <c r="Y211" s="12"/>
      <c r="Z211" s="12"/>
    </row>
    <row r="212" spans="1:26" ht="15" customHeight="1" x14ac:dyDescent="0.3">
      <c r="A212" s="26"/>
      <c r="B212" s="17"/>
      <c r="C212" s="17"/>
      <c r="D212" s="17"/>
      <c r="E212" s="17"/>
      <c r="F212" s="17"/>
      <c r="G212" s="17"/>
      <c r="H212" s="17"/>
      <c r="I212" s="17"/>
      <c r="J212" s="17"/>
      <c r="K212" s="17"/>
      <c r="L212" s="17"/>
      <c r="M212" s="17"/>
      <c r="N212" s="17"/>
      <c r="O212" s="17"/>
      <c r="P212" s="17"/>
      <c r="Q212" s="17"/>
      <c r="R212" s="17"/>
      <c r="S212" s="17"/>
      <c r="T212" s="17"/>
      <c r="U212" s="17"/>
      <c r="V212" s="12"/>
      <c r="W212" s="12"/>
      <c r="X212" s="12"/>
      <c r="Y212" s="12"/>
      <c r="Z212" s="12"/>
    </row>
    <row r="213" spans="1:26" ht="15" customHeight="1" x14ac:dyDescent="0.3">
      <c r="A213" s="26"/>
      <c r="B213" s="17"/>
      <c r="C213" s="17"/>
      <c r="D213" s="17"/>
      <c r="E213" s="17"/>
      <c r="F213" s="17"/>
      <c r="G213" s="17"/>
      <c r="H213" s="17"/>
      <c r="I213" s="17"/>
      <c r="J213" s="17"/>
      <c r="K213" s="17"/>
      <c r="L213" s="17"/>
      <c r="M213" s="17"/>
      <c r="N213" s="17"/>
      <c r="O213" s="17"/>
      <c r="P213" s="17"/>
      <c r="Q213" s="17"/>
      <c r="R213" s="17"/>
      <c r="S213" s="17"/>
      <c r="T213" s="17"/>
      <c r="U213" s="17"/>
      <c r="V213" s="12"/>
      <c r="W213" s="12"/>
      <c r="X213" s="12"/>
      <c r="Y213" s="12"/>
      <c r="Z213" s="12"/>
    </row>
    <row r="214" spans="1:26" ht="15" customHeight="1" x14ac:dyDescent="0.3">
      <c r="A214" s="26"/>
      <c r="B214" s="17"/>
      <c r="C214" s="17"/>
      <c r="D214" s="17"/>
      <c r="E214" s="17"/>
      <c r="F214" s="17"/>
      <c r="G214" s="17"/>
      <c r="H214" s="17"/>
      <c r="I214" s="17"/>
      <c r="J214" s="17"/>
      <c r="K214" s="17"/>
      <c r="L214" s="17"/>
      <c r="M214" s="17"/>
      <c r="N214" s="17"/>
      <c r="O214" s="17"/>
      <c r="P214" s="17"/>
      <c r="Q214" s="17"/>
      <c r="R214" s="17"/>
      <c r="S214" s="17"/>
      <c r="T214" s="17"/>
      <c r="U214" s="17"/>
      <c r="V214" s="12"/>
      <c r="W214" s="12"/>
      <c r="X214" s="12"/>
      <c r="Y214" s="12"/>
      <c r="Z214" s="12"/>
    </row>
    <row r="215" spans="1:26" ht="15" customHeight="1" x14ac:dyDescent="0.3">
      <c r="A215" s="26"/>
      <c r="B215" s="17"/>
      <c r="C215" s="17"/>
      <c r="D215" s="17"/>
      <c r="E215" s="17"/>
      <c r="F215" s="17"/>
      <c r="G215" s="17"/>
      <c r="H215" s="17"/>
      <c r="I215" s="17"/>
      <c r="J215" s="17"/>
      <c r="K215" s="17"/>
      <c r="L215" s="17"/>
      <c r="M215" s="17"/>
      <c r="N215" s="17"/>
      <c r="O215" s="17"/>
      <c r="P215" s="17"/>
      <c r="Q215" s="17"/>
      <c r="R215" s="17"/>
      <c r="S215" s="17"/>
      <c r="T215" s="17"/>
      <c r="U215" s="17"/>
      <c r="V215" s="12"/>
      <c r="W215" s="12"/>
      <c r="X215" s="12"/>
      <c r="Y215" s="12"/>
      <c r="Z215" s="12"/>
    </row>
    <row r="216" spans="1:26" ht="15" customHeight="1" x14ac:dyDescent="0.3">
      <c r="A216" s="26"/>
      <c r="B216" s="17"/>
      <c r="C216" s="17"/>
      <c r="D216" s="17"/>
      <c r="E216" s="17"/>
      <c r="F216" s="17"/>
      <c r="G216" s="17"/>
      <c r="H216" s="17"/>
      <c r="I216" s="17"/>
      <c r="J216" s="17"/>
      <c r="K216" s="17"/>
      <c r="L216" s="17"/>
      <c r="M216" s="17"/>
      <c r="N216" s="17"/>
      <c r="O216" s="17"/>
      <c r="P216" s="17"/>
      <c r="Q216" s="17"/>
      <c r="R216" s="17"/>
      <c r="S216" s="17"/>
      <c r="T216" s="17"/>
      <c r="U216" s="17"/>
      <c r="V216" s="12"/>
      <c r="W216" s="12"/>
      <c r="X216" s="12"/>
      <c r="Y216" s="12"/>
      <c r="Z216" s="12"/>
    </row>
    <row r="217" spans="1:26" ht="15" customHeight="1" x14ac:dyDescent="0.3">
      <c r="A217" s="26"/>
      <c r="B217" s="17"/>
      <c r="C217" s="17"/>
      <c r="D217" s="17"/>
      <c r="E217" s="17"/>
      <c r="F217" s="17"/>
      <c r="G217" s="17"/>
      <c r="H217" s="17"/>
      <c r="I217" s="17"/>
      <c r="J217" s="17"/>
      <c r="K217" s="17"/>
      <c r="L217" s="17"/>
      <c r="M217" s="17"/>
      <c r="N217" s="17"/>
      <c r="O217" s="17"/>
      <c r="P217" s="17"/>
      <c r="Q217" s="17"/>
      <c r="R217" s="17"/>
      <c r="S217" s="17"/>
      <c r="T217" s="17"/>
      <c r="U217" s="17"/>
      <c r="V217" s="12"/>
      <c r="W217" s="12"/>
      <c r="X217" s="12"/>
      <c r="Y217" s="12"/>
      <c r="Z217" s="12"/>
    </row>
    <row r="218" spans="1:26" ht="15" customHeight="1" x14ac:dyDescent="0.3">
      <c r="A218" s="26"/>
      <c r="B218" s="17"/>
      <c r="C218" s="17"/>
      <c r="D218" s="17"/>
      <c r="E218" s="17"/>
      <c r="F218" s="17"/>
      <c r="G218" s="17"/>
      <c r="H218" s="17"/>
      <c r="I218" s="17"/>
      <c r="J218" s="17"/>
      <c r="K218" s="17"/>
      <c r="L218" s="17"/>
      <c r="M218" s="17"/>
      <c r="N218" s="17"/>
      <c r="O218" s="17"/>
      <c r="P218" s="17"/>
      <c r="Q218" s="17"/>
      <c r="R218" s="17"/>
      <c r="S218" s="17"/>
      <c r="T218" s="17"/>
      <c r="U218" s="17"/>
      <c r="V218" s="12"/>
      <c r="W218" s="12"/>
      <c r="X218" s="12"/>
      <c r="Y218" s="12"/>
      <c r="Z218" s="12"/>
    </row>
    <row r="219" spans="1:26" ht="15" customHeight="1" x14ac:dyDescent="0.3">
      <c r="A219" s="26"/>
      <c r="B219" s="17"/>
      <c r="C219" s="17"/>
      <c r="D219" s="17"/>
      <c r="E219" s="17"/>
      <c r="F219" s="17"/>
      <c r="G219" s="17"/>
      <c r="H219" s="17"/>
      <c r="I219" s="17"/>
      <c r="J219" s="17"/>
      <c r="K219" s="17"/>
      <c r="L219" s="17"/>
      <c r="M219" s="17"/>
      <c r="N219" s="17"/>
      <c r="O219" s="17"/>
      <c r="P219" s="17"/>
      <c r="Q219" s="17"/>
      <c r="R219" s="17"/>
      <c r="S219" s="17"/>
      <c r="T219" s="17"/>
      <c r="U219" s="17"/>
      <c r="V219" s="12"/>
      <c r="W219" s="12"/>
      <c r="X219" s="12"/>
      <c r="Y219" s="12"/>
      <c r="Z219" s="12"/>
    </row>
    <row r="220" spans="1:26" ht="15" customHeight="1" x14ac:dyDescent="0.3">
      <c r="A220" s="26"/>
      <c r="B220" s="17"/>
      <c r="C220" s="17"/>
      <c r="D220" s="17"/>
      <c r="E220" s="17"/>
      <c r="F220" s="17"/>
      <c r="G220" s="17"/>
      <c r="H220" s="17"/>
      <c r="I220" s="17"/>
      <c r="J220" s="17"/>
      <c r="K220" s="17"/>
      <c r="L220" s="17"/>
      <c r="M220" s="17"/>
      <c r="N220" s="17"/>
      <c r="O220" s="17"/>
      <c r="P220" s="17"/>
      <c r="Q220" s="17"/>
      <c r="R220" s="17"/>
      <c r="S220" s="17"/>
      <c r="T220" s="17"/>
      <c r="U220" s="17"/>
      <c r="V220" s="12"/>
      <c r="W220" s="12"/>
      <c r="X220" s="12"/>
      <c r="Y220" s="12"/>
      <c r="Z220" s="12"/>
    </row>
    <row r="221" spans="1:26" ht="15" customHeight="1" x14ac:dyDescent="0.3">
      <c r="A221" s="26"/>
      <c r="B221" s="17"/>
      <c r="C221" s="17"/>
      <c r="D221" s="17"/>
      <c r="E221" s="17"/>
      <c r="F221" s="17"/>
      <c r="G221" s="17"/>
      <c r="H221" s="17"/>
      <c r="I221" s="17"/>
      <c r="J221" s="17"/>
      <c r="K221" s="17"/>
      <c r="L221" s="17"/>
      <c r="M221" s="17"/>
      <c r="N221" s="17"/>
      <c r="O221" s="17"/>
      <c r="P221" s="17"/>
      <c r="Q221" s="17"/>
      <c r="R221" s="17"/>
      <c r="S221" s="17"/>
      <c r="T221" s="17"/>
      <c r="U221" s="17"/>
      <c r="V221" s="12"/>
      <c r="W221" s="12"/>
      <c r="X221" s="12"/>
      <c r="Y221" s="12"/>
      <c r="Z221" s="12"/>
    </row>
    <row r="222" spans="1:26" ht="15" customHeight="1" x14ac:dyDescent="0.3">
      <c r="A222" s="26"/>
      <c r="B222" s="17"/>
      <c r="C222" s="17"/>
      <c r="D222" s="17"/>
      <c r="E222" s="17"/>
      <c r="F222" s="17"/>
      <c r="G222" s="17"/>
      <c r="H222" s="17"/>
      <c r="I222" s="17"/>
      <c r="J222" s="17"/>
      <c r="K222" s="17"/>
      <c r="L222" s="17"/>
      <c r="M222" s="17"/>
      <c r="N222" s="17"/>
      <c r="O222" s="17"/>
      <c r="P222" s="17"/>
      <c r="Q222" s="17"/>
      <c r="R222" s="17"/>
      <c r="S222" s="17"/>
      <c r="T222" s="17"/>
      <c r="U222" s="17"/>
      <c r="V222" s="12"/>
      <c r="W222" s="12"/>
      <c r="X222" s="12"/>
      <c r="Y222" s="12"/>
      <c r="Z222" s="12"/>
    </row>
    <row r="223" spans="1:26" ht="15" customHeight="1" x14ac:dyDescent="0.3">
      <c r="A223" s="26"/>
      <c r="B223" s="17"/>
      <c r="C223" s="17"/>
      <c r="D223" s="17"/>
      <c r="E223" s="17"/>
      <c r="F223" s="17"/>
      <c r="G223" s="17"/>
      <c r="H223" s="17"/>
      <c r="I223" s="17"/>
      <c r="J223" s="17"/>
      <c r="K223" s="17"/>
      <c r="L223" s="17"/>
      <c r="M223" s="17"/>
      <c r="N223" s="17"/>
      <c r="O223" s="17"/>
      <c r="P223" s="17"/>
      <c r="Q223" s="17"/>
      <c r="R223" s="17"/>
      <c r="S223" s="17"/>
      <c r="T223" s="17"/>
      <c r="U223" s="17"/>
      <c r="V223" s="12"/>
      <c r="W223" s="12"/>
      <c r="X223" s="12"/>
      <c r="Y223" s="12"/>
      <c r="Z223" s="12"/>
    </row>
    <row r="224" spans="1:26" ht="15" customHeight="1" x14ac:dyDescent="0.3">
      <c r="A224" s="26"/>
      <c r="B224" s="17"/>
      <c r="C224" s="17"/>
      <c r="D224" s="17"/>
      <c r="E224" s="17"/>
      <c r="F224" s="17"/>
      <c r="G224" s="17"/>
      <c r="H224" s="17"/>
      <c r="I224" s="17"/>
      <c r="J224" s="17"/>
      <c r="K224" s="17"/>
      <c r="L224" s="17"/>
      <c r="M224" s="17"/>
      <c r="N224" s="17"/>
      <c r="O224" s="17"/>
      <c r="P224" s="17"/>
      <c r="Q224" s="17"/>
      <c r="R224" s="17"/>
      <c r="S224" s="17"/>
      <c r="T224" s="17"/>
      <c r="U224" s="17"/>
      <c r="V224" s="12"/>
      <c r="W224" s="12"/>
      <c r="X224" s="12"/>
      <c r="Y224" s="12"/>
      <c r="Z224" s="12"/>
    </row>
    <row r="225" spans="1:26" ht="15" customHeight="1" x14ac:dyDescent="0.3">
      <c r="A225" s="27"/>
      <c r="B225" s="19"/>
      <c r="C225" s="19"/>
      <c r="D225" s="19"/>
      <c r="E225" s="19"/>
      <c r="F225" s="19"/>
      <c r="G225" s="19"/>
      <c r="H225" s="19"/>
      <c r="I225" s="19"/>
      <c r="J225" s="19"/>
      <c r="K225" s="17"/>
      <c r="L225" s="17"/>
      <c r="M225" s="17"/>
      <c r="N225" s="17"/>
      <c r="O225" s="17"/>
      <c r="P225" s="17"/>
      <c r="Q225" s="17"/>
      <c r="R225" s="17"/>
      <c r="S225" s="17"/>
      <c r="T225" s="17"/>
      <c r="U225" s="17"/>
      <c r="V225" s="12"/>
      <c r="W225" s="12"/>
      <c r="X225" s="12"/>
      <c r="Y225" s="12"/>
      <c r="Z225" s="12"/>
    </row>
    <row r="226" spans="1:26" ht="15" customHeight="1" x14ac:dyDescent="0.3">
      <c r="A226" s="26"/>
      <c r="B226" s="17"/>
      <c r="C226" s="17"/>
      <c r="D226" s="17"/>
      <c r="E226" s="17"/>
      <c r="F226" s="17"/>
      <c r="G226" s="17"/>
      <c r="H226" s="17"/>
      <c r="I226" s="17"/>
      <c r="J226" s="17"/>
      <c r="K226" s="17"/>
      <c r="L226" s="17"/>
      <c r="M226" s="17"/>
      <c r="N226" s="17"/>
      <c r="O226" s="17"/>
      <c r="P226" s="17"/>
      <c r="Q226" s="17"/>
      <c r="R226" s="17"/>
      <c r="S226" s="17"/>
      <c r="T226" s="17"/>
      <c r="U226" s="17"/>
      <c r="V226" s="12"/>
      <c r="W226" s="12"/>
      <c r="X226" s="12"/>
      <c r="Y226" s="12"/>
      <c r="Z226" s="12"/>
    </row>
    <row r="227" spans="1:26" ht="15" customHeight="1" x14ac:dyDescent="0.3">
      <c r="A227" s="26"/>
      <c r="B227" s="17"/>
      <c r="C227" s="17"/>
      <c r="D227" s="17"/>
      <c r="E227" s="17"/>
      <c r="F227" s="17"/>
      <c r="G227" s="17"/>
      <c r="H227" s="17"/>
      <c r="I227" s="17"/>
      <c r="J227" s="17"/>
      <c r="K227" s="17"/>
      <c r="L227" s="17"/>
      <c r="M227" s="17"/>
      <c r="N227" s="17"/>
      <c r="O227" s="17"/>
      <c r="P227" s="17"/>
      <c r="Q227" s="17"/>
      <c r="R227" s="17"/>
      <c r="S227" s="17"/>
      <c r="T227" s="17"/>
      <c r="U227" s="17"/>
      <c r="V227" s="12"/>
      <c r="W227" s="12"/>
      <c r="X227" s="12"/>
      <c r="Y227" s="12"/>
      <c r="Z227" s="12"/>
    </row>
    <row r="228" spans="1:26" ht="15" customHeight="1" x14ac:dyDescent="0.3">
      <c r="A228" s="26"/>
      <c r="B228" s="17"/>
      <c r="C228" s="17"/>
      <c r="D228" s="17"/>
      <c r="E228" s="17"/>
      <c r="F228" s="17"/>
      <c r="G228" s="17"/>
      <c r="H228" s="17"/>
      <c r="I228" s="17"/>
      <c r="J228" s="17"/>
      <c r="K228" s="17"/>
      <c r="L228" s="17"/>
      <c r="M228" s="17"/>
      <c r="N228" s="17"/>
      <c r="O228" s="17"/>
      <c r="P228" s="17"/>
      <c r="Q228" s="17"/>
      <c r="R228" s="17"/>
      <c r="S228" s="17"/>
      <c r="T228" s="17"/>
      <c r="U228" s="17"/>
      <c r="V228" s="12"/>
      <c r="W228" s="12"/>
      <c r="X228" s="12"/>
      <c r="Y228" s="12"/>
      <c r="Z228" s="12"/>
    </row>
    <row r="229" spans="1:26" ht="15" customHeight="1" x14ac:dyDescent="0.3">
      <c r="A229" s="26"/>
      <c r="B229" s="17"/>
      <c r="C229" s="17"/>
      <c r="D229" s="17"/>
      <c r="E229" s="17"/>
      <c r="F229" s="17"/>
      <c r="G229" s="17"/>
      <c r="H229" s="17"/>
      <c r="I229" s="17"/>
      <c r="J229" s="17"/>
      <c r="K229" s="17"/>
      <c r="L229" s="17"/>
      <c r="M229" s="17"/>
      <c r="N229" s="17"/>
      <c r="O229" s="17"/>
      <c r="P229" s="17"/>
      <c r="Q229" s="17"/>
      <c r="R229" s="17"/>
      <c r="S229" s="17"/>
      <c r="T229" s="17"/>
      <c r="U229" s="17"/>
      <c r="V229" s="12"/>
      <c r="W229" s="12"/>
      <c r="X229" s="12"/>
      <c r="Y229" s="12"/>
      <c r="Z229" s="12"/>
    </row>
    <row r="230" spans="1:26" ht="15" customHeight="1" x14ac:dyDescent="0.3">
      <c r="A230" s="26"/>
      <c r="B230" s="17"/>
      <c r="C230" s="17"/>
      <c r="D230" s="17"/>
      <c r="E230" s="17"/>
      <c r="F230" s="17"/>
      <c r="G230" s="17"/>
      <c r="H230" s="17"/>
      <c r="I230" s="17"/>
      <c r="J230" s="17"/>
      <c r="K230" s="17"/>
      <c r="L230" s="17"/>
      <c r="M230" s="17"/>
      <c r="N230" s="17"/>
      <c r="O230" s="17"/>
      <c r="P230" s="17"/>
      <c r="Q230" s="17"/>
      <c r="R230" s="17"/>
      <c r="S230" s="17"/>
      <c r="T230" s="17"/>
      <c r="U230" s="17"/>
      <c r="V230" s="12"/>
      <c r="W230" s="12"/>
      <c r="X230" s="12"/>
      <c r="Y230" s="12"/>
      <c r="Z230" s="12"/>
    </row>
    <row r="231" spans="1:26" ht="15" customHeight="1" x14ac:dyDescent="0.3">
      <c r="A231" s="26"/>
      <c r="B231" s="17"/>
      <c r="C231" s="17"/>
      <c r="D231" s="17"/>
      <c r="E231" s="17"/>
      <c r="F231" s="17"/>
      <c r="G231" s="17"/>
      <c r="H231" s="17"/>
      <c r="I231" s="17"/>
      <c r="J231" s="17"/>
      <c r="K231" s="17"/>
      <c r="L231" s="17"/>
      <c r="M231" s="17"/>
      <c r="N231" s="17"/>
      <c r="O231" s="17"/>
      <c r="P231" s="17"/>
      <c r="Q231" s="17"/>
      <c r="R231" s="17"/>
      <c r="S231" s="17"/>
      <c r="T231" s="17"/>
      <c r="U231" s="17"/>
      <c r="V231" s="12"/>
      <c r="W231" s="12"/>
      <c r="X231" s="12"/>
      <c r="Y231" s="12"/>
      <c r="Z231" s="12"/>
    </row>
    <row r="232" spans="1:26" ht="15" customHeight="1" x14ac:dyDescent="0.3">
      <c r="A232" s="26"/>
      <c r="B232" s="17"/>
      <c r="C232" s="17"/>
      <c r="D232" s="17"/>
      <c r="E232" s="17"/>
      <c r="F232" s="17"/>
      <c r="G232" s="17"/>
      <c r="H232" s="17"/>
      <c r="I232" s="17"/>
      <c r="J232" s="17"/>
      <c r="K232" s="17"/>
      <c r="L232" s="17"/>
      <c r="M232" s="17"/>
      <c r="N232" s="17"/>
      <c r="O232" s="17"/>
      <c r="P232" s="17"/>
      <c r="Q232" s="17"/>
      <c r="R232" s="17"/>
      <c r="S232" s="17"/>
      <c r="T232" s="17"/>
      <c r="U232" s="17"/>
      <c r="V232" s="12"/>
      <c r="W232" s="12"/>
      <c r="X232" s="12"/>
      <c r="Y232" s="12"/>
      <c r="Z232" s="12"/>
    </row>
    <row r="233" spans="1:26" ht="15" customHeight="1" x14ac:dyDescent="0.3">
      <c r="A233" s="26"/>
      <c r="B233" s="17"/>
      <c r="C233" s="17"/>
      <c r="D233" s="17"/>
      <c r="E233" s="17"/>
      <c r="F233" s="17"/>
      <c r="G233" s="17"/>
      <c r="H233" s="17"/>
      <c r="I233" s="17"/>
      <c r="J233" s="17"/>
      <c r="K233" s="17"/>
      <c r="L233" s="17"/>
      <c r="M233" s="17"/>
      <c r="N233" s="17"/>
      <c r="O233" s="17"/>
      <c r="P233" s="17"/>
      <c r="Q233" s="17"/>
      <c r="R233" s="17"/>
      <c r="S233" s="17"/>
      <c r="T233" s="17"/>
      <c r="U233" s="17"/>
      <c r="V233" s="12"/>
      <c r="W233" s="12"/>
      <c r="X233" s="12"/>
      <c r="Y233" s="12"/>
      <c r="Z233" s="12"/>
    </row>
    <row r="234" spans="1:26" ht="15" customHeight="1" x14ac:dyDescent="0.3">
      <c r="A234" s="26"/>
      <c r="B234" s="17"/>
      <c r="C234" s="17"/>
      <c r="D234" s="17"/>
      <c r="E234" s="17"/>
      <c r="F234" s="17"/>
      <c r="G234" s="17"/>
      <c r="H234" s="17"/>
      <c r="I234" s="17"/>
      <c r="J234" s="17"/>
      <c r="K234" s="17"/>
      <c r="L234" s="17"/>
      <c r="M234" s="17"/>
      <c r="N234" s="17"/>
      <c r="O234" s="17"/>
      <c r="P234" s="17"/>
      <c r="Q234" s="17"/>
      <c r="R234" s="17"/>
      <c r="S234" s="17"/>
      <c r="T234" s="17"/>
      <c r="U234" s="17"/>
      <c r="V234" s="12"/>
      <c r="W234" s="12"/>
      <c r="X234" s="12"/>
      <c r="Y234" s="12"/>
      <c r="Z234" s="12"/>
    </row>
    <row r="235" spans="1:26" ht="15" customHeight="1" x14ac:dyDescent="0.3">
      <c r="A235" s="26"/>
      <c r="B235" s="17"/>
      <c r="C235" s="17"/>
      <c r="D235" s="17"/>
      <c r="E235" s="17"/>
      <c r="F235" s="17"/>
      <c r="G235" s="17"/>
      <c r="H235" s="17"/>
      <c r="I235" s="17"/>
      <c r="J235" s="17"/>
      <c r="K235" s="17"/>
      <c r="L235" s="17"/>
      <c r="M235" s="17"/>
      <c r="N235" s="17"/>
      <c r="O235" s="17"/>
      <c r="P235" s="17"/>
      <c r="Q235" s="17"/>
      <c r="R235" s="17"/>
      <c r="S235" s="17"/>
      <c r="T235" s="17"/>
      <c r="U235" s="17"/>
      <c r="V235" s="12"/>
      <c r="W235" s="12"/>
      <c r="X235" s="12"/>
      <c r="Y235" s="12"/>
      <c r="Z235" s="12"/>
    </row>
    <row r="236" spans="1:26" ht="15" customHeight="1" x14ac:dyDescent="0.3">
      <c r="A236" s="26"/>
      <c r="B236" s="17"/>
      <c r="C236" s="17"/>
      <c r="D236" s="17"/>
      <c r="E236" s="17"/>
      <c r="F236" s="17"/>
      <c r="G236" s="17"/>
      <c r="H236" s="17"/>
      <c r="I236" s="17"/>
      <c r="J236" s="17"/>
      <c r="K236" s="17"/>
      <c r="L236" s="17"/>
      <c r="M236" s="17"/>
      <c r="N236" s="17"/>
      <c r="O236" s="17"/>
      <c r="P236" s="17"/>
      <c r="Q236" s="17"/>
      <c r="R236" s="17"/>
      <c r="S236" s="17"/>
      <c r="T236" s="17"/>
      <c r="U236" s="17"/>
      <c r="V236" s="12"/>
      <c r="W236" s="12"/>
      <c r="X236" s="12"/>
      <c r="Y236" s="12"/>
      <c r="Z236" s="12"/>
    </row>
    <row r="237" spans="1:26" ht="15" customHeight="1" x14ac:dyDescent="0.3">
      <c r="A237" s="26"/>
      <c r="B237" s="17"/>
      <c r="C237" s="17"/>
      <c r="D237" s="17"/>
      <c r="E237" s="17"/>
      <c r="F237" s="17"/>
      <c r="G237" s="17"/>
      <c r="H237" s="17"/>
      <c r="I237" s="17"/>
      <c r="J237" s="17"/>
      <c r="K237" s="17"/>
      <c r="L237" s="17"/>
      <c r="M237" s="17"/>
      <c r="N237" s="17"/>
      <c r="O237" s="17"/>
      <c r="P237" s="17"/>
      <c r="Q237" s="17"/>
      <c r="R237" s="17"/>
      <c r="S237" s="17"/>
      <c r="T237" s="17"/>
      <c r="U237" s="17"/>
      <c r="V237" s="12"/>
      <c r="W237" s="12"/>
      <c r="X237" s="12"/>
      <c r="Y237" s="12"/>
      <c r="Z237" s="12"/>
    </row>
    <row r="238" spans="1:26" ht="15" customHeight="1" x14ac:dyDescent="0.3">
      <c r="A238" s="26"/>
      <c r="B238" s="17"/>
      <c r="C238" s="17"/>
      <c r="D238" s="17"/>
      <c r="E238" s="17"/>
      <c r="F238" s="17"/>
      <c r="G238" s="17"/>
      <c r="H238" s="17"/>
      <c r="I238" s="17"/>
      <c r="J238" s="17"/>
      <c r="K238" s="17"/>
      <c r="L238" s="17"/>
      <c r="M238" s="17"/>
      <c r="N238" s="17"/>
      <c r="O238" s="17"/>
      <c r="P238" s="17"/>
      <c r="Q238" s="17"/>
      <c r="R238" s="17"/>
      <c r="S238" s="17"/>
      <c r="T238" s="17"/>
      <c r="U238" s="17"/>
      <c r="V238" s="12"/>
      <c r="W238" s="12"/>
      <c r="X238" s="12"/>
      <c r="Y238" s="12"/>
      <c r="Z238" s="12"/>
    </row>
    <row r="239" spans="1:26" ht="15" customHeight="1" x14ac:dyDescent="0.3">
      <c r="A239" s="26"/>
      <c r="B239" s="17"/>
      <c r="C239" s="17"/>
      <c r="D239" s="17"/>
      <c r="E239" s="17"/>
      <c r="F239" s="17"/>
      <c r="G239" s="17"/>
      <c r="H239" s="17"/>
      <c r="I239" s="17"/>
      <c r="J239" s="17"/>
      <c r="K239" s="17"/>
      <c r="L239" s="17"/>
      <c r="M239" s="17"/>
      <c r="N239" s="17"/>
      <c r="O239" s="17"/>
      <c r="P239" s="17"/>
      <c r="Q239" s="17"/>
      <c r="R239" s="17"/>
      <c r="S239" s="17"/>
      <c r="T239" s="17"/>
      <c r="U239" s="17"/>
      <c r="V239" s="12"/>
      <c r="W239" s="12"/>
      <c r="X239" s="12"/>
      <c r="Y239" s="12"/>
      <c r="Z239" s="12"/>
    </row>
    <row r="240" spans="1:26" ht="15" customHeight="1" x14ac:dyDescent="0.3">
      <c r="A240" s="26"/>
      <c r="B240" s="17"/>
      <c r="C240" s="17"/>
      <c r="D240" s="17"/>
      <c r="E240" s="17"/>
      <c r="F240" s="17"/>
      <c r="G240" s="17"/>
      <c r="H240" s="17"/>
      <c r="I240" s="17"/>
      <c r="J240" s="17"/>
      <c r="K240" s="17"/>
      <c r="L240" s="17"/>
      <c r="M240" s="17"/>
      <c r="N240" s="17"/>
      <c r="O240" s="17"/>
      <c r="P240" s="17"/>
      <c r="Q240" s="17"/>
      <c r="R240" s="17"/>
      <c r="S240" s="17"/>
      <c r="T240" s="17"/>
      <c r="U240" s="17"/>
      <c r="V240" s="12"/>
      <c r="W240" s="12"/>
      <c r="X240" s="12"/>
      <c r="Y240" s="12"/>
      <c r="Z240" s="12"/>
    </row>
    <row r="241" spans="1:26" ht="15" customHeight="1" x14ac:dyDescent="0.3">
      <c r="A241" s="26"/>
      <c r="B241" s="17"/>
      <c r="C241" s="17"/>
      <c r="D241" s="17"/>
      <c r="E241" s="17"/>
      <c r="F241" s="17"/>
      <c r="G241" s="17"/>
      <c r="H241" s="17"/>
      <c r="I241" s="17"/>
      <c r="J241" s="17"/>
      <c r="K241" s="17"/>
      <c r="L241" s="17"/>
      <c r="M241" s="17"/>
      <c r="N241" s="17"/>
      <c r="O241" s="17"/>
      <c r="P241" s="17"/>
      <c r="Q241" s="17"/>
      <c r="R241" s="17"/>
      <c r="S241" s="17"/>
      <c r="T241" s="17"/>
      <c r="U241" s="17"/>
      <c r="V241" s="12"/>
      <c r="W241" s="12"/>
      <c r="X241" s="12"/>
      <c r="Y241" s="12"/>
      <c r="Z241" s="12"/>
    </row>
    <row r="242" spans="1:26" ht="15" customHeight="1" x14ac:dyDescent="0.3">
      <c r="A242" s="26"/>
      <c r="B242" s="17"/>
      <c r="C242" s="17"/>
      <c r="D242" s="17"/>
      <c r="E242" s="17"/>
      <c r="F242" s="17"/>
      <c r="G242" s="17"/>
      <c r="H242" s="17"/>
      <c r="I242" s="17"/>
      <c r="J242" s="17"/>
      <c r="K242" s="17"/>
      <c r="L242" s="17"/>
      <c r="M242" s="17"/>
      <c r="N242" s="17"/>
      <c r="O242" s="17"/>
      <c r="P242" s="17"/>
      <c r="Q242" s="17"/>
      <c r="R242" s="17"/>
      <c r="S242" s="17"/>
      <c r="T242" s="17"/>
      <c r="U242" s="17"/>
      <c r="V242" s="12"/>
      <c r="W242" s="12"/>
      <c r="X242" s="12"/>
      <c r="Y242" s="12"/>
      <c r="Z242" s="12"/>
    </row>
    <row r="243" spans="1:26" ht="15" customHeight="1" x14ac:dyDescent="0.3">
      <c r="A243" s="26"/>
      <c r="B243" s="17"/>
      <c r="C243" s="17"/>
      <c r="D243" s="17"/>
      <c r="E243" s="17"/>
      <c r="F243" s="17"/>
      <c r="G243" s="17"/>
      <c r="H243" s="17"/>
      <c r="I243" s="17"/>
      <c r="J243" s="17"/>
      <c r="K243" s="17"/>
      <c r="L243" s="17"/>
      <c r="M243" s="17"/>
      <c r="N243" s="17"/>
      <c r="O243" s="17"/>
      <c r="P243" s="17"/>
      <c r="Q243" s="17"/>
      <c r="R243" s="17"/>
      <c r="S243" s="17"/>
      <c r="T243" s="17"/>
      <c r="U243" s="17"/>
      <c r="V243" s="12"/>
      <c r="W243" s="12"/>
      <c r="X243" s="12"/>
      <c r="Y243" s="12"/>
      <c r="Z243" s="12"/>
    </row>
    <row r="244" spans="1:26" ht="15" customHeight="1" x14ac:dyDescent="0.3">
      <c r="A244" s="26"/>
      <c r="B244" s="17"/>
      <c r="C244" s="17"/>
      <c r="D244" s="17"/>
      <c r="E244" s="17"/>
      <c r="F244" s="17"/>
      <c r="G244" s="17"/>
      <c r="H244" s="17"/>
      <c r="I244" s="17"/>
      <c r="J244" s="17"/>
      <c r="K244" s="17"/>
      <c r="L244" s="17"/>
      <c r="M244" s="17"/>
      <c r="N244" s="17"/>
      <c r="O244" s="17"/>
      <c r="P244" s="17"/>
      <c r="Q244" s="17"/>
      <c r="R244" s="17"/>
      <c r="S244" s="17"/>
      <c r="T244" s="17"/>
      <c r="U244" s="17"/>
      <c r="V244" s="12"/>
      <c r="W244" s="12"/>
      <c r="X244" s="12"/>
      <c r="Y244" s="12"/>
      <c r="Z244" s="12"/>
    </row>
    <row r="245" spans="1:26" ht="15" customHeight="1" x14ac:dyDescent="0.3">
      <c r="A245" s="26"/>
      <c r="B245" s="17"/>
      <c r="C245" s="17"/>
      <c r="D245" s="17"/>
      <c r="E245" s="17"/>
      <c r="F245" s="17"/>
      <c r="G245" s="17"/>
      <c r="H245" s="17"/>
      <c r="I245" s="17"/>
      <c r="J245" s="17"/>
      <c r="K245" s="17"/>
      <c r="L245" s="17"/>
      <c r="M245" s="17"/>
      <c r="N245" s="17"/>
      <c r="O245" s="17"/>
      <c r="P245" s="17"/>
      <c r="Q245" s="17"/>
      <c r="R245" s="17"/>
      <c r="S245" s="17"/>
      <c r="T245" s="17"/>
      <c r="U245" s="17"/>
      <c r="V245" s="12"/>
      <c r="W245" s="12"/>
      <c r="X245" s="12"/>
      <c r="Y245" s="12"/>
      <c r="Z245" s="12"/>
    </row>
    <row r="246" spans="1:26" ht="15" customHeight="1" x14ac:dyDescent="0.3">
      <c r="A246" s="26"/>
      <c r="B246" s="17"/>
      <c r="C246" s="17"/>
      <c r="D246" s="17"/>
      <c r="E246" s="17"/>
      <c r="F246" s="17"/>
      <c r="G246" s="17"/>
      <c r="H246" s="17"/>
      <c r="I246" s="17"/>
      <c r="J246" s="17"/>
      <c r="K246" s="17"/>
      <c r="L246" s="17"/>
      <c r="M246" s="17"/>
      <c r="N246" s="17"/>
      <c r="O246" s="17"/>
      <c r="P246" s="17"/>
      <c r="Q246" s="17"/>
      <c r="R246" s="17"/>
      <c r="S246" s="17"/>
      <c r="T246" s="17"/>
      <c r="U246" s="17"/>
      <c r="V246" s="12"/>
      <c r="W246" s="12"/>
      <c r="X246" s="12"/>
      <c r="Y246" s="12"/>
      <c r="Z246" s="12"/>
    </row>
    <row r="247" spans="1:26" ht="15" customHeight="1" x14ac:dyDescent="0.3">
      <c r="A247" s="27"/>
      <c r="B247" s="19"/>
      <c r="C247" s="19"/>
      <c r="D247" s="19"/>
      <c r="E247" s="19"/>
      <c r="F247" s="19"/>
      <c r="G247" s="19"/>
      <c r="H247" s="19"/>
      <c r="I247" s="19"/>
      <c r="J247" s="19"/>
      <c r="K247" s="17"/>
      <c r="L247" s="17"/>
      <c r="M247" s="17"/>
      <c r="N247" s="17"/>
      <c r="O247" s="17"/>
      <c r="P247" s="17"/>
      <c r="Q247" s="17"/>
      <c r="R247" s="17"/>
      <c r="S247" s="17"/>
      <c r="T247" s="17"/>
      <c r="U247" s="17"/>
      <c r="V247" s="12"/>
      <c r="W247" s="12"/>
      <c r="X247" s="12"/>
      <c r="Y247" s="12"/>
      <c r="Z247" s="12"/>
    </row>
    <row r="248" spans="1:26" ht="15" customHeight="1" x14ac:dyDescent="0.3">
      <c r="A248" s="27"/>
      <c r="B248" s="19"/>
      <c r="C248" s="19"/>
      <c r="D248" s="19"/>
      <c r="E248" s="19"/>
      <c r="F248" s="19"/>
      <c r="G248" s="19"/>
      <c r="H248" s="19"/>
      <c r="I248" s="19"/>
      <c r="J248" s="19"/>
      <c r="K248" s="17"/>
      <c r="L248" s="17"/>
      <c r="M248" s="17"/>
      <c r="N248" s="17"/>
      <c r="O248" s="17"/>
      <c r="P248" s="17"/>
      <c r="Q248" s="17"/>
      <c r="R248" s="17"/>
      <c r="S248" s="17"/>
      <c r="T248" s="17"/>
      <c r="U248" s="17"/>
      <c r="V248" s="12"/>
      <c r="W248" s="12"/>
      <c r="X248" s="12"/>
      <c r="Y248" s="12"/>
      <c r="Z248" s="12"/>
    </row>
    <row r="249" spans="1:26" ht="15" customHeight="1" x14ac:dyDescent="0.3">
      <c r="A249" s="26"/>
      <c r="B249" s="17"/>
      <c r="C249" s="17"/>
      <c r="D249" s="17"/>
      <c r="E249" s="17"/>
      <c r="F249" s="17"/>
      <c r="G249" s="17"/>
      <c r="H249" s="17"/>
      <c r="I249" s="17"/>
      <c r="J249" s="17"/>
      <c r="K249" s="17"/>
      <c r="L249" s="17"/>
      <c r="M249" s="17"/>
      <c r="N249" s="17"/>
      <c r="O249" s="17"/>
      <c r="P249" s="17"/>
      <c r="Q249" s="17"/>
      <c r="R249" s="17"/>
      <c r="S249" s="17"/>
      <c r="T249" s="17"/>
      <c r="U249" s="17"/>
      <c r="V249" s="12"/>
      <c r="W249" s="12"/>
      <c r="X249" s="12"/>
      <c r="Y249" s="12"/>
      <c r="Z249" s="12"/>
    </row>
    <row r="250" spans="1:26" ht="15" customHeight="1" x14ac:dyDescent="0.3">
      <c r="A250" s="26"/>
      <c r="B250" s="17"/>
      <c r="C250" s="17"/>
      <c r="D250" s="17"/>
      <c r="E250" s="17"/>
      <c r="F250" s="17"/>
      <c r="G250" s="17"/>
      <c r="H250" s="17"/>
      <c r="I250" s="17"/>
      <c r="J250" s="17"/>
      <c r="K250" s="17"/>
      <c r="L250" s="17"/>
      <c r="M250" s="17"/>
      <c r="N250" s="17"/>
      <c r="O250" s="17"/>
      <c r="P250" s="17"/>
      <c r="Q250" s="17"/>
      <c r="R250" s="17"/>
      <c r="S250" s="17"/>
      <c r="T250" s="17"/>
      <c r="U250" s="17"/>
      <c r="V250" s="12"/>
      <c r="W250" s="12"/>
      <c r="X250" s="12"/>
      <c r="Y250" s="12"/>
      <c r="Z250" s="12"/>
    </row>
    <row r="251" spans="1:26" ht="15" customHeight="1" x14ac:dyDescent="0.3">
      <c r="A251" s="26"/>
      <c r="B251" s="17"/>
      <c r="C251" s="17"/>
      <c r="D251" s="17"/>
      <c r="E251" s="17"/>
      <c r="F251" s="17"/>
      <c r="G251" s="17"/>
      <c r="H251" s="17"/>
      <c r="I251" s="17"/>
      <c r="J251" s="17"/>
      <c r="K251" s="17"/>
      <c r="L251" s="17"/>
      <c r="M251" s="17"/>
      <c r="N251" s="17"/>
      <c r="O251" s="17"/>
      <c r="P251" s="17"/>
      <c r="Q251" s="17"/>
      <c r="R251" s="17"/>
      <c r="S251" s="17"/>
      <c r="T251" s="17"/>
      <c r="U251" s="17"/>
      <c r="V251" s="12"/>
      <c r="W251" s="12"/>
      <c r="X251" s="12"/>
      <c r="Y251" s="12"/>
      <c r="Z251" s="12"/>
    </row>
    <row r="252" spans="1:26" ht="15" customHeight="1" x14ac:dyDescent="0.3">
      <c r="A252" s="26"/>
      <c r="B252" s="17"/>
      <c r="C252" s="17"/>
      <c r="D252" s="17"/>
      <c r="E252" s="17"/>
      <c r="F252" s="17"/>
      <c r="G252" s="17"/>
      <c r="H252" s="17"/>
      <c r="I252" s="17"/>
      <c r="J252" s="17"/>
      <c r="K252" s="17"/>
      <c r="L252" s="17"/>
      <c r="M252" s="17"/>
      <c r="N252" s="17"/>
      <c r="O252" s="17"/>
      <c r="P252" s="17"/>
      <c r="Q252" s="17"/>
      <c r="R252" s="17"/>
      <c r="S252" s="17"/>
      <c r="T252" s="17"/>
      <c r="U252" s="17"/>
      <c r="V252" s="12"/>
      <c r="W252" s="12"/>
      <c r="X252" s="12"/>
      <c r="Y252" s="12"/>
      <c r="Z252" s="12"/>
    </row>
    <row r="253" spans="1:26" ht="15" customHeight="1" x14ac:dyDescent="0.3">
      <c r="A253" s="26"/>
      <c r="B253" s="17"/>
      <c r="C253" s="17"/>
      <c r="D253" s="17"/>
      <c r="E253" s="17"/>
      <c r="F253" s="17"/>
      <c r="G253" s="17"/>
      <c r="H253" s="17"/>
      <c r="I253" s="17"/>
      <c r="J253" s="17"/>
      <c r="K253" s="17"/>
      <c r="L253" s="17"/>
      <c r="M253" s="17"/>
      <c r="N253" s="17"/>
      <c r="O253" s="17"/>
      <c r="P253" s="17"/>
      <c r="Q253" s="17"/>
      <c r="R253" s="17"/>
      <c r="S253" s="17"/>
      <c r="T253" s="17"/>
      <c r="U253" s="17"/>
      <c r="V253" s="12"/>
      <c r="W253" s="12"/>
      <c r="X253" s="12"/>
      <c r="Y253" s="12"/>
      <c r="Z253" s="12"/>
    </row>
    <row r="254" spans="1:26" ht="15" customHeight="1" x14ac:dyDescent="0.3">
      <c r="A254" s="26"/>
      <c r="B254" s="17"/>
      <c r="C254" s="17"/>
      <c r="D254" s="17"/>
      <c r="E254" s="17"/>
      <c r="F254" s="17"/>
      <c r="G254" s="17"/>
      <c r="H254" s="17"/>
      <c r="I254" s="17"/>
      <c r="J254" s="17"/>
      <c r="K254" s="17"/>
      <c r="L254" s="17"/>
      <c r="M254" s="17"/>
      <c r="N254" s="17"/>
      <c r="O254" s="17"/>
      <c r="P254" s="17"/>
      <c r="Q254" s="17"/>
      <c r="R254" s="17"/>
      <c r="S254" s="17"/>
      <c r="T254" s="17"/>
      <c r="U254" s="17"/>
      <c r="V254" s="12"/>
      <c r="W254" s="12"/>
      <c r="X254" s="12"/>
      <c r="Y254" s="12"/>
      <c r="Z254" s="12"/>
    </row>
    <row r="255" spans="1:26" ht="15" customHeight="1" x14ac:dyDescent="0.3">
      <c r="A255" s="26"/>
      <c r="B255" s="17"/>
      <c r="C255" s="17"/>
      <c r="D255" s="17"/>
      <c r="E255" s="17"/>
      <c r="F255" s="17"/>
      <c r="G255" s="17"/>
      <c r="H255" s="17"/>
      <c r="I255" s="17"/>
      <c r="J255" s="17"/>
      <c r="K255" s="17"/>
      <c r="L255" s="17"/>
      <c r="M255" s="17"/>
      <c r="N255" s="17"/>
      <c r="O255" s="17"/>
      <c r="P255" s="17"/>
      <c r="Q255" s="17"/>
      <c r="R255" s="17"/>
      <c r="S255" s="17"/>
      <c r="T255" s="17"/>
      <c r="U255" s="17"/>
      <c r="V255" s="12"/>
      <c r="W255" s="12"/>
      <c r="X255" s="12"/>
      <c r="Y255" s="12"/>
      <c r="Z255" s="12"/>
    </row>
    <row r="256" spans="1:26" ht="15" customHeight="1" x14ac:dyDescent="0.3">
      <c r="A256" s="26"/>
      <c r="B256" s="17"/>
      <c r="C256" s="17"/>
      <c r="D256" s="17"/>
      <c r="E256" s="17"/>
      <c r="F256" s="17"/>
      <c r="G256" s="17"/>
      <c r="H256" s="17"/>
      <c r="I256" s="17"/>
      <c r="J256" s="17"/>
      <c r="K256" s="17"/>
      <c r="L256" s="17"/>
      <c r="M256" s="17"/>
      <c r="N256" s="17"/>
      <c r="O256" s="17"/>
      <c r="P256" s="17"/>
      <c r="Q256" s="17"/>
      <c r="R256" s="17"/>
      <c r="S256" s="17"/>
      <c r="T256" s="17"/>
      <c r="U256" s="17"/>
      <c r="V256" s="12"/>
      <c r="W256" s="12"/>
      <c r="X256" s="12"/>
      <c r="Y256" s="12"/>
      <c r="Z256" s="12"/>
    </row>
    <row r="257" spans="1:26" ht="15" customHeight="1" x14ac:dyDescent="0.3">
      <c r="A257" s="26"/>
      <c r="B257" s="17"/>
      <c r="C257" s="17"/>
      <c r="D257" s="17"/>
      <c r="E257" s="17"/>
      <c r="F257" s="17"/>
      <c r="G257" s="17"/>
      <c r="H257" s="17"/>
      <c r="I257" s="17"/>
      <c r="J257" s="17"/>
      <c r="K257" s="17"/>
      <c r="L257" s="17"/>
      <c r="M257" s="17"/>
      <c r="N257" s="17"/>
      <c r="O257" s="17"/>
      <c r="P257" s="17"/>
      <c r="Q257" s="17"/>
      <c r="R257" s="17"/>
      <c r="S257" s="17"/>
      <c r="T257" s="17"/>
      <c r="U257" s="17"/>
      <c r="V257" s="12"/>
      <c r="W257" s="12"/>
      <c r="X257" s="12"/>
      <c r="Y257" s="12"/>
      <c r="Z257" s="12"/>
    </row>
    <row r="258" spans="1:26" ht="15" customHeight="1" x14ac:dyDescent="0.3">
      <c r="A258" s="26"/>
      <c r="B258" s="17"/>
      <c r="C258" s="17"/>
      <c r="D258" s="17"/>
      <c r="E258" s="17"/>
      <c r="F258" s="17"/>
      <c r="G258" s="17"/>
      <c r="H258" s="17"/>
      <c r="I258" s="17"/>
      <c r="J258" s="17"/>
      <c r="K258" s="17"/>
      <c r="L258" s="17"/>
      <c r="M258" s="17"/>
      <c r="N258" s="17"/>
      <c r="O258" s="17"/>
      <c r="P258" s="17"/>
      <c r="Q258" s="17"/>
      <c r="R258" s="17"/>
      <c r="S258" s="17"/>
      <c r="T258" s="17"/>
      <c r="U258" s="17"/>
      <c r="V258" s="12"/>
      <c r="W258" s="12"/>
      <c r="X258" s="12"/>
      <c r="Y258" s="12"/>
      <c r="Z258" s="12"/>
    </row>
    <row r="259" spans="1:26" ht="15" customHeight="1" x14ac:dyDescent="0.3">
      <c r="A259" s="26"/>
      <c r="B259" s="17"/>
      <c r="C259" s="17"/>
      <c r="D259" s="17"/>
      <c r="E259" s="17"/>
      <c r="F259" s="17"/>
      <c r="G259" s="17"/>
      <c r="H259" s="17"/>
      <c r="I259" s="17"/>
      <c r="J259" s="17"/>
      <c r="K259" s="17"/>
      <c r="L259" s="17"/>
      <c r="M259" s="17"/>
      <c r="N259" s="17"/>
      <c r="O259" s="17"/>
      <c r="P259" s="17"/>
      <c r="Q259" s="17"/>
      <c r="R259" s="17"/>
      <c r="S259" s="17"/>
      <c r="T259" s="17"/>
      <c r="U259" s="17"/>
      <c r="V259" s="12"/>
      <c r="W259" s="12"/>
      <c r="X259" s="12"/>
      <c r="Y259" s="12"/>
      <c r="Z259" s="12"/>
    </row>
    <row r="260" spans="1:26" ht="15" customHeight="1" x14ac:dyDescent="0.3">
      <c r="A260" s="26"/>
      <c r="B260" s="17"/>
      <c r="C260" s="17"/>
      <c r="D260" s="17"/>
      <c r="E260" s="17"/>
      <c r="F260" s="17"/>
      <c r="G260" s="17"/>
      <c r="H260" s="17"/>
      <c r="I260" s="17"/>
      <c r="J260" s="17"/>
      <c r="K260" s="17"/>
      <c r="L260" s="17"/>
      <c r="M260" s="17"/>
      <c r="N260" s="17"/>
      <c r="O260" s="17"/>
      <c r="P260" s="17"/>
      <c r="Q260" s="17"/>
      <c r="R260" s="17"/>
      <c r="S260" s="17"/>
      <c r="T260" s="17"/>
      <c r="U260" s="17"/>
      <c r="V260" s="12"/>
      <c r="W260" s="12"/>
      <c r="X260" s="12"/>
      <c r="Y260" s="12"/>
      <c r="Z260" s="12"/>
    </row>
    <row r="261" spans="1:26" ht="15" customHeight="1" x14ac:dyDescent="0.3">
      <c r="A261" s="26"/>
      <c r="B261" s="17"/>
      <c r="C261" s="17"/>
      <c r="D261" s="17"/>
      <c r="E261" s="17"/>
      <c r="F261" s="17"/>
      <c r="G261" s="17"/>
      <c r="H261" s="17"/>
      <c r="I261" s="17"/>
      <c r="J261" s="17"/>
      <c r="K261" s="17"/>
      <c r="L261" s="17"/>
      <c r="M261" s="17"/>
      <c r="N261" s="17"/>
      <c r="O261" s="17"/>
      <c r="P261" s="17"/>
      <c r="Q261" s="17"/>
      <c r="R261" s="17"/>
      <c r="S261" s="17"/>
      <c r="T261" s="17"/>
      <c r="U261" s="17"/>
      <c r="V261" s="12"/>
      <c r="W261" s="12"/>
      <c r="X261" s="12"/>
      <c r="Y261" s="12"/>
      <c r="Z261" s="12"/>
    </row>
    <row r="262" spans="1:26" ht="15" customHeight="1" x14ac:dyDescent="0.3">
      <c r="A262" s="26"/>
      <c r="B262" s="17"/>
      <c r="C262" s="17"/>
      <c r="D262" s="17"/>
      <c r="E262" s="17"/>
      <c r="F262" s="17"/>
      <c r="G262" s="17"/>
      <c r="H262" s="17"/>
      <c r="I262" s="17"/>
      <c r="J262" s="17"/>
      <c r="K262" s="17"/>
      <c r="L262" s="17"/>
      <c r="M262" s="17"/>
      <c r="N262" s="17"/>
      <c r="O262" s="17"/>
      <c r="P262" s="17"/>
      <c r="Q262" s="17"/>
      <c r="R262" s="17"/>
      <c r="S262" s="17"/>
      <c r="T262" s="17"/>
      <c r="U262" s="17"/>
      <c r="V262" s="12"/>
      <c r="W262" s="12"/>
      <c r="X262" s="12"/>
      <c r="Y262" s="12"/>
      <c r="Z262" s="12"/>
    </row>
    <row r="263" spans="1:26" ht="15" customHeight="1" x14ac:dyDescent="0.3">
      <c r="A263" s="26"/>
      <c r="B263" s="17"/>
      <c r="C263" s="17"/>
      <c r="D263" s="17"/>
      <c r="E263" s="17"/>
      <c r="F263" s="17"/>
      <c r="G263" s="17"/>
      <c r="H263" s="17"/>
      <c r="I263" s="17"/>
      <c r="J263" s="17"/>
      <c r="K263" s="17"/>
      <c r="L263" s="17"/>
      <c r="M263" s="17"/>
      <c r="N263" s="17"/>
      <c r="O263" s="17"/>
      <c r="P263" s="17"/>
      <c r="Q263" s="17"/>
      <c r="R263" s="17"/>
      <c r="S263" s="17"/>
      <c r="T263" s="17"/>
      <c r="U263" s="17"/>
      <c r="V263" s="12"/>
      <c r="W263" s="12"/>
      <c r="X263" s="12"/>
      <c r="Y263" s="12"/>
      <c r="Z263" s="12"/>
    </row>
    <row r="264" spans="1:26" ht="15" customHeight="1" x14ac:dyDescent="0.3">
      <c r="A264" s="26"/>
      <c r="B264" s="17"/>
      <c r="C264" s="17"/>
      <c r="D264" s="17"/>
      <c r="E264" s="17"/>
      <c r="F264" s="17"/>
      <c r="G264" s="17"/>
      <c r="H264" s="17"/>
      <c r="I264" s="17"/>
      <c r="J264" s="17"/>
      <c r="K264" s="17"/>
      <c r="L264" s="17"/>
      <c r="M264" s="17"/>
      <c r="N264" s="17"/>
      <c r="O264" s="17"/>
      <c r="P264" s="17"/>
      <c r="Q264" s="17"/>
      <c r="R264" s="17"/>
      <c r="S264" s="17"/>
      <c r="T264" s="17"/>
      <c r="U264" s="17"/>
      <c r="V264" s="12"/>
      <c r="W264" s="12"/>
      <c r="X264" s="12"/>
      <c r="Y264" s="12"/>
      <c r="Z264" s="12"/>
    </row>
    <row r="265" spans="1:26" ht="15" customHeight="1" x14ac:dyDescent="0.3">
      <c r="A265" s="26"/>
      <c r="B265" s="17"/>
      <c r="C265" s="17"/>
      <c r="D265" s="17"/>
      <c r="E265" s="17"/>
      <c r="F265" s="17"/>
      <c r="G265" s="17"/>
      <c r="H265" s="17"/>
      <c r="I265" s="17"/>
      <c r="J265" s="17"/>
      <c r="K265" s="17"/>
      <c r="L265" s="17"/>
      <c r="M265" s="17"/>
      <c r="N265" s="17"/>
      <c r="O265" s="17"/>
      <c r="P265" s="17"/>
      <c r="Q265" s="17"/>
      <c r="R265" s="17"/>
      <c r="S265" s="17"/>
      <c r="T265" s="17"/>
      <c r="U265" s="17"/>
      <c r="V265" s="12"/>
      <c r="W265" s="12"/>
      <c r="X265" s="12"/>
      <c r="Y265" s="12"/>
      <c r="Z265" s="12"/>
    </row>
    <row r="266" spans="1:26" ht="15" customHeight="1" x14ac:dyDescent="0.3">
      <c r="A266" s="26"/>
      <c r="B266" s="17"/>
      <c r="C266" s="17"/>
      <c r="D266" s="17"/>
      <c r="E266" s="17"/>
      <c r="F266" s="17"/>
      <c r="G266" s="17"/>
      <c r="H266" s="17"/>
      <c r="I266" s="17"/>
      <c r="J266" s="17"/>
      <c r="K266" s="17"/>
      <c r="L266" s="17"/>
      <c r="M266" s="17"/>
      <c r="N266" s="17"/>
      <c r="O266" s="17"/>
      <c r="P266" s="17"/>
      <c r="Q266" s="17"/>
      <c r="R266" s="17"/>
      <c r="S266" s="17"/>
      <c r="T266" s="17"/>
      <c r="U266" s="17"/>
      <c r="V266" s="12"/>
      <c r="W266" s="12"/>
      <c r="X266" s="12"/>
      <c r="Y266" s="12"/>
      <c r="Z266" s="12"/>
    </row>
    <row r="267" spans="1:26" ht="15" customHeight="1" x14ac:dyDescent="0.3">
      <c r="A267" s="26"/>
      <c r="B267" s="17"/>
      <c r="C267" s="17"/>
      <c r="D267" s="17"/>
      <c r="E267" s="17"/>
      <c r="F267" s="17"/>
      <c r="G267" s="17"/>
      <c r="H267" s="17"/>
      <c r="I267" s="17"/>
      <c r="J267" s="17"/>
      <c r="K267" s="17"/>
      <c r="L267" s="17"/>
      <c r="M267" s="17"/>
      <c r="N267" s="17"/>
      <c r="O267" s="17"/>
      <c r="P267" s="17"/>
      <c r="Q267" s="17"/>
      <c r="R267" s="17"/>
      <c r="S267" s="17"/>
      <c r="T267" s="17"/>
      <c r="U267" s="17"/>
      <c r="V267" s="12"/>
      <c r="W267" s="12"/>
      <c r="X267" s="12"/>
      <c r="Y267" s="12"/>
      <c r="Z267" s="12"/>
    </row>
    <row r="268" spans="1:26" ht="15" customHeight="1" x14ac:dyDescent="0.3">
      <c r="A268" s="26"/>
      <c r="B268" s="17"/>
      <c r="C268" s="17"/>
      <c r="D268" s="17"/>
      <c r="E268" s="17"/>
      <c r="F268" s="17"/>
      <c r="G268" s="17"/>
      <c r="H268" s="17"/>
      <c r="I268" s="17"/>
      <c r="J268" s="17"/>
      <c r="K268" s="17"/>
      <c r="L268" s="17"/>
      <c r="M268" s="17"/>
      <c r="N268" s="17"/>
      <c r="O268" s="17"/>
      <c r="P268" s="17"/>
      <c r="Q268" s="17"/>
      <c r="R268" s="17"/>
      <c r="S268" s="17"/>
      <c r="T268" s="17"/>
      <c r="U268" s="17"/>
      <c r="V268" s="12"/>
      <c r="W268" s="12"/>
      <c r="X268" s="12"/>
      <c r="Y268" s="12"/>
      <c r="Z268" s="12"/>
    </row>
    <row r="269" spans="1:26" ht="15" customHeight="1" x14ac:dyDescent="0.3">
      <c r="A269" s="26"/>
      <c r="B269" s="17"/>
      <c r="C269" s="17"/>
      <c r="D269" s="17"/>
      <c r="E269" s="17"/>
      <c r="F269" s="17"/>
      <c r="G269" s="17"/>
      <c r="H269" s="17"/>
      <c r="I269" s="17"/>
      <c r="J269" s="17"/>
      <c r="K269" s="17"/>
      <c r="L269" s="17"/>
      <c r="M269" s="17"/>
      <c r="N269" s="17"/>
      <c r="O269" s="17"/>
      <c r="P269" s="17"/>
      <c r="Q269" s="17"/>
      <c r="R269" s="17"/>
      <c r="S269" s="17"/>
      <c r="T269" s="17"/>
      <c r="U269" s="17"/>
      <c r="V269" s="12"/>
      <c r="W269" s="12"/>
      <c r="X269" s="12"/>
      <c r="Y269" s="12"/>
      <c r="Z269" s="12"/>
    </row>
    <row r="270" spans="1:26" ht="15" customHeight="1" x14ac:dyDescent="0.3">
      <c r="A270" s="26"/>
      <c r="B270" s="17"/>
      <c r="C270" s="17"/>
      <c r="D270" s="17"/>
      <c r="E270" s="17"/>
      <c r="F270" s="17"/>
      <c r="G270" s="17"/>
      <c r="H270" s="17"/>
      <c r="I270" s="17"/>
      <c r="J270" s="17"/>
      <c r="K270" s="17"/>
      <c r="L270" s="17"/>
      <c r="M270" s="17"/>
      <c r="N270" s="17"/>
      <c r="O270" s="17"/>
      <c r="P270" s="17"/>
      <c r="Q270" s="17"/>
      <c r="R270" s="17"/>
      <c r="S270" s="17"/>
      <c r="T270" s="17"/>
      <c r="U270" s="17"/>
      <c r="V270" s="12"/>
      <c r="W270" s="12"/>
      <c r="X270" s="12"/>
      <c r="Y270" s="12"/>
      <c r="Z270" s="12"/>
    </row>
    <row r="271" spans="1:26" ht="15" customHeight="1" x14ac:dyDescent="0.3">
      <c r="A271" s="26"/>
      <c r="B271" s="17"/>
      <c r="C271" s="17"/>
      <c r="D271" s="17"/>
      <c r="E271" s="17"/>
      <c r="F271" s="17"/>
      <c r="G271" s="17"/>
      <c r="H271" s="17"/>
      <c r="I271" s="17"/>
      <c r="J271" s="17"/>
      <c r="K271" s="17"/>
      <c r="L271" s="17"/>
      <c r="M271" s="17"/>
      <c r="N271" s="17"/>
      <c r="O271" s="17"/>
      <c r="P271" s="17"/>
      <c r="Q271" s="17"/>
      <c r="R271" s="17"/>
      <c r="S271" s="17"/>
      <c r="T271" s="17"/>
      <c r="U271" s="17"/>
      <c r="V271" s="12"/>
      <c r="W271" s="12"/>
      <c r="X271" s="12"/>
      <c r="Y271" s="12"/>
      <c r="Z271" s="12"/>
    </row>
    <row r="272" spans="1:26" ht="15" customHeight="1" x14ac:dyDescent="0.3">
      <c r="A272" s="26"/>
      <c r="B272" s="17"/>
      <c r="C272" s="17"/>
      <c r="D272" s="17"/>
      <c r="E272" s="17"/>
      <c r="F272" s="17"/>
      <c r="G272" s="17"/>
      <c r="H272" s="17"/>
      <c r="I272" s="17"/>
      <c r="J272" s="17"/>
      <c r="K272" s="17"/>
      <c r="L272" s="17"/>
      <c r="M272" s="17"/>
      <c r="N272" s="17"/>
      <c r="O272" s="17"/>
      <c r="P272" s="17"/>
      <c r="Q272" s="17"/>
      <c r="R272" s="17"/>
      <c r="S272" s="17"/>
      <c r="T272" s="17"/>
      <c r="U272" s="17"/>
      <c r="V272" s="12"/>
      <c r="W272" s="12"/>
      <c r="X272" s="12"/>
      <c r="Y272" s="12"/>
      <c r="Z272" s="12"/>
    </row>
    <row r="273" spans="1:26" ht="15" customHeight="1" x14ac:dyDescent="0.3">
      <c r="A273" s="26"/>
      <c r="B273" s="17"/>
      <c r="C273" s="17"/>
      <c r="D273" s="17"/>
      <c r="E273" s="17"/>
      <c r="F273" s="17"/>
      <c r="G273" s="17"/>
      <c r="H273" s="17"/>
      <c r="I273" s="17"/>
      <c r="J273" s="17"/>
      <c r="K273" s="17"/>
      <c r="L273" s="17"/>
      <c r="M273" s="17"/>
      <c r="N273" s="17"/>
      <c r="O273" s="17"/>
      <c r="P273" s="17"/>
      <c r="Q273" s="17"/>
      <c r="R273" s="17"/>
      <c r="S273" s="17"/>
      <c r="T273" s="17"/>
      <c r="U273" s="17"/>
      <c r="V273" s="12"/>
      <c r="W273" s="12"/>
      <c r="X273" s="12"/>
      <c r="Y273" s="12"/>
      <c r="Z273" s="12"/>
    </row>
    <row r="274" spans="1:26" ht="15" customHeight="1" x14ac:dyDescent="0.3">
      <c r="A274" s="26"/>
      <c r="B274" s="17"/>
      <c r="C274" s="17"/>
      <c r="D274" s="17"/>
      <c r="E274" s="17"/>
      <c r="F274" s="17"/>
      <c r="G274" s="17"/>
      <c r="H274" s="17"/>
      <c r="I274" s="17"/>
      <c r="J274" s="17"/>
      <c r="K274" s="17"/>
      <c r="L274" s="17"/>
      <c r="M274" s="17"/>
      <c r="N274" s="17"/>
      <c r="O274" s="17"/>
      <c r="P274" s="17"/>
      <c r="Q274" s="17"/>
      <c r="R274" s="17"/>
      <c r="S274" s="17"/>
      <c r="T274" s="17"/>
      <c r="U274" s="17"/>
      <c r="V274" s="12"/>
      <c r="W274" s="12"/>
      <c r="X274" s="12"/>
      <c r="Y274" s="12"/>
      <c r="Z274" s="12"/>
    </row>
    <row r="275" spans="1:26" ht="15" customHeight="1" x14ac:dyDescent="0.3">
      <c r="A275" s="26"/>
      <c r="B275" s="17"/>
      <c r="C275" s="17"/>
      <c r="D275" s="17"/>
      <c r="E275" s="17"/>
      <c r="F275" s="17"/>
      <c r="G275" s="17"/>
      <c r="H275" s="17"/>
      <c r="I275" s="17"/>
      <c r="J275" s="17"/>
      <c r="K275" s="17"/>
      <c r="L275" s="17"/>
      <c r="M275" s="17"/>
      <c r="N275" s="17"/>
      <c r="O275" s="17"/>
      <c r="P275" s="17"/>
      <c r="Q275" s="17"/>
      <c r="R275" s="17"/>
      <c r="S275" s="17"/>
      <c r="T275" s="17"/>
      <c r="U275" s="17"/>
      <c r="V275" s="12"/>
      <c r="W275" s="12"/>
      <c r="X275" s="12"/>
      <c r="Y275" s="12"/>
      <c r="Z275" s="12"/>
    </row>
    <row r="276" spans="1:26" ht="15" customHeight="1" x14ac:dyDescent="0.3">
      <c r="A276" s="26"/>
      <c r="B276" s="17"/>
      <c r="C276" s="17"/>
      <c r="D276" s="17"/>
      <c r="E276" s="17"/>
      <c r="F276" s="17"/>
      <c r="G276" s="17"/>
      <c r="H276" s="17"/>
      <c r="I276" s="17"/>
      <c r="J276" s="17"/>
      <c r="K276" s="17"/>
      <c r="L276" s="17"/>
      <c r="M276" s="17"/>
      <c r="N276" s="17"/>
      <c r="O276" s="17"/>
      <c r="P276" s="17"/>
      <c r="Q276" s="17"/>
      <c r="R276" s="17"/>
      <c r="S276" s="17"/>
      <c r="T276" s="17"/>
      <c r="U276" s="17"/>
      <c r="V276" s="21"/>
      <c r="W276" s="21"/>
      <c r="X276" s="21"/>
      <c r="Y276" s="21"/>
      <c r="Z276" s="21"/>
    </row>
    <row r="277" spans="1:26" ht="15" customHeight="1" x14ac:dyDescent="0.3">
      <c r="A277" s="26"/>
      <c r="B277" s="17"/>
      <c r="C277" s="17"/>
      <c r="D277" s="17"/>
      <c r="E277" s="17"/>
      <c r="F277" s="17"/>
      <c r="G277" s="17"/>
      <c r="H277" s="17"/>
      <c r="I277" s="17"/>
      <c r="J277" s="17"/>
      <c r="K277" s="17"/>
      <c r="L277" s="17"/>
      <c r="M277" s="17"/>
      <c r="N277" s="17"/>
      <c r="O277" s="17"/>
      <c r="P277" s="17"/>
      <c r="Q277" s="17"/>
      <c r="R277" s="17"/>
      <c r="S277" s="17"/>
      <c r="T277" s="17"/>
      <c r="U277" s="17"/>
      <c r="V277" s="12"/>
      <c r="W277" s="12"/>
      <c r="X277" s="12"/>
      <c r="Y277" s="12"/>
      <c r="Z277" s="12"/>
    </row>
    <row r="278" spans="1:26" ht="15" customHeight="1" x14ac:dyDescent="0.3">
      <c r="A278" s="26"/>
      <c r="B278" s="17"/>
      <c r="C278" s="17"/>
      <c r="D278" s="17"/>
      <c r="E278" s="17"/>
      <c r="F278" s="17"/>
      <c r="G278" s="17"/>
      <c r="H278" s="17"/>
      <c r="I278" s="17"/>
      <c r="J278" s="17"/>
      <c r="K278" s="17"/>
      <c r="L278" s="17"/>
      <c r="M278" s="17"/>
      <c r="N278" s="17"/>
      <c r="O278" s="17"/>
      <c r="P278" s="17"/>
      <c r="Q278" s="17"/>
      <c r="R278" s="17"/>
      <c r="S278" s="17"/>
      <c r="T278" s="17"/>
      <c r="U278" s="17"/>
      <c r="V278" s="12"/>
      <c r="W278" s="12"/>
      <c r="X278" s="12"/>
      <c r="Y278" s="12"/>
      <c r="Z278" s="12"/>
    </row>
    <row r="279" spans="1:26" ht="15" customHeight="1" x14ac:dyDescent="0.3">
      <c r="A279" s="26"/>
      <c r="B279" s="17"/>
      <c r="C279" s="17"/>
      <c r="D279" s="17"/>
      <c r="E279" s="17"/>
      <c r="F279" s="17"/>
      <c r="G279" s="17"/>
      <c r="H279" s="17"/>
      <c r="I279" s="17"/>
      <c r="J279" s="17"/>
      <c r="K279" s="17"/>
      <c r="L279" s="17"/>
      <c r="M279" s="17"/>
      <c r="N279" s="17"/>
      <c r="O279" s="17"/>
      <c r="P279" s="17"/>
      <c r="Q279" s="17"/>
      <c r="R279" s="17"/>
      <c r="S279" s="17"/>
      <c r="T279" s="17"/>
      <c r="U279" s="17"/>
      <c r="V279" s="12"/>
      <c r="W279" s="12"/>
      <c r="X279" s="12"/>
      <c r="Y279" s="12"/>
      <c r="Z279" s="12"/>
    </row>
    <row r="280" spans="1:26" ht="15" customHeight="1" x14ac:dyDescent="0.3">
      <c r="A280" s="26"/>
      <c r="B280" s="17"/>
      <c r="C280" s="17"/>
      <c r="D280" s="17"/>
      <c r="E280" s="17"/>
      <c r="F280" s="17"/>
      <c r="G280" s="17"/>
      <c r="H280" s="17"/>
      <c r="I280" s="17"/>
      <c r="J280" s="17"/>
      <c r="K280" s="17"/>
      <c r="L280" s="17"/>
      <c r="M280" s="17"/>
      <c r="N280" s="17"/>
      <c r="O280" s="17"/>
      <c r="P280" s="17"/>
      <c r="Q280" s="17"/>
      <c r="R280" s="17"/>
      <c r="S280" s="17"/>
      <c r="T280" s="17"/>
      <c r="U280" s="17"/>
      <c r="V280" s="12"/>
      <c r="W280" s="12"/>
      <c r="X280" s="12"/>
      <c r="Y280" s="12"/>
      <c r="Z280" s="12"/>
    </row>
    <row r="281" spans="1:26" ht="15" customHeight="1" x14ac:dyDescent="0.3">
      <c r="A281" s="26"/>
      <c r="B281" s="17"/>
      <c r="C281" s="17"/>
      <c r="D281" s="17"/>
      <c r="E281" s="17"/>
      <c r="F281" s="17"/>
      <c r="G281" s="17"/>
      <c r="H281" s="17"/>
      <c r="I281" s="17"/>
      <c r="J281" s="17"/>
      <c r="K281" s="17"/>
      <c r="L281" s="17"/>
      <c r="M281" s="17"/>
      <c r="N281" s="17"/>
      <c r="O281" s="17"/>
      <c r="P281" s="17"/>
      <c r="Q281" s="17"/>
      <c r="R281" s="17"/>
      <c r="S281" s="17"/>
      <c r="T281" s="17"/>
      <c r="U281" s="17"/>
      <c r="V281" s="12"/>
      <c r="W281" s="12"/>
      <c r="X281" s="12"/>
      <c r="Y281" s="12"/>
      <c r="Z281" s="12"/>
    </row>
    <row r="282" spans="1:26" ht="15" customHeight="1" x14ac:dyDescent="0.3">
      <c r="A282" s="26"/>
      <c r="B282" s="17"/>
      <c r="C282" s="17"/>
      <c r="D282" s="17"/>
      <c r="E282" s="17"/>
      <c r="F282" s="17"/>
      <c r="G282" s="17"/>
      <c r="H282" s="17"/>
      <c r="I282" s="17"/>
      <c r="J282" s="17"/>
      <c r="K282" s="17"/>
      <c r="L282" s="17"/>
      <c r="M282" s="17"/>
      <c r="N282" s="17"/>
      <c r="O282" s="17"/>
      <c r="P282" s="17"/>
      <c r="Q282" s="17"/>
      <c r="R282" s="17"/>
      <c r="S282" s="17"/>
      <c r="T282" s="17"/>
      <c r="U282" s="17"/>
      <c r="V282" s="12"/>
      <c r="W282" s="12"/>
      <c r="X282" s="12"/>
      <c r="Y282" s="12"/>
      <c r="Z282" s="12"/>
    </row>
    <row r="283" spans="1:26" ht="15" customHeight="1" x14ac:dyDescent="0.3">
      <c r="A283" s="26"/>
      <c r="B283" s="17"/>
      <c r="C283" s="17"/>
      <c r="D283" s="17"/>
      <c r="E283" s="17"/>
      <c r="F283" s="17"/>
      <c r="G283" s="17"/>
      <c r="H283" s="17"/>
      <c r="I283" s="17"/>
      <c r="J283" s="17"/>
      <c r="K283" s="17"/>
      <c r="L283" s="17"/>
      <c r="M283" s="17"/>
      <c r="N283" s="17"/>
      <c r="O283" s="17"/>
      <c r="P283" s="17"/>
      <c r="Q283" s="17"/>
      <c r="R283" s="17"/>
      <c r="S283" s="17"/>
      <c r="T283" s="17"/>
      <c r="U283" s="17"/>
      <c r="V283" s="12"/>
      <c r="W283" s="12"/>
      <c r="X283" s="12"/>
      <c r="Y283" s="12"/>
      <c r="Z283" s="12"/>
    </row>
    <row r="284" spans="1:26" ht="15" customHeight="1" x14ac:dyDescent="0.3">
      <c r="A284" s="26"/>
      <c r="B284" s="17"/>
      <c r="C284" s="17"/>
      <c r="D284" s="17"/>
      <c r="E284" s="17"/>
      <c r="F284" s="17"/>
      <c r="G284" s="17"/>
      <c r="H284" s="17"/>
      <c r="I284" s="17"/>
      <c r="J284" s="17"/>
      <c r="K284" s="17"/>
      <c r="L284" s="17"/>
      <c r="M284" s="17"/>
      <c r="N284" s="17"/>
      <c r="O284" s="17"/>
      <c r="P284" s="17"/>
      <c r="Q284" s="17"/>
      <c r="R284" s="17"/>
      <c r="S284" s="17"/>
      <c r="T284" s="17"/>
      <c r="U284" s="17"/>
      <c r="V284" s="12"/>
      <c r="W284" s="12"/>
      <c r="X284" s="12"/>
      <c r="Y284" s="12"/>
      <c r="Z284" s="12"/>
    </row>
    <row r="285" spans="1:26" ht="15" customHeight="1" x14ac:dyDescent="0.3">
      <c r="A285" s="26"/>
      <c r="B285" s="17"/>
      <c r="C285" s="17"/>
      <c r="D285" s="17"/>
      <c r="E285" s="17"/>
      <c r="F285" s="17"/>
      <c r="G285" s="17"/>
      <c r="H285" s="17"/>
      <c r="I285" s="17"/>
      <c r="J285" s="17"/>
      <c r="K285" s="17"/>
      <c r="L285" s="17"/>
      <c r="M285" s="17"/>
      <c r="N285" s="17"/>
      <c r="O285" s="17"/>
      <c r="P285" s="17"/>
      <c r="Q285" s="17"/>
      <c r="R285" s="17"/>
      <c r="S285" s="17"/>
      <c r="T285" s="17"/>
      <c r="U285" s="17"/>
      <c r="V285" s="12"/>
      <c r="W285" s="12"/>
      <c r="X285" s="12"/>
      <c r="Y285" s="12"/>
      <c r="Z285" s="12"/>
    </row>
    <row r="286" spans="1:26" ht="15" customHeight="1" x14ac:dyDescent="0.3">
      <c r="A286" s="26"/>
      <c r="B286" s="17"/>
      <c r="C286" s="17"/>
      <c r="D286" s="17"/>
      <c r="E286" s="17"/>
      <c r="F286" s="17"/>
      <c r="G286" s="17"/>
      <c r="H286" s="17"/>
      <c r="I286" s="17"/>
      <c r="J286" s="17"/>
      <c r="K286" s="17"/>
      <c r="L286" s="17"/>
      <c r="M286" s="17"/>
      <c r="N286" s="17"/>
      <c r="O286" s="17"/>
      <c r="P286" s="17"/>
      <c r="Q286" s="17"/>
      <c r="R286" s="17"/>
      <c r="S286" s="17"/>
      <c r="T286" s="17"/>
      <c r="U286" s="17"/>
      <c r="V286" s="12"/>
      <c r="W286" s="12"/>
      <c r="X286" s="12"/>
      <c r="Y286" s="12"/>
      <c r="Z286" s="12"/>
    </row>
    <row r="287" spans="1:26" ht="15" customHeight="1" x14ac:dyDescent="0.3">
      <c r="A287" s="26"/>
      <c r="B287" s="17"/>
      <c r="C287" s="17"/>
      <c r="D287" s="17"/>
      <c r="E287" s="17"/>
      <c r="F287" s="17"/>
      <c r="G287" s="17"/>
      <c r="H287" s="17"/>
      <c r="I287" s="17"/>
      <c r="J287" s="17"/>
      <c r="K287" s="17"/>
      <c r="L287" s="17"/>
      <c r="M287" s="17"/>
      <c r="N287" s="17"/>
      <c r="O287" s="17"/>
      <c r="P287" s="17"/>
      <c r="Q287" s="17"/>
      <c r="R287" s="17"/>
      <c r="S287" s="17"/>
      <c r="T287" s="17"/>
      <c r="U287" s="17"/>
      <c r="V287" s="12"/>
      <c r="W287" s="12"/>
      <c r="X287" s="12"/>
      <c r="Y287" s="12"/>
      <c r="Z287" s="12"/>
    </row>
    <row r="288" spans="1:26" ht="15" customHeight="1" x14ac:dyDescent="0.3">
      <c r="A288" s="26"/>
      <c r="B288" s="17"/>
      <c r="C288" s="17"/>
      <c r="D288" s="17"/>
      <c r="E288" s="17"/>
      <c r="F288" s="17"/>
      <c r="G288" s="17"/>
      <c r="H288" s="17"/>
      <c r="I288" s="17"/>
      <c r="J288" s="17"/>
      <c r="K288" s="17"/>
      <c r="L288" s="17"/>
      <c r="M288" s="17"/>
      <c r="N288" s="17"/>
      <c r="O288" s="17"/>
      <c r="P288" s="17"/>
      <c r="Q288" s="17"/>
      <c r="R288" s="17"/>
      <c r="S288" s="17"/>
      <c r="T288" s="17"/>
      <c r="U288" s="17"/>
      <c r="V288" s="12"/>
      <c r="W288" s="12"/>
      <c r="X288" s="12"/>
      <c r="Y288" s="12"/>
      <c r="Z288" s="12"/>
    </row>
    <row r="289" spans="1:26" ht="15" customHeight="1" x14ac:dyDescent="0.3">
      <c r="A289" s="26"/>
      <c r="B289" s="17"/>
      <c r="C289" s="17"/>
      <c r="D289" s="17"/>
      <c r="E289" s="17"/>
      <c r="F289" s="17"/>
      <c r="G289" s="17"/>
      <c r="H289" s="17"/>
      <c r="I289" s="17"/>
      <c r="J289" s="17"/>
      <c r="K289" s="17"/>
      <c r="L289" s="17"/>
      <c r="M289" s="17"/>
      <c r="N289" s="17"/>
      <c r="O289" s="17"/>
      <c r="P289" s="17"/>
      <c r="Q289" s="17"/>
      <c r="R289" s="17"/>
      <c r="S289" s="17"/>
      <c r="T289" s="17"/>
      <c r="U289" s="17"/>
      <c r="V289" s="12"/>
      <c r="W289" s="12"/>
      <c r="X289" s="12"/>
      <c r="Y289" s="12"/>
      <c r="Z289" s="12"/>
    </row>
    <row r="290" spans="1:26" ht="15" customHeight="1" x14ac:dyDescent="0.3">
      <c r="A290" s="27"/>
      <c r="B290" s="19"/>
      <c r="C290" s="19"/>
      <c r="D290" s="19"/>
      <c r="E290" s="19"/>
      <c r="F290" s="19"/>
      <c r="G290" s="19"/>
      <c r="H290" s="19"/>
      <c r="I290" s="19"/>
      <c r="J290" s="19"/>
      <c r="K290" s="17"/>
      <c r="L290" s="17"/>
      <c r="M290" s="17"/>
      <c r="N290" s="17"/>
      <c r="O290" s="17"/>
      <c r="P290" s="17"/>
      <c r="Q290" s="17"/>
      <c r="R290" s="17"/>
      <c r="S290" s="17"/>
      <c r="T290" s="17"/>
      <c r="U290" s="17"/>
      <c r="V290" s="12"/>
      <c r="W290" s="12"/>
      <c r="X290" s="12"/>
      <c r="Y290" s="12"/>
      <c r="Z290" s="12"/>
    </row>
    <row r="291" spans="1:26" ht="15" customHeight="1" x14ac:dyDescent="0.3">
      <c r="A291" s="26"/>
      <c r="B291" s="17"/>
      <c r="C291" s="17"/>
      <c r="D291" s="17"/>
      <c r="E291" s="17"/>
      <c r="F291" s="17"/>
      <c r="G291" s="17"/>
      <c r="H291" s="17"/>
      <c r="I291" s="17"/>
      <c r="J291" s="17"/>
      <c r="K291" s="17"/>
      <c r="L291" s="17"/>
      <c r="M291" s="17"/>
      <c r="N291" s="17"/>
      <c r="O291" s="17"/>
      <c r="P291" s="17"/>
      <c r="Q291" s="17"/>
      <c r="R291" s="17"/>
      <c r="S291" s="17"/>
      <c r="T291" s="17"/>
      <c r="U291" s="17"/>
      <c r="V291" s="12"/>
      <c r="W291" s="12"/>
      <c r="X291" s="12"/>
      <c r="Y291" s="12"/>
      <c r="Z291" s="12"/>
    </row>
    <row r="292" spans="1:26" ht="15" customHeight="1" x14ac:dyDescent="0.3">
      <c r="A292" s="26"/>
      <c r="B292" s="17"/>
      <c r="C292" s="17"/>
      <c r="D292" s="17"/>
      <c r="E292" s="17"/>
      <c r="F292" s="17"/>
      <c r="G292" s="17"/>
      <c r="H292" s="17"/>
      <c r="I292" s="17"/>
      <c r="J292" s="17"/>
      <c r="K292" s="17"/>
      <c r="L292" s="17"/>
      <c r="M292" s="17"/>
      <c r="N292" s="17"/>
      <c r="O292" s="17"/>
      <c r="P292" s="17"/>
      <c r="Q292" s="17"/>
      <c r="R292" s="17"/>
      <c r="S292" s="17"/>
      <c r="T292" s="17"/>
      <c r="U292" s="17"/>
      <c r="V292" s="12"/>
      <c r="W292" s="12"/>
      <c r="X292" s="12"/>
      <c r="Y292" s="12"/>
      <c r="Z292" s="12"/>
    </row>
    <row r="293" spans="1:26" ht="15" customHeight="1" x14ac:dyDescent="0.3">
      <c r="A293" s="26"/>
      <c r="B293" s="17"/>
      <c r="C293" s="17"/>
      <c r="D293" s="17"/>
      <c r="E293" s="17"/>
      <c r="F293" s="17"/>
      <c r="G293" s="17"/>
      <c r="H293" s="17"/>
      <c r="I293" s="17"/>
      <c r="J293" s="17"/>
      <c r="K293" s="17"/>
      <c r="L293" s="17"/>
      <c r="M293" s="17"/>
      <c r="N293" s="17"/>
      <c r="O293" s="17"/>
      <c r="P293" s="17"/>
      <c r="Q293" s="17"/>
      <c r="R293" s="17"/>
      <c r="S293" s="17"/>
      <c r="T293" s="17"/>
      <c r="U293" s="17"/>
      <c r="V293" s="12"/>
      <c r="W293" s="12"/>
      <c r="X293" s="12"/>
      <c r="Y293" s="12"/>
      <c r="Z293" s="12"/>
    </row>
    <row r="294" spans="1:26" ht="15" customHeight="1" x14ac:dyDescent="0.3">
      <c r="A294" s="26"/>
      <c r="B294" s="17"/>
      <c r="C294" s="17"/>
      <c r="D294" s="17"/>
      <c r="E294" s="17"/>
      <c r="F294" s="17"/>
      <c r="G294" s="17"/>
      <c r="H294" s="17"/>
      <c r="I294" s="17"/>
      <c r="J294" s="17"/>
      <c r="K294" s="17"/>
      <c r="L294" s="17"/>
      <c r="M294" s="17"/>
      <c r="N294" s="17"/>
      <c r="O294" s="17"/>
      <c r="P294" s="17"/>
      <c r="Q294" s="17"/>
      <c r="R294" s="17"/>
      <c r="S294" s="17"/>
      <c r="T294" s="17"/>
      <c r="U294" s="17"/>
      <c r="V294" s="12"/>
      <c r="W294" s="12"/>
      <c r="X294" s="12"/>
      <c r="Y294" s="12"/>
      <c r="Z294" s="12"/>
    </row>
    <row r="295" spans="1:26" ht="15" customHeight="1" x14ac:dyDescent="0.3">
      <c r="A295" s="26"/>
      <c r="B295" s="17"/>
      <c r="C295" s="17"/>
      <c r="D295" s="17"/>
      <c r="E295" s="17"/>
      <c r="F295" s="17"/>
      <c r="G295" s="17"/>
      <c r="H295" s="17"/>
      <c r="I295" s="17"/>
      <c r="J295" s="17"/>
      <c r="K295" s="17"/>
      <c r="L295" s="17"/>
      <c r="M295" s="17"/>
      <c r="N295" s="17"/>
      <c r="O295" s="17"/>
      <c r="P295" s="17"/>
      <c r="Q295" s="17"/>
      <c r="R295" s="17"/>
      <c r="S295" s="17"/>
      <c r="T295" s="17"/>
      <c r="U295" s="17"/>
      <c r="V295" s="12"/>
      <c r="W295" s="12"/>
      <c r="X295" s="12"/>
      <c r="Y295" s="12"/>
      <c r="Z295" s="12"/>
    </row>
    <row r="296" spans="1:26" ht="15" customHeight="1" x14ac:dyDescent="0.3">
      <c r="A296" s="26"/>
      <c r="B296" s="17"/>
      <c r="C296" s="17"/>
      <c r="D296" s="17"/>
      <c r="E296" s="17"/>
      <c r="F296" s="17"/>
      <c r="G296" s="17"/>
      <c r="H296" s="17"/>
      <c r="I296" s="17"/>
      <c r="J296" s="17"/>
      <c r="K296" s="17"/>
      <c r="L296" s="17"/>
      <c r="M296" s="17"/>
      <c r="N296" s="17"/>
      <c r="O296" s="17"/>
      <c r="P296" s="17"/>
      <c r="Q296" s="17"/>
      <c r="R296" s="17"/>
      <c r="S296" s="17"/>
      <c r="T296" s="17"/>
      <c r="U296" s="17"/>
      <c r="V296" s="12"/>
      <c r="W296" s="12"/>
      <c r="X296" s="12"/>
      <c r="Y296" s="12"/>
      <c r="Z296" s="12"/>
    </row>
    <row r="297" spans="1:26" ht="15" customHeight="1" x14ac:dyDescent="0.3">
      <c r="A297" s="26"/>
      <c r="B297" s="17"/>
      <c r="C297" s="17"/>
      <c r="D297" s="17"/>
      <c r="E297" s="17"/>
      <c r="F297" s="17"/>
      <c r="G297" s="17"/>
      <c r="H297" s="17"/>
      <c r="I297" s="17"/>
      <c r="J297" s="17"/>
      <c r="K297" s="17"/>
      <c r="L297" s="17"/>
      <c r="M297" s="17"/>
      <c r="N297" s="17"/>
      <c r="O297" s="17"/>
      <c r="P297" s="17"/>
      <c r="Q297" s="17"/>
      <c r="R297" s="17"/>
      <c r="S297" s="17"/>
      <c r="T297" s="17"/>
      <c r="U297" s="17"/>
      <c r="V297" s="12"/>
      <c r="W297" s="12"/>
      <c r="X297" s="12"/>
      <c r="Y297" s="12"/>
      <c r="Z297" s="12"/>
    </row>
    <row r="298" spans="1:26" ht="15" customHeight="1" x14ac:dyDescent="0.3">
      <c r="A298" s="26"/>
      <c r="B298" s="17"/>
      <c r="C298" s="17"/>
      <c r="D298" s="17"/>
      <c r="E298" s="17"/>
      <c r="F298" s="17"/>
      <c r="G298" s="17"/>
      <c r="H298" s="17"/>
      <c r="I298" s="17"/>
      <c r="J298" s="17"/>
      <c r="K298" s="17"/>
      <c r="L298" s="17"/>
      <c r="M298" s="17"/>
      <c r="N298" s="17"/>
      <c r="O298" s="17"/>
      <c r="P298" s="17"/>
      <c r="Q298" s="17"/>
      <c r="R298" s="17"/>
      <c r="S298" s="17"/>
      <c r="T298" s="17"/>
      <c r="U298" s="17"/>
      <c r="V298" s="12"/>
      <c r="W298" s="12"/>
      <c r="X298" s="12"/>
      <c r="Y298" s="12"/>
      <c r="Z298" s="12"/>
    </row>
    <row r="299" spans="1:26" ht="15" customHeight="1" x14ac:dyDescent="0.3">
      <c r="A299" s="26"/>
      <c r="B299" s="17"/>
      <c r="C299" s="17"/>
      <c r="D299" s="17"/>
      <c r="E299" s="17"/>
      <c r="F299" s="17"/>
      <c r="G299" s="17"/>
      <c r="H299" s="17"/>
      <c r="I299" s="17"/>
      <c r="J299" s="17"/>
      <c r="K299" s="17"/>
      <c r="L299" s="17"/>
      <c r="M299" s="17"/>
      <c r="N299" s="17"/>
      <c r="O299" s="17"/>
      <c r="P299" s="17"/>
      <c r="Q299" s="17"/>
      <c r="R299" s="17"/>
      <c r="S299" s="17"/>
      <c r="T299" s="17"/>
      <c r="U299" s="17"/>
      <c r="V299" s="12"/>
      <c r="W299" s="12"/>
      <c r="X299" s="12"/>
      <c r="Y299" s="12"/>
      <c r="Z299" s="12"/>
    </row>
    <row r="300" spans="1:26" ht="15" customHeight="1" x14ac:dyDescent="0.3">
      <c r="A300" s="26"/>
      <c r="B300" s="17"/>
      <c r="C300" s="17"/>
      <c r="D300" s="17"/>
      <c r="E300" s="17"/>
      <c r="F300" s="17"/>
      <c r="G300" s="17"/>
      <c r="H300" s="17"/>
      <c r="I300" s="17"/>
      <c r="J300" s="17"/>
      <c r="K300" s="17"/>
      <c r="L300" s="17"/>
      <c r="M300" s="17"/>
      <c r="N300" s="17"/>
      <c r="O300" s="17"/>
      <c r="P300" s="17"/>
      <c r="Q300" s="17"/>
      <c r="R300" s="17"/>
      <c r="S300" s="17"/>
      <c r="T300" s="17"/>
      <c r="U300" s="17"/>
      <c r="V300" s="12"/>
      <c r="W300" s="12"/>
      <c r="X300" s="12"/>
      <c r="Y300" s="12"/>
      <c r="Z300" s="12"/>
    </row>
    <row r="301" spans="1:26" ht="15" customHeight="1" x14ac:dyDescent="0.3">
      <c r="A301" s="26"/>
      <c r="B301" s="17"/>
      <c r="C301" s="17"/>
      <c r="D301" s="17"/>
      <c r="E301" s="17"/>
      <c r="F301" s="17"/>
      <c r="G301" s="17"/>
      <c r="H301" s="17"/>
      <c r="I301" s="17"/>
      <c r="J301" s="17"/>
      <c r="K301" s="17"/>
      <c r="L301" s="17"/>
      <c r="M301" s="17"/>
      <c r="N301" s="17"/>
      <c r="O301" s="17"/>
      <c r="P301" s="17"/>
      <c r="Q301" s="17"/>
      <c r="R301" s="17"/>
      <c r="S301" s="17"/>
      <c r="T301" s="17"/>
      <c r="U301" s="17"/>
      <c r="V301" s="12"/>
      <c r="W301" s="12"/>
      <c r="X301" s="12"/>
      <c r="Y301" s="12"/>
      <c r="Z301" s="12"/>
    </row>
    <row r="302" spans="1:26" ht="15" customHeight="1" x14ac:dyDescent="0.3">
      <c r="A302" s="26"/>
      <c r="B302" s="17"/>
      <c r="C302" s="17"/>
      <c r="D302" s="17"/>
      <c r="E302" s="17"/>
      <c r="F302" s="17"/>
      <c r="G302" s="17"/>
      <c r="H302" s="17"/>
      <c r="I302" s="17"/>
      <c r="J302" s="17"/>
      <c r="K302" s="17"/>
      <c r="L302" s="17"/>
      <c r="M302" s="17"/>
      <c r="N302" s="17"/>
      <c r="O302" s="17"/>
      <c r="P302" s="17"/>
      <c r="Q302" s="17"/>
      <c r="R302" s="17"/>
      <c r="S302" s="17"/>
      <c r="T302" s="17"/>
      <c r="U302" s="17"/>
      <c r="V302" s="12"/>
      <c r="W302" s="12"/>
      <c r="X302" s="12"/>
      <c r="Y302" s="12"/>
      <c r="Z302" s="12"/>
    </row>
    <row r="303" spans="1:26" ht="15" customHeight="1" x14ac:dyDescent="0.3">
      <c r="A303" s="26"/>
      <c r="B303" s="17"/>
      <c r="C303" s="17"/>
      <c r="D303" s="17"/>
      <c r="E303" s="17"/>
      <c r="F303" s="17"/>
      <c r="G303" s="17"/>
      <c r="H303" s="17"/>
      <c r="I303" s="17"/>
      <c r="J303" s="17"/>
      <c r="K303" s="17"/>
      <c r="L303" s="17"/>
      <c r="M303" s="17"/>
      <c r="N303" s="17"/>
      <c r="O303" s="17"/>
      <c r="P303" s="17"/>
      <c r="Q303" s="17"/>
      <c r="R303" s="17"/>
      <c r="S303" s="17"/>
      <c r="T303" s="17"/>
      <c r="U303" s="17"/>
      <c r="V303" s="12"/>
      <c r="W303" s="12"/>
      <c r="X303" s="12"/>
      <c r="Y303" s="12"/>
      <c r="Z303" s="12"/>
    </row>
    <row r="304" spans="1:26" ht="15" customHeight="1" x14ac:dyDescent="0.3">
      <c r="A304" s="26"/>
      <c r="B304" s="17"/>
      <c r="C304" s="17"/>
      <c r="D304" s="17"/>
      <c r="E304" s="17"/>
      <c r="F304" s="17"/>
      <c r="G304" s="17"/>
      <c r="H304" s="17"/>
      <c r="I304" s="17"/>
      <c r="J304" s="17"/>
      <c r="K304" s="17"/>
      <c r="L304" s="17"/>
      <c r="M304" s="17"/>
      <c r="N304" s="17"/>
      <c r="O304" s="17"/>
      <c r="P304" s="17"/>
      <c r="Q304" s="17"/>
      <c r="R304" s="17"/>
      <c r="S304" s="17"/>
      <c r="T304" s="17"/>
      <c r="U304" s="17"/>
      <c r="V304" s="12"/>
      <c r="W304" s="12"/>
      <c r="X304" s="12"/>
      <c r="Y304" s="12"/>
      <c r="Z304" s="12"/>
    </row>
    <row r="305" spans="1:26" ht="15" customHeight="1" x14ac:dyDescent="0.3">
      <c r="A305" s="26"/>
      <c r="B305" s="17"/>
      <c r="C305" s="17"/>
      <c r="D305" s="17"/>
      <c r="E305" s="17"/>
      <c r="F305" s="17"/>
      <c r="G305" s="17"/>
      <c r="H305" s="17"/>
      <c r="I305" s="17"/>
      <c r="J305" s="17"/>
      <c r="K305" s="17"/>
      <c r="L305" s="17"/>
      <c r="M305" s="17"/>
      <c r="N305" s="17"/>
      <c r="O305" s="17"/>
      <c r="P305" s="17"/>
      <c r="Q305" s="17"/>
      <c r="R305" s="17"/>
      <c r="S305" s="17"/>
      <c r="T305" s="17"/>
      <c r="U305" s="17"/>
      <c r="V305" s="12"/>
      <c r="W305" s="12"/>
      <c r="X305" s="12"/>
      <c r="Y305" s="12"/>
      <c r="Z305" s="12"/>
    </row>
    <row r="306" spans="1:26" ht="15" customHeight="1" x14ac:dyDescent="0.3">
      <c r="A306" s="26"/>
      <c r="B306" s="17"/>
      <c r="C306" s="17"/>
      <c r="D306" s="17"/>
      <c r="E306" s="17"/>
      <c r="F306" s="17"/>
      <c r="G306" s="17"/>
      <c r="H306" s="17"/>
      <c r="I306" s="17"/>
      <c r="J306" s="17"/>
      <c r="K306" s="17"/>
      <c r="L306" s="17"/>
      <c r="M306" s="17"/>
      <c r="N306" s="17"/>
      <c r="O306" s="17"/>
      <c r="P306" s="17"/>
      <c r="Q306" s="17"/>
      <c r="R306" s="17"/>
      <c r="S306" s="17"/>
      <c r="T306" s="17"/>
      <c r="U306" s="17"/>
      <c r="V306" s="12"/>
      <c r="W306" s="12"/>
      <c r="X306" s="12"/>
      <c r="Y306" s="12"/>
      <c r="Z306" s="12"/>
    </row>
    <row r="307" spans="1:26" ht="15" customHeight="1" x14ac:dyDescent="0.3">
      <c r="A307" s="26"/>
      <c r="B307" s="17"/>
      <c r="C307" s="17"/>
      <c r="D307" s="17"/>
      <c r="E307" s="17"/>
      <c r="F307" s="17"/>
      <c r="G307" s="17"/>
      <c r="H307" s="17"/>
      <c r="I307" s="17"/>
      <c r="J307" s="17"/>
      <c r="K307" s="17"/>
      <c r="L307" s="17"/>
      <c r="M307" s="17"/>
      <c r="N307" s="17"/>
      <c r="O307" s="17"/>
      <c r="P307" s="17"/>
      <c r="Q307" s="17"/>
      <c r="R307" s="17"/>
      <c r="S307" s="17"/>
      <c r="T307" s="17"/>
      <c r="U307" s="17"/>
      <c r="V307" s="12"/>
      <c r="W307" s="12"/>
      <c r="X307" s="12"/>
      <c r="Y307" s="12"/>
      <c r="Z307" s="12"/>
    </row>
    <row r="308" spans="1:26" ht="15" customHeight="1" x14ac:dyDescent="0.3">
      <c r="A308" s="26"/>
      <c r="B308" s="17"/>
      <c r="C308" s="17"/>
      <c r="D308" s="17"/>
      <c r="E308" s="17"/>
      <c r="F308" s="17"/>
      <c r="G308" s="17"/>
      <c r="H308" s="17"/>
      <c r="I308" s="17"/>
      <c r="J308" s="17"/>
      <c r="K308" s="17"/>
      <c r="L308" s="17"/>
      <c r="M308" s="17"/>
      <c r="N308" s="17"/>
      <c r="O308" s="17"/>
      <c r="P308" s="17"/>
      <c r="Q308" s="17"/>
      <c r="R308" s="17"/>
      <c r="S308" s="17"/>
      <c r="T308" s="17"/>
      <c r="U308" s="17"/>
      <c r="V308" s="12"/>
      <c r="W308" s="12"/>
      <c r="X308" s="12"/>
      <c r="Y308" s="12"/>
      <c r="Z308" s="12"/>
    </row>
    <row r="309" spans="1:26" ht="15" customHeight="1" x14ac:dyDescent="0.3">
      <c r="A309" s="26"/>
      <c r="B309" s="17"/>
      <c r="C309" s="17"/>
      <c r="D309" s="17"/>
      <c r="E309" s="17"/>
      <c r="F309" s="17"/>
      <c r="G309" s="17"/>
      <c r="H309" s="17"/>
      <c r="I309" s="17"/>
      <c r="J309" s="17"/>
      <c r="K309" s="17"/>
      <c r="L309" s="17"/>
      <c r="M309" s="17"/>
      <c r="N309" s="17"/>
      <c r="O309" s="17"/>
      <c r="P309" s="17"/>
      <c r="Q309" s="17"/>
      <c r="R309" s="17"/>
      <c r="S309" s="17"/>
      <c r="T309" s="17"/>
      <c r="U309" s="17"/>
      <c r="V309" s="12"/>
      <c r="W309" s="12"/>
      <c r="X309" s="12"/>
      <c r="Y309" s="12"/>
      <c r="Z309" s="12"/>
    </row>
    <row r="310" spans="1:26" ht="15" customHeight="1" x14ac:dyDescent="0.3">
      <c r="A310" s="26"/>
      <c r="B310" s="17"/>
      <c r="C310" s="17"/>
      <c r="D310" s="17"/>
      <c r="E310" s="17"/>
      <c r="F310" s="17"/>
      <c r="G310" s="17"/>
      <c r="H310" s="17"/>
      <c r="I310" s="17"/>
      <c r="J310" s="17"/>
      <c r="K310" s="17"/>
      <c r="L310" s="17"/>
      <c r="M310" s="17"/>
      <c r="N310" s="17"/>
      <c r="O310" s="17"/>
      <c r="P310" s="17"/>
      <c r="Q310" s="17"/>
      <c r="R310" s="17"/>
      <c r="S310" s="17"/>
      <c r="T310" s="17"/>
      <c r="U310" s="17"/>
      <c r="V310" s="12"/>
      <c r="W310" s="12"/>
      <c r="X310" s="12"/>
      <c r="Y310" s="12"/>
      <c r="Z310" s="12"/>
    </row>
    <row r="311" spans="1:26" ht="15" customHeight="1" x14ac:dyDescent="0.3">
      <c r="A311" s="26"/>
      <c r="B311" s="17"/>
      <c r="C311" s="17"/>
      <c r="D311" s="17"/>
      <c r="E311" s="17"/>
      <c r="F311" s="17"/>
      <c r="G311" s="17"/>
      <c r="H311" s="17"/>
      <c r="I311" s="17"/>
      <c r="J311" s="17"/>
      <c r="K311" s="17"/>
      <c r="L311" s="17"/>
      <c r="M311" s="17"/>
      <c r="N311" s="17"/>
      <c r="O311" s="17"/>
      <c r="P311" s="17"/>
      <c r="Q311" s="17"/>
      <c r="R311" s="17"/>
      <c r="S311" s="17"/>
      <c r="T311" s="17"/>
      <c r="U311" s="17"/>
      <c r="V311" s="12"/>
      <c r="W311" s="12"/>
      <c r="X311" s="12"/>
      <c r="Y311" s="12"/>
      <c r="Z311" s="12"/>
    </row>
    <row r="312" spans="1:26" ht="15" customHeight="1" x14ac:dyDescent="0.3">
      <c r="A312" s="26"/>
      <c r="B312" s="17"/>
      <c r="C312" s="17"/>
      <c r="D312" s="17"/>
      <c r="E312" s="17"/>
      <c r="F312" s="17"/>
      <c r="G312" s="17"/>
      <c r="H312" s="17"/>
      <c r="I312" s="17"/>
      <c r="J312" s="17"/>
      <c r="K312" s="17"/>
      <c r="L312" s="17"/>
      <c r="M312" s="17"/>
      <c r="N312" s="17"/>
      <c r="O312" s="17"/>
      <c r="P312" s="17"/>
      <c r="Q312" s="17"/>
      <c r="R312" s="17"/>
      <c r="S312" s="17"/>
      <c r="T312" s="17"/>
      <c r="U312" s="17"/>
      <c r="V312" s="12"/>
      <c r="W312" s="12"/>
      <c r="X312" s="12"/>
      <c r="Y312" s="12"/>
      <c r="Z312" s="12"/>
    </row>
    <row r="313" spans="1:26" ht="15" customHeight="1" x14ac:dyDescent="0.3">
      <c r="A313" s="26"/>
      <c r="B313" s="17"/>
      <c r="C313" s="17"/>
      <c r="D313" s="17"/>
      <c r="E313" s="17"/>
      <c r="F313" s="17"/>
      <c r="G313" s="17"/>
      <c r="H313" s="17"/>
      <c r="I313" s="17"/>
      <c r="J313" s="17"/>
      <c r="K313" s="17"/>
      <c r="L313" s="17"/>
      <c r="M313" s="17"/>
      <c r="N313" s="17"/>
      <c r="O313" s="17"/>
      <c r="P313" s="17"/>
      <c r="Q313" s="17"/>
      <c r="R313" s="17"/>
      <c r="S313" s="17"/>
      <c r="T313" s="17"/>
      <c r="U313" s="17"/>
      <c r="V313" s="12"/>
      <c r="W313" s="12"/>
      <c r="X313" s="12"/>
      <c r="Y313" s="12"/>
      <c r="Z313" s="12"/>
    </row>
    <row r="314" spans="1:26" ht="15" customHeight="1" x14ac:dyDescent="0.3">
      <c r="A314" s="26"/>
      <c r="B314" s="17"/>
      <c r="C314" s="17"/>
      <c r="D314" s="17"/>
      <c r="E314" s="17"/>
      <c r="F314" s="17"/>
      <c r="G314" s="17"/>
      <c r="H314" s="17"/>
      <c r="I314" s="17"/>
      <c r="J314" s="17"/>
      <c r="K314" s="17"/>
      <c r="L314" s="17"/>
      <c r="M314" s="17"/>
      <c r="N314" s="17"/>
      <c r="O314" s="17"/>
      <c r="P314" s="17"/>
      <c r="Q314" s="17"/>
      <c r="R314" s="17"/>
      <c r="S314" s="17"/>
      <c r="T314" s="17"/>
      <c r="U314" s="17"/>
      <c r="V314" s="12"/>
      <c r="W314" s="12"/>
      <c r="X314" s="12"/>
      <c r="Y314" s="12"/>
      <c r="Z314" s="12"/>
    </row>
    <row r="315" spans="1:26" ht="15" customHeight="1" x14ac:dyDescent="0.3">
      <c r="A315" s="26"/>
      <c r="B315" s="17"/>
      <c r="C315" s="17"/>
      <c r="D315" s="17"/>
      <c r="E315" s="17"/>
      <c r="F315" s="17"/>
      <c r="G315" s="17"/>
      <c r="H315" s="17"/>
      <c r="I315" s="17"/>
      <c r="J315" s="17"/>
      <c r="K315" s="17"/>
      <c r="L315" s="17"/>
      <c r="M315" s="17"/>
      <c r="N315" s="17"/>
      <c r="O315" s="17"/>
      <c r="P315" s="17"/>
      <c r="Q315" s="17"/>
      <c r="R315" s="17"/>
      <c r="S315" s="17"/>
      <c r="T315" s="17"/>
      <c r="U315" s="17"/>
      <c r="V315" s="12"/>
      <c r="W315" s="12"/>
      <c r="X315" s="12"/>
      <c r="Y315" s="12"/>
      <c r="Z315" s="12"/>
    </row>
    <row r="316" spans="1:26" ht="15" customHeight="1" x14ac:dyDescent="0.3">
      <c r="A316" s="26"/>
      <c r="B316" s="17"/>
      <c r="C316" s="17"/>
      <c r="D316" s="17"/>
      <c r="E316" s="17"/>
      <c r="F316" s="17"/>
      <c r="G316" s="17"/>
      <c r="H316" s="17"/>
      <c r="I316" s="17"/>
      <c r="J316" s="17"/>
      <c r="K316" s="17"/>
      <c r="L316" s="17"/>
      <c r="M316" s="17"/>
      <c r="N316" s="17"/>
      <c r="O316" s="17"/>
      <c r="P316" s="17"/>
      <c r="Q316" s="17"/>
      <c r="R316" s="17"/>
      <c r="S316" s="17"/>
      <c r="T316" s="17"/>
      <c r="U316" s="17"/>
      <c r="V316" s="12"/>
      <c r="W316" s="12"/>
      <c r="X316" s="12"/>
      <c r="Y316" s="12"/>
      <c r="Z316" s="12"/>
    </row>
    <row r="317" spans="1:26" ht="15" customHeight="1" x14ac:dyDescent="0.3">
      <c r="A317" s="26"/>
      <c r="B317" s="17"/>
      <c r="C317" s="17"/>
      <c r="D317" s="17"/>
      <c r="E317" s="17"/>
      <c r="F317" s="17"/>
      <c r="G317" s="17"/>
      <c r="H317" s="17"/>
      <c r="I317" s="17"/>
      <c r="J317" s="17"/>
      <c r="K317" s="17"/>
      <c r="L317" s="17"/>
      <c r="M317" s="17"/>
      <c r="N317" s="17"/>
      <c r="O317" s="17"/>
      <c r="P317" s="17"/>
      <c r="Q317" s="17"/>
      <c r="R317" s="17"/>
      <c r="S317" s="17"/>
      <c r="T317" s="17"/>
      <c r="U317" s="17"/>
      <c r="V317" s="12"/>
      <c r="W317" s="12"/>
      <c r="X317" s="12"/>
      <c r="Y317" s="12"/>
      <c r="Z317" s="12"/>
    </row>
    <row r="318" spans="1:26" ht="15" customHeight="1" x14ac:dyDescent="0.3">
      <c r="A318" s="26"/>
      <c r="B318" s="17"/>
      <c r="C318" s="17"/>
      <c r="D318" s="17"/>
      <c r="E318" s="17"/>
      <c r="F318" s="17"/>
      <c r="G318" s="17"/>
      <c r="H318" s="17"/>
      <c r="I318" s="17"/>
      <c r="J318" s="17"/>
      <c r="K318" s="17"/>
      <c r="L318" s="17"/>
      <c r="M318" s="17"/>
      <c r="N318" s="17"/>
      <c r="O318" s="17"/>
      <c r="P318" s="17"/>
      <c r="Q318" s="17"/>
      <c r="R318" s="17"/>
      <c r="S318" s="17"/>
      <c r="T318" s="17"/>
      <c r="U318" s="17"/>
      <c r="V318" s="12"/>
      <c r="W318" s="12"/>
      <c r="X318" s="12"/>
      <c r="Y318" s="12"/>
      <c r="Z318" s="12"/>
    </row>
    <row r="319" spans="1:26" ht="15" customHeight="1" x14ac:dyDescent="0.3">
      <c r="A319" s="26"/>
      <c r="B319" s="17"/>
      <c r="C319" s="17"/>
      <c r="D319" s="17"/>
      <c r="E319" s="17"/>
      <c r="F319" s="17"/>
      <c r="G319" s="17"/>
      <c r="H319" s="17"/>
      <c r="I319" s="17"/>
      <c r="J319" s="17"/>
      <c r="K319" s="17"/>
      <c r="L319" s="17"/>
      <c r="M319" s="17"/>
      <c r="N319" s="17"/>
      <c r="O319" s="17"/>
      <c r="P319" s="17"/>
      <c r="Q319" s="17"/>
      <c r="R319" s="17"/>
      <c r="S319" s="17"/>
      <c r="T319" s="17"/>
      <c r="U319" s="17"/>
      <c r="V319" s="12"/>
      <c r="W319" s="12"/>
      <c r="X319" s="12"/>
      <c r="Y319" s="12"/>
      <c r="Z319" s="12"/>
    </row>
    <row r="320" spans="1:26" ht="15" customHeight="1" x14ac:dyDescent="0.3">
      <c r="A320" s="26"/>
      <c r="B320" s="17"/>
      <c r="C320" s="17"/>
      <c r="D320" s="17"/>
      <c r="E320" s="17"/>
      <c r="F320" s="17"/>
      <c r="G320" s="17"/>
      <c r="H320" s="17"/>
      <c r="I320" s="17"/>
      <c r="J320" s="17"/>
      <c r="K320" s="17"/>
      <c r="L320" s="17"/>
      <c r="M320" s="17"/>
      <c r="N320" s="17"/>
      <c r="O320" s="17"/>
      <c r="P320" s="17"/>
      <c r="Q320" s="17"/>
      <c r="R320" s="17"/>
      <c r="S320" s="17"/>
      <c r="T320" s="17"/>
      <c r="U320" s="17"/>
      <c r="V320" s="12"/>
      <c r="W320" s="12"/>
      <c r="X320" s="12"/>
      <c r="Y320" s="12"/>
      <c r="Z320" s="12"/>
    </row>
    <row r="321" spans="1:26" ht="15" customHeight="1" x14ac:dyDescent="0.3">
      <c r="A321" s="26"/>
      <c r="B321" s="17"/>
      <c r="C321" s="17"/>
      <c r="D321" s="17"/>
      <c r="E321" s="17"/>
      <c r="F321" s="17"/>
      <c r="G321" s="17"/>
      <c r="H321" s="17"/>
      <c r="I321" s="17"/>
      <c r="J321" s="17"/>
      <c r="K321" s="17"/>
      <c r="L321" s="17"/>
      <c r="M321" s="17"/>
      <c r="N321" s="17"/>
      <c r="O321" s="17"/>
      <c r="P321" s="17"/>
      <c r="Q321" s="17"/>
      <c r="R321" s="17"/>
      <c r="S321" s="17"/>
      <c r="T321" s="17"/>
      <c r="U321" s="17"/>
      <c r="V321" s="12"/>
      <c r="W321" s="12"/>
      <c r="X321" s="12"/>
      <c r="Y321" s="12"/>
      <c r="Z321" s="12"/>
    </row>
    <row r="322" spans="1:26" ht="15" customHeight="1" x14ac:dyDescent="0.3">
      <c r="A322" s="26"/>
      <c r="B322" s="17"/>
      <c r="C322" s="17"/>
      <c r="D322" s="17"/>
      <c r="E322" s="17"/>
      <c r="F322" s="17"/>
      <c r="G322" s="17"/>
      <c r="H322" s="17"/>
      <c r="I322" s="17"/>
      <c r="J322" s="17"/>
      <c r="K322" s="17"/>
      <c r="L322" s="17"/>
      <c r="M322" s="17"/>
      <c r="N322" s="17"/>
      <c r="O322" s="17"/>
      <c r="P322" s="17"/>
      <c r="Q322" s="17"/>
      <c r="R322" s="17"/>
      <c r="S322" s="17"/>
      <c r="T322" s="17"/>
      <c r="U322" s="17"/>
      <c r="V322" s="12"/>
      <c r="W322" s="12"/>
      <c r="X322" s="12"/>
      <c r="Y322" s="12"/>
      <c r="Z322" s="12"/>
    </row>
    <row r="323" spans="1:26" ht="15" customHeight="1" x14ac:dyDescent="0.3">
      <c r="A323" s="26"/>
      <c r="B323" s="17"/>
      <c r="C323" s="17"/>
      <c r="D323" s="17"/>
      <c r="E323" s="17"/>
      <c r="F323" s="17"/>
      <c r="G323" s="17"/>
      <c r="H323" s="17"/>
      <c r="I323" s="17"/>
      <c r="J323" s="17"/>
      <c r="K323" s="17"/>
      <c r="L323" s="17"/>
      <c r="M323" s="17"/>
      <c r="N323" s="17"/>
      <c r="O323" s="17"/>
      <c r="P323" s="17"/>
      <c r="Q323" s="17"/>
      <c r="R323" s="17"/>
      <c r="S323" s="17"/>
      <c r="T323" s="17"/>
      <c r="U323" s="17"/>
      <c r="V323" s="12"/>
      <c r="W323" s="12"/>
      <c r="X323" s="12"/>
      <c r="Y323" s="12"/>
      <c r="Z323" s="12"/>
    </row>
    <row r="324" spans="1:26" ht="15" customHeight="1" x14ac:dyDescent="0.3">
      <c r="A324" s="26"/>
      <c r="B324" s="17"/>
      <c r="C324" s="17"/>
      <c r="D324" s="17"/>
      <c r="E324" s="17"/>
      <c r="F324" s="17"/>
      <c r="G324" s="17"/>
      <c r="H324" s="17"/>
      <c r="I324" s="17"/>
      <c r="J324" s="17"/>
      <c r="K324" s="17"/>
      <c r="L324" s="17"/>
      <c r="M324" s="17"/>
      <c r="N324" s="17"/>
      <c r="O324" s="17"/>
      <c r="P324" s="17"/>
      <c r="Q324" s="17"/>
      <c r="R324" s="17"/>
      <c r="S324" s="17"/>
      <c r="T324" s="17"/>
      <c r="U324" s="17"/>
      <c r="V324" s="12"/>
      <c r="W324" s="12"/>
      <c r="X324" s="12"/>
      <c r="Y324" s="12"/>
      <c r="Z324" s="12"/>
    </row>
    <row r="325" spans="1:26" ht="15" customHeight="1" x14ac:dyDescent="0.3">
      <c r="A325" s="26"/>
      <c r="B325" s="17"/>
      <c r="C325" s="17"/>
      <c r="D325" s="17"/>
      <c r="E325" s="17"/>
      <c r="F325" s="17"/>
      <c r="G325" s="17"/>
      <c r="H325" s="17"/>
      <c r="I325" s="17"/>
      <c r="J325" s="17"/>
      <c r="K325" s="17"/>
      <c r="L325" s="17"/>
      <c r="M325" s="17"/>
      <c r="N325" s="17"/>
      <c r="O325" s="17"/>
      <c r="P325" s="17"/>
      <c r="Q325" s="17"/>
      <c r="R325" s="17"/>
      <c r="S325" s="17"/>
      <c r="T325" s="17"/>
      <c r="U325" s="17"/>
      <c r="V325" s="12"/>
      <c r="W325" s="12"/>
      <c r="X325" s="12"/>
      <c r="Y325" s="12"/>
      <c r="Z325" s="12"/>
    </row>
    <row r="326" spans="1:26" ht="15" customHeight="1" x14ac:dyDescent="0.3">
      <c r="A326" s="26"/>
      <c r="B326" s="17"/>
      <c r="C326" s="17"/>
      <c r="D326" s="17"/>
      <c r="E326" s="17"/>
      <c r="F326" s="17"/>
      <c r="G326" s="17"/>
      <c r="H326" s="17"/>
      <c r="I326" s="17"/>
      <c r="J326" s="17"/>
      <c r="K326" s="17"/>
      <c r="L326" s="17"/>
      <c r="M326" s="17"/>
      <c r="N326" s="17"/>
      <c r="O326" s="17"/>
      <c r="P326" s="17"/>
      <c r="Q326" s="17"/>
      <c r="R326" s="17"/>
      <c r="S326" s="17"/>
      <c r="T326" s="17"/>
      <c r="U326" s="17"/>
      <c r="V326" s="12"/>
      <c r="W326" s="12"/>
      <c r="X326" s="12"/>
      <c r="Y326" s="12"/>
      <c r="Z326" s="12"/>
    </row>
    <row r="327" spans="1:26" ht="15" customHeight="1" x14ac:dyDescent="0.3">
      <c r="A327" s="26"/>
      <c r="B327" s="17"/>
      <c r="C327" s="17"/>
      <c r="D327" s="17"/>
      <c r="E327" s="17"/>
      <c r="F327" s="17"/>
      <c r="G327" s="17"/>
      <c r="H327" s="17"/>
      <c r="I327" s="17"/>
      <c r="J327" s="17"/>
      <c r="K327" s="17"/>
      <c r="L327" s="17"/>
      <c r="M327" s="17"/>
      <c r="N327" s="17"/>
      <c r="O327" s="17"/>
      <c r="P327" s="17"/>
      <c r="Q327" s="17"/>
      <c r="R327" s="17"/>
      <c r="S327" s="17"/>
      <c r="T327" s="17"/>
      <c r="U327" s="17"/>
      <c r="V327" s="12"/>
      <c r="W327" s="12"/>
      <c r="X327" s="12"/>
      <c r="Y327" s="12"/>
      <c r="Z327" s="12"/>
    </row>
    <row r="328" spans="1:26" ht="15" customHeight="1" x14ac:dyDescent="0.3">
      <c r="A328" s="26"/>
      <c r="B328" s="17"/>
      <c r="C328" s="17"/>
      <c r="D328" s="17"/>
      <c r="E328" s="17"/>
      <c r="F328" s="17"/>
      <c r="G328" s="17"/>
      <c r="H328" s="17"/>
      <c r="I328" s="17"/>
      <c r="J328" s="17"/>
      <c r="K328" s="17"/>
      <c r="L328" s="17"/>
      <c r="M328" s="17"/>
      <c r="N328" s="17"/>
      <c r="O328" s="17"/>
      <c r="P328" s="17"/>
      <c r="Q328" s="17"/>
      <c r="R328" s="17"/>
      <c r="S328" s="17"/>
      <c r="T328" s="17"/>
      <c r="U328" s="17"/>
      <c r="V328" s="12"/>
      <c r="W328" s="12"/>
      <c r="X328" s="12"/>
      <c r="Y328" s="12"/>
      <c r="Z328" s="12"/>
    </row>
    <row r="329" spans="1:26" ht="15" customHeight="1" x14ac:dyDescent="0.3">
      <c r="A329" s="26"/>
      <c r="B329" s="17"/>
      <c r="C329" s="17"/>
      <c r="D329" s="17"/>
      <c r="E329" s="17"/>
      <c r="F329" s="17"/>
      <c r="G329" s="17"/>
      <c r="H329" s="17"/>
      <c r="I329" s="17"/>
      <c r="J329" s="17"/>
      <c r="K329" s="17"/>
      <c r="L329" s="17"/>
      <c r="M329" s="17"/>
      <c r="N329" s="17"/>
      <c r="O329" s="17"/>
      <c r="P329" s="17"/>
      <c r="Q329" s="17"/>
      <c r="R329" s="17"/>
      <c r="S329" s="17"/>
      <c r="T329" s="17"/>
      <c r="U329" s="17"/>
      <c r="V329" s="12"/>
      <c r="W329" s="12"/>
      <c r="X329" s="12"/>
      <c r="Y329" s="12"/>
      <c r="Z329" s="12"/>
    </row>
    <row r="330" spans="1:26" ht="15" customHeight="1" x14ac:dyDescent="0.3">
      <c r="A330" s="26"/>
      <c r="B330" s="17"/>
      <c r="C330" s="17"/>
      <c r="D330" s="17"/>
      <c r="E330" s="17"/>
      <c r="F330" s="17"/>
      <c r="G330" s="17"/>
      <c r="H330" s="17"/>
      <c r="I330" s="17"/>
      <c r="J330" s="17"/>
      <c r="K330" s="17"/>
      <c r="L330" s="17"/>
      <c r="M330" s="17"/>
      <c r="N330" s="17"/>
      <c r="O330" s="17"/>
      <c r="P330" s="17"/>
      <c r="Q330" s="17"/>
      <c r="R330" s="17"/>
      <c r="S330" s="17"/>
      <c r="T330" s="17"/>
      <c r="U330" s="17"/>
      <c r="V330" s="12"/>
      <c r="W330" s="12"/>
      <c r="X330" s="12"/>
      <c r="Y330" s="12"/>
      <c r="Z330" s="12"/>
    </row>
    <row r="331" spans="1:26" ht="15" customHeight="1" x14ac:dyDescent="0.3">
      <c r="A331" s="26"/>
      <c r="B331" s="17"/>
      <c r="C331" s="17"/>
      <c r="D331" s="17"/>
      <c r="E331" s="17"/>
      <c r="F331" s="17"/>
      <c r="G331" s="17"/>
      <c r="H331" s="17"/>
      <c r="I331" s="17"/>
      <c r="J331" s="17"/>
      <c r="K331" s="17"/>
      <c r="L331" s="17"/>
      <c r="M331" s="17"/>
      <c r="N331" s="17"/>
      <c r="O331" s="17"/>
      <c r="P331" s="17"/>
      <c r="Q331" s="17"/>
      <c r="R331" s="17"/>
      <c r="S331" s="17"/>
      <c r="T331" s="17"/>
      <c r="U331" s="17"/>
      <c r="V331" s="12"/>
      <c r="W331" s="12"/>
      <c r="X331" s="12"/>
      <c r="Y331" s="12"/>
      <c r="Z331" s="12"/>
    </row>
    <row r="332" spans="1:26" ht="15" customHeight="1" x14ac:dyDescent="0.3">
      <c r="A332" s="26"/>
      <c r="B332" s="17"/>
      <c r="C332" s="17"/>
      <c r="D332" s="17"/>
      <c r="E332" s="17"/>
      <c r="F332" s="17"/>
      <c r="G332" s="17"/>
      <c r="H332" s="17"/>
      <c r="I332" s="17"/>
      <c r="J332" s="17"/>
      <c r="K332" s="17"/>
      <c r="L332" s="17"/>
      <c r="M332" s="17"/>
      <c r="N332" s="17"/>
      <c r="O332" s="17"/>
      <c r="P332" s="17"/>
      <c r="Q332" s="17"/>
      <c r="R332" s="17"/>
      <c r="S332" s="17"/>
      <c r="T332" s="17"/>
      <c r="U332" s="17"/>
      <c r="V332" s="12"/>
      <c r="W332" s="12"/>
      <c r="X332" s="12"/>
      <c r="Y332" s="12"/>
      <c r="Z332" s="12"/>
    </row>
    <row r="333" spans="1:26" ht="15" customHeight="1" x14ac:dyDescent="0.3">
      <c r="A333" s="26"/>
      <c r="B333" s="17"/>
      <c r="C333" s="17"/>
      <c r="D333" s="17"/>
      <c r="E333" s="17"/>
      <c r="F333" s="17"/>
      <c r="G333" s="17"/>
      <c r="H333" s="17"/>
      <c r="I333" s="17"/>
      <c r="J333" s="17"/>
      <c r="K333" s="17"/>
      <c r="L333" s="17"/>
      <c r="M333" s="17"/>
      <c r="N333" s="17"/>
      <c r="O333" s="17"/>
      <c r="P333" s="17"/>
      <c r="Q333" s="17"/>
      <c r="R333" s="17"/>
      <c r="S333" s="17"/>
      <c r="T333" s="17"/>
      <c r="U333" s="17"/>
      <c r="V333" s="12"/>
      <c r="W333" s="12"/>
      <c r="X333" s="12"/>
      <c r="Y333" s="12"/>
      <c r="Z333" s="12"/>
    </row>
    <row r="334" spans="1:26" ht="15" customHeight="1" x14ac:dyDescent="0.3">
      <c r="A334" s="26"/>
      <c r="B334" s="17"/>
      <c r="C334" s="17"/>
      <c r="D334" s="17"/>
      <c r="E334" s="17"/>
      <c r="F334" s="17"/>
      <c r="G334" s="17"/>
      <c r="H334" s="17"/>
      <c r="I334" s="17"/>
      <c r="J334" s="17"/>
      <c r="K334" s="17"/>
      <c r="L334" s="17"/>
      <c r="M334" s="17"/>
      <c r="N334" s="17"/>
      <c r="O334" s="17"/>
      <c r="P334" s="17"/>
      <c r="Q334" s="17"/>
      <c r="R334" s="17"/>
      <c r="S334" s="17"/>
      <c r="T334" s="17"/>
      <c r="U334" s="17"/>
      <c r="V334" s="12"/>
      <c r="W334" s="12"/>
      <c r="X334" s="12"/>
      <c r="Y334" s="12"/>
      <c r="Z334" s="12"/>
    </row>
    <row r="335" spans="1:26" ht="15" customHeight="1" x14ac:dyDescent="0.3">
      <c r="A335" s="26"/>
      <c r="B335" s="17"/>
      <c r="C335" s="17"/>
      <c r="D335" s="17"/>
      <c r="E335" s="17"/>
      <c r="F335" s="17"/>
      <c r="G335" s="17"/>
      <c r="H335" s="17"/>
      <c r="I335" s="17"/>
      <c r="J335" s="17"/>
      <c r="K335" s="17"/>
      <c r="L335" s="17"/>
      <c r="M335" s="17"/>
      <c r="N335" s="17"/>
      <c r="O335" s="17"/>
      <c r="P335" s="17"/>
      <c r="Q335" s="17"/>
      <c r="R335" s="17"/>
      <c r="S335" s="17"/>
      <c r="T335" s="17"/>
      <c r="U335" s="17"/>
      <c r="V335" s="12"/>
      <c r="W335" s="12"/>
      <c r="X335" s="12"/>
      <c r="Y335" s="12"/>
      <c r="Z335" s="12"/>
    </row>
    <row r="336" spans="1:26" ht="15" customHeight="1" x14ac:dyDescent="0.3">
      <c r="A336" s="26"/>
      <c r="B336" s="17"/>
      <c r="C336" s="17"/>
      <c r="D336" s="17"/>
      <c r="E336" s="17"/>
      <c r="F336" s="17"/>
      <c r="G336" s="17"/>
      <c r="H336" s="17"/>
      <c r="I336" s="17"/>
      <c r="J336" s="17"/>
      <c r="K336" s="17"/>
      <c r="L336" s="17"/>
      <c r="M336" s="17"/>
      <c r="N336" s="17"/>
      <c r="O336" s="17"/>
      <c r="P336" s="17"/>
      <c r="Q336" s="17"/>
      <c r="R336" s="17"/>
      <c r="S336" s="17"/>
      <c r="T336" s="17"/>
      <c r="U336" s="17"/>
      <c r="V336" s="12"/>
      <c r="W336" s="12"/>
      <c r="X336" s="12"/>
      <c r="Y336" s="12"/>
      <c r="Z336" s="12"/>
    </row>
    <row r="337" spans="1:26" ht="15" customHeight="1" x14ac:dyDescent="0.3">
      <c r="A337" s="26"/>
      <c r="B337" s="17"/>
      <c r="C337" s="17"/>
      <c r="D337" s="17"/>
      <c r="E337" s="17"/>
      <c r="F337" s="17"/>
      <c r="G337" s="17"/>
      <c r="H337" s="17"/>
      <c r="I337" s="17"/>
      <c r="J337" s="17"/>
      <c r="K337" s="17"/>
      <c r="L337" s="17"/>
      <c r="M337" s="17"/>
      <c r="N337" s="17"/>
      <c r="O337" s="17"/>
      <c r="P337" s="17"/>
      <c r="Q337" s="17"/>
      <c r="R337" s="17"/>
      <c r="S337" s="17"/>
      <c r="T337" s="17"/>
      <c r="U337" s="17"/>
      <c r="V337" s="12"/>
      <c r="W337" s="12"/>
      <c r="X337" s="12"/>
      <c r="Y337" s="12"/>
      <c r="Z337" s="12"/>
    </row>
    <row r="338" spans="1:26" ht="15" customHeight="1" x14ac:dyDescent="0.3">
      <c r="A338" s="26"/>
      <c r="B338" s="17"/>
      <c r="C338" s="17"/>
      <c r="D338" s="17"/>
      <c r="E338" s="17"/>
      <c r="F338" s="17"/>
      <c r="G338" s="17"/>
      <c r="H338" s="17"/>
      <c r="I338" s="17"/>
      <c r="J338" s="17"/>
      <c r="K338" s="17"/>
      <c r="L338" s="17"/>
      <c r="M338" s="17"/>
      <c r="N338" s="17"/>
      <c r="O338" s="17"/>
      <c r="P338" s="17"/>
      <c r="Q338" s="17"/>
      <c r="R338" s="17"/>
      <c r="S338" s="17"/>
      <c r="T338" s="17"/>
      <c r="U338" s="17"/>
      <c r="V338" s="12"/>
      <c r="W338" s="12"/>
      <c r="X338" s="12"/>
      <c r="Y338" s="12"/>
      <c r="Z338" s="12"/>
    </row>
    <row r="339" spans="1:26" ht="15" customHeight="1" x14ac:dyDescent="0.3">
      <c r="A339" s="26"/>
      <c r="B339" s="17"/>
      <c r="C339" s="17"/>
      <c r="D339" s="17"/>
      <c r="E339" s="17"/>
      <c r="F339" s="17"/>
      <c r="G339" s="17"/>
      <c r="H339" s="17"/>
      <c r="I339" s="17"/>
      <c r="J339" s="17"/>
      <c r="K339" s="17"/>
      <c r="L339" s="17"/>
      <c r="M339" s="17"/>
      <c r="N339" s="17"/>
      <c r="O339" s="17"/>
      <c r="P339" s="17"/>
      <c r="Q339" s="17"/>
      <c r="R339" s="17"/>
      <c r="S339" s="17"/>
      <c r="T339" s="17"/>
      <c r="U339" s="17"/>
      <c r="V339" s="12"/>
      <c r="W339" s="12"/>
      <c r="X339" s="12"/>
      <c r="Y339" s="12"/>
      <c r="Z339" s="12"/>
    </row>
    <row r="340" spans="1:26" ht="15" customHeight="1" x14ac:dyDescent="0.3">
      <c r="A340" s="26"/>
      <c r="B340" s="17"/>
      <c r="C340" s="17"/>
      <c r="D340" s="17"/>
      <c r="E340" s="17"/>
      <c r="F340" s="17"/>
      <c r="G340" s="17"/>
      <c r="H340" s="17"/>
      <c r="I340" s="17"/>
      <c r="J340" s="17"/>
      <c r="K340" s="17"/>
      <c r="L340" s="17"/>
      <c r="M340" s="17"/>
      <c r="N340" s="17"/>
      <c r="O340" s="17"/>
      <c r="P340" s="17"/>
      <c r="Q340" s="17"/>
      <c r="R340" s="17"/>
      <c r="S340" s="17"/>
      <c r="T340" s="17"/>
      <c r="U340" s="17"/>
      <c r="V340" s="12"/>
      <c r="W340" s="12"/>
      <c r="X340" s="12"/>
      <c r="Y340" s="12"/>
      <c r="Z340" s="12"/>
    </row>
    <row r="341" spans="1:26" ht="15" customHeight="1" x14ac:dyDescent="0.3">
      <c r="A341" s="26"/>
      <c r="B341" s="17"/>
      <c r="C341" s="17"/>
      <c r="D341" s="17"/>
      <c r="E341" s="17"/>
      <c r="F341" s="17"/>
      <c r="G341" s="17"/>
      <c r="H341" s="17"/>
      <c r="I341" s="17"/>
      <c r="J341" s="17"/>
      <c r="K341" s="17"/>
      <c r="L341" s="17"/>
      <c r="M341" s="17"/>
      <c r="N341" s="17"/>
      <c r="O341" s="17"/>
      <c r="P341" s="17"/>
      <c r="Q341" s="17"/>
      <c r="R341" s="17"/>
      <c r="S341" s="17"/>
      <c r="T341" s="17"/>
      <c r="U341" s="17"/>
      <c r="V341" s="12"/>
      <c r="W341" s="12"/>
      <c r="X341" s="12"/>
      <c r="Y341" s="12"/>
      <c r="Z341" s="12"/>
    </row>
    <row r="342" spans="1:26" ht="15" customHeight="1" x14ac:dyDescent="0.3">
      <c r="A342" s="26"/>
      <c r="B342" s="17"/>
      <c r="C342" s="17"/>
      <c r="D342" s="17"/>
      <c r="E342" s="17"/>
      <c r="F342" s="17"/>
      <c r="G342" s="17"/>
      <c r="H342" s="17"/>
      <c r="I342" s="17"/>
      <c r="J342" s="17"/>
      <c r="K342" s="17"/>
      <c r="L342" s="17"/>
      <c r="M342" s="17"/>
      <c r="N342" s="17"/>
      <c r="O342" s="17"/>
      <c r="P342" s="17"/>
      <c r="Q342" s="17"/>
      <c r="R342" s="17"/>
      <c r="S342" s="17"/>
      <c r="T342" s="17"/>
      <c r="U342" s="17"/>
      <c r="V342" s="12"/>
      <c r="W342" s="12"/>
      <c r="X342" s="12"/>
      <c r="Y342" s="12"/>
      <c r="Z342" s="12"/>
    </row>
    <row r="343" spans="1:26" ht="15" customHeight="1" x14ac:dyDescent="0.3">
      <c r="A343" s="26"/>
      <c r="B343" s="17"/>
      <c r="C343" s="17"/>
      <c r="D343" s="17"/>
      <c r="E343" s="17"/>
      <c r="F343" s="17"/>
      <c r="G343" s="17"/>
      <c r="H343" s="17"/>
      <c r="I343" s="17"/>
      <c r="J343" s="17"/>
      <c r="K343" s="17"/>
      <c r="L343" s="17"/>
      <c r="M343" s="17"/>
      <c r="N343" s="17"/>
      <c r="O343" s="17"/>
      <c r="P343" s="17"/>
      <c r="Q343" s="17"/>
      <c r="R343" s="17"/>
      <c r="S343" s="17"/>
      <c r="T343" s="17"/>
      <c r="U343" s="17"/>
      <c r="V343" s="12"/>
      <c r="W343" s="12"/>
      <c r="X343" s="12"/>
      <c r="Y343" s="12"/>
      <c r="Z343" s="12"/>
    </row>
    <row r="344" spans="1:26" ht="15" customHeight="1" x14ac:dyDescent="0.3">
      <c r="A344" s="26"/>
      <c r="B344" s="17"/>
      <c r="C344" s="17"/>
      <c r="D344" s="17"/>
      <c r="E344" s="17"/>
      <c r="F344" s="17"/>
      <c r="G344" s="17"/>
      <c r="H344" s="17"/>
      <c r="I344" s="17"/>
      <c r="J344" s="17"/>
      <c r="K344" s="17"/>
      <c r="L344" s="17"/>
      <c r="M344" s="17"/>
      <c r="N344" s="17"/>
      <c r="O344" s="17"/>
      <c r="P344" s="17"/>
      <c r="Q344" s="17"/>
      <c r="R344" s="17"/>
      <c r="S344" s="17"/>
      <c r="T344" s="17"/>
      <c r="U344" s="17"/>
      <c r="V344" s="12"/>
      <c r="W344" s="12"/>
      <c r="X344" s="12"/>
      <c r="Y344" s="12"/>
      <c r="Z344" s="12"/>
    </row>
    <row r="345" spans="1:26" ht="15" customHeight="1" x14ac:dyDescent="0.3">
      <c r="A345" s="26"/>
      <c r="B345" s="17"/>
      <c r="C345" s="17"/>
      <c r="D345" s="17"/>
      <c r="E345" s="17"/>
      <c r="F345" s="17"/>
      <c r="G345" s="17"/>
      <c r="H345" s="17"/>
      <c r="I345" s="17"/>
      <c r="J345" s="17"/>
      <c r="K345" s="17"/>
      <c r="L345" s="17"/>
      <c r="M345" s="17"/>
      <c r="N345" s="17"/>
      <c r="O345" s="17"/>
      <c r="P345" s="17"/>
      <c r="Q345" s="17"/>
      <c r="R345" s="17"/>
      <c r="S345" s="17"/>
      <c r="T345" s="17"/>
      <c r="U345" s="17"/>
      <c r="V345" s="12"/>
      <c r="W345" s="12"/>
      <c r="X345" s="12"/>
      <c r="Y345" s="12"/>
      <c r="Z345" s="12"/>
    </row>
    <row r="346" spans="1:26" ht="15" customHeight="1" x14ac:dyDescent="0.3">
      <c r="A346" s="26"/>
      <c r="B346" s="17"/>
      <c r="C346" s="17"/>
      <c r="D346" s="17"/>
      <c r="E346" s="17"/>
      <c r="F346" s="17"/>
      <c r="G346" s="17"/>
      <c r="H346" s="17"/>
      <c r="I346" s="17"/>
      <c r="J346" s="17"/>
      <c r="K346" s="17"/>
      <c r="L346" s="17"/>
      <c r="M346" s="17"/>
      <c r="N346" s="17"/>
      <c r="O346" s="17"/>
      <c r="P346" s="17"/>
      <c r="Q346" s="17"/>
      <c r="R346" s="17"/>
      <c r="S346" s="17"/>
      <c r="T346" s="17"/>
      <c r="U346" s="17"/>
      <c r="V346" s="12"/>
      <c r="W346" s="12"/>
      <c r="X346" s="12"/>
      <c r="Y346" s="12"/>
      <c r="Z346" s="12"/>
    </row>
    <row r="347" spans="1:26" ht="15" customHeight="1" x14ac:dyDescent="0.3">
      <c r="A347" s="26"/>
      <c r="B347" s="17"/>
      <c r="C347" s="17"/>
      <c r="D347" s="17"/>
      <c r="E347" s="17"/>
      <c r="F347" s="17"/>
      <c r="G347" s="17"/>
      <c r="H347" s="17"/>
      <c r="I347" s="17"/>
      <c r="J347" s="17"/>
      <c r="K347" s="17"/>
      <c r="L347" s="17"/>
      <c r="M347" s="17"/>
      <c r="N347" s="17"/>
      <c r="O347" s="17"/>
      <c r="P347" s="17"/>
      <c r="Q347" s="17"/>
      <c r="R347" s="17"/>
      <c r="S347" s="17"/>
      <c r="T347" s="17"/>
      <c r="U347" s="17"/>
      <c r="V347" s="12"/>
      <c r="W347" s="12"/>
      <c r="X347" s="12"/>
      <c r="Y347" s="12"/>
      <c r="Z347" s="12"/>
    </row>
    <row r="348" spans="1:26" ht="15" customHeight="1" x14ac:dyDescent="0.3">
      <c r="A348" s="26"/>
      <c r="B348" s="17"/>
      <c r="C348" s="17"/>
      <c r="D348" s="17"/>
      <c r="E348" s="17"/>
      <c r="F348" s="17"/>
      <c r="G348" s="17"/>
      <c r="H348" s="17"/>
      <c r="I348" s="17"/>
      <c r="J348" s="17"/>
      <c r="K348" s="17"/>
      <c r="L348" s="17"/>
      <c r="M348" s="17"/>
      <c r="N348" s="17"/>
      <c r="O348" s="17"/>
      <c r="P348" s="17"/>
      <c r="Q348" s="17"/>
      <c r="R348" s="17"/>
      <c r="S348" s="17"/>
      <c r="T348" s="17"/>
      <c r="U348" s="17"/>
      <c r="V348" s="12"/>
      <c r="W348" s="12"/>
      <c r="X348" s="12"/>
      <c r="Y348" s="12"/>
      <c r="Z348" s="12"/>
    </row>
    <row r="349" spans="1:26" ht="15" customHeight="1" x14ac:dyDescent="0.3">
      <c r="A349" s="26"/>
      <c r="B349" s="17"/>
      <c r="C349" s="17"/>
      <c r="D349" s="17"/>
      <c r="E349" s="17"/>
      <c r="F349" s="17"/>
      <c r="G349" s="17"/>
      <c r="H349" s="17"/>
      <c r="I349" s="17"/>
      <c r="J349" s="17"/>
      <c r="K349" s="17"/>
      <c r="L349" s="17"/>
      <c r="M349" s="17"/>
      <c r="N349" s="17"/>
      <c r="O349" s="17"/>
      <c r="P349" s="17"/>
      <c r="Q349" s="17"/>
      <c r="R349" s="17"/>
      <c r="S349" s="17"/>
      <c r="T349" s="17"/>
      <c r="U349" s="17"/>
      <c r="V349" s="12"/>
      <c r="W349" s="12"/>
      <c r="X349" s="12"/>
      <c r="Y349" s="12"/>
      <c r="Z349" s="12"/>
    </row>
    <row r="350" spans="1:26" ht="15" customHeight="1" x14ac:dyDescent="0.3">
      <c r="A350" s="26"/>
      <c r="B350" s="17"/>
      <c r="C350" s="17"/>
      <c r="D350" s="17"/>
      <c r="E350" s="17"/>
      <c r="F350" s="17"/>
      <c r="G350" s="17"/>
      <c r="H350" s="17"/>
      <c r="I350" s="17"/>
      <c r="J350" s="17"/>
      <c r="K350" s="17"/>
      <c r="L350" s="17"/>
      <c r="M350" s="17"/>
      <c r="N350" s="17"/>
      <c r="O350" s="17"/>
      <c r="P350" s="17"/>
      <c r="Q350" s="17"/>
      <c r="R350" s="17"/>
      <c r="S350" s="17"/>
      <c r="T350" s="17"/>
      <c r="U350" s="17"/>
      <c r="V350" s="12"/>
      <c r="W350" s="12"/>
      <c r="X350" s="12"/>
      <c r="Y350" s="12"/>
      <c r="Z350" s="12"/>
    </row>
    <row r="351" spans="1:26" ht="15" customHeight="1" x14ac:dyDescent="0.3">
      <c r="A351" s="26"/>
      <c r="B351" s="17"/>
      <c r="C351" s="17"/>
      <c r="D351" s="17"/>
      <c r="E351" s="17"/>
      <c r="F351" s="17"/>
      <c r="G351" s="17"/>
      <c r="H351" s="17"/>
      <c r="I351" s="17"/>
      <c r="J351" s="17"/>
      <c r="K351" s="17"/>
      <c r="L351" s="17"/>
      <c r="M351" s="17"/>
      <c r="N351" s="17"/>
      <c r="O351" s="17"/>
      <c r="P351" s="17"/>
      <c r="Q351" s="17"/>
      <c r="R351" s="17"/>
      <c r="S351" s="17"/>
      <c r="T351" s="17"/>
      <c r="U351" s="17"/>
      <c r="V351" s="12"/>
      <c r="W351" s="12"/>
      <c r="X351" s="12"/>
      <c r="Y351" s="12"/>
      <c r="Z351" s="12"/>
    </row>
    <row r="352" spans="1:26" ht="15" customHeight="1" x14ac:dyDescent="0.3">
      <c r="A352" s="26"/>
      <c r="B352" s="17"/>
      <c r="C352" s="17"/>
      <c r="D352" s="17"/>
      <c r="E352" s="17"/>
      <c r="F352" s="17"/>
      <c r="G352" s="17"/>
      <c r="H352" s="17"/>
      <c r="I352" s="17"/>
      <c r="J352" s="17"/>
      <c r="K352" s="17"/>
      <c r="L352" s="17"/>
      <c r="M352" s="17"/>
      <c r="N352" s="17"/>
      <c r="O352" s="17"/>
      <c r="P352" s="17"/>
      <c r="Q352" s="17"/>
      <c r="R352" s="17"/>
      <c r="S352" s="17"/>
      <c r="T352" s="17"/>
      <c r="U352" s="17"/>
      <c r="V352" s="12"/>
      <c r="W352" s="12"/>
      <c r="X352" s="12"/>
      <c r="Y352" s="12"/>
      <c r="Z352" s="12"/>
    </row>
    <row r="353" spans="1:26" ht="15" customHeight="1" x14ac:dyDescent="0.3">
      <c r="A353" s="26"/>
      <c r="B353" s="17"/>
      <c r="C353" s="17"/>
      <c r="D353" s="17"/>
      <c r="E353" s="17"/>
      <c r="F353" s="17"/>
      <c r="G353" s="17"/>
      <c r="H353" s="17"/>
      <c r="I353" s="17"/>
      <c r="J353" s="17"/>
      <c r="K353" s="17"/>
      <c r="L353" s="17"/>
      <c r="M353" s="17"/>
      <c r="N353" s="17"/>
      <c r="O353" s="17"/>
      <c r="P353" s="17"/>
      <c r="Q353" s="17"/>
      <c r="R353" s="17"/>
      <c r="S353" s="17"/>
      <c r="T353" s="17"/>
      <c r="U353" s="17"/>
      <c r="V353" s="12"/>
      <c r="W353" s="12"/>
      <c r="X353" s="12"/>
      <c r="Y353" s="12"/>
      <c r="Z353" s="12"/>
    </row>
    <row r="354" spans="1:26" ht="15" customHeight="1" x14ac:dyDescent="0.3">
      <c r="A354" s="26"/>
      <c r="B354" s="17"/>
      <c r="C354" s="17"/>
      <c r="D354" s="17"/>
      <c r="E354" s="17"/>
      <c r="F354" s="17"/>
      <c r="G354" s="17"/>
      <c r="H354" s="17"/>
      <c r="I354" s="17"/>
      <c r="J354" s="17"/>
      <c r="K354" s="17"/>
      <c r="L354" s="17"/>
      <c r="M354" s="17"/>
      <c r="N354" s="17"/>
      <c r="O354" s="17"/>
      <c r="P354" s="17"/>
      <c r="Q354" s="17"/>
      <c r="R354" s="17"/>
      <c r="S354" s="17"/>
      <c r="T354" s="17"/>
      <c r="U354" s="17"/>
      <c r="V354" s="12"/>
      <c r="W354" s="12"/>
      <c r="X354" s="12"/>
      <c r="Y354" s="12"/>
      <c r="Z354" s="12"/>
    </row>
    <row r="355" spans="1:26" ht="15" customHeight="1" x14ac:dyDescent="0.3">
      <c r="A355" s="26"/>
      <c r="B355" s="17"/>
      <c r="C355" s="17"/>
      <c r="D355" s="17"/>
      <c r="E355" s="17"/>
      <c r="F355" s="17"/>
      <c r="G355" s="17"/>
      <c r="H355" s="17"/>
      <c r="I355" s="17"/>
      <c r="J355" s="17"/>
      <c r="K355" s="17"/>
      <c r="L355" s="17"/>
      <c r="M355" s="17"/>
      <c r="N355" s="17"/>
      <c r="O355" s="17"/>
      <c r="P355" s="17"/>
      <c r="Q355" s="17"/>
      <c r="R355" s="17"/>
      <c r="S355" s="17"/>
      <c r="T355" s="17"/>
      <c r="U355" s="17"/>
      <c r="V355" s="12"/>
      <c r="W355" s="12"/>
      <c r="X355" s="12"/>
      <c r="Y355" s="12"/>
      <c r="Z355" s="12"/>
    </row>
    <row r="356" spans="1:26" ht="15" customHeight="1" x14ac:dyDescent="0.3">
      <c r="A356" s="26"/>
      <c r="B356" s="17"/>
      <c r="C356" s="17"/>
      <c r="D356" s="17"/>
      <c r="E356" s="17"/>
      <c r="F356" s="17"/>
      <c r="G356" s="17"/>
      <c r="H356" s="17"/>
      <c r="I356" s="17"/>
      <c r="J356" s="17"/>
      <c r="K356" s="17"/>
      <c r="L356" s="17"/>
      <c r="M356" s="17"/>
      <c r="N356" s="17"/>
      <c r="O356" s="17"/>
      <c r="P356" s="17"/>
      <c r="Q356" s="17"/>
      <c r="R356" s="17"/>
      <c r="S356" s="17"/>
      <c r="T356" s="17"/>
      <c r="U356" s="17"/>
      <c r="V356" s="12"/>
      <c r="W356" s="12"/>
      <c r="X356" s="12"/>
      <c r="Y356" s="12"/>
      <c r="Z356" s="12"/>
    </row>
    <row r="357" spans="1:26" ht="15" customHeight="1" x14ac:dyDescent="0.3">
      <c r="A357" s="26"/>
      <c r="B357" s="17"/>
      <c r="C357" s="17"/>
      <c r="D357" s="17"/>
      <c r="E357" s="17"/>
      <c r="F357" s="17"/>
      <c r="G357" s="17"/>
      <c r="H357" s="17"/>
      <c r="I357" s="17"/>
      <c r="J357" s="17"/>
      <c r="K357" s="17"/>
      <c r="L357" s="17"/>
      <c r="M357" s="17"/>
      <c r="N357" s="17"/>
      <c r="O357" s="17"/>
      <c r="P357" s="17"/>
      <c r="Q357" s="17"/>
      <c r="R357" s="17"/>
      <c r="S357" s="17"/>
      <c r="T357" s="17"/>
      <c r="U357" s="17"/>
      <c r="V357" s="12"/>
      <c r="W357" s="12"/>
      <c r="X357" s="12"/>
      <c r="Y357" s="12"/>
      <c r="Z357" s="12"/>
    </row>
    <row r="358" spans="1:26" ht="15" customHeight="1" x14ac:dyDescent="0.3">
      <c r="A358" s="26"/>
      <c r="B358" s="17"/>
      <c r="C358" s="17"/>
      <c r="D358" s="17"/>
      <c r="E358" s="17"/>
      <c r="F358" s="17"/>
      <c r="G358" s="17"/>
      <c r="H358" s="17"/>
      <c r="I358" s="17"/>
      <c r="J358" s="17"/>
      <c r="K358" s="17"/>
      <c r="L358" s="17"/>
      <c r="M358" s="17"/>
      <c r="N358" s="17"/>
      <c r="O358" s="17"/>
      <c r="P358" s="17"/>
      <c r="Q358" s="17"/>
      <c r="R358" s="17"/>
      <c r="S358" s="17"/>
      <c r="T358" s="17"/>
      <c r="U358" s="17"/>
      <c r="V358" s="12"/>
      <c r="W358" s="12"/>
      <c r="X358" s="12"/>
      <c r="Y358" s="12"/>
      <c r="Z358" s="12"/>
    </row>
    <row r="359" spans="1:26" ht="15" customHeight="1" x14ac:dyDescent="0.3">
      <c r="A359" s="26"/>
      <c r="B359" s="17"/>
      <c r="C359" s="17"/>
      <c r="D359" s="17"/>
      <c r="E359" s="17"/>
      <c r="F359" s="17"/>
      <c r="G359" s="17"/>
      <c r="H359" s="17"/>
      <c r="I359" s="17"/>
      <c r="J359" s="17"/>
      <c r="K359" s="17"/>
      <c r="L359" s="17"/>
      <c r="M359" s="17"/>
      <c r="N359" s="17"/>
      <c r="O359" s="17"/>
      <c r="P359" s="17"/>
      <c r="Q359" s="17"/>
      <c r="R359" s="17"/>
      <c r="S359" s="17"/>
      <c r="T359" s="17"/>
      <c r="U359" s="17"/>
      <c r="V359" s="12"/>
      <c r="W359" s="12"/>
      <c r="X359" s="12"/>
      <c r="Y359" s="12"/>
      <c r="Z359" s="12"/>
    </row>
    <row r="360" spans="1:26" ht="15" customHeight="1" x14ac:dyDescent="0.3">
      <c r="A360" s="26"/>
      <c r="B360" s="17"/>
      <c r="C360" s="17"/>
      <c r="D360" s="17"/>
      <c r="E360" s="17"/>
      <c r="F360" s="17"/>
      <c r="G360" s="17"/>
      <c r="H360" s="17"/>
      <c r="I360" s="17"/>
      <c r="J360" s="17"/>
      <c r="K360" s="17"/>
      <c r="L360" s="17"/>
      <c r="M360" s="17"/>
      <c r="N360" s="17"/>
      <c r="O360" s="17"/>
      <c r="P360" s="17"/>
      <c r="Q360" s="17"/>
      <c r="R360" s="17"/>
      <c r="S360" s="17"/>
      <c r="T360" s="17"/>
      <c r="U360" s="17"/>
      <c r="V360" s="12"/>
      <c r="W360" s="12"/>
      <c r="X360" s="12"/>
      <c r="Y360" s="12"/>
      <c r="Z360" s="12"/>
    </row>
    <row r="361" spans="1:26" ht="15" customHeight="1" x14ac:dyDescent="0.3">
      <c r="A361" s="26"/>
      <c r="B361" s="17"/>
      <c r="C361" s="17"/>
      <c r="D361" s="17"/>
      <c r="E361" s="17"/>
      <c r="F361" s="17"/>
      <c r="G361" s="17"/>
      <c r="H361" s="17"/>
      <c r="I361" s="17"/>
      <c r="J361" s="17"/>
      <c r="K361" s="17"/>
      <c r="L361" s="17"/>
      <c r="M361" s="17"/>
      <c r="N361" s="17"/>
      <c r="O361" s="17"/>
      <c r="P361" s="17"/>
      <c r="Q361" s="17"/>
      <c r="R361" s="17"/>
      <c r="S361" s="17"/>
      <c r="T361" s="17"/>
      <c r="U361" s="17"/>
      <c r="V361" s="12"/>
      <c r="W361" s="12"/>
      <c r="X361" s="12"/>
      <c r="Y361" s="12"/>
      <c r="Z361" s="12"/>
    </row>
    <row r="362" spans="1:26" ht="15" customHeight="1" x14ac:dyDescent="0.3">
      <c r="A362" s="26"/>
      <c r="B362" s="17"/>
      <c r="C362" s="17"/>
      <c r="D362" s="17"/>
      <c r="E362" s="17"/>
      <c r="F362" s="17"/>
      <c r="G362" s="17"/>
      <c r="H362" s="17"/>
      <c r="I362" s="17"/>
      <c r="J362" s="17"/>
      <c r="K362" s="17"/>
      <c r="L362" s="17"/>
      <c r="M362" s="17"/>
      <c r="N362" s="17"/>
      <c r="O362" s="17"/>
      <c r="P362" s="17"/>
      <c r="Q362" s="17"/>
      <c r="R362" s="17"/>
      <c r="S362" s="17"/>
      <c r="T362" s="17"/>
      <c r="U362" s="17"/>
      <c r="V362" s="12"/>
      <c r="W362" s="12"/>
      <c r="X362" s="12"/>
      <c r="Y362" s="12"/>
      <c r="Z362" s="12"/>
    </row>
    <row r="363" spans="1:26" ht="15" customHeight="1" x14ac:dyDescent="0.3">
      <c r="A363" s="26"/>
      <c r="B363" s="17"/>
      <c r="C363" s="17"/>
      <c r="D363" s="17"/>
      <c r="E363" s="17"/>
      <c r="F363" s="17"/>
      <c r="G363" s="17"/>
      <c r="H363" s="17"/>
      <c r="I363" s="17"/>
      <c r="J363" s="17"/>
      <c r="K363" s="17"/>
      <c r="L363" s="17"/>
      <c r="M363" s="17"/>
      <c r="N363" s="17"/>
      <c r="O363" s="17"/>
      <c r="P363" s="17"/>
      <c r="Q363" s="17"/>
      <c r="R363" s="17"/>
      <c r="S363" s="17"/>
      <c r="T363" s="17"/>
      <c r="U363" s="17"/>
      <c r="V363" s="12"/>
      <c r="W363" s="12"/>
      <c r="X363" s="12"/>
      <c r="Y363" s="12"/>
      <c r="Z363" s="12"/>
    </row>
    <row r="364" spans="1:26" ht="15" customHeight="1" x14ac:dyDescent="0.3">
      <c r="A364" s="26"/>
      <c r="B364" s="17"/>
      <c r="C364" s="17"/>
      <c r="D364" s="17"/>
      <c r="E364" s="17"/>
      <c r="F364" s="17"/>
      <c r="G364" s="17"/>
      <c r="H364" s="17"/>
      <c r="I364" s="17"/>
      <c r="J364" s="17"/>
      <c r="K364" s="17"/>
      <c r="L364" s="17"/>
      <c r="M364" s="17"/>
      <c r="N364" s="17"/>
      <c r="O364" s="17"/>
      <c r="P364" s="17"/>
      <c r="Q364" s="17"/>
      <c r="R364" s="17"/>
      <c r="S364" s="17"/>
      <c r="T364" s="17"/>
      <c r="U364" s="17"/>
      <c r="V364" s="12"/>
      <c r="W364" s="12"/>
      <c r="X364" s="12"/>
      <c r="Y364" s="12"/>
      <c r="Z364" s="12"/>
    </row>
    <row r="365" spans="1:26" ht="15" customHeight="1" x14ac:dyDescent="0.3">
      <c r="A365" s="26"/>
      <c r="B365" s="17"/>
      <c r="C365" s="17"/>
      <c r="D365" s="17"/>
      <c r="E365" s="17"/>
      <c r="F365" s="17"/>
      <c r="G365" s="17"/>
      <c r="H365" s="17"/>
      <c r="I365" s="17"/>
      <c r="J365" s="17"/>
      <c r="K365" s="17"/>
      <c r="L365" s="17"/>
      <c r="M365" s="17"/>
      <c r="N365" s="17"/>
      <c r="O365" s="17"/>
      <c r="P365" s="17"/>
      <c r="Q365" s="17"/>
      <c r="R365" s="17"/>
      <c r="S365" s="17"/>
      <c r="T365" s="17"/>
      <c r="U365" s="17"/>
      <c r="V365" s="12"/>
      <c r="W365" s="12"/>
      <c r="X365" s="12"/>
      <c r="Y365" s="12"/>
      <c r="Z365" s="12"/>
    </row>
    <row r="366" spans="1:26" ht="15" customHeight="1" x14ac:dyDescent="0.3">
      <c r="A366" s="26"/>
      <c r="B366" s="17"/>
      <c r="C366" s="17"/>
      <c r="D366" s="17"/>
      <c r="E366" s="17"/>
      <c r="F366" s="17"/>
      <c r="G366" s="17"/>
      <c r="H366" s="17"/>
      <c r="I366" s="17"/>
      <c r="J366" s="17"/>
      <c r="K366" s="17"/>
      <c r="L366" s="17"/>
      <c r="M366" s="17"/>
      <c r="N366" s="17"/>
      <c r="O366" s="17"/>
      <c r="P366" s="17"/>
      <c r="Q366" s="17"/>
      <c r="R366" s="17"/>
      <c r="S366" s="17"/>
      <c r="T366" s="17"/>
      <c r="U366" s="17"/>
      <c r="V366" s="12"/>
      <c r="W366" s="12"/>
      <c r="X366" s="12"/>
      <c r="Y366" s="12"/>
      <c r="Z366" s="12"/>
    </row>
    <row r="367" spans="1:26" ht="15" customHeight="1" x14ac:dyDescent="0.3">
      <c r="A367" s="26"/>
      <c r="B367" s="17"/>
      <c r="C367" s="17"/>
      <c r="D367" s="17"/>
      <c r="E367" s="17"/>
      <c r="F367" s="17"/>
      <c r="G367" s="17"/>
      <c r="H367" s="17"/>
      <c r="I367" s="17"/>
      <c r="J367" s="17"/>
      <c r="K367" s="17"/>
      <c r="L367" s="17"/>
      <c r="M367" s="17"/>
      <c r="N367" s="17"/>
      <c r="O367" s="17"/>
      <c r="P367" s="17"/>
      <c r="Q367" s="17"/>
      <c r="R367" s="17"/>
      <c r="S367" s="17"/>
      <c r="T367" s="17"/>
      <c r="U367" s="17"/>
      <c r="V367" s="12"/>
      <c r="W367" s="12"/>
      <c r="X367" s="12"/>
      <c r="Y367" s="12"/>
      <c r="Z367" s="12"/>
    </row>
    <row r="368" spans="1:26" ht="15" customHeight="1" x14ac:dyDescent="0.3">
      <c r="A368" s="26"/>
      <c r="B368" s="17"/>
      <c r="C368" s="17"/>
      <c r="D368" s="17"/>
      <c r="E368" s="17"/>
      <c r="F368" s="17"/>
      <c r="G368" s="17"/>
      <c r="H368" s="17"/>
      <c r="I368" s="17"/>
      <c r="J368" s="17"/>
      <c r="K368" s="17"/>
      <c r="L368" s="17"/>
      <c r="M368" s="17"/>
      <c r="N368" s="17"/>
      <c r="O368" s="17"/>
      <c r="P368" s="17"/>
      <c r="Q368" s="17"/>
      <c r="R368" s="17"/>
      <c r="S368" s="17"/>
      <c r="T368" s="17"/>
      <c r="U368" s="17"/>
      <c r="V368" s="12"/>
      <c r="W368" s="12"/>
      <c r="X368" s="12"/>
      <c r="Y368" s="12"/>
      <c r="Z368" s="12"/>
    </row>
    <row r="369" spans="1:26" ht="15" customHeight="1" x14ac:dyDescent="0.3">
      <c r="A369" s="26"/>
      <c r="B369" s="17"/>
      <c r="C369" s="17"/>
      <c r="D369" s="17"/>
      <c r="E369" s="17"/>
      <c r="F369" s="17"/>
      <c r="G369" s="17"/>
      <c r="H369" s="17"/>
      <c r="I369" s="17"/>
      <c r="J369" s="17"/>
      <c r="K369" s="17"/>
      <c r="L369" s="17"/>
      <c r="M369" s="17"/>
      <c r="N369" s="17"/>
      <c r="O369" s="17"/>
      <c r="P369" s="17"/>
      <c r="Q369" s="17"/>
      <c r="R369" s="17"/>
      <c r="S369" s="17"/>
      <c r="T369" s="17"/>
      <c r="U369" s="17"/>
      <c r="V369" s="12"/>
      <c r="W369" s="12"/>
      <c r="X369" s="12"/>
      <c r="Y369" s="12"/>
      <c r="Z369" s="12"/>
    </row>
    <row r="370" spans="1:26" ht="15" customHeight="1" x14ac:dyDescent="0.3">
      <c r="A370" s="26"/>
      <c r="B370" s="17"/>
      <c r="C370" s="17"/>
      <c r="D370" s="17"/>
      <c r="E370" s="17"/>
      <c r="F370" s="17"/>
      <c r="G370" s="17"/>
      <c r="H370" s="17"/>
      <c r="I370" s="17"/>
      <c r="J370" s="17"/>
      <c r="K370" s="17"/>
      <c r="L370" s="17"/>
      <c r="M370" s="17"/>
      <c r="N370" s="17"/>
      <c r="O370" s="17"/>
      <c r="P370" s="17"/>
      <c r="Q370" s="17"/>
      <c r="R370" s="17"/>
      <c r="S370" s="17"/>
      <c r="T370" s="17"/>
      <c r="U370" s="17"/>
      <c r="V370" s="12"/>
      <c r="W370" s="12"/>
      <c r="X370" s="12"/>
      <c r="Y370" s="12"/>
      <c r="Z370" s="12"/>
    </row>
    <row r="371" spans="1:26" ht="15" customHeight="1" x14ac:dyDescent="0.3">
      <c r="A371" s="26"/>
      <c r="B371" s="17"/>
      <c r="C371" s="17"/>
      <c r="D371" s="17"/>
      <c r="E371" s="17"/>
      <c r="F371" s="17"/>
      <c r="G371" s="17"/>
      <c r="H371" s="17"/>
      <c r="I371" s="17"/>
      <c r="J371" s="17"/>
      <c r="K371" s="17"/>
      <c r="L371" s="17"/>
      <c r="M371" s="17"/>
      <c r="N371" s="17"/>
      <c r="O371" s="17"/>
      <c r="P371" s="17"/>
      <c r="Q371" s="17"/>
      <c r="R371" s="17"/>
      <c r="S371" s="17"/>
      <c r="T371" s="17"/>
      <c r="U371" s="17"/>
      <c r="V371" s="12"/>
      <c r="W371" s="12"/>
      <c r="X371" s="12"/>
      <c r="Y371" s="12"/>
      <c r="Z371" s="12"/>
    </row>
    <row r="372" spans="1:26" ht="15" customHeight="1" x14ac:dyDescent="0.3">
      <c r="A372" s="26"/>
      <c r="B372" s="17"/>
      <c r="C372" s="17"/>
      <c r="D372" s="17"/>
      <c r="E372" s="17"/>
      <c r="F372" s="17"/>
      <c r="G372" s="17"/>
      <c r="H372" s="17"/>
      <c r="I372" s="17"/>
      <c r="J372" s="17"/>
      <c r="K372" s="17"/>
      <c r="L372" s="17"/>
      <c r="M372" s="17"/>
      <c r="N372" s="17"/>
      <c r="O372" s="17"/>
      <c r="P372" s="17"/>
      <c r="Q372" s="17"/>
      <c r="R372" s="17"/>
      <c r="S372" s="17"/>
      <c r="T372" s="17"/>
      <c r="U372" s="17"/>
      <c r="V372" s="12"/>
      <c r="W372" s="12"/>
      <c r="X372" s="12"/>
      <c r="Y372" s="12"/>
      <c r="Z372" s="12"/>
    </row>
    <row r="373" spans="1:26" ht="15" customHeight="1" x14ac:dyDescent="0.3">
      <c r="A373" s="26"/>
      <c r="B373" s="17"/>
      <c r="C373" s="17"/>
      <c r="D373" s="17"/>
      <c r="E373" s="17"/>
      <c r="F373" s="17"/>
      <c r="G373" s="17"/>
      <c r="H373" s="17"/>
      <c r="I373" s="17"/>
      <c r="J373" s="17"/>
      <c r="K373" s="17"/>
      <c r="L373" s="17"/>
      <c r="M373" s="17"/>
      <c r="N373" s="17"/>
      <c r="O373" s="17"/>
      <c r="P373" s="17"/>
      <c r="Q373" s="17"/>
      <c r="R373" s="17"/>
      <c r="S373" s="17"/>
      <c r="T373" s="17"/>
      <c r="U373" s="17"/>
      <c r="V373" s="12"/>
      <c r="W373" s="12"/>
      <c r="X373" s="12"/>
      <c r="Y373" s="12"/>
      <c r="Z373" s="12"/>
    </row>
    <row r="374" spans="1:26" ht="15" customHeight="1" x14ac:dyDescent="0.3">
      <c r="A374" s="26"/>
      <c r="B374" s="17"/>
      <c r="C374" s="17"/>
      <c r="D374" s="17"/>
      <c r="E374" s="17"/>
      <c r="F374" s="17"/>
      <c r="G374" s="17"/>
      <c r="H374" s="17"/>
      <c r="I374" s="17"/>
      <c r="J374" s="17"/>
      <c r="K374" s="17"/>
      <c r="L374" s="17"/>
      <c r="M374" s="17"/>
      <c r="N374" s="17"/>
      <c r="O374" s="17"/>
      <c r="P374" s="17"/>
      <c r="Q374" s="17"/>
      <c r="R374" s="17"/>
      <c r="S374" s="17"/>
      <c r="T374" s="17"/>
      <c r="U374" s="17"/>
      <c r="V374" s="12"/>
      <c r="W374" s="12"/>
      <c r="X374" s="12"/>
      <c r="Y374" s="12"/>
      <c r="Z374" s="12"/>
    </row>
    <row r="375" spans="1:26" ht="15" customHeight="1" x14ac:dyDescent="0.3">
      <c r="A375" s="26"/>
      <c r="B375" s="17"/>
      <c r="C375" s="17"/>
      <c r="D375" s="17"/>
      <c r="E375" s="17"/>
      <c r="F375" s="17"/>
      <c r="G375" s="17"/>
      <c r="H375" s="17"/>
      <c r="I375" s="17"/>
      <c r="J375" s="17"/>
      <c r="K375" s="17"/>
      <c r="L375" s="17"/>
      <c r="M375" s="17"/>
      <c r="N375" s="17"/>
      <c r="O375" s="17"/>
      <c r="P375" s="17"/>
      <c r="Q375" s="17"/>
      <c r="R375" s="17"/>
      <c r="S375" s="17"/>
      <c r="T375" s="17"/>
      <c r="U375" s="17"/>
      <c r="V375" s="12"/>
      <c r="W375" s="12"/>
      <c r="X375" s="12"/>
      <c r="Y375" s="12"/>
      <c r="Z375" s="12"/>
    </row>
    <row r="376" spans="1:26" ht="15" customHeight="1" x14ac:dyDescent="0.3">
      <c r="A376" s="26"/>
      <c r="B376" s="17"/>
      <c r="C376" s="17"/>
      <c r="D376" s="17"/>
      <c r="E376" s="17"/>
      <c r="F376" s="17"/>
      <c r="G376" s="17"/>
      <c r="H376" s="17"/>
      <c r="I376" s="17"/>
      <c r="J376" s="17"/>
      <c r="K376" s="17"/>
      <c r="L376" s="17"/>
      <c r="M376" s="17"/>
      <c r="N376" s="17"/>
      <c r="O376" s="17"/>
      <c r="P376" s="17"/>
      <c r="Q376" s="17"/>
      <c r="R376" s="17"/>
      <c r="S376" s="17"/>
      <c r="T376" s="17"/>
      <c r="U376" s="17"/>
      <c r="V376" s="12"/>
      <c r="W376" s="12"/>
      <c r="X376" s="12"/>
      <c r="Y376" s="12"/>
      <c r="Z376" s="12"/>
    </row>
    <row r="377" spans="1:26" ht="15" customHeight="1" x14ac:dyDescent="0.3">
      <c r="A377" s="26"/>
      <c r="B377" s="17"/>
      <c r="C377" s="17"/>
      <c r="D377" s="17"/>
      <c r="E377" s="17"/>
      <c r="F377" s="17"/>
      <c r="G377" s="17"/>
      <c r="H377" s="17"/>
      <c r="I377" s="17"/>
      <c r="J377" s="17"/>
      <c r="K377" s="17"/>
      <c r="L377" s="17"/>
      <c r="M377" s="17"/>
      <c r="N377" s="17"/>
      <c r="O377" s="17"/>
      <c r="P377" s="17"/>
      <c r="Q377" s="17"/>
      <c r="R377" s="17"/>
      <c r="S377" s="17"/>
      <c r="T377" s="17"/>
      <c r="U377" s="17"/>
      <c r="V377" s="12"/>
      <c r="W377" s="12"/>
      <c r="X377" s="12"/>
      <c r="Y377" s="12"/>
      <c r="Z377" s="12"/>
    </row>
    <row r="378" spans="1:26" ht="15" customHeight="1" x14ac:dyDescent="0.3">
      <c r="A378" s="26"/>
      <c r="B378" s="17"/>
      <c r="C378" s="17"/>
      <c r="D378" s="17"/>
      <c r="E378" s="17"/>
      <c r="F378" s="17"/>
      <c r="G378" s="17"/>
      <c r="H378" s="17"/>
      <c r="I378" s="17"/>
      <c r="J378" s="17"/>
      <c r="K378" s="17"/>
      <c r="L378" s="17"/>
      <c r="M378" s="17"/>
      <c r="N378" s="17"/>
      <c r="O378" s="17"/>
      <c r="P378" s="17"/>
      <c r="Q378" s="17"/>
      <c r="R378" s="17"/>
      <c r="S378" s="17"/>
      <c r="T378" s="17"/>
      <c r="U378" s="17"/>
      <c r="V378" s="12"/>
      <c r="W378" s="12"/>
      <c r="X378" s="12"/>
      <c r="Y378" s="12"/>
      <c r="Z378" s="12"/>
    </row>
    <row r="379" spans="1:26" ht="15" customHeight="1" x14ac:dyDescent="0.3">
      <c r="A379" s="26"/>
      <c r="B379" s="17"/>
      <c r="C379" s="17"/>
      <c r="D379" s="17"/>
      <c r="E379" s="17"/>
      <c r="F379" s="17"/>
      <c r="G379" s="17"/>
      <c r="H379" s="17"/>
      <c r="I379" s="17"/>
      <c r="J379" s="17"/>
      <c r="K379" s="17"/>
      <c r="L379" s="17"/>
      <c r="M379" s="17"/>
      <c r="N379" s="17"/>
      <c r="O379" s="17"/>
      <c r="P379" s="17"/>
      <c r="Q379" s="17"/>
      <c r="R379" s="17"/>
      <c r="S379" s="17"/>
      <c r="T379" s="17"/>
      <c r="U379" s="17"/>
      <c r="V379" s="12"/>
      <c r="W379" s="12"/>
      <c r="X379" s="12"/>
      <c r="Y379" s="12"/>
      <c r="Z379" s="12"/>
    </row>
    <row r="380" spans="1:26" ht="15" customHeight="1" x14ac:dyDescent="0.3">
      <c r="A380" s="26"/>
      <c r="B380" s="17"/>
      <c r="C380" s="17"/>
      <c r="D380" s="17"/>
      <c r="E380" s="17"/>
      <c r="F380" s="17"/>
      <c r="G380" s="17"/>
      <c r="H380" s="17"/>
      <c r="I380" s="17"/>
      <c r="J380" s="17"/>
      <c r="K380" s="17"/>
      <c r="L380" s="17"/>
      <c r="M380" s="17"/>
      <c r="N380" s="17"/>
      <c r="O380" s="17"/>
      <c r="P380" s="17"/>
      <c r="Q380" s="17"/>
      <c r="R380" s="17"/>
      <c r="S380" s="17"/>
      <c r="T380" s="17"/>
      <c r="U380" s="17"/>
      <c r="V380" s="12"/>
      <c r="W380" s="12"/>
      <c r="X380" s="12"/>
      <c r="Y380" s="12"/>
      <c r="Z380" s="12"/>
    </row>
    <row r="381" spans="1:26" ht="15" customHeight="1" x14ac:dyDescent="0.3">
      <c r="A381" s="26"/>
      <c r="B381" s="17"/>
      <c r="C381" s="17"/>
      <c r="D381" s="17"/>
      <c r="E381" s="17"/>
      <c r="F381" s="17"/>
      <c r="G381" s="17"/>
      <c r="H381" s="17"/>
      <c r="I381" s="17"/>
      <c r="J381" s="17"/>
      <c r="K381" s="17"/>
      <c r="L381" s="17"/>
      <c r="M381" s="17"/>
      <c r="N381" s="17"/>
      <c r="O381" s="17"/>
      <c r="P381" s="17"/>
      <c r="Q381" s="17"/>
      <c r="R381" s="17"/>
      <c r="S381" s="17"/>
      <c r="T381" s="17"/>
      <c r="U381" s="17"/>
      <c r="V381" s="12"/>
      <c r="W381" s="12"/>
      <c r="X381" s="12"/>
      <c r="Y381" s="12"/>
      <c r="Z381" s="12"/>
    </row>
    <row r="382" spans="1:26" ht="15" customHeight="1" x14ac:dyDescent="0.3">
      <c r="A382" s="26"/>
      <c r="B382" s="17"/>
      <c r="C382" s="17"/>
      <c r="D382" s="17"/>
      <c r="E382" s="17"/>
      <c r="F382" s="17"/>
      <c r="G382" s="17"/>
      <c r="H382" s="17"/>
      <c r="I382" s="17"/>
      <c r="J382" s="17"/>
      <c r="K382" s="17"/>
      <c r="L382" s="17"/>
      <c r="M382" s="17"/>
      <c r="N382" s="17"/>
      <c r="O382" s="17"/>
      <c r="P382" s="17"/>
      <c r="Q382" s="17"/>
      <c r="R382" s="17"/>
      <c r="S382" s="17"/>
      <c r="T382" s="17"/>
      <c r="U382" s="17"/>
      <c r="V382" s="12"/>
      <c r="W382" s="12"/>
      <c r="X382" s="12"/>
      <c r="Y382" s="12"/>
      <c r="Z382" s="12"/>
    </row>
    <row r="383" spans="1:26" ht="15" customHeight="1" x14ac:dyDescent="0.3">
      <c r="A383" s="26"/>
      <c r="B383" s="17"/>
      <c r="C383" s="17"/>
      <c r="D383" s="17"/>
      <c r="E383" s="17"/>
      <c r="F383" s="17"/>
      <c r="G383" s="17"/>
      <c r="H383" s="17"/>
      <c r="I383" s="17"/>
      <c r="J383" s="17"/>
      <c r="K383" s="17"/>
      <c r="L383" s="17"/>
      <c r="M383" s="17"/>
      <c r="N383" s="17"/>
      <c r="O383" s="17"/>
      <c r="P383" s="17"/>
      <c r="Q383" s="17"/>
      <c r="R383" s="17"/>
      <c r="S383" s="17"/>
      <c r="T383" s="17"/>
      <c r="U383" s="17"/>
      <c r="V383" s="12"/>
      <c r="W383" s="12"/>
      <c r="X383" s="12"/>
      <c r="Y383" s="12"/>
      <c r="Z383" s="12"/>
    </row>
    <row r="384" spans="1:26" ht="15" customHeight="1" x14ac:dyDescent="0.3">
      <c r="A384" s="26"/>
      <c r="B384" s="17"/>
      <c r="C384" s="17"/>
      <c r="D384" s="17"/>
      <c r="E384" s="17"/>
      <c r="F384" s="17"/>
      <c r="G384" s="17"/>
      <c r="H384" s="17"/>
      <c r="I384" s="17"/>
      <c r="J384" s="17"/>
      <c r="K384" s="17"/>
      <c r="L384" s="17"/>
      <c r="M384" s="17"/>
      <c r="N384" s="17"/>
      <c r="O384" s="17"/>
      <c r="P384" s="17"/>
      <c r="Q384" s="17"/>
      <c r="R384" s="17"/>
      <c r="S384" s="17"/>
      <c r="T384" s="17"/>
      <c r="U384" s="17"/>
      <c r="V384" s="12"/>
      <c r="W384" s="12"/>
      <c r="X384" s="12"/>
      <c r="Y384" s="12"/>
      <c r="Z384" s="12"/>
    </row>
    <row r="385" spans="1:26" ht="15" customHeight="1" x14ac:dyDescent="0.3">
      <c r="A385" s="26"/>
      <c r="B385" s="17"/>
      <c r="C385" s="17"/>
      <c r="D385" s="17"/>
      <c r="E385" s="17"/>
      <c r="F385" s="17"/>
      <c r="G385" s="17"/>
      <c r="H385" s="17"/>
      <c r="I385" s="17"/>
      <c r="J385" s="17"/>
      <c r="K385" s="17"/>
      <c r="L385" s="17"/>
      <c r="M385" s="17"/>
      <c r="N385" s="17"/>
      <c r="O385" s="17"/>
      <c r="P385" s="17"/>
      <c r="Q385" s="17"/>
      <c r="R385" s="17"/>
      <c r="S385" s="17"/>
      <c r="T385" s="17"/>
      <c r="U385" s="17"/>
      <c r="V385" s="12"/>
      <c r="W385" s="12"/>
      <c r="X385" s="12"/>
      <c r="Y385" s="12"/>
      <c r="Z385" s="12"/>
    </row>
    <row r="386" spans="1:26" ht="15" customHeight="1" x14ac:dyDescent="0.3">
      <c r="A386" s="26"/>
      <c r="B386" s="17"/>
      <c r="C386" s="17"/>
      <c r="D386" s="17"/>
      <c r="E386" s="17"/>
      <c r="F386" s="17"/>
      <c r="G386" s="17"/>
      <c r="H386" s="17"/>
      <c r="I386" s="17"/>
      <c r="J386" s="17"/>
      <c r="K386" s="17"/>
      <c r="L386" s="17"/>
      <c r="M386" s="17"/>
      <c r="N386" s="17"/>
      <c r="O386" s="17"/>
      <c r="P386" s="17"/>
      <c r="Q386" s="17"/>
      <c r="R386" s="17"/>
      <c r="S386" s="17"/>
      <c r="T386" s="17"/>
      <c r="U386" s="17"/>
      <c r="V386" s="12"/>
      <c r="W386" s="12"/>
      <c r="X386" s="12"/>
      <c r="Y386" s="12"/>
      <c r="Z386" s="12"/>
    </row>
    <row r="387" spans="1:26" ht="15" customHeight="1" x14ac:dyDescent="0.3">
      <c r="A387" s="26"/>
      <c r="B387" s="17"/>
      <c r="C387" s="17"/>
      <c r="D387" s="17"/>
      <c r="E387" s="17"/>
      <c r="F387" s="17"/>
      <c r="G387" s="17"/>
      <c r="H387" s="17"/>
      <c r="I387" s="17"/>
      <c r="J387" s="17"/>
      <c r="K387" s="17"/>
      <c r="L387" s="17"/>
      <c r="M387" s="17"/>
      <c r="N387" s="17"/>
      <c r="O387" s="17"/>
      <c r="P387" s="17"/>
      <c r="Q387" s="17"/>
      <c r="R387" s="17"/>
      <c r="S387" s="17"/>
      <c r="T387" s="17"/>
      <c r="U387" s="17"/>
      <c r="V387" s="12"/>
      <c r="W387" s="12"/>
      <c r="X387" s="12"/>
      <c r="Y387" s="12"/>
      <c r="Z387" s="12"/>
    </row>
    <row r="388" spans="1:26" ht="15" customHeight="1" x14ac:dyDescent="0.3">
      <c r="A388" s="26"/>
      <c r="B388" s="17"/>
      <c r="C388" s="17"/>
      <c r="D388" s="17"/>
      <c r="E388" s="17"/>
      <c r="F388" s="17"/>
      <c r="G388" s="17"/>
      <c r="H388" s="17"/>
      <c r="I388" s="17"/>
      <c r="J388" s="17"/>
      <c r="K388" s="17"/>
      <c r="L388" s="17"/>
      <c r="M388" s="17"/>
      <c r="N388" s="17"/>
      <c r="O388" s="17"/>
      <c r="P388" s="17"/>
      <c r="Q388" s="17"/>
      <c r="R388" s="17"/>
      <c r="S388" s="17"/>
      <c r="T388" s="17"/>
      <c r="U388" s="17"/>
      <c r="V388" s="12"/>
      <c r="W388" s="12"/>
      <c r="X388" s="12"/>
      <c r="Y388" s="12"/>
      <c r="Z388" s="12"/>
    </row>
    <row r="389" spans="1:26" ht="15" customHeight="1" x14ac:dyDescent="0.3">
      <c r="A389" s="26"/>
      <c r="B389" s="17"/>
      <c r="C389" s="17"/>
      <c r="D389" s="17"/>
      <c r="E389" s="17"/>
      <c r="F389" s="17"/>
      <c r="G389" s="17"/>
      <c r="H389" s="17"/>
      <c r="I389" s="17"/>
      <c r="J389" s="17"/>
      <c r="K389" s="17"/>
      <c r="L389" s="17"/>
      <c r="M389" s="17"/>
      <c r="N389" s="17"/>
      <c r="O389" s="17"/>
      <c r="P389" s="17"/>
      <c r="Q389" s="17"/>
      <c r="R389" s="17"/>
      <c r="S389" s="17"/>
      <c r="T389" s="17"/>
      <c r="U389" s="17"/>
      <c r="V389" s="12"/>
      <c r="W389" s="12"/>
      <c r="X389" s="12"/>
      <c r="Y389" s="12"/>
      <c r="Z389" s="12"/>
    </row>
    <row r="390" spans="1:26" ht="15" customHeight="1" x14ac:dyDescent="0.3">
      <c r="A390" s="26"/>
      <c r="B390" s="17"/>
      <c r="C390" s="17"/>
      <c r="D390" s="17"/>
      <c r="E390" s="17"/>
      <c r="F390" s="17"/>
      <c r="G390" s="17"/>
      <c r="H390" s="17"/>
      <c r="I390" s="17"/>
      <c r="J390" s="17"/>
      <c r="K390" s="17"/>
      <c r="L390" s="17"/>
      <c r="M390" s="17"/>
      <c r="N390" s="17"/>
      <c r="O390" s="17"/>
      <c r="P390" s="17"/>
      <c r="Q390" s="17"/>
      <c r="R390" s="17"/>
      <c r="S390" s="17"/>
      <c r="T390" s="17"/>
      <c r="U390" s="17"/>
      <c r="V390" s="12"/>
      <c r="W390" s="12"/>
      <c r="X390" s="12"/>
      <c r="Y390" s="12"/>
      <c r="Z390" s="12"/>
    </row>
    <row r="391" spans="1:26" ht="15" customHeight="1" x14ac:dyDescent="0.3">
      <c r="A391" s="26"/>
      <c r="B391" s="17"/>
      <c r="C391" s="17"/>
      <c r="D391" s="17"/>
      <c r="E391" s="17"/>
      <c r="F391" s="17"/>
      <c r="G391" s="17"/>
      <c r="H391" s="17"/>
      <c r="I391" s="17"/>
      <c r="J391" s="17"/>
      <c r="K391" s="17"/>
      <c r="L391" s="17"/>
      <c r="M391" s="17"/>
      <c r="N391" s="17"/>
      <c r="O391" s="17"/>
      <c r="P391" s="17"/>
      <c r="Q391" s="17"/>
      <c r="R391" s="17"/>
      <c r="S391" s="17"/>
      <c r="T391" s="17"/>
      <c r="U391" s="17"/>
      <c r="V391" s="12"/>
      <c r="W391" s="12"/>
      <c r="X391" s="12"/>
      <c r="Y391" s="12"/>
      <c r="Z391" s="12"/>
    </row>
    <row r="392" spans="1:26" ht="15" customHeight="1" x14ac:dyDescent="0.3">
      <c r="A392" s="26"/>
      <c r="B392" s="17"/>
      <c r="C392" s="17"/>
      <c r="D392" s="17"/>
      <c r="E392" s="17"/>
      <c r="F392" s="17"/>
      <c r="G392" s="17"/>
      <c r="H392" s="17"/>
      <c r="I392" s="17"/>
      <c r="J392" s="17"/>
      <c r="K392" s="17"/>
      <c r="L392" s="17"/>
      <c r="M392" s="17"/>
      <c r="N392" s="17"/>
      <c r="O392" s="17"/>
      <c r="P392" s="17"/>
      <c r="Q392" s="17"/>
      <c r="R392" s="17"/>
      <c r="S392" s="17"/>
      <c r="T392" s="17"/>
      <c r="U392" s="17"/>
      <c r="V392" s="12"/>
      <c r="W392" s="12"/>
      <c r="X392" s="12"/>
      <c r="Y392" s="12"/>
      <c r="Z392" s="12"/>
    </row>
    <row r="393" spans="1:26" ht="15" customHeight="1" x14ac:dyDescent="0.3">
      <c r="A393" s="26"/>
      <c r="B393" s="17"/>
      <c r="C393" s="17"/>
      <c r="D393" s="17"/>
      <c r="E393" s="17"/>
      <c r="F393" s="17"/>
      <c r="G393" s="17"/>
      <c r="H393" s="17"/>
      <c r="I393" s="17"/>
      <c r="J393" s="17"/>
      <c r="K393" s="17"/>
      <c r="L393" s="17"/>
      <c r="M393" s="17"/>
      <c r="N393" s="17"/>
      <c r="O393" s="17"/>
      <c r="P393" s="17"/>
      <c r="Q393" s="17"/>
      <c r="R393" s="17"/>
      <c r="S393" s="17"/>
      <c r="T393" s="17"/>
      <c r="U393" s="17"/>
      <c r="V393" s="12"/>
      <c r="W393" s="12"/>
      <c r="X393" s="12"/>
      <c r="Y393" s="12"/>
      <c r="Z393" s="12"/>
    </row>
    <row r="394" spans="1:26" ht="15" customHeight="1" x14ac:dyDescent="0.3">
      <c r="A394" s="26"/>
      <c r="B394" s="17"/>
      <c r="C394" s="17"/>
      <c r="D394" s="17"/>
      <c r="E394" s="17"/>
      <c r="F394" s="17"/>
      <c r="G394" s="17"/>
      <c r="H394" s="17"/>
      <c r="I394" s="17"/>
      <c r="J394" s="17"/>
      <c r="K394" s="17"/>
      <c r="L394" s="17"/>
      <c r="M394" s="17"/>
      <c r="N394" s="17"/>
      <c r="O394" s="17"/>
      <c r="P394" s="17"/>
      <c r="Q394" s="17"/>
      <c r="R394" s="17"/>
      <c r="S394" s="17"/>
      <c r="T394" s="17"/>
      <c r="U394" s="17"/>
      <c r="V394" s="12"/>
      <c r="W394" s="12"/>
      <c r="X394" s="12"/>
      <c r="Y394" s="12"/>
      <c r="Z394" s="12"/>
    </row>
    <row r="395" spans="1:26" ht="15" customHeight="1" x14ac:dyDescent="0.3">
      <c r="A395" s="26"/>
      <c r="B395" s="17"/>
      <c r="C395" s="17"/>
      <c r="D395" s="17"/>
      <c r="E395" s="17"/>
      <c r="F395" s="17"/>
      <c r="G395" s="17"/>
      <c r="H395" s="17"/>
      <c r="I395" s="17"/>
      <c r="J395" s="17"/>
      <c r="K395" s="17"/>
      <c r="L395" s="17"/>
      <c r="M395" s="17"/>
      <c r="N395" s="17"/>
      <c r="O395" s="17"/>
      <c r="P395" s="17"/>
      <c r="Q395" s="17"/>
      <c r="R395" s="17"/>
      <c r="S395" s="17"/>
      <c r="T395" s="17"/>
      <c r="U395" s="17"/>
      <c r="V395" s="12"/>
      <c r="W395" s="12"/>
      <c r="X395" s="12"/>
      <c r="Y395" s="12"/>
      <c r="Z395" s="12"/>
    </row>
    <row r="396" spans="1:26" ht="15" customHeight="1" x14ac:dyDescent="0.3">
      <c r="A396" s="26"/>
      <c r="B396" s="17"/>
      <c r="C396" s="17"/>
      <c r="D396" s="17"/>
      <c r="E396" s="17"/>
      <c r="F396" s="17"/>
      <c r="G396" s="17"/>
      <c r="H396" s="17"/>
      <c r="I396" s="17"/>
      <c r="J396" s="17"/>
      <c r="K396" s="17"/>
      <c r="L396" s="17"/>
      <c r="M396" s="17"/>
      <c r="N396" s="17"/>
      <c r="O396" s="17"/>
      <c r="P396" s="17"/>
      <c r="Q396" s="17"/>
      <c r="R396" s="17"/>
      <c r="S396" s="17"/>
      <c r="T396" s="17"/>
      <c r="U396" s="17"/>
      <c r="V396" s="12"/>
      <c r="W396" s="12"/>
      <c r="X396" s="12"/>
      <c r="Y396" s="12"/>
      <c r="Z396" s="12"/>
    </row>
    <row r="397" spans="1:26" ht="15" customHeight="1" x14ac:dyDescent="0.3">
      <c r="A397" s="26"/>
      <c r="B397" s="17"/>
      <c r="C397" s="17"/>
      <c r="D397" s="17"/>
      <c r="E397" s="17"/>
      <c r="F397" s="17"/>
      <c r="G397" s="17"/>
      <c r="H397" s="17"/>
      <c r="I397" s="17"/>
      <c r="J397" s="17"/>
      <c r="K397" s="17"/>
      <c r="L397" s="17"/>
      <c r="M397" s="17"/>
      <c r="N397" s="17"/>
      <c r="O397" s="17"/>
      <c r="P397" s="17"/>
      <c r="Q397" s="17"/>
      <c r="R397" s="17"/>
      <c r="S397" s="17"/>
      <c r="T397" s="17"/>
      <c r="U397" s="17"/>
      <c r="V397" s="12"/>
      <c r="W397" s="12"/>
      <c r="X397" s="12"/>
      <c r="Y397" s="12"/>
      <c r="Z397" s="12"/>
    </row>
    <row r="398" spans="1:26" ht="15" customHeight="1" x14ac:dyDescent="0.3">
      <c r="A398" s="26"/>
      <c r="B398" s="17"/>
      <c r="C398" s="17"/>
      <c r="D398" s="17"/>
      <c r="E398" s="17"/>
      <c r="F398" s="17"/>
      <c r="G398" s="17"/>
      <c r="H398" s="17"/>
      <c r="I398" s="17"/>
      <c r="J398" s="17"/>
      <c r="K398" s="17"/>
      <c r="L398" s="17"/>
      <c r="M398" s="17"/>
      <c r="N398" s="17"/>
      <c r="O398" s="17"/>
      <c r="P398" s="17"/>
      <c r="Q398" s="17"/>
      <c r="R398" s="17"/>
      <c r="S398" s="17"/>
      <c r="T398" s="17"/>
      <c r="U398" s="17"/>
      <c r="V398" s="12"/>
      <c r="W398" s="12"/>
      <c r="X398" s="12"/>
      <c r="Y398" s="12"/>
      <c r="Z398" s="12"/>
    </row>
    <row r="399" spans="1:26" ht="15" customHeight="1" x14ac:dyDescent="0.3">
      <c r="A399" s="26"/>
      <c r="B399" s="17"/>
      <c r="C399" s="17"/>
      <c r="D399" s="17"/>
      <c r="E399" s="17"/>
      <c r="F399" s="17"/>
      <c r="G399" s="17"/>
      <c r="H399" s="17"/>
      <c r="I399" s="17"/>
      <c r="J399" s="17"/>
      <c r="K399" s="17"/>
      <c r="L399" s="17"/>
      <c r="M399" s="17"/>
      <c r="N399" s="17"/>
      <c r="O399" s="17"/>
      <c r="P399" s="17"/>
      <c r="Q399" s="17"/>
      <c r="R399" s="17"/>
      <c r="S399" s="17"/>
      <c r="T399" s="17"/>
      <c r="U399" s="17"/>
      <c r="V399" s="12"/>
      <c r="W399" s="12"/>
      <c r="X399" s="12"/>
      <c r="Y399" s="12"/>
      <c r="Z399" s="12"/>
    </row>
    <row r="400" spans="1:26" ht="15" customHeight="1" x14ac:dyDescent="0.3">
      <c r="A400" s="26"/>
      <c r="B400" s="17"/>
      <c r="C400" s="17"/>
      <c r="D400" s="17"/>
      <c r="E400" s="17"/>
      <c r="F400" s="17"/>
      <c r="G400" s="17"/>
      <c r="H400" s="17"/>
      <c r="I400" s="17"/>
      <c r="J400" s="17"/>
      <c r="K400" s="17"/>
      <c r="L400" s="17"/>
      <c r="M400" s="17"/>
      <c r="N400" s="17"/>
      <c r="O400" s="17"/>
      <c r="P400" s="17"/>
      <c r="Q400" s="17"/>
      <c r="R400" s="17"/>
      <c r="S400" s="17"/>
      <c r="T400" s="17"/>
      <c r="U400" s="17"/>
      <c r="V400" s="12"/>
      <c r="W400" s="12"/>
      <c r="X400" s="12"/>
      <c r="Y400" s="12"/>
      <c r="Z400" s="12"/>
    </row>
    <row r="401" spans="1:26" ht="15" customHeight="1" x14ac:dyDescent="0.3">
      <c r="A401" s="26"/>
      <c r="B401" s="17"/>
      <c r="C401" s="17"/>
      <c r="D401" s="17"/>
      <c r="E401" s="17"/>
      <c r="F401" s="17"/>
      <c r="G401" s="17"/>
      <c r="H401" s="17"/>
      <c r="I401" s="17"/>
      <c r="J401" s="17"/>
      <c r="K401" s="17"/>
      <c r="L401" s="17"/>
      <c r="M401" s="17"/>
      <c r="N401" s="17"/>
      <c r="O401" s="17"/>
      <c r="P401" s="17"/>
      <c r="Q401" s="17"/>
      <c r="R401" s="17"/>
      <c r="S401" s="17"/>
      <c r="T401" s="17"/>
      <c r="U401" s="17"/>
      <c r="V401" s="12"/>
      <c r="W401" s="12"/>
      <c r="X401" s="12"/>
      <c r="Y401" s="12"/>
      <c r="Z401" s="12"/>
    </row>
    <row r="402" spans="1:26" ht="15" customHeight="1" x14ac:dyDescent="0.3">
      <c r="A402" s="26"/>
      <c r="B402" s="17"/>
      <c r="C402" s="17"/>
      <c r="D402" s="17"/>
      <c r="E402" s="17"/>
      <c r="F402" s="17"/>
      <c r="G402" s="17"/>
      <c r="H402" s="17"/>
      <c r="I402" s="17"/>
      <c r="J402" s="17"/>
      <c r="K402" s="17"/>
      <c r="L402" s="17"/>
      <c r="M402" s="17"/>
      <c r="N402" s="17"/>
      <c r="O402" s="17"/>
      <c r="P402" s="17"/>
      <c r="Q402" s="17"/>
      <c r="R402" s="17"/>
      <c r="S402" s="17"/>
      <c r="T402" s="17"/>
      <c r="U402" s="17"/>
      <c r="V402" s="12"/>
      <c r="W402" s="12"/>
      <c r="X402" s="12"/>
      <c r="Y402" s="12"/>
      <c r="Z402" s="12"/>
    </row>
    <row r="403" spans="1:26" ht="15" customHeight="1" x14ac:dyDescent="0.3">
      <c r="A403" s="26"/>
      <c r="B403" s="17"/>
      <c r="C403" s="17"/>
      <c r="D403" s="17"/>
      <c r="E403" s="17"/>
      <c r="F403" s="17"/>
      <c r="G403" s="17"/>
      <c r="H403" s="17"/>
      <c r="I403" s="17"/>
      <c r="J403" s="17"/>
      <c r="K403" s="17"/>
      <c r="L403" s="17"/>
      <c r="M403" s="17"/>
      <c r="N403" s="17"/>
      <c r="O403" s="17"/>
      <c r="P403" s="17"/>
      <c r="Q403" s="17"/>
      <c r="R403" s="17"/>
      <c r="S403" s="17"/>
      <c r="T403" s="17"/>
      <c r="U403" s="17"/>
      <c r="V403" s="12"/>
      <c r="W403" s="12"/>
      <c r="X403" s="12"/>
      <c r="Y403" s="12"/>
      <c r="Z403" s="12"/>
    </row>
    <row r="404" spans="1:26" ht="15" customHeight="1" x14ac:dyDescent="0.3">
      <c r="A404" s="26"/>
      <c r="B404" s="17"/>
      <c r="C404" s="17"/>
      <c r="D404" s="17"/>
      <c r="E404" s="17"/>
      <c r="F404" s="17"/>
      <c r="G404" s="17"/>
      <c r="H404" s="17"/>
      <c r="I404" s="17"/>
      <c r="J404" s="17"/>
      <c r="K404" s="17"/>
      <c r="L404" s="17"/>
      <c r="M404" s="17"/>
      <c r="N404" s="17"/>
      <c r="O404" s="17"/>
      <c r="P404" s="17"/>
      <c r="Q404" s="17"/>
      <c r="R404" s="17"/>
      <c r="S404" s="17"/>
      <c r="T404" s="17"/>
      <c r="U404" s="17"/>
      <c r="V404" s="12"/>
      <c r="W404" s="12"/>
      <c r="X404" s="12"/>
      <c r="Y404" s="12"/>
      <c r="Z404" s="12"/>
    </row>
    <row r="405" spans="1:26" ht="15" customHeight="1" x14ac:dyDescent="0.3">
      <c r="A405" s="26"/>
      <c r="B405" s="17"/>
      <c r="C405" s="17"/>
      <c r="D405" s="17"/>
      <c r="E405" s="17"/>
      <c r="F405" s="17"/>
      <c r="G405" s="17"/>
      <c r="H405" s="17"/>
      <c r="I405" s="17"/>
      <c r="J405" s="17"/>
      <c r="K405" s="17"/>
      <c r="L405" s="17"/>
      <c r="M405" s="17"/>
      <c r="N405" s="17"/>
      <c r="O405" s="17"/>
      <c r="P405" s="17"/>
      <c r="Q405" s="17"/>
      <c r="R405" s="17"/>
      <c r="S405" s="17"/>
      <c r="T405" s="17"/>
      <c r="U405" s="17"/>
      <c r="V405" s="12"/>
      <c r="W405" s="12"/>
      <c r="X405" s="12"/>
      <c r="Y405" s="12"/>
      <c r="Z405" s="12"/>
    </row>
    <row r="406" spans="1:26" ht="15" customHeight="1" x14ac:dyDescent="0.3">
      <c r="A406" s="26"/>
      <c r="B406" s="17"/>
      <c r="C406" s="17"/>
      <c r="D406" s="17"/>
      <c r="E406" s="17"/>
      <c r="F406" s="17"/>
      <c r="G406" s="17"/>
      <c r="H406" s="17"/>
      <c r="I406" s="17"/>
      <c r="J406" s="17"/>
      <c r="K406" s="17"/>
      <c r="L406" s="17"/>
      <c r="M406" s="17"/>
      <c r="N406" s="17"/>
      <c r="O406" s="17"/>
      <c r="P406" s="17"/>
      <c r="Q406" s="17"/>
      <c r="R406" s="17"/>
      <c r="S406" s="17"/>
      <c r="T406" s="17"/>
      <c r="U406" s="17"/>
      <c r="V406" s="12"/>
      <c r="W406" s="12"/>
      <c r="X406" s="12"/>
      <c r="Y406" s="12"/>
      <c r="Z406" s="12"/>
    </row>
    <row r="407" spans="1:26" ht="15" customHeight="1" x14ac:dyDescent="0.3">
      <c r="A407" s="26"/>
      <c r="B407" s="17"/>
      <c r="C407" s="17"/>
      <c r="D407" s="17"/>
      <c r="E407" s="17"/>
      <c r="F407" s="17"/>
      <c r="G407" s="17"/>
      <c r="H407" s="17"/>
      <c r="I407" s="17"/>
      <c r="J407" s="17"/>
      <c r="K407" s="17"/>
      <c r="L407" s="17"/>
      <c r="M407" s="17"/>
      <c r="N407" s="17"/>
      <c r="O407" s="17"/>
      <c r="P407" s="17"/>
      <c r="Q407" s="17"/>
      <c r="R407" s="17"/>
      <c r="S407" s="17"/>
      <c r="T407" s="17"/>
      <c r="U407" s="17"/>
      <c r="V407" s="12"/>
      <c r="W407" s="12"/>
      <c r="X407" s="12"/>
      <c r="Y407" s="12"/>
      <c r="Z407" s="12"/>
    </row>
    <row r="408" spans="1:26" ht="15" customHeight="1" x14ac:dyDescent="0.3">
      <c r="A408" s="26"/>
      <c r="B408" s="17"/>
      <c r="C408" s="17"/>
      <c r="D408" s="17"/>
      <c r="E408" s="17"/>
      <c r="F408" s="17"/>
      <c r="G408" s="17"/>
      <c r="H408" s="17"/>
      <c r="I408" s="17"/>
      <c r="J408" s="17"/>
      <c r="K408" s="17"/>
      <c r="L408" s="17"/>
      <c r="M408" s="17"/>
      <c r="N408" s="17"/>
      <c r="O408" s="17"/>
      <c r="P408" s="17"/>
      <c r="Q408" s="17"/>
      <c r="R408" s="17"/>
      <c r="S408" s="17"/>
      <c r="T408" s="17"/>
      <c r="U408" s="17"/>
      <c r="V408" s="12"/>
      <c r="W408" s="12"/>
      <c r="X408" s="12"/>
      <c r="Y408" s="12"/>
      <c r="Z408" s="12"/>
    </row>
    <row r="409" spans="1:26" ht="15" customHeight="1" x14ac:dyDescent="0.3">
      <c r="A409" s="26"/>
      <c r="B409" s="17"/>
      <c r="C409" s="17"/>
      <c r="D409" s="17"/>
      <c r="E409" s="17"/>
      <c r="F409" s="17"/>
      <c r="G409" s="17"/>
      <c r="H409" s="17"/>
      <c r="I409" s="17"/>
      <c r="J409" s="17"/>
      <c r="K409" s="17"/>
      <c r="L409" s="17"/>
      <c r="M409" s="17"/>
      <c r="N409" s="17"/>
      <c r="O409" s="17"/>
      <c r="P409" s="17"/>
      <c r="Q409" s="17"/>
      <c r="R409" s="17"/>
      <c r="S409" s="17"/>
      <c r="T409" s="17"/>
      <c r="U409" s="17"/>
      <c r="V409" s="12"/>
      <c r="W409" s="12"/>
      <c r="X409" s="12"/>
      <c r="Y409" s="12"/>
      <c r="Z409" s="12"/>
    </row>
    <row r="410" spans="1:26" ht="15" customHeight="1" x14ac:dyDescent="0.3">
      <c r="A410" s="26"/>
      <c r="B410" s="17"/>
      <c r="C410" s="17"/>
      <c r="D410" s="17"/>
      <c r="E410" s="17"/>
      <c r="F410" s="17"/>
      <c r="G410" s="17"/>
      <c r="H410" s="17"/>
      <c r="I410" s="17"/>
      <c r="J410" s="17"/>
      <c r="K410" s="17"/>
      <c r="L410" s="17"/>
      <c r="M410" s="17"/>
      <c r="N410" s="17"/>
      <c r="O410" s="17"/>
      <c r="P410" s="17"/>
      <c r="Q410" s="17"/>
      <c r="R410" s="17"/>
      <c r="S410" s="17"/>
      <c r="T410" s="17"/>
      <c r="U410" s="17"/>
      <c r="V410" s="12"/>
      <c r="W410" s="12"/>
      <c r="X410" s="12"/>
      <c r="Y410" s="12"/>
      <c r="Z410" s="12"/>
    </row>
    <row r="411" spans="1:26" ht="15" customHeight="1" x14ac:dyDescent="0.3">
      <c r="A411" s="26"/>
      <c r="B411" s="17"/>
      <c r="C411" s="17"/>
      <c r="D411" s="17"/>
      <c r="E411" s="17"/>
      <c r="F411" s="17"/>
      <c r="G411" s="17"/>
      <c r="H411" s="17"/>
      <c r="I411" s="17"/>
      <c r="J411" s="17"/>
      <c r="K411" s="17"/>
      <c r="L411" s="17"/>
      <c r="M411" s="17"/>
      <c r="N411" s="17"/>
      <c r="O411" s="17"/>
      <c r="P411" s="17"/>
      <c r="Q411" s="17"/>
      <c r="R411" s="17"/>
      <c r="S411" s="17"/>
      <c r="T411" s="17"/>
      <c r="U411" s="17"/>
      <c r="V411" s="12"/>
      <c r="W411" s="12"/>
      <c r="X411" s="12"/>
      <c r="Y411" s="12"/>
      <c r="Z411" s="12"/>
    </row>
    <row r="412" spans="1:26" ht="15" customHeight="1" x14ac:dyDescent="0.3">
      <c r="A412" s="26"/>
      <c r="B412" s="17"/>
      <c r="C412" s="17"/>
      <c r="D412" s="17"/>
      <c r="E412" s="17"/>
      <c r="F412" s="17"/>
      <c r="G412" s="17"/>
      <c r="H412" s="17"/>
      <c r="I412" s="17"/>
      <c r="J412" s="17"/>
      <c r="K412" s="17"/>
      <c r="L412" s="17"/>
      <c r="M412" s="17"/>
      <c r="N412" s="17"/>
      <c r="O412" s="17"/>
      <c r="P412" s="17"/>
      <c r="Q412" s="17"/>
      <c r="R412" s="17"/>
      <c r="S412" s="17"/>
      <c r="T412" s="17"/>
      <c r="U412" s="17"/>
      <c r="V412" s="12"/>
      <c r="W412" s="12"/>
      <c r="X412" s="12"/>
      <c r="Y412" s="12"/>
      <c r="Z412" s="12"/>
    </row>
    <row r="413" spans="1:26" ht="15" customHeight="1" x14ac:dyDescent="0.3">
      <c r="A413" s="26"/>
      <c r="B413" s="17"/>
      <c r="C413" s="17"/>
      <c r="D413" s="17"/>
      <c r="E413" s="17"/>
      <c r="F413" s="17"/>
      <c r="G413" s="17"/>
      <c r="H413" s="17"/>
      <c r="I413" s="17"/>
      <c r="J413" s="17"/>
      <c r="K413" s="17"/>
      <c r="L413" s="17"/>
      <c r="M413" s="17"/>
      <c r="N413" s="17"/>
      <c r="O413" s="17"/>
      <c r="P413" s="17"/>
      <c r="Q413" s="17"/>
      <c r="R413" s="17"/>
      <c r="S413" s="17"/>
      <c r="T413" s="17"/>
      <c r="U413" s="17"/>
      <c r="V413" s="12"/>
      <c r="W413" s="12"/>
      <c r="X413" s="12"/>
      <c r="Y413" s="12"/>
      <c r="Z413" s="12"/>
    </row>
    <row r="414" spans="1:26" ht="15" customHeight="1" x14ac:dyDescent="0.3">
      <c r="A414" s="26"/>
      <c r="B414" s="17"/>
      <c r="C414" s="17"/>
      <c r="D414" s="17"/>
      <c r="E414" s="17"/>
      <c r="F414" s="17"/>
      <c r="G414" s="17"/>
      <c r="H414" s="17"/>
      <c r="I414" s="17"/>
      <c r="J414" s="17"/>
      <c r="K414" s="17"/>
      <c r="L414" s="17"/>
      <c r="M414" s="17"/>
      <c r="N414" s="17"/>
      <c r="O414" s="17"/>
      <c r="P414" s="17"/>
      <c r="Q414" s="17"/>
      <c r="R414" s="17"/>
      <c r="S414" s="17"/>
      <c r="T414" s="17"/>
      <c r="U414" s="17"/>
      <c r="V414" s="12"/>
      <c r="W414" s="12"/>
      <c r="X414" s="12"/>
      <c r="Y414" s="12"/>
      <c r="Z414" s="12"/>
    </row>
    <row r="415" spans="1:26" ht="15" customHeight="1" x14ac:dyDescent="0.3">
      <c r="A415" s="26"/>
      <c r="B415" s="17"/>
      <c r="C415" s="17"/>
      <c r="D415" s="17"/>
      <c r="E415" s="17"/>
      <c r="F415" s="17"/>
      <c r="G415" s="17"/>
      <c r="H415" s="17"/>
      <c r="I415" s="17"/>
      <c r="J415" s="17"/>
      <c r="K415" s="17"/>
      <c r="L415" s="17"/>
      <c r="M415" s="17"/>
      <c r="N415" s="17"/>
      <c r="O415" s="17"/>
      <c r="P415" s="17"/>
      <c r="Q415" s="17"/>
      <c r="R415" s="17"/>
      <c r="S415" s="17"/>
      <c r="T415" s="17"/>
      <c r="U415" s="17"/>
      <c r="V415" s="12"/>
      <c r="W415" s="12"/>
      <c r="X415" s="12"/>
      <c r="Y415" s="12"/>
      <c r="Z415" s="12"/>
    </row>
    <row r="416" spans="1:26" ht="15" customHeight="1" x14ac:dyDescent="0.3">
      <c r="A416" s="26"/>
      <c r="B416" s="17"/>
      <c r="C416" s="17"/>
      <c r="D416" s="17"/>
      <c r="E416" s="17"/>
      <c r="F416" s="17"/>
      <c r="G416" s="17"/>
      <c r="H416" s="17"/>
      <c r="I416" s="17"/>
      <c r="J416" s="17"/>
      <c r="K416" s="17"/>
      <c r="L416" s="17"/>
      <c r="M416" s="17"/>
      <c r="N416" s="17"/>
      <c r="O416" s="17"/>
      <c r="P416" s="17"/>
      <c r="Q416" s="17"/>
      <c r="R416" s="17"/>
      <c r="S416" s="17"/>
      <c r="T416" s="17"/>
      <c r="U416" s="17"/>
      <c r="V416" s="12"/>
      <c r="W416" s="12"/>
      <c r="X416" s="12"/>
      <c r="Y416" s="12"/>
      <c r="Z416" s="12"/>
    </row>
    <row r="417" spans="1:26" ht="15" customHeight="1" x14ac:dyDescent="0.3">
      <c r="A417" s="26"/>
      <c r="B417" s="17"/>
      <c r="C417" s="17"/>
      <c r="D417" s="17"/>
      <c r="E417" s="17"/>
      <c r="F417" s="17"/>
      <c r="G417" s="17"/>
      <c r="H417" s="17"/>
      <c r="I417" s="17"/>
      <c r="J417" s="17"/>
      <c r="K417" s="17"/>
      <c r="L417" s="17"/>
      <c r="M417" s="17"/>
      <c r="N417" s="17"/>
      <c r="O417" s="17"/>
      <c r="P417" s="17"/>
      <c r="Q417" s="17"/>
      <c r="R417" s="17"/>
      <c r="S417" s="17"/>
      <c r="T417" s="17"/>
      <c r="U417" s="17"/>
      <c r="V417" s="12"/>
      <c r="W417" s="12"/>
      <c r="X417" s="12"/>
      <c r="Y417" s="12"/>
      <c r="Z417" s="12"/>
    </row>
    <row r="418" spans="1:26" ht="15" customHeight="1" x14ac:dyDescent="0.3">
      <c r="A418" s="26"/>
      <c r="B418" s="17"/>
      <c r="C418" s="17"/>
      <c r="D418" s="17"/>
      <c r="E418" s="17"/>
      <c r="F418" s="17"/>
      <c r="G418" s="17"/>
      <c r="H418" s="17"/>
      <c r="I418" s="17"/>
      <c r="J418" s="17"/>
      <c r="K418" s="17"/>
      <c r="L418" s="17"/>
      <c r="M418" s="17"/>
      <c r="N418" s="17"/>
      <c r="O418" s="17"/>
      <c r="P418" s="17"/>
      <c r="Q418" s="17"/>
      <c r="R418" s="17"/>
      <c r="S418" s="17"/>
      <c r="T418" s="17"/>
      <c r="U418" s="17"/>
      <c r="V418" s="12"/>
      <c r="W418" s="12"/>
      <c r="X418" s="12"/>
      <c r="Y418" s="12"/>
      <c r="Z418" s="12"/>
    </row>
    <row r="419" spans="1:26" ht="15" customHeight="1" x14ac:dyDescent="0.3">
      <c r="A419" s="26"/>
      <c r="B419" s="17"/>
      <c r="C419" s="17"/>
      <c r="D419" s="17"/>
      <c r="E419" s="17"/>
      <c r="F419" s="17"/>
      <c r="G419" s="17"/>
      <c r="H419" s="17"/>
      <c r="I419" s="17"/>
      <c r="J419" s="17"/>
      <c r="K419" s="17"/>
      <c r="L419" s="17"/>
      <c r="M419" s="17"/>
      <c r="N419" s="17"/>
      <c r="O419" s="17"/>
      <c r="P419" s="17"/>
      <c r="Q419" s="17"/>
      <c r="R419" s="17"/>
      <c r="S419" s="17"/>
      <c r="T419" s="17"/>
      <c r="U419" s="17"/>
      <c r="V419" s="12"/>
      <c r="W419" s="12"/>
      <c r="X419" s="12"/>
      <c r="Y419" s="12"/>
      <c r="Z419" s="12"/>
    </row>
    <row r="420" spans="1:26" ht="15" customHeight="1" x14ac:dyDescent="0.3">
      <c r="A420" s="26"/>
      <c r="B420" s="17"/>
      <c r="C420" s="17"/>
      <c r="D420" s="17"/>
      <c r="E420" s="17"/>
      <c r="F420" s="17"/>
      <c r="G420" s="17"/>
      <c r="H420" s="17"/>
      <c r="I420" s="17"/>
      <c r="J420" s="17"/>
      <c r="K420" s="17"/>
      <c r="L420" s="17"/>
      <c r="M420" s="17"/>
      <c r="N420" s="17"/>
      <c r="O420" s="17"/>
      <c r="P420" s="17"/>
      <c r="Q420" s="17"/>
      <c r="R420" s="17"/>
      <c r="S420" s="17"/>
      <c r="T420" s="17"/>
      <c r="U420" s="17"/>
      <c r="V420" s="12"/>
      <c r="W420" s="12"/>
      <c r="X420" s="12"/>
      <c r="Y420" s="12"/>
      <c r="Z420" s="12"/>
    </row>
    <row r="421" spans="1:26" ht="15" customHeight="1" x14ac:dyDescent="0.3">
      <c r="A421" s="26"/>
      <c r="B421" s="17"/>
      <c r="C421" s="17"/>
      <c r="D421" s="17"/>
      <c r="E421" s="17"/>
      <c r="F421" s="17"/>
      <c r="G421" s="17"/>
      <c r="H421" s="17"/>
      <c r="I421" s="17"/>
      <c r="J421" s="17"/>
      <c r="K421" s="17"/>
      <c r="L421" s="17"/>
      <c r="M421" s="17"/>
      <c r="N421" s="17"/>
      <c r="O421" s="17"/>
      <c r="P421" s="17"/>
      <c r="Q421" s="17"/>
      <c r="R421" s="17"/>
      <c r="S421" s="17"/>
      <c r="T421" s="17"/>
      <c r="U421" s="17"/>
      <c r="V421" s="12"/>
      <c r="W421" s="12"/>
      <c r="X421" s="12"/>
      <c r="Y421" s="12"/>
      <c r="Z421" s="12"/>
    </row>
    <row r="422" spans="1:26" ht="15" customHeight="1" x14ac:dyDescent="0.3">
      <c r="A422" s="26"/>
      <c r="B422" s="17"/>
      <c r="C422" s="17"/>
      <c r="D422" s="17"/>
      <c r="E422" s="17"/>
      <c r="F422" s="17"/>
      <c r="G422" s="17"/>
      <c r="H422" s="17"/>
      <c r="I422" s="17"/>
      <c r="J422" s="17"/>
      <c r="K422" s="17"/>
      <c r="L422" s="17"/>
      <c r="M422" s="17"/>
      <c r="N422" s="17"/>
      <c r="O422" s="17"/>
      <c r="P422" s="17"/>
      <c r="Q422" s="17"/>
      <c r="R422" s="17"/>
      <c r="S422" s="17"/>
      <c r="T422" s="17"/>
      <c r="U422" s="17"/>
      <c r="V422" s="12"/>
      <c r="W422" s="12"/>
      <c r="X422" s="12"/>
      <c r="Y422" s="12"/>
      <c r="Z422" s="12"/>
    </row>
    <row r="423" spans="1:26" ht="15" customHeight="1" x14ac:dyDescent="0.3">
      <c r="A423" s="26"/>
      <c r="B423" s="17"/>
      <c r="C423" s="17"/>
      <c r="D423" s="17"/>
      <c r="E423" s="17"/>
      <c r="F423" s="17"/>
      <c r="G423" s="17"/>
      <c r="H423" s="17"/>
      <c r="I423" s="17"/>
      <c r="J423" s="17"/>
      <c r="K423" s="17"/>
      <c r="L423" s="17"/>
      <c r="M423" s="17"/>
      <c r="N423" s="17"/>
      <c r="O423" s="17"/>
      <c r="P423" s="17"/>
      <c r="Q423" s="17"/>
      <c r="R423" s="17"/>
      <c r="S423" s="17"/>
      <c r="T423" s="17"/>
      <c r="U423" s="17"/>
      <c r="V423" s="12"/>
      <c r="W423" s="12"/>
      <c r="X423" s="12"/>
      <c r="Y423" s="12"/>
      <c r="Z423" s="12"/>
    </row>
    <row r="424" spans="1:26" ht="15" customHeight="1" x14ac:dyDescent="0.3">
      <c r="A424" s="26"/>
      <c r="B424" s="17"/>
      <c r="C424" s="17"/>
      <c r="D424" s="17"/>
      <c r="E424" s="17"/>
      <c r="F424" s="17"/>
      <c r="G424" s="17"/>
      <c r="H424" s="17"/>
      <c r="I424" s="17"/>
      <c r="J424" s="17"/>
      <c r="K424" s="17"/>
      <c r="L424" s="17"/>
      <c r="M424" s="17"/>
      <c r="N424" s="17"/>
      <c r="O424" s="17"/>
      <c r="P424" s="17"/>
      <c r="Q424" s="17"/>
      <c r="R424" s="17"/>
      <c r="S424" s="17"/>
      <c r="T424" s="17"/>
      <c r="U424" s="17"/>
      <c r="V424" s="12"/>
      <c r="W424" s="12"/>
      <c r="X424" s="12"/>
      <c r="Y424" s="12"/>
      <c r="Z424" s="12"/>
    </row>
    <row r="425" spans="1:26" ht="15" customHeight="1" x14ac:dyDescent="0.3">
      <c r="A425" s="26"/>
      <c r="B425" s="17"/>
      <c r="C425" s="17"/>
      <c r="D425" s="17"/>
      <c r="E425" s="17"/>
      <c r="F425" s="17"/>
      <c r="G425" s="17"/>
      <c r="H425" s="17"/>
      <c r="I425" s="17"/>
      <c r="J425" s="17"/>
      <c r="K425" s="17"/>
      <c r="L425" s="17"/>
      <c r="M425" s="17"/>
      <c r="N425" s="17"/>
      <c r="O425" s="17"/>
      <c r="P425" s="17"/>
      <c r="Q425" s="17"/>
      <c r="R425" s="17"/>
      <c r="S425" s="17"/>
      <c r="T425" s="17"/>
      <c r="U425" s="17"/>
      <c r="V425" s="12"/>
      <c r="W425" s="12"/>
      <c r="X425" s="12"/>
      <c r="Y425" s="12"/>
      <c r="Z425" s="12"/>
    </row>
    <row r="426" spans="1:26" ht="15" customHeight="1" x14ac:dyDescent="0.3">
      <c r="A426" s="26"/>
      <c r="B426" s="17"/>
      <c r="C426" s="17"/>
      <c r="D426" s="17"/>
      <c r="E426" s="17"/>
      <c r="F426" s="17"/>
      <c r="G426" s="17"/>
      <c r="H426" s="17"/>
      <c r="I426" s="17"/>
      <c r="J426" s="17"/>
      <c r="K426" s="17"/>
      <c r="L426" s="17"/>
      <c r="M426" s="17"/>
      <c r="N426" s="17"/>
      <c r="O426" s="17"/>
      <c r="P426" s="17"/>
      <c r="Q426" s="17"/>
      <c r="R426" s="17"/>
      <c r="S426" s="17"/>
      <c r="T426" s="17"/>
      <c r="U426" s="17"/>
      <c r="V426" s="12"/>
      <c r="W426" s="12"/>
      <c r="X426" s="12"/>
      <c r="Y426" s="12"/>
      <c r="Z426" s="12"/>
    </row>
    <row r="427" spans="1:26" ht="15" customHeight="1" x14ac:dyDescent="0.3">
      <c r="A427" s="26"/>
      <c r="B427" s="17"/>
      <c r="C427" s="17"/>
      <c r="D427" s="17"/>
      <c r="E427" s="17"/>
      <c r="F427" s="17"/>
      <c r="G427" s="17"/>
      <c r="H427" s="17"/>
      <c r="I427" s="17"/>
      <c r="J427" s="17"/>
      <c r="K427" s="17"/>
      <c r="L427" s="17"/>
      <c r="M427" s="17"/>
      <c r="N427" s="17"/>
      <c r="O427" s="17"/>
      <c r="P427" s="17"/>
      <c r="Q427" s="17"/>
      <c r="R427" s="17"/>
      <c r="S427" s="17"/>
      <c r="T427" s="17"/>
      <c r="U427" s="17"/>
      <c r="V427" s="12"/>
      <c r="W427" s="12"/>
      <c r="X427" s="12"/>
      <c r="Y427" s="12"/>
      <c r="Z427" s="12"/>
    </row>
    <row r="428" spans="1:26" ht="15" customHeight="1" x14ac:dyDescent="0.3">
      <c r="A428" s="26"/>
      <c r="B428" s="17"/>
      <c r="C428" s="17"/>
      <c r="D428" s="17"/>
      <c r="E428" s="17"/>
      <c r="F428" s="17"/>
      <c r="G428" s="17"/>
      <c r="H428" s="17"/>
      <c r="I428" s="17"/>
      <c r="J428" s="17"/>
      <c r="K428" s="17"/>
      <c r="L428" s="17"/>
      <c r="M428" s="17"/>
      <c r="N428" s="17"/>
      <c r="O428" s="17"/>
      <c r="P428" s="17"/>
      <c r="Q428" s="17"/>
      <c r="R428" s="17"/>
      <c r="S428" s="17"/>
      <c r="T428" s="17"/>
      <c r="U428" s="17"/>
      <c r="V428" s="12"/>
      <c r="W428" s="12"/>
      <c r="X428" s="12"/>
      <c r="Y428" s="12"/>
      <c r="Z428" s="12"/>
    </row>
    <row r="429" spans="1:26" ht="15" customHeight="1" x14ac:dyDescent="0.3">
      <c r="A429" s="26"/>
      <c r="B429" s="17"/>
      <c r="C429" s="17"/>
      <c r="D429" s="17"/>
      <c r="E429" s="17"/>
      <c r="F429" s="17"/>
      <c r="G429" s="17"/>
      <c r="H429" s="17"/>
      <c r="I429" s="17"/>
      <c r="J429" s="17"/>
      <c r="K429" s="17"/>
      <c r="L429" s="17"/>
      <c r="M429" s="17"/>
      <c r="N429" s="17"/>
      <c r="O429" s="17"/>
      <c r="P429" s="17"/>
      <c r="Q429" s="17"/>
      <c r="R429" s="17"/>
      <c r="S429" s="17"/>
      <c r="T429" s="17"/>
      <c r="U429" s="17"/>
      <c r="V429" s="12"/>
      <c r="W429" s="12"/>
      <c r="X429" s="12"/>
      <c r="Y429" s="12"/>
      <c r="Z429" s="12"/>
    </row>
    <row r="430" spans="1:26" ht="15" customHeight="1" x14ac:dyDescent="0.3">
      <c r="A430" s="26"/>
      <c r="B430" s="17"/>
      <c r="C430" s="17"/>
      <c r="D430" s="17"/>
      <c r="E430" s="17"/>
      <c r="F430" s="17"/>
      <c r="G430" s="17"/>
      <c r="H430" s="17"/>
      <c r="I430" s="17"/>
      <c r="J430" s="17"/>
      <c r="K430" s="17"/>
      <c r="L430" s="17"/>
      <c r="M430" s="17"/>
      <c r="N430" s="17"/>
      <c r="O430" s="17"/>
      <c r="P430" s="17"/>
      <c r="Q430" s="17"/>
      <c r="R430" s="17"/>
      <c r="S430" s="17"/>
      <c r="T430" s="17"/>
      <c r="U430" s="17"/>
      <c r="V430" s="12"/>
      <c r="W430" s="12"/>
      <c r="X430" s="12"/>
      <c r="Y430" s="12"/>
      <c r="Z430" s="12"/>
    </row>
    <row r="431" spans="1:26" ht="15" customHeight="1" x14ac:dyDescent="0.3">
      <c r="A431" s="26"/>
      <c r="B431" s="17"/>
      <c r="C431" s="17"/>
      <c r="D431" s="17"/>
      <c r="E431" s="17"/>
      <c r="F431" s="17"/>
      <c r="G431" s="17"/>
      <c r="H431" s="17"/>
      <c r="I431" s="17"/>
      <c r="J431" s="17"/>
      <c r="K431" s="17"/>
      <c r="L431" s="17"/>
      <c r="M431" s="17"/>
      <c r="N431" s="17"/>
      <c r="O431" s="17"/>
      <c r="P431" s="17"/>
      <c r="Q431" s="17"/>
      <c r="R431" s="17"/>
      <c r="S431" s="17"/>
      <c r="T431" s="17"/>
      <c r="U431" s="17"/>
      <c r="V431" s="12"/>
      <c r="W431" s="12"/>
      <c r="X431" s="12"/>
      <c r="Y431" s="12"/>
      <c r="Z431" s="12"/>
    </row>
    <row r="432" spans="1:26" ht="15" customHeight="1" x14ac:dyDescent="0.3">
      <c r="A432" s="26"/>
      <c r="B432" s="17"/>
      <c r="C432" s="17"/>
      <c r="D432" s="17"/>
      <c r="E432" s="17"/>
      <c r="F432" s="17"/>
      <c r="G432" s="17"/>
      <c r="H432" s="17"/>
      <c r="I432" s="17"/>
      <c r="J432" s="17"/>
      <c r="K432" s="17"/>
      <c r="L432" s="17"/>
      <c r="M432" s="17"/>
      <c r="N432" s="17"/>
      <c r="O432" s="17"/>
      <c r="P432" s="17"/>
      <c r="Q432" s="17"/>
      <c r="R432" s="17"/>
      <c r="S432" s="17"/>
      <c r="T432" s="17"/>
      <c r="U432" s="17"/>
      <c r="V432" s="12"/>
      <c r="W432" s="12"/>
      <c r="X432" s="12"/>
      <c r="Y432" s="12"/>
      <c r="Z432" s="12"/>
    </row>
    <row r="433" spans="1:26" ht="15" customHeight="1" x14ac:dyDescent="0.3">
      <c r="A433" s="26"/>
      <c r="B433" s="17"/>
      <c r="C433" s="17"/>
      <c r="D433" s="17"/>
      <c r="E433" s="17"/>
      <c r="F433" s="17"/>
      <c r="G433" s="17"/>
      <c r="H433" s="17"/>
      <c r="I433" s="17"/>
      <c r="J433" s="17"/>
      <c r="K433" s="17"/>
      <c r="L433" s="17"/>
      <c r="M433" s="17"/>
      <c r="N433" s="17"/>
      <c r="O433" s="17"/>
      <c r="P433" s="17"/>
      <c r="Q433" s="17"/>
      <c r="R433" s="17"/>
      <c r="S433" s="17"/>
      <c r="T433" s="17"/>
      <c r="U433" s="17"/>
      <c r="V433" s="12"/>
      <c r="W433" s="12"/>
      <c r="X433" s="12"/>
      <c r="Y433" s="12"/>
      <c r="Z433" s="12"/>
    </row>
    <row r="434" spans="1:26" ht="15" customHeight="1" x14ac:dyDescent="0.3">
      <c r="A434" s="26"/>
      <c r="B434" s="17"/>
      <c r="C434" s="17"/>
      <c r="D434" s="17"/>
      <c r="E434" s="17"/>
      <c r="F434" s="17"/>
      <c r="G434" s="17"/>
      <c r="H434" s="17"/>
      <c r="I434" s="17"/>
      <c r="J434" s="17"/>
      <c r="K434" s="17"/>
      <c r="L434" s="17"/>
      <c r="M434" s="17"/>
      <c r="N434" s="17"/>
      <c r="O434" s="17"/>
      <c r="P434" s="17"/>
      <c r="Q434" s="17"/>
      <c r="R434" s="17"/>
      <c r="S434" s="17"/>
      <c r="T434" s="17"/>
      <c r="U434" s="17"/>
      <c r="V434" s="12"/>
      <c r="W434" s="12"/>
      <c r="X434" s="12"/>
      <c r="Y434" s="12"/>
      <c r="Z434" s="12"/>
    </row>
    <row r="435" spans="1:26" ht="15" customHeight="1" x14ac:dyDescent="0.3">
      <c r="A435" s="26"/>
      <c r="B435" s="17"/>
      <c r="C435" s="17"/>
      <c r="D435" s="17"/>
      <c r="E435" s="17"/>
      <c r="F435" s="17"/>
      <c r="G435" s="17"/>
      <c r="H435" s="17"/>
      <c r="I435" s="17"/>
      <c r="J435" s="17"/>
      <c r="K435" s="17"/>
      <c r="L435" s="17"/>
      <c r="M435" s="17"/>
      <c r="N435" s="17"/>
      <c r="O435" s="17"/>
      <c r="P435" s="17"/>
      <c r="Q435" s="17"/>
      <c r="R435" s="17"/>
      <c r="S435" s="17"/>
      <c r="T435" s="17"/>
      <c r="U435" s="17"/>
      <c r="V435" s="12"/>
      <c r="W435" s="12"/>
      <c r="X435" s="12"/>
      <c r="Y435" s="12"/>
      <c r="Z435" s="12"/>
    </row>
    <row r="436" spans="1:26" ht="15" customHeight="1" x14ac:dyDescent="0.3">
      <c r="A436" s="26"/>
      <c r="B436" s="17"/>
      <c r="C436" s="17"/>
      <c r="D436" s="17"/>
      <c r="E436" s="17"/>
      <c r="F436" s="17"/>
      <c r="G436" s="17"/>
      <c r="H436" s="17"/>
      <c r="I436" s="17"/>
      <c r="J436" s="17"/>
      <c r="K436" s="17"/>
      <c r="L436" s="17"/>
      <c r="M436" s="17"/>
      <c r="N436" s="17"/>
      <c r="O436" s="17"/>
      <c r="P436" s="17"/>
      <c r="Q436" s="17"/>
      <c r="R436" s="17"/>
      <c r="S436" s="17"/>
      <c r="T436" s="17"/>
      <c r="U436" s="17"/>
      <c r="V436" s="12"/>
      <c r="W436" s="12"/>
      <c r="X436" s="12"/>
      <c r="Y436" s="12"/>
      <c r="Z436" s="12"/>
    </row>
    <row r="437" spans="1:26" ht="15" customHeight="1" x14ac:dyDescent="0.3">
      <c r="A437" s="26"/>
      <c r="B437" s="17"/>
      <c r="C437" s="17"/>
      <c r="D437" s="17"/>
      <c r="E437" s="17"/>
      <c r="F437" s="17"/>
      <c r="G437" s="17"/>
      <c r="H437" s="17"/>
      <c r="I437" s="17"/>
      <c r="J437" s="17"/>
      <c r="K437" s="17"/>
      <c r="L437" s="17"/>
      <c r="M437" s="17"/>
      <c r="N437" s="17"/>
      <c r="O437" s="17"/>
      <c r="P437" s="17"/>
      <c r="Q437" s="17"/>
      <c r="R437" s="17"/>
      <c r="S437" s="17"/>
      <c r="T437" s="17"/>
      <c r="U437" s="17"/>
      <c r="V437" s="12"/>
      <c r="W437" s="12"/>
      <c r="X437" s="12"/>
      <c r="Y437" s="12"/>
      <c r="Z437" s="12"/>
    </row>
    <row r="438" spans="1:26" ht="15" customHeight="1" x14ac:dyDescent="0.3">
      <c r="A438" s="26"/>
      <c r="B438" s="17"/>
      <c r="C438" s="17"/>
      <c r="D438" s="17"/>
      <c r="E438" s="17"/>
      <c r="F438" s="17"/>
      <c r="G438" s="17"/>
      <c r="H438" s="17"/>
      <c r="I438" s="17"/>
      <c r="J438" s="17"/>
      <c r="K438" s="17"/>
      <c r="L438" s="17"/>
      <c r="M438" s="17"/>
      <c r="N438" s="17"/>
      <c r="O438" s="17"/>
      <c r="P438" s="17"/>
      <c r="Q438" s="17"/>
      <c r="R438" s="17"/>
      <c r="S438" s="17"/>
      <c r="T438" s="17"/>
      <c r="U438" s="17"/>
      <c r="V438" s="12"/>
      <c r="W438" s="12"/>
      <c r="X438" s="12"/>
      <c r="Y438" s="12"/>
      <c r="Z438" s="12"/>
    </row>
    <row r="439" spans="1:26" ht="15" customHeight="1" x14ac:dyDescent="0.3">
      <c r="A439" s="26"/>
      <c r="B439" s="17"/>
      <c r="C439" s="17"/>
      <c r="D439" s="17"/>
      <c r="E439" s="17"/>
      <c r="F439" s="17"/>
      <c r="G439" s="17"/>
      <c r="H439" s="17"/>
      <c r="I439" s="17"/>
      <c r="J439" s="17"/>
      <c r="K439" s="17"/>
      <c r="L439" s="17"/>
      <c r="M439" s="17"/>
      <c r="N439" s="17"/>
      <c r="O439" s="17"/>
      <c r="P439" s="17"/>
      <c r="Q439" s="17"/>
      <c r="R439" s="17"/>
      <c r="S439" s="17"/>
      <c r="T439" s="17"/>
      <c r="U439" s="17"/>
      <c r="V439" s="12"/>
      <c r="W439" s="12"/>
      <c r="X439" s="12"/>
      <c r="Y439" s="12"/>
      <c r="Z439" s="12"/>
    </row>
    <row r="440" spans="1:26" ht="15" customHeight="1" x14ac:dyDescent="0.3">
      <c r="A440" s="26"/>
      <c r="B440" s="17"/>
      <c r="C440" s="17"/>
      <c r="D440" s="17"/>
      <c r="E440" s="17"/>
      <c r="F440" s="17"/>
      <c r="G440" s="17"/>
      <c r="H440" s="17"/>
      <c r="I440" s="17"/>
      <c r="J440" s="17"/>
      <c r="K440" s="17"/>
      <c r="L440" s="17"/>
      <c r="M440" s="17"/>
      <c r="N440" s="17"/>
      <c r="O440" s="17"/>
      <c r="P440" s="17"/>
      <c r="Q440" s="17"/>
      <c r="R440" s="17"/>
      <c r="S440" s="17"/>
      <c r="T440" s="17"/>
      <c r="U440" s="17"/>
      <c r="V440" s="12"/>
      <c r="W440" s="12"/>
      <c r="X440" s="12"/>
      <c r="Y440" s="12"/>
      <c r="Z440" s="12"/>
    </row>
    <row r="441" spans="1:26" ht="15" customHeight="1" x14ac:dyDescent="0.3">
      <c r="A441" s="26"/>
      <c r="B441" s="17"/>
      <c r="C441" s="17"/>
      <c r="D441" s="17"/>
      <c r="E441" s="17"/>
      <c r="F441" s="17"/>
      <c r="G441" s="17"/>
      <c r="H441" s="17"/>
      <c r="I441" s="17"/>
      <c r="J441" s="17"/>
      <c r="K441" s="17"/>
      <c r="L441" s="17"/>
      <c r="M441" s="17"/>
      <c r="N441" s="17"/>
      <c r="O441" s="17"/>
      <c r="P441" s="17"/>
      <c r="Q441" s="17"/>
      <c r="R441" s="17"/>
      <c r="S441" s="17"/>
      <c r="T441" s="17"/>
      <c r="U441" s="17"/>
      <c r="V441" s="12"/>
      <c r="W441" s="12"/>
      <c r="X441" s="12"/>
      <c r="Y441" s="12"/>
      <c r="Z441" s="12"/>
    </row>
    <row r="442" spans="1:26" ht="15" customHeight="1" x14ac:dyDescent="0.3">
      <c r="A442" s="26"/>
      <c r="B442" s="17"/>
      <c r="C442" s="17"/>
      <c r="D442" s="17"/>
      <c r="E442" s="17"/>
      <c r="F442" s="17"/>
      <c r="G442" s="17"/>
      <c r="H442" s="17"/>
      <c r="I442" s="17"/>
      <c r="J442" s="17"/>
      <c r="K442" s="17"/>
      <c r="L442" s="17"/>
      <c r="M442" s="17"/>
      <c r="N442" s="17"/>
      <c r="O442" s="17"/>
      <c r="P442" s="17"/>
      <c r="Q442" s="17"/>
      <c r="R442" s="17"/>
      <c r="S442" s="17"/>
      <c r="T442" s="17"/>
      <c r="U442" s="17"/>
      <c r="V442" s="12"/>
      <c r="W442" s="12"/>
      <c r="X442" s="12"/>
      <c r="Y442" s="12"/>
      <c r="Z442" s="12"/>
    </row>
    <row r="443" spans="1:26" ht="15" customHeight="1" x14ac:dyDescent="0.3">
      <c r="A443" s="26"/>
      <c r="B443" s="17"/>
      <c r="C443" s="17"/>
      <c r="D443" s="17"/>
      <c r="E443" s="17"/>
      <c r="F443" s="17"/>
      <c r="G443" s="17"/>
      <c r="H443" s="17"/>
      <c r="I443" s="17"/>
      <c r="J443" s="17"/>
      <c r="K443" s="17"/>
      <c r="L443" s="17"/>
      <c r="M443" s="17"/>
      <c r="N443" s="17"/>
      <c r="O443" s="17"/>
      <c r="P443" s="17"/>
      <c r="Q443" s="17"/>
      <c r="R443" s="17"/>
      <c r="S443" s="17"/>
      <c r="T443" s="17"/>
      <c r="U443" s="17"/>
      <c r="V443" s="12"/>
      <c r="W443" s="12"/>
      <c r="X443" s="12"/>
      <c r="Y443" s="12"/>
      <c r="Z443" s="12"/>
    </row>
    <row r="444" spans="1:26" ht="15" customHeight="1" x14ac:dyDescent="0.3">
      <c r="A444" s="26"/>
      <c r="B444" s="17"/>
      <c r="C444" s="17"/>
      <c r="D444" s="17"/>
      <c r="E444" s="17"/>
      <c r="F444" s="17"/>
      <c r="G444" s="17"/>
      <c r="H444" s="17"/>
      <c r="I444" s="17"/>
      <c r="J444" s="17"/>
      <c r="K444" s="17"/>
      <c r="L444" s="17"/>
      <c r="M444" s="17"/>
      <c r="N444" s="17"/>
      <c r="O444" s="17"/>
      <c r="P444" s="17"/>
      <c r="Q444" s="17"/>
      <c r="R444" s="17"/>
      <c r="S444" s="17"/>
      <c r="T444" s="17"/>
      <c r="U444" s="17"/>
      <c r="V444" s="12"/>
      <c r="W444" s="12"/>
      <c r="X444" s="12"/>
      <c r="Y444" s="12"/>
      <c r="Z444" s="12"/>
    </row>
    <row r="445" spans="1:26" ht="15" customHeight="1" x14ac:dyDescent="0.3">
      <c r="A445" s="26"/>
      <c r="B445" s="17"/>
      <c r="C445" s="17"/>
      <c r="D445" s="17"/>
      <c r="E445" s="17"/>
      <c r="F445" s="17"/>
      <c r="G445" s="17"/>
      <c r="H445" s="17"/>
      <c r="I445" s="17"/>
      <c r="J445" s="17"/>
      <c r="K445" s="17"/>
      <c r="L445" s="17"/>
      <c r="M445" s="17"/>
      <c r="N445" s="17"/>
      <c r="O445" s="17"/>
      <c r="P445" s="17"/>
      <c r="Q445" s="17"/>
      <c r="R445" s="17"/>
      <c r="S445" s="17"/>
      <c r="T445" s="17"/>
      <c r="U445" s="17"/>
      <c r="V445" s="12"/>
      <c r="W445" s="12"/>
      <c r="X445" s="12"/>
      <c r="Y445" s="12"/>
      <c r="Z445" s="12"/>
    </row>
    <row r="446" spans="1:26" ht="15" customHeight="1" x14ac:dyDescent="0.3">
      <c r="A446" s="26"/>
      <c r="B446" s="17"/>
      <c r="C446" s="17"/>
      <c r="D446" s="17"/>
      <c r="E446" s="17"/>
      <c r="F446" s="17"/>
      <c r="G446" s="17"/>
      <c r="H446" s="17"/>
      <c r="I446" s="17"/>
      <c r="J446" s="17"/>
      <c r="K446" s="17"/>
      <c r="L446" s="17"/>
      <c r="M446" s="17"/>
      <c r="N446" s="17"/>
      <c r="O446" s="17"/>
      <c r="P446" s="17"/>
      <c r="Q446" s="17"/>
      <c r="R446" s="17"/>
      <c r="S446" s="17"/>
      <c r="T446" s="17"/>
      <c r="U446" s="17"/>
      <c r="V446" s="12"/>
      <c r="W446" s="12"/>
      <c r="X446" s="12"/>
      <c r="Y446" s="12"/>
      <c r="Z446" s="12"/>
    </row>
    <row r="447" spans="1:26" ht="15" customHeight="1" x14ac:dyDescent="0.3">
      <c r="A447" s="26"/>
      <c r="B447" s="17"/>
      <c r="C447" s="17"/>
      <c r="D447" s="17"/>
      <c r="E447" s="17"/>
      <c r="F447" s="17"/>
      <c r="G447" s="17"/>
      <c r="H447" s="17"/>
      <c r="I447" s="17"/>
      <c r="J447" s="17"/>
      <c r="K447" s="17"/>
      <c r="L447" s="17"/>
      <c r="M447" s="17"/>
      <c r="N447" s="17"/>
      <c r="O447" s="17"/>
      <c r="P447" s="17"/>
      <c r="Q447" s="17"/>
      <c r="R447" s="17"/>
      <c r="S447" s="17"/>
      <c r="T447" s="17"/>
      <c r="U447" s="17"/>
      <c r="V447" s="12"/>
      <c r="W447" s="12"/>
      <c r="X447" s="12"/>
      <c r="Y447" s="12"/>
      <c r="Z447" s="12"/>
    </row>
    <row r="448" spans="1:26" ht="15" customHeight="1" x14ac:dyDescent="0.3">
      <c r="A448" s="26"/>
      <c r="B448" s="17"/>
      <c r="C448" s="17"/>
      <c r="D448" s="17"/>
      <c r="E448" s="17"/>
      <c r="F448" s="17"/>
      <c r="G448" s="17"/>
      <c r="H448" s="17"/>
      <c r="I448" s="17"/>
      <c r="J448" s="17"/>
      <c r="K448" s="17"/>
      <c r="L448" s="17"/>
      <c r="M448" s="17"/>
      <c r="N448" s="17"/>
      <c r="O448" s="17"/>
      <c r="P448" s="17"/>
      <c r="Q448" s="17"/>
      <c r="R448" s="17"/>
      <c r="S448" s="17"/>
      <c r="T448" s="17"/>
      <c r="U448" s="17"/>
      <c r="V448" s="12"/>
      <c r="W448" s="12"/>
      <c r="X448" s="12"/>
      <c r="Y448" s="12"/>
      <c r="Z448" s="12"/>
    </row>
    <row r="449" spans="1:26" ht="15" customHeight="1" x14ac:dyDescent="0.3">
      <c r="A449" s="26"/>
      <c r="B449" s="17"/>
      <c r="C449" s="17"/>
      <c r="D449" s="17"/>
      <c r="E449" s="17"/>
      <c r="F449" s="17"/>
      <c r="G449" s="17"/>
      <c r="H449" s="17"/>
      <c r="I449" s="17"/>
      <c r="J449" s="17"/>
      <c r="K449" s="17"/>
      <c r="L449" s="17"/>
      <c r="M449" s="17"/>
      <c r="N449" s="17"/>
      <c r="O449" s="17"/>
      <c r="P449" s="17"/>
      <c r="Q449" s="17"/>
      <c r="R449" s="17"/>
      <c r="S449" s="17"/>
      <c r="T449" s="17"/>
      <c r="U449" s="17"/>
      <c r="V449" s="12"/>
      <c r="W449" s="12"/>
      <c r="X449" s="12"/>
      <c r="Y449" s="12"/>
      <c r="Z449" s="12"/>
    </row>
    <row r="450" spans="1:26" ht="15" customHeight="1" x14ac:dyDescent="0.3">
      <c r="A450" s="26"/>
      <c r="B450" s="17"/>
      <c r="C450" s="17"/>
      <c r="D450" s="17"/>
      <c r="E450" s="17"/>
      <c r="F450" s="17"/>
      <c r="G450" s="17"/>
      <c r="H450" s="17"/>
      <c r="I450" s="17"/>
      <c r="J450" s="17"/>
      <c r="K450" s="17"/>
      <c r="L450" s="17"/>
      <c r="M450" s="17"/>
      <c r="N450" s="17"/>
      <c r="O450" s="17"/>
      <c r="P450" s="17"/>
      <c r="Q450" s="17"/>
      <c r="R450" s="17"/>
      <c r="S450" s="17"/>
      <c r="T450" s="17"/>
      <c r="U450" s="17"/>
      <c r="V450" s="12"/>
      <c r="W450" s="12"/>
      <c r="X450" s="12"/>
      <c r="Y450" s="12"/>
      <c r="Z450" s="12"/>
    </row>
    <row r="451" spans="1:26" ht="15" customHeight="1" x14ac:dyDescent="0.3">
      <c r="A451" s="26"/>
      <c r="B451" s="17"/>
      <c r="C451" s="17"/>
      <c r="D451" s="17"/>
      <c r="E451" s="17"/>
      <c r="F451" s="17"/>
      <c r="G451" s="17"/>
      <c r="H451" s="17"/>
      <c r="I451" s="17"/>
      <c r="J451" s="17"/>
      <c r="K451" s="17"/>
      <c r="L451" s="17"/>
      <c r="M451" s="17"/>
      <c r="N451" s="17"/>
      <c r="O451" s="17"/>
      <c r="P451" s="17"/>
      <c r="Q451" s="17"/>
      <c r="R451" s="17"/>
      <c r="S451" s="17"/>
      <c r="T451" s="17"/>
      <c r="U451" s="17"/>
      <c r="V451" s="12"/>
      <c r="W451" s="12"/>
      <c r="X451" s="12"/>
      <c r="Y451" s="12"/>
      <c r="Z451" s="12"/>
    </row>
    <row r="452" spans="1:26" ht="15" customHeight="1" x14ac:dyDescent="0.3">
      <c r="A452" s="26"/>
      <c r="B452" s="17"/>
      <c r="C452" s="17"/>
      <c r="D452" s="17"/>
      <c r="E452" s="17"/>
      <c r="F452" s="17"/>
      <c r="G452" s="17"/>
      <c r="H452" s="17"/>
      <c r="I452" s="17"/>
      <c r="J452" s="17"/>
      <c r="K452" s="17"/>
      <c r="L452" s="17"/>
      <c r="M452" s="17"/>
      <c r="N452" s="17"/>
      <c r="O452" s="17"/>
      <c r="P452" s="17"/>
      <c r="Q452" s="17"/>
      <c r="R452" s="17"/>
      <c r="S452" s="17"/>
      <c r="T452" s="17"/>
      <c r="U452" s="17"/>
      <c r="V452" s="12"/>
      <c r="W452" s="12"/>
      <c r="X452" s="12"/>
      <c r="Y452" s="12"/>
      <c r="Z452" s="12"/>
    </row>
    <row r="453" spans="1:26" ht="15" customHeight="1" x14ac:dyDescent="0.3">
      <c r="A453" s="26"/>
      <c r="B453" s="17"/>
      <c r="C453" s="17"/>
      <c r="D453" s="17"/>
      <c r="E453" s="17"/>
      <c r="F453" s="17"/>
      <c r="G453" s="17"/>
      <c r="H453" s="17"/>
      <c r="I453" s="17"/>
      <c r="J453" s="17"/>
      <c r="K453" s="17"/>
      <c r="L453" s="17"/>
      <c r="M453" s="17"/>
      <c r="N453" s="17"/>
      <c r="O453" s="17"/>
      <c r="P453" s="17"/>
      <c r="Q453" s="17"/>
      <c r="R453" s="17"/>
      <c r="S453" s="17"/>
      <c r="T453" s="17"/>
      <c r="U453" s="17"/>
      <c r="V453" s="12"/>
      <c r="W453" s="12"/>
      <c r="X453" s="12"/>
      <c r="Y453" s="12"/>
      <c r="Z453" s="12"/>
    </row>
    <row r="454" spans="1:26" ht="15" customHeight="1" x14ac:dyDescent="0.3">
      <c r="A454" s="26"/>
      <c r="B454" s="17"/>
      <c r="C454" s="17"/>
      <c r="D454" s="17"/>
      <c r="E454" s="17"/>
      <c r="F454" s="17"/>
      <c r="G454" s="17"/>
      <c r="H454" s="17"/>
      <c r="I454" s="17"/>
      <c r="J454" s="17"/>
      <c r="K454" s="17"/>
      <c r="L454" s="17"/>
      <c r="M454" s="17"/>
      <c r="N454" s="17"/>
      <c r="O454" s="17"/>
      <c r="P454" s="17"/>
      <c r="Q454" s="17"/>
      <c r="R454" s="17"/>
      <c r="S454" s="17"/>
      <c r="T454" s="17"/>
      <c r="U454" s="17"/>
      <c r="V454" s="12"/>
      <c r="W454" s="12"/>
      <c r="X454" s="12"/>
      <c r="Y454" s="12"/>
      <c r="Z454" s="12"/>
    </row>
    <row r="455" spans="1:26" ht="15" customHeight="1" x14ac:dyDescent="0.3">
      <c r="A455" s="26"/>
      <c r="B455" s="17"/>
      <c r="C455" s="17"/>
      <c r="D455" s="17"/>
      <c r="E455" s="17"/>
      <c r="F455" s="17"/>
      <c r="G455" s="17"/>
      <c r="H455" s="17"/>
      <c r="I455" s="17"/>
      <c r="J455" s="17"/>
      <c r="K455" s="17"/>
      <c r="L455" s="17"/>
      <c r="M455" s="17"/>
      <c r="N455" s="17"/>
      <c r="O455" s="17"/>
      <c r="P455" s="17"/>
      <c r="Q455" s="17"/>
      <c r="R455" s="17"/>
      <c r="S455" s="17"/>
      <c r="T455" s="17"/>
      <c r="U455" s="17"/>
      <c r="V455" s="12"/>
      <c r="W455" s="12"/>
      <c r="X455" s="12"/>
      <c r="Y455" s="12"/>
      <c r="Z455" s="12"/>
    </row>
    <row r="456" spans="1:26" ht="15" customHeight="1" x14ac:dyDescent="0.3">
      <c r="A456" s="26"/>
      <c r="B456" s="17"/>
      <c r="C456" s="17"/>
      <c r="D456" s="17"/>
      <c r="E456" s="17"/>
      <c r="F456" s="17"/>
      <c r="G456" s="17"/>
      <c r="H456" s="17"/>
      <c r="I456" s="17"/>
      <c r="J456" s="17"/>
      <c r="K456" s="17"/>
      <c r="L456" s="17"/>
      <c r="M456" s="17"/>
      <c r="N456" s="17"/>
      <c r="O456" s="17"/>
      <c r="P456" s="17"/>
      <c r="Q456" s="17"/>
      <c r="R456" s="17"/>
      <c r="S456" s="17"/>
      <c r="T456" s="17"/>
      <c r="U456" s="17"/>
      <c r="V456" s="12"/>
      <c r="W456" s="12"/>
      <c r="X456" s="12"/>
      <c r="Y456" s="12"/>
      <c r="Z456" s="12"/>
    </row>
    <row r="457" spans="1:26" ht="15" customHeight="1" x14ac:dyDescent="0.3">
      <c r="A457" s="26"/>
      <c r="B457" s="17"/>
      <c r="C457" s="17"/>
      <c r="D457" s="17"/>
      <c r="E457" s="17"/>
      <c r="F457" s="17"/>
      <c r="G457" s="17"/>
      <c r="H457" s="17"/>
      <c r="I457" s="17"/>
      <c r="J457" s="17"/>
      <c r="K457" s="17"/>
      <c r="L457" s="17"/>
      <c r="M457" s="17"/>
      <c r="N457" s="17"/>
      <c r="O457" s="17"/>
      <c r="P457" s="17"/>
      <c r="Q457" s="17"/>
      <c r="R457" s="17"/>
      <c r="S457" s="17"/>
      <c r="T457" s="17"/>
      <c r="U457" s="17"/>
      <c r="V457" s="12"/>
      <c r="W457" s="12"/>
      <c r="X457" s="12"/>
      <c r="Y457" s="12"/>
      <c r="Z457" s="12"/>
    </row>
    <row r="458" spans="1:26" ht="15" customHeight="1" x14ac:dyDescent="0.3">
      <c r="A458" s="26"/>
      <c r="B458" s="17"/>
      <c r="C458" s="17"/>
      <c r="D458" s="17"/>
      <c r="E458" s="17"/>
      <c r="F458" s="17"/>
      <c r="G458" s="17"/>
      <c r="H458" s="17"/>
      <c r="I458" s="17"/>
      <c r="J458" s="17"/>
      <c r="K458" s="17"/>
      <c r="L458" s="17"/>
      <c r="M458" s="17"/>
      <c r="N458" s="17"/>
      <c r="O458" s="17"/>
      <c r="P458" s="17"/>
      <c r="Q458" s="17"/>
      <c r="R458" s="17"/>
      <c r="S458" s="17"/>
      <c r="T458" s="17"/>
      <c r="U458" s="17"/>
      <c r="V458" s="12"/>
      <c r="W458" s="12"/>
      <c r="X458" s="12"/>
      <c r="Y458" s="12"/>
      <c r="Z458" s="12"/>
    </row>
    <row r="459" spans="1:26" ht="15" customHeight="1" x14ac:dyDescent="0.3">
      <c r="A459" s="26"/>
      <c r="B459" s="17"/>
      <c r="C459" s="17"/>
      <c r="D459" s="17"/>
      <c r="E459" s="17"/>
      <c r="F459" s="17"/>
      <c r="G459" s="17"/>
      <c r="H459" s="17"/>
      <c r="I459" s="17"/>
      <c r="J459" s="17"/>
      <c r="K459" s="17"/>
      <c r="L459" s="17"/>
      <c r="M459" s="17"/>
      <c r="N459" s="17"/>
      <c r="O459" s="17"/>
      <c r="P459" s="17"/>
      <c r="Q459" s="17"/>
      <c r="R459" s="17"/>
      <c r="S459" s="17"/>
      <c r="T459" s="17"/>
      <c r="U459" s="17"/>
      <c r="V459" s="12"/>
      <c r="W459" s="12"/>
      <c r="X459" s="12"/>
      <c r="Y459" s="12"/>
      <c r="Z459" s="12"/>
    </row>
    <row r="460" spans="1:26" ht="15" customHeight="1" x14ac:dyDescent="0.3">
      <c r="A460" s="26"/>
      <c r="B460" s="17"/>
      <c r="C460" s="17"/>
      <c r="D460" s="17"/>
      <c r="E460" s="17"/>
      <c r="F460" s="17"/>
      <c r="G460" s="17"/>
      <c r="H460" s="17"/>
      <c r="I460" s="17"/>
      <c r="J460" s="17"/>
      <c r="K460" s="17"/>
      <c r="L460" s="17"/>
      <c r="M460" s="17"/>
      <c r="N460" s="17"/>
      <c r="O460" s="17"/>
      <c r="P460" s="17"/>
      <c r="Q460" s="17"/>
      <c r="R460" s="17"/>
      <c r="S460" s="17"/>
      <c r="T460" s="17"/>
      <c r="U460" s="17"/>
      <c r="V460" s="12"/>
      <c r="W460" s="12"/>
      <c r="X460" s="12"/>
      <c r="Y460" s="12"/>
      <c r="Z460" s="12"/>
    </row>
    <row r="461" spans="1:26" ht="15" customHeight="1" x14ac:dyDescent="0.3">
      <c r="A461" s="26"/>
      <c r="B461" s="17"/>
      <c r="C461" s="17"/>
      <c r="D461" s="17"/>
      <c r="E461" s="17"/>
      <c r="F461" s="17"/>
      <c r="G461" s="17"/>
      <c r="H461" s="17"/>
      <c r="I461" s="17"/>
      <c r="J461" s="17"/>
      <c r="K461" s="17"/>
      <c r="L461" s="17"/>
      <c r="M461" s="17"/>
      <c r="N461" s="17"/>
      <c r="O461" s="17"/>
      <c r="P461" s="17"/>
      <c r="Q461" s="17"/>
      <c r="R461" s="17"/>
      <c r="S461" s="17"/>
      <c r="T461" s="17"/>
      <c r="U461" s="17"/>
      <c r="V461" s="12"/>
      <c r="W461" s="12"/>
      <c r="X461" s="12"/>
      <c r="Y461" s="12"/>
      <c r="Z461" s="12"/>
    </row>
    <row r="462" spans="1:26" ht="15" customHeight="1" x14ac:dyDescent="0.3">
      <c r="A462" s="26"/>
      <c r="B462" s="17"/>
      <c r="C462" s="17"/>
      <c r="D462" s="17"/>
      <c r="E462" s="17"/>
      <c r="F462" s="17"/>
      <c r="G462" s="17"/>
      <c r="H462" s="17"/>
      <c r="I462" s="17"/>
      <c r="J462" s="17"/>
      <c r="K462" s="17"/>
      <c r="L462" s="17"/>
      <c r="M462" s="17"/>
      <c r="N462" s="17"/>
      <c r="O462" s="17"/>
      <c r="P462" s="17"/>
      <c r="Q462" s="17"/>
      <c r="R462" s="17"/>
      <c r="S462" s="17"/>
      <c r="T462" s="17"/>
      <c r="U462" s="17"/>
      <c r="V462" s="12"/>
      <c r="W462" s="12"/>
      <c r="X462" s="12"/>
      <c r="Y462" s="12"/>
      <c r="Z462" s="12"/>
    </row>
    <row r="463" spans="1:26" ht="15" customHeight="1" x14ac:dyDescent="0.3">
      <c r="A463" s="26"/>
      <c r="B463" s="17"/>
      <c r="C463" s="17"/>
      <c r="D463" s="17"/>
      <c r="E463" s="17"/>
      <c r="F463" s="17"/>
      <c r="G463" s="17"/>
      <c r="H463" s="17"/>
      <c r="I463" s="17"/>
      <c r="J463" s="17"/>
      <c r="K463" s="17"/>
      <c r="L463" s="17"/>
      <c r="M463" s="17"/>
      <c r="N463" s="17"/>
      <c r="O463" s="17"/>
      <c r="P463" s="17"/>
      <c r="Q463" s="17"/>
      <c r="R463" s="17"/>
      <c r="S463" s="17"/>
      <c r="T463" s="17"/>
      <c r="U463" s="17"/>
      <c r="V463" s="12"/>
      <c r="W463" s="12"/>
      <c r="X463" s="12"/>
      <c r="Y463" s="12"/>
      <c r="Z463" s="12"/>
    </row>
    <row r="464" spans="1:26" ht="15" customHeight="1" x14ac:dyDescent="0.3">
      <c r="A464" s="26"/>
      <c r="B464" s="17"/>
      <c r="C464" s="17"/>
      <c r="D464" s="17"/>
      <c r="E464" s="17"/>
      <c r="F464" s="17"/>
      <c r="G464" s="17"/>
      <c r="H464" s="17"/>
      <c r="I464" s="17"/>
      <c r="J464" s="17"/>
      <c r="K464" s="17"/>
      <c r="L464" s="17"/>
      <c r="M464" s="17"/>
      <c r="N464" s="17"/>
      <c r="O464" s="17"/>
      <c r="P464" s="17"/>
      <c r="Q464" s="17"/>
      <c r="R464" s="17"/>
      <c r="S464" s="17"/>
      <c r="T464" s="17"/>
      <c r="U464" s="17"/>
      <c r="V464" s="12"/>
      <c r="W464" s="12"/>
      <c r="X464" s="12"/>
      <c r="Y464" s="12"/>
      <c r="Z464" s="12"/>
    </row>
    <row r="465" spans="1:26" ht="15" customHeight="1" x14ac:dyDescent="0.3">
      <c r="A465" s="26"/>
      <c r="B465" s="17"/>
      <c r="C465" s="17"/>
      <c r="D465" s="17"/>
      <c r="E465" s="17"/>
      <c r="F465" s="17"/>
      <c r="G465" s="17"/>
      <c r="H465" s="17"/>
      <c r="I465" s="17"/>
      <c r="J465" s="17"/>
      <c r="K465" s="17"/>
      <c r="L465" s="17"/>
      <c r="M465" s="17"/>
      <c r="N465" s="17"/>
      <c r="O465" s="17"/>
      <c r="P465" s="17"/>
      <c r="Q465" s="17"/>
      <c r="R465" s="17"/>
      <c r="S465" s="17"/>
      <c r="T465" s="17"/>
      <c r="U465" s="17"/>
      <c r="V465" s="12"/>
      <c r="W465" s="12"/>
      <c r="X465" s="12"/>
      <c r="Y465" s="12"/>
      <c r="Z465" s="12"/>
    </row>
    <row r="466" spans="1:26" ht="15" customHeight="1" x14ac:dyDescent="0.3">
      <c r="A466" s="26"/>
      <c r="B466" s="17"/>
      <c r="C466" s="17"/>
      <c r="D466" s="17"/>
      <c r="E466" s="17"/>
      <c r="F466" s="17"/>
      <c r="G466" s="17"/>
      <c r="H466" s="17"/>
      <c r="I466" s="17"/>
      <c r="J466" s="17"/>
      <c r="K466" s="17"/>
      <c r="L466" s="17"/>
      <c r="M466" s="17"/>
      <c r="N466" s="17"/>
      <c r="O466" s="17"/>
      <c r="P466" s="17"/>
      <c r="Q466" s="17"/>
      <c r="R466" s="17"/>
      <c r="S466" s="17"/>
      <c r="T466" s="17"/>
      <c r="U466" s="17"/>
      <c r="V466" s="12"/>
      <c r="W466" s="12"/>
      <c r="X466" s="12"/>
      <c r="Y466" s="12"/>
      <c r="Z466" s="12"/>
    </row>
    <row r="467" spans="1:26" ht="15" customHeight="1" x14ac:dyDescent="0.3">
      <c r="A467" s="26"/>
      <c r="B467" s="17"/>
      <c r="C467" s="17"/>
      <c r="D467" s="17"/>
      <c r="E467" s="17"/>
      <c r="F467" s="17"/>
      <c r="G467" s="17"/>
      <c r="H467" s="17"/>
      <c r="I467" s="17"/>
      <c r="J467" s="17"/>
      <c r="K467" s="17"/>
      <c r="L467" s="17"/>
      <c r="M467" s="17"/>
      <c r="N467" s="17"/>
      <c r="O467" s="17"/>
      <c r="P467" s="17"/>
      <c r="Q467" s="17"/>
      <c r="R467" s="17"/>
      <c r="S467" s="17"/>
      <c r="T467" s="17"/>
      <c r="U467" s="17"/>
      <c r="V467" s="12"/>
      <c r="W467" s="12"/>
      <c r="X467" s="12"/>
      <c r="Y467" s="12"/>
      <c r="Z467" s="12"/>
    </row>
    <row r="468" spans="1:26" ht="15" customHeight="1" x14ac:dyDescent="0.3">
      <c r="A468" s="26"/>
      <c r="B468" s="17"/>
      <c r="C468" s="17"/>
      <c r="D468" s="17"/>
      <c r="E468" s="17"/>
      <c r="F468" s="17"/>
      <c r="G468" s="17"/>
      <c r="H468" s="17"/>
      <c r="I468" s="17"/>
      <c r="J468" s="17"/>
      <c r="K468" s="17"/>
      <c r="L468" s="17"/>
      <c r="M468" s="17"/>
      <c r="N468" s="17"/>
      <c r="O468" s="17"/>
      <c r="P468" s="17"/>
      <c r="Q468" s="17"/>
      <c r="R468" s="17"/>
      <c r="S468" s="17"/>
      <c r="T468" s="17"/>
      <c r="U468" s="17"/>
      <c r="V468" s="12"/>
      <c r="W468" s="12"/>
      <c r="X468" s="12"/>
      <c r="Y468" s="12"/>
      <c r="Z468" s="12"/>
    </row>
    <row r="469" spans="1:26" ht="15" customHeight="1" x14ac:dyDescent="0.3">
      <c r="A469" s="26"/>
      <c r="B469" s="17"/>
      <c r="C469" s="17"/>
      <c r="D469" s="17"/>
      <c r="E469" s="17"/>
      <c r="F469" s="17"/>
      <c r="G469" s="17"/>
      <c r="H469" s="17"/>
      <c r="I469" s="17"/>
      <c r="J469" s="17"/>
      <c r="K469" s="17"/>
      <c r="L469" s="17"/>
      <c r="M469" s="17"/>
      <c r="N469" s="17"/>
      <c r="O469" s="17"/>
      <c r="P469" s="17"/>
      <c r="Q469" s="17"/>
      <c r="R469" s="17"/>
      <c r="S469" s="17"/>
      <c r="T469" s="17"/>
      <c r="U469" s="17"/>
      <c r="V469" s="12"/>
      <c r="W469" s="12"/>
      <c r="X469" s="12"/>
      <c r="Y469" s="12"/>
      <c r="Z469" s="12"/>
    </row>
    <row r="470" spans="1:26" ht="15" customHeight="1" x14ac:dyDescent="0.3">
      <c r="A470" s="29"/>
      <c r="B470" s="17"/>
      <c r="C470" s="17"/>
      <c r="D470" s="17"/>
      <c r="E470" s="17"/>
      <c r="F470" s="17"/>
      <c r="G470" s="17"/>
      <c r="H470" s="17"/>
      <c r="I470" s="17"/>
      <c r="J470" s="17"/>
      <c r="K470" s="17"/>
      <c r="L470" s="17"/>
      <c r="M470" s="17"/>
      <c r="N470" s="17"/>
      <c r="O470" s="17"/>
      <c r="P470" s="17"/>
      <c r="Q470" s="17"/>
      <c r="R470" s="17"/>
      <c r="S470" s="17"/>
      <c r="T470" s="17"/>
      <c r="U470" s="17"/>
      <c r="V470" s="12"/>
      <c r="W470" s="12"/>
      <c r="X470" s="12"/>
      <c r="Y470" s="12"/>
      <c r="Z470" s="12"/>
    </row>
    <row r="471" spans="1:26" ht="15" customHeight="1" x14ac:dyDescent="0.3">
      <c r="A471" s="29"/>
      <c r="B471" s="17"/>
      <c r="C471" s="17"/>
      <c r="D471" s="17"/>
      <c r="E471" s="17"/>
      <c r="F471" s="17"/>
      <c r="G471" s="17"/>
      <c r="H471" s="17"/>
      <c r="I471" s="17"/>
      <c r="J471" s="17"/>
      <c r="K471" s="17"/>
      <c r="L471" s="17"/>
      <c r="M471" s="17"/>
      <c r="N471" s="17"/>
      <c r="O471" s="17"/>
      <c r="P471" s="17"/>
      <c r="Q471" s="17"/>
      <c r="R471" s="17"/>
      <c r="S471" s="17"/>
      <c r="T471" s="17"/>
      <c r="U471" s="17"/>
      <c r="V471" s="12"/>
      <c r="W471" s="12"/>
      <c r="X471" s="12"/>
      <c r="Y471" s="12"/>
      <c r="Z471" s="12"/>
    </row>
    <row r="472" spans="1:26" ht="15" customHeight="1" x14ac:dyDescent="0.3">
      <c r="A472" s="26"/>
      <c r="B472" s="17"/>
      <c r="C472" s="17"/>
      <c r="D472" s="17"/>
      <c r="E472" s="17"/>
      <c r="F472" s="17"/>
      <c r="G472" s="17"/>
      <c r="H472" s="17"/>
      <c r="I472" s="17"/>
      <c r="J472" s="17"/>
      <c r="K472" s="17"/>
      <c r="L472" s="17"/>
      <c r="M472" s="17"/>
      <c r="N472" s="17"/>
      <c r="O472" s="17"/>
      <c r="P472" s="17"/>
      <c r="Q472" s="17"/>
      <c r="R472" s="17"/>
      <c r="S472" s="17"/>
      <c r="T472" s="17"/>
      <c r="U472" s="17"/>
      <c r="V472" s="12"/>
      <c r="W472" s="12"/>
      <c r="X472" s="12"/>
      <c r="Y472" s="12"/>
      <c r="Z472" s="12"/>
    </row>
    <row r="473" spans="1:26" ht="15" customHeight="1" x14ac:dyDescent="0.3">
      <c r="A473" s="26"/>
      <c r="B473" s="17"/>
      <c r="C473" s="17"/>
      <c r="D473" s="17"/>
      <c r="E473" s="17"/>
      <c r="F473" s="17"/>
      <c r="G473" s="17"/>
      <c r="H473" s="17"/>
      <c r="I473" s="17"/>
      <c r="J473" s="17"/>
      <c r="K473" s="17"/>
      <c r="L473" s="17"/>
      <c r="M473" s="17"/>
      <c r="N473" s="17"/>
      <c r="O473" s="17"/>
      <c r="P473" s="17"/>
      <c r="Q473" s="17"/>
      <c r="R473" s="17"/>
      <c r="S473" s="17"/>
      <c r="T473" s="17"/>
      <c r="U473" s="17"/>
      <c r="V473" s="12"/>
      <c r="W473" s="12"/>
      <c r="X473" s="12"/>
      <c r="Y473" s="12"/>
      <c r="Z473" s="12"/>
    </row>
    <row r="474" spans="1:26" ht="15" customHeight="1" x14ac:dyDescent="0.3">
      <c r="A474" s="26"/>
      <c r="B474" s="17"/>
      <c r="C474" s="17"/>
      <c r="D474" s="17"/>
      <c r="E474" s="17"/>
      <c r="F474" s="17"/>
      <c r="G474" s="17"/>
      <c r="H474" s="17"/>
      <c r="I474" s="17"/>
      <c r="J474" s="17"/>
      <c r="K474" s="17"/>
      <c r="L474" s="17"/>
      <c r="M474" s="17"/>
      <c r="N474" s="17"/>
      <c r="O474" s="17"/>
      <c r="P474" s="17"/>
      <c r="Q474" s="17"/>
      <c r="R474" s="17"/>
      <c r="S474" s="17"/>
      <c r="T474" s="17"/>
      <c r="U474" s="17"/>
      <c r="V474" s="12"/>
      <c r="W474" s="12"/>
      <c r="X474" s="12"/>
      <c r="Y474" s="12"/>
      <c r="Z474" s="12"/>
    </row>
    <row r="475" spans="1:26" ht="15" customHeight="1" x14ac:dyDescent="0.3">
      <c r="A475" s="26"/>
      <c r="B475" s="17"/>
      <c r="C475" s="17"/>
      <c r="D475" s="17"/>
      <c r="E475" s="17"/>
      <c r="F475" s="17"/>
      <c r="G475" s="17"/>
      <c r="H475" s="17"/>
      <c r="I475" s="17"/>
      <c r="J475" s="17"/>
      <c r="K475" s="17"/>
      <c r="L475" s="17"/>
      <c r="M475" s="17"/>
      <c r="N475" s="17"/>
      <c r="O475" s="17"/>
      <c r="P475" s="17"/>
      <c r="Q475" s="17"/>
      <c r="R475" s="17"/>
      <c r="S475" s="17"/>
      <c r="T475" s="17"/>
      <c r="U475" s="17"/>
      <c r="V475" s="12"/>
      <c r="W475" s="12"/>
      <c r="X475" s="12"/>
      <c r="Y475" s="12"/>
      <c r="Z475" s="12"/>
    </row>
    <row r="476" spans="1:26" ht="15" customHeight="1" x14ac:dyDescent="0.3">
      <c r="A476" s="26"/>
      <c r="B476" s="17"/>
      <c r="C476" s="17"/>
      <c r="D476" s="17"/>
      <c r="E476" s="17"/>
      <c r="F476" s="17"/>
      <c r="G476" s="17"/>
      <c r="H476" s="17"/>
      <c r="I476" s="17"/>
      <c r="J476" s="17"/>
      <c r="K476" s="17"/>
      <c r="L476" s="17"/>
      <c r="M476" s="17"/>
      <c r="N476" s="17"/>
      <c r="O476" s="17"/>
      <c r="P476" s="17"/>
      <c r="Q476" s="17"/>
      <c r="R476" s="17"/>
      <c r="S476" s="17"/>
      <c r="T476" s="17"/>
      <c r="U476" s="17"/>
      <c r="V476" s="12"/>
      <c r="W476" s="12"/>
      <c r="X476" s="12"/>
      <c r="Y476" s="12"/>
      <c r="Z476" s="12"/>
    </row>
    <row r="477" spans="1:26" ht="15" customHeight="1" x14ac:dyDescent="0.3">
      <c r="A477" s="26"/>
      <c r="B477" s="17"/>
      <c r="C477" s="17"/>
      <c r="D477" s="17"/>
      <c r="E477" s="17"/>
      <c r="F477" s="17"/>
      <c r="G477" s="17"/>
      <c r="H477" s="17"/>
      <c r="I477" s="17"/>
      <c r="J477" s="17"/>
      <c r="K477" s="17"/>
      <c r="L477" s="17"/>
      <c r="M477" s="17"/>
      <c r="N477" s="17"/>
      <c r="O477" s="17"/>
      <c r="P477" s="17"/>
      <c r="Q477" s="17"/>
      <c r="R477" s="17"/>
      <c r="S477" s="17"/>
      <c r="T477" s="17"/>
      <c r="U477" s="17"/>
      <c r="V477" s="12"/>
      <c r="W477" s="12"/>
      <c r="X477" s="12"/>
      <c r="Y477" s="12"/>
      <c r="Z477" s="12"/>
    </row>
    <row r="478" spans="1:26" ht="15" customHeight="1" x14ac:dyDescent="0.3">
      <c r="A478" s="26"/>
      <c r="B478" s="17"/>
      <c r="C478" s="17"/>
      <c r="D478" s="17"/>
      <c r="E478" s="17"/>
      <c r="F478" s="17"/>
      <c r="G478" s="17"/>
      <c r="H478" s="17"/>
      <c r="I478" s="17"/>
      <c r="J478" s="17"/>
      <c r="K478" s="17"/>
      <c r="L478" s="17"/>
      <c r="M478" s="17"/>
      <c r="N478" s="17"/>
      <c r="O478" s="17"/>
      <c r="P478" s="17"/>
      <c r="Q478" s="17"/>
      <c r="R478" s="17"/>
      <c r="S478" s="17"/>
      <c r="T478" s="17"/>
      <c r="U478" s="17"/>
      <c r="V478" s="12"/>
      <c r="W478" s="12"/>
      <c r="X478" s="12"/>
      <c r="Y478" s="12"/>
      <c r="Z478" s="12"/>
    </row>
    <row r="479" spans="1:26" ht="15" customHeight="1" x14ac:dyDescent="0.3">
      <c r="A479" s="27"/>
      <c r="B479" s="17"/>
      <c r="C479" s="17"/>
      <c r="D479" s="17"/>
      <c r="E479" s="17"/>
      <c r="F479" s="17"/>
      <c r="G479" s="17"/>
      <c r="H479" s="17"/>
      <c r="I479" s="17"/>
      <c r="J479" s="17"/>
      <c r="K479" s="17"/>
      <c r="L479" s="17"/>
      <c r="M479" s="17"/>
      <c r="N479" s="17"/>
      <c r="O479" s="17"/>
      <c r="P479" s="17"/>
      <c r="Q479" s="17"/>
      <c r="R479" s="17"/>
      <c r="S479" s="17"/>
      <c r="T479" s="17"/>
      <c r="U479" s="17"/>
      <c r="V479" s="12"/>
      <c r="W479" s="12"/>
      <c r="X479" s="12"/>
      <c r="Y479" s="12"/>
      <c r="Z479" s="12"/>
    </row>
    <row r="480" spans="1:26" ht="15" customHeight="1" x14ac:dyDescent="0.3">
      <c r="A480" s="26"/>
      <c r="B480" s="17"/>
      <c r="C480" s="17"/>
      <c r="D480" s="17"/>
      <c r="E480" s="17"/>
      <c r="F480" s="17"/>
      <c r="G480" s="17"/>
      <c r="H480" s="17"/>
      <c r="I480" s="17"/>
      <c r="J480" s="17"/>
      <c r="K480" s="17"/>
      <c r="L480" s="17"/>
      <c r="M480" s="17"/>
      <c r="N480" s="17"/>
      <c r="O480" s="17"/>
      <c r="P480" s="17"/>
      <c r="Q480" s="17"/>
      <c r="R480" s="17"/>
      <c r="S480" s="17"/>
      <c r="T480" s="17"/>
      <c r="U480" s="17"/>
      <c r="V480" s="12"/>
      <c r="W480" s="12"/>
      <c r="X480" s="12"/>
      <c r="Y480" s="12"/>
      <c r="Z480" s="12"/>
    </row>
    <row r="481" spans="1:26" ht="15" customHeight="1" x14ac:dyDescent="0.3">
      <c r="A481" s="26"/>
      <c r="B481" s="17"/>
      <c r="C481" s="17"/>
      <c r="D481" s="17"/>
      <c r="E481" s="17"/>
      <c r="F481" s="17"/>
      <c r="G481" s="17"/>
      <c r="H481" s="17"/>
      <c r="I481" s="17"/>
      <c r="J481" s="17"/>
      <c r="K481" s="17"/>
      <c r="L481" s="17"/>
      <c r="M481" s="17"/>
      <c r="N481" s="17"/>
      <c r="O481" s="17"/>
      <c r="P481" s="17"/>
      <c r="Q481" s="17"/>
      <c r="R481" s="17"/>
      <c r="S481" s="17"/>
      <c r="T481" s="17"/>
      <c r="U481" s="17"/>
      <c r="V481" s="12"/>
      <c r="W481" s="12"/>
      <c r="X481" s="12"/>
      <c r="Y481" s="12"/>
      <c r="Z481" s="12"/>
    </row>
    <row r="482" spans="1:26" ht="15" customHeight="1" x14ac:dyDescent="0.3">
      <c r="A482" s="26"/>
      <c r="B482" s="17"/>
      <c r="C482" s="17"/>
      <c r="D482" s="17"/>
      <c r="E482" s="17"/>
      <c r="F482" s="17"/>
      <c r="G482" s="17"/>
      <c r="H482" s="17"/>
      <c r="I482" s="17"/>
      <c r="J482" s="17"/>
      <c r="K482" s="17"/>
      <c r="L482" s="17"/>
      <c r="M482" s="17"/>
      <c r="N482" s="17"/>
      <c r="O482" s="17"/>
      <c r="P482" s="17"/>
      <c r="Q482" s="17"/>
      <c r="R482" s="17"/>
      <c r="S482" s="17"/>
      <c r="T482" s="17"/>
      <c r="U482" s="17"/>
      <c r="V482" s="12"/>
      <c r="W482" s="12"/>
      <c r="X482" s="12"/>
      <c r="Y482" s="12"/>
      <c r="Z482" s="12"/>
    </row>
    <row r="483" spans="1:26" ht="15" customHeight="1" x14ac:dyDescent="0.3">
      <c r="A483" s="26"/>
      <c r="B483" s="17"/>
      <c r="C483" s="17"/>
      <c r="D483" s="17"/>
      <c r="E483" s="17"/>
      <c r="F483" s="17"/>
      <c r="G483" s="17"/>
      <c r="H483" s="17"/>
      <c r="I483" s="17"/>
      <c r="J483" s="17"/>
      <c r="K483" s="17"/>
      <c r="L483" s="17"/>
      <c r="M483" s="17"/>
      <c r="N483" s="17"/>
      <c r="O483" s="17"/>
      <c r="P483" s="17"/>
      <c r="Q483" s="17"/>
      <c r="R483" s="17"/>
      <c r="S483" s="17"/>
      <c r="T483" s="17"/>
      <c r="U483" s="17"/>
      <c r="V483" s="12"/>
      <c r="W483" s="12"/>
      <c r="X483" s="12"/>
      <c r="Y483" s="12"/>
      <c r="Z483" s="12"/>
    </row>
    <row r="484" spans="1:26" ht="15" customHeight="1" x14ac:dyDescent="0.3">
      <c r="A484" s="26"/>
      <c r="B484" s="17"/>
      <c r="C484" s="17"/>
      <c r="D484" s="17"/>
      <c r="E484" s="17"/>
      <c r="F484" s="17"/>
      <c r="G484" s="17"/>
      <c r="H484" s="17"/>
      <c r="I484" s="17"/>
      <c r="J484" s="17"/>
      <c r="K484" s="17"/>
      <c r="L484" s="17"/>
      <c r="M484" s="17"/>
      <c r="N484" s="17"/>
      <c r="O484" s="17"/>
      <c r="P484" s="17"/>
      <c r="Q484" s="17"/>
      <c r="R484" s="17"/>
      <c r="S484" s="17"/>
      <c r="T484" s="17"/>
      <c r="U484" s="17"/>
      <c r="V484" s="12"/>
      <c r="W484" s="12"/>
      <c r="X484" s="12"/>
      <c r="Y484" s="12"/>
      <c r="Z484" s="12"/>
    </row>
    <row r="485" spans="1:26" ht="15" customHeight="1" x14ac:dyDescent="0.3">
      <c r="A485" s="26"/>
      <c r="B485" s="17"/>
      <c r="C485" s="17"/>
      <c r="D485" s="17"/>
      <c r="E485" s="17"/>
      <c r="F485" s="17"/>
      <c r="G485" s="17"/>
      <c r="H485" s="17"/>
      <c r="I485" s="17"/>
      <c r="J485" s="17"/>
      <c r="K485" s="17"/>
      <c r="L485" s="17"/>
      <c r="M485" s="17"/>
      <c r="N485" s="17"/>
      <c r="O485" s="17"/>
      <c r="P485" s="17"/>
      <c r="Q485" s="17"/>
      <c r="R485" s="17"/>
      <c r="S485" s="17"/>
      <c r="T485" s="17"/>
      <c r="U485" s="17"/>
      <c r="V485" s="12"/>
      <c r="W485" s="12"/>
      <c r="X485" s="12"/>
      <c r="Y485" s="12"/>
      <c r="Z485" s="12"/>
    </row>
    <row r="486" spans="1:26" ht="15" customHeight="1" x14ac:dyDescent="0.3">
      <c r="A486" s="26"/>
      <c r="B486" s="17"/>
      <c r="C486" s="17"/>
      <c r="D486" s="17"/>
      <c r="E486" s="17"/>
      <c r="F486" s="17"/>
      <c r="G486" s="17"/>
      <c r="H486" s="17"/>
      <c r="I486" s="17"/>
      <c r="J486" s="17"/>
      <c r="K486" s="17"/>
      <c r="L486" s="17"/>
      <c r="M486" s="17"/>
      <c r="N486" s="17"/>
      <c r="O486" s="17"/>
      <c r="P486" s="17"/>
      <c r="Q486" s="17"/>
      <c r="R486" s="17"/>
      <c r="S486" s="17"/>
      <c r="T486" s="17"/>
      <c r="U486" s="17"/>
      <c r="V486" s="12"/>
      <c r="W486" s="12"/>
      <c r="X486" s="12"/>
      <c r="Y486" s="12"/>
      <c r="Z486" s="12"/>
    </row>
    <row r="487" spans="1:26" ht="15" customHeight="1" x14ac:dyDescent="0.3">
      <c r="A487" s="26"/>
      <c r="B487" s="17"/>
      <c r="C487" s="17"/>
      <c r="D487" s="17"/>
      <c r="E487" s="17"/>
      <c r="F487" s="17"/>
      <c r="G487" s="17"/>
      <c r="H487" s="17"/>
      <c r="I487" s="17"/>
      <c r="J487" s="17"/>
      <c r="K487" s="17"/>
      <c r="L487" s="17"/>
      <c r="M487" s="17"/>
      <c r="N487" s="17"/>
      <c r="O487" s="17"/>
      <c r="P487" s="17"/>
      <c r="Q487" s="17"/>
      <c r="R487" s="17"/>
      <c r="S487" s="17"/>
      <c r="T487" s="17"/>
      <c r="U487" s="17"/>
      <c r="V487" s="12"/>
      <c r="W487" s="12"/>
      <c r="X487" s="12"/>
      <c r="Y487" s="12"/>
      <c r="Z487" s="12"/>
    </row>
    <row r="488" spans="1:26" ht="15" customHeight="1" x14ac:dyDescent="0.3">
      <c r="A488" s="26"/>
      <c r="B488" s="17"/>
      <c r="C488" s="17"/>
      <c r="D488" s="17"/>
      <c r="E488" s="17"/>
      <c r="F488" s="17"/>
      <c r="G488" s="17"/>
      <c r="H488" s="17"/>
      <c r="I488" s="17"/>
      <c r="J488" s="17"/>
      <c r="K488" s="17"/>
      <c r="L488" s="17"/>
      <c r="M488" s="17"/>
      <c r="N488" s="17"/>
      <c r="O488" s="17"/>
      <c r="P488" s="17"/>
      <c r="Q488" s="17"/>
      <c r="R488" s="17"/>
      <c r="S488" s="17"/>
      <c r="T488" s="17"/>
      <c r="U488" s="17"/>
      <c r="V488" s="12"/>
      <c r="W488" s="12"/>
      <c r="X488" s="12"/>
      <c r="Y488" s="12"/>
      <c r="Z488" s="12"/>
    </row>
    <row r="489" spans="1:26" ht="15" customHeight="1" x14ac:dyDescent="0.3">
      <c r="A489" s="26"/>
      <c r="B489" s="17"/>
      <c r="C489" s="17"/>
      <c r="D489" s="17"/>
      <c r="E489" s="17"/>
      <c r="F489" s="17"/>
      <c r="G489" s="17"/>
      <c r="H489" s="17"/>
      <c r="I489" s="17"/>
      <c r="J489" s="17"/>
      <c r="K489" s="17"/>
      <c r="L489" s="17"/>
      <c r="M489" s="17"/>
      <c r="N489" s="17"/>
      <c r="O489" s="17"/>
      <c r="P489" s="17"/>
      <c r="Q489" s="17"/>
      <c r="R489" s="17"/>
      <c r="S489" s="17"/>
      <c r="T489" s="17"/>
      <c r="U489" s="17"/>
      <c r="V489" s="12"/>
      <c r="W489" s="12"/>
      <c r="X489" s="12"/>
      <c r="Y489" s="12"/>
      <c r="Z489" s="12"/>
    </row>
    <row r="490" spans="1:26" ht="15" customHeight="1" x14ac:dyDescent="0.3">
      <c r="A490" s="26"/>
      <c r="B490" s="17"/>
      <c r="C490" s="17"/>
      <c r="D490" s="17"/>
      <c r="E490" s="17"/>
      <c r="F490" s="17"/>
      <c r="G490" s="17"/>
      <c r="H490" s="17"/>
      <c r="I490" s="17"/>
      <c r="J490" s="17"/>
      <c r="K490" s="17"/>
      <c r="L490" s="17"/>
      <c r="M490" s="17"/>
      <c r="N490" s="17"/>
      <c r="O490" s="17"/>
      <c r="P490" s="17"/>
      <c r="Q490" s="17"/>
      <c r="R490" s="17"/>
      <c r="S490" s="17"/>
      <c r="T490" s="17"/>
      <c r="U490" s="17"/>
      <c r="V490" s="12"/>
      <c r="W490" s="12"/>
      <c r="X490" s="12"/>
      <c r="Y490" s="12"/>
      <c r="Z490" s="12"/>
    </row>
    <row r="491" spans="1:26" ht="15" customHeight="1" x14ac:dyDescent="0.3">
      <c r="A491" s="26"/>
      <c r="B491" s="17"/>
      <c r="C491" s="17"/>
      <c r="D491" s="17"/>
      <c r="E491" s="17"/>
      <c r="F491" s="17"/>
      <c r="G491" s="17"/>
      <c r="H491" s="17"/>
      <c r="I491" s="17"/>
      <c r="J491" s="17"/>
      <c r="K491" s="17"/>
      <c r="L491" s="17"/>
      <c r="M491" s="17"/>
      <c r="N491" s="17"/>
      <c r="O491" s="17"/>
      <c r="P491" s="17"/>
      <c r="Q491" s="17"/>
      <c r="R491" s="17"/>
      <c r="S491" s="17"/>
      <c r="T491" s="17"/>
      <c r="U491" s="17"/>
      <c r="V491" s="12"/>
      <c r="W491" s="12"/>
      <c r="X491" s="12"/>
      <c r="Y491" s="12"/>
      <c r="Z491" s="12"/>
    </row>
    <row r="492" spans="1:26" ht="15" customHeight="1" x14ac:dyDescent="0.3">
      <c r="A492" s="26"/>
      <c r="B492" s="17"/>
      <c r="C492" s="17"/>
      <c r="D492" s="17"/>
      <c r="E492" s="17"/>
      <c r="F492" s="17"/>
      <c r="G492" s="17"/>
      <c r="H492" s="17"/>
      <c r="I492" s="17"/>
      <c r="J492" s="17"/>
      <c r="K492" s="17"/>
      <c r="L492" s="17"/>
      <c r="M492" s="17"/>
      <c r="N492" s="17"/>
      <c r="O492" s="17"/>
      <c r="P492" s="17"/>
      <c r="Q492" s="17"/>
      <c r="R492" s="17"/>
      <c r="S492" s="17"/>
      <c r="T492" s="17"/>
      <c r="U492" s="17"/>
      <c r="V492" s="12"/>
      <c r="W492" s="12"/>
      <c r="X492" s="12"/>
      <c r="Y492" s="12"/>
      <c r="Z492" s="12"/>
    </row>
    <row r="493" spans="1:26" ht="15" customHeight="1" x14ac:dyDescent="0.3">
      <c r="A493" s="26"/>
      <c r="B493" s="17"/>
      <c r="C493" s="17"/>
      <c r="D493" s="17"/>
      <c r="E493" s="17"/>
      <c r="F493" s="17"/>
      <c r="G493" s="17"/>
      <c r="H493" s="17"/>
      <c r="I493" s="17"/>
      <c r="J493" s="17"/>
      <c r="K493" s="17"/>
      <c r="L493" s="17"/>
      <c r="M493" s="17"/>
      <c r="N493" s="17"/>
      <c r="O493" s="17"/>
      <c r="P493" s="17"/>
      <c r="Q493" s="17"/>
      <c r="R493" s="17"/>
      <c r="S493" s="17"/>
      <c r="T493" s="17"/>
      <c r="U493" s="17"/>
      <c r="V493" s="12"/>
      <c r="W493" s="12"/>
      <c r="X493" s="12"/>
      <c r="Y493" s="12"/>
      <c r="Z493" s="12"/>
    </row>
    <row r="494" spans="1:26" ht="15" customHeight="1" x14ac:dyDescent="0.3">
      <c r="A494" s="26"/>
      <c r="B494" s="17"/>
      <c r="C494" s="17"/>
      <c r="D494" s="17"/>
      <c r="E494" s="17"/>
      <c r="F494" s="17"/>
      <c r="G494" s="17"/>
      <c r="H494" s="17"/>
      <c r="I494" s="17"/>
      <c r="J494" s="17"/>
      <c r="K494" s="17"/>
      <c r="L494" s="17"/>
      <c r="M494" s="17"/>
      <c r="N494" s="17"/>
      <c r="O494" s="17"/>
      <c r="P494" s="17"/>
      <c r="Q494" s="17"/>
      <c r="R494" s="17"/>
      <c r="S494" s="17"/>
      <c r="T494" s="17"/>
      <c r="U494" s="17"/>
      <c r="V494" s="12"/>
      <c r="W494" s="12"/>
      <c r="X494" s="12"/>
      <c r="Y494" s="12"/>
      <c r="Z494" s="12"/>
    </row>
    <row r="495" spans="1:26" ht="15" customHeight="1" x14ac:dyDescent="0.3">
      <c r="A495" s="26"/>
      <c r="B495" s="17"/>
      <c r="C495" s="17"/>
      <c r="D495" s="17"/>
      <c r="E495" s="17"/>
      <c r="F495" s="17"/>
      <c r="G495" s="17"/>
      <c r="H495" s="17"/>
      <c r="I495" s="17"/>
      <c r="J495" s="17"/>
      <c r="K495" s="17"/>
      <c r="L495" s="17"/>
      <c r="M495" s="17"/>
      <c r="N495" s="17"/>
      <c r="O495" s="17"/>
      <c r="P495" s="17"/>
      <c r="Q495" s="17"/>
      <c r="R495" s="17"/>
      <c r="S495" s="17"/>
      <c r="T495" s="17"/>
      <c r="U495" s="17"/>
      <c r="V495" s="12"/>
      <c r="W495" s="12"/>
      <c r="X495" s="12"/>
      <c r="Y495" s="12"/>
      <c r="Z495" s="12"/>
    </row>
    <row r="496" spans="1:26" ht="15" customHeight="1" x14ac:dyDescent="0.3">
      <c r="A496" s="26"/>
      <c r="B496" s="17"/>
      <c r="C496" s="17"/>
      <c r="D496" s="17"/>
      <c r="E496" s="17"/>
      <c r="F496" s="17"/>
      <c r="G496" s="17"/>
      <c r="H496" s="17"/>
      <c r="I496" s="17"/>
      <c r="J496" s="17"/>
      <c r="K496" s="17"/>
      <c r="L496" s="17"/>
      <c r="M496" s="17"/>
      <c r="N496" s="17"/>
      <c r="O496" s="17"/>
      <c r="P496" s="17"/>
      <c r="Q496" s="17"/>
      <c r="R496" s="17"/>
      <c r="S496" s="17"/>
      <c r="T496" s="17"/>
      <c r="U496" s="17"/>
      <c r="V496" s="12"/>
      <c r="W496" s="12"/>
      <c r="X496" s="12"/>
      <c r="Y496" s="12"/>
      <c r="Z496" s="12"/>
    </row>
    <row r="497" spans="1:26" ht="15" customHeight="1" x14ac:dyDescent="0.3">
      <c r="A497" s="26"/>
      <c r="B497" s="17"/>
      <c r="C497" s="17"/>
      <c r="D497" s="17"/>
      <c r="E497" s="17"/>
      <c r="F497" s="17"/>
      <c r="G497" s="17"/>
      <c r="H497" s="17"/>
      <c r="I497" s="17"/>
      <c r="J497" s="17"/>
      <c r="K497" s="17"/>
      <c r="L497" s="17"/>
      <c r="M497" s="17"/>
      <c r="N497" s="17"/>
      <c r="O497" s="17"/>
      <c r="P497" s="17"/>
      <c r="Q497" s="17"/>
      <c r="R497" s="17"/>
      <c r="S497" s="17"/>
      <c r="T497" s="17"/>
      <c r="U497" s="17"/>
      <c r="V497" s="12"/>
      <c r="W497" s="12"/>
      <c r="X497" s="12"/>
      <c r="Y497" s="12"/>
      <c r="Z497" s="12"/>
    </row>
    <row r="498" spans="1:26" ht="15" customHeight="1" x14ac:dyDescent="0.3">
      <c r="A498" s="26"/>
      <c r="B498" s="17"/>
      <c r="C498" s="17"/>
      <c r="D498" s="17"/>
      <c r="E498" s="17"/>
      <c r="F498" s="17"/>
      <c r="G498" s="17"/>
      <c r="H498" s="17"/>
      <c r="I498" s="17"/>
      <c r="J498" s="17"/>
      <c r="K498" s="17"/>
      <c r="L498" s="17"/>
      <c r="M498" s="17"/>
      <c r="N498" s="17"/>
      <c r="O498" s="17"/>
      <c r="P498" s="17"/>
      <c r="Q498" s="17"/>
      <c r="R498" s="17"/>
      <c r="S498" s="17"/>
      <c r="T498" s="17"/>
      <c r="U498" s="17"/>
      <c r="V498" s="12"/>
      <c r="W498" s="12"/>
      <c r="X498" s="12"/>
      <c r="Y498" s="12"/>
      <c r="Z498" s="12"/>
    </row>
    <row r="499" spans="1:26" ht="15" customHeight="1" x14ac:dyDescent="0.3">
      <c r="A499" s="26"/>
      <c r="B499" s="17"/>
      <c r="C499" s="17"/>
      <c r="D499" s="17"/>
      <c r="E499" s="17"/>
      <c r="F499" s="17"/>
      <c r="G499" s="17"/>
      <c r="H499" s="17"/>
      <c r="I499" s="17"/>
      <c r="J499" s="17"/>
      <c r="K499" s="17"/>
      <c r="L499" s="17"/>
      <c r="M499" s="17"/>
      <c r="N499" s="17"/>
      <c r="O499" s="17"/>
      <c r="P499" s="17"/>
      <c r="Q499" s="17"/>
      <c r="R499" s="17"/>
      <c r="S499" s="17"/>
      <c r="T499" s="17"/>
      <c r="U499" s="17"/>
      <c r="V499" s="12"/>
      <c r="W499" s="12"/>
      <c r="X499" s="12"/>
      <c r="Y499" s="12"/>
      <c r="Z499" s="12"/>
    </row>
    <row r="500" spans="1:26" ht="15" customHeight="1" x14ac:dyDescent="0.3">
      <c r="A500" s="26"/>
      <c r="B500" s="17"/>
      <c r="C500" s="17"/>
      <c r="D500" s="17"/>
      <c r="E500" s="17"/>
      <c r="F500" s="17"/>
      <c r="G500" s="17"/>
      <c r="H500" s="17"/>
      <c r="I500" s="17"/>
      <c r="J500" s="17"/>
      <c r="K500" s="17"/>
      <c r="L500" s="17"/>
      <c r="M500" s="17"/>
      <c r="N500" s="17"/>
      <c r="O500" s="17"/>
      <c r="P500" s="17"/>
      <c r="Q500" s="17"/>
      <c r="R500" s="17"/>
      <c r="S500" s="17"/>
      <c r="T500" s="17"/>
      <c r="U500" s="17"/>
      <c r="V500" s="12"/>
      <c r="W500" s="12"/>
      <c r="X500" s="12"/>
      <c r="Y500" s="12"/>
      <c r="Z500" s="12"/>
    </row>
    <row r="501" spans="1:26" ht="15" customHeight="1" x14ac:dyDescent="0.3">
      <c r="A501" s="26"/>
      <c r="B501" s="17"/>
      <c r="C501" s="17"/>
      <c r="D501" s="17"/>
      <c r="E501" s="17"/>
      <c r="F501" s="17"/>
      <c r="G501" s="17"/>
      <c r="H501" s="17"/>
      <c r="I501" s="17"/>
      <c r="J501" s="17"/>
      <c r="K501" s="17"/>
      <c r="L501" s="17"/>
      <c r="M501" s="17"/>
      <c r="N501" s="17"/>
      <c r="O501" s="17"/>
      <c r="P501" s="17"/>
      <c r="Q501" s="17"/>
      <c r="R501" s="17"/>
      <c r="S501" s="17"/>
      <c r="T501" s="17"/>
      <c r="U501" s="17"/>
      <c r="V501" s="12"/>
      <c r="W501" s="12"/>
      <c r="X501" s="12"/>
      <c r="Y501" s="12"/>
      <c r="Z501" s="12"/>
    </row>
    <row r="502" spans="1:26" ht="15" customHeight="1" x14ac:dyDescent="0.3">
      <c r="A502" s="26"/>
      <c r="B502" s="17"/>
      <c r="C502" s="17"/>
      <c r="D502" s="17"/>
      <c r="E502" s="17"/>
      <c r="F502" s="17"/>
      <c r="G502" s="17"/>
      <c r="H502" s="17"/>
      <c r="I502" s="17"/>
      <c r="J502" s="17"/>
      <c r="K502" s="17"/>
      <c r="L502" s="17"/>
      <c r="M502" s="17"/>
      <c r="N502" s="17"/>
      <c r="O502" s="17"/>
      <c r="P502" s="17"/>
      <c r="Q502" s="17"/>
      <c r="R502" s="17"/>
      <c r="S502" s="17"/>
      <c r="T502" s="17"/>
      <c r="U502" s="17"/>
      <c r="V502" s="12"/>
      <c r="W502" s="12"/>
      <c r="X502" s="12"/>
      <c r="Y502" s="12"/>
      <c r="Z502" s="12"/>
    </row>
    <row r="503" spans="1:26" ht="15" customHeight="1" x14ac:dyDescent="0.3">
      <c r="A503" s="26"/>
      <c r="B503" s="17"/>
      <c r="C503" s="17"/>
      <c r="D503" s="17"/>
      <c r="E503" s="17"/>
      <c r="F503" s="17"/>
      <c r="G503" s="17"/>
      <c r="H503" s="17"/>
      <c r="I503" s="17"/>
      <c r="J503" s="17"/>
      <c r="K503" s="17"/>
      <c r="L503" s="17"/>
      <c r="M503" s="17"/>
      <c r="N503" s="17"/>
      <c r="O503" s="17"/>
      <c r="P503" s="17"/>
      <c r="Q503" s="17"/>
      <c r="R503" s="17"/>
      <c r="S503" s="17"/>
      <c r="T503" s="17"/>
      <c r="U503" s="17"/>
      <c r="V503" s="12"/>
      <c r="W503" s="12"/>
      <c r="X503" s="12"/>
      <c r="Y503" s="12"/>
      <c r="Z503" s="12"/>
    </row>
    <row r="504" spans="1:26" ht="15" customHeight="1" x14ac:dyDescent="0.3">
      <c r="A504" s="26"/>
      <c r="B504" s="17"/>
      <c r="C504" s="17"/>
      <c r="D504" s="17"/>
      <c r="E504" s="17"/>
      <c r="F504" s="17"/>
      <c r="G504" s="17"/>
      <c r="H504" s="17"/>
      <c r="I504" s="17"/>
      <c r="J504" s="17"/>
      <c r="K504" s="17"/>
      <c r="L504" s="17"/>
      <c r="M504" s="17"/>
      <c r="N504" s="17"/>
      <c r="O504" s="17"/>
      <c r="P504" s="17"/>
      <c r="Q504" s="17"/>
      <c r="R504" s="17"/>
      <c r="S504" s="17"/>
      <c r="T504" s="17"/>
      <c r="U504" s="17"/>
      <c r="V504" s="12"/>
      <c r="W504" s="12"/>
      <c r="X504" s="12"/>
      <c r="Y504" s="12"/>
      <c r="Z504" s="12"/>
    </row>
    <row r="505" spans="1:26" ht="15" customHeight="1" x14ac:dyDescent="0.3">
      <c r="A505" s="26"/>
      <c r="B505" s="17"/>
      <c r="C505" s="17"/>
      <c r="D505" s="17"/>
      <c r="E505" s="17"/>
      <c r="F505" s="17"/>
      <c r="G505" s="17"/>
      <c r="H505" s="17"/>
      <c r="I505" s="17"/>
      <c r="J505" s="17"/>
      <c r="K505" s="17"/>
      <c r="L505" s="17"/>
      <c r="M505" s="17"/>
      <c r="N505" s="17"/>
      <c r="O505" s="17"/>
      <c r="P505" s="17"/>
      <c r="Q505" s="17"/>
      <c r="R505" s="17"/>
      <c r="S505" s="17"/>
      <c r="T505" s="17"/>
      <c r="U505" s="17"/>
      <c r="V505" s="12"/>
      <c r="W505" s="12"/>
      <c r="X505" s="12"/>
      <c r="Y505" s="12"/>
      <c r="Z505" s="12"/>
    </row>
    <row r="506" spans="1:26" ht="15" customHeight="1" x14ac:dyDescent="0.3">
      <c r="A506" s="26"/>
      <c r="B506" s="17"/>
      <c r="C506" s="17"/>
      <c r="D506" s="17"/>
      <c r="E506" s="17"/>
      <c r="F506" s="17"/>
      <c r="G506" s="17"/>
      <c r="H506" s="17"/>
      <c r="I506" s="17"/>
      <c r="J506" s="17"/>
      <c r="K506" s="17"/>
      <c r="L506" s="17"/>
      <c r="M506" s="17"/>
      <c r="N506" s="17"/>
      <c r="O506" s="17"/>
      <c r="P506" s="17"/>
      <c r="Q506" s="17"/>
      <c r="R506" s="17"/>
      <c r="S506" s="17"/>
      <c r="T506" s="17"/>
      <c r="U506" s="17"/>
      <c r="V506" s="12"/>
      <c r="W506" s="12"/>
      <c r="X506" s="12"/>
      <c r="Y506" s="12"/>
      <c r="Z506" s="12"/>
    </row>
    <row r="507" spans="1:26" ht="15" customHeight="1" x14ac:dyDescent="0.3">
      <c r="A507" s="26"/>
      <c r="B507" s="17"/>
      <c r="C507" s="17"/>
      <c r="D507" s="17"/>
      <c r="E507" s="17"/>
      <c r="F507" s="17"/>
      <c r="G507" s="17"/>
      <c r="H507" s="17"/>
      <c r="I507" s="17"/>
      <c r="J507" s="17"/>
      <c r="K507" s="17"/>
      <c r="L507" s="17"/>
      <c r="M507" s="17"/>
      <c r="N507" s="17"/>
      <c r="O507" s="17"/>
      <c r="P507" s="17"/>
      <c r="Q507" s="17"/>
      <c r="R507" s="17"/>
      <c r="S507" s="17"/>
      <c r="T507" s="17"/>
      <c r="U507" s="17"/>
      <c r="V507" s="12"/>
      <c r="W507" s="12"/>
      <c r="X507" s="12"/>
      <c r="Y507" s="12"/>
      <c r="Z507" s="12"/>
    </row>
    <row r="508" spans="1:26" ht="15" customHeight="1" x14ac:dyDescent="0.3">
      <c r="A508" s="26"/>
      <c r="B508" s="17"/>
      <c r="C508" s="17"/>
      <c r="D508" s="17"/>
      <c r="E508" s="17"/>
      <c r="F508" s="17"/>
      <c r="G508" s="17"/>
      <c r="H508" s="17"/>
      <c r="I508" s="17"/>
      <c r="J508" s="17"/>
      <c r="K508" s="17"/>
      <c r="L508" s="17"/>
      <c r="M508" s="17"/>
      <c r="N508" s="17"/>
      <c r="O508" s="17"/>
      <c r="P508" s="17"/>
      <c r="Q508" s="17"/>
      <c r="R508" s="17"/>
      <c r="S508" s="17"/>
      <c r="T508" s="17"/>
      <c r="U508" s="17"/>
      <c r="V508" s="12"/>
      <c r="W508" s="12"/>
      <c r="X508" s="12"/>
      <c r="Y508" s="12"/>
      <c r="Z508" s="12"/>
    </row>
    <row r="509" spans="1:26" ht="15" customHeight="1" x14ac:dyDescent="0.3">
      <c r="A509" s="26"/>
      <c r="B509" s="17"/>
      <c r="C509" s="17"/>
      <c r="D509" s="17"/>
      <c r="E509" s="17"/>
      <c r="F509" s="17"/>
      <c r="G509" s="17"/>
      <c r="H509" s="17"/>
      <c r="I509" s="17"/>
      <c r="J509" s="17"/>
      <c r="K509" s="17"/>
      <c r="L509" s="17"/>
      <c r="M509" s="17"/>
      <c r="N509" s="17"/>
      <c r="O509" s="17"/>
      <c r="P509" s="17"/>
      <c r="Q509" s="17"/>
      <c r="R509" s="17"/>
      <c r="S509" s="17"/>
      <c r="T509" s="17"/>
      <c r="U509" s="17"/>
      <c r="V509" s="12"/>
      <c r="W509" s="12"/>
      <c r="X509" s="12"/>
      <c r="Y509" s="12"/>
      <c r="Z509" s="12"/>
    </row>
    <row r="510" spans="1:26" ht="15" customHeight="1" x14ac:dyDescent="0.3">
      <c r="A510" s="26"/>
      <c r="B510" s="17"/>
      <c r="C510" s="17"/>
      <c r="D510" s="17"/>
      <c r="E510" s="17"/>
      <c r="F510" s="17"/>
      <c r="G510" s="17"/>
      <c r="H510" s="17"/>
      <c r="I510" s="17"/>
      <c r="J510" s="17"/>
      <c r="K510" s="17"/>
      <c r="L510" s="17"/>
      <c r="M510" s="17"/>
      <c r="N510" s="17"/>
      <c r="O510" s="17"/>
      <c r="P510" s="17"/>
      <c r="Q510" s="17"/>
      <c r="R510" s="17"/>
      <c r="S510" s="17"/>
      <c r="T510" s="17"/>
      <c r="U510" s="17"/>
      <c r="V510" s="12"/>
      <c r="W510" s="12"/>
      <c r="X510" s="12"/>
      <c r="Y510" s="12"/>
      <c r="Z510" s="12"/>
    </row>
    <row r="511" spans="1:26" ht="15" customHeight="1" x14ac:dyDescent="0.3">
      <c r="A511" s="26"/>
      <c r="B511" s="17"/>
      <c r="C511" s="17"/>
      <c r="D511" s="17"/>
      <c r="E511" s="17"/>
      <c r="F511" s="17"/>
      <c r="G511" s="17"/>
      <c r="H511" s="17"/>
      <c r="I511" s="17"/>
      <c r="J511" s="17"/>
      <c r="K511" s="17"/>
      <c r="L511" s="17"/>
      <c r="M511" s="17"/>
      <c r="N511" s="17"/>
      <c r="O511" s="17"/>
      <c r="P511" s="17"/>
      <c r="Q511" s="17"/>
      <c r="R511" s="17"/>
      <c r="S511" s="17"/>
      <c r="T511" s="17"/>
      <c r="U511" s="17"/>
      <c r="V511" s="12"/>
      <c r="W511" s="12"/>
      <c r="X511" s="12"/>
      <c r="Y511" s="12"/>
      <c r="Z511" s="12"/>
    </row>
    <row r="512" spans="1:26" ht="15" customHeight="1" x14ac:dyDescent="0.3">
      <c r="A512" s="26"/>
      <c r="B512" s="17"/>
      <c r="C512" s="17"/>
      <c r="D512" s="17"/>
      <c r="E512" s="17"/>
      <c r="F512" s="17"/>
      <c r="G512" s="17"/>
      <c r="H512" s="17"/>
      <c r="I512" s="17"/>
      <c r="J512" s="17"/>
      <c r="K512" s="17"/>
      <c r="L512" s="17"/>
      <c r="M512" s="17"/>
      <c r="N512" s="17"/>
      <c r="O512" s="17"/>
      <c r="P512" s="17"/>
      <c r="Q512" s="17"/>
      <c r="R512" s="17"/>
      <c r="S512" s="17"/>
      <c r="T512" s="17"/>
      <c r="U512" s="17"/>
      <c r="V512" s="12"/>
      <c r="W512" s="12"/>
      <c r="X512" s="12"/>
      <c r="Y512" s="12"/>
      <c r="Z512" s="12"/>
    </row>
    <row r="513" spans="1:26" ht="15" customHeight="1" x14ac:dyDescent="0.3">
      <c r="A513" s="26"/>
      <c r="B513" s="17"/>
      <c r="C513" s="17"/>
      <c r="D513" s="17"/>
      <c r="E513" s="17"/>
      <c r="F513" s="17"/>
      <c r="G513" s="17"/>
      <c r="H513" s="17"/>
      <c r="I513" s="17"/>
      <c r="J513" s="17"/>
      <c r="K513" s="17"/>
      <c r="L513" s="17"/>
      <c r="M513" s="17"/>
      <c r="N513" s="17"/>
      <c r="O513" s="17"/>
      <c r="P513" s="17"/>
      <c r="Q513" s="17"/>
      <c r="R513" s="17"/>
      <c r="S513" s="17"/>
      <c r="T513" s="17"/>
      <c r="U513" s="17"/>
      <c r="V513" s="12"/>
      <c r="W513" s="12"/>
      <c r="X513" s="12"/>
      <c r="Y513" s="12"/>
      <c r="Z513" s="12"/>
    </row>
    <row r="514" spans="1:26" ht="15" customHeight="1" x14ac:dyDescent="0.3">
      <c r="A514" s="26"/>
      <c r="B514" s="17"/>
      <c r="C514" s="17"/>
      <c r="D514" s="17"/>
      <c r="E514" s="17"/>
      <c r="F514" s="17"/>
      <c r="G514" s="17"/>
      <c r="H514" s="17"/>
      <c r="I514" s="17"/>
      <c r="J514" s="17"/>
      <c r="K514" s="17"/>
      <c r="L514" s="17"/>
      <c r="M514" s="17"/>
      <c r="N514" s="17"/>
      <c r="O514" s="17"/>
      <c r="P514" s="17"/>
      <c r="Q514" s="17"/>
      <c r="R514" s="17"/>
      <c r="S514" s="17"/>
      <c r="T514" s="17"/>
      <c r="U514" s="17"/>
      <c r="V514" s="12"/>
      <c r="W514" s="12"/>
      <c r="X514" s="12"/>
      <c r="Y514" s="12"/>
      <c r="Z514" s="12"/>
    </row>
    <row r="515" spans="1:26" ht="15" customHeight="1" x14ac:dyDescent="0.3">
      <c r="A515" s="26"/>
      <c r="B515" s="17"/>
      <c r="C515" s="17"/>
      <c r="D515" s="17"/>
      <c r="E515" s="17"/>
      <c r="F515" s="17"/>
      <c r="G515" s="17"/>
      <c r="H515" s="17"/>
      <c r="I515" s="17"/>
      <c r="J515" s="17"/>
      <c r="K515" s="17"/>
      <c r="L515" s="17"/>
      <c r="M515" s="17"/>
      <c r="N515" s="17"/>
      <c r="O515" s="17"/>
      <c r="P515" s="17"/>
      <c r="Q515" s="17"/>
      <c r="R515" s="17"/>
      <c r="S515" s="17"/>
      <c r="T515" s="17"/>
      <c r="U515" s="17"/>
      <c r="V515" s="12"/>
      <c r="W515" s="12"/>
      <c r="X515" s="12"/>
      <c r="Y515" s="12"/>
      <c r="Z515" s="12"/>
    </row>
    <row r="516" spans="1:26" ht="15" customHeight="1" x14ac:dyDescent="0.3">
      <c r="A516" s="26"/>
      <c r="B516" s="17"/>
      <c r="C516" s="17"/>
      <c r="D516" s="17"/>
      <c r="E516" s="17"/>
      <c r="F516" s="17"/>
      <c r="G516" s="17"/>
      <c r="H516" s="17"/>
      <c r="I516" s="17"/>
      <c r="J516" s="17"/>
      <c r="K516" s="17"/>
      <c r="L516" s="17"/>
      <c r="M516" s="17"/>
      <c r="N516" s="17"/>
      <c r="O516" s="17"/>
      <c r="P516" s="17"/>
      <c r="Q516" s="17"/>
      <c r="R516" s="17"/>
      <c r="S516" s="17"/>
      <c r="T516" s="17"/>
      <c r="U516" s="17"/>
      <c r="V516" s="12"/>
      <c r="W516" s="12"/>
      <c r="X516" s="12"/>
      <c r="Y516" s="12"/>
      <c r="Z516" s="12"/>
    </row>
    <row r="517" spans="1:26" ht="15" customHeight="1" x14ac:dyDescent="0.3">
      <c r="A517" s="26"/>
      <c r="B517" s="17"/>
      <c r="C517" s="17"/>
      <c r="D517" s="17"/>
      <c r="E517" s="17"/>
      <c r="F517" s="17"/>
      <c r="G517" s="17"/>
      <c r="H517" s="17"/>
      <c r="I517" s="17"/>
      <c r="J517" s="17"/>
      <c r="K517" s="17"/>
      <c r="L517" s="17"/>
      <c r="M517" s="17"/>
      <c r="N517" s="17"/>
      <c r="O517" s="17"/>
      <c r="P517" s="17"/>
      <c r="Q517" s="17"/>
      <c r="R517" s="17"/>
      <c r="S517" s="17"/>
      <c r="T517" s="17"/>
      <c r="U517" s="17"/>
      <c r="V517" s="12"/>
      <c r="W517" s="12"/>
      <c r="X517" s="12"/>
      <c r="Y517" s="12"/>
      <c r="Z517" s="12"/>
    </row>
    <row r="518" spans="1:26" ht="15" customHeight="1" x14ac:dyDescent="0.3">
      <c r="A518" s="26"/>
      <c r="B518" s="17"/>
      <c r="C518" s="17"/>
      <c r="D518" s="17"/>
      <c r="E518" s="17"/>
      <c r="F518" s="17"/>
      <c r="G518" s="17"/>
      <c r="H518" s="17"/>
      <c r="I518" s="17"/>
      <c r="J518" s="17"/>
      <c r="K518" s="17"/>
      <c r="L518" s="17"/>
      <c r="M518" s="17"/>
      <c r="N518" s="17"/>
      <c r="O518" s="17"/>
      <c r="P518" s="17"/>
      <c r="Q518" s="17"/>
      <c r="R518" s="17"/>
      <c r="S518" s="17"/>
      <c r="T518" s="17"/>
      <c r="U518" s="17"/>
      <c r="V518" s="12"/>
      <c r="W518" s="12"/>
      <c r="X518" s="12"/>
      <c r="Y518" s="12"/>
      <c r="Z518" s="12"/>
    </row>
    <row r="519" spans="1:26" ht="15" customHeight="1" x14ac:dyDescent="0.3">
      <c r="A519" s="26"/>
      <c r="B519" s="17"/>
      <c r="C519" s="17"/>
      <c r="D519" s="17"/>
      <c r="E519" s="17"/>
      <c r="F519" s="17"/>
      <c r="G519" s="17"/>
      <c r="H519" s="17"/>
      <c r="I519" s="17"/>
      <c r="J519" s="17"/>
      <c r="K519" s="17"/>
      <c r="L519" s="17"/>
      <c r="M519" s="17"/>
      <c r="N519" s="17"/>
      <c r="O519" s="17"/>
      <c r="P519" s="17"/>
      <c r="Q519" s="17"/>
      <c r="R519" s="17"/>
      <c r="S519" s="17"/>
      <c r="T519" s="17"/>
      <c r="U519" s="17"/>
      <c r="V519" s="12"/>
      <c r="W519" s="12"/>
      <c r="X519" s="12"/>
      <c r="Y519" s="12"/>
      <c r="Z519" s="12"/>
    </row>
    <row r="520" spans="1:26" ht="15" customHeight="1" x14ac:dyDescent="0.3">
      <c r="A520" s="26"/>
      <c r="B520" s="17"/>
      <c r="C520" s="17"/>
      <c r="D520" s="17"/>
      <c r="E520" s="17"/>
      <c r="F520" s="17"/>
      <c r="G520" s="17"/>
      <c r="H520" s="17"/>
      <c r="I520" s="17"/>
      <c r="J520" s="17"/>
      <c r="K520" s="17"/>
      <c r="L520" s="17"/>
      <c r="M520" s="17"/>
      <c r="N520" s="17"/>
      <c r="O520" s="17"/>
      <c r="P520" s="17"/>
      <c r="Q520" s="17"/>
      <c r="R520" s="17"/>
      <c r="S520" s="17"/>
      <c r="T520" s="17"/>
      <c r="U520" s="17"/>
      <c r="V520" s="12"/>
      <c r="W520" s="12"/>
      <c r="X520" s="12"/>
      <c r="Y520" s="12"/>
      <c r="Z520" s="12"/>
    </row>
    <row r="521" spans="1:26" ht="15" customHeight="1" x14ac:dyDescent="0.3">
      <c r="A521" s="26"/>
      <c r="B521" s="17"/>
      <c r="C521" s="17"/>
      <c r="D521" s="17"/>
      <c r="E521" s="17"/>
      <c r="F521" s="17"/>
      <c r="G521" s="17"/>
      <c r="H521" s="17"/>
      <c r="I521" s="17"/>
      <c r="J521" s="17"/>
      <c r="K521" s="17"/>
      <c r="L521" s="17"/>
      <c r="M521" s="17"/>
      <c r="N521" s="17"/>
      <c r="O521" s="17"/>
      <c r="P521" s="17"/>
      <c r="Q521" s="17"/>
      <c r="R521" s="17"/>
      <c r="S521" s="17"/>
      <c r="T521" s="17"/>
      <c r="U521" s="17"/>
      <c r="V521" s="12"/>
      <c r="W521" s="12"/>
      <c r="X521" s="12"/>
      <c r="Y521" s="12"/>
      <c r="Z521" s="12"/>
    </row>
    <row r="522" spans="1:26" ht="15" customHeight="1" x14ac:dyDescent="0.3">
      <c r="A522" s="26"/>
      <c r="B522" s="17"/>
      <c r="C522" s="17"/>
      <c r="D522" s="17"/>
      <c r="E522" s="17"/>
      <c r="F522" s="17"/>
      <c r="G522" s="17"/>
      <c r="H522" s="17"/>
      <c r="I522" s="17"/>
      <c r="J522" s="17"/>
      <c r="K522" s="17"/>
      <c r="L522" s="17"/>
      <c r="M522" s="17"/>
      <c r="N522" s="17"/>
      <c r="O522" s="17"/>
      <c r="P522" s="17"/>
      <c r="Q522" s="17"/>
      <c r="R522" s="17"/>
      <c r="S522" s="17"/>
      <c r="T522" s="17"/>
      <c r="U522" s="17"/>
      <c r="V522" s="12"/>
      <c r="W522" s="12"/>
      <c r="X522" s="12"/>
      <c r="Y522" s="12"/>
      <c r="Z522" s="12"/>
    </row>
    <row r="523" spans="1:26" ht="15" customHeight="1" x14ac:dyDescent="0.3">
      <c r="A523" s="26"/>
      <c r="B523" s="17"/>
      <c r="C523" s="17"/>
      <c r="D523" s="17"/>
      <c r="E523" s="17"/>
      <c r="F523" s="17"/>
      <c r="G523" s="17"/>
      <c r="H523" s="17"/>
      <c r="I523" s="17"/>
      <c r="J523" s="17"/>
      <c r="K523" s="17"/>
      <c r="L523" s="17"/>
      <c r="M523" s="17"/>
      <c r="N523" s="17"/>
      <c r="O523" s="17"/>
      <c r="P523" s="17"/>
      <c r="Q523" s="17"/>
      <c r="R523" s="17"/>
      <c r="S523" s="17"/>
      <c r="T523" s="17"/>
      <c r="U523" s="17"/>
      <c r="V523" s="12"/>
      <c r="W523" s="12"/>
      <c r="X523" s="12"/>
      <c r="Y523" s="12"/>
      <c r="Z523" s="12"/>
    </row>
    <row r="524" spans="1:26" ht="15" customHeight="1" x14ac:dyDescent="0.3">
      <c r="A524" s="26"/>
      <c r="B524" s="17"/>
      <c r="C524" s="17"/>
      <c r="D524" s="17"/>
      <c r="E524" s="17"/>
      <c r="F524" s="17"/>
      <c r="G524" s="17"/>
      <c r="H524" s="17"/>
      <c r="I524" s="17"/>
      <c r="J524" s="17"/>
      <c r="K524" s="17"/>
      <c r="L524" s="17"/>
      <c r="M524" s="17"/>
      <c r="N524" s="17"/>
      <c r="O524" s="17"/>
      <c r="P524" s="17"/>
      <c r="Q524" s="17"/>
      <c r="R524" s="17"/>
      <c r="S524" s="17"/>
      <c r="T524" s="17"/>
      <c r="U524" s="17"/>
      <c r="V524" s="12"/>
      <c r="W524" s="12"/>
      <c r="X524" s="12"/>
      <c r="Y524" s="12"/>
      <c r="Z524" s="12"/>
    </row>
    <row r="525" spans="1:26" ht="15" customHeight="1" x14ac:dyDescent="0.3">
      <c r="A525" s="26"/>
      <c r="B525" s="17"/>
      <c r="C525" s="17"/>
      <c r="D525" s="17"/>
      <c r="E525" s="17"/>
      <c r="F525" s="17"/>
      <c r="G525" s="17"/>
      <c r="H525" s="17"/>
      <c r="I525" s="17"/>
      <c r="J525" s="17"/>
      <c r="K525" s="17"/>
      <c r="L525" s="17"/>
      <c r="M525" s="17"/>
      <c r="N525" s="17"/>
      <c r="O525" s="17"/>
      <c r="P525" s="17"/>
      <c r="Q525" s="17"/>
      <c r="R525" s="17"/>
      <c r="S525" s="17"/>
      <c r="T525" s="17"/>
      <c r="U525" s="17"/>
      <c r="V525" s="12"/>
      <c r="W525" s="12"/>
      <c r="X525" s="12"/>
      <c r="Y525" s="12"/>
      <c r="Z525" s="12"/>
    </row>
    <row r="526" spans="1:26" ht="15" customHeight="1" x14ac:dyDescent="0.3">
      <c r="A526" s="26"/>
      <c r="B526" s="17"/>
      <c r="C526" s="17"/>
      <c r="D526" s="17"/>
      <c r="E526" s="17"/>
      <c r="F526" s="17"/>
      <c r="G526" s="17"/>
      <c r="H526" s="17"/>
      <c r="I526" s="17"/>
      <c r="J526" s="17"/>
      <c r="K526" s="17"/>
      <c r="L526" s="17"/>
      <c r="M526" s="17"/>
      <c r="N526" s="17"/>
      <c r="O526" s="17"/>
      <c r="P526" s="17"/>
      <c r="Q526" s="17"/>
      <c r="R526" s="17"/>
      <c r="S526" s="17"/>
      <c r="T526" s="17"/>
      <c r="U526" s="17"/>
      <c r="V526" s="12"/>
      <c r="W526" s="12"/>
      <c r="X526" s="12"/>
      <c r="Y526" s="12"/>
      <c r="Z526" s="12"/>
    </row>
    <row r="527" spans="1:26" ht="15" customHeight="1" x14ac:dyDescent="0.3">
      <c r="A527" s="26"/>
      <c r="B527" s="17"/>
      <c r="C527" s="17"/>
      <c r="D527" s="17"/>
      <c r="E527" s="17"/>
      <c r="F527" s="17"/>
      <c r="G527" s="17"/>
      <c r="H527" s="17"/>
      <c r="I527" s="17"/>
      <c r="J527" s="17"/>
      <c r="K527" s="17"/>
      <c r="L527" s="17"/>
      <c r="M527" s="17"/>
      <c r="N527" s="17"/>
      <c r="O527" s="17"/>
      <c r="P527" s="17"/>
      <c r="Q527" s="17"/>
      <c r="R527" s="17"/>
      <c r="S527" s="17"/>
      <c r="T527" s="17"/>
      <c r="U527" s="17"/>
      <c r="V527" s="12"/>
      <c r="W527" s="12"/>
      <c r="X527" s="12"/>
      <c r="Y527" s="12"/>
      <c r="Z527" s="12"/>
    </row>
    <row r="528" spans="1:26" ht="15" customHeight="1" x14ac:dyDescent="0.3">
      <c r="A528" s="26"/>
      <c r="B528" s="17"/>
      <c r="C528" s="17"/>
      <c r="D528" s="17"/>
      <c r="E528" s="17"/>
      <c r="F528" s="17"/>
      <c r="G528" s="17"/>
      <c r="H528" s="17"/>
      <c r="I528" s="17"/>
      <c r="J528" s="17"/>
      <c r="K528" s="17"/>
      <c r="L528" s="17"/>
      <c r="M528" s="17"/>
      <c r="N528" s="17"/>
      <c r="O528" s="17"/>
      <c r="P528" s="17"/>
      <c r="Q528" s="17"/>
      <c r="R528" s="17"/>
      <c r="S528" s="17"/>
      <c r="T528" s="17"/>
      <c r="U528" s="17"/>
      <c r="V528" s="12"/>
      <c r="W528" s="12"/>
      <c r="X528" s="12"/>
      <c r="Y528" s="12"/>
      <c r="Z528" s="12"/>
    </row>
    <row r="529" spans="1:26" ht="15" customHeight="1" x14ac:dyDescent="0.3">
      <c r="A529" s="26"/>
      <c r="B529" s="17"/>
      <c r="C529" s="17"/>
      <c r="D529" s="17"/>
      <c r="E529" s="17"/>
      <c r="F529" s="17"/>
      <c r="G529" s="17"/>
      <c r="H529" s="17"/>
      <c r="I529" s="17"/>
      <c r="J529" s="17"/>
      <c r="K529" s="17"/>
      <c r="L529" s="17"/>
      <c r="M529" s="17"/>
      <c r="N529" s="17"/>
      <c r="O529" s="17"/>
      <c r="P529" s="17"/>
      <c r="Q529" s="17"/>
      <c r="R529" s="17"/>
      <c r="S529" s="17"/>
      <c r="T529" s="17"/>
      <c r="U529" s="17"/>
      <c r="V529" s="12"/>
      <c r="W529" s="12"/>
      <c r="X529" s="12"/>
      <c r="Y529" s="12"/>
      <c r="Z529" s="12"/>
    </row>
    <row r="530" spans="1:26" ht="15" customHeight="1" x14ac:dyDescent="0.3">
      <c r="A530" s="26"/>
      <c r="B530" s="17"/>
      <c r="C530" s="17"/>
      <c r="D530" s="17"/>
      <c r="E530" s="17"/>
      <c r="F530" s="17"/>
      <c r="G530" s="17"/>
      <c r="H530" s="17"/>
      <c r="I530" s="17"/>
      <c r="J530" s="17"/>
      <c r="K530" s="17"/>
      <c r="L530" s="17"/>
      <c r="M530" s="17"/>
      <c r="N530" s="17"/>
      <c r="O530" s="17"/>
      <c r="P530" s="17"/>
      <c r="Q530" s="17"/>
      <c r="R530" s="17"/>
      <c r="S530" s="17"/>
      <c r="T530" s="17"/>
      <c r="U530" s="17"/>
      <c r="V530" s="12"/>
      <c r="W530" s="12"/>
      <c r="X530" s="12"/>
      <c r="Y530" s="12"/>
      <c r="Z530" s="12"/>
    </row>
    <row r="531" spans="1:26" ht="15" customHeight="1" x14ac:dyDescent="0.3">
      <c r="A531" s="26"/>
      <c r="B531" s="17"/>
      <c r="C531" s="17"/>
      <c r="D531" s="17"/>
      <c r="E531" s="17"/>
      <c r="F531" s="17"/>
      <c r="G531" s="17"/>
      <c r="H531" s="17"/>
      <c r="I531" s="17"/>
      <c r="J531" s="17"/>
      <c r="K531" s="17"/>
      <c r="L531" s="17"/>
      <c r="M531" s="17"/>
      <c r="N531" s="17"/>
      <c r="O531" s="17"/>
      <c r="P531" s="17"/>
      <c r="Q531" s="17"/>
      <c r="R531" s="17"/>
      <c r="S531" s="17"/>
      <c r="T531" s="17"/>
      <c r="U531" s="17"/>
      <c r="V531" s="12"/>
      <c r="W531" s="12"/>
      <c r="X531" s="12"/>
      <c r="Y531" s="12"/>
      <c r="Z531" s="12"/>
    </row>
    <row r="532" spans="1:26" ht="15" customHeight="1" x14ac:dyDescent="0.3">
      <c r="A532" s="26"/>
      <c r="B532" s="17"/>
      <c r="C532" s="17"/>
      <c r="D532" s="17"/>
      <c r="E532" s="17"/>
      <c r="F532" s="17"/>
      <c r="G532" s="17"/>
      <c r="H532" s="17"/>
      <c r="I532" s="17"/>
      <c r="J532" s="17"/>
      <c r="K532" s="17"/>
      <c r="L532" s="17"/>
      <c r="M532" s="17"/>
      <c r="N532" s="17"/>
      <c r="O532" s="17"/>
      <c r="P532" s="17"/>
      <c r="Q532" s="17"/>
      <c r="R532" s="17"/>
      <c r="S532" s="17"/>
      <c r="T532" s="17"/>
      <c r="U532" s="17"/>
      <c r="V532" s="12"/>
      <c r="W532" s="12"/>
      <c r="X532" s="12"/>
      <c r="Y532" s="12"/>
      <c r="Z532" s="12"/>
    </row>
    <row r="533" spans="1:26" ht="15" customHeight="1" x14ac:dyDescent="0.3">
      <c r="A533" s="26"/>
      <c r="B533" s="17"/>
      <c r="C533" s="17"/>
      <c r="D533" s="17"/>
      <c r="E533" s="17"/>
      <c r="F533" s="17"/>
      <c r="G533" s="17"/>
      <c r="H533" s="17"/>
      <c r="I533" s="17"/>
      <c r="J533" s="17"/>
      <c r="K533" s="17"/>
      <c r="L533" s="17"/>
      <c r="M533" s="17"/>
      <c r="N533" s="17"/>
      <c r="O533" s="17"/>
      <c r="P533" s="17"/>
      <c r="Q533" s="17"/>
      <c r="R533" s="17"/>
      <c r="S533" s="17"/>
      <c r="T533" s="17"/>
      <c r="U533" s="17"/>
      <c r="V533" s="12"/>
      <c r="W533" s="12"/>
      <c r="X533" s="12"/>
      <c r="Y533" s="12"/>
      <c r="Z533" s="12"/>
    </row>
    <row r="534" spans="1:26" ht="15" customHeight="1" x14ac:dyDescent="0.3">
      <c r="A534" s="27"/>
      <c r="B534" s="19"/>
      <c r="C534" s="19"/>
      <c r="D534" s="19"/>
      <c r="E534" s="19"/>
      <c r="F534" s="19"/>
      <c r="G534" s="19"/>
      <c r="H534" s="19"/>
      <c r="I534" s="19"/>
      <c r="J534" s="19"/>
      <c r="K534" s="19"/>
      <c r="L534" s="17"/>
      <c r="M534" s="17"/>
      <c r="N534" s="17"/>
      <c r="O534" s="17"/>
      <c r="P534" s="17"/>
      <c r="Q534" s="17"/>
      <c r="R534" s="17"/>
      <c r="S534" s="17"/>
      <c r="T534" s="17"/>
      <c r="U534" s="17"/>
      <c r="V534" s="12"/>
      <c r="W534" s="12"/>
      <c r="X534" s="12"/>
      <c r="Y534" s="12"/>
      <c r="Z534" s="12"/>
    </row>
    <row r="535" spans="1:26" ht="15" customHeight="1" x14ac:dyDescent="0.3">
      <c r="A535" s="27"/>
      <c r="B535" s="19"/>
      <c r="C535" s="19"/>
      <c r="D535" s="19"/>
      <c r="E535" s="19"/>
      <c r="F535" s="19"/>
      <c r="G535" s="19"/>
      <c r="H535" s="19"/>
      <c r="I535" s="19"/>
      <c r="J535" s="19"/>
      <c r="K535" s="19"/>
      <c r="L535" s="17"/>
      <c r="M535" s="17"/>
      <c r="N535" s="17"/>
      <c r="O535" s="17"/>
      <c r="P535" s="17"/>
      <c r="Q535" s="17"/>
      <c r="R535" s="17"/>
      <c r="S535" s="17"/>
      <c r="T535" s="17"/>
      <c r="U535" s="17"/>
      <c r="V535" s="12"/>
      <c r="W535" s="12"/>
      <c r="X535" s="12"/>
      <c r="Y535" s="12"/>
      <c r="Z535" s="12"/>
    </row>
    <row r="536" spans="1:26" ht="15" customHeight="1" x14ac:dyDescent="0.3">
      <c r="A536" s="27"/>
      <c r="B536" s="19"/>
      <c r="C536" s="19"/>
      <c r="D536" s="19"/>
      <c r="E536" s="19"/>
      <c r="F536" s="19"/>
      <c r="G536" s="19"/>
      <c r="H536" s="19"/>
      <c r="I536" s="19"/>
      <c r="J536" s="19"/>
      <c r="K536" s="19"/>
      <c r="L536" s="17"/>
      <c r="M536" s="17"/>
      <c r="N536" s="17"/>
      <c r="O536" s="17"/>
      <c r="P536" s="17"/>
      <c r="Q536" s="17"/>
      <c r="R536" s="17"/>
      <c r="S536" s="17"/>
      <c r="T536" s="17"/>
      <c r="U536" s="17"/>
      <c r="V536" s="12"/>
      <c r="W536" s="12"/>
      <c r="X536" s="12"/>
      <c r="Y536" s="12"/>
      <c r="Z536" s="12"/>
    </row>
    <row r="537" spans="1:26" ht="15" customHeight="1" x14ac:dyDescent="0.3">
      <c r="A537" s="27"/>
      <c r="B537" s="19"/>
      <c r="C537" s="19"/>
      <c r="D537" s="19"/>
      <c r="E537" s="19"/>
      <c r="F537" s="19"/>
      <c r="G537" s="19"/>
      <c r="H537" s="19"/>
      <c r="I537" s="19"/>
      <c r="J537" s="19"/>
      <c r="K537" s="19"/>
      <c r="L537" s="17"/>
      <c r="M537" s="17"/>
      <c r="N537" s="17"/>
      <c r="O537" s="17"/>
      <c r="P537" s="17"/>
      <c r="Q537" s="17"/>
      <c r="R537" s="17"/>
      <c r="S537" s="17"/>
      <c r="T537" s="17"/>
      <c r="U537" s="17"/>
      <c r="V537" s="12"/>
      <c r="W537" s="12"/>
      <c r="X537" s="12"/>
      <c r="Y537" s="12"/>
      <c r="Z537" s="12"/>
    </row>
    <row r="538" spans="1:26" ht="15" customHeight="1" x14ac:dyDescent="0.3">
      <c r="A538" s="27"/>
      <c r="B538" s="19"/>
      <c r="C538" s="19"/>
      <c r="D538" s="19"/>
      <c r="E538" s="19"/>
      <c r="F538" s="19"/>
      <c r="G538" s="19"/>
      <c r="H538" s="19"/>
      <c r="I538" s="19"/>
      <c r="J538" s="19"/>
      <c r="K538" s="19"/>
      <c r="L538" s="17"/>
      <c r="M538" s="17"/>
      <c r="N538" s="17"/>
      <c r="O538" s="17"/>
      <c r="P538" s="17"/>
      <c r="Q538" s="17"/>
      <c r="R538" s="17"/>
      <c r="S538" s="17"/>
      <c r="T538" s="17"/>
      <c r="U538" s="17"/>
      <c r="V538" s="12"/>
      <c r="W538" s="12"/>
      <c r="X538" s="12"/>
      <c r="Y538" s="12"/>
      <c r="Z538" s="12"/>
    </row>
    <row r="539" spans="1:26" ht="15" customHeight="1" x14ac:dyDescent="0.3">
      <c r="A539" s="2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 customHeight="1" x14ac:dyDescent="0.3">
      <c r="A540" s="27"/>
      <c r="B540" s="18"/>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customHeight="1" x14ac:dyDescent="0.3">
      <c r="A541" s="2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 customHeight="1" x14ac:dyDescent="0.3">
      <c r="A542" s="2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 customHeight="1" x14ac:dyDescent="0.3">
      <c r="A543" s="2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 customHeight="1" x14ac:dyDescent="0.3">
      <c r="A544" s="2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 customHeight="1" x14ac:dyDescent="0.3">
      <c r="A545" s="2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 customHeight="1" x14ac:dyDescent="0.3">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 customHeight="1" x14ac:dyDescent="0.3">
      <c r="A547" s="2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 customHeight="1" x14ac:dyDescent="0.3">
      <c r="A548" s="2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 customHeight="1" x14ac:dyDescent="0.3">
      <c r="A549" s="2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 customHeight="1" x14ac:dyDescent="0.3">
      <c r="A550" s="2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 customHeight="1" x14ac:dyDescent="0.3">
      <c r="A551" s="2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 customHeight="1" x14ac:dyDescent="0.3">
      <c r="A552" s="2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 customHeight="1" x14ac:dyDescent="0.3">
      <c r="A553" s="2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 customHeight="1" x14ac:dyDescent="0.3">
      <c r="A554" s="2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 customHeight="1" x14ac:dyDescent="0.3">
      <c r="A555" s="2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 customHeight="1" x14ac:dyDescent="0.3">
      <c r="A556" s="2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 customHeight="1" x14ac:dyDescent="0.3">
      <c r="A557" s="2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 customHeight="1" x14ac:dyDescent="0.3">
      <c r="A558" s="2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 customHeight="1" x14ac:dyDescent="0.3">
      <c r="A559" s="2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 customHeight="1" x14ac:dyDescent="0.3">
      <c r="A560" s="2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 customHeight="1" x14ac:dyDescent="0.3">
      <c r="A561" s="2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 customHeight="1" x14ac:dyDescent="0.3">
      <c r="A562" s="2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 customHeight="1" x14ac:dyDescent="0.3">
      <c r="A563" s="2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 customHeight="1" x14ac:dyDescent="0.3">
      <c r="A564" s="2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 customHeight="1" x14ac:dyDescent="0.3">
      <c r="A565" s="2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 customHeight="1" x14ac:dyDescent="0.3">
      <c r="A566" s="2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 customHeight="1" x14ac:dyDescent="0.3">
      <c r="A567" s="2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 customHeight="1" x14ac:dyDescent="0.3">
      <c r="A568" s="2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 customHeight="1" x14ac:dyDescent="0.3">
      <c r="A569" s="2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 customHeight="1" x14ac:dyDescent="0.3">
      <c r="A570" s="2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 customHeight="1" x14ac:dyDescent="0.3">
      <c r="A571" s="2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 customHeight="1" x14ac:dyDescent="0.3">
      <c r="A572" s="2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 customHeight="1" x14ac:dyDescent="0.3">
      <c r="A573" s="2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 customHeight="1" x14ac:dyDescent="0.3">
      <c r="A574" s="2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 customHeight="1" x14ac:dyDescent="0.3">
      <c r="A575" s="2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 customHeight="1" x14ac:dyDescent="0.3">
      <c r="A576" s="2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 customHeight="1" x14ac:dyDescent="0.3">
      <c r="A577" s="2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 customHeight="1" x14ac:dyDescent="0.3">
      <c r="A578" s="2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 customHeight="1" x14ac:dyDescent="0.3">
      <c r="A579" s="2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 customHeight="1" x14ac:dyDescent="0.3">
      <c r="A580" s="2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 customHeight="1" x14ac:dyDescent="0.3">
      <c r="A581" s="2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 customHeight="1" x14ac:dyDescent="0.3">
      <c r="A582" s="2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 customHeight="1" x14ac:dyDescent="0.3">
      <c r="A583" s="2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 customHeight="1" x14ac:dyDescent="0.3">
      <c r="A584" s="2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 customHeight="1" x14ac:dyDescent="0.3">
      <c r="A585" s="2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 customHeight="1" x14ac:dyDescent="0.3">
      <c r="A586" s="2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 customHeight="1" x14ac:dyDescent="0.3">
      <c r="A587" s="2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 customHeight="1" x14ac:dyDescent="0.3">
      <c r="A588" s="2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 customHeight="1" x14ac:dyDescent="0.3">
      <c r="A589" s="2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 customHeight="1" x14ac:dyDescent="0.3">
      <c r="A590" s="2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 customHeight="1" x14ac:dyDescent="0.3">
      <c r="A591" s="2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 customHeight="1" x14ac:dyDescent="0.3">
      <c r="A592" s="2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 customHeight="1" x14ac:dyDescent="0.3">
      <c r="A593" s="2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 customHeight="1" x14ac:dyDescent="0.3">
      <c r="A594" s="2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 customHeight="1" x14ac:dyDescent="0.3">
      <c r="A595" s="2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 customHeight="1" x14ac:dyDescent="0.3">
      <c r="A596" s="2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 customHeight="1" x14ac:dyDescent="0.3">
      <c r="A597" s="2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 customHeight="1" x14ac:dyDescent="0.3">
      <c r="A598" s="2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 customHeight="1" x14ac:dyDescent="0.3">
      <c r="A599" s="2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 customHeight="1" x14ac:dyDescent="0.3">
      <c r="A600" s="2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 customHeight="1" x14ac:dyDescent="0.3">
      <c r="A601" s="2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 customHeight="1" x14ac:dyDescent="0.3">
      <c r="A602" s="2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 customHeight="1" x14ac:dyDescent="0.3">
      <c r="A603" s="2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 customHeight="1" x14ac:dyDescent="0.3">
      <c r="A604" s="2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 customHeight="1" x14ac:dyDescent="0.3">
      <c r="A605" s="2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 customHeight="1" x14ac:dyDescent="0.3">
      <c r="A606" s="2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 customHeight="1" x14ac:dyDescent="0.3">
      <c r="A607" s="2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 customHeight="1" x14ac:dyDescent="0.3">
      <c r="A608" s="2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 customHeight="1" x14ac:dyDescent="0.3">
      <c r="A609" s="2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 customHeight="1" x14ac:dyDescent="0.3">
      <c r="A610" s="2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 customHeight="1" x14ac:dyDescent="0.3">
      <c r="A611" s="2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 customHeight="1" x14ac:dyDescent="0.3">
      <c r="A612" s="2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 customHeight="1" x14ac:dyDescent="0.3">
      <c r="A613" s="2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 customHeight="1" x14ac:dyDescent="0.3">
      <c r="A614" s="2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 customHeight="1" x14ac:dyDescent="0.3">
      <c r="A615" s="2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 customHeight="1" x14ac:dyDescent="0.3">
      <c r="A616" s="2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 customHeight="1" x14ac:dyDescent="0.3">
      <c r="A617" s="2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 customHeight="1" x14ac:dyDescent="0.3">
      <c r="A618" s="2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 customHeight="1" x14ac:dyDescent="0.3">
      <c r="A619" s="2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 customHeight="1" x14ac:dyDescent="0.3">
      <c r="A620" s="2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 customHeight="1" x14ac:dyDescent="0.3">
      <c r="A621" s="2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 customHeight="1" x14ac:dyDescent="0.3">
      <c r="A622" s="2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 customHeight="1" x14ac:dyDescent="0.3">
      <c r="A623" s="2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 customHeight="1" x14ac:dyDescent="0.3">
      <c r="A624" s="2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 customHeight="1" x14ac:dyDescent="0.3">
      <c r="A625" s="2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 customHeight="1" x14ac:dyDescent="0.3">
      <c r="A626" s="2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 customHeight="1" x14ac:dyDescent="0.3">
      <c r="A627" s="2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 customHeight="1" x14ac:dyDescent="0.3">
      <c r="A628" s="2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 customHeight="1" x14ac:dyDescent="0.3">
      <c r="A629" s="2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 customHeight="1" x14ac:dyDescent="0.3">
      <c r="A630" s="2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 customHeight="1" x14ac:dyDescent="0.3">
      <c r="A631" s="2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 customHeight="1" x14ac:dyDescent="0.3">
      <c r="A632" s="2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 customHeight="1" x14ac:dyDescent="0.3">
      <c r="A633" s="2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 customHeight="1" x14ac:dyDescent="0.3">
      <c r="A634" s="2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 customHeight="1" x14ac:dyDescent="0.3">
      <c r="A635" s="2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 customHeight="1" x14ac:dyDescent="0.3">
      <c r="A636" s="2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 customHeight="1" x14ac:dyDescent="0.3">
      <c r="A637" s="2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 customHeight="1" x14ac:dyDescent="0.3">
      <c r="A638" s="2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 customHeight="1" x14ac:dyDescent="0.3">
      <c r="A639" s="2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 customHeight="1" x14ac:dyDescent="0.3">
      <c r="A640" s="2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 customHeight="1" x14ac:dyDescent="0.3">
      <c r="A641" s="2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 customHeight="1" x14ac:dyDescent="0.3">
      <c r="A642" s="2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 customHeight="1" x14ac:dyDescent="0.3">
      <c r="A643" s="2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 customHeight="1" x14ac:dyDescent="0.3">
      <c r="A644" s="2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 customHeight="1" x14ac:dyDescent="0.3">
      <c r="A645" s="2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 customHeight="1" x14ac:dyDescent="0.3">
      <c r="A646" s="2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 customHeight="1" x14ac:dyDescent="0.3">
      <c r="A647" s="2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 customHeight="1" x14ac:dyDescent="0.3">
      <c r="A648" s="2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 customHeight="1" x14ac:dyDescent="0.3">
      <c r="A649" s="2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 customHeight="1" x14ac:dyDescent="0.3">
      <c r="A650" s="2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 customHeight="1" x14ac:dyDescent="0.3">
      <c r="A651" s="2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 customHeight="1" x14ac:dyDescent="0.3">
      <c r="A652" s="2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 customHeight="1" x14ac:dyDescent="0.3">
      <c r="A653" s="2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 customHeight="1" x14ac:dyDescent="0.3">
      <c r="A654" s="2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 customHeight="1" x14ac:dyDescent="0.3">
      <c r="A655" s="2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 customHeight="1" x14ac:dyDescent="0.3">
      <c r="A656" s="2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 customHeight="1" x14ac:dyDescent="0.3">
      <c r="A657" s="2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 customHeight="1" x14ac:dyDescent="0.3">
      <c r="A658" s="2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 customHeight="1" x14ac:dyDescent="0.3">
      <c r="A659" s="2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 customHeight="1" x14ac:dyDescent="0.3">
      <c r="A660" s="2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 customHeight="1" x14ac:dyDescent="0.3">
      <c r="A661" s="2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 customHeight="1" x14ac:dyDescent="0.3">
      <c r="A662" s="2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 customHeight="1" x14ac:dyDescent="0.3">
      <c r="A663" s="2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 customHeight="1" x14ac:dyDescent="0.3">
      <c r="A664" s="2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 customHeight="1" x14ac:dyDescent="0.3">
      <c r="A665" s="2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 customHeight="1" x14ac:dyDescent="0.3">
      <c r="A666" s="2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 customHeight="1" x14ac:dyDescent="0.3">
      <c r="A667" s="2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 customHeight="1" x14ac:dyDescent="0.3">
      <c r="A668" s="2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 customHeight="1" x14ac:dyDescent="0.3">
      <c r="A669" s="2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 customHeight="1" x14ac:dyDescent="0.3">
      <c r="A670" s="2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 customHeight="1" x14ac:dyDescent="0.3">
      <c r="A671" s="2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 customHeight="1" x14ac:dyDescent="0.3">
      <c r="A672" s="2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 customHeight="1" x14ac:dyDescent="0.3">
      <c r="A673" s="2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 customHeight="1" x14ac:dyDescent="0.3">
      <c r="A674" s="2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 customHeight="1" x14ac:dyDescent="0.3">
      <c r="A675" s="2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 customHeight="1" x14ac:dyDescent="0.3">
      <c r="A676" s="2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 customHeight="1" x14ac:dyDescent="0.3">
      <c r="A677" s="2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 customHeight="1" x14ac:dyDescent="0.3">
      <c r="A678" s="2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 customHeight="1" x14ac:dyDescent="0.3">
      <c r="A679" s="2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 customHeight="1" x14ac:dyDescent="0.3">
      <c r="A680" s="2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 customHeight="1" x14ac:dyDescent="0.3">
      <c r="A681" s="2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 customHeight="1" x14ac:dyDescent="0.3">
      <c r="A682" s="2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 customHeight="1" x14ac:dyDescent="0.3">
      <c r="A683" s="2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 customHeight="1" x14ac:dyDescent="0.3">
      <c r="A684" s="2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 customHeight="1" x14ac:dyDescent="0.3">
      <c r="A685" s="2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 customHeight="1" x14ac:dyDescent="0.3">
      <c r="A686" s="2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 customHeight="1" x14ac:dyDescent="0.3">
      <c r="A687" s="2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 customHeight="1" x14ac:dyDescent="0.3">
      <c r="A688" s="2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 customHeight="1" x14ac:dyDescent="0.3">
      <c r="A689" s="2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 customHeight="1" x14ac:dyDescent="0.3">
      <c r="A690" s="2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 customHeight="1" x14ac:dyDescent="0.3">
      <c r="A691" s="2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 customHeight="1" x14ac:dyDescent="0.3">
      <c r="A692" s="2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 customHeight="1" x14ac:dyDescent="0.3">
      <c r="A693" s="2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 customHeight="1" x14ac:dyDescent="0.3">
      <c r="A694" s="2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 customHeight="1" x14ac:dyDescent="0.3">
      <c r="A695" s="2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 customHeight="1" x14ac:dyDescent="0.3">
      <c r="A696" s="2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 customHeight="1" x14ac:dyDescent="0.3">
      <c r="A697" s="2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 customHeight="1" x14ac:dyDescent="0.3">
      <c r="A698" s="2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 customHeight="1" x14ac:dyDescent="0.3">
      <c r="A699" s="2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 customHeight="1" x14ac:dyDescent="0.3">
      <c r="A700" s="2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 customHeight="1" x14ac:dyDescent="0.3">
      <c r="A701" s="2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 customHeight="1" x14ac:dyDescent="0.3">
      <c r="A702" s="2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 customHeight="1" x14ac:dyDescent="0.3">
      <c r="A703" s="2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 customHeight="1" x14ac:dyDescent="0.3">
      <c r="A704" s="2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 customHeight="1" x14ac:dyDescent="0.3">
      <c r="A705" s="2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 customHeight="1" x14ac:dyDescent="0.3">
      <c r="A706" s="2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 customHeight="1" x14ac:dyDescent="0.3">
      <c r="A707" s="2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 customHeight="1" x14ac:dyDescent="0.3">
      <c r="A708" s="2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 customHeight="1" x14ac:dyDescent="0.3">
      <c r="A709" s="2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 customHeight="1" x14ac:dyDescent="0.3">
      <c r="A710" s="2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 customHeight="1" x14ac:dyDescent="0.3">
      <c r="A711" s="2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 customHeight="1" x14ac:dyDescent="0.3">
      <c r="A712" s="2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 customHeight="1" x14ac:dyDescent="0.3">
      <c r="A713" s="2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 customHeight="1" x14ac:dyDescent="0.3">
      <c r="A714" s="2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 customHeight="1" x14ac:dyDescent="0.3">
      <c r="A715" s="2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 customHeight="1" x14ac:dyDescent="0.3">
      <c r="A716" s="2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 customHeight="1" x14ac:dyDescent="0.3">
      <c r="A717" s="2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 customHeight="1" x14ac:dyDescent="0.3">
      <c r="A718" s="2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 customHeight="1" x14ac:dyDescent="0.3">
      <c r="A719" s="2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 customHeight="1" x14ac:dyDescent="0.3">
      <c r="A720" s="2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 customHeight="1" x14ac:dyDescent="0.3">
      <c r="A721" s="2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 customHeight="1" x14ac:dyDescent="0.3">
      <c r="A722" s="2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 customHeight="1" x14ac:dyDescent="0.3">
      <c r="A723" s="2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 customHeight="1" x14ac:dyDescent="0.3">
      <c r="A724" s="2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 customHeight="1" x14ac:dyDescent="0.3">
      <c r="A725" s="2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 customHeight="1" x14ac:dyDescent="0.3">
      <c r="A726" s="2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 customHeight="1" x14ac:dyDescent="0.3">
      <c r="A727" s="2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 customHeight="1" x14ac:dyDescent="0.3">
      <c r="A728" s="2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 customHeight="1" x14ac:dyDescent="0.3">
      <c r="A729" s="2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 customHeight="1" x14ac:dyDescent="0.3">
      <c r="A730" s="2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 customHeight="1" x14ac:dyDescent="0.3">
      <c r="A731" s="2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 customHeight="1" x14ac:dyDescent="0.3">
      <c r="A732" s="2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 customHeight="1" x14ac:dyDescent="0.3">
      <c r="A733" s="2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 customHeight="1" x14ac:dyDescent="0.3">
      <c r="A734" s="2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 customHeight="1" x14ac:dyDescent="0.3">
      <c r="A735" s="2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 customHeight="1" x14ac:dyDescent="0.3">
      <c r="A736" s="2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 customHeight="1" x14ac:dyDescent="0.3">
      <c r="A737" s="2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 customHeight="1" x14ac:dyDescent="0.3">
      <c r="A738" s="2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 customHeight="1" x14ac:dyDescent="0.3">
      <c r="A739" s="2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 customHeight="1" x14ac:dyDescent="0.3">
      <c r="A740" s="2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 customHeight="1" x14ac:dyDescent="0.3">
      <c r="A741" s="2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 customHeight="1" x14ac:dyDescent="0.3">
      <c r="A742" s="2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 customHeight="1" x14ac:dyDescent="0.3">
      <c r="A743" s="2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 customHeight="1" x14ac:dyDescent="0.3">
      <c r="A744" s="2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 customHeight="1" x14ac:dyDescent="0.3">
      <c r="A745" s="2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 customHeight="1" x14ac:dyDescent="0.3">
      <c r="A746" s="2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 customHeight="1" x14ac:dyDescent="0.3">
      <c r="A747" s="2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 customHeight="1" x14ac:dyDescent="0.3">
      <c r="A748" s="2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 customHeight="1" x14ac:dyDescent="0.3">
      <c r="A749" s="2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 customHeight="1" x14ac:dyDescent="0.3">
      <c r="A750" s="2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 customHeight="1" x14ac:dyDescent="0.3">
      <c r="A751" s="2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 customHeight="1" x14ac:dyDescent="0.3">
      <c r="A752" s="2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 customHeight="1" x14ac:dyDescent="0.3">
      <c r="A753" s="2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 customHeight="1" x14ac:dyDescent="0.3">
      <c r="A754" s="2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 customHeight="1" x14ac:dyDescent="0.3">
      <c r="A755" s="2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 customHeight="1" x14ac:dyDescent="0.3">
      <c r="A756" s="2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 customHeight="1" x14ac:dyDescent="0.3">
      <c r="A757" s="2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 customHeight="1" x14ac:dyDescent="0.3">
      <c r="A758" s="2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 customHeight="1" x14ac:dyDescent="0.3">
      <c r="A759" s="2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 customHeight="1" x14ac:dyDescent="0.3">
      <c r="A760" s="2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 customHeight="1" x14ac:dyDescent="0.3">
      <c r="A761" s="2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 customHeight="1" x14ac:dyDescent="0.3">
      <c r="A762" s="2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 customHeight="1" x14ac:dyDescent="0.3">
      <c r="A763" s="2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 customHeight="1" x14ac:dyDescent="0.3">
      <c r="A764" s="2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 customHeight="1" x14ac:dyDescent="0.3">
      <c r="A765" s="2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 customHeight="1" x14ac:dyDescent="0.3">
      <c r="A766" s="2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 customHeight="1" x14ac:dyDescent="0.3">
      <c r="A767" s="2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 customHeight="1" x14ac:dyDescent="0.3">
      <c r="A768" s="2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 customHeight="1" x14ac:dyDescent="0.3">
      <c r="A769" s="2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 customHeight="1" x14ac:dyDescent="0.3">
      <c r="A770" s="2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 customHeight="1" x14ac:dyDescent="0.3">
      <c r="A771" s="2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 customHeight="1" x14ac:dyDescent="0.3">
      <c r="A772" s="2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 customHeight="1" x14ac:dyDescent="0.3">
      <c r="A773" s="2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 customHeight="1" x14ac:dyDescent="0.3">
      <c r="A774" s="2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 customHeight="1" x14ac:dyDescent="0.3">
      <c r="A775" s="2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 customHeight="1" x14ac:dyDescent="0.3">
      <c r="A776" s="2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 customHeight="1" x14ac:dyDescent="0.3">
      <c r="A777" s="2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 customHeight="1" x14ac:dyDescent="0.3">
      <c r="A778" s="2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 customHeight="1" x14ac:dyDescent="0.3">
      <c r="A779" s="2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 customHeight="1" x14ac:dyDescent="0.3">
      <c r="A780" s="2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 customHeight="1" x14ac:dyDescent="0.3">
      <c r="A781" s="2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 customHeight="1" x14ac:dyDescent="0.3">
      <c r="A782" s="2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 customHeight="1" x14ac:dyDescent="0.3">
      <c r="A783" s="2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 customHeight="1" x14ac:dyDescent="0.3">
      <c r="A784" s="2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 customHeight="1" x14ac:dyDescent="0.3">
      <c r="A785" s="2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 customHeight="1" x14ac:dyDescent="0.3">
      <c r="A786" s="2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 customHeight="1" x14ac:dyDescent="0.3">
      <c r="A787" s="2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 customHeight="1" x14ac:dyDescent="0.3">
      <c r="A788" s="2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 customHeight="1" x14ac:dyDescent="0.3">
      <c r="A789" s="2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 customHeight="1" x14ac:dyDescent="0.3">
      <c r="A790" s="2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 customHeight="1" x14ac:dyDescent="0.3">
      <c r="A791" s="2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 customHeight="1" x14ac:dyDescent="0.3">
      <c r="A792" s="2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 customHeight="1" x14ac:dyDescent="0.3">
      <c r="A793" s="2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 customHeight="1" x14ac:dyDescent="0.3">
      <c r="A794" s="2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 customHeight="1" x14ac:dyDescent="0.3">
      <c r="A795" s="2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 customHeight="1" x14ac:dyDescent="0.3">
      <c r="A796" s="2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 customHeight="1" x14ac:dyDescent="0.3">
      <c r="A797" s="2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 customHeight="1" x14ac:dyDescent="0.3">
      <c r="A798" s="2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 customHeight="1" x14ac:dyDescent="0.3">
      <c r="A799" s="2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 customHeight="1" x14ac:dyDescent="0.3">
      <c r="A800" s="2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 customHeight="1" x14ac:dyDescent="0.3">
      <c r="A801" s="2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 customHeight="1" x14ac:dyDescent="0.3">
      <c r="A802" s="2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 customHeight="1" x14ac:dyDescent="0.3">
      <c r="A803" s="2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 customHeight="1" x14ac:dyDescent="0.3">
      <c r="A804" s="2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 customHeight="1" x14ac:dyDescent="0.3">
      <c r="A805" s="2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 customHeight="1" x14ac:dyDescent="0.3">
      <c r="A806" s="2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 customHeight="1" x14ac:dyDescent="0.3">
      <c r="A807" s="2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 customHeight="1" x14ac:dyDescent="0.3">
      <c r="A808" s="2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 customHeight="1" x14ac:dyDescent="0.3">
      <c r="A809" s="2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 customHeight="1" x14ac:dyDescent="0.3">
      <c r="A810" s="2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 customHeight="1" x14ac:dyDescent="0.3">
      <c r="A811" s="2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 customHeight="1" x14ac:dyDescent="0.3">
      <c r="A812" s="2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 customHeight="1" x14ac:dyDescent="0.3">
      <c r="A813" s="2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 customHeight="1" x14ac:dyDescent="0.3">
      <c r="A814" s="2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 customHeight="1" x14ac:dyDescent="0.3">
      <c r="A815" s="2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 customHeight="1" x14ac:dyDescent="0.3">
      <c r="A816" s="2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 customHeight="1" x14ac:dyDescent="0.3">
      <c r="A817" s="2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 customHeight="1" x14ac:dyDescent="0.3">
      <c r="A818" s="2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 customHeight="1" x14ac:dyDescent="0.3">
      <c r="A819" s="2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 customHeight="1" x14ac:dyDescent="0.3">
      <c r="A820" s="2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 customHeight="1" x14ac:dyDescent="0.3">
      <c r="A821" s="2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 customHeight="1" x14ac:dyDescent="0.3">
      <c r="A822" s="2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 customHeight="1" x14ac:dyDescent="0.3">
      <c r="A823" s="2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 customHeight="1" x14ac:dyDescent="0.3">
      <c r="A824" s="2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 customHeight="1" x14ac:dyDescent="0.3">
      <c r="A825" s="2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 customHeight="1" x14ac:dyDescent="0.3">
      <c r="A826" s="2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 customHeight="1" x14ac:dyDescent="0.3">
      <c r="A827" s="2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 customHeight="1" x14ac:dyDescent="0.3">
      <c r="A828" s="2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 customHeight="1" x14ac:dyDescent="0.3">
      <c r="A829" s="2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 customHeight="1" x14ac:dyDescent="0.3">
      <c r="A830" s="2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 customHeight="1" x14ac:dyDescent="0.3">
      <c r="A831" s="2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 customHeight="1" x14ac:dyDescent="0.3">
      <c r="A832" s="2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 customHeight="1" x14ac:dyDescent="0.3">
      <c r="A833" s="2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 customHeight="1" x14ac:dyDescent="0.3">
      <c r="A834" s="2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 customHeight="1" x14ac:dyDescent="0.3">
      <c r="A835" s="2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 customHeight="1" x14ac:dyDescent="0.3">
      <c r="A836" s="2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 customHeight="1" x14ac:dyDescent="0.3">
      <c r="A837" s="2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 customHeight="1" x14ac:dyDescent="0.3">
      <c r="A838" s="2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 customHeight="1" x14ac:dyDescent="0.3">
      <c r="A839" s="2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 customHeight="1" x14ac:dyDescent="0.3">
      <c r="A840" s="2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 customHeight="1" x14ac:dyDescent="0.3">
      <c r="A841" s="2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 customHeight="1" x14ac:dyDescent="0.3">
      <c r="A842" s="2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 customHeight="1" x14ac:dyDescent="0.3">
      <c r="A843" s="2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 customHeight="1" x14ac:dyDescent="0.3">
      <c r="A844" s="2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 customHeight="1" x14ac:dyDescent="0.3">
      <c r="A845" s="2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 customHeight="1" x14ac:dyDescent="0.3">
      <c r="A846" s="2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 customHeight="1" x14ac:dyDescent="0.3">
      <c r="A847" s="2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 customHeight="1" x14ac:dyDescent="0.3">
      <c r="A848" s="2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 customHeight="1" x14ac:dyDescent="0.3">
      <c r="A849" s="2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 customHeight="1" x14ac:dyDescent="0.3">
      <c r="A850" s="2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 customHeight="1" x14ac:dyDescent="0.3">
      <c r="A851" s="2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 customHeight="1" x14ac:dyDescent="0.3">
      <c r="A852" s="2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 customHeight="1" x14ac:dyDescent="0.3">
      <c r="A853" s="2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 customHeight="1" x14ac:dyDescent="0.3">
      <c r="A854" s="2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 customHeight="1" x14ac:dyDescent="0.3">
      <c r="A855" s="2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 customHeight="1" x14ac:dyDescent="0.3">
      <c r="A856" s="2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 customHeight="1" x14ac:dyDescent="0.3">
      <c r="A857" s="2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 customHeight="1" x14ac:dyDescent="0.3">
      <c r="A858" s="2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 customHeight="1" x14ac:dyDescent="0.3">
      <c r="A859" s="2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 customHeight="1" x14ac:dyDescent="0.3">
      <c r="A860" s="2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 customHeight="1" x14ac:dyDescent="0.3">
      <c r="A861" s="2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 customHeight="1" x14ac:dyDescent="0.3">
      <c r="A862" s="2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 customHeight="1" x14ac:dyDescent="0.3">
      <c r="A863" s="2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 customHeight="1" x14ac:dyDescent="0.3">
      <c r="A864" s="2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 customHeight="1" x14ac:dyDescent="0.3">
      <c r="A865" s="2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 customHeight="1" x14ac:dyDescent="0.3">
      <c r="A866" s="2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 customHeight="1" x14ac:dyDescent="0.3">
      <c r="A867" s="2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 customHeight="1" x14ac:dyDescent="0.3">
      <c r="A868" s="2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 customHeight="1" x14ac:dyDescent="0.3">
      <c r="A869" s="2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 customHeight="1" x14ac:dyDescent="0.3">
      <c r="A870" s="2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 customHeight="1" x14ac:dyDescent="0.3">
      <c r="A871" s="2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 customHeight="1" x14ac:dyDescent="0.3">
      <c r="A872" s="2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 customHeight="1" x14ac:dyDescent="0.3">
      <c r="A873" s="2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 customHeight="1" x14ac:dyDescent="0.3">
      <c r="A874" s="2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 customHeight="1" x14ac:dyDescent="0.3">
      <c r="A875" s="2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 customHeight="1" x14ac:dyDescent="0.3">
      <c r="A876" s="2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 customHeight="1" x14ac:dyDescent="0.3">
      <c r="A877" s="2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 customHeight="1" x14ac:dyDescent="0.3">
      <c r="A878" s="2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 customHeight="1" x14ac:dyDescent="0.3">
      <c r="A879" s="2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 customHeight="1" x14ac:dyDescent="0.3">
      <c r="A880" s="2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 customHeight="1" x14ac:dyDescent="0.3">
      <c r="A881" s="2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 customHeight="1" x14ac:dyDescent="0.3">
      <c r="A882" s="2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 customHeight="1" x14ac:dyDescent="0.3">
      <c r="A883" s="2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 customHeight="1" x14ac:dyDescent="0.3">
      <c r="A884" s="2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 customHeight="1" x14ac:dyDescent="0.3">
      <c r="A885" s="2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 customHeight="1" x14ac:dyDescent="0.3">
      <c r="A886" s="2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 customHeight="1" x14ac:dyDescent="0.3">
      <c r="A887" s="2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 customHeight="1" x14ac:dyDescent="0.3">
      <c r="A888" s="2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 customHeight="1" x14ac:dyDescent="0.3">
      <c r="A889" s="2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 customHeight="1" x14ac:dyDescent="0.3">
      <c r="A890" s="2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 customHeight="1" x14ac:dyDescent="0.3">
      <c r="A891" s="2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 customHeight="1" x14ac:dyDescent="0.3">
      <c r="A892" s="2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 customHeight="1" x14ac:dyDescent="0.3">
      <c r="A893" s="2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 customHeight="1" x14ac:dyDescent="0.3">
      <c r="A894" s="2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 customHeight="1" x14ac:dyDescent="0.3">
      <c r="A895" s="2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 customHeight="1" x14ac:dyDescent="0.3">
      <c r="A896" s="2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 customHeight="1" x14ac:dyDescent="0.3">
      <c r="A897" s="2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 customHeight="1" x14ac:dyDescent="0.3">
      <c r="A898" s="2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 customHeight="1" x14ac:dyDescent="0.3">
      <c r="A899" s="2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 customHeight="1" x14ac:dyDescent="0.3">
      <c r="A900" s="2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 customHeight="1" x14ac:dyDescent="0.3">
      <c r="A901" s="2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 customHeight="1" x14ac:dyDescent="0.3">
      <c r="A902" s="2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 customHeight="1" x14ac:dyDescent="0.3">
      <c r="A903" s="2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 customHeight="1" x14ac:dyDescent="0.3">
      <c r="A904" s="2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 customHeight="1" x14ac:dyDescent="0.3">
      <c r="A905" s="2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 customHeight="1" x14ac:dyDescent="0.3">
      <c r="A906" s="2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 customHeight="1" x14ac:dyDescent="0.3">
      <c r="A907" s="2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 customHeight="1" x14ac:dyDescent="0.3">
      <c r="A908" s="2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 customHeight="1" x14ac:dyDescent="0.3">
      <c r="A909" s="2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 customHeight="1" x14ac:dyDescent="0.3">
      <c r="A910" s="2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 customHeight="1" x14ac:dyDescent="0.3">
      <c r="A911" s="2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 customHeight="1" x14ac:dyDescent="0.3">
      <c r="A912" s="2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 customHeight="1" x14ac:dyDescent="0.3">
      <c r="A913" s="2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 customHeight="1" x14ac:dyDescent="0.3">
      <c r="A914" s="2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 customHeight="1" x14ac:dyDescent="0.3">
      <c r="A915" s="2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 customHeight="1" x14ac:dyDescent="0.3">
      <c r="A916" s="2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 customHeight="1" x14ac:dyDescent="0.3">
      <c r="A917" s="2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 customHeight="1" x14ac:dyDescent="0.3">
      <c r="A918" s="2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 customHeight="1" x14ac:dyDescent="0.3">
      <c r="A919" s="2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 customHeight="1" x14ac:dyDescent="0.3">
      <c r="A920" s="2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 customHeight="1" x14ac:dyDescent="0.3">
      <c r="A921" s="2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 customHeight="1" x14ac:dyDescent="0.3">
      <c r="A922" s="2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 customHeight="1" x14ac:dyDescent="0.3">
      <c r="A923" s="2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 customHeight="1" x14ac:dyDescent="0.3">
      <c r="A924" s="2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 customHeight="1" x14ac:dyDescent="0.3">
      <c r="A925" s="2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 customHeight="1" x14ac:dyDescent="0.3">
      <c r="A926" s="2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 customHeight="1" x14ac:dyDescent="0.3">
      <c r="A927" s="2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 customHeight="1" x14ac:dyDescent="0.3">
      <c r="A928" s="2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 customHeight="1" x14ac:dyDescent="0.3">
      <c r="A929" s="2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 customHeight="1" x14ac:dyDescent="0.3">
      <c r="A930" s="2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 customHeight="1" x14ac:dyDescent="0.3">
      <c r="A931" s="2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 customHeight="1" x14ac:dyDescent="0.3">
      <c r="A932" s="2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 customHeight="1" x14ac:dyDescent="0.3">
      <c r="A933" s="2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 customHeight="1" x14ac:dyDescent="0.3">
      <c r="A934" s="2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 customHeight="1" x14ac:dyDescent="0.3">
      <c r="A935" s="2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 customHeight="1" x14ac:dyDescent="0.3">
      <c r="A936" s="2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 customHeight="1" x14ac:dyDescent="0.3">
      <c r="A937" s="2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 customHeight="1" x14ac:dyDescent="0.3">
      <c r="A938" s="2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 customHeight="1" x14ac:dyDescent="0.3">
      <c r="A939" s="2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 customHeight="1" x14ac:dyDescent="0.3">
      <c r="A940" s="2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 customHeight="1" x14ac:dyDescent="0.3">
      <c r="A941" s="2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 customHeight="1" x14ac:dyDescent="0.3">
      <c r="A942" s="2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 customHeight="1" x14ac:dyDescent="0.3">
      <c r="A943" s="2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 customHeight="1" x14ac:dyDescent="0.3">
      <c r="A944" s="2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 customHeight="1" x14ac:dyDescent="0.3">
      <c r="A945" s="2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 customHeight="1" x14ac:dyDescent="0.3">
      <c r="A946" s="2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 customHeight="1" x14ac:dyDescent="0.3">
      <c r="A947" s="2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 customHeight="1" x14ac:dyDescent="0.3">
      <c r="A948" s="2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 customHeight="1" x14ac:dyDescent="0.3">
      <c r="A949" s="2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 customHeight="1" x14ac:dyDescent="0.3">
      <c r="A950" s="2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 customHeight="1" x14ac:dyDescent="0.3">
      <c r="A951" s="2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 customHeight="1" x14ac:dyDescent="0.3">
      <c r="A952" s="2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 customHeight="1" x14ac:dyDescent="0.3">
      <c r="A953" s="2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 customHeight="1" x14ac:dyDescent="0.3">
      <c r="A954" s="2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 customHeight="1" x14ac:dyDescent="0.3">
      <c r="A955" s="2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 customHeight="1" x14ac:dyDescent="0.3">
      <c r="A956" s="2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 customHeight="1" x14ac:dyDescent="0.3">
      <c r="A957" s="2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 customHeight="1" x14ac:dyDescent="0.3">
      <c r="A958" s="2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 customHeight="1" x14ac:dyDescent="0.3">
      <c r="A959" s="2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 customHeight="1" x14ac:dyDescent="0.3">
      <c r="A960" s="2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 customHeight="1" x14ac:dyDescent="0.3">
      <c r="A961" s="2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 customHeight="1" x14ac:dyDescent="0.3">
      <c r="A962" s="2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 customHeight="1" x14ac:dyDescent="0.3">
      <c r="A963" s="2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 customHeight="1" x14ac:dyDescent="0.3">
      <c r="A964" s="2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 customHeight="1" x14ac:dyDescent="0.3">
      <c r="A965" s="2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 customHeight="1" x14ac:dyDescent="0.3">
      <c r="A966" s="2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 customHeight="1" x14ac:dyDescent="0.3">
      <c r="A967" s="2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 customHeight="1" x14ac:dyDescent="0.3">
      <c r="A968" s="2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 customHeight="1" x14ac:dyDescent="0.3">
      <c r="A969" s="2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 customHeight="1" x14ac:dyDescent="0.3">
      <c r="A970" s="2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 customHeight="1" x14ac:dyDescent="0.3">
      <c r="A971" s="2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 customHeight="1" x14ac:dyDescent="0.3">
      <c r="A972" s="2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 customHeight="1" x14ac:dyDescent="0.3">
      <c r="A973" s="2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 customHeight="1" x14ac:dyDescent="0.3">
      <c r="A974" s="2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 customHeight="1" x14ac:dyDescent="0.3">
      <c r="A975" s="2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 customHeight="1" x14ac:dyDescent="0.3">
      <c r="A976" s="2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 customHeight="1" x14ac:dyDescent="0.3">
      <c r="A977" s="2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 customHeight="1" x14ac:dyDescent="0.3">
      <c r="A978" s="2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 customHeight="1" x14ac:dyDescent="0.3">
      <c r="A979" s="2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 customHeight="1" x14ac:dyDescent="0.3">
      <c r="A980" s="2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 customHeight="1" x14ac:dyDescent="0.3">
      <c r="A981" s="2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 customHeight="1" x14ac:dyDescent="0.3">
      <c r="A982" s="2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 customHeight="1" x14ac:dyDescent="0.3">
      <c r="A983" s="2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 customHeight="1" x14ac:dyDescent="0.3">
      <c r="A984" s="2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 customHeight="1" x14ac:dyDescent="0.3">
      <c r="A985" s="2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 customHeight="1" x14ac:dyDescent="0.3">
      <c r="A986" s="2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 customHeight="1" x14ac:dyDescent="0.3">
      <c r="A987" s="2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 customHeight="1" x14ac:dyDescent="0.3">
      <c r="A988" s="2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 customHeight="1" x14ac:dyDescent="0.3">
      <c r="A989" s="2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 customHeight="1" x14ac:dyDescent="0.3">
      <c r="A990" s="2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 customHeight="1" x14ac:dyDescent="0.3">
      <c r="A991" s="2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 customHeight="1" x14ac:dyDescent="0.3">
      <c r="A992" s="2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 customHeight="1" x14ac:dyDescent="0.3">
      <c r="A993" s="2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 customHeight="1" x14ac:dyDescent="0.3">
      <c r="A994" s="2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 customHeight="1" x14ac:dyDescent="0.3">
      <c r="A995" s="2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 customHeight="1" x14ac:dyDescent="0.3">
      <c r="A996" s="2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 customHeight="1" x14ac:dyDescent="0.3">
      <c r="A997" s="2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 customHeight="1" x14ac:dyDescent="0.3">
      <c r="A998" s="2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 customHeight="1" x14ac:dyDescent="0.3">
      <c r="A999" s="2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 customHeight="1" x14ac:dyDescent="0.3">
      <c r="A1000" s="27"/>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7">
    <mergeCell ref="L1:P1"/>
    <mergeCell ref="Q1:U1"/>
    <mergeCell ref="A1:A2"/>
    <mergeCell ref="B1:D1"/>
    <mergeCell ref="E1:E2"/>
    <mergeCell ref="F1:F2"/>
    <mergeCell ref="G1:K1"/>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xSplit="1" ySplit="2" topLeftCell="B3" activePane="bottomRight" state="frozen"/>
      <selection pane="topRight" activeCell="B1" sqref="B1"/>
      <selection pane="bottomLeft" activeCell="A3" sqref="A3"/>
      <selection pane="bottomRight" sqref="A1:A2"/>
    </sheetView>
  </sheetViews>
  <sheetFormatPr defaultColWidth="12.6640625" defaultRowHeight="15" customHeight="1" x14ac:dyDescent="0.3"/>
  <cols>
    <col min="1" max="1" width="25.75" style="30" bestFit="1" customWidth="1"/>
    <col min="2" max="6" width="12.6640625" style="13" customWidth="1"/>
    <col min="7" max="7" width="13.1640625" style="13" customWidth="1"/>
    <col min="8" max="8" width="13.25" style="13" customWidth="1"/>
    <col min="9" max="11" width="10.5" style="13" customWidth="1"/>
    <col min="12" max="26" width="12.6640625" style="13" customWidth="1"/>
    <col min="27" max="16384" width="12.6640625" style="13"/>
  </cols>
  <sheetData>
    <row r="1" spans="1:26" ht="15" customHeight="1" x14ac:dyDescent="0.3">
      <c r="A1" s="37" t="s">
        <v>74</v>
      </c>
      <c r="B1" s="39" t="s">
        <v>24</v>
      </c>
      <c r="C1" s="35"/>
      <c r="D1" s="36"/>
      <c r="E1" s="34" t="s">
        <v>16</v>
      </c>
      <c r="F1" s="34" t="s">
        <v>25</v>
      </c>
      <c r="G1" s="34" t="s">
        <v>26</v>
      </c>
      <c r="H1" s="35"/>
      <c r="I1" s="35"/>
      <c r="J1" s="35"/>
      <c r="K1" s="36"/>
      <c r="L1" s="34" t="s">
        <v>75</v>
      </c>
      <c r="M1" s="35"/>
      <c r="N1" s="35"/>
      <c r="O1" s="35"/>
      <c r="P1" s="36"/>
      <c r="Q1" s="34" t="s">
        <v>28</v>
      </c>
      <c r="R1" s="35"/>
      <c r="S1" s="35"/>
      <c r="T1" s="35"/>
      <c r="U1" s="36"/>
      <c r="V1" s="12"/>
      <c r="W1" s="12"/>
      <c r="X1" s="12"/>
      <c r="Y1" s="12"/>
      <c r="Z1" s="12"/>
    </row>
    <row r="2" spans="1:26" ht="15" customHeight="1" x14ac:dyDescent="0.3">
      <c r="A2" s="38"/>
      <c r="B2" s="14" t="s">
        <v>29</v>
      </c>
      <c r="C2" s="15" t="s">
        <v>30</v>
      </c>
      <c r="D2" s="15" t="s">
        <v>31</v>
      </c>
      <c r="E2" s="36"/>
      <c r="F2" s="36"/>
      <c r="G2" s="15" t="s">
        <v>32</v>
      </c>
      <c r="H2" s="15" t="s">
        <v>33</v>
      </c>
      <c r="I2" s="15" t="s">
        <v>19</v>
      </c>
      <c r="J2" s="15" t="s">
        <v>20</v>
      </c>
      <c r="K2" s="15" t="s">
        <v>21</v>
      </c>
      <c r="L2" s="15" t="s">
        <v>32</v>
      </c>
      <c r="M2" s="15" t="s">
        <v>33</v>
      </c>
      <c r="N2" s="15" t="s">
        <v>19</v>
      </c>
      <c r="O2" s="15" t="s">
        <v>20</v>
      </c>
      <c r="P2" s="15" t="s">
        <v>21</v>
      </c>
      <c r="Q2" s="15" t="s">
        <v>32</v>
      </c>
      <c r="R2" s="15" t="s">
        <v>33</v>
      </c>
      <c r="S2" s="15" t="s">
        <v>19</v>
      </c>
      <c r="T2" s="15" t="s">
        <v>20</v>
      </c>
      <c r="U2" s="15" t="s">
        <v>21</v>
      </c>
      <c r="V2" s="12"/>
      <c r="W2" s="12"/>
      <c r="X2" s="12"/>
      <c r="Y2" s="12"/>
      <c r="Z2" s="12"/>
    </row>
    <row r="3" spans="1:26" ht="15" customHeight="1" x14ac:dyDescent="0.3">
      <c r="A3" s="26" t="s">
        <v>76</v>
      </c>
      <c r="B3" s="17">
        <v>16</v>
      </c>
      <c r="C3" s="17">
        <v>7.7</v>
      </c>
      <c r="D3" s="17">
        <v>12.5</v>
      </c>
      <c r="E3" s="17" t="s">
        <v>35</v>
      </c>
      <c r="F3" s="22">
        <v>340</v>
      </c>
      <c r="G3" s="17">
        <f>SQRT((4*(HSP!$B$2-$B3)^2+(HSP!$C$2-$C3)^2+(HSP!$D$2-$D3)^2))</f>
        <v>6.7770199940681897</v>
      </c>
      <c r="H3" s="17">
        <f>SQRT((4*(HSP!$B$3-$B3)^2+(HSP!$C$3-$C3)^2+(HSP!$D$3-$D3)^2))</f>
        <v>6.9891630400213156</v>
      </c>
      <c r="I3" s="17">
        <f>SQRT((4*(HSP!$B$4-$B3)^2+(HSP!$C$4-$C3)^2+(HSP!$D$4-$D3)^2))</f>
        <v>6.6607807350189816</v>
      </c>
      <c r="J3" s="17">
        <f>SQRT((4*(HSP!$B$5-$B3)^2+(HSP!$C$5-$C3)^2+(HSP!$D$5-$D3)^2))</f>
        <v>5.4586536801669334</v>
      </c>
      <c r="K3" s="17">
        <f>SQRT((4*(HSP!$B$6-$B3)^2+(HSP!$C$6-$C3)^2+(HSP!$D$6-$D3)^2))</f>
        <v>8.8638027956402556</v>
      </c>
      <c r="L3" s="17" t="s">
        <v>35</v>
      </c>
      <c r="M3" s="17" t="s">
        <v>35</v>
      </c>
      <c r="N3" s="17" t="s">
        <v>35</v>
      </c>
      <c r="O3" s="17" t="s">
        <v>35</v>
      </c>
      <c r="P3" s="17" t="s">
        <v>35</v>
      </c>
      <c r="Q3" s="17">
        <f>$G3/HSP!$E$2</f>
        <v>0.41576809779559443</v>
      </c>
      <c r="R3" s="17">
        <f>$H3/HSP!$E$3</f>
        <v>0.51771578074231972</v>
      </c>
      <c r="S3" s="17">
        <f>$I3/HSP!$E$4</f>
        <v>0.41891702735968439</v>
      </c>
      <c r="T3" s="17">
        <f>$J3/HSP!$E$5</f>
        <v>0.39844187446473966</v>
      </c>
      <c r="U3" s="17">
        <f>$K3/HSP!$E$6</f>
        <v>0.59890559430001722</v>
      </c>
      <c r="V3" s="12"/>
      <c r="W3" s="12"/>
      <c r="X3" s="12"/>
      <c r="Y3" s="12"/>
      <c r="Z3" s="12"/>
    </row>
    <row r="4" spans="1:26" ht="15" customHeight="1" x14ac:dyDescent="0.3">
      <c r="A4" s="26" t="s">
        <v>77</v>
      </c>
      <c r="B4" s="17">
        <v>16.100000000000001</v>
      </c>
      <c r="C4" s="17">
        <v>9.4</v>
      </c>
      <c r="D4" s="17">
        <v>24.2</v>
      </c>
      <c r="E4" s="17" t="s">
        <v>35</v>
      </c>
      <c r="F4" s="22">
        <v>106.3</v>
      </c>
      <c r="G4" s="17">
        <f>SQRT((4*(HSP!$B$2-$B4)^2+(HSP!$C$2-$C4)^2+(HSP!$D$2-$D4)^2))</f>
        <v>17.511481947568001</v>
      </c>
      <c r="H4" s="17">
        <f>SQRT((4*(HSP!$B$3-$B4)^2+(HSP!$C$3-$C4)^2+(HSP!$D$3-$D4)^2))</f>
        <v>18.40011956482892</v>
      </c>
      <c r="I4" s="17">
        <f>SQRT((4*(HSP!$B$4-$B4)^2+(HSP!$C$4-$C4)^2+(HSP!$D$4-$D4)^2))</f>
        <v>18.124513786581971</v>
      </c>
      <c r="J4" s="17">
        <f>SQRT((4*(HSP!$B$5-$B4)^2+(HSP!$C$5-$C4)^2+(HSP!$D$5-$D4)^2))</f>
        <v>13.779365007140205</v>
      </c>
      <c r="K4" s="17">
        <f>SQRT((4*(HSP!$B$6-$B4)^2+(HSP!$C$6-$C4)^2+(HSP!$D$6-$D4)^2))</f>
        <v>20.632474403231424</v>
      </c>
      <c r="L4" s="17" t="s">
        <v>35</v>
      </c>
      <c r="M4" s="17" t="s">
        <v>35</v>
      </c>
      <c r="N4" s="17" t="s">
        <v>35</v>
      </c>
      <c r="O4" s="17" t="s">
        <v>35</v>
      </c>
      <c r="P4" s="17" t="s">
        <v>35</v>
      </c>
      <c r="Q4" s="17">
        <f>$G4/HSP!$E$2</f>
        <v>1.0743240458630674</v>
      </c>
      <c r="R4" s="17">
        <f>$H4/HSP!$E$3</f>
        <v>1.3629718196169571</v>
      </c>
      <c r="S4" s="17">
        <f>$I4/HSP!$E$4</f>
        <v>1.1399065274579856</v>
      </c>
      <c r="T4" s="17">
        <f>$J4/HSP!$E$5</f>
        <v>1.0057930662146135</v>
      </c>
      <c r="U4" s="17">
        <f>$K4/HSP!$E$6</f>
        <v>1.3940861083264475</v>
      </c>
      <c r="V4" s="12"/>
      <c r="W4" s="12"/>
      <c r="X4" s="12"/>
      <c r="Y4" s="12"/>
      <c r="Z4" s="12"/>
    </row>
    <row r="5" spans="1:26" ht="15" customHeight="1" x14ac:dyDescent="0.3">
      <c r="A5" s="26" t="s">
        <v>78</v>
      </c>
      <c r="B5" s="17">
        <v>16.3</v>
      </c>
      <c r="C5" s="17">
        <v>3.8</v>
      </c>
      <c r="D5" s="17">
        <v>5.9</v>
      </c>
      <c r="E5" s="17" t="s">
        <v>35</v>
      </c>
      <c r="F5" s="22">
        <v>396.2</v>
      </c>
      <c r="G5" s="17">
        <f>SQRT((4*(HSP!$B$2-$B5)^2+(HSP!$C$2-$C5)^2+(HSP!$D$2-$D5)^2))</f>
        <v>7.5552630662340299</v>
      </c>
      <c r="H5" s="17">
        <f>SQRT((4*(HSP!$B$3-$B5)^2+(HSP!$C$3-$C5)^2+(HSP!$D$3-$D5)^2))</f>
        <v>5.9861840933937209</v>
      </c>
      <c r="I5" s="17">
        <f>SQRT((4*(HSP!$B$4-$B5)^2+(HSP!$C$4-$C5)^2+(HSP!$D$4-$D5)^2))</f>
        <v>2.5868900247208049</v>
      </c>
      <c r="J5" s="17">
        <f>SQRT((4*(HSP!$B$5-$B5)^2+(HSP!$C$5-$C5)^2+(HSP!$D$5-$D5)^2))</f>
        <v>10.445616305417314</v>
      </c>
      <c r="K5" s="17">
        <f>SQRT((4*(HSP!$B$6-$B5)^2+(HSP!$C$6-$C5)^2+(HSP!$D$6-$D5)^2))</f>
        <v>3.9195663025390974</v>
      </c>
      <c r="L5" s="17" t="s">
        <v>35</v>
      </c>
      <c r="M5" s="17" t="s">
        <v>35</v>
      </c>
      <c r="N5" s="17" t="s">
        <v>35</v>
      </c>
      <c r="O5" s="17" t="s">
        <v>35</v>
      </c>
      <c r="P5" s="17" t="s">
        <v>35</v>
      </c>
      <c r="Q5" s="17">
        <f>$G5/HSP!$E$2</f>
        <v>0.46351307154809995</v>
      </c>
      <c r="R5" s="17">
        <f>$H5/HSP!$E$3</f>
        <v>0.44342104395509047</v>
      </c>
      <c r="S5" s="17">
        <f>$I5/HSP!$E$4</f>
        <v>0.16269748583149715</v>
      </c>
      <c r="T5" s="17">
        <f>$J5/HSP!$E$5</f>
        <v>0.76245374492097184</v>
      </c>
      <c r="U5" s="17">
        <f>$K5/HSP!$E$6</f>
        <v>0.26483556098237143</v>
      </c>
      <c r="V5" s="12"/>
      <c r="W5" s="12"/>
      <c r="X5" s="12"/>
      <c r="Y5" s="12"/>
      <c r="Z5" s="12"/>
    </row>
    <row r="6" spans="1:26" ht="15" customHeight="1" x14ac:dyDescent="0.3">
      <c r="A6" s="26" t="s">
        <v>79</v>
      </c>
      <c r="B6" s="17">
        <v>16.5</v>
      </c>
      <c r="C6" s="17">
        <v>6</v>
      </c>
      <c r="D6" s="17">
        <v>9.6</v>
      </c>
      <c r="E6" s="17" t="s">
        <v>35</v>
      </c>
      <c r="F6" s="22">
        <v>304.5</v>
      </c>
      <c r="G6" s="17">
        <f>SQRT((4*(HSP!$B$2-$B6)^2+(HSP!$C$2-$C6)^2+(HSP!$D$2-$D6)^2))</f>
        <v>6.4184110183128666</v>
      </c>
      <c r="H6" s="17">
        <f>SQRT((4*(HSP!$B$3-$B6)^2+(HSP!$C$3-$C6)^2+(HSP!$D$3-$D6)^2))</f>
        <v>5.5053065309753642</v>
      </c>
      <c r="I6" s="17">
        <f>SQRT((4*(HSP!$B$4-$B6)^2+(HSP!$C$4-$C6)^2+(HSP!$D$4-$D6)^2))</f>
        <v>4.0814213210596133</v>
      </c>
      <c r="J6" s="17">
        <f>SQRT((4*(HSP!$B$5-$B6)^2+(HSP!$C$5-$C6)^2+(HSP!$D$5-$D6)^2))</f>
        <v>7.2786605910703113</v>
      </c>
      <c r="K6" s="17">
        <f>SQRT((4*(HSP!$B$6-$B6)^2+(HSP!$C$6-$C6)^2+(HSP!$D$6-$D6)^2))</f>
        <v>6.2688914490522167</v>
      </c>
      <c r="L6" s="17" t="s">
        <v>35</v>
      </c>
      <c r="M6" s="17" t="s">
        <v>35</v>
      </c>
      <c r="N6" s="17" t="s">
        <v>35</v>
      </c>
      <c r="O6" s="17" t="s">
        <v>35</v>
      </c>
      <c r="P6" s="17" t="s">
        <v>35</v>
      </c>
      <c r="Q6" s="17">
        <f>$G6/HSP!$E$2</f>
        <v>0.39376754713575868</v>
      </c>
      <c r="R6" s="17">
        <f>$H6/HSP!$E$3</f>
        <v>0.4078004837759529</v>
      </c>
      <c r="S6" s="17">
        <f>$I6/HSP!$E$4</f>
        <v>0.25669316484651655</v>
      </c>
      <c r="T6" s="17">
        <f>$J6/HSP!$E$5</f>
        <v>0.53128909423870885</v>
      </c>
      <c r="U6" s="17">
        <f>$K6/HSP!$E$6</f>
        <v>0.42357374655758218</v>
      </c>
      <c r="V6" s="12"/>
      <c r="W6" s="12"/>
      <c r="X6" s="12"/>
      <c r="Y6" s="12"/>
      <c r="Z6" s="12"/>
    </row>
    <row r="7" spans="1:26" ht="15" customHeight="1" x14ac:dyDescent="0.3">
      <c r="A7" s="26" t="s">
        <v>80</v>
      </c>
      <c r="B7" s="17">
        <v>16.100000000000001</v>
      </c>
      <c r="C7" s="17">
        <v>5.8</v>
      </c>
      <c r="D7" s="17">
        <v>13.9</v>
      </c>
      <c r="E7" s="17" t="s">
        <v>35</v>
      </c>
      <c r="F7" s="22">
        <v>156.9</v>
      </c>
      <c r="G7" s="17">
        <f>SQRT((4*(HSP!$B$2-$B7)^2+(HSP!$C$2-$C7)^2+(HSP!$D$2-$D7)^2))</f>
        <v>8.8657768977117861</v>
      </c>
      <c r="H7" s="17">
        <f>SQRT((4*(HSP!$B$3-$B7)^2+(HSP!$C$3-$C7)^2+(HSP!$D$3-$D7)^2))</f>
        <v>8.9921298923002677</v>
      </c>
      <c r="I7" s="17">
        <f>SQRT((4*(HSP!$B$4-$B7)^2+(HSP!$C$4-$C7)^2+(HSP!$D$4-$D7)^2))</f>
        <v>7.4245538586503645</v>
      </c>
      <c r="J7" s="17">
        <f>SQRT((4*(HSP!$B$5-$B7)^2+(HSP!$C$5-$C7)^2+(HSP!$D$5-$D7)^2))</f>
        <v>7.7112190994679972</v>
      </c>
      <c r="K7" s="17">
        <f>SQRT((4*(HSP!$B$6-$B7)^2+(HSP!$C$6-$C7)^2+(HSP!$D$6-$D7)^2))</f>
        <v>10.205635697985699</v>
      </c>
      <c r="L7" s="17" t="s">
        <v>35</v>
      </c>
      <c r="M7" s="17" t="s">
        <v>35</v>
      </c>
      <c r="N7" s="17" t="s">
        <v>35</v>
      </c>
      <c r="O7" s="17" t="s">
        <v>35</v>
      </c>
      <c r="P7" s="17" t="s">
        <v>35</v>
      </c>
      <c r="Q7" s="17">
        <f>$G7/HSP!$E$2</f>
        <v>0.54391269311115253</v>
      </c>
      <c r="R7" s="17">
        <f>$H7/HSP!$E$3</f>
        <v>0.66608369572594572</v>
      </c>
      <c r="S7" s="17">
        <f>$I7/HSP!$E$4</f>
        <v>0.46695307287109211</v>
      </c>
      <c r="T7" s="17">
        <f>$J7/HSP!$E$5</f>
        <v>0.56286270799036475</v>
      </c>
      <c r="U7" s="17">
        <f>$K7/HSP!$E$6</f>
        <v>0.6895699795936282</v>
      </c>
      <c r="V7" s="12"/>
      <c r="W7" s="12"/>
      <c r="X7" s="12"/>
      <c r="Y7" s="12"/>
      <c r="Z7" s="12"/>
    </row>
    <row r="8" spans="1:26" ht="15" customHeight="1" x14ac:dyDescent="0.3">
      <c r="A8" s="26" t="s">
        <v>81</v>
      </c>
      <c r="B8" s="17">
        <v>16.3</v>
      </c>
      <c r="C8" s="17">
        <v>2.8</v>
      </c>
      <c r="D8" s="17">
        <v>7.9</v>
      </c>
      <c r="E8" s="17" t="s">
        <v>35</v>
      </c>
      <c r="F8" s="22">
        <v>306.7</v>
      </c>
      <c r="G8" s="17">
        <f>SQRT((4*(HSP!$B$2-$B8)^2+(HSP!$C$2-$C8)^2+(HSP!$D$2-$D8)^2))</f>
        <v>8.4310141738701905</v>
      </c>
      <c r="H8" s="17">
        <f>SQRT((4*(HSP!$B$3-$B8)^2+(HSP!$C$3-$C8)^2+(HSP!$D$3-$D8)^2))</f>
        <v>7.2714785291576023</v>
      </c>
      <c r="I8" s="17">
        <f>SQRT((4*(HSP!$B$4-$B8)^2+(HSP!$C$4-$C8)^2+(HSP!$D$4-$D8)^2))</f>
        <v>3.1387895756166913</v>
      </c>
      <c r="J8" s="17">
        <f>SQRT((4*(HSP!$B$5-$B8)^2+(HSP!$C$5-$C8)^2+(HSP!$D$5-$D8)^2))</f>
        <v>10.575013002356075</v>
      </c>
      <c r="K8" s="17">
        <f>SQRT((4*(HSP!$B$6-$B8)^2+(HSP!$C$6-$C8)^2+(HSP!$D$6-$D8)^2))</f>
        <v>5.8157544652435273</v>
      </c>
      <c r="L8" s="17" t="s">
        <v>35</v>
      </c>
      <c r="M8" s="17" t="s">
        <v>35</v>
      </c>
      <c r="N8" s="17" t="s">
        <v>35</v>
      </c>
      <c r="O8" s="17" t="s">
        <v>35</v>
      </c>
      <c r="P8" s="17" t="s">
        <v>35</v>
      </c>
      <c r="Q8" s="17">
        <f>$G8/HSP!$E$2</f>
        <v>0.51724013336626928</v>
      </c>
      <c r="R8" s="17">
        <f>$H8/HSP!$E$3</f>
        <v>0.53862803919685942</v>
      </c>
      <c r="S8" s="17">
        <f>$I8/HSP!$E$4</f>
        <v>0.19740814940985479</v>
      </c>
      <c r="T8" s="17">
        <f>$J8/HSP!$E$5</f>
        <v>0.77189875929606389</v>
      </c>
      <c r="U8" s="17">
        <f>$K8/HSP!$E$6</f>
        <v>0.39295638278672479</v>
      </c>
      <c r="V8" s="12"/>
      <c r="W8" s="12"/>
      <c r="X8" s="12"/>
      <c r="Y8" s="12"/>
      <c r="Z8" s="12"/>
    </row>
    <row r="9" spans="1:26" ht="15" customHeight="1" x14ac:dyDescent="0.3">
      <c r="A9" s="26" t="s">
        <v>82</v>
      </c>
      <c r="B9" s="17">
        <v>16.399999999999999</v>
      </c>
      <c r="C9" s="17">
        <v>3.5</v>
      </c>
      <c r="D9" s="17">
        <v>6.4</v>
      </c>
      <c r="E9" s="17" t="s">
        <v>35</v>
      </c>
      <c r="F9" s="22">
        <v>447.3</v>
      </c>
      <c r="G9" s="17">
        <f>SQRT((4*(HSP!$B$2-$B9)^2+(HSP!$C$2-$C9)^2+(HSP!$D$2-$D9)^2))</f>
        <v>7.8573532439365357</v>
      </c>
      <c r="H9" s="17">
        <f>SQRT((4*(HSP!$B$3-$B9)^2+(HSP!$C$3-$C9)^2+(HSP!$D$3-$D9)^2))</f>
        <v>6.3481020785743505</v>
      </c>
      <c r="I9" s="17">
        <f>SQRT((4*(HSP!$B$4-$B9)^2+(HSP!$C$4-$C9)^2+(HSP!$D$4-$D9)^2))</f>
        <v>2.7575351312358625</v>
      </c>
      <c r="J9" s="17">
        <f>SQRT((4*(HSP!$B$5-$B9)^2+(HSP!$C$5-$C9)^2+(HSP!$D$5-$D9)^2))</f>
        <v>10.518407674168177</v>
      </c>
      <c r="K9" s="17">
        <f>SQRT((4*(HSP!$B$6-$B9)^2+(HSP!$C$6-$C9)^2+(HSP!$D$6-$D9)^2))</f>
        <v>4.4938847337242631</v>
      </c>
      <c r="L9" s="17" t="s">
        <v>35</v>
      </c>
      <c r="M9" s="17" t="s">
        <v>35</v>
      </c>
      <c r="N9" s="17" t="s">
        <v>35</v>
      </c>
      <c r="O9" s="17" t="s">
        <v>35</v>
      </c>
      <c r="P9" s="17" t="s">
        <v>35</v>
      </c>
      <c r="Q9" s="17">
        <f>$G9/HSP!$E$2</f>
        <v>0.48204621128445002</v>
      </c>
      <c r="R9" s="17">
        <f>$H9/HSP!$E$3</f>
        <v>0.47022978359810003</v>
      </c>
      <c r="S9" s="17">
        <f>$I9/HSP!$E$4</f>
        <v>0.1734298824676643</v>
      </c>
      <c r="T9" s="17">
        <f>$J9/HSP!$E$5</f>
        <v>0.76776698351592543</v>
      </c>
      <c r="U9" s="17">
        <f>$K9/HSP!$E$6</f>
        <v>0.30364086038677451</v>
      </c>
      <c r="V9" s="12"/>
      <c r="W9" s="12"/>
      <c r="X9" s="12"/>
      <c r="Y9" s="12"/>
      <c r="Z9" s="12"/>
    </row>
    <row r="10" spans="1:26" ht="15" customHeight="1" x14ac:dyDescent="0.3">
      <c r="A10" s="26" t="s">
        <v>83</v>
      </c>
      <c r="B10" s="17">
        <v>16.2</v>
      </c>
      <c r="C10" s="17">
        <v>3.1</v>
      </c>
      <c r="D10" s="17">
        <v>6</v>
      </c>
      <c r="E10" s="17" t="s">
        <v>35</v>
      </c>
      <c r="F10" s="22">
        <v>463.2</v>
      </c>
      <c r="G10" s="17">
        <f>SQRT((4*(HSP!$B$2-$B10)^2+(HSP!$C$2-$C10)^2+(HSP!$D$2-$D10)^2))</f>
        <v>8.0851716122788648</v>
      </c>
      <c r="H10" s="17">
        <f>SQRT((4*(HSP!$B$3-$B10)^2+(HSP!$C$3-$C10)^2+(HSP!$D$3-$D10)^2))</f>
        <v>6.6412649397535715</v>
      </c>
      <c r="I10" s="17">
        <f>SQRT((4*(HSP!$B$4-$B10)^2+(HSP!$C$4-$C10)^2+(HSP!$D$4-$D10)^2))</f>
        <v>2.7166155414412239</v>
      </c>
      <c r="J10" s="17">
        <f>SQRT((4*(HSP!$B$5-$B10)^2+(HSP!$C$5-$C10)^2+(HSP!$D$5-$D10)^2))</f>
        <v>10.968541379782456</v>
      </c>
      <c r="K10" s="17">
        <f>SQRT((4*(HSP!$B$6-$B10)^2+(HSP!$C$6-$C10)^2+(HSP!$D$6-$D10)^2))</f>
        <v>4.3784700524269882</v>
      </c>
      <c r="L10" s="17" t="s">
        <v>35</v>
      </c>
      <c r="M10" s="17" t="s">
        <v>35</v>
      </c>
      <c r="N10" s="17" t="s">
        <v>35</v>
      </c>
      <c r="O10" s="17" t="s">
        <v>35</v>
      </c>
      <c r="P10" s="17" t="s">
        <v>35</v>
      </c>
      <c r="Q10" s="17">
        <f>$G10/HSP!$E$2</f>
        <v>0.49602279829931684</v>
      </c>
      <c r="R10" s="17">
        <f>$H10/HSP!$E$3</f>
        <v>0.49194555109285715</v>
      </c>
      <c r="S10" s="17">
        <f>$I10/HSP!$E$4</f>
        <v>0.17085632336108325</v>
      </c>
      <c r="T10" s="17">
        <f>$J10/HSP!$E$5</f>
        <v>0.80062345837828153</v>
      </c>
      <c r="U10" s="17">
        <f>$K10/HSP!$E$6</f>
        <v>0.29584257110993162</v>
      </c>
      <c r="V10" s="12"/>
      <c r="W10" s="12"/>
      <c r="X10" s="12"/>
      <c r="Y10" s="12"/>
      <c r="Z10" s="12"/>
    </row>
    <row r="11" spans="1:26" ht="15" customHeight="1" x14ac:dyDescent="0.3">
      <c r="A11" s="26" t="s">
        <v>84</v>
      </c>
      <c r="B11" s="17">
        <v>16.5</v>
      </c>
      <c r="C11" s="17">
        <v>6.2</v>
      </c>
      <c r="D11" s="17">
        <v>7.5</v>
      </c>
      <c r="E11" s="17" t="s">
        <v>35</v>
      </c>
      <c r="F11" s="22">
        <v>340</v>
      </c>
      <c r="G11" s="17">
        <f>SQRT((4*(HSP!$B$2-$B11)^2+(HSP!$C$2-$C11)^2+(HSP!$D$2-$D11)^2))</f>
        <v>5.7321898084414489</v>
      </c>
      <c r="H11" s="17">
        <f>SQRT((4*(HSP!$B$3-$B11)^2+(HSP!$C$3-$C11)^2+(HSP!$D$3-$D11)^2))</f>
        <v>4.1735356713462988</v>
      </c>
      <c r="I11" s="17">
        <f>SQRT((4*(HSP!$B$4-$B11)^2+(HSP!$C$4-$C11)^2+(HSP!$D$4-$D11)^2))</f>
        <v>3.1426103799230352</v>
      </c>
      <c r="J11" s="17">
        <f>SQRT((4*(HSP!$B$5-$B11)^2+(HSP!$C$5-$C11)^2+(HSP!$D$5-$D11)^2))</f>
        <v>7.7670393329762408</v>
      </c>
      <c r="K11" s="17">
        <f>SQRT((4*(HSP!$B$6-$B11)^2+(HSP!$C$6-$C11)^2+(HSP!$D$6-$D11)^2))</f>
        <v>4.4076070605261544</v>
      </c>
      <c r="L11" s="17" t="s">
        <v>35</v>
      </c>
      <c r="M11" s="17" t="s">
        <v>35</v>
      </c>
      <c r="N11" s="17" t="s">
        <v>35</v>
      </c>
      <c r="O11" s="17" t="s">
        <v>35</v>
      </c>
      <c r="P11" s="17" t="s">
        <v>35</v>
      </c>
      <c r="Q11" s="17">
        <f>$G11/HSP!$E$2</f>
        <v>0.35166808640745084</v>
      </c>
      <c r="R11" s="17">
        <f>$H11/HSP!$E$3</f>
        <v>0.30915079047009619</v>
      </c>
      <c r="S11" s="17">
        <f>$I11/HSP!$E$4</f>
        <v>0.19764845156748648</v>
      </c>
      <c r="T11" s="17">
        <f>$J11/HSP!$E$5</f>
        <v>0.56693717758950668</v>
      </c>
      <c r="U11" s="17">
        <f>$K11/HSP!$E$6</f>
        <v>0.29781128787338879</v>
      </c>
      <c r="V11" s="12"/>
      <c r="W11" s="12"/>
      <c r="X11" s="12"/>
      <c r="Y11" s="12"/>
      <c r="Z11" s="12"/>
    </row>
    <row r="12" spans="1:26" ht="15" customHeight="1" x14ac:dyDescent="0.3">
      <c r="A12" s="27" t="s">
        <v>85</v>
      </c>
      <c r="B12" s="19">
        <v>16.399999999999999</v>
      </c>
      <c r="C12" s="19">
        <v>4.3</v>
      </c>
      <c r="D12" s="19">
        <v>5.9</v>
      </c>
      <c r="E12" s="17" t="s">
        <v>35</v>
      </c>
      <c r="F12" s="23">
        <v>271.60000000000002</v>
      </c>
      <c r="G12" s="19">
        <f>SQRT((4*(HSP!$B$2-$B12)^2+(HSP!$C$2-$C12)^2+(HSP!$D$2-$D12)^2))</f>
        <v>7.2160931257848944</v>
      </c>
      <c r="H12" s="19">
        <f>SQRT((4*(HSP!$B$3-$B12)^2+(HSP!$C$3-$C12)^2+(HSP!$D$3-$D12)^2))</f>
        <v>5.5454846496947408</v>
      </c>
      <c r="I12" s="19">
        <f>SQRT((4*(HSP!$B$4-$B12)^2+(HSP!$C$4-$C12)^2+(HSP!$D$4-$D12)^2))</f>
        <v>2.6468849616105317</v>
      </c>
      <c r="J12" s="19">
        <f>SQRT((4*(HSP!$B$5-$B12)^2+(HSP!$C$5-$C12)^2+(HSP!$D$5-$D12)^2))</f>
        <v>10.065033531985874</v>
      </c>
      <c r="K12" s="17">
        <f>SQRT((4*(HSP!$B$6-$B12)^2+(HSP!$C$6-$C12)^2+(HSP!$D$6-$D12)^2))</f>
        <v>3.7211557344459516</v>
      </c>
      <c r="L12" s="17" t="s">
        <v>35</v>
      </c>
      <c r="M12" s="17" t="s">
        <v>35</v>
      </c>
      <c r="N12" s="17" t="s">
        <v>35</v>
      </c>
      <c r="O12" s="17" t="s">
        <v>35</v>
      </c>
      <c r="P12" s="17" t="s">
        <v>35</v>
      </c>
      <c r="Q12" s="17">
        <f>$G12/HSP!$E$2</f>
        <v>0.44270509974140454</v>
      </c>
      <c r="R12" s="17">
        <f>$H12/HSP!$E$3</f>
        <v>0.41077664071812897</v>
      </c>
      <c r="S12" s="17">
        <f>$I12/HSP!$E$4</f>
        <v>0.16647075230254915</v>
      </c>
      <c r="T12" s="17">
        <f>$J12/HSP!$E$5</f>
        <v>0.73467398043692511</v>
      </c>
      <c r="U12" s="17">
        <f>$K12/HSP!$E$6</f>
        <v>0.25142944151661833</v>
      </c>
      <c r="V12" s="12"/>
      <c r="W12" s="12"/>
      <c r="X12" s="12"/>
      <c r="Y12" s="12"/>
      <c r="Z12" s="12"/>
    </row>
    <row r="13" spans="1:26" ht="15" customHeight="1" x14ac:dyDescent="0.3">
      <c r="A13" s="26" t="s">
        <v>86</v>
      </c>
      <c r="B13" s="17">
        <v>16</v>
      </c>
      <c r="C13" s="17">
        <v>4.2</v>
      </c>
      <c r="D13" s="17">
        <v>6</v>
      </c>
      <c r="E13" s="17" t="s">
        <v>35</v>
      </c>
      <c r="F13" s="22">
        <v>237.7</v>
      </c>
      <c r="G13" s="17">
        <f>SQRT((4*(HSP!$B$2-$B13)^2+(HSP!$C$2-$C13)^2+(HSP!$D$2-$D13)^2))</f>
        <v>6.9273371507383708</v>
      </c>
      <c r="H13" s="17">
        <f>SQRT((4*(HSP!$B$3-$B13)^2+(HSP!$C$3-$C13)^2+(HSP!$D$3-$D13)^2))</f>
        <v>5.4980360129777255</v>
      </c>
      <c r="I13" s="17">
        <f>SQRT((4*(HSP!$B$4-$B13)^2+(HSP!$C$4-$C13)^2+(HSP!$D$4-$D13)^2))</f>
        <v>1.9042058712229619</v>
      </c>
      <c r="J13" s="17">
        <f>SQRT((4*(HSP!$B$5-$B13)^2+(HSP!$C$5-$C13)^2+(HSP!$D$5-$D13)^2))</f>
        <v>9.9512260551150167</v>
      </c>
      <c r="K13" s="17">
        <f>SQRT((4*(HSP!$B$6-$B13)^2+(HSP!$C$6-$C13)^2+(HSP!$D$6-$D13)^2))</f>
        <v>3.4244707620302441</v>
      </c>
      <c r="L13" s="17" t="s">
        <v>35</v>
      </c>
      <c r="M13" s="17" t="s">
        <v>35</v>
      </c>
      <c r="N13" s="17" t="s">
        <v>35</v>
      </c>
      <c r="O13" s="17" t="s">
        <v>35</v>
      </c>
      <c r="P13" s="17" t="s">
        <v>35</v>
      </c>
      <c r="Q13" s="17">
        <f>$G13/HSP!$E$2</f>
        <v>0.42499000924775276</v>
      </c>
      <c r="R13" s="17">
        <f>$H13/HSP!$E$3</f>
        <v>0.40726192688723895</v>
      </c>
      <c r="S13" s="17">
        <f>$I13/HSP!$E$4</f>
        <v>0.11976137554861395</v>
      </c>
      <c r="T13" s="17">
        <f>$J13/HSP!$E$5</f>
        <v>0.72636686533686257</v>
      </c>
      <c r="U13" s="17">
        <f>$K13/HSP!$E$6</f>
        <v>0.2313831595966381</v>
      </c>
      <c r="V13" s="12"/>
      <c r="W13" s="12"/>
      <c r="X13" s="12"/>
      <c r="Y13" s="12"/>
      <c r="Z13" s="12"/>
    </row>
    <row r="14" spans="1:26" ht="15" customHeight="1" x14ac:dyDescent="0.3">
      <c r="A14" s="26" t="s">
        <v>87</v>
      </c>
      <c r="B14" s="17">
        <v>16.100000000000001</v>
      </c>
      <c r="C14" s="17">
        <v>5.4</v>
      </c>
      <c r="D14" s="17">
        <v>5.6</v>
      </c>
      <c r="E14" s="17" t="s">
        <v>35</v>
      </c>
      <c r="F14" s="22">
        <v>705</v>
      </c>
      <c r="G14" s="17">
        <f>SQRT((4*(HSP!$B$2-$B14)^2+(HSP!$C$2-$C14)^2+(HSP!$D$2-$D14)^2))</f>
        <v>6.0421850352335316</v>
      </c>
      <c r="H14" s="17">
        <f>SQRT((4*(HSP!$B$3-$B14)^2+(HSP!$C$3-$C14)^2+(HSP!$D$3-$D14)^2))</f>
        <v>4.3437771581884821</v>
      </c>
      <c r="I14" s="17">
        <f>SQRT((4*(HSP!$B$4-$B14)^2+(HSP!$C$4-$C14)^2+(HSP!$D$4-$D14)^2))</f>
        <v>2.3276597689525014</v>
      </c>
      <c r="J14" s="17">
        <f>SQRT((4*(HSP!$B$5-$B14)^2+(HSP!$C$5-$C14)^2+(HSP!$D$5-$D14)^2))</f>
        <v>9.2058079493328577</v>
      </c>
      <c r="K14" s="17">
        <f>SQRT((4*(HSP!$B$6-$B14)^2+(HSP!$C$6-$C14)^2+(HSP!$D$6-$D14)^2))</f>
        <v>2.6227847795806674</v>
      </c>
      <c r="L14" s="17" t="s">
        <v>35</v>
      </c>
      <c r="M14" s="17" t="s">
        <v>35</v>
      </c>
      <c r="N14" s="17" t="s">
        <v>35</v>
      </c>
      <c r="O14" s="17" t="s">
        <v>35</v>
      </c>
      <c r="P14" s="17" t="s">
        <v>35</v>
      </c>
      <c r="Q14" s="17">
        <f>$G14/HSP!$E$2</f>
        <v>0.37068619848058476</v>
      </c>
      <c r="R14" s="17">
        <f>$H14/HSP!$E$3</f>
        <v>0.32176127097692458</v>
      </c>
      <c r="S14" s="17">
        <f>$I14/HSP!$E$4</f>
        <v>0.14639369616053469</v>
      </c>
      <c r="T14" s="17">
        <f>$J14/HSP!$E$5</f>
        <v>0.67195678462283637</v>
      </c>
      <c r="U14" s="17">
        <f>$K14/HSP!$E$6</f>
        <v>0.17721518780950454</v>
      </c>
      <c r="V14" s="12"/>
      <c r="W14" s="12"/>
      <c r="X14" s="12"/>
      <c r="Y14" s="12"/>
      <c r="Z14" s="12"/>
    </row>
    <row r="15" spans="1:26" ht="15" customHeight="1" x14ac:dyDescent="0.3">
      <c r="A15" s="26" t="s">
        <v>88</v>
      </c>
      <c r="B15" s="17">
        <v>16.3</v>
      </c>
      <c r="C15" s="17">
        <v>4.3</v>
      </c>
      <c r="D15" s="17">
        <v>5</v>
      </c>
      <c r="E15" s="17" t="s">
        <v>35</v>
      </c>
      <c r="F15" s="22">
        <v>1230</v>
      </c>
      <c r="G15" s="17">
        <f>SQRT((4*(HSP!$B$2-$B15)^2+(HSP!$C$2-$C15)^2+(HSP!$D$2-$D15)^2))</f>
        <v>7.3093091328797986</v>
      </c>
      <c r="H15" s="17">
        <f>SQRT((4*(HSP!$B$3-$B15)^2+(HSP!$C$3-$C15)^2+(HSP!$D$3-$D15)^2))</f>
        <v>5.5579132774810374</v>
      </c>
      <c r="I15" s="17">
        <f>SQRT((4*(HSP!$B$4-$B15)^2+(HSP!$C$4-$C15)^2+(HSP!$D$4-$D15)^2))</f>
        <v>2.9141036357686398</v>
      </c>
      <c r="J15" s="17">
        <f>SQRT((4*(HSP!$B$5-$B15)^2+(HSP!$C$5-$C15)^2+(HSP!$D$5-$D15)^2))</f>
        <v>10.502613960343398</v>
      </c>
      <c r="K15" s="17">
        <f>SQRT((4*(HSP!$B$6-$B15)^2+(HSP!$C$6-$C15)^2+(HSP!$D$6-$D15)^2))</f>
        <v>3.1785216689524094</v>
      </c>
      <c r="L15" s="17" t="s">
        <v>35</v>
      </c>
      <c r="M15" s="17" t="s">
        <v>35</v>
      </c>
      <c r="N15" s="17" t="s">
        <v>35</v>
      </c>
      <c r="O15" s="17" t="s">
        <v>35</v>
      </c>
      <c r="P15" s="17" t="s">
        <v>35</v>
      </c>
      <c r="Q15" s="17">
        <f>$G15/HSP!$E$2</f>
        <v>0.44842387318280968</v>
      </c>
      <c r="R15" s="17">
        <f>$H15/HSP!$E$3</f>
        <v>0.4116972798134102</v>
      </c>
      <c r="S15" s="17">
        <f>$I15/HSP!$E$4</f>
        <v>0.18327695822444276</v>
      </c>
      <c r="T15" s="17">
        <f>$J15/HSP!$E$5</f>
        <v>0.76661415768929919</v>
      </c>
      <c r="U15" s="17">
        <f>$K15/HSP!$E$6</f>
        <v>0.21476497763191954</v>
      </c>
      <c r="V15" s="12"/>
      <c r="W15" s="12"/>
      <c r="X15" s="12"/>
      <c r="Y15" s="12"/>
      <c r="Z15" s="12"/>
    </row>
    <row r="16" spans="1:26" ht="15" customHeight="1" x14ac:dyDescent="0.3">
      <c r="A16" s="26" t="s">
        <v>89</v>
      </c>
      <c r="B16" s="17">
        <v>16</v>
      </c>
      <c r="C16" s="17">
        <v>6.6</v>
      </c>
      <c r="D16" s="17">
        <v>7.9</v>
      </c>
      <c r="E16" s="17" t="s">
        <v>35</v>
      </c>
      <c r="F16" s="22">
        <v>594.5</v>
      </c>
      <c r="G16" s="17">
        <f>SQRT((4*(HSP!$B$2-$B16)^2+(HSP!$C$2-$C16)^2+(HSP!$D$2-$D16)^2))</f>
        <v>4.8565419796394238</v>
      </c>
      <c r="H16" s="17">
        <f>SQRT((4*(HSP!$B$3-$B16)^2+(HSP!$C$3-$C16)^2+(HSP!$D$3-$D16)^2))</f>
        <v>3.7515863311404689</v>
      </c>
      <c r="I16" s="17">
        <f>SQRT((4*(HSP!$B$4-$B16)^2+(HSP!$C$4-$C16)^2+(HSP!$D$4-$D16)^2))</f>
        <v>2.7662248643232172</v>
      </c>
      <c r="J16" s="17">
        <f>SQRT((4*(HSP!$B$5-$B16)^2+(HSP!$C$5-$C16)^2+(HSP!$D$5-$D16)^2))</f>
        <v>6.9833301511528152</v>
      </c>
      <c r="K16" s="17">
        <f>SQRT((4*(HSP!$B$6-$B16)^2+(HSP!$C$6-$C16)^2+(HSP!$D$6-$D16)^2))</f>
        <v>4.3084800103980996</v>
      </c>
      <c r="L16" s="17" t="s">
        <v>35</v>
      </c>
      <c r="M16" s="17" t="s">
        <v>35</v>
      </c>
      <c r="N16" s="17" t="s">
        <v>35</v>
      </c>
      <c r="O16" s="17" t="s">
        <v>35</v>
      </c>
      <c r="P16" s="17" t="s">
        <v>35</v>
      </c>
      <c r="Q16" s="17">
        <f>$G16/HSP!$E$2</f>
        <v>0.29794736071407507</v>
      </c>
      <c r="R16" s="17">
        <f>$H16/HSP!$E$3</f>
        <v>0.2778952837881829</v>
      </c>
      <c r="S16" s="17">
        <f>$I16/HSP!$E$4</f>
        <v>0.17397640656120864</v>
      </c>
      <c r="T16" s="17">
        <f>$J16/HSP!$E$5</f>
        <v>0.50973212782137345</v>
      </c>
      <c r="U16" s="17">
        <f>$K16/HSP!$E$6</f>
        <v>0.29111351421608778</v>
      </c>
      <c r="V16" s="12"/>
      <c r="W16" s="12"/>
      <c r="X16" s="12"/>
      <c r="Y16" s="12"/>
      <c r="Z16" s="12"/>
    </row>
    <row r="17" spans="1:26" ht="15" customHeight="1" x14ac:dyDescent="0.3">
      <c r="A17" s="26" t="s">
        <v>90</v>
      </c>
      <c r="B17" s="17">
        <v>17.5</v>
      </c>
      <c r="C17" s="17">
        <v>7.4</v>
      </c>
      <c r="D17" s="17">
        <v>7.6</v>
      </c>
      <c r="E17" s="17" t="s">
        <v>35</v>
      </c>
      <c r="F17" s="22">
        <v>158.9</v>
      </c>
      <c r="G17" s="17">
        <f>SQRT((4*(HSP!$B$2-$B17)^2+(HSP!$C$2-$C17)^2+(HSP!$D$2-$D17)^2))</f>
        <v>6.5869568087243451</v>
      </c>
      <c r="H17" s="17">
        <f>SQRT((4*(HSP!$B$3-$B17)^2+(HSP!$C$3-$C17)^2+(HSP!$D$3-$D17)^2))</f>
        <v>4.6238944624634337</v>
      </c>
      <c r="I17" s="17">
        <f>SQRT((4*(HSP!$B$4-$B17)^2+(HSP!$C$4-$C17)^2+(HSP!$D$4-$D17)^2))</f>
        <v>5.4547227243921395</v>
      </c>
      <c r="J17" s="17">
        <f>SQRT((4*(HSP!$B$5-$B17)^2+(HSP!$C$5-$C17)^2+(HSP!$D$5-$D17)^2))</f>
        <v>7.6995389472357374</v>
      </c>
      <c r="K17" s="17">
        <f>SQRT((4*(HSP!$B$6-$B17)^2+(HSP!$C$6-$C17)^2+(HSP!$D$6-$D17)^2))</f>
        <v>5.9071989978330688</v>
      </c>
      <c r="L17" s="17" t="s">
        <v>35</v>
      </c>
      <c r="M17" s="17" t="s">
        <v>35</v>
      </c>
      <c r="N17" s="17" t="s">
        <v>35</v>
      </c>
      <c r="O17" s="17" t="s">
        <v>35</v>
      </c>
      <c r="P17" s="17" t="s">
        <v>35</v>
      </c>
      <c r="Q17" s="17">
        <f>$G17/HSP!$E$2</f>
        <v>0.40410777967634015</v>
      </c>
      <c r="R17" s="17">
        <f>$H17/HSP!$E$3</f>
        <v>0.34251070092321734</v>
      </c>
      <c r="S17" s="17">
        <f>$I17/HSP!$E$4</f>
        <v>0.34306432228881378</v>
      </c>
      <c r="T17" s="17">
        <f>$J17/HSP!$E$5</f>
        <v>0.56201014213399547</v>
      </c>
      <c r="U17" s="17">
        <f>$K17/HSP!$E$6</f>
        <v>0.39913506742115329</v>
      </c>
      <c r="V17" s="12"/>
      <c r="W17" s="12"/>
      <c r="X17" s="12"/>
      <c r="Y17" s="12"/>
      <c r="Z17" s="12"/>
    </row>
    <row r="18" spans="1:26" ht="15" customHeight="1" x14ac:dyDescent="0.3">
      <c r="A18" s="26" t="s">
        <v>91</v>
      </c>
      <c r="B18" s="17">
        <v>16.899999999999999</v>
      </c>
      <c r="C18" s="17">
        <v>4.9000000000000004</v>
      </c>
      <c r="D18" s="17">
        <v>8.4</v>
      </c>
      <c r="E18" s="17" t="s">
        <v>35</v>
      </c>
      <c r="F18" s="22">
        <v>273.3</v>
      </c>
      <c r="G18" s="17">
        <f>SQRT((4*(HSP!$B$2-$B18)^2+(HSP!$C$2-$C18)^2+(HSP!$D$2-$D18)^2))</f>
        <v>7.3545904032787561</v>
      </c>
      <c r="H18" s="17">
        <f>SQRT((4*(HSP!$B$3-$B18)^2+(HSP!$C$3-$C18)^2+(HSP!$D$3-$D18)^2))</f>
        <v>5.9304637255445707</v>
      </c>
      <c r="I18" s="17">
        <f>SQRT((4*(HSP!$B$4-$B18)^2+(HSP!$C$4-$C18)^2+(HSP!$D$4-$D18)^2))</f>
        <v>3.8183766184073544</v>
      </c>
      <c r="J18" s="17">
        <f>SQRT((4*(HSP!$B$5-$B18)^2+(HSP!$C$5-$C18)^2+(HSP!$D$5-$D18)^2))</f>
        <v>8.8419963809085562</v>
      </c>
      <c r="K18" s="17">
        <f>SQRT((4*(HSP!$B$6-$B18)^2+(HSP!$C$6-$C18)^2+(HSP!$D$6-$D18)^2))</f>
        <v>5.8026717984045932</v>
      </c>
      <c r="L18" s="17" t="s">
        <v>35</v>
      </c>
      <c r="M18" s="17" t="s">
        <v>35</v>
      </c>
      <c r="N18" s="17" t="s">
        <v>35</v>
      </c>
      <c r="O18" s="17" t="s">
        <v>35</v>
      </c>
      <c r="P18" s="17" t="s">
        <v>35</v>
      </c>
      <c r="Q18" s="17">
        <f>$G18/HSP!$E$2</f>
        <v>0.45120186523182548</v>
      </c>
      <c r="R18" s="17">
        <f>$H18/HSP!$E$3</f>
        <v>0.43929360929959782</v>
      </c>
      <c r="S18" s="17">
        <f>$I18/HSP!$E$4</f>
        <v>0.24014947285580845</v>
      </c>
      <c r="T18" s="17">
        <f>$J18/HSP!$E$5</f>
        <v>0.64540119568675591</v>
      </c>
      <c r="U18" s="17">
        <f>$K18/HSP!$E$6</f>
        <v>0.39207241881112115</v>
      </c>
      <c r="V18" s="12"/>
      <c r="W18" s="12"/>
      <c r="X18" s="12"/>
      <c r="Y18" s="12"/>
      <c r="Z18" s="12"/>
    </row>
    <row r="19" spans="1:26" ht="15" customHeight="1" x14ac:dyDescent="0.3">
      <c r="A19" s="26" t="s">
        <v>92</v>
      </c>
      <c r="B19" s="17">
        <v>16.100000000000001</v>
      </c>
      <c r="C19" s="17">
        <v>7.8</v>
      </c>
      <c r="D19" s="17">
        <v>12.7</v>
      </c>
      <c r="E19" s="17" t="s">
        <v>35</v>
      </c>
      <c r="F19" s="22">
        <v>135.19999999999999</v>
      </c>
      <c r="G19" s="17">
        <f>SQRT((4*(HSP!$B$2-$B19)^2+(HSP!$C$2-$C19)^2+(HSP!$D$2-$D19)^2))</f>
        <v>6.9852702166773772</v>
      </c>
      <c r="H19" s="17">
        <f>SQRT((4*(HSP!$B$3-$B19)^2+(HSP!$C$3-$C19)^2+(HSP!$D$3-$D19)^2))</f>
        <v>7.1740086423142806</v>
      </c>
      <c r="I19" s="17">
        <f>SQRT((4*(HSP!$B$4-$B19)^2+(HSP!$C$4-$C19)^2+(HSP!$D$4-$D19)^2))</f>
        <v>6.9284918993962892</v>
      </c>
      <c r="J19" s="17">
        <f>SQRT((4*(HSP!$B$5-$B19)^2+(HSP!$C$5-$C19)^2+(HSP!$D$5-$D19)^2))</f>
        <v>5.4858818798803917</v>
      </c>
      <c r="K19" s="17">
        <f>SQRT((4*(HSP!$B$6-$B19)^2+(HSP!$C$6-$C19)^2+(HSP!$D$6-$D19)^2))</f>
        <v>9.1079635484558228</v>
      </c>
      <c r="L19" s="17" t="s">
        <v>35</v>
      </c>
      <c r="M19" s="17" t="s">
        <v>35</v>
      </c>
      <c r="N19" s="17" t="s">
        <v>35</v>
      </c>
      <c r="O19" s="17" t="s">
        <v>35</v>
      </c>
      <c r="P19" s="17" t="s">
        <v>35</v>
      </c>
      <c r="Q19" s="17">
        <f>$G19/HSP!$E$2</f>
        <v>0.42854418507223169</v>
      </c>
      <c r="R19" s="17">
        <f>$H19/HSP!$E$3</f>
        <v>0.53140804757883564</v>
      </c>
      <c r="S19" s="17">
        <f>$I19/HSP!$E$4</f>
        <v>0.43575420750920058</v>
      </c>
      <c r="T19" s="17">
        <f>$J19/HSP!$E$5</f>
        <v>0.40042933429783883</v>
      </c>
      <c r="U19" s="17">
        <f>$K19/HSP!$E$6</f>
        <v>0.61540294246323124</v>
      </c>
      <c r="V19" s="12"/>
      <c r="W19" s="12"/>
      <c r="X19" s="12"/>
      <c r="Y19" s="12"/>
      <c r="Z19" s="12"/>
    </row>
    <row r="20" spans="1:26" ht="15" customHeight="1" x14ac:dyDescent="0.3">
      <c r="A20" s="26" t="s">
        <v>93</v>
      </c>
      <c r="B20" s="17">
        <v>17.5</v>
      </c>
      <c r="C20" s="17">
        <v>4.0999999999999996</v>
      </c>
      <c r="D20" s="17">
        <v>6.5</v>
      </c>
      <c r="E20" s="17" t="s">
        <v>35</v>
      </c>
      <c r="F20" s="22">
        <v>292.3</v>
      </c>
      <c r="G20" s="17">
        <f>SQRT((4*(HSP!$B$2-$B20)^2+(HSP!$C$2-$C20)^2+(HSP!$D$2-$D20)^2))</f>
        <v>8.6209048249009239</v>
      </c>
      <c r="H20" s="17">
        <f>SQRT((4*(HSP!$B$3-$B20)^2+(HSP!$C$3-$C20)^2+(HSP!$D$3-$D20)^2))</f>
        <v>6.6693627881530047</v>
      </c>
      <c r="I20" s="17">
        <f>SQRT((4*(HSP!$B$4-$B20)^2+(HSP!$C$4-$C20)^2+(HSP!$D$4-$D20)^2))</f>
        <v>4.7055286631790914</v>
      </c>
      <c r="J20" s="17">
        <f>SQRT((4*(HSP!$B$5-$B20)^2+(HSP!$C$5-$C20)^2+(HSP!$D$5-$D20)^2))</f>
        <v>10.668687829344339</v>
      </c>
      <c r="K20" s="17">
        <f>SQRT((4*(HSP!$B$6-$B20)^2+(HSP!$C$6-$C20)^2+(HSP!$D$6-$D20)^2))</f>
        <v>5.6870906446090705</v>
      </c>
      <c r="L20" s="17" t="s">
        <v>35</v>
      </c>
      <c r="M20" s="17" t="s">
        <v>35</v>
      </c>
      <c r="N20" s="17" t="s">
        <v>35</v>
      </c>
      <c r="O20" s="17" t="s">
        <v>35</v>
      </c>
      <c r="P20" s="17" t="s">
        <v>35</v>
      </c>
      <c r="Q20" s="17">
        <f>$G20/HSP!$E$2</f>
        <v>0.52888986655833892</v>
      </c>
      <c r="R20" s="17">
        <f>$H20/HSP!$E$3</f>
        <v>0.49402687319651889</v>
      </c>
      <c r="S20" s="17">
        <f>$I20/HSP!$E$4</f>
        <v>0.29594519894208121</v>
      </c>
      <c r="T20" s="17">
        <f>$J20/HSP!$E$5</f>
        <v>0.77873633790834595</v>
      </c>
      <c r="U20" s="17">
        <f>$K20/HSP!$E$6</f>
        <v>0.38426288139250475</v>
      </c>
      <c r="V20" s="12"/>
      <c r="W20" s="12"/>
      <c r="X20" s="12"/>
      <c r="Y20" s="12"/>
      <c r="Z20" s="12"/>
    </row>
    <row r="21" spans="1:26" ht="15" customHeight="1" x14ac:dyDescent="0.3">
      <c r="A21" s="26" t="s">
        <v>94</v>
      </c>
      <c r="B21" s="17">
        <v>16.2</v>
      </c>
      <c r="C21" s="17">
        <v>3.4</v>
      </c>
      <c r="D21" s="17">
        <v>5.9</v>
      </c>
      <c r="E21" s="17" t="s">
        <v>35</v>
      </c>
      <c r="F21" s="22">
        <v>430.3</v>
      </c>
      <c r="G21" s="17">
        <f>SQRT((4*(HSP!$B$2-$B21)^2+(HSP!$C$2-$C21)^2+(HSP!$D$2-$D21)^2))</f>
        <v>7.8262379212492643</v>
      </c>
      <c r="H21" s="17">
        <f>SQRT((4*(HSP!$B$3-$B21)^2+(HSP!$C$3-$C21)^2+(HSP!$D$3-$D21)^2))</f>
        <v>6.3430591988408871</v>
      </c>
      <c r="I21" s="17">
        <f>SQRT((4*(HSP!$B$4-$B21)^2+(HSP!$C$4-$C21)^2+(HSP!$D$4-$D21)^2))</f>
        <v>2.5868900247208022</v>
      </c>
      <c r="J21" s="17">
        <f>SQRT((4*(HSP!$B$5-$B21)^2+(HSP!$C$5-$C21)^2+(HSP!$D$5-$D21)^2))</f>
        <v>10.75280893534336</v>
      </c>
      <c r="K21" s="17">
        <f>SQRT((4*(HSP!$B$6-$B21)^2+(HSP!$C$6-$C21)^2+(HSP!$D$6-$D21)^2))</f>
        <v>4.1040224170927724</v>
      </c>
      <c r="L21" s="17" t="s">
        <v>35</v>
      </c>
      <c r="M21" s="17" t="s">
        <v>35</v>
      </c>
      <c r="N21" s="17" t="s">
        <v>35</v>
      </c>
      <c r="O21" s="17" t="s">
        <v>35</v>
      </c>
      <c r="P21" s="17" t="s">
        <v>35</v>
      </c>
      <c r="Q21" s="17">
        <f>$G21/HSP!$E$2</f>
        <v>0.48013729578216341</v>
      </c>
      <c r="R21" s="17">
        <f>$H21/HSP!$E$3</f>
        <v>0.46985623695117684</v>
      </c>
      <c r="S21" s="17">
        <f>$I21/HSP!$E$4</f>
        <v>0.16269748583149699</v>
      </c>
      <c r="T21" s="17">
        <f>$J21/HSP!$E$5</f>
        <v>0.784876564623603</v>
      </c>
      <c r="U21" s="17">
        <f>$K21/HSP!$E$6</f>
        <v>0.27729881196572786</v>
      </c>
      <c r="V21" s="12"/>
      <c r="W21" s="12"/>
      <c r="X21" s="12"/>
      <c r="Y21" s="12"/>
      <c r="Z21" s="12"/>
    </row>
    <row r="22" spans="1:26" ht="15" customHeight="1" x14ac:dyDescent="0.3">
      <c r="A22" s="26" t="s">
        <v>95</v>
      </c>
      <c r="B22" s="17">
        <v>16.3</v>
      </c>
      <c r="C22" s="17">
        <v>3.4</v>
      </c>
      <c r="D22" s="17">
        <v>6.1</v>
      </c>
      <c r="E22" s="17" t="s">
        <v>35</v>
      </c>
      <c r="F22" s="22">
        <v>446.8</v>
      </c>
      <c r="G22" s="17">
        <f>SQRT((4*(HSP!$B$2-$B22)^2+(HSP!$C$2-$C22)^2+(HSP!$D$2-$D22)^2))</f>
        <v>7.8853027842943373</v>
      </c>
      <c r="H22" s="17">
        <f>SQRT((4*(HSP!$B$3-$B22)^2+(HSP!$C$3-$C22)^2+(HSP!$D$3-$D22)^2))</f>
        <v>6.3839172926973298</v>
      </c>
      <c r="I22" s="17">
        <f>SQRT((4*(HSP!$B$4-$B22)^2+(HSP!$C$4-$C22)^2+(HSP!$D$4-$D22)^2))</f>
        <v>2.6899814125751882</v>
      </c>
      <c r="J22" s="17">
        <f>SQRT((4*(HSP!$B$5-$B22)^2+(HSP!$C$5-$C22)^2+(HSP!$D$5-$D22)^2))</f>
        <v>10.697424923784229</v>
      </c>
      <c r="K22" s="17">
        <f>SQRT((4*(HSP!$B$6-$B22)^2+(HSP!$C$6-$C22)^2+(HSP!$D$6-$D22)^2))</f>
        <v>4.2996511486398532</v>
      </c>
      <c r="L22" s="17" t="s">
        <v>35</v>
      </c>
      <c r="M22" s="17" t="s">
        <v>35</v>
      </c>
      <c r="N22" s="17" t="s">
        <v>35</v>
      </c>
      <c r="O22" s="17" t="s">
        <v>35</v>
      </c>
      <c r="P22" s="17" t="s">
        <v>35</v>
      </c>
      <c r="Q22" s="17">
        <f>$G22/HSP!$E$2</f>
        <v>0.48376090701192254</v>
      </c>
      <c r="R22" s="17">
        <f>$H22/HSP!$E$3</f>
        <v>0.47288276242202443</v>
      </c>
      <c r="S22" s="17">
        <f>$I22/HSP!$E$4</f>
        <v>0.1691812209166785</v>
      </c>
      <c r="T22" s="17">
        <f>$J22/HSP!$E$5</f>
        <v>0.78083393604264451</v>
      </c>
      <c r="U22" s="17">
        <f>$K22/HSP!$E$6</f>
        <v>0.29051696950269279</v>
      </c>
      <c r="V22" s="12"/>
      <c r="W22" s="12"/>
      <c r="X22" s="12"/>
      <c r="Y22" s="12"/>
      <c r="Z22" s="12"/>
    </row>
    <row r="23" spans="1:26" ht="15" customHeight="1" x14ac:dyDescent="0.3">
      <c r="A23" s="26" t="s">
        <v>96</v>
      </c>
      <c r="B23" s="17">
        <v>16.8</v>
      </c>
      <c r="C23" s="17">
        <v>5.4</v>
      </c>
      <c r="D23" s="17">
        <v>8.9</v>
      </c>
      <c r="E23" s="17" t="s">
        <v>35</v>
      </c>
      <c r="F23" s="22">
        <v>246.2</v>
      </c>
      <c r="G23" s="17">
        <f>SQRT((4*(HSP!$B$2-$B23)^2+(HSP!$C$2-$C23)^2+(HSP!$D$2-$D23)^2))</f>
        <v>6.9749551969887245</v>
      </c>
      <c r="H23" s="17">
        <f>SQRT((4*(HSP!$B$3-$B23)^2+(HSP!$C$3-$C23)^2+(HSP!$D$3-$D23)^2))</f>
        <v>5.7063473430908509</v>
      </c>
      <c r="I23" s="17">
        <f>SQRT((4*(HSP!$B$4-$B23)^2+(HSP!$C$4-$C23)^2+(HSP!$D$4-$D23)^2))</f>
        <v>3.9441095319476123</v>
      </c>
      <c r="J23" s="17">
        <f>SQRT((4*(HSP!$B$5-$B23)^2+(HSP!$C$5-$C23)^2+(HSP!$D$5-$D23)^2))</f>
        <v>8.1894383201780094</v>
      </c>
      <c r="K23" s="17">
        <f>SQRT((4*(HSP!$B$6-$B23)^2+(HSP!$C$6-$C23)^2+(HSP!$D$6-$D23)^2))</f>
        <v>5.9939135796239187</v>
      </c>
      <c r="L23" s="17" t="s">
        <v>35</v>
      </c>
      <c r="M23" s="17" t="s">
        <v>35</v>
      </c>
      <c r="N23" s="17" t="s">
        <v>35</v>
      </c>
      <c r="O23" s="17" t="s">
        <v>35</v>
      </c>
      <c r="P23" s="17" t="s">
        <v>35</v>
      </c>
      <c r="Q23" s="17">
        <f>$G23/HSP!$E$2</f>
        <v>0.42791136177844935</v>
      </c>
      <c r="R23" s="17">
        <f>$H23/HSP!$E$3</f>
        <v>0.42269239578450746</v>
      </c>
      <c r="S23" s="17">
        <f>$I23/HSP!$E$4</f>
        <v>0.24805720326714542</v>
      </c>
      <c r="T23" s="17">
        <f>$J23/HSP!$E$5</f>
        <v>0.5977692204509496</v>
      </c>
      <c r="U23" s="17">
        <f>$K23/HSP!$E$6</f>
        <v>0.4049941607853999</v>
      </c>
      <c r="V23" s="12"/>
      <c r="W23" s="12"/>
      <c r="X23" s="12"/>
      <c r="Y23" s="12"/>
      <c r="Z23" s="12"/>
    </row>
    <row r="24" spans="1:26" ht="15" customHeight="1" x14ac:dyDescent="0.3">
      <c r="A24" s="26" t="s">
        <v>97</v>
      </c>
      <c r="B24" s="17">
        <v>16.3</v>
      </c>
      <c r="C24" s="17">
        <v>3.4</v>
      </c>
      <c r="D24" s="17">
        <v>6.3</v>
      </c>
      <c r="E24" s="17" t="s">
        <v>35</v>
      </c>
      <c r="F24" s="22">
        <v>463.2</v>
      </c>
      <c r="G24" s="17">
        <f>SQRT((4*(HSP!$B$2-$B24)^2+(HSP!$C$2-$C24)^2+(HSP!$D$2-$D24)^2))</f>
        <v>7.8654942629182578</v>
      </c>
      <c r="H24" s="17">
        <f>SQRT((4*(HSP!$B$3-$B24)^2+(HSP!$C$3-$C24)^2+(HSP!$D$3-$D24)^2))</f>
        <v>6.3958111291688411</v>
      </c>
      <c r="I24" s="17">
        <f>SQRT((4*(HSP!$B$4-$B24)^2+(HSP!$C$4-$C24)^2+(HSP!$D$4-$D24)^2))</f>
        <v>2.6449952740978584</v>
      </c>
      <c r="J24" s="17">
        <f>SQRT((4*(HSP!$B$5-$B24)^2+(HSP!$C$5-$C24)^2+(HSP!$D$5-$D24)^2))</f>
        <v>10.608623850434137</v>
      </c>
      <c r="K24" s="17">
        <f>SQRT((4*(HSP!$B$6-$B24)^2+(HSP!$C$6-$C24)^2+(HSP!$D$6-$D24)^2))</f>
        <v>4.4076070605261544</v>
      </c>
      <c r="L24" s="17" t="s">
        <v>35</v>
      </c>
      <c r="M24" s="17" t="s">
        <v>35</v>
      </c>
      <c r="N24" s="17" t="s">
        <v>35</v>
      </c>
      <c r="O24" s="17" t="s">
        <v>35</v>
      </c>
      <c r="P24" s="17" t="s">
        <v>35</v>
      </c>
      <c r="Q24" s="17">
        <f>$G24/HSP!$E$2</f>
        <v>0.48254566030173357</v>
      </c>
      <c r="R24" s="17">
        <f>$H24/HSP!$E$3</f>
        <v>0.47376378734584007</v>
      </c>
      <c r="S24" s="17">
        <f>$I24/HSP!$E$4</f>
        <v>0.16635190403131184</v>
      </c>
      <c r="T24" s="17">
        <f>$J24/HSP!$E$5</f>
        <v>0.77435210587110492</v>
      </c>
      <c r="U24" s="17">
        <f>$K24/HSP!$E$6</f>
        <v>0.29781128787338879</v>
      </c>
      <c r="V24" s="12"/>
      <c r="W24" s="12"/>
      <c r="X24" s="12"/>
      <c r="Y24" s="12"/>
      <c r="Z24" s="12"/>
    </row>
    <row r="25" spans="1:26" ht="15" customHeight="1" x14ac:dyDescent="0.3">
      <c r="A25" s="26" t="s">
        <v>98</v>
      </c>
      <c r="B25" s="17">
        <v>17.399999999999999</v>
      </c>
      <c r="C25" s="17">
        <v>12.1</v>
      </c>
      <c r="D25" s="17">
        <v>29.3</v>
      </c>
      <c r="E25" s="17" t="s">
        <v>35</v>
      </c>
      <c r="F25" s="22">
        <v>71.2</v>
      </c>
      <c r="G25" s="17">
        <f>SQRT((4*(HSP!$B$2-$B25)^2+(HSP!$C$2-$C25)^2+(HSP!$D$2-$D25)^2))</f>
        <v>23.070153878983987</v>
      </c>
      <c r="H25" s="17">
        <f>SQRT((4*(HSP!$B$3-$B25)^2+(HSP!$C$3-$C25)^2+(HSP!$D$3-$D25)^2))</f>
        <v>23.852890810130333</v>
      </c>
      <c r="I25" s="17">
        <f>SQRT((4*(HSP!$B$4-$B25)^2+(HSP!$C$4-$C25)^2+(HSP!$D$4-$D25)^2))</f>
        <v>24.108048448599067</v>
      </c>
      <c r="J25" s="17">
        <f>SQRT((4*(HSP!$B$5-$B25)^2+(HSP!$C$5-$C25)^2+(HSP!$D$5-$D25)^2))</f>
        <v>18.867668112408591</v>
      </c>
      <c r="K25" s="17">
        <f>SQRT((4*(HSP!$B$6-$B25)^2+(HSP!$C$6-$C25)^2+(HSP!$D$6-$D25)^2))</f>
        <v>26.419670701959934</v>
      </c>
      <c r="L25" s="17" t="s">
        <v>35</v>
      </c>
      <c r="M25" s="17" t="s">
        <v>35</v>
      </c>
      <c r="N25" s="17" t="s">
        <v>35</v>
      </c>
      <c r="O25" s="17" t="s">
        <v>35</v>
      </c>
      <c r="P25" s="17" t="s">
        <v>35</v>
      </c>
      <c r="Q25" s="17">
        <f>$G25/HSP!$E$2</f>
        <v>1.4153468637413489</v>
      </c>
      <c r="R25" s="17">
        <f>$H25/HSP!$E$3</f>
        <v>1.7668808007503951</v>
      </c>
      <c r="S25" s="17">
        <f>$I25/HSP!$E$4</f>
        <v>1.5162294621760419</v>
      </c>
      <c r="T25" s="17">
        <f>$J25/HSP!$E$5</f>
        <v>1.3772020520006272</v>
      </c>
      <c r="U25" s="17">
        <f>$K25/HSP!$E$6</f>
        <v>1.7851128852675631</v>
      </c>
      <c r="V25" s="12"/>
      <c r="W25" s="12"/>
      <c r="X25" s="12"/>
      <c r="Y25" s="12"/>
      <c r="Z25" s="12"/>
    </row>
    <row r="26" spans="1:26" ht="15" customHeight="1" x14ac:dyDescent="0.3">
      <c r="A26" s="26" t="s">
        <v>99</v>
      </c>
      <c r="B26" s="17">
        <v>16.399999999999999</v>
      </c>
      <c r="C26" s="17">
        <v>5.0999999999999996</v>
      </c>
      <c r="D26" s="17">
        <v>7.2</v>
      </c>
      <c r="E26" s="17" t="s">
        <v>35</v>
      </c>
      <c r="F26" s="22">
        <v>682.6</v>
      </c>
      <c r="G26" s="17">
        <f>SQRT((4*(HSP!$B$2-$B26)^2+(HSP!$C$2-$C26)^2+(HSP!$D$2-$D26)^2))</f>
        <v>6.4604953370465337</v>
      </c>
      <c r="H26" s="17">
        <f>SQRT((4*(HSP!$B$3-$B26)^2+(HSP!$C$3-$C26)^2+(HSP!$D$3-$D26)^2))</f>
        <v>4.9713579633737899</v>
      </c>
      <c r="I26" s="17">
        <f>SQRT((4*(HSP!$B$4-$B26)^2+(HSP!$C$4-$C26)^2+(HSP!$D$4-$D26)^2))</f>
        <v>2.5274493071078572</v>
      </c>
      <c r="J26" s="17">
        <f>SQRT((4*(HSP!$B$5-$B26)^2+(HSP!$C$5-$C26)^2+(HSP!$D$5-$D26)^2))</f>
        <v>8.7798006811088829</v>
      </c>
      <c r="K26" s="17">
        <f>SQRT((4*(HSP!$B$6-$B26)^2+(HSP!$C$6-$C26)^2+(HSP!$D$6-$D26)^2))</f>
        <v>4.2542919504895274</v>
      </c>
      <c r="L26" s="17" t="s">
        <v>35</v>
      </c>
      <c r="M26" s="17" t="s">
        <v>35</v>
      </c>
      <c r="N26" s="17" t="s">
        <v>35</v>
      </c>
      <c r="O26" s="17" t="s">
        <v>35</v>
      </c>
      <c r="P26" s="17" t="s">
        <v>35</v>
      </c>
      <c r="Q26" s="17">
        <f>$G26/HSP!$E$2</f>
        <v>0.39634940718076894</v>
      </c>
      <c r="R26" s="17">
        <f>$H26/HSP!$E$3</f>
        <v>0.36824873802768815</v>
      </c>
      <c r="S26" s="17">
        <f>$I26/HSP!$E$4</f>
        <v>0.15895907591873315</v>
      </c>
      <c r="T26" s="17">
        <f>$J26/HSP!$E$5</f>
        <v>0.64086136358459</v>
      </c>
      <c r="U26" s="17">
        <f>$K26/HSP!$E$6</f>
        <v>0.28745215881685993</v>
      </c>
      <c r="V26" s="12"/>
      <c r="W26" s="12"/>
      <c r="X26" s="12"/>
      <c r="Y26" s="12"/>
      <c r="Z26" s="12"/>
    </row>
    <row r="27" spans="1:26" ht="15" customHeight="1" x14ac:dyDescent="0.3">
      <c r="A27" s="26" t="s">
        <v>100</v>
      </c>
      <c r="B27" s="17">
        <v>16.399999999999999</v>
      </c>
      <c r="C27" s="17">
        <v>8.8000000000000007</v>
      </c>
      <c r="D27" s="17">
        <v>13.6</v>
      </c>
      <c r="E27" s="17" t="s">
        <v>35</v>
      </c>
      <c r="F27" s="22">
        <v>375.8</v>
      </c>
      <c r="G27" s="17">
        <f>SQRT((4*(HSP!$B$2-$B27)^2+(HSP!$C$2-$C27)^2+(HSP!$D$2-$D27)^2))</f>
        <v>7.7162166895441695</v>
      </c>
      <c r="H27" s="17">
        <f>SQRT((4*(HSP!$B$3-$B27)^2+(HSP!$C$3-$C27)^2+(HSP!$D$3-$D27)^2))</f>
        <v>7.9551492757835778</v>
      </c>
      <c r="I27" s="17">
        <f>SQRT((4*(HSP!$B$4-$B27)^2+(HSP!$C$4-$C27)^2+(HSP!$D$4-$D27)^2))</f>
        <v>8.3226197798529764</v>
      </c>
      <c r="J27" s="17">
        <f>SQRT((4*(HSP!$B$5-$B27)^2+(HSP!$C$5-$C27)^2+(HSP!$D$5-$D27)^2))</f>
        <v>5.2538462101588008</v>
      </c>
      <c r="K27" s="17">
        <f>SQRT((4*(HSP!$B$6-$B27)^2+(HSP!$C$6-$C27)^2+(HSP!$D$6-$D27)^2))</f>
        <v>10.285280744831422</v>
      </c>
      <c r="L27" s="17" t="s">
        <v>35</v>
      </c>
      <c r="M27" s="17" t="s">
        <v>35</v>
      </c>
      <c r="N27" s="17" t="s">
        <v>35</v>
      </c>
      <c r="O27" s="17" t="s">
        <v>35</v>
      </c>
      <c r="P27" s="17" t="s">
        <v>35</v>
      </c>
      <c r="Q27" s="17">
        <f>$G27/HSP!$E$2</f>
        <v>0.47338752696589997</v>
      </c>
      <c r="R27" s="17">
        <f>$H27/HSP!$E$3</f>
        <v>0.58927031672470942</v>
      </c>
      <c r="S27" s="17">
        <f>$I27/HSP!$E$4</f>
        <v>0.52343520628006135</v>
      </c>
      <c r="T27" s="17">
        <f>$J27/HSP!$E$5</f>
        <v>0.38349242409918255</v>
      </c>
      <c r="U27" s="17">
        <f>$K27/HSP!$E$6</f>
        <v>0.69495140167779867</v>
      </c>
      <c r="V27" s="12"/>
      <c r="W27" s="12"/>
      <c r="X27" s="12"/>
      <c r="Y27" s="12"/>
      <c r="Z27" s="12"/>
    </row>
    <row r="28" spans="1:26" ht="15" customHeight="1" x14ac:dyDescent="0.3">
      <c r="A28" s="26" t="s">
        <v>101</v>
      </c>
      <c r="B28" s="17">
        <v>16.5</v>
      </c>
      <c r="C28" s="17">
        <v>8.6999999999999993</v>
      </c>
      <c r="D28" s="17">
        <v>12.3</v>
      </c>
      <c r="E28" s="17" t="s">
        <v>35</v>
      </c>
      <c r="F28" s="22">
        <v>310.10000000000002</v>
      </c>
      <c r="G28" s="17">
        <f>SQRT((4*(HSP!$B$2-$B28)^2+(HSP!$C$2-$C28)^2+(HSP!$D$2-$D28)^2))</f>
        <v>6.7705243519243039</v>
      </c>
      <c r="H28" s="17">
        <f>SQRT((4*(HSP!$B$3-$B28)^2+(HSP!$C$3-$C28)^2+(HSP!$D$3-$D28)^2))</f>
        <v>6.7480663897149098</v>
      </c>
      <c r="I28" s="17">
        <f>SQRT((4*(HSP!$B$4-$B28)^2+(HSP!$C$4-$C28)^2+(HSP!$D$4-$D28)^2))</f>
        <v>7.3134123362490646</v>
      </c>
      <c r="J28" s="17">
        <f>SQRT((4*(HSP!$B$5-$B28)^2+(HSP!$C$5-$C28)^2+(HSP!$D$5-$D28)^2))</f>
        <v>4.9080444170769297</v>
      </c>
      <c r="K28" s="17">
        <f>SQRT((4*(HSP!$B$6-$B28)^2+(HSP!$C$6-$C28)^2+(HSP!$D$6-$D28)^2))</f>
        <v>9.0888393098348939</v>
      </c>
      <c r="L28" s="17" t="s">
        <v>35</v>
      </c>
      <c r="M28" s="17" t="s">
        <v>35</v>
      </c>
      <c r="N28" s="17" t="s">
        <v>35</v>
      </c>
      <c r="O28" s="17" t="s">
        <v>35</v>
      </c>
      <c r="P28" s="17" t="s">
        <v>35</v>
      </c>
      <c r="Q28" s="17">
        <f>$G28/HSP!$E$2</f>
        <v>0.41536959214259533</v>
      </c>
      <c r="R28" s="17">
        <f>$H28/HSP!$E$3</f>
        <v>0.49985676960851183</v>
      </c>
      <c r="S28" s="17">
        <f>$I28/HSP!$E$4</f>
        <v>0.4599630400156644</v>
      </c>
      <c r="T28" s="17">
        <f>$J28/HSP!$E$5</f>
        <v>0.35825141730488541</v>
      </c>
      <c r="U28" s="17">
        <f>$K28/HSP!$E$6</f>
        <v>0.61411076417803334</v>
      </c>
      <c r="V28" s="12"/>
      <c r="W28" s="12"/>
      <c r="X28" s="12"/>
      <c r="Y28" s="12"/>
      <c r="Z28" s="12"/>
    </row>
    <row r="29" spans="1:26" ht="15" customHeight="1" x14ac:dyDescent="0.3">
      <c r="A29" s="26" t="s">
        <v>102</v>
      </c>
      <c r="B29" s="21">
        <v>16.5</v>
      </c>
      <c r="C29" s="17">
        <v>8</v>
      </c>
      <c r="D29" s="17">
        <v>11.8</v>
      </c>
      <c r="E29" s="17" t="s">
        <v>35</v>
      </c>
      <c r="F29" s="22">
        <v>376</v>
      </c>
      <c r="G29" s="17">
        <f>SQRT((4*(HSP!$B$2-$B29)^2+(HSP!$C$2-$C29)^2+(HSP!$D$2-$D29)^2))</f>
        <v>6.612412570310477</v>
      </c>
      <c r="H29" s="17">
        <f>SQRT((4*(HSP!$B$3-$B29)^2+(HSP!$C$3-$C29)^2+(HSP!$D$3-$D29)^2))</f>
        <v>6.4140782658149726</v>
      </c>
      <c r="I29" s="17">
        <f>SQRT((4*(HSP!$B$4-$B29)^2+(HSP!$C$4-$C29)^2+(HSP!$D$4-$D29)^2))</f>
        <v>6.5649067015457279</v>
      </c>
      <c r="J29" s="17">
        <f>SQRT((4*(HSP!$B$5-$B29)^2+(HSP!$C$5-$C29)^2+(HSP!$D$5-$D29)^2))</f>
        <v>5.3932272342262761</v>
      </c>
      <c r="K29" s="17">
        <f>SQRT((4*(HSP!$B$6-$B29)^2+(HSP!$C$6-$C29)^2+(HSP!$D$6-$D29)^2))</f>
        <v>8.4687071032123917</v>
      </c>
      <c r="L29" s="17" t="s">
        <v>35</v>
      </c>
      <c r="M29" s="17" t="s">
        <v>35</v>
      </c>
      <c r="N29" s="17" t="s">
        <v>35</v>
      </c>
      <c r="O29" s="17" t="s">
        <v>35</v>
      </c>
      <c r="P29" s="17" t="s">
        <v>35</v>
      </c>
      <c r="Q29" s="17">
        <f>$G29/HSP!$E$2</f>
        <v>0.40566948284113352</v>
      </c>
      <c r="R29" s="17">
        <f>$H29/HSP!$E$3</f>
        <v>0.47511690857888689</v>
      </c>
      <c r="S29" s="17">
        <f>$I29/HSP!$E$4</f>
        <v>0.41288721393369354</v>
      </c>
      <c r="T29" s="17">
        <f>$J29/HSP!$E$5</f>
        <v>0.39366622147637054</v>
      </c>
      <c r="U29" s="17">
        <f>$K29/HSP!$E$6</f>
        <v>0.57220993940624265</v>
      </c>
      <c r="V29" s="12"/>
      <c r="W29" s="12"/>
      <c r="X29" s="12"/>
      <c r="Y29" s="12"/>
      <c r="Z29" s="12"/>
    </row>
    <row r="30" spans="1:26" ht="15" customHeight="1" x14ac:dyDescent="0.3">
      <c r="A30" s="28" t="s">
        <v>103</v>
      </c>
      <c r="B30" s="17">
        <v>16</v>
      </c>
      <c r="C30" s="17">
        <v>3.3</v>
      </c>
      <c r="D30" s="17">
        <v>8.9</v>
      </c>
      <c r="E30" s="17" t="s">
        <v>35</v>
      </c>
      <c r="F30" s="22">
        <v>291.10000000000002</v>
      </c>
      <c r="G30" s="17">
        <f>SQRT((4*(HSP!$B$2-$B30)^2+(HSP!$C$2-$C30)^2+(HSP!$D$2-$D30)^2))</f>
        <v>7.924140331922449</v>
      </c>
      <c r="H30" s="17">
        <f>SQRT((4*(HSP!$B$3-$B30)^2+(HSP!$C$3-$C30)^2+(HSP!$D$3-$D30)^2))</f>
        <v>7.0936873345249722</v>
      </c>
      <c r="I30" s="17">
        <f>SQRT((4*(HSP!$B$4-$B30)^2+(HSP!$C$4-$C30)^2+(HSP!$D$4-$D30)^2))</f>
        <v>3.0116440692751199</v>
      </c>
      <c r="J30" s="17">
        <f>SQRT((4*(HSP!$B$5-$B30)^2+(HSP!$C$5-$C30)^2+(HSP!$D$5-$D30)^2))</f>
        <v>9.7462249101895875</v>
      </c>
      <c r="K30" s="17">
        <f>SQRT((4*(HSP!$B$6-$B30)^2+(HSP!$C$6-$C30)^2+(HSP!$D$6-$D30)^2))</f>
        <v>6.1180879366024161</v>
      </c>
      <c r="L30" s="17" t="s">
        <v>35</v>
      </c>
      <c r="M30" s="17" t="s">
        <v>35</v>
      </c>
      <c r="N30" s="17" t="s">
        <v>35</v>
      </c>
      <c r="O30" s="17" t="s">
        <v>35</v>
      </c>
      <c r="P30" s="17" t="s">
        <v>35</v>
      </c>
      <c r="Q30" s="17">
        <f>$G30/HSP!$E$2</f>
        <v>0.48614357864554902</v>
      </c>
      <c r="R30" s="17">
        <f>$H30/HSP!$E$3</f>
        <v>0.52545832107592383</v>
      </c>
      <c r="S30" s="17">
        <f>$I30/HSP!$E$4</f>
        <v>0.1894115766839698</v>
      </c>
      <c r="T30" s="17">
        <f>$J30/HSP!$E$5</f>
        <v>0.71140327811602833</v>
      </c>
      <c r="U30" s="17">
        <f>$K30/HSP!$E$6</f>
        <v>0.41338432004070375</v>
      </c>
      <c r="V30" s="12"/>
      <c r="W30" s="12"/>
      <c r="X30" s="12"/>
      <c r="Y30" s="12"/>
      <c r="Z30" s="12"/>
    </row>
    <row r="31" spans="1:26" ht="15" customHeight="1" x14ac:dyDescent="0.3">
      <c r="A31" s="26" t="s">
        <v>104</v>
      </c>
      <c r="B31" s="17">
        <v>16.100000000000001</v>
      </c>
      <c r="C31" s="17">
        <v>4.3</v>
      </c>
      <c r="D31" s="17">
        <v>10.7</v>
      </c>
      <c r="E31" s="17" t="s">
        <v>35</v>
      </c>
      <c r="F31" s="22">
        <v>322.2</v>
      </c>
      <c r="G31" s="17">
        <f>SQRT((4*(HSP!$B$2-$B31)^2+(HSP!$C$2-$C31)^2+(HSP!$D$2-$D31)^2))</f>
        <v>7.7964094299876292</v>
      </c>
      <c r="H31" s="17">
        <f>SQRT((4*(HSP!$B$3-$B31)^2+(HSP!$C$3-$C31)^2+(HSP!$D$3-$D31)^2))</f>
        <v>7.294957162314252</v>
      </c>
      <c r="I31" s="17">
        <f>SQRT((4*(HSP!$B$4-$B31)^2+(HSP!$C$4-$C31)^2+(HSP!$D$4-$D31)^2))</f>
        <v>4.3375108069029649</v>
      </c>
      <c r="J31" s="17">
        <f>SQRT((4*(HSP!$B$5-$B31)^2+(HSP!$C$5-$C31)^2+(HSP!$D$5-$D31)^2))</f>
        <v>8.585155793577659</v>
      </c>
      <c r="K31" s="17">
        <f>SQRT((4*(HSP!$B$6-$B31)^2+(HSP!$C$6-$C31)^2+(HSP!$D$6-$D31)^2))</f>
        <v>7.3630835931693728</v>
      </c>
      <c r="L31" s="17" t="s">
        <v>35</v>
      </c>
      <c r="M31" s="17" t="s">
        <v>35</v>
      </c>
      <c r="N31" s="17" t="s">
        <v>35</v>
      </c>
      <c r="O31" s="17" t="s">
        <v>35</v>
      </c>
      <c r="P31" s="17" t="s">
        <v>35</v>
      </c>
      <c r="Q31" s="17">
        <f>$G31/HSP!$E$2</f>
        <v>0.47830732699310607</v>
      </c>
      <c r="R31" s="17">
        <f>$H31/HSP!$E$3</f>
        <v>0.54036719720846316</v>
      </c>
      <c r="S31" s="17">
        <f>$I31/HSP!$E$4</f>
        <v>0.27279942181779654</v>
      </c>
      <c r="T31" s="17">
        <f>$J31/HSP!$E$5</f>
        <v>0.62665370756041305</v>
      </c>
      <c r="U31" s="17">
        <f>$K31/HSP!$E$6</f>
        <v>0.49750564818711973</v>
      </c>
      <c r="V31" s="12"/>
      <c r="W31" s="12"/>
      <c r="X31" s="12"/>
      <c r="Y31" s="12"/>
      <c r="Z31" s="12"/>
    </row>
    <row r="32" spans="1:26" ht="15" customHeight="1" x14ac:dyDescent="0.3">
      <c r="A32" s="26" t="s">
        <v>105</v>
      </c>
      <c r="B32" s="17">
        <v>16.100000000000001</v>
      </c>
      <c r="C32" s="17">
        <v>5.2</v>
      </c>
      <c r="D32" s="17">
        <v>11.5</v>
      </c>
      <c r="E32" s="17" t="s">
        <v>35</v>
      </c>
      <c r="F32" s="22">
        <v>323.10000000000002</v>
      </c>
      <c r="G32" s="17">
        <f>SQRT((4*(HSP!$B$2-$B32)^2+(HSP!$C$2-$C32)^2+(HSP!$D$2-$D32)^2))</f>
        <v>7.5563218565648747</v>
      </c>
      <c r="H32" s="17">
        <f>SQRT((4*(HSP!$B$3-$B32)^2+(HSP!$C$3-$C32)^2+(HSP!$D$3-$D32)^2))</f>
        <v>7.2681772130294133</v>
      </c>
      <c r="I32" s="17">
        <f>SQRT((4*(HSP!$B$4-$B32)^2+(HSP!$C$4-$C32)^2+(HSP!$D$4-$D32)^2))</f>
        <v>5.0813384063650018</v>
      </c>
      <c r="J32" s="17">
        <f>SQRT((4*(HSP!$B$5-$B32)^2+(HSP!$C$5-$C32)^2+(HSP!$D$5-$D32)^2))</f>
        <v>7.7221046353957172</v>
      </c>
      <c r="K32" s="17">
        <f>SQRT((4*(HSP!$B$6-$B32)^2+(HSP!$C$6-$C32)^2+(HSP!$D$6-$D32)^2))</f>
        <v>7.9240772333439571</v>
      </c>
      <c r="L32" s="17" t="s">
        <v>35</v>
      </c>
      <c r="M32" s="17" t="s">
        <v>35</v>
      </c>
      <c r="N32" s="17" t="s">
        <v>35</v>
      </c>
      <c r="O32" s="17" t="s">
        <v>35</v>
      </c>
      <c r="P32" s="17" t="s">
        <v>35</v>
      </c>
      <c r="Q32" s="17">
        <f>$G32/HSP!$E$2</f>
        <v>0.463578028010115</v>
      </c>
      <c r="R32" s="17">
        <f>$H32/HSP!$E$3</f>
        <v>0.53838349726143797</v>
      </c>
      <c r="S32" s="17">
        <f>$I32/HSP!$E$4</f>
        <v>0.31958103184685543</v>
      </c>
      <c r="T32" s="17">
        <f>$J32/HSP!$E$5</f>
        <v>0.56365727265662169</v>
      </c>
      <c r="U32" s="17">
        <f>$K32/HSP!$E$6</f>
        <v>0.53541062387459171</v>
      </c>
      <c r="V32" s="12"/>
      <c r="W32" s="12"/>
      <c r="X32" s="12"/>
      <c r="Y32" s="12"/>
      <c r="Z32" s="12"/>
    </row>
    <row r="33" spans="1:26" ht="15" customHeight="1" x14ac:dyDescent="0.3">
      <c r="A33" s="26" t="s">
        <v>106</v>
      </c>
      <c r="B33" s="17">
        <v>16.600000000000001</v>
      </c>
      <c r="C33" s="17">
        <v>5.5</v>
      </c>
      <c r="D33" s="17">
        <v>8.9</v>
      </c>
      <c r="E33" s="17" t="s">
        <v>35</v>
      </c>
      <c r="F33" s="22">
        <v>378.7</v>
      </c>
      <c r="G33" s="17">
        <f>SQRT((4*(HSP!$B$2-$B33)^2+(HSP!$C$2-$C33)^2+(HSP!$D$2-$D33)^2))</f>
        <v>6.6549229897873374</v>
      </c>
      <c r="H33" s="17">
        <f>SQRT((4*(HSP!$B$3-$B33)^2+(HSP!$C$3-$C33)^2+(HSP!$D$3-$D33)^2))</f>
        <v>5.4867476705239522</v>
      </c>
      <c r="I33" s="17">
        <f>SQRT((4*(HSP!$B$4-$B33)^2+(HSP!$C$4-$C33)^2+(HSP!$D$4-$D33)^2))</f>
        <v>3.6417028983704887</v>
      </c>
      <c r="J33" s="17">
        <f>SQRT((4*(HSP!$B$5-$B33)^2+(HSP!$C$5-$C33)^2+(HSP!$D$5-$D33)^2))</f>
        <v>7.9576943897086192</v>
      </c>
      <c r="K33" s="17">
        <f>SQRT((4*(HSP!$B$6-$B33)^2+(HSP!$C$6-$C33)^2+(HSP!$D$6-$D33)^2))</f>
        <v>5.7829923050268732</v>
      </c>
      <c r="L33" s="17" t="s">
        <v>35</v>
      </c>
      <c r="M33" s="17" t="s">
        <v>35</v>
      </c>
      <c r="N33" s="17" t="s">
        <v>35</v>
      </c>
      <c r="O33" s="17" t="s">
        <v>35</v>
      </c>
      <c r="P33" s="17" t="s">
        <v>35</v>
      </c>
      <c r="Q33" s="17">
        <f>$G33/HSP!$E$2</f>
        <v>0.40827748403603298</v>
      </c>
      <c r="R33" s="17">
        <f>$H33/HSP!$E$3</f>
        <v>0.40642575337214459</v>
      </c>
      <c r="S33" s="17">
        <f>$I33/HSP!$E$4</f>
        <v>0.22903791813650873</v>
      </c>
      <c r="T33" s="17">
        <f>$J33/HSP!$E$5</f>
        <v>0.58085360508822037</v>
      </c>
      <c r="U33" s="17">
        <f>$K33/HSP!$E$6</f>
        <v>0.39074272331262655</v>
      </c>
      <c r="V33" s="12"/>
      <c r="W33" s="12"/>
      <c r="X33" s="12"/>
      <c r="Y33" s="12"/>
      <c r="Z33" s="12"/>
    </row>
    <row r="34" spans="1:26" ht="15" customHeight="1" x14ac:dyDescent="0.3">
      <c r="A34" s="26" t="s">
        <v>107</v>
      </c>
      <c r="B34" s="17">
        <v>18.2</v>
      </c>
      <c r="C34" s="17">
        <v>6.6</v>
      </c>
      <c r="D34" s="17">
        <v>5.6</v>
      </c>
      <c r="E34" s="17" t="s">
        <v>35</v>
      </c>
      <c r="F34" s="22">
        <v>342</v>
      </c>
      <c r="G34" s="17">
        <f>SQRT((4*(HSP!$B$2-$B34)^2+(HSP!$C$2-$C34)^2+(HSP!$D$2-$D34)^2))</f>
        <v>8.2851674696411539</v>
      </c>
      <c r="H34" s="17">
        <f>SQRT((4*(HSP!$B$3-$B34)^2+(HSP!$C$3-$C34)^2+(HSP!$D$3-$D34)^2))</f>
        <v>5.8832304051430793</v>
      </c>
      <c r="I34" s="17">
        <f>SQRT((4*(HSP!$B$4-$B34)^2+(HSP!$C$4-$C34)^2+(HSP!$D$4-$D34)^2))</f>
        <v>6.4691575958543455</v>
      </c>
      <c r="J34" s="17">
        <f>SQRT((4*(HSP!$B$5-$B34)^2+(HSP!$C$5-$C34)^2+(HSP!$D$5-$D34)^2))</f>
        <v>10.010139859162809</v>
      </c>
      <c r="K34" s="17">
        <f>SQRT((4*(HSP!$B$6-$B34)^2+(HSP!$C$6-$C34)^2+(HSP!$D$6-$D34)^2))</f>
        <v>6.1180879366024143</v>
      </c>
      <c r="L34" s="17" t="s">
        <v>35</v>
      </c>
      <c r="M34" s="17" t="s">
        <v>35</v>
      </c>
      <c r="N34" s="17" t="s">
        <v>35</v>
      </c>
      <c r="O34" s="17" t="s">
        <v>35</v>
      </c>
      <c r="P34" s="17" t="s">
        <v>35</v>
      </c>
      <c r="Q34" s="17">
        <f>$G34/HSP!$E$2</f>
        <v>0.50829248280007078</v>
      </c>
      <c r="R34" s="17">
        <f>$H34/HSP!$E$3</f>
        <v>0.43579484482541325</v>
      </c>
      <c r="S34" s="17">
        <f>$I34/HSP!$E$4</f>
        <v>0.4068652576009022</v>
      </c>
      <c r="T34" s="17">
        <f>$J34/HSP!$E$5</f>
        <v>0.73066714300458468</v>
      </c>
      <c r="U34" s="17">
        <f>$K34/HSP!$E$6</f>
        <v>0.41338432004070363</v>
      </c>
      <c r="V34" s="12"/>
      <c r="W34" s="12"/>
      <c r="X34" s="12"/>
      <c r="Y34" s="12"/>
      <c r="Z34" s="12"/>
    </row>
    <row r="35" spans="1:26" ht="15" customHeight="1" x14ac:dyDescent="0.3">
      <c r="A35" s="26" t="s">
        <v>108</v>
      </c>
      <c r="B35" s="17">
        <v>16.100000000000001</v>
      </c>
      <c r="C35" s="17">
        <v>3.8</v>
      </c>
      <c r="D35" s="17">
        <v>9</v>
      </c>
      <c r="E35" s="17" t="s">
        <v>35</v>
      </c>
      <c r="F35" s="22">
        <v>356.9</v>
      </c>
      <c r="G35" s="17">
        <f>SQRT((4*(HSP!$B$2-$B35)^2+(HSP!$C$2-$C35)^2+(HSP!$D$2-$D35)^2))</f>
        <v>7.5786542340972405</v>
      </c>
      <c r="H35" s="17">
        <f>SQRT((4*(HSP!$B$3-$B35)^2+(HSP!$C$3-$C35)^2+(HSP!$D$3-$D35)^2))</f>
        <v>6.7174697617480952</v>
      </c>
      <c r="I35" s="17">
        <f>SQRT((4*(HSP!$B$4-$B35)^2+(HSP!$C$4-$C35)^2+(HSP!$D$4-$D35)^2))</f>
        <v>3.0123080851732302</v>
      </c>
      <c r="J35" s="17">
        <f>SQRT((4*(HSP!$B$5-$B35)^2+(HSP!$C$5-$C35)^2+(HSP!$D$5-$D35)^2))</f>
        <v>9.2761468293683258</v>
      </c>
      <c r="K35" s="17">
        <f>SQRT((4*(HSP!$B$6-$B35)^2+(HSP!$C$6-$C35)^2+(HSP!$D$6-$D35)^2))</f>
        <v>6.0162280541881072</v>
      </c>
      <c r="L35" s="17" t="s">
        <v>35</v>
      </c>
      <c r="M35" s="17" t="s">
        <v>35</v>
      </c>
      <c r="N35" s="17" t="s">
        <v>35</v>
      </c>
      <c r="O35" s="17" t="s">
        <v>35</v>
      </c>
      <c r="P35" s="17" t="s">
        <v>35</v>
      </c>
      <c r="Q35" s="17">
        <f>$G35/HSP!$E$2</f>
        <v>0.46494811252130308</v>
      </c>
      <c r="R35" s="17">
        <f>$H35/HSP!$E$3</f>
        <v>0.49759035272208113</v>
      </c>
      <c r="S35" s="17">
        <f>$I35/HSP!$E$4</f>
        <v>0.18945333869014025</v>
      </c>
      <c r="T35" s="17">
        <f>$J35/HSP!$E$5</f>
        <v>0.67709100944294354</v>
      </c>
      <c r="U35" s="17">
        <f>$K35/HSP!$E$6</f>
        <v>0.40650189555325045</v>
      </c>
      <c r="V35" s="12"/>
      <c r="W35" s="12"/>
      <c r="X35" s="12"/>
      <c r="Y35" s="12"/>
      <c r="Z35" s="12"/>
    </row>
    <row r="36" spans="1:26" ht="15" customHeight="1" x14ac:dyDescent="0.3">
      <c r="A36" s="26" t="s">
        <v>109</v>
      </c>
      <c r="B36" s="17">
        <v>16</v>
      </c>
      <c r="C36" s="17">
        <v>6.8</v>
      </c>
      <c r="D36" s="17">
        <v>7.8</v>
      </c>
      <c r="E36" s="17" t="s">
        <v>35</v>
      </c>
      <c r="F36" s="22">
        <v>4315</v>
      </c>
      <c r="G36" s="17">
        <f>SQRT((4*(HSP!$B$2-$B36)^2+(HSP!$C$2-$C36)^2+(HSP!$D$2-$D36)^2))</f>
        <v>4.6805982523604834</v>
      </c>
      <c r="H36" s="17">
        <f>SQRT((4*(HSP!$B$3-$B36)^2+(HSP!$C$3-$C36)^2+(HSP!$D$3-$D36)^2))</f>
        <v>3.5333270440195599</v>
      </c>
      <c r="I36" s="17">
        <f>SQRT((4*(HSP!$B$4-$B36)^2+(HSP!$C$4-$C36)^2+(HSP!$D$4-$D36)^2))</f>
        <v>2.8722813232690143</v>
      </c>
      <c r="J36" s="17">
        <f>SQRT((4*(HSP!$B$5-$B36)^2+(HSP!$C$5-$C36)^2+(HSP!$D$5-$D36)^2))</f>
        <v>6.8538237502871358</v>
      </c>
      <c r="K36" s="17">
        <f>SQRT((4*(HSP!$B$6-$B36)^2+(HSP!$C$6-$C36)^2+(HSP!$D$6-$D36)^2))</f>
        <v>4.2274105549378564</v>
      </c>
      <c r="L36" s="17" t="s">
        <v>35</v>
      </c>
      <c r="M36" s="17" t="s">
        <v>35</v>
      </c>
      <c r="N36" s="17" t="s">
        <v>35</v>
      </c>
      <c r="O36" s="17" t="s">
        <v>35</v>
      </c>
      <c r="P36" s="17" t="s">
        <v>35</v>
      </c>
      <c r="Q36" s="17">
        <f>$G36/HSP!$E$2</f>
        <v>0.28715326701598054</v>
      </c>
      <c r="R36" s="17">
        <f>$H36/HSP!$E$3</f>
        <v>0.26172792918663407</v>
      </c>
      <c r="S36" s="17">
        <f>$I36/HSP!$E$4</f>
        <v>0.18064662410496946</v>
      </c>
      <c r="T36" s="17">
        <f>$J36/HSP!$E$5</f>
        <v>0.50027910586037494</v>
      </c>
      <c r="U36" s="17">
        <f>$K36/HSP!$E$6</f>
        <v>0.28563584830661193</v>
      </c>
      <c r="V36" s="12"/>
      <c r="W36" s="12"/>
      <c r="X36" s="12"/>
      <c r="Y36" s="12"/>
      <c r="Z36" s="12"/>
    </row>
    <row r="37" spans="1:26" ht="15" customHeight="1" x14ac:dyDescent="0.3">
      <c r="A37" s="26" t="s">
        <v>110</v>
      </c>
      <c r="B37" s="17">
        <v>16</v>
      </c>
      <c r="C37" s="17">
        <v>7</v>
      </c>
      <c r="D37" s="17">
        <v>8</v>
      </c>
      <c r="E37" s="17" t="s">
        <v>35</v>
      </c>
      <c r="F37" s="22">
        <v>480</v>
      </c>
      <c r="G37" s="17">
        <f>SQRT((4*(HSP!$B$2-$B37)^2+(HSP!$C$2-$C37)^2+(HSP!$D$2-$D37)^2))</f>
        <v>4.5663990189207082</v>
      </c>
      <c r="H37" s="17">
        <f>SQRT((4*(HSP!$B$3-$B37)^2+(HSP!$C$3-$C37)^2+(HSP!$D$3-$D37)^2))</f>
        <v>3.4946244433415159</v>
      </c>
      <c r="I37" s="17">
        <f>SQRT((4*(HSP!$B$4-$B37)^2+(HSP!$C$4-$C37)^2+(HSP!$D$4-$D37)^2))</f>
        <v>3.0948344059093054</v>
      </c>
      <c r="J37" s="17">
        <f>SQRT((4*(HSP!$B$5-$B37)^2+(HSP!$C$5-$C37)^2+(HSP!$D$5-$D37)^2))</f>
        <v>6.5905159130374615</v>
      </c>
      <c r="K37" s="17">
        <f>SQRT((4*(HSP!$B$6-$B37)^2+(HSP!$C$6-$C37)^2+(HSP!$D$6-$D37)^2))</f>
        <v>4.4361018924276303</v>
      </c>
      <c r="L37" s="17" t="s">
        <v>35</v>
      </c>
      <c r="M37" s="17" t="s">
        <v>35</v>
      </c>
      <c r="N37" s="17" t="s">
        <v>35</v>
      </c>
      <c r="O37" s="17" t="s">
        <v>35</v>
      </c>
      <c r="P37" s="17" t="s">
        <v>35</v>
      </c>
      <c r="Q37" s="17">
        <f>$G37/HSP!$E$2</f>
        <v>0.28014717907489006</v>
      </c>
      <c r="R37" s="17">
        <f>$H37/HSP!$E$3</f>
        <v>0.25886106987714935</v>
      </c>
      <c r="S37" s="17">
        <f>$I37/HSP!$E$4</f>
        <v>0.19464367332762927</v>
      </c>
      <c r="T37" s="17">
        <f>$J37/HSP!$E$5</f>
        <v>0.4810595556961651</v>
      </c>
      <c r="U37" s="17">
        <f>$K37/HSP!$E$6</f>
        <v>0.29973661435321824</v>
      </c>
      <c r="V37" s="12"/>
      <c r="W37" s="12"/>
      <c r="X37" s="12"/>
      <c r="Y37" s="12"/>
      <c r="Z37" s="12"/>
    </row>
    <row r="38" spans="1:26" ht="15" customHeight="1" x14ac:dyDescent="0.3">
      <c r="A38" s="26" t="s">
        <v>111</v>
      </c>
      <c r="B38" s="17">
        <v>16.3</v>
      </c>
      <c r="C38" s="17">
        <v>4.8</v>
      </c>
      <c r="D38" s="17">
        <v>6.1</v>
      </c>
      <c r="E38" s="17" t="s">
        <v>35</v>
      </c>
      <c r="F38" s="22">
        <v>620.1</v>
      </c>
      <c r="G38" s="17">
        <f>SQRT((4*(HSP!$B$2-$B38)^2+(HSP!$C$2-$C38)^2+(HSP!$D$2-$D38)^2))</f>
        <v>6.6610809933523569</v>
      </c>
      <c r="H38" s="17">
        <f>SQRT((4*(HSP!$B$3-$B38)^2+(HSP!$C$3-$C38)^2+(HSP!$D$3-$D38)^2))</f>
        <v>5.0186053839687386</v>
      </c>
      <c r="I38" s="17">
        <f>SQRT((4*(HSP!$B$4-$B38)^2+(HSP!$C$4-$C38)^2+(HSP!$D$4-$D38)^2))</f>
        <v>2.3689660191737674</v>
      </c>
      <c r="J38" s="17">
        <f>SQRT((4*(HSP!$B$5-$B38)^2+(HSP!$C$5-$C38)^2+(HSP!$D$5-$D38)^2))</f>
        <v>9.5025733356812374</v>
      </c>
      <c r="K38" s="17">
        <f>SQRT((4*(HSP!$B$6-$B38)^2+(HSP!$C$6-$C38)^2+(HSP!$D$6-$D38)^2))</f>
        <v>3.4587570021613265</v>
      </c>
      <c r="L38" s="17" t="s">
        <v>35</v>
      </c>
      <c r="M38" s="17" t="s">
        <v>35</v>
      </c>
      <c r="N38" s="17" t="s">
        <v>35</v>
      </c>
      <c r="O38" s="17" t="s">
        <v>35</v>
      </c>
      <c r="P38" s="17" t="s">
        <v>35</v>
      </c>
      <c r="Q38" s="17">
        <f>$G38/HSP!$E$2</f>
        <v>0.40865527566578874</v>
      </c>
      <c r="R38" s="17">
        <f>$H38/HSP!$E$3</f>
        <v>0.3717485469606473</v>
      </c>
      <c r="S38" s="17">
        <f>$I38/HSP!$E$4</f>
        <v>0.14899157353294135</v>
      </c>
      <c r="T38" s="17">
        <f>$J38/HSP!$E$5</f>
        <v>0.69361849165556477</v>
      </c>
      <c r="U38" s="17">
        <f>$K38/HSP!$E$6</f>
        <v>0.23369979744333286</v>
      </c>
      <c r="V38" s="12"/>
      <c r="W38" s="12"/>
      <c r="X38" s="12"/>
      <c r="Y38" s="12"/>
      <c r="Z38" s="12"/>
    </row>
    <row r="39" spans="1:26" ht="15" customHeight="1" x14ac:dyDescent="0.3">
      <c r="A39" s="26" t="s">
        <v>112</v>
      </c>
      <c r="B39" s="17">
        <v>16.5</v>
      </c>
      <c r="C39" s="17">
        <v>7.3</v>
      </c>
      <c r="D39" s="17">
        <v>9.6999999999999993</v>
      </c>
      <c r="E39" s="17" t="s">
        <v>35</v>
      </c>
      <c r="F39" s="22">
        <v>556.79999999999995</v>
      </c>
      <c r="G39" s="17">
        <f>SQRT((4*(HSP!$B$2-$B39)^2+(HSP!$C$2-$C39)^2+(HSP!$D$2-$D39)^2))</f>
        <v>5.6412764513007163</v>
      </c>
      <c r="H39" s="17">
        <f>SQRT((4*(HSP!$B$3-$B39)^2+(HSP!$C$3-$C39)^2+(HSP!$D$3-$D39)^2))</f>
        <v>4.8216594653708178</v>
      </c>
      <c r="I39" s="17">
        <f>SQRT((4*(HSP!$B$4-$B39)^2+(HSP!$C$4-$C39)^2+(HSP!$D$4-$D39)^2))</f>
        <v>4.7275786614291251</v>
      </c>
      <c r="J39" s="17">
        <f>SQRT((4*(HSP!$B$5-$B39)^2+(HSP!$C$5-$C39)^2+(HSP!$D$5-$D39)^2))</f>
        <v>6.0779025987588851</v>
      </c>
      <c r="K39" s="17">
        <f>SQRT((4*(HSP!$B$6-$B39)^2+(HSP!$C$6-$C39)^2+(HSP!$D$6-$D39)^2))</f>
        <v>6.4055444733449471</v>
      </c>
      <c r="L39" s="17" t="s">
        <v>35</v>
      </c>
      <c r="M39" s="17" t="s">
        <v>35</v>
      </c>
      <c r="N39" s="17" t="s">
        <v>35</v>
      </c>
      <c r="O39" s="17" t="s">
        <v>35</v>
      </c>
      <c r="P39" s="17" t="s">
        <v>35</v>
      </c>
      <c r="Q39" s="17">
        <f>$G39/HSP!$E$2</f>
        <v>0.34609057983439978</v>
      </c>
      <c r="R39" s="17">
        <f>$H39/HSP!$E$3</f>
        <v>0.35715996039783837</v>
      </c>
      <c r="S39" s="17">
        <f>$I39/HSP!$E$4</f>
        <v>0.29733199128485061</v>
      </c>
      <c r="T39" s="17">
        <f>$J39/HSP!$E$5</f>
        <v>0.44364252545685295</v>
      </c>
      <c r="U39" s="17">
        <f>$K39/HSP!$E$6</f>
        <v>0.43280705900979372</v>
      </c>
      <c r="V39" s="12"/>
      <c r="W39" s="12"/>
      <c r="X39" s="12"/>
      <c r="Y39" s="12"/>
      <c r="Z39" s="12"/>
    </row>
    <row r="40" spans="1:26" ht="15" customHeight="1" x14ac:dyDescent="0.3">
      <c r="A40" s="26" t="s">
        <v>113</v>
      </c>
      <c r="B40" s="17">
        <v>16</v>
      </c>
      <c r="C40" s="17">
        <v>7</v>
      </c>
      <c r="D40" s="17">
        <v>8</v>
      </c>
      <c r="E40" s="17" t="s">
        <v>35</v>
      </c>
      <c r="F40" s="22">
        <v>320</v>
      </c>
      <c r="G40" s="17">
        <f>SQRT((4*(HSP!$B$2-$B40)^2+(HSP!$C$2-$C40)^2+(HSP!$D$2-$D40)^2))</f>
        <v>4.5663990189207082</v>
      </c>
      <c r="H40" s="17">
        <f>SQRT((4*(HSP!$B$3-$B40)^2+(HSP!$C$3-$C40)^2+(HSP!$D$3-$D40)^2))</f>
        <v>3.4946244433415159</v>
      </c>
      <c r="I40" s="17">
        <f>SQRT((4*(HSP!$B$4-$B40)^2+(HSP!$C$4-$C40)^2+(HSP!$D$4-$D40)^2))</f>
        <v>3.0948344059093054</v>
      </c>
      <c r="J40" s="17">
        <f>SQRT((4*(HSP!$B$5-$B40)^2+(HSP!$C$5-$C40)^2+(HSP!$D$5-$D40)^2))</f>
        <v>6.5905159130374615</v>
      </c>
      <c r="K40" s="17">
        <f>SQRT((4*(HSP!$B$6-$B40)^2+(HSP!$C$6-$C40)^2+(HSP!$D$6-$D40)^2))</f>
        <v>4.4361018924276303</v>
      </c>
      <c r="L40" s="17" t="s">
        <v>35</v>
      </c>
      <c r="M40" s="17" t="s">
        <v>35</v>
      </c>
      <c r="N40" s="17" t="s">
        <v>35</v>
      </c>
      <c r="O40" s="17" t="s">
        <v>35</v>
      </c>
      <c r="P40" s="17" t="s">
        <v>35</v>
      </c>
      <c r="Q40" s="17">
        <f>$G40/HSP!$E$2</f>
        <v>0.28014717907489006</v>
      </c>
      <c r="R40" s="17">
        <f>$H40/HSP!$E$3</f>
        <v>0.25886106987714935</v>
      </c>
      <c r="S40" s="17">
        <f>$I40/HSP!$E$4</f>
        <v>0.19464367332762927</v>
      </c>
      <c r="T40" s="17">
        <f>$J40/HSP!$E$5</f>
        <v>0.4810595556961651</v>
      </c>
      <c r="U40" s="17">
        <f>$K40/HSP!$E$6</f>
        <v>0.29973661435321824</v>
      </c>
      <c r="V40" s="12"/>
      <c r="W40" s="12"/>
      <c r="X40" s="12"/>
      <c r="Y40" s="12"/>
      <c r="Z40" s="12"/>
    </row>
    <row r="41" spans="1:26" ht="15" customHeight="1" x14ac:dyDescent="0.3">
      <c r="A41" s="26" t="s">
        <v>114</v>
      </c>
      <c r="B41" s="17">
        <v>17.2</v>
      </c>
      <c r="C41" s="17">
        <v>5.3</v>
      </c>
      <c r="D41" s="17">
        <v>6.2</v>
      </c>
      <c r="E41" s="17" t="s">
        <v>35</v>
      </c>
      <c r="F41" s="22">
        <v>265.60000000000002</v>
      </c>
      <c r="G41" s="17">
        <f>SQRT((4*(HSP!$B$2-$B41)^2+(HSP!$C$2-$C41)^2+(HSP!$D$2-$D41)^2))</f>
        <v>7.3670889773369783</v>
      </c>
      <c r="H41" s="17">
        <f>SQRT((4*(HSP!$B$3-$B41)^2+(HSP!$C$3-$C41)^2+(HSP!$D$3-$D41)^2))</f>
        <v>5.3173677698650863</v>
      </c>
      <c r="I41" s="17">
        <f>SQRT((4*(HSP!$B$4-$B41)^2+(HSP!$C$4-$C41)^2+(HSP!$D$4-$D41)^2))</f>
        <v>4.1506625977065381</v>
      </c>
      <c r="J41" s="17">
        <f>SQRT((4*(HSP!$B$5-$B41)^2+(HSP!$C$5-$C41)^2+(HSP!$D$5-$D41)^2))</f>
        <v>9.6087928482198013</v>
      </c>
      <c r="K41" s="17">
        <f>SQRT((4*(HSP!$B$6-$B41)^2+(HSP!$C$6-$C41)^2+(HSP!$D$6-$D41)^2))</f>
        <v>4.6582185436065577</v>
      </c>
      <c r="L41" s="17" t="s">
        <v>35</v>
      </c>
      <c r="M41" s="17" t="s">
        <v>35</v>
      </c>
      <c r="N41" s="17" t="s">
        <v>35</v>
      </c>
      <c r="O41" s="17" t="s">
        <v>35</v>
      </c>
      <c r="P41" s="17" t="s">
        <v>35</v>
      </c>
      <c r="Q41" s="17">
        <f>$G41/HSP!$E$2</f>
        <v>0.451968648916379</v>
      </c>
      <c r="R41" s="17">
        <f>$H41/HSP!$E$3</f>
        <v>0.39387909406408045</v>
      </c>
      <c r="S41" s="17">
        <f>$I41/HSP!$E$4</f>
        <v>0.26104796211990805</v>
      </c>
      <c r="T41" s="17">
        <f>$J41/HSP!$E$5</f>
        <v>0.70137174074597097</v>
      </c>
      <c r="U41" s="17">
        <f>$K41/HSP!$E$6</f>
        <v>0.31474449618963224</v>
      </c>
      <c r="V41" s="12"/>
      <c r="W41" s="12"/>
      <c r="X41" s="12"/>
      <c r="Y41" s="12"/>
      <c r="Z41" s="12"/>
    </row>
    <row r="42" spans="1:26" ht="15" customHeight="1" x14ac:dyDescent="0.3">
      <c r="A42" s="26" t="s">
        <v>115</v>
      </c>
      <c r="B42" s="17">
        <v>16.5</v>
      </c>
      <c r="C42" s="17">
        <v>4.2</v>
      </c>
      <c r="D42" s="17">
        <v>6.1</v>
      </c>
      <c r="E42" s="17" t="s">
        <v>35</v>
      </c>
      <c r="F42" s="22">
        <v>909</v>
      </c>
      <c r="G42" s="17">
        <f>SQRT((4*(HSP!$B$2-$B42)^2+(HSP!$C$2-$C42)^2+(HSP!$D$2-$D42)^2))</f>
        <v>7.3757711461243165</v>
      </c>
      <c r="H42" s="17">
        <f>SQRT((4*(HSP!$B$3-$B42)^2+(HSP!$C$3-$C42)^2+(HSP!$D$3-$D42)^2))</f>
        <v>5.702139949176976</v>
      </c>
      <c r="I42" s="17">
        <f>SQRT((4*(HSP!$B$4-$B42)^2+(HSP!$C$4-$C42)^2+(HSP!$D$4-$D42)^2))</f>
        <v>2.7921318020466011</v>
      </c>
      <c r="J42" s="17">
        <f>SQRT((4*(HSP!$B$5-$B42)^2+(HSP!$C$5-$C42)^2+(HSP!$D$5-$D42)^2))</f>
        <v>10.098064170919098</v>
      </c>
      <c r="K42" s="17">
        <f>SQRT((4*(HSP!$B$6-$B42)^2+(HSP!$C$6-$C42)^2+(HSP!$D$6-$D42)^2))</f>
        <v>4.010860256852637</v>
      </c>
      <c r="L42" s="17" t="s">
        <v>35</v>
      </c>
      <c r="M42" s="17" t="s">
        <v>35</v>
      </c>
      <c r="N42" s="17" t="s">
        <v>35</v>
      </c>
      <c r="O42" s="17" t="s">
        <v>35</v>
      </c>
      <c r="P42" s="17" t="s">
        <v>35</v>
      </c>
      <c r="Q42" s="17">
        <f>$G42/HSP!$E$2</f>
        <v>0.45250129730824024</v>
      </c>
      <c r="R42" s="17">
        <f>$H42/HSP!$E$3</f>
        <v>0.42238073697607231</v>
      </c>
      <c r="S42" s="17">
        <f>$I42/HSP!$E$4</f>
        <v>0.17560577371362271</v>
      </c>
      <c r="T42" s="17">
        <f>$J42/HSP!$E$5</f>
        <v>0.73708497597949629</v>
      </c>
      <c r="U42" s="17">
        <f>$K42/HSP!$E$6</f>
        <v>0.27100407140896193</v>
      </c>
      <c r="V42" s="12"/>
      <c r="W42" s="12"/>
      <c r="X42" s="12"/>
      <c r="Y42" s="12"/>
      <c r="Z42" s="12"/>
    </row>
    <row r="43" spans="1:26" ht="15" customHeight="1" x14ac:dyDescent="0.3">
      <c r="A43" s="26" t="s">
        <v>116</v>
      </c>
      <c r="B43" s="17">
        <v>16.5</v>
      </c>
      <c r="C43" s="17">
        <v>4.4000000000000004</v>
      </c>
      <c r="D43" s="17">
        <v>6.3</v>
      </c>
      <c r="E43" s="17" t="s">
        <v>35</v>
      </c>
      <c r="F43" s="22">
        <v>1125</v>
      </c>
      <c r="G43" s="17">
        <f>SQRT((4*(HSP!$B$2-$B43)^2+(HSP!$C$2-$C43)^2+(HSP!$D$2-$D43)^2))</f>
        <v>7.1851235201630326</v>
      </c>
      <c r="H43" s="17">
        <f>SQRT((4*(HSP!$B$3-$B43)^2+(HSP!$C$3-$C43)^2+(HSP!$D$3-$D43)^2))</f>
        <v>5.5247081370874245</v>
      </c>
      <c r="I43" s="17">
        <f>SQRT((4*(HSP!$B$4-$B43)^2+(HSP!$C$4-$C43)^2+(HSP!$D$4-$D43)^2))</f>
        <v>2.7210292170426982</v>
      </c>
      <c r="J43" s="17">
        <f>SQRT((4*(HSP!$B$5-$B43)^2+(HSP!$C$5-$C43)^2+(HSP!$D$5-$D43)^2))</f>
        <v>9.8341700209016114</v>
      </c>
      <c r="K43" s="17">
        <f>SQRT((4*(HSP!$B$6-$B43)^2+(HSP!$C$6-$C43)^2+(HSP!$D$6-$D43)^2))</f>
        <v>4.0218155104380413</v>
      </c>
      <c r="L43" s="17" t="s">
        <v>35</v>
      </c>
      <c r="M43" s="17" t="s">
        <v>35</v>
      </c>
      <c r="N43" s="17" t="s">
        <v>35</v>
      </c>
      <c r="O43" s="17" t="s">
        <v>35</v>
      </c>
      <c r="P43" s="17" t="s">
        <v>35</v>
      </c>
      <c r="Q43" s="17">
        <f>$G43/HSP!$E$2</f>
        <v>0.44080512393638233</v>
      </c>
      <c r="R43" s="17">
        <f>$H43/HSP!$E$3</f>
        <v>0.40923763978425365</v>
      </c>
      <c r="S43" s="17">
        <f>$I43/HSP!$E$4</f>
        <v>0.17113391302155334</v>
      </c>
      <c r="T43" s="17">
        <f>$J43/HSP!$E$5</f>
        <v>0.71782262926289142</v>
      </c>
      <c r="U43" s="17">
        <f>$K43/HSP!$E$6</f>
        <v>0.27174429124581356</v>
      </c>
      <c r="V43" s="12"/>
      <c r="W43" s="12"/>
      <c r="X43" s="12"/>
      <c r="Y43" s="12"/>
      <c r="Z43" s="12"/>
    </row>
    <row r="44" spans="1:26" ht="15" customHeight="1" x14ac:dyDescent="0.3">
      <c r="A44" s="26" t="s">
        <v>117</v>
      </c>
      <c r="B44" s="17">
        <v>16.100000000000001</v>
      </c>
      <c r="C44" s="17">
        <v>4.3</v>
      </c>
      <c r="D44" s="17">
        <v>5.6</v>
      </c>
      <c r="E44" s="17" t="s">
        <v>35</v>
      </c>
      <c r="F44" s="22">
        <v>425.8</v>
      </c>
      <c r="G44" s="17">
        <f>SQRT((4*(HSP!$B$2-$B44)^2+(HSP!$C$2-$C44)^2+(HSP!$D$2-$D44)^2))</f>
        <v>6.9892775020026239</v>
      </c>
      <c r="H44" s="17">
        <f>SQRT((4*(HSP!$B$3-$B44)^2+(HSP!$C$3-$C44)^2+(HSP!$D$3-$D44)^2))</f>
        <v>5.4268222745912746</v>
      </c>
      <c r="I44" s="17">
        <f>SQRT((4*(HSP!$B$4-$B44)^2+(HSP!$C$4-$C44)^2+(HSP!$D$4-$D44)^2))</f>
        <v>2.2458851261807697</v>
      </c>
      <c r="J44" s="17">
        <f>SQRT((4*(HSP!$B$5-$B44)^2+(HSP!$C$5-$C44)^2+(HSP!$D$5-$D44)^2))</f>
        <v>10.102519487731763</v>
      </c>
      <c r="K44" s="17">
        <f>SQRT((4*(HSP!$B$6-$B44)^2+(HSP!$C$6-$C44)^2+(HSP!$D$6-$D44)^2))</f>
        <v>3.2179185819408187</v>
      </c>
      <c r="L44" s="17" t="s">
        <v>35</v>
      </c>
      <c r="M44" s="17" t="s">
        <v>35</v>
      </c>
      <c r="N44" s="17" t="s">
        <v>35</v>
      </c>
      <c r="O44" s="17" t="s">
        <v>35</v>
      </c>
      <c r="P44" s="17" t="s">
        <v>35</v>
      </c>
      <c r="Q44" s="17">
        <f>$G44/HSP!$E$2</f>
        <v>0.42879003079770694</v>
      </c>
      <c r="R44" s="17">
        <f>$H44/HSP!$E$3</f>
        <v>0.40198683515490924</v>
      </c>
      <c r="S44" s="17">
        <f>$I44/HSP!$E$4</f>
        <v>0.14125063686671507</v>
      </c>
      <c r="T44" s="17">
        <f>$J44/HSP!$E$5</f>
        <v>0.73741018158626015</v>
      </c>
      <c r="U44" s="17">
        <f>$K44/HSP!$E$6</f>
        <v>0.21742693121221746</v>
      </c>
      <c r="V44" s="12"/>
      <c r="W44" s="12"/>
      <c r="X44" s="12"/>
      <c r="Y44" s="12"/>
      <c r="Z44" s="12"/>
    </row>
    <row r="45" spans="1:26" ht="15" customHeight="1" x14ac:dyDescent="0.3">
      <c r="A45" s="26" t="s">
        <v>118</v>
      </c>
      <c r="B45" s="17">
        <v>16.399999999999999</v>
      </c>
      <c r="C45" s="17">
        <v>5.0999999999999996</v>
      </c>
      <c r="D45" s="17">
        <v>6.5</v>
      </c>
      <c r="E45" s="17" t="s">
        <v>35</v>
      </c>
      <c r="F45" s="22">
        <v>680</v>
      </c>
      <c r="G45" s="17">
        <f>SQRT((4*(HSP!$B$2-$B45)^2+(HSP!$C$2-$C45)^2+(HSP!$D$2-$D45)^2))</f>
        <v>6.474565622495458</v>
      </c>
      <c r="H45" s="17">
        <f>SQRT((4*(HSP!$B$3-$B45)^2+(HSP!$C$3-$C45)^2+(HSP!$D$3-$D45)^2))</f>
        <v>4.8241475930987017</v>
      </c>
      <c r="I45" s="17">
        <f>SQRT((4*(HSP!$B$4-$B45)^2+(HSP!$C$4-$C45)^2+(HSP!$D$4-$D45)^2))</f>
        <v>2.5135632078784065</v>
      </c>
      <c r="J45" s="17">
        <f>SQRT((4*(HSP!$B$5-$B45)^2+(HSP!$C$5-$C45)^2+(HSP!$D$5-$D45)^2))</f>
        <v>9.0992801913118377</v>
      </c>
      <c r="K45" s="17">
        <f>SQRT((4*(HSP!$B$6-$B45)^2+(HSP!$C$6-$C45)^2+(HSP!$D$6-$D45)^2))</f>
        <v>3.7281362636041067</v>
      </c>
      <c r="L45" s="17" t="s">
        <v>35</v>
      </c>
      <c r="M45" s="17" t="s">
        <v>35</v>
      </c>
      <c r="N45" s="17" t="s">
        <v>35</v>
      </c>
      <c r="O45" s="17" t="s">
        <v>35</v>
      </c>
      <c r="P45" s="17" t="s">
        <v>35</v>
      </c>
      <c r="Q45" s="17">
        <f>$G45/HSP!$E$2</f>
        <v>0.39721261487702192</v>
      </c>
      <c r="R45" s="17">
        <f>$H45/HSP!$E$3</f>
        <v>0.35734426615545939</v>
      </c>
      <c r="S45" s="17">
        <f>$I45/HSP!$E$4</f>
        <v>0.15808573634455386</v>
      </c>
      <c r="T45" s="17">
        <f>$J45/HSP!$E$5</f>
        <v>0.66418103586217803</v>
      </c>
      <c r="U45" s="17">
        <f>$K45/HSP!$E$6</f>
        <v>0.25190109889216938</v>
      </c>
      <c r="V45" s="12"/>
      <c r="W45" s="12"/>
      <c r="X45" s="12"/>
      <c r="Y45" s="12"/>
      <c r="Z45" s="12"/>
    </row>
    <row r="46" spans="1:26" ht="15" customHeight="1" x14ac:dyDescent="0.3">
      <c r="A46" s="26" t="s">
        <v>119</v>
      </c>
      <c r="B46" s="17">
        <v>16.399999999999999</v>
      </c>
      <c r="C46" s="17">
        <v>4.5999999999999996</v>
      </c>
      <c r="D46" s="17">
        <v>9.5</v>
      </c>
      <c r="E46" s="17" t="s">
        <v>35</v>
      </c>
      <c r="F46" s="22">
        <v>435</v>
      </c>
      <c r="G46" s="17">
        <f>SQRT((4*(HSP!$B$2-$B46)^2+(HSP!$C$2-$C46)^2+(HSP!$D$2-$D46)^2))</f>
        <v>7.3246160308919945</v>
      </c>
      <c r="H46" s="17">
        <f>SQRT((4*(HSP!$B$3-$B46)^2+(HSP!$C$3-$C46)^2+(HSP!$D$3-$D46)^2))</f>
        <v>6.4157930141175834</v>
      </c>
      <c r="I46" s="17">
        <f>SQRT((4*(HSP!$B$4-$B46)^2+(HSP!$C$4-$C46)^2+(HSP!$D$4-$D46)^2))</f>
        <v>3.6534914807619283</v>
      </c>
      <c r="J46" s="17">
        <f>SQRT((4*(HSP!$B$5-$B46)^2+(HSP!$C$5-$C46)^2+(HSP!$D$5-$D46)^2))</f>
        <v>8.5490876706231056</v>
      </c>
      <c r="K46" s="17">
        <f>SQRT((4*(HSP!$B$6-$B46)^2+(HSP!$C$6-$C46)^2+(HSP!$D$6-$D46)^2))</f>
        <v>6.3544472615641396</v>
      </c>
      <c r="L46" s="17" t="s">
        <v>35</v>
      </c>
      <c r="M46" s="17" t="s">
        <v>35</v>
      </c>
      <c r="N46" s="17" t="s">
        <v>35</v>
      </c>
      <c r="O46" s="17" t="s">
        <v>35</v>
      </c>
      <c r="P46" s="17" t="s">
        <v>35</v>
      </c>
      <c r="Q46" s="17">
        <f>$G46/HSP!$E$2</f>
        <v>0.44936294668049043</v>
      </c>
      <c r="R46" s="17">
        <f>$H46/HSP!$E$3</f>
        <v>0.47524392697167284</v>
      </c>
      <c r="S46" s="17">
        <f>$I46/HSP!$E$4</f>
        <v>0.2297793384126999</v>
      </c>
      <c r="T46" s="17">
        <f>$J46/HSP!$E$5</f>
        <v>0.6240209978557012</v>
      </c>
      <c r="U46" s="17">
        <f>$K46/HSP!$E$6</f>
        <v>0.42935454470027967</v>
      </c>
      <c r="V46" s="12"/>
      <c r="W46" s="12"/>
      <c r="X46" s="12"/>
      <c r="Y46" s="12"/>
      <c r="Z46" s="12"/>
    </row>
    <row r="47" spans="1:26" ht="15" customHeight="1" x14ac:dyDescent="0.3">
      <c r="A47" s="26" t="s">
        <v>120</v>
      </c>
      <c r="B47" s="17">
        <v>16.600000000000001</v>
      </c>
      <c r="C47" s="17">
        <v>3.2</v>
      </c>
      <c r="D47" s="17">
        <v>7</v>
      </c>
      <c r="E47" s="17" t="s">
        <v>35</v>
      </c>
      <c r="F47" s="22">
        <v>682.2</v>
      </c>
      <c r="G47" s="17">
        <f>SQRT((4*(HSP!$B$2-$B47)^2+(HSP!$C$2-$C47)^2+(HSP!$D$2-$D47)^2))</f>
        <v>8.2890288936642058</v>
      </c>
      <c r="H47" s="17">
        <f>SQRT((4*(HSP!$B$3-$B47)^2+(HSP!$C$3-$C47)^2+(HSP!$D$3-$D47)^2))</f>
        <v>6.8144258745693325</v>
      </c>
      <c r="I47" s="17">
        <f>SQRT((4*(HSP!$B$4-$B47)^2+(HSP!$C$4-$C47)^2+(HSP!$D$4-$D47)^2))</f>
        <v>3.2264531609803382</v>
      </c>
      <c r="J47" s="17">
        <f>SQRT((4*(HSP!$B$5-$B47)^2+(HSP!$C$5-$C47)^2+(HSP!$D$5-$D47)^2))</f>
        <v>10.63724118369044</v>
      </c>
      <c r="K47" s="17">
        <f>SQRT((4*(HSP!$B$6-$B47)^2+(HSP!$C$6-$C47)^2+(HSP!$D$6-$D47)^2))</f>
        <v>5.2374612170401811</v>
      </c>
      <c r="L47" s="17" t="s">
        <v>35</v>
      </c>
      <c r="M47" s="17" t="s">
        <v>35</v>
      </c>
      <c r="N47" s="17" t="s">
        <v>35</v>
      </c>
      <c r="O47" s="17" t="s">
        <v>35</v>
      </c>
      <c r="P47" s="17" t="s">
        <v>35</v>
      </c>
      <c r="Q47" s="17">
        <f>$G47/HSP!$E$2</f>
        <v>0.50852937997939907</v>
      </c>
      <c r="R47" s="17">
        <f>$H47/HSP!$E$3</f>
        <v>0.50477228700513577</v>
      </c>
      <c r="S47" s="17">
        <f>$I47/HSP!$E$4</f>
        <v>0.20292158245159359</v>
      </c>
      <c r="T47" s="17">
        <f>$J47/HSP!$E$5</f>
        <v>0.77644096231317083</v>
      </c>
      <c r="U47" s="17">
        <f>$K47/HSP!$E$6</f>
        <v>0.35388251466487708</v>
      </c>
      <c r="V47" s="12"/>
      <c r="W47" s="12"/>
      <c r="X47" s="12"/>
      <c r="Y47" s="12"/>
      <c r="Z47" s="12"/>
    </row>
    <row r="48" spans="1:26" ht="15" customHeight="1" x14ac:dyDescent="0.3">
      <c r="A48" s="26" t="s">
        <v>121</v>
      </c>
      <c r="B48" s="17">
        <v>16.399999999999999</v>
      </c>
      <c r="C48" s="17">
        <v>6.5</v>
      </c>
      <c r="D48" s="17">
        <v>11.2</v>
      </c>
      <c r="E48" s="17" t="s">
        <v>35</v>
      </c>
      <c r="F48" s="22">
        <v>378</v>
      </c>
      <c r="G48" s="17">
        <f>SQRT((4*(HSP!$B$2-$B48)^2+(HSP!$C$2-$C48)^2+(HSP!$D$2-$D48)^2))</f>
        <v>6.8154236845554941</v>
      </c>
      <c r="H48" s="17">
        <f>SQRT((4*(HSP!$B$3-$B48)^2+(HSP!$C$3-$C48)^2+(HSP!$D$3-$D48)^2))</f>
        <v>6.3989374117895528</v>
      </c>
      <c r="I48" s="17">
        <f>SQRT((4*(HSP!$B$4-$B48)^2+(HSP!$C$4-$C48)^2+(HSP!$D$4-$D48)^2))</f>
        <v>5.3594775864817255</v>
      </c>
      <c r="J48" s="17">
        <f>SQRT((4*(HSP!$B$5-$B48)^2+(HSP!$C$5-$C48)^2+(HSP!$D$5-$D48)^2))</f>
        <v>6.6233601744129844</v>
      </c>
      <c r="K48" s="17">
        <f>SQRT((4*(HSP!$B$6-$B48)^2+(HSP!$C$6-$C48)^2+(HSP!$D$6-$D48)^2))</f>
        <v>7.6899284782109634</v>
      </c>
      <c r="L48" s="17" t="s">
        <v>35</v>
      </c>
      <c r="M48" s="17" t="s">
        <v>35</v>
      </c>
      <c r="N48" s="17" t="s">
        <v>35</v>
      </c>
      <c r="O48" s="17" t="s">
        <v>35</v>
      </c>
      <c r="P48" s="17" t="s">
        <v>35</v>
      </c>
      <c r="Q48" s="17">
        <f>$G48/HSP!$E$2</f>
        <v>0.41812415242671741</v>
      </c>
      <c r="R48" s="17">
        <f>$H48/HSP!$E$3</f>
        <v>0.47399536383626317</v>
      </c>
      <c r="S48" s="17">
        <f>$I48/HSP!$E$4</f>
        <v>0.33707406204287582</v>
      </c>
      <c r="T48" s="17">
        <f>$J48/HSP!$E$5</f>
        <v>0.48345694703744413</v>
      </c>
      <c r="U48" s="17">
        <f>$K48/HSP!$E$6</f>
        <v>0.51958976204128127</v>
      </c>
      <c r="V48" s="12"/>
      <c r="W48" s="12"/>
      <c r="X48" s="12"/>
      <c r="Y48" s="12"/>
      <c r="Z48" s="12"/>
    </row>
    <row r="49" spans="1:26" ht="15" customHeight="1" x14ac:dyDescent="0.3">
      <c r="A49" s="26" t="s">
        <v>122</v>
      </c>
      <c r="B49" s="17">
        <v>16.3</v>
      </c>
      <c r="C49" s="17">
        <v>5.7</v>
      </c>
      <c r="D49" s="17">
        <v>9.4</v>
      </c>
      <c r="E49" s="17" t="s">
        <v>35</v>
      </c>
      <c r="F49" s="22">
        <v>279.39999999999998</v>
      </c>
      <c r="G49" s="17">
        <f>SQRT((4*(HSP!$B$2-$B49)^2+(HSP!$C$2-$C49)^2+(HSP!$D$2-$D49)^2))</f>
        <v>6.3304028307841529</v>
      </c>
      <c r="H49" s="17">
        <f>SQRT((4*(HSP!$B$3-$B49)^2+(HSP!$C$3-$C49)^2+(HSP!$D$3-$D49)^2))</f>
        <v>5.4759839298522417</v>
      </c>
      <c r="I49" s="17">
        <f>SQRT((4*(HSP!$B$4-$B49)^2+(HSP!$C$4-$C49)^2+(HSP!$D$4-$D49)^2))</f>
        <v>3.592770518694453</v>
      </c>
      <c r="J49" s="17">
        <f>SQRT((4*(HSP!$B$5-$B49)^2+(HSP!$C$5-$C49)^2+(HSP!$D$5-$D49)^2))</f>
        <v>7.4742825742675807</v>
      </c>
      <c r="K49" s="17">
        <f>SQRT((4*(HSP!$B$6-$B49)^2+(HSP!$C$6-$C49)^2+(HSP!$D$6-$D49)^2))</f>
        <v>5.9648134924740122</v>
      </c>
      <c r="L49" s="17" t="s">
        <v>35</v>
      </c>
      <c r="M49" s="17" t="s">
        <v>35</v>
      </c>
      <c r="N49" s="17" t="s">
        <v>35</v>
      </c>
      <c r="O49" s="17" t="s">
        <v>35</v>
      </c>
      <c r="P49" s="17" t="s">
        <v>35</v>
      </c>
      <c r="Q49" s="17">
        <f>$G49/HSP!$E$2</f>
        <v>0.38836827182724865</v>
      </c>
      <c r="R49" s="17">
        <f>$H49/HSP!$E$3</f>
        <v>0.40562843924831421</v>
      </c>
      <c r="S49" s="17">
        <f>$I49/HSP!$E$4</f>
        <v>0.22596040998078321</v>
      </c>
      <c r="T49" s="17">
        <f>$J49/HSP!$E$5</f>
        <v>0.54556807111442196</v>
      </c>
      <c r="U49" s="17">
        <f>$K49/HSP!$E$6</f>
        <v>0.40302793868067649</v>
      </c>
      <c r="V49" s="12"/>
      <c r="W49" s="12"/>
      <c r="X49" s="12"/>
      <c r="Y49" s="12"/>
      <c r="Z49" s="12"/>
    </row>
    <row r="50" spans="1:26" ht="15" customHeight="1" x14ac:dyDescent="0.3">
      <c r="A50" s="26" t="s">
        <v>123</v>
      </c>
      <c r="B50" s="17">
        <v>16.5</v>
      </c>
      <c r="C50" s="17">
        <v>5.8</v>
      </c>
      <c r="D50" s="17">
        <v>9.4</v>
      </c>
      <c r="E50" s="17" t="s">
        <v>35</v>
      </c>
      <c r="F50" s="22">
        <v>312.3</v>
      </c>
      <c r="G50" s="17">
        <f>SQRT((4*(HSP!$B$2-$B50)^2+(HSP!$C$2-$C50)^2+(HSP!$D$2-$D50)^2))</f>
        <v>6.4816664523870724</v>
      </c>
      <c r="H50" s="17">
        <f>SQRT((4*(HSP!$B$3-$B50)^2+(HSP!$C$3-$C50)^2+(HSP!$D$3-$D50)^2))</f>
        <v>5.508212051110597</v>
      </c>
      <c r="I50" s="17">
        <f>SQRT((4*(HSP!$B$4-$B50)^2+(HSP!$C$4-$C50)^2+(HSP!$D$4-$D50)^2))</f>
        <v>3.8845849199110067</v>
      </c>
      <c r="J50" s="17">
        <f>SQRT((4*(HSP!$B$5-$B50)^2+(HSP!$C$5-$C50)^2+(HSP!$D$5-$D50)^2))</f>
        <v>7.5019264192605899</v>
      </c>
      <c r="K50" s="17">
        <f>SQRT((4*(HSP!$B$6-$B50)^2+(HSP!$C$6-$C50)^2+(HSP!$D$6-$D50)^2))</f>
        <v>6.1033597305090916</v>
      </c>
      <c r="L50" s="17" t="s">
        <v>35</v>
      </c>
      <c r="M50" s="17" t="s">
        <v>35</v>
      </c>
      <c r="N50" s="17" t="s">
        <v>35</v>
      </c>
      <c r="O50" s="17" t="s">
        <v>35</v>
      </c>
      <c r="P50" s="17" t="s">
        <v>35</v>
      </c>
      <c r="Q50" s="17">
        <f>$G50/HSP!$E$2</f>
        <v>0.39764824861270381</v>
      </c>
      <c r="R50" s="17">
        <f>$H50/HSP!$E$3</f>
        <v>0.40801570748967386</v>
      </c>
      <c r="S50" s="17">
        <f>$I50/HSP!$E$4</f>
        <v>0.24431351697553502</v>
      </c>
      <c r="T50" s="17">
        <f>$J50/HSP!$E$5</f>
        <v>0.54758587001902115</v>
      </c>
      <c r="U50" s="17">
        <f>$K50/HSP!$E$6</f>
        <v>0.412389170980344</v>
      </c>
      <c r="V50" s="12"/>
      <c r="W50" s="12"/>
      <c r="X50" s="12"/>
      <c r="Y50" s="12"/>
      <c r="Z50" s="12"/>
    </row>
    <row r="51" spans="1:26" ht="15" customHeight="1" x14ac:dyDescent="0.3">
      <c r="A51" s="26" t="s">
        <v>124</v>
      </c>
      <c r="B51" s="17">
        <v>16.3</v>
      </c>
      <c r="C51" s="17">
        <v>5.6</v>
      </c>
      <c r="D51" s="17">
        <v>8.3000000000000007</v>
      </c>
      <c r="E51" s="17" t="s">
        <v>35</v>
      </c>
      <c r="F51" s="22">
        <v>372.3</v>
      </c>
      <c r="G51" s="17">
        <f>SQRT((4*(HSP!$B$2-$B51)^2+(HSP!$C$2-$C51)^2+(HSP!$D$2-$D51)^2))</f>
        <v>6.0763475871612247</v>
      </c>
      <c r="H51" s="17">
        <f>SQRT((4*(HSP!$B$3-$B51)^2+(HSP!$C$3-$C51)^2+(HSP!$D$3-$D51)^2))</f>
        <v>4.9114559959344044</v>
      </c>
      <c r="I51" s="17">
        <f>SQRT((4*(HSP!$B$4-$B51)^2+(HSP!$C$4-$C51)^2+(HSP!$D$4-$D51)^2))</f>
        <v>2.8642625577973835</v>
      </c>
      <c r="J51" s="17">
        <f>SQRT((4*(HSP!$B$5-$B51)^2+(HSP!$C$5-$C51)^2+(HSP!$D$5-$D51)^2))</f>
        <v>7.8647886176298476</v>
      </c>
      <c r="K51" s="17">
        <f>SQRT((4*(HSP!$B$6-$B51)^2+(HSP!$C$6-$C51)^2+(HSP!$D$6-$D51)^2))</f>
        <v>4.9734294003232842</v>
      </c>
      <c r="L51" s="17" t="s">
        <v>35</v>
      </c>
      <c r="M51" s="17" t="s">
        <v>35</v>
      </c>
      <c r="N51" s="17" t="s">
        <v>35</v>
      </c>
      <c r="O51" s="17" t="s">
        <v>35</v>
      </c>
      <c r="P51" s="17" t="s">
        <v>35</v>
      </c>
      <c r="Q51" s="17">
        <f>$G51/HSP!$E$2</f>
        <v>0.37278206056203833</v>
      </c>
      <c r="R51" s="17">
        <f>$H51/HSP!$E$3</f>
        <v>0.36381155525440034</v>
      </c>
      <c r="S51" s="17">
        <f>$I51/HSP!$E$4</f>
        <v>0.18014229923253983</v>
      </c>
      <c r="T51" s="17">
        <f>$J51/HSP!$E$5</f>
        <v>0.5740721618707918</v>
      </c>
      <c r="U51" s="17">
        <f>$K51/HSP!$E$6</f>
        <v>0.33604252704887055</v>
      </c>
      <c r="V51" s="12"/>
      <c r="W51" s="12"/>
      <c r="X51" s="12"/>
      <c r="Y51" s="12"/>
      <c r="Z51" s="12"/>
    </row>
    <row r="52" spans="1:26" ht="15" customHeight="1" x14ac:dyDescent="0.3">
      <c r="A52" s="26" t="s">
        <v>125</v>
      </c>
      <c r="B52" s="17">
        <v>15.7</v>
      </c>
      <c r="C52" s="17">
        <v>6.7</v>
      </c>
      <c r="D52" s="17">
        <v>11.5</v>
      </c>
      <c r="E52" s="17" t="s">
        <v>35</v>
      </c>
      <c r="F52" s="22">
        <v>132.69999999999999</v>
      </c>
      <c r="G52" s="17">
        <f>SQRT((4*(HSP!$B$2-$B52)^2+(HSP!$C$2-$C52)^2+(HSP!$D$2-$D52)^2))</f>
        <v>6.2775791512333798</v>
      </c>
      <c r="H52" s="17">
        <f>SQRT((4*(HSP!$B$3-$B52)^2+(HSP!$C$3-$C52)^2+(HSP!$D$3-$D52)^2))</f>
        <v>6.4050292739377861</v>
      </c>
      <c r="I52" s="17">
        <f>SQRT((4*(HSP!$B$4-$B52)^2+(HSP!$C$4-$C52)^2+(HSP!$D$4-$D52)^2))</f>
        <v>5.2243659902422612</v>
      </c>
      <c r="J52" s="17">
        <f>SQRT((4*(HSP!$B$5-$B52)^2+(HSP!$C$5-$C52)^2+(HSP!$D$5-$D52)^2))</f>
        <v>6.1077737351673402</v>
      </c>
      <c r="K52" s="17">
        <f>SQRT((4*(HSP!$B$6-$B52)^2+(HSP!$C$6-$C52)^2+(HSP!$D$6-$D52)^2))</f>
        <v>7.7029215236817778</v>
      </c>
      <c r="L52" s="17" t="s">
        <v>35</v>
      </c>
      <c r="M52" s="17" t="s">
        <v>35</v>
      </c>
      <c r="N52" s="17" t="s">
        <v>35</v>
      </c>
      <c r="O52" s="17" t="s">
        <v>35</v>
      </c>
      <c r="P52" s="17" t="s">
        <v>35</v>
      </c>
      <c r="Q52" s="17">
        <f>$G52/HSP!$E$2</f>
        <v>0.38512755529039139</v>
      </c>
      <c r="R52" s="17">
        <f>$H52/HSP!$E$3</f>
        <v>0.47444661288428047</v>
      </c>
      <c r="S52" s="17">
        <f>$I52/HSP!$E$4</f>
        <v>0.32857647737372714</v>
      </c>
      <c r="T52" s="17">
        <f>$J52/HSP!$E$5</f>
        <v>0.44582290037717814</v>
      </c>
      <c r="U52" s="17">
        <f>$K52/HSP!$E$6</f>
        <v>0.52046767051903897</v>
      </c>
      <c r="V52" s="12"/>
      <c r="W52" s="12"/>
      <c r="X52" s="12"/>
      <c r="Y52" s="12"/>
      <c r="Z52" s="12"/>
    </row>
    <row r="53" spans="1:26" ht="15" customHeight="1" x14ac:dyDescent="0.3">
      <c r="A53" s="26" t="s">
        <v>126</v>
      </c>
      <c r="B53" s="17">
        <v>16.399999999999999</v>
      </c>
      <c r="C53" s="17">
        <v>6.5</v>
      </c>
      <c r="D53" s="17">
        <v>11.8</v>
      </c>
      <c r="E53" s="17" t="s">
        <v>35</v>
      </c>
      <c r="F53" s="22">
        <v>370.7</v>
      </c>
      <c r="G53" s="17">
        <f>SQRT((4*(HSP!$B$2-$B53)^2+(HSP!$C$2-$C53)^2+(HSP!$D$2-$D53)^2))</f>
        <v>7.2023607240959544</v>
      </c>
      <c r="H53" s="17">
        <f>SQRT((4*(HSP!$B$3-$B53)^2+(HSP!$C$3-$C53)^2+(HSP!$D$3-$D53)^2))</f>
        <v>6.9110346548111012</v>
      </c>
      <c r="I53" s="17">
        <f>SQRT((4*(HSP!$B$4-$B53)^2+(HSP!$C$4-$C53)^2+(HSP!$D$4-$D53)^2))</f>
        <v>5.8620815415686591</v>
      </c>
      <c r="J53" s="17">
        <f>SQRT((4*(HSP!$B$5-$B53)^2+(HSP!$C$5-$C53)^2+(HSP!$D$5-$D53)^2))</f>
        <v>6.6747958770287497</v>
      </c>
      <c r="K53" s="17">
        <f>SQRT((4*(HSP!$B$6-$B53)^2+(HSP!$C$6-$C53)^2+(HSP!$D$6-$D53)^2))</f>
        <v>8.2652888636756074</v>
      </c>
      <c r="L53" s="17" t="s">
        <v>35</v>
      </c>
      <c r="M53" s="17" t="s">
        <v>35</v>
      </c>
      <c r="N53" s="17" t="s">
        <v>35</v>
      </c>
      <c r="O53" s="17" t="s">
        <v>35</v>
      </c>
      <c r="P53" s="17" t="s">
        <v>35</v>
      </c>
      <c r="Q53" s="17">
        <f>$G53/HSP!$E$2</f>
        <v>0.44186262111018121</v>
      </c>
      <c r="R53" s="17">
        <f>$H53/HSP!$E$3</f>
        <v>0.51192849294897047</v>
      </c>
      <c r="S53" s="17">
        <f>$I53/HSP!$E$4</f>
        <v>0.36868437368356344</v>
      </c>
      <c r="T53" s="17">
        <f>$J53/HSP!$E$5</f>
        <v>0.48721137788531022</v>
      </c>
      <c r="U53" s="17">
        <f>$K53/HSP!$E$6</f>
        <v>0.55846546376186534</v>
      </c>
      <c r="V53" s="12"/>
      <c r="W53" s="12"/>
      <c r="X53" s="12"/>
      <c r="Y53" s="12"/>
      <c r="Z53" s="12"/>
    </row>
    <row r="54" spans="1:26" ht="15" customHeight="1" x14ac:dyDescent="0.3">
      <c r="A54" s="26" t="s">
        <v>127</v>
      </c>
      <c r="B54" s="17">
        <v>16.600000000000001</v>
      </c>
      <c r="C54" s="17">
        <v>5.6</v>
      </c>
      <c r="D54" s="17">
        <v>9</v>
      </c>
      <c r="E54" s="17" t="s">
        <v>35</v>
      </c>
      <c r="F54" s="22">
        <v>378.2</v>
      </c>
      <c r="G54" s="17">
        <f>SQRT((4*(HSP!$B$2-$B54)^2+(HSP!$C$2-$C54)^2+(HSP!$D$2-$D54)^2))</f>
        <v>6.6105975524153671</v>
      </c>
      <c r="H54" s="17">
        <f>SQRT((4*(HSP!$B$3-$B54)^2+(HSP!$C$3-$C54)^2+(HSP!$D$3-$D54)^2))</f>
        <v>5.4688572846619445</v>
      </c>
      <c r="I54" s="17">
        <f>SQRT((4*(HSP!$B$4-$B54)^2+(HSP!$C$4-$C54)^2+(HSP!$D$4-$D54)^2))</f>
        <v>3.7237078295698787</v>
      </c>
      <c r="J54" s="17">
        <f>SQRT((4*(HSP!$B$5-$B54)^2+(HSP!$C$5-$C54)^2+(HSP!$D$5-$D54)^2))</f>
        <v>7.8418683998139143</v>
      </c>
      <c r="K54" s="17">
        <f>SQRT((4*(HSP!$B$6-$B54)^2+(HSP!$C$6-$C54)^2+(HSP!$D$6-$D54)^2))</f>
        <v>5.8555102254201579</v>
      </c>
      <c r="L54" s="17" t="s">
        <v>35</v>
      </c>
      <c r="M54" s="17" t="s">
        <v>35</v>
      </c>
      <c r="N54" s="17" t="s">
        <v>35</v>
      </c>
      <c r="O54" s="17" t="s">
        <v>35</v>
      </c>
      <c r="P54" s="17" t="s">
        <v>35</v>
      </c>
      <c r="Q54" s="17">
        <f>$G54/HSP!$E$2</f>
        <v>0.4055581320500225</v>
      </c>
      <c r="R54" s="17">
        <f>$H54/HSP!$E$3</f>
        <v>0.40510053960458847</v>
      </c>
      <c r="S54" s="17">
        <f>$I54/HSP!$E$4</f>
        <v>0.23419546097923766</v>
      </c>
      <c r="T54" s="17">
        <f>$J54/HSP!$E$5</f>
        <v>0.5723991532710887</v>
      </c>
      <c r="U54" s="17">
        <f>$K54/HSP!$E$6</f>
        <v>0.39564258279865927</v>
      </c>
      <c r="V54" s="12"/>
      <c r="W54" s="12"/>
      <c r="X54" s="12"/>
      <c r="Y54" s="12"/>
      <c r="Z54" s="12"/>
    </row>
    <row r="55" spans="1:26" ht="15" customHeight="1" x14ac:dyDescent="0.3">
      <c r="A55" s="26" t="s">
        <v>128</v>
      </c>
      <c r="B55" s="17">
        <v>17.7</v>
      </c>
      <c r="C55" s="17">
        <v>11.7</v>
      </c>
      <c r="D55" s="17">
        <v>6.9</v>
      </c>
      <c r="E55" s="17" t="s">
        <v>35</v>
      </c>
      <c r="F55" s="22">
        <v>400</v>
      </c>
      <c r="G55" s="17">
        <f>SQRT((4*(HSP!$B$2-$B55)^2+(HSP!$C$2-$C55)^2+(HSP!$D$2-$D55)^2))</f>
        <v>6.3232902827562798</v>
      </c>
      <c r="H55" s="17">
        <f>SQRT((4*(HSP!$B$3-$B55)^2+(HSP!$C$3-$C55)^2+(HSP!$D$3-$D55)^2))</f>
        <v>4.635558218812486</v>
      </c>
      <c r="I55" s="17">
        <f>SQRT((4*(HSP!$B$4-$B55)^2+(HSP!$C$4-$C55)^2+(HSP!$D$4-$D55)^2))</f>
        <v>8.6541319610923431</v>
      </c>
      <c r="J55" s="17">
        <f>SQRT((4*(HSP!$B$5-$B55)^2+(HSP!$C$5-$C55)^2+(HSP!$D$5-$D55)^2))</f>
        <v>6.3953811457957679</v>
      </c>
      <c r="K55" s="17">
        <f>SQRT((4*(HSP!$B$6-$B55)^2+(HSP!$C$6-$C55)^2+(HSP!$D$6-$D55)^2))</f>
        <v>7.7906995834777248</v>
      </c>
      <c r="L55" s="17" t="s">
        <v>35</v>
      </c>
      <c r="M55" s="17" t="s">
        <v>35</v>
      </c>
      <c r="N55" s="17" t="s">
        <v>35</v>
      </c>
      <c r="O55" s="17" t="s">
        <v>35</v>
      </c>
      <c r="P55" s="17" t="s">
        <v>35</v>
      </c>
      <c r="Q55" s="17">
        <f>$G55/HSP!$E$2</f>
        <v>0.38793191918750181</v>
      </c>
      <c r="R55" s="17">
        <f>$H55/HSP!$E$3</f>
        <v>0.34337468287499895</v>
      </c>
      <c r="S55" s="17">
        <f>$I55/HSP!$E$4</f>
        <v>0.54428502899951847</v>
      </c>
      <c r="T55" s="17">
        <f>$J55/HSP!$E$5</f>
        <v>0.46681614202888821</v>
      </c>
      <c r="U55" s="17">
        <f>$K55/HSP!$E$6</f>
        <v>0.52639862050525166</v>
      </c>
      <c r="V55" s="12"/>
      <c r="W55" s="12"/>
      <c r="X55" s="12"/>
      <c r="Y55" s="12"/>
      <c r="Z55" s="12"/>
    </row>
    <row r="56" spans="1:26" ht="15" customHeight="1" x14ac:dyDescent="0.3">
      <c r="A56" s="26" t="s">
        <v>129</v>
      </c>
      <c r="B56" s="17">
        <v>16.399999999999999</v>
      </c>
      <c r="C56" s="17">
        <v>7.4</v>
      </c>
      <c r="D56" s="17">
        <v>10.5</v>
      </c>
      <c r="E56" s="17" t="s">
        <v>35</v>
      </c>
      <c r="F56" s="22">
        <v>319</v>
      </c>
      <c r="G56" s="17">
        <f>SQRT((4*(HSP!$B$2-$B56)^2+(HSP!$C$2-$C56)^2+(HSP!$D$2-$D56)^2))</f>
        <v>5.8918587898896542</v>
      </c>
      <c r="H56" s="17">
        <f>SQRT((4*(HSP!$B$3-$B56)^2+(HSP!$C$3-$C56)^2+(HSP!$D$3-$D56)^2))</f>
        <v>5.3876154279978063</v>
      </c>
      <c r="I56" s="17">
        <f>SQRT((4*(HSP!$B$4-$B56)^2+(HSP!$C$4-$C56)^2+(HSP!$D$4-$D56)^2))</f>
        <v>5.2096065110524412</v>
      </c>
      <c r="J56" s="17">
        <f>SQRT((4*(HSP!$B$5-$B56)^2+(HSP!$C$5-$C56)^2+(HSP!$D$5-$D56)^2))</f>
        <v>5.7961107649871559</v>
      </c>
      <c r="K56" s="17">
        <f>SQRT((4*(HSP!$B$6-$B56)^2+(HSP!$C$6-$C56)^2+(HSP!$D$6-$D56)^2))</f>
        <v>7.0902045104496096</v>
      </c>
      <c r="L56" s="17" t="s">
        <v>35</v>
      </c>
      <c r="M56" s="17" t="s">
        <v>35</v>
      </c>
      <c r="N56" s="17" t="s">
        <v>35</v>
      </c>
      <c r="O56" s="17" t="s">
        <v>35</v>
      </c>
      <c r="P56" s="17" t="s">
        <v>35</v>
      </c>
      <c r="Q56" s="17">
        <f>$G56/HSP!$E$2</f>
        <v>0.36146372944108307</v>
      </c>
      <c r="R56" s="17">
        <f>$H56/HSP!$E$3</f>
        <v>0.39908262429613378</v>
      </c>
      <c r="S56" s="17">
        <f>$I56/HSP!$E$4</f>
        <v>0.32764820824229191</v>
      </c>
      <c r="T56" s="17">
        <f>$J56/HSP!$E$5</f>
        <v>0.4230737784662158</v>
      </c>
      <c r="U56" s="17">
        <f>$K56/HSP!$E$6</f>
        <v>0.47906787232767628</v>
      </c>
      <c r="V56" s="12"/>
      <c r="W56" s="12"/>
      <c r="X56" s="12"/>
      <c r="Y56" s="12"/>
      <c r="Z56" s="12"/>
    </row>
    <row r="57" spans="1:26" ht="15" customHeight="1" x14ac:dyDescent="0.3">
      <c r="A57" s="26" t="s">
        <v>130</v>
      </c>
      <c r="B57" s="17">
        <v>16.100000000000001</v>
      </c>
      <c r="C57" s="17">
        <v>6.6</v>
      </c>
      <c r="D57" s="17">
        <v>8.6999999999999993</v>
      </c>
      <c r="E57" s="17" t="s">
        <v>35</v>
      </c>
      <c r="F57" s="22">
        <v>384</v>
      </c>
      <c r="G57" s="17">
        <f>SQRT((4*(HSP!$B$2-$B57)^2+(HSP!$C$2-$C57)^2+(HSP!$D$2-$D57)^2))</f>
        <v>5.1824704533648847</v>
      </c>
      <c r="H57" s="17">
        <f>SQRT((4*(HSP!$B$3-$B57)^2+(HSP!$C$3-$C57)^2+(HSP!$D$3-$D57)^2))</f>
        <v>4.2814016396502685</v>
      </c>
      <c r="I57" s="17">
        <f>SQRT((4*(HSP!$B$4-$B57)^2+(HSP!$C$4-$C57)^2+(HSP!$D$4-$D57)^2))</f>
        <v>3.2796341259353929</v>
      </c>
      <c r="J57" s="17">
        <f>SQRT((4*(HSP!$B$5-$B57)^2+(HSP!$C$5-$C57)^2+(HSP!$D$5-$D57)^2))</f>
        <v>6.72182266948482</v>
      </c>
      <c r="K57" s="17">
        <f>SQRT((4*(HSP!$B$6-$B57)^2+(HSP!$C$6-$C57)^2+(HSP!$D$6-$D57)^2))</f>
        <v>5.1290349969560562</v>
      </c>
      <c r="L57" s="17" t="s">
        <v>35</v>
      </c>
      <c r="M57" s="17" t="s">
        <v>35</v>
      </c>
      <c r="N57" s="17" t="s">
        <v>35</v>
      </c>
      <c r="O57" s="17" t="s">
        <v>35</v>
      </c>
      <c r="P57" s="17" t="s">
        <v>35</v>
      </c>
      <c r="Q57" s="17">
        <f>$G57/HSP!$E$2</f>
        <v>0.31794297259907267</v>
      </c>
      <c r="R57" s="17">
        <f>$H57/HSP!$E$3</f>
        <v>0.31714086219631621</v>
      </c>
      <c r="S57" s="17">
        <f>$I57/HSP!$E$4</f>
        <v>0.20626629722864107</v>
      </c>
      <c r="T57" s="17">
        <f>$J57/HSP!$E$5</f>
        <v>0.49064399047334456</v>
      </c>
      <c r="U57" s="17">
        <f>$K57/HSP!$E$6</f>
        <v>0.34655641871324705</v>
      </c>
      <c r="V57" s="12"/>
      <c r="W57" s="12"/>
      <c r="X57" s="12"/>
      <c r="Y57" s="12"/>
      <c r="Z57" s="12"/>
    </row>
    <row r="58" spans="1:26" ht="15" customHeight="1" x14ac:dyDescent="0.3">
      <c r="A58" s="26" t="s">
        <v>131</v>
      </c>
      <c r="B58" s="17">
        <v>16.2</v>
      </c>
      <c r="C58" s="17">
        <v>6.3</v>
      </c>
      <c r="D58" s="17">
        <v>8.3000000000000007</v>
      </c>
      <c r="E58" s="17" t="s">
        <v>35</v>
      </c>
      <c r="F58" s="22">
        <v>411</v>
      </c>
      <c r="G58" s="17">
        <f>SQRT((4*(HSP!$B$2-$B58)^2+(HSP!$C$2-$C58)^2+(HSP!$D$2-$D58)^2))</f>
        <v>5.4118388741720684</v>
      </c>
      <c r="H58" s="17">
        <f>SQRT((4*(HSP!$B$3-$B58)^2+(HSP!$C$3-$C58)^2+(HSP!$D$3-$D58)^2))</f>
        <v>4.2988835759997039</v>
      </c>
      <c r="I58" s="17">
        <f>SQRT((4*(HSP!$B$4-$B58)^2+(HSP!$C$4-$C58)^2+(HSP!$D$4-$D58)^2))</f>
        <v>3.0196026228628163</v>
      </c>
      <c r="J58" s="17">
        <f>SQRT((4*(HSP!$B$5-$B58)^2+(HSP!$C$5-$C58)^2+(HSP!$D$5-$D58)^2))</f>
        <v>7.1828197805597211</v>
      </c>
      <c r="K58" s="17">
        <f>SQRT((4*(HSP!$B$6-$B58)^2+(HSP!$C$6-$C58)^2+(HSP!$D$6-$D58)^2))</f>
        <v>4.8248316032790211</v>
      </c>
      <c r="L58" s="17" t="s">
        <v>35</v>
      </c>
      <c r="M58" s="17" t="s">
        <v>35</v>
      </c>
      <c r="N58" s="17" t="s">
        <v>35</v>
      </c>
      <c r="O58" s="17" t="s">
        <v>35</v>
      </c>
      <c r="P58" s="17" t="s">
        <v>35</v>
      </c>
      <c r="Q58" s="17">
        <f>$G58/HSP!$E$2</f>
        <v>0.33201465485718212</v>
      </c>
      <c r="R58" s="17">
        <f>$H58/HSP!$E$3</f>
        <v>0.31843582044442253</v>
      </c>
      <c r="S58" s="17">
        <f>$I58/HSP!$E$4</f>
        <v>0.18991211464546015</v>
      </c>
      <c r="T58" s="17">
        <f>$J58/HSP!$E$5</f>
        <v>0.52429341463939572</v>
      </c>
      <c r="U58" s="17">
        <f>$K58/HSP!$E$6</f>
        <v>0.32600213535669059</v>
      </c>
      <c r="V58" s="12"/>
      <c r="W58" s="12"/>
      <c r="X58" s="12"/>
      <c r="Y58" s="12"/>
      <c r="Z58" s="12"/>
    </row>
    <row r="59" spans="1:26" ht="15" customHeight="1" x14ac:dyDescent="0.3">
      <c r="A59" s="26" t="s">
        <v>132</v>
      </c>
      <c r="B59" s="17">
        <v>16.100000000000001</v>
      </c>
      <c r="C59" s="17">
        <v>6.1</v>
      </c>
      <c r="D59" s="17">
        <v>7.1</v>
      </c>
      <c r="E59" s="17" t="s">
        <v>35</v>
      </c>
      <c r="F59" s="22">
        <v>1155</v>
      </c>
      <c r="G59" s="17">
        <f>SQRT((4*(HSP!$B$2-$B59)^2+(HSP!$C$2-$C59)^2+(HSP!$D$2-$D59)^2))</f>
        <v>5.2937699232210713</v>
      </c>
      <c r="H59" s="17">
        <f>SQRT((4*(HSP!$B$3-$B59)^2+(HSP!$C$3-$C59)^2+(HSP!$D$3-$D59)^2))</f>
        <v>3.8709688709675785</v>
      </c>
      <c r="I59" s="17">
        <f>SQRT((4*(HSP!$B$4-$B59)^2+(HSP!$C$4-$C59)^2+(HSP!$D$4-$D59)^2))</f>
        <v>2.3592371648479964</v>
      </c>
      <c r="J59" s="17">
        <f>SQRT((4*(HSP!$B$5-$B59)^2+(HSP!$C$5-$C59)^2+(HSP!$D$5-$D59)^2))</f>
        <v>7.8261676445115862</v>
      </c>
      <c r="K59" s="17">
        <f>SQRT((4*(HSP!$B$6-$B59)^2+(HSP!$C$6-$C59)^2+(HSP!$D$6-$D59)^2))</f>
        <v>3.6642871066552645</v>
      </c>
      <c r="L59" s="17" t="s">
        <v>35</v>
      </c>
      <c r="M59" s="17" t="s">
        <v>35</v>
      </c>
      <c r="N59" s="17" t="s">
        <v>35</v>
      </c>
      <c r="O59" s="17" t="s">
        <v>35</v>
      </c>
      <c r="P59" s="17" t="s">
        <v>35</v>
      </c>
      <c r="Q59" s="17">
        <f>$G59/HSP!$E$2</f>
        <v>0.32477116093380803</v>
      </c>
      <c r="R59" s="17">
        <f>$H59/HSP!$E$3</f>
        <v>0.28673843488648731</v>
      </c>
      <c r="S59" s="17">
        <f>$I59/HSP!$E$4</f>
        <v>0.1483796959023897</v>
      </c>
      <c r="T59" s="17">
        <f>$J59/HSP!$E$5</f>
        <v>0.571253112738072</v>
      </c>
      <c r="U59" s="17">
        <f>$K59/HSP!$E$6</f>
        <v>0.24758696666589625</v>
      </c>
      <c r="V59" s="12"/>
      <c r="W59" s="12"/>
      <c r="X59" s="12"/>
      <c r="Y59" s="12"/>
      <c r="Z59" s="12"/>
    </row>
    <row r="60" spans="1:26" ht="15" customHeight="1" x14ac:dyDescent="0.3">
      <c r="A60" s="26" t="s">
        <v>133</v>
      </c>
      <c r="B60" s="17">
        <v>16.600000000000001</v>
      </c>
      <c r="C60" s="17">
        <v>3.3</v>
      </c>
      <c r="D60" s="17">
        <v>6.2</v>
      </c>
      <c r="E60" s="17" t="s">
        <v>35</v>
      </c>
      <c r="F60" s="22">
        <v>589.6</v>
      </c>
      <c r="G60" s="17">
        <f>SQRT((4*(HSP!$B$2-$B60)^2+(HSP!$C$2-$C60)^2+(HSP!$D$2-$D60)^2))</f>
        <v>8.2385678367056023</v>
      </c>
      <c r="H60" s="17">
        <f>SQRT((4*(HSP!$B$3-$B60)^2+(HSP!$C$3-$C60)^2+(HSP!$D$3-$D60)^2))</f>
        <v>6.6261904590797878</v>
      </c>
      <c r="I60" s="17">
        <f>SQRT((4*(HSP!$B$4-$B60)^2+(HSP!$C$4-$C60)^2+(HSP!$D$4-$D60)^2))</f>
        <v>3.2317178094629511</v>
      </c>
      <c r="J60" s="17">
        <f>SQRT((4*(HSP!$B$5-$B60)^2+(HSP!$C$5-$C60)^2+(HSP!$D$5-$D60)^2))</f>
        <v>10.871287872188836</v>
      </c>
      <c r="K60" s="17">
        <f>SQRT((4*(HSP!$B$6-$B60)^2+(HSP!$C$6-$C60)^2+(HSP!$D$6-$D60)^2))</f>
        <v>4.7323355755905583</v>
      </c>
      <c r="L60" s="17" t="s">
        <v>35</v>
      </c>
      <c r="M60" s="17" t="s">
        <v>35</v>
      </c>
      <c r="N60" s="17" t="s">
        <v>35</v>
      </c>
      <c r="O60" s="17" t="s">
        <v>35</v>
      </c>
      <c r="P60" s="17" t="s">
        <v>35</v>
      </c>
      <c r="Q60" s="17">
        <f>$G60/HSP!$E$2</f>
        <v>0.50543360961384065</v>
      </c>
      <c r="R60" s="17">
        <f>$H60/HSP!$E$3</f>
        <v>0.49082892289479907</v>
      </c>
      <c r="S60" s="17">
        <f>$I60/HSP!$E$4</f>
        <v>0.20325269241905353</v>
      </c>
      <c r="T60" s="17">
        <f>$J60/HSP!$E$5</f>
        <v>0.79352466220356466</v>
      </c>
      <c r="U60" s="17">
        <f>$K60/HSP!$E$6</f>
        <v>0.3197524037561188</v>
      </c>
      <c r="V60" s="12"/>
      <c r="W60" s="12"/>
      <c r="X60" s="12"/>
      <c r="Y60" s="12"/>
      <c r="Z60" s="12"/>
    </row>
    <row r="61" spans="1:26" ht="15" customHeight="1" x14ac:dyDescent="0.3">
      <c r="A61" s="26" t="s">
        <v>134</v>
      </c>
      <c r="B61" s="17">
        <v>16.2</v>
      </c>
      <c r="C61" s="17">
        <v>4</v>
      </c>
      <c r="D61" s="17">
        <v>5.9</v>
      </c>
      <c r="E61" s="17" t="s">
        <v>35</v>
      </c>
      <c r="F61" s="22">
        <v>491.9</v>
      </c>
      <c r="G61" s="17">
        <f>SQRT((4*(HSP!$B$2-$B61)^2+(HSP!$C$2-$C61)^2+(HSP!$D$2-$D61)^2))</f>
        <v>7.2895816066493149</v>
      </c>
      <c r="H61" s="17">
        <f>SQRT((4*(HSP!$B$3-$B61)^2+(HSP!$C$3-$C61)^2+(HSP!$D$3-$D61)^2))</f>
        <v>5.7517301744779372</v>
      </c>
      <c r="I61" s="17">
        <f>SQRT((4*(HSP!$B$4-$B61)^2+(HSP!$C$4-$C61)^2+(HSP!$D$4-$D61)^2))</f>
        <v>2.3486166140943467</v>
      </c>
      <c r="J61" s="17">
        <f>SQRT((4*(HSP!$B$5-$B61)^2+(HSP!$C$5-$C61)^2+(HSP!$D$5-$D61)^2))</f>
        <v>10.237133387819073</v>
      </c>
      <c r="K61" s="17">
        <f>SQRT((4*(HSP!$B$6-$B61)^2+(HSP!$C$6-$C61)^2+(HSP!$D$6-$D61)^2))</f>
        <v>3.6833408748037422</v>
      </c>
      <c r="L61" s="17" t="s">
        <v>35</v>
      </c>
      <c r="M61" s="17" t="s">
        <v>35</v>
      </c>
      <c r="N61" s="17" t="s">
        <v>35</v>
      </c>
      <c r="O61" s="17" t="s">
        <v>35</v>
      </c>
      <c r="P61" s="17" t="s">
        <v>35</v>
      </c>
      <c r="Q61" s="17">
        <f>$G61/HSP!$E$2</f>
        <v>0.44721359549995793</v>
      </c>
      <c r="R61" s="17">
        <f>$H61/HSP!$E$3</f>
        <v>0.42605408699836572</v>
      </c>
      <c r="S61" s="17">
        <f>$I61/HSP!$E$4</f>
        <v>0.14771173673549351</v>
      </c>
      <c r="T61" s="17">
        <f>$J61/HSP!$E$5</f>
        <v>0.74723601370942139</v>
      </c>
      <c r="U61" s="17">
        <f>$K61/HSP!$E$6</f>
        <v>0.24887438343268528</v>
      </c>
      <c r="V61" s="12"/>
      <c r="W61" s="12"/>
      <c r="X61" s="12"/>
      <c r="Y61" s="12"/>
      <c r="Z61" s="12"/>
    </row>
    <row r="62" spans="1:26" ht="15" customHeight="1" x14ac:dyDescent="0.3">
      <c r="A62" s="26" t="s">
        <v>135</v>
      </c>
      <c r="B62" s="17">
        <v>16.5</v>
      </c>
      <c r="C62" s="17">
        <v>3.8</v>
      </c>
      <c r="D62" s="17">
        <v>5.9</v>
      </c>
      <c r="E62" s="17" t="s">
        <v>35</v>
      </c>
      <c r="F62" s="22">
        <v>441.9</v>
      </c>
      <c r="G62" s="17">
        <f>SQRT((4*(HSP!$B$2-$B62)^2+(HSP!$C$2-$C62)^2+(HSP!$D$2-$D62)^2))</f>
        <v>7.7435134144650402</v>
      </c>
      <c r="H62" s="17">
        <f>SQRT((4*(HSP!$B$3-$B62)^2+(HSP!$C$3-$C62)^2+(HSP!$D$3-$D62)^2))</f>
        <v>6.0803289384703527</v>
      </c>
      <c r="I62" s="17">
        <f>SQRT((4*(HSP!$B$4-$B62)^2+(HSP!$C$4-$C62)^2+(HSP!$D$4-$D62)^2))</f>
        <v>2.9427877939124323</v>
      </c>
      <c r="J62" s="17">
        <f>SQRT((4*(HSP!$B$5-$B62)^2+(HSP!$C$5-$C62)^2+(HSP!$D$5-$D62)^2))</f>
        <v>10.531804213903714</v>
      </c>
      <c r="K62" s="17">
        <f>SQRT((4*(HSP!$B$6-$B62)^2+(HSP!$C$6-$C62)^2+(HSP!$D$6-$D62)^2))</f>
        <v>4.1437905352466844</v>
      </c>
      <c r="L62" s="17" t="s">
        <v>35</v>
      </c>
      <c r="M62" s="17" t="s">
        <v>35</v>
      </c>
      <c r="N62" s="17" t="s">
        <v>35</v>
      </c>
      <c r="O62" s="17" t="s">
        <v>35</v>
      </c>
      <c r="P62" s="17" t="s">
        <v>35</v>
      </c>
      <c r="Q62" s="17">
        <f>$G62/HSP!$E$2</f>
        <v>0.47506217266656686</v>
      </c>
      <c r="R62" s="17">
        <f>$H62/HSP!$E$3</f>
        <v>0.45039473618298909</v>
      </c>
      <c r="S62" s="17">
        <f>$I62/HSP!$E$4</f>
        <v>0.18508099332782593</v>
      </c>
      <c r="T62" s="17">
        <f>$J62/HSP!$E$5</f>
        <v>0.76874483313165798</v>
      </c>
      <c r="U62" s="17">
        <f>$K62/HSP!$E$6</f>
        <v>0.27998584697612733</v>
      </c>
      <c r="V62" s="12"/>
      <c r="W62" s="12"/>
      <c r="X62" s="12"/>
      <c r="Y62" s="12"/>
      <c r="Z62" s="12"/>
    </row>
    <row r="63" spans="1:26" ht="15" customHeight="1" x14ac:dyDescent="0.3">
      <c r="A63" s="26" t="s">
        <v>136</v>
      </c>
      <c r="B63" s="17">
        <v>16.2</v>
      </c>
      <c r="C63" s="17">
        <v>6.9</v>
      </c>
      <c r="D63" s="17">
        <v>9.9</v>
      </c>
      <c r="E63" s="17" t="s">
        <v>35</v>
      </c>
      <c r="F63" s="22">
        <v>1160</v>
      </c>
      <c r="G63" s="17">
        <f>SQRT((4*(HSP!$B$2-$B63)^2+(HSP!$C$2-$C63)^2+(HSP!$D$2-$D63)^2))</f>
        <v>5.6071383075504739</v>
      </c>
      <c r="H63" s="17">
        <f>SQRT((4*(HSP!$B$3-$B63)^2+(HSP!$C$3-$C63)^2+(HSP!$D$3-$D63)^2))</f>
        <v>5.0303479004935632</v>
      </c>
      <c r="I63" s="17">
        <f>SQRT((4*(HSP!$B$4-$B63)^2+(HSP!$C$4-$C63)^2+(HSP!$D$4-$D63)^2))</f>
        <v>4.3338204854377622</v>
      </c>
      <c r="J63" s="17">
        <f>SQRT((4*(HSP!$B$5-$B63)^2+(HSP!$C$5-$C63)^2+(HSP!$D$5-$D63)^2))</f>
        <v>6.1962004486620668</v>
      </c>
      <c r="K63" s="17">
        <f>SQRT((4*(HSP!$B$6-$B63)^2+(HSP!$C$6-$C63)^2+(HSP!$D$6-$D63)^2))</f>
        <v>6.3468890017078445</v>
      </c>
      <c r="L63" s="17" t="s">
        <v>35</v>
      </c>
      <c r="M63" s="17" t="s">
        <v>35</v>
      </c>
      <c r="N63" s="17" t="s">
        <v>35</v>
      </c>
      <c r="O63" s="17" t="s">
        <v>35</v>
      </c>
      <c r="P63" s="17" t="s">
        <v>35</v>
      </c>
      <c r="Q63" s="17">
        <f>$G63/HSP!$E$2</f>
        <v>0.34399621518714563</v>
      </c>
      <c r="R63" s="17">
        <f>$H63/HSP!$E$3</f>
        <v>0.37261836299952322</v>
      </c>
      <c r="S63" s="17">
        <f>$I63/HSP!$E$4</f>
        <v>0.27256732612816115</v>
      </c>
      <c r="T63" s="17">
        <f>$J63/HSP!$E$5</f>
        <v>0.45227740501182973</v>
      </c>
      <c r="U63" s="17">
        <f>$K63/HSP!$E$6</f>
        <v>0.42884385146674625</v>
      </c>
      <c r="V63" s="12"/>
      <c r="W63" s="12"/>
      <c r="X63" s="12"/>
      <c r="Y63" s="12"/>
      <c r="Z63" s="12"/>
    </row>
    <row r="64" spans="1:26" ht="15" customHeight="1" x14ac:dyDescent="0.3">
      <c r="A64" s="26" t="s">
        <v>137</v>
      </c>
      <c r="B64" s="17">
        <v>16.2</v>
      </c>
      <c r="C64" s="17">
        <v>6.7</v>
      </c>
      <c r="D64" s="17">
        <v>9.6999999999999993</v>
      </c>
      <c r="E64" s="17" t="s">
        <v>35</v>
      </c>
      <c r="F64" s="22">
        <v>1230</v>
      </c>
      <c r="G64" s="17">
        <f>SQRT((4*(HSP!$B$2-$B64)^2+(HSP!$C$2-$C64)^2+(HSP!$D$2-$D64)^2))</f>
        <v>5.6370204895849012</v>
      </c>
      <c r="H64" s="17">
        <f>SQRT((4*(HSP!$B$3-$B64)^2+(HSP!$C$3-$C64)^2+(HSP!$D$3-$D64)^2))</f>
        <v>4.9856193196031313</v>
      </c>
      <c r="I64" s="17">
        <f>SQRT((4*(HSP!$B$4-$B64)^2+(HSP!$C$4-$C64)^2+(HSP!$D$4-$D64)^2))</f>
        <v>4.0907212078067596</v>
      </c>
      <c r="J64" s="17">
        <f>SQRT((4*(HSP!$B$5-$B64)^2+(HSP!$C$5-$C64)^2+(HSP!$D$5-$D64)^2))</f>
        <v>6.4197274085431388</v>
      </c>
      <c r="K64" s="17">
        <f>SQRT((4*(HSP!$B$6-$B64)^2+(HSP!$C$6-$C64)^2+(HSP!$D$6-$D64)^2))</f>
        <v>6.1445097444792127</v>
      </c>
      <c r="L64" s="17" t="s">
        <v>35</v>
      </c>
      <c r="M64" s="17" t="s">
        <v>35</v>
      </c>
      <c r="N64" s="17" t="s">
        <v>35</v>
      </c>
      <c r="O64" s="17" t="s">
        <v>35</v>
      </c>
      <c r="P64" s="17" t="s">
        <v>35</v>
      </c>
      <c r="Q64" s="17">
        <f>$G64/HSP!$E$2</f>
        <v>0.34582947788864421</v>
      </c>
      <c r="R64" s="17">
        <f>$H64/HSP!$E$3</f>
        <v>0.36930513478541716</v>
      </c>
      <c r="S64" s="17">
        <f>$I64/HSP!$E$4</f>
        <v>0.25727806338407294</v>
      </c>
      <c r="T64" s="17">
        <f>$J64/HSP!$E$5</f>
        <v>0.46859324149949921</v>
      </c>
      <c r="U64" s="17">
        <f>$K64/HSP!$E$6</f>
        <v>0.41516957732967652</v>
      </c>
      <c r="V64" s="12"/>
      <c r="W64" s="12"/>
      <c r="X64" s="12"/>
      <c r="Y64" s="12"/>
      <c r="Z64" s="12"/>
    </row>
    <row r="65" spans="1:26" ht="15" customHeight="1" x14ac:dyDescent="0.3">
      <c r="A65" s="26" t="s">
        <v>138</v>
      </c>
      <c r="B65" s="17">
        <v>16.2</v>
      </c>
      <c r="C65" s="17">
        <v>6.6</v>
      </c>
      <c r="D65" s="17">
        <v>9.6</v>
      </c>
      <c r="E65" s="17" t="s">
        <v>35</v>
      </c>
      <c r="F65" s="22">
        <v>1265</v>
      </c>
      <c r="G65" s="17">
        <f>SQRT((4*(HSP!$B$2-$B65)^2+(HSP!$C$2-$C65)^2+(HSP!$D$2-$D65)^2))</f>
        <v>5.6572077918351207</v>
      </c>
      <c r="H65" s="17">
        <f>SQRT((4*(HSP!$B$3-$B65)^2+(HSP!$C$3-$C65)^2+(HSP!$D$3-$D65)^2))</f>
        <v>4.9691447956363675</v>
      </c>
      <c r="I65" s="17">
        <f>SQRT((4*(HSP!$B$4-$B65)^2+(HSP!$C$4-$C65)^2+(HSP!$D$4-$D65)^2))</f>
        <v>3.971145930332955</v>
      </c>
      <c r="J65" s="17">
        <f>SQRT((4*(HSP!$B$5-$B65)^2+(HSP!$C$5-$C65)^2+(HSP!$D$5-$D65)^2))</f>
        <v>6.533215134985225</v>
      </c>
      <c r="K65" s="17">
        <f>SQRT((4*(HSP!$B$6-$B65)^2+(HSP!$C$6-$C65)^2+(HSP!$D$6-$D65)^2))</f>
        <v>6.0457423034727498</v>
      </c>
      <c r="L65" s="17" t="s">
        <v>35</v>
      </c>
      <c r="M65" s="17" t="s">
        <v>35</v>
      </c>
      <c r="N65" s="17" t="s">
        <v>35</v>
      </c>
      <c r="O65" s="17" t="s">
        <v>35</v>
      </c>
      <c r="P65" s="17" t="s">
        <v>35</v>
      </c>
      <c r="Q65" s="17">
        <f>$G65/HSP!$E$2</f>
        <v>0.3470679626892712</v>
      </c>
      <c r="R65" s="17">
        <f>$H65/HSP!$E$3</f>
        <v>0.36808479967676794</v>
      </c>
      <c r="S65" s="17">
        <f>$I65/HSP!$E$4</f>
        <v>0.24975760568131791</v>
      </c>
      <c r="T65" s="17">
        <f>$J65/HSP!$E$5</f>
        <v>0.47687701715220621</v>
      </c>
      <c r="U65" s="17">
        <f>$K65/HSP!$E$6</f>
        <v>0.40849610158599658</v>
      </c>
      <c r="V65" s="12"/>
      <c r="W65" s="12"/>
      <c r="X65" s="12"/>
      <c r="Y65" s="12"/>
      <c r="Z65" s="12"/>
    </row>
    <row r="66" spans="1:26" ht="15" customHeight="1" x14ac:dyDescent="0.3">
      <c r="A66" s="26"/>
      <c r="B66" s="17"/>
      <c r="C66" s="17"/>
      <c r="D66" s="17"/>
      <c r="E66" s="17"/>
      <c r="F66" s="17"/>
      <c r="G66" s="17"/>
      <c r="H66" s="17"/>
      <c r="I66" s="17"/>
      <c r="J66" s="17"/>
      <c r="K66" s="17"/>
      <c r="L66" s="17"/>
      <c r="M66" s="17"/>
      <c r="N66" s="17"/>
      <c r="O66" s="17"/>
      <c r="P66" s="17"/>
      <c r="Q66" s="17"/>
      <c r="R66" s="17"/>
      <c r="S66" s="17"/>
      <c r="T66" s="17"/>
      <c r="U66" s="17"/>
      <c r="V66" s="12"/>
      <c r="W66" s="12"/>
      <c r="X66" s="12"/>
      <c r="Y66" s="12"/>
      <c r="Z66" s="12"/>
    </row>
    <row r="67" spans="1:26" ht="15" customHeight="1" x14ac:dyDescent="0.3">
      <c r="A67" s="26"/>
      <c r="B67" s="17"/>
      <c r="C67" s="17"/>
      <c r="D67" s="17"/>
      <c r="E67" s="17"/>
      <c r="F67" s="17"/>
      <c r="G67" s="17"/>
      <c r="H67" s="17"/>
      <c r="I67" s="17"/>
      <c r="J67" s="17"/>
      <c r="K67" s="17"/>
      <c r="L67" s="17"/>
      <c r="M67" s="17"/>
      <c r="N67" s="17"/>
      <c r="O67" s="17"/>
      <c r="P67" s="17"/>
      <c r="Q67" s="17"/>
      <c r="R67" s="17"/>
      <c r="S67" s="17"/>
      <c r="T67" s="17"/>
      <c r="U67" s="17"/>
      <c r="V67" s="12"/>
      <c r="W67" s="12"/>
      <c r="X67" s="12"/>
      <c r="Y67" s="12"/>
      <c r="Z67" s="12"/>
    </row>
    <row r="68" spans="1:26" ht="15" customHeight="1" x14ac:dyDescent="0.3">
      <c r="A68" s="26"/>
      <c r="B68" s="17"/>
      <c r="C68" s="17"/>
      <c r="D68" s="17"/>
      <c r="E68" s="17"/>
      <c r="F68" s="17"/>
      <c r="G68" s="17"/>
      <c r="H68" s="17"/>
      <c r="I68" s="17"/>
      <c r="J68" s="17"/>
      <c r="K68" s="17"/>
      <c r="L68" s="17"/>
      <c r="M68" s="17"/>
      <c r="N68" s="17"/>
      <c r="O68" s="17"/>
      <c r="P68" s="17"/>
      <c r="Q68" s="17"/>
      <c r="R68" s="17"/>
      <c r="S68" s="17"/>
      <c r="T68" s="17"/>
      <c r="U68" s="17"/>
      <c r="V68" s="12"/>
      <c r="W68" s="12"/>
      <c r="X68" s="12"/>
      <c r="Y68" s="12"/>
      <c r="Z68" s="12"/>
    </row>
    <row r="69" spans="1:26" ht="15" customHeight="1" x14ac:dyDescent="0.3">
      <c r="A69" s="26"/>
      <c r="B69" s="17"/>
      <c r="C69" s="17"/>
      <c r="D69" s="17"/>
      <c r="E69" s="17"/>
      <c r="F69" s="17"/>
      <c r="G69" s="17"/>
      <c r="H69" s="17"/>
      <c r="I69" s="17"/>
      <c r="J69" s="17"/>
      <c r="K69" s="17"/>
      <c r="L69" s="17"/>
      <c r="M69" s="17"/>
      <c r="N69" s="17"/>
      <c r="O69" s="17"/>
      <c r="P69" s="17"/>
      <c r="Q69" s="17"/>
      <c r="R69" s="17"/>
      <c r="S69" s="17"/>
      <c r="T69" s="17"/>
      <c r="U69" s="17"/>
      <c r="V69" s="12"/>
      <c r="W69" s="12"/>
      <c r="X69" s="12"/>
      <c r="Y69" s="12"/>
      <c r="Z69" s="12"/>
    </row>
    <row r="70" spans="1:26" ht="15" customHeight="1" x14ac:dyDescent="0.3">
      <c r="A70" s="26"/>
      <c r="B70" s="17"/>
      <c r="C70" s="17"/>
      <c r="D70" s="17"/>
      <c r="E70" s="17"/>
      <c r="F70" s="17"/>
      <c r="G70" s="17"/>
      <c r="H70" s="17"/>
      <c r="I70" s="17"/>
      <c r="J70" s="17"/>
      <c r="K70" s="17"/>
      <c r="L70" s="17"/>
      <c r="M70" s="17"/>
      <c r="N70" s="17"/>
      <c r="O70" s="17"/>
      <c r="P70" s="17"/>
      <c r="Q70" s="17"/>
      <c r="R70" s="17"/>
      <c r="S70" s="17"/>
      <c r="T70" s="17"/>
      <c r="U70" s="17"/>
      <c r="V70" s="12"/>
      <c r="W70" s="12"/>
      <c r="X70" s="12"/>
      <c r="Y70" s="12"/>
      <c r="Z70" s="12"/>
    </row>
    <row r="71" spans="1:26" ht="15" customHeight="1" x14ac:dyDescent="0.3">
      <c r="A71" s="26"/>
      <c r="B71" s="17"/>
      <c r="C71" s="17"/>
      <c r="D71" s="17"/>
      <c r="E71" s="17"/>
      <c r="F71" s="17"/>
      <c r="G71" s="17"/>
      <c r="H71" s="17"/>
      <c r="I71" s="17"/>
      <c r="J71" s="17"/>
      <c r="K71" s="17"/>
      <c r="L71" s="17"/>
      <c r="M71" s="17"/>
      <c r="N71" s="17"/>
      <c r="O71" s="17"/>
      <c r="P71" s="17"/>
      <c r="Q71" s="17"/>
      <c r="R71" s="17"/>
      <c r="S71" s="17"/>
      <c r="T71" s="17"/>
      <c r="U71" s="17"/>
      <c r="V71" s="12"/>
      <c r="W71" s="12"/>
      <c r="X71" s="12"/>
      <c r="Y71" s="12"/>
      <c r="Z71" s="12"/>
    </row>
    <row r="72" spans="1:26" ht="15" customHeight="1" x14ac:dyDescent="0.3">
      <c r="A72" s="26"/>
      <c r="B72" s="17"/>
      <c r="C72" s="17"/>
      <c r="D72" s="17"/>
      <c r="E72" s="17"/>
      <c r="F72" s="17"/>
      <c r="G72" s="17"/>
      <c r="H72" s="17"/>
      <c r="I72" s="17"/>
      <c r="J72" s="17"/>
      <c r="K72" s="17"/>
      <c r="L72" s="17"/>
      <c r="M72" s="17"/>
      <c r="N72" s="17"/>
      <c r="O72" s="17"/>
      <c r="P72" s="17"/>
      <c r="Q72" s="17"/>
      <c r="R72" s="17"/>
      <c r="S72" s="17"/>
      <c r="T72" s="17"/>
      <c r="U72" s="17"/>
      <c r="V72" s="12"/>
      <c r="W72" s="12"/>
      <c r="X72" s="12"/>
      <c r="Y72" s="12"/>
      <c r="Z72" s="12"/>
    </row>
    <row r="73" spans="1:26" ht="15" customHeight="1" x14ac:dyDescent="0.3">
      <c r="A73" s="26"/>
      <c r="B73" s="17"/>
      <c r="C73" s="17"/>
      <c r="D73" s="17"/>
      <c r="E73" s="17"/>
      <c r="F73" s="17"/>
      <c r="G73" s="17"/>
      <c r="H73" s="17"/>
      <c r="I73" s="17"/>
      <c r="J73" s="17"/>
      <c r="K73" s="17"/>
      <c r="L73" s="17"/>
      <c r="M73" s="17"/>
      <c r="N73" s="17"/>
      <c r="O73" s="17"/>
      <c r="P73" s="17"/>
      <c r="Q73" s="17"/>
      <c r="R73" s="17"/>
      <c r="S73" s="17"/>
      <c r="T73" s="17"/>
      <c r="U73" s="17"/>
      <c r="V73" s="12"/>
      <c r="W73" s="12"/>
      <c r="X73" s="12"/>
      <c r="Y73" s="12"/>
      <c r="Z73" s="12"/>
    </row>
    <row r="74" spans="1:26" ht="15" customHeight="1" x14ac:dyDescent="0.3">
      <c r="A74" s="26"/>
      <c r="B74" s="17"/>
      <c r="C74" s="17"/>
      <c r="D74" s="17"/>
      <c r="E74" s="17"/>
      <c r="F74" s="17"/>
      <c r="G74" s="17"/>
      <c r="H74" s="17"/>
      <c r="I74" s="17"/>
      <c r="J74" s="17"/>
      <c r="K74" s="17"/>
      <c r="L74" s="17"/>
      <c r="M74" s="17"/>
      <c r="N74" s="17"/>
      <c r="O74" s="17"/>
      <c r="P74" s="17"/>
      <c r="Q74" s="17"/>
      <c r="R74" s="17"/>
      <c r="S74" s="17"/>
      <c r="T74" s="17"/>
      <c r="U74" s="17"/>
      <c r="V74" s="12"/>
      <c r="W74" s="12"/>
      <c r="X74" s="12"/>
      <c r="Y74" s="12"/>
      <c r="Z74" s="12"/>
    </row>
    <row r="75" spans="1:26" ht="15" customHeight="1" x14ac:dyDescent="0.3">
      <c r="A75" s="26"/>
      <c r="B75" s="17"/>
      <c r="C75" s="17"/>
      <c r="D75" s="17"/>
      <c r="E75" s="17"/>
      <c r="F75" s="17"/>
      <c r="G75" s="17"/>
      <c r="H75" s="17"/>
      <c r="I75" s="17"/>
      <c r="J75" s="17"/>
      <c r="K75" s="17"/>
      <c r="L75" s="17"/>
      <c r="M75" s="17"/>
      <c r="N75" s="17"/>
      <c r="O75" s="17"/>
      <c r="P75" s="17"/>
      <c r="Q75" s="17"/>
      <c r="R75" s="17"/>
      <c r="S75" s="17"/>
      <c r="T75" s="17"/>
      <c r="U75" s="17"/>
      <c r="V75" s="12"/>
      <c r="W75" s="12"/>
      <c r="X75" s="12"/>
      <c r="Y75" s="12"/>
      <c r="Z75" s="12"/>
    </row>
    <row r="76" spans="1:26" ht="15" customHeight="1" x14ac:dyDescent="0.3">
      <c r="A76" s="26"/>
      <c r="B76" s="17"/>
      <c r="C76" s="17"/>
      <c r="D76" s="17"/>
      <c r="E76" s="17"/>
      <c r="F76" s="17"/>
      <c r="G76" s="17"/>
      <c r="H76" s="17"/>
      <c r="I76" s="17"/>
      <c r="J76" s="17"/>
      <c r="K76" s="17"/>
      <c r="L76" s="17"/>
      <c r="M76" s="17"/>
      <c r="N76" s="17"/>
      <c r="O76" s="17"/>
      <c r="P76" s="17"/>
      <c r="Q76" s="17"/>
      <c r="R76" s="17"/>
      <c r="S76" s="17"/>
      <c r="T76" s="17"/>
      <c r="U76" s="17"/>
      <c r="V76" s="12"/>
      <c r="W76" s="12"/>
      <c r="X76" s="12"/>
      <c r="Y76" s="12"/>
      <c r="Z76" s="12"/>
    </row>
    <row r="77" spans="1:26" ht="15" customHeight="1" x14ac:dyDescent="0.3">
      <c r="A77" s="26"/>
      <c r="B77" s="17"/>
      <c r="C77" s="17"/>
      <c r="D77" s="17"/>
      <c r="E77" s="17"/>
      <c r="F77" s="17"/>
      <c r="G77" s="17"/>
      <c r="H77" s="17"/>
      <c r="I77" s="17"/>
      <c r="J77" s="17"/>
      <c r="K77" s="17"/>
      <c r="L77" s="17"/>
      <c r="M77" s="17"/>
      <c r="N77" s="17"/>
      <c r="O77" s="17"/>
      <c r="P77" s="17"/>
      <c r="Q77" s="17"/>
      <c r="R77" s="17"/>
      <c r="S77" s="17"/>
      <c r="T77" s="17"/>
      <c r="U77" s="17"/>
      <c r="V77" s="12"/>
      <c r="W77" s="12"/>
      <c r="X77" s="12"/>
      <c r="Y77" s="12"/>
      <c r="Z77" s="12"/>
    </row>
    <row r="78" spans="1:26" ht="15" customHeight="1" x14ac:dyDescent="0.3">
      <c r="A78" s="26"/>
      <c r="B78" s="17"/>
      <c r="C78" s="17"/>
      <c r="D78" s="17"/>
      <c r="E78" s="17"/>
      <c r="F78" s="17"/>
      <c r="G78" s="17"/>
      <c r="H78" s="17"/>
      <c r="I78" s="17"/>
      <c r="J78" s="17"/>
      <c r="K78" s="17"/>
      <c r="L78" s="17"/>
      <c r="M78" s="17"/>
      <c r="N78" s="17"/>
      <c r="O78" s="17"/>
      <c r="P78" s="17"/>
      <c r="Q78" s="17"/>
      <c r="R78" s="17"/>
      <c r="S78" s="17"/>
      <c r="T78" s="17"/>
      <c r="U78" s="17"/>
      <c r="V78" s="12"/>
      <c r="W78" s="12"/>
      <c r="X78" s="12"/>
      <c r="Y78" s="12"/>
      <c r="Z78" s="12"/>
    </row>
    <row r="79" spans="1:26" ht="15" customHeight="1" x14ac:dyDescent="0.3">
      <c r="A79" s="26"/>
      <c r="B79" s="17"/>
      <c r="C79" s="17"/>
      <c r="D79" s="17"/>
      <c r="E79" s="17"/>
      <c r="F79" s="17"/>
      <c r="G79" s="17"/>
      <c r="H79" s="17"/>
      <c r="I79" s="17"/>
      <c r="J79" s="17"/>
      <c r="K79" s="17"/>
      <c r="L79" s="17"/>
      <c r="M79" s="17"/>
      <c r="N79" s="17"/>
      <c r="O79" s="17"/>
      <c r="P79" s="17"/>
      <c r="Q79" s="17"/>
      <c r="R79" s="17"/>
      <c r="S79" s="17"/>
      <c r="T79" s="17"/>
      <c r="U79" s="17"/>
      <c r="V79" s="12"/>
      <c r="W79" s="12"/>
      <c r="X79" s="12"/>
      <c r="Y79" s="12"/>
      <c r="Z79" s="12"/>
    </row>
    <row r="80" spans="1:26" ht="15" customHeight="1" x14ac:dyDescent="0.3">
      <c r="A80" s="26"/>
      <c r="B80" s="17"/>
      <c r="C80" s="17"/>
      <c r="D80" s="17"/>
      <c r="E80" s="17"/>
      <c r="F80" s="17"/>
      <c r="G80" s="17"/>
      <c r="H80" s="17"/>
      <c r="I80" s="17"/>
      <c r="J80" s="17"/>
      <c r="K80" s="17"/>
      <c r="L80" s="17"/>
      <c r="M80" s="17"/>
      <c r="N80" s="17"/>
      <c r="O80" s="17"/>
      <c r="P80" s="17"/>
      <c r="Q80" s="17"/>
      <c r="R80" s="17"/>
      <c r="S80" s="17"/>
      <c r="T80" s="17"/>
      <c r="U80" s="17"/>
      <c r="V80" s="12"/>
      <c r="W80" s="12"/>
      <c r="X80" s="12"/>
      <c r="Y80" s="12"/>
      <c r="Z80" s="12"/>
    </row>
    <row r="81" spans="1:26" ht="15" customHeight="1" x14ac:dyDescent="0.3">
      <c r="A81" s="26"/>
      <c r="B81" s="17"/>
      <c r="C81" s="17"/>
      <c r="D81" s="17"/>
      <c r="E81" s="17"/>
      <c r="F81" s="17"/>
      <c r="G81" s="17"/>
      <c r="H81" s="17"/>
      <c r="I81" s="17"/>
      <c r="J81" s="17"/>
      <c r="K81" s="17"/>
      <c r="L81" s="17"/>
      <c r="M81" s="17"/>
      <c r="N81" s="17"/>
      <c r="O81" s="17"/>
      <c r="P81" s="17"/>
      <c r="Q81" s="17"/>
      <c r="R81" s="17"/>
      <c r="S81" s="17"/>
      <c r="T81" s="17"/>
      <c r="U81" s="17"/>
      <c r="V81" s="12"/>
      <c r="W81" s="12"/>
      <c r="X81" s="12"/>
      <c r="Y81" s="12"/>
      <c r="Z81" s="12"/>
    </row>
    <row r="82" spans="1:26" ht="15" customHeight="1" x14ac:dyDescent="0.3">
      <c r="A82" s="26"/>
      <c r="B82" s="17"/>
      <c r="C82" s="17"/>
      <c r="D82" s="17"/>
      <c r="E82" s="17"/>
      <c r="F82" s="17"/>
      <c r="G82" s="17"/>
      <c r="H82" s="17"/>
      <c r="I82" s="17"/>
      <c r="J82" s="17"/>
      <c r="K82" s="17"/>
      <c r="L82" s="17"/>
      <c r="M82" s="17"/>
      <c r="N82" s="17"/>
      <c r="O82" s="17"/>
      <c r="P82" s="17"/>
      <c r="Q82" s="17"/>
      <c r="R82" s="17"/>
      <c r="S82" s="17"/>
      <c r="T82" s="17"/>
      <c r="U82" s="17"/>
      <c r="V82" s="12"/>
      <c r="W82" s="12"/>
      <c r="X82" s="12"/>
      <c r="Y82" s="12"/>
      <c r="Z82" s="12"/>
    </row>
    <row r="83" spans="1:26" ht="15" customHeight="1" x14ac:dyDescent="0.3">
      <c r="A83" s="26"/>
      <c r="B83" s="17"/>
      <c r="C83" s="17"/>
      <c r="D83" s="17"/>
      <c r="E83" s="17"/>
      <c r="F83" s="17"/>
      <c r="G83" s="17"/>
      <c r="H83" s="17"/>
      <c r="I83" s="17"/>
      <c r="J83" s="17"/>
      <c r="K83" s="17"/>
      <c r="L83" s="17"/>
      <c r="M83" s="17"/>
      <c r="N83" s="17"/>
      <c r="O83" s="17"/>
      <c r="P83" s="17"/>
      <c r="Q83" s="17"/>
      <c r="R83" s="17"/>
      <c r="S83" s="17"/>
      <c r="T83" s="17"/>
      <c r="U83" s="17"/>
      <c r="V83" s="12"/>
      <c r="W83" s="12"/>
      <c r="X83" s="12"/>
      <c r="Y83" s="12"/>
      <c r="Z83" s="12"/>
    </row>
    <row r="84" spans="1:26" ht="15" customHeight="1" x14ac:dyDescent="0.3">
      <c r="A84" s="26"/>
      <c r="B84" s="17"/>
      <c r="C84" s="17"/>
      <c r="D84" s="17"/>
      <c r="E84" s="17"/>
      <c r="F84" s="17"/>
      <c r="G84" s="17"/>
      <c r="H84" s="17"/>
      <c r="I84" s="17"/>
      <c r="J84" s="17"/>
      <c r="K84" s="17"/>
      <c r="L84" s="17"/>
      <c r="M84" s="17"/>
      <c r="N84" s="17"/>
      <c r="O84" s="17"/>
      <c r="P84" s="17"/>
      <c r="Q84" s="17"/>
      <c r="R84" s="17"/>
      <c r="S84" s="17"/>
      <c r="T84" s="17"/>
      <c r="U84" s="17"/>
      <c r="V84" s="12"/>
      <c r="W84" s="12"/>
      <c r="X84" s="12"/>
      <c r="Y84" s="12"/>
      <c r="Z84" s="12"/>
    </row>
    <row r="85" spans="1:26" ht="15" customHeight="1" x14ac:dyDescent="0.3">
      <c r="A85" s="26"/>
      <c r="B85" s="17"/>
      <c r="C85" s="17"/>
      <c r="D85" s="17"/>
      <c r="E85" s="17"/>
      <c r="F85" s="17"/>
      <c r="G85" s="17"/>
      <c r="H85" s="17"/>
      <c r="I85" s="17"/>
      <c r="J85" s="17"/>
      <c r="K85" s="17"/>
      <c r="L85" s="17"/>
      <c r="M85" s="17"/>
      <c r="N85" s="17"/>
      <c r="O85" s="17"/>
      <c r="P85" s="17"/>
      <c r="Q85" s="17"/>
      <c r="R85" s="17"/>
      <c r="S85" s="17"/>
      <c r="T85" s="17"/>
      <c r="U85" s="17"/>
      <c r="V85" s="12"/>
      <c r="W85" s="12"/>
      <c r="X85" s="12"/>
      <c r="Y85" s="12"/>
      <c r="Z85" s="12"/>
    </row>
    <row r="86" spans="1:26" ht="15" customHeight="1" x14ac:dyDescent="0.3">
      <c r="A86" s="26"/>
      <c r="B86" s="17"/>
      <c r="C86" s="17"/>
      <c r="D86" s="17"/>
      <c r="E86" s="17"/>
      <c r="F86" s="17"/>
      <c r="G86" s="17"/>
      <c r="H86" s="17"/>
      <c r="I86" s="17"/>
      <c r="J86" s="17"/>
      <c r="K86" s="17"/>
      <c r="L86" s="17"/>
      <c r="M86" s="17"/>
      <c r="N86" s="17"/>
      <c r="O86" s="17"/>
      <c r="P86" s="17"/>
      <c r="Q86" s="17"/>
      <c r="R86" s="17"/>
      <c r="S86" s="17"/>
      <c r="T86" s="17"/>
      <c r="U86" s="17"/>
      <c r="V86" s="12"/>
      <c r="W86" s="12"/>
      <c r="X86" s="12"/>
      <c r="Y86" s="12"/>
      <c r="Z86" s="12"/>
    </row>
    <row r="87" spans="1:26" ht="15" customHeight="1" x14ac:dyDescent="0.3">
      <c r="A87" s="26"/>
      <c r="B87" s="17"/>
      <c r="C87" s="17"/>
      <c r="D87" s="17"/>
      <c r="E87" s="17"/>
      <c r="F87" s="17"/>
      <c r="G87" s="17"/>
      <c r="H87" s="17"/>
      <c r="I87" s="17"/>
      <c r="J87" s="17"/>
      <c r="K87" s="17"/>
      <c r="L87" s="17"/>
      <c r="M87" s="17"/>
      <c r="N87" s="17"/>
      <c r="O87" s="17"/>
      <c r="P87" s="17"/>
      <c r="Q87" s="17"/>
      <c r="R87" s="17"/>
      <c r="S87" s="17"/>
      <c r="T87" s="17"/>
      <c r="U87" s="17"/>
      <c r="V87" s="12"/>
      <c r="W87" s="12"/>
      <c r="X87" s="12"/>
      <c r="Y87" s="12"/>
      <c r="Z87" s="12"/>
    </row>
    <row r="88" spans="1:26" ht="15" customHeight="1" x14ac:dyDescent="0.3">
      <c r="A88" s="26"/>
      <c r="B88" s="17"/>
      <c r="C88" s="17"/>
      <c r="D88" s="17"/>
      <c r="E88" s="17"/>
      <c r="F88" s="17"/>
      <c r="G88" s="17"/>
      <c r="H88" s="17"/>
      <c r="I88" s="17"/>
      <c r="J88" s="17"/>
      <c r="K88" s="17"/>
      <c r="L88" s="17"/>
      <c r="M88" s="17"/>
      <c r="N88" s="17"/>
      <c r="O88" s="17"/>
      <c r="P88" s="17"/>
      <c r="Q88" s="17"/>
      <c r="R88" s="17"/>
      <c r="S88" s="17"/>
      <c r="T88" s="17"/>
      <c r="U88" s="17"/>
      <c r="V88" s="12"/>
      <c r="W88" s="12"/>
      <c r="X88" s="12"/>
      <c r="Y88" s="12"/>
      <c r="Z88" s="12"/>
    </row>
    <row r="89" spans="1:26" ht="15" customHeight="1" x14ac:dyDescent="0.3">
      <c r="A89" s="26"/>
      <c r="B89" s="17"/>
      <c r="C89" s="17"/>
      <c r="D89" s="17"/>
      <c r="E89" s="17"/>
      <c r="F89" s="17"/>
      <c r="G89" s="17"/>
      <c r="H89" s="17"/>
      <c r="I89" s="17"/>
      <c r="J89" s="17"/>
      <c r="K89" s="17"/>
      <c r="L89" s="17"/>
      <c r="M89" s="17"/>
      <c r="N89" s="17"/>
      <c r="O89" s="17"/>
      <c r="P89" s="17"/>
      <c r="Q89" s="17"/>
      <c r="R89" s="17"/>
      <c r="S89" s="17"/>
      <c r="T89" s="17"/>
      <c r="U89" s="17"/>
      <c r="V89" s="12"/>
      <c r="W89" s="12"/>
      <c r="X89" s="12"/>
      <c r="Y89" s="12"/>
      <c r="Z89" s="12"/>
    </row>
    <row r="90" spans="1:26" ht="15" customHeight="1" x14ac:dyDescent="0.3">
      <c r="A90" s="26"/>
      <c r="B90" s="17"/>
      <c r="C90" s="17"/>
      <c r="D90" s="17"/>
      <c r="E90" s="17"/>
      <c r="F90" s="17"/>
      <c r="G90" s="17"/>
      <c r="H90" s="17"/>
      <c r="I90" s="17"/>
      <c r="J90" s="17"/>
      <c r="K90" s="17"/>
      <c r="L90" s="17"/>
      <c r="M90" s="17"/>
      <c r="N90" s="17"/>
      <c r="O90" s="17"/>
      <c r="P90" s="17"/>
      <c r="Q90" s="17"/>
      <c r="R90" s="17"/>
      <c r="S90" s="17"/>
      <c r="T90" s="17"/>
      <c r="U90" s="17"/>
      <c r="V90" s="12"/>
      <c r="W90" s="12"/>
      <c r="X90" s="12"/>
      <c r="Y90" s="12"/>
      <c r="Z90" s="12"/>
    </row>
    <row r="91" spans="1:26" ht="15" customHeight="1" x14ac:dyDescent="0.3">
      <c r="A91" s="26"/>
      <c r="B91" s="17"/>
      <c r="C91" s="17"/>
      <c r="D91" s="17"/>
      <c r="E91" s="17"/>
      <c r="F91" s="17"/>
      <c r="G91" s="17"/>
      <c r="H91" s="17"/>
      <c r="I91" s="17"/>
      <c r="J91" s="17"/>
      <c r="K91" s="17"/>
      <c r="L91" s="17"/>
      <c r="M91" s="17"/>
      <c r="N91" s="17"/>
      <c r="O91" s="17"/>
      <c r="P91" s="17"/>
      <c r="Q91" s="17"/>
      <c r="R91" s="17"/>
      <c r="S91" s="17"/>
      <c r="T91" s="17"/>
      <c r="U91" s="17"/>
      <c r="V91" s="12"/>
      <c r="W91" s="12"/>
      <c r="X91" s="12"/>
      <c r="Y91" s="12"/>
      <c r="Z91" s="12"/>
    </row>
    <row r="92" spans="1:26" ht="15" customHeight="1" x14ac:dyDescent="0.3">
      <c r="A92" s="26"/>
      <c r="B92" s="17"/>
      <c r="C92" s="17"/>
      <c r="D92" s="17"/>
      <c r="E92" s="17"/>
      <c r="F92" s="17"/>
      <c r="G92" s="17"/>
      <c r="H92" s="17"/>
      <c r="I92" s="17"/>
      <c r="J92" s="17"/>
      <c r="K92" s="17"/>
      <c r="L92" s="17"/>
      <c r="M92" s="17"/>
      <c r="N92" s="17"/>
      <c r="O92" s="17"/>
      <c r="P92" s="17"/>
      <c r="Q92" s="17"/>
      <c r="R92" s="17"/>
      <c r="S92" s="17"/>
      <c r="T92" s="17"/>
      <c r="U92" s="17"/>
      <c r="V92" s="12"/>
      <c r="W92" s="12"/>
      <c r="X92" s="12"/>
      <c r="Y92" s="12"/>
      <c r="Z92" s="12"/>
    </row>
    <row r="93" spans="1:26" ht="15" customHeight="1" x14ac:dyDescent="0.3">
      <c r="A93" s="26"/>
      <c r="B93" s="17"/>
      <c r="C93" s="17"/>
      <c r="D93" s="17"/>
      <c r="E93" s="17"/>
      <c r="F93" s="17"/>
      <c r="G93" s="17"/>
      <c r="H93" s="17"/>
      <c r="I93" s="17"/>
      <c r="J93" s="17"/>
      <c r="K93" s="17"/>
      <c r="L93" s="17"/>
      <c r="M93" s="17"/>
      <c r="N93" s="17"/>
      <c r="O93" s="17"/>
      <c r="P93" s="17"/>
      <c r="Q93" s="17"/>
      <c r="R93" s="17"/>
      <c r="S93" s="17"/>
      <c r="T93" s="17"/>
      <c r="U93" s="17"/>
      <c r="V93" s="12"/>
      <c r="W93" s="12"/>
      <c r="X93" s="12"/>
      <c r="Y93" s="12"/>
      <c r="Z93" s="12"/>
    </row>
    <row r="94" spans="1:26" ht="15" customHeight="1" x14ac:dyDescent="0.3">
      <c r="A94" s="26"/>
      <c r="B94" s="17"/>
      <c r="C94" s="17"/>
      <c r="D94" s="17"/>
      <c r="E94" s="17"/>
      <c r="F94" s="17"/>
      <c r="G94" s="17"/>
      <c r="H94" s="17"/>
      <c r="I94" s="17"/>
      <c r="J94" s="17"/>
      <c r="K94" s="17"/>
      <c r="L94" s="17"/>
      <c r="M94" s="17"/>
      <c r="N94" s="17"/>
      <c r="O94" s="17"/>
      <c r="P94" s="17"/>
      <c r="Q94" s="17"/>
      <c r="R94" s="17"/>
      <c r="S94" s="17"/>
      <c r="T94" s="17"/>
      <c r="U94" s="17"/>
      <c r="V94" s="12"/>
      <c r="W94" s="12"/>
      <c r="X94" s="12"/>
      <c r="Y94" s="12"/>
      <c r="Z94" s="12"/>
    </row>
    <row r="95" spans="1:26" ht="15" customHeight="1" x14ac:dyDescent="0.3">
      <c r="A95" s="26"/>
      <c r="B95" s="17"/>
      <c r="C95" s="17"/>
      <c r="D95" s="17"/>
      <c r="E95" s="17"/>
      <c r="F95" s="17"/>
      <c r="G95" s="17"/>
      <c r="H95" s="17"/>
      <c r="I95" s="17"/>
      <c r="J95" s="17"/>
      <c r="K95" s="17"/>
      <c r="L95" s="17"/>
      <c r="M95" s="17"/>
      <c r="N95" s="17"/>
      <c r="O95" s="17"/>
      <c r="P95" s="17"/>
      <c r="Q95" s="17"/>
      <c r="R95" s="17"/>
      <c r="S95" s="17"/>
      <c r="T95" s="17"/>
      <c r="U95" s="17"/>
      <c r="V95" s="12"/>
      <c r="W95" s="12"/>
      <c r="X95" s="12"/>
      <c r="Y95" s="12"/>
      <c r="Z95" s="12"/>
    </row>
    <row r="96" spans="1:26" ht="15" customHeight="1" x14ac:dyDescent="0.3">
      <c r="A96" s="26"/>
      <c r="B96" s="17"/>
      <c r="C96" s="17"/>
      <c r="D96" s="17"/>
      <c r="E96" s="17"/>
      <c r="F96" s="17"/>
      <c r="G96" s="17"/>
      <c r="H96" s="17"/>
      <c r="I96" s="17"/>
      <c r="J96" s="17"/>
      <c r="K96" s="17"/>
      <c r="L96" s="17"/>
      <c r="M96" s="17"/>
      <c r="N96" s="17"/>
      <c r="O96" s="17"/>
      <c r="P96" s="17"/>
      <c r="Q96" s="17"/>
      <c r="R96" s="17"/>
      <c r="S96" s="17"/>
      <c r="T96" s="17"/>
      <c r="U96" s="17"/>
      <c r="V96" s="12"/>
      <c r="W96" s="12"/>
      <c r="X96" s="12"/>
      <c r="Y96" s="12"/>
      <c r="Z96" s="12"/>
    </row>
    <row r="97" spans="1:26" ht="15" customHeight="1" x14ac:dyDescent="0.3">
      <c r="A97" s="26"/>
      <c r="B97" s="17"/>
      <c r="C97" s="17"/>
      <c r="D97" s="17"/>
      <c r="E97" s="17"/>
      <c r="F97" s="17"/>
      <c r="G97" s="17"/>
      <c r="H97" s="17"/>
      <c r="I97" s="17"/>
      <c r="J97" s="17"/>
      <c r="K97" s="17"/>
      <c r="L97" s="17"/>
      <c r="M97" s="17"/>
      <c r="N97" s="17"/>
      <c r="O97" s="17"/>
      <c r="P97" s="17"/>
      <c r="Q97" s="17"/>
      <c r="R97" s="17"/>
      <c r="S97" s="17"/>
      <c r="T97" s="17"/>
      <c r="U97" s="17"/>
      <c r="V97" s="12"/>
      <c r="W97" s="12"/>
      <c r="X97" s="12"/>
      <c r="Y97" s="12"/>
      <c r="Z97" s="12"/>
    </row>
    <row r="98" spans="1:26" ht="15" customHeight="1" x14ac:dyDescent="0.3">
      <c r="A98" s="26"/>
      <c r="B98" s="17"/>
      <c r="C98" s="17"/>
      <c r="D98" s="17"/>
      <c r="E98" s="17"/>
      <c r="F98" s="17"/>
      <c r="G98" s="17"/>
      <c r="H98" s="17"/>
      <c r="I98" s="17"/>
      <c r="J98" s="17"/>
      <c r="K98" s="17"/>
      <c r="L98" s="17"/>
      <c r="M98" s="17"/>
      <c r="N98" s="17"/>
      <c r="O98" s="17"/>
      <c r="P98" s="17"/>
      <c r="Q98" s="17"/>
      <c r="R98" s="17"/>
      <c r="S98" s="17"/>
      <c r="T98" s="17"/>
      <c r="U98" s="17"/>
      <c r="V98" s="12"/>
      <c r="W98" s="12"/>
      <c r="X98" s="12"/>
      <c r="Y98" s="12"/>
      <c r="Z98" s="12"/>
    </row>
    <row r="99" spans="1:26" ht="15" customHeight="1" x14ac:dyDescent="0.3">
      <c r="A99" s="26"/>
      <c r="B99" s="17"/>
      <c r="C99" s="17"/>
      <c r="D99" s="17"/>
      <c r="E99" s="17"/>
      <c r="F99" s="17"/>
      <c r="G99" s="17"/>
      <c r="H99" s="17"/>
      <c r="I99" s="17"/>
      <c r="J99" s="17"/>
      <c r="K99" s="17"/>
      <c r="L99" s="17"/>
      <c r="M99" s="17"/>
      <c r="N99" s="17"/>
      <c r="O99" s="17"/>
      <c r="P99" s="17"/>
      <c r="Q99" s="17"/>
      <c r="R99" s="17"/>
      <c r="S99" s="17"/>
      <c r="T99" s="17"/>
      <c r="U99" s="17"/>
      <c r="V99" s="12"/>
      <c r="W99" s="12"/>
      <c r="X99" s="12"/>
      <c r="Y99" s="12"/>
      <c r="Z99" s="12"/>
    </row>
    <row r="100" spans="1:26" ht="15" customHeight="1" x14ac:dyDescent="0.3">
      <c r="A100" s="26"/>
      <c r="B100" s="17"/>
      <c r="C100" s="17"/>
      <c r="D100" s="17"/>
      <c r="E100" s="17"/>
      <c r="F100" s="17"/>
      <c r="G100" s="17"/>
      <c r="H100" s="17"/>
      <c r="I100" s="17"/>
      <c r="J100" s="17"/>
      <c r="K100" s="17"/>
      <c r="L100" s="17"/>
      <c r="M100" s="17"/>
      <c r="N100" s="17"/>
      <c r="O100" s="17"/>
      <c r="P100" s="17"/>
      <c r="Q100" s="17"/>
      <c r="R100" s="17"/>
      <c r="S100" s="17"/>
      <c r="T100" s="17"/>
      <c r="U100" s="17"/>
      <c r="V100" s="12"/>
      <c r="W100" s="12"/>
      <c r="X100" s="12"/>
      <c r="Y100" s="12"/>
      <c r="Z100" s="12"/>
    </row>
    <row r="101" spans="1:26" ht="15" customHeight="1" x14ac:dyDescent="0.3">
      <c r="A101" s="26"/>
      <c r="B101" s="17"/>
      <c r="C101" s="17"/>
      <c r="D101" s="17"/>
      <c r="E101" s="17"/>
      <c r="F101" s="17"/>
      <c r="G101" s="17"/>
      <c r="H101" s="17"/>
      <c r="I101" s="17"/>
      <c r="J101" s="17"/>
      <c r="K101" s="17"/>
      <c r="L101" s="17"/>
      <c r="M101" s="17"/>
      <c r="N101" s="17"/>
      <c r="O101" s="17"/>
      <c r="P101" s="17"/>
      <c r="Q101" s="17"/>
      <c r="R101" s="17"/>
      <c r="S101" s="17"/>
      <c r="T101" s="17"/>
      <c r="U101" s="17"/>
      <c r="V101" s="12"/>
      <c r="W101" s="12"/>
      <c r="X101" s="12"/>
      <c r="Y101" s="12"/>
      <c r="Z101" s="12"/>
    </row>
    <row r="102" spans="1:26" ht="15" customHeight="1" x14ac:dyDescent="0.3">
      <c r="A102" s="26"/>
      <c r="B102" s="17"/>
      <c r="C102" s="17"/>
      <c r="D102" s="17"/>
      <c r="E102" s="17"/>
      <c r="F102" s="17"/>
      <c r="G102" s="17"/>
      <c r="H102" s="17"/>
      <c r="I102" s="17"/>
      <c r="J102" s="17"/>
      <c r="K102" s="17"/>
      <c r="L102" s="17"/>
      <c r="M102" s="17"/>
      <c r="N102" s="17"/>
      <c r="O102" s="17"/>
      <c r="P102" s="17"/>
      <c r="Q102" s="17"/>
      <c r="R102" s="17"/>
      <c r="S102" s="17"/>
      <c r="T102" s="17"/>
      <c r="U102" s="17"/>
      <c r="V102" s="12"/>
      <c r="W102" s="12"/>
      <c r="X102" s="12"/>
      <c r="Y102" s="12"/>
      <c r="Z102" s="12"/>
    </row>
    <row r="103" spans="1:26" ht="15" customHeight="1" x14ac:dyDescent="0.3">
      <c r="A103" s="26"/>
      <c r="B103" s="17"/>
      <c r="C103" s="17"/>
      <c r="D103" s="17"/>
      <c r="E103" s="17"/>
      <c r="F103" s="17"/>
      <c r="G103" s="17"/>
      <c r="H103" s="17"/>
      <c r="I103" s="17"/>
      <c r="J103" s="17"/>
      <c r="K103" s="17"/>
      <c r="L103" s="17"/>
      <c r="M103" s="17"/>
      <c r="N103" s="17"/>
      <c r="O103" s="17"/>
      <c r="P103" s="17"/>
      <c r="Q103" s="17"/>
      <c r="R103" s="17"/>
      <c r="S103" s="17"/>
      <c r="T103" s="17"/>
      <c r="U103" s="17"/>
      <c r="V103" s="12"/>
      <c r="W103" s="12"/>
      <c r="X103" s="12"/>
      <c r="Y103" s="12"/>
      <c r="Z103" s="12"/>
    </row>
    <row r="104" spans="1:26" ht="15" customHeight="1" x14ac:dyDescent="0.3">
      <c r="A104" s="26"/>
      <c r="B104" s="17"/>
      <c r="C104" s="17"/>
      <c r="D104" s="17"/>
      <c r="E104" s="17"/>
      <c r="F104" s="17"/>
      <c r="G104" s="17"/>
      <c r="H104" s="17"/>
      <c r="I104" s="17"/>
      <c r="J104" s="17"/>
      <c r="K104" s="17"/>
      <c r="L104" s="17"/>
      <c r="M104" s="17"/>
      <c r="N104" s="17"/>
      <c r="O104" s="17"/>
      <c r="P104" s="17"/>
      <c r="Q104" s="17"/>
      <c r="R104" s="17"/>
      <c r="S104" s="17"/>
      <c r="T104" s="17"/>
      <c r="U104" s="17"/>
      <c r="V104" s="12"/>
      <c r="W104" s="12"/>
      <c r="X104" s="12"/>
      <c r="Y104" s="12"/>
      <c r="Z104" s="12"/>
    </row>
    <row r="105" spans="1:26" ht="15" customHeight="1" x14ac:dyDescent="0.3">
      <c r="A105" s="26"/>
      <c r="B105" s="17"/>
      <c r="C105" s="17"/>
      <c r="D105" s="17"/>
      <c r="E105" s="17"/>
      <c r="F105" s="17"/>
      <c r="G105" s="17"/>
      <c r="H105" s="17"/>
      <c r="I105" s="17"/>
      <c r="J105" s="17"/>
      <c r="K105" s="17"/>
      <c r="L105" s="17"/>
      <c r="M105" s="17"/>
      <c r="N105" s="17"/>
      <c r="O105" s="17"/>
      <c r="P105" s="17"/>
      <c r="Q105" s="17"/>
      <c r="R105" s="17"/>
      <c r="S105" s="17"/>
      <c r="T105" s="17"/>
      <c r="U105" s="17"/>
      <c r="V105" s="12"/>
      <c r="W105" s="12"/>
      <c r="X105" s="12"/>
      <c r="Y105" s="12"/>
      <c r="Z105" s="12"/>
    </row>
    <row r="106" spans="1:26" ht="15" customHeight="1" x14ac:dyDescent="0.3">
      <c r="A106" s="26"/>
      <c r="B106" s="17"/>
      <c r="C106" s="17"/>
      <c r="D106" s="17"/>
      <c r="E106" s="17"/>
      <c r="F106" s="17"/>
      <c r="G106" s="17"/>
      <c r="H106" s="17"/>
      <c r="I106" s="17"/>
      <c r="J106" s="17"/>
      <c r="K106" s="17"/>
      <c r="L106" s="17"/>
      <c r="M106" s="17"/>
      <c r="N106" s="17"/>
      <c r="O106" s="17"/>
      <c r="P106" s="17"/>
      <c r="Q106" s="17"/>
      <c r="R106" s="17"/>
      <c r="S106" s="17"/>
      <c r="T106" s="17"/>
      <c r="U106" s="17"/>
      <c r="V106" s="12"/>
      <c r="W106" s="12"/>
      <c r="X106" s="12"/>
      <c r="Y106" s="12"/>
      <c r="Z106" s="12"/>
    </row>
    <row r="107" spans="1:26" ht="15" customHeight="1" x14ac:dyDescent="0.3">
      <c r="A107" s="26"/>
      <c r="B107" s="17"/>
      <c r="C107" s="17"/>
      <c r="D107" s="17"/>
      <c r="E107" s="17"/>
      <c r="F107" s="17"/>
      <c r="G107" s="17"/>
      <c r="H107" s="17"/>
      <c r="I107" s="17"/>
      <c r="J107" s="17"/>
      <c r="K107" s="17"/>
      <c r="L107" s="17"/>
      <c r="M107" s="17"/>
      <c r="N107" s="17"/>
      <c r="O107" s="17"/>
      <c r="P107" s="17"/>
      <c r="Q107" s="17"/>
      <c r="R107" s="17"/>
      <c r="S107" s="17"/>
      <c r="T107" s="17"/>
      <c r="U107" s="17"/>
      <c r="V107" s="12"/>
      <c r="W107" s="12"/>
      <c r="X107" s="12"/>
      <c r="Y107" s="12"/>
      <c r="Z107" s="12"/>
    </row>
    <row r="108" spans="1:26" ht="15" customHeight="1" x14ac:dyDescent="0.3">
      <c r="A108" s="26"/>
      <c r="B108" s="17"/>
      <c r="C108" s="17"/>
      <c r="D108" s="17"/>
      <c r="E108" s="17"/>
      <c r="F108" s="17"/>
      <c r="G108" s="17"/>
      <c r="H108" s="17"/>
      <c r="I108" s="17"/>
      <c r="J108" s="17"/>
      <c r="K108" s="17"/>
      <c r="L108" s="17"/>
      <c r="M108" s="17"/>
      <c r="N108" s="17"/>
      <c r="O108" s="17"/>
      <c r="P108" s="17"/>
      <c r="Q108" s="17"/>
      <c r="R108" s="17"/>
      <c r="S108" s="17"/>
      <c r="T108" s="17"/>
      <c r="U108" s="17"/>
      <c r="V108" s="12"/>
      <c r="W108" s="12"/>
      <c r="X108" s="12"/>
      <c r="Y108" s="12"/>
      <c r="Z108" s="12"/>
    </row>
    <row r="109" spans="1:26" ht="15" customHeight="1" x14ac:dyDescent="0.3">
      <c r="A109" s="26"/>
      <c r="B109" s="17"/>
      <c r="C109" s="17"/>
      <c r="D109" s="17"/>
      <c r="E109" s="17"/>
      <c r="F109" s="17"/>
      <c r="G109" s="17"/>
      <c r="H109" s="17"/>
      <c r="I109" s="17"/>
      <c r="J109" s="17"/>
      <c r="K109" s="17"/>
      <c r="L109" s="17"/>
      <c r="M109" s="17"/>
      <c r="N109" s="17"/>
      <c r="O109" s="17"/>
      <c r="P109" s="17"/>
      <c r="Q109" s="17"/>
      <c r="R109" s="17"/>
      <c r="S109" s="17"/>
      <c r="T109" s="17"/>
      <c r="U109" s="17"/>
      <c r="V109" s="12"/>
      <c r="W109" s="12"/>
      <c r="X109" s="12"/>
      <c r="Y109" s="12"/>
      <c r="Z109" s="12"/>
    </row>
    <row r="110" spans="1:26" ht="15" customHeight="1" x14ac:dyDescent="0.3">
      <c r="A110" s="26"/>
      <c r="B110" s="17"/>
      <c r="C110" s="17"/>
      <c r="D110" s="17"/>
      <c r="E110" s="17"/>
      <c r="F110" s="17"/>
      <c r="G110" s="17"/>
      <c r="H110" s="17"/>
      <c r="I110" s="17"/>
      <c r="J110" s="17"/>
      <c r="K110" s="17"/>
      <c r="L110" s="17"/>
      <c r="M110" s="17"/>
      <c r="N110" s="17"/>
      <c r="O110" s="17"/>
      <c r="P110" s="17"/>
      <c r="Q110" s="17"/>
      <c r="R110" s="17"/>
      <c r="S110" s="17"/>
      <c r="T110" s="17"/>
      <c r="U110" s="17"/>
      <c r="V110" s="12"/>
      <c r="W110" s="12"/>
      <c r="X110" s="12"/>
      <c r="Y110" s="12"/>
      <c r="Z110" s="12"/>
    </row>
    <row r="111" spans="1:26" ht="15" customHeight="1" x14ac:dyDescent="0.3">
      <c r="A111" s="26"/>
      <c r="B111" s="17"/>
      <c r="C111" s="17"/>
      <c r="D111" s="17"/>
      <c r="E111" s="17"/>
      <c r="F111" s="17"/>
      <c r="G111" s="17"/>
      <c r="H111" s="17"/>
      <c r="I111" s="17"/>
      <c r="J111" s="17"/>
      <c r="K111" s="17"/>
      <c r="L111" s="17"/>
      <c r="M111" s="17"/>
      <c r="N111" s="17"/>
      <c r="O111" s="17"/>
      <c r="P111" s="17"/>
      <c r="Q111" s="17"/>
      <c r="R111" s="17"/>
      <c r="S111" s="17"/>
      <c r="T111" s="17"/>
      <c r="U111" s="17"/>
      <c r="V111" s="12"/>
      <c r="W111" s="12"/>
      <c r="X111" s="12"/>
      <c r="Y111" s="12"/>
      <c r="Z111" s="12"/>
    </row>
    <row r="112" spans="1:26" ht="15" customHeight="1" x14ac:dyDescent="0.3">
      <c r="A112" s="26"/>
      <c r="B112" s="17"/>
      <c r="C112" s="17"/>
      <c r="D112" s="17"/>
      <c r="E112" s="17"/>
      <c r="F112" s="17"/>
      <c r="G112" s="17"/>
      <c r="H112" s="17"/>
      <c r="I112" s="17"/>
      <c r="J112" s="17"/>
      <c r="K112" s="17"/>
      <c r="L112" s="17"/>
      <c r="M112" s="17"/>
      <c r="N112" s="17"/>
      <c r="O112" s="17"/>
      <c r="P112" s="17"/>
      <c r="Q112" s="17"/>
      <c r="R112" s="17"/>
      <c r="S112" s="17"/>
      <c r="T112" s="17"/>
      <c r="U112" s="17"/>
      <c r="V112" s="12"/>
      <c r="W112" s="12"/>
      <c r="X112" s="12"/>
      <c r="Y112" s="12"/>
      <c r="Z112" s="12"/>
    </row>
    <row r="113" spans="1:26" ht="15" customHeight="1" x14ac:dyDescent="0.3">
      <c r="A113" s="26"/>
      <c r="B113" s="17"/>
      <c r="C113" s="17"/>
      <c r="D113" s="17"/>
      <c r="E113" s="17"/>
      <c r="F113" s="17"/>
      <c r="G113" s="17"/>
      <c r="H113" s="17"/>
      <c r="I113" s="17"/>
      <c r="J113" s="17"/>
      <c r="K113" s="17"/>
      <c r="L113" s="17"/>
      <c r="M113" s="17"/>
      <c r="N113" s="17"/>
      <c r="O113" s="17"/>
      <c r="P113" s="17"/>
      <c r="Q113" s="17"/>
      <c r="R113" s="17"/>
      <c r="S113" s="17"/>
      <c r="T113" s="17"/>
      <c r="U113" s="17"/>
      <c r="V113" s="12"/>
      <c r="W113" s="12"/>
      <c r="X113" s="12"/>
      <c r="Y113" s="12"/>
      <c r="Z113" s="12"/>
    </row>
    <row r="114" spans="1:26" ht="15" customHeight="1" x14ac:dyDescent="0.3">
      <c r="A114" s="26"/>
      <c r="B114" s="17"/>
      <c r="C114" s="17"/>
      <c r="D114" s="17"/>
      <c r="E114" s="17"/>
      <c r="F114" s="17"/>
      <c r="G114" s="17"/>
      <c r="H114" s="17"/>
      <c r="I114" s="17"/>
      <c r="J114" s="17"/>
      <c r="K114" s="17"/>
      <c r="L114" s="17"/>
      <c r="M114" s="17"/>
      <c r="N114" s="17"/>
      <c r="O114" s="17"/>
      <c r="P114" s="17"/>
      <c r="Q114" s="17"/>
      <c r="R114" s="17"/>
      <c r="S114" s="17"/>
      <c r="T114" s="17"/>
      <c r="U114" s="17"/>
      <c r="V114" s="12"/>
      <c r="W114" s="12"/>
      <c r="X114" s="12"/>
      <c r="Y114" s="12"/>
      <c r="Z114" s="12"/>
    </row>
    <row r="115" spans="1:26" ht="15" customHeight="1" x14ac:dyDescent="0.3">
      <c r="A115" s="26"/>
      <c r="B115" s="17"/>
      <c r="C115" s="17"/>
      <c r="D115" s="17"/>
      <c r="E115" s="17"/>
      <c r="F115" s="17"/>
      <c r="G115" s="17"/>
      <c r="H115" s="17"/>
      <c r="I115" s="17"/>
      <c r="J115" s="17"/>
      <c r="K115" s="17"/>
      <c r="L115" s="17"/>
      <c r="M115" s="17"/>
      <c r="N115" s="17"/>
      <c r="O115" s="17"/>
      <c r="P115" s="17"/>
      <c r="Q115" s="17"/>
      <c r="R115" s="17"/>
      <c r="S115" s="17"/>
      <c r="T115" s="17"/>
      <c r="U115" s="17"/>
      <c r="V115" s="12"/>
      <c r="W115" s="12"/>
      <c r="X115" s="12"/>
      <c r="Y115" s="12"/>
      <c r="Z115" s="12"/>
    </row>
    <row r="116" spans="1:26" ht="15" customHeight="1" x14ac:dyDescent="0.3">
      <c r="A116" s="26"/>
      <c r="B116" s="17"/>
      <c r="C116" s="17"/>
      <c r="D116" s="17"/>
      <c r="E116" s="17"/>
      <c r="F116" s="17"/>
      <c r="G116" s="17"/>
      <c r="H116" s="17"/>
      <c r="I116" s="17"/>
      <c r="J116" s="17"/>
      <c r="K116" s="17"/>
      <c r="L116" s="17"/>
      <c r="M116" s="17"/>
      <c r="N116" s="17"/>
      <c r="O116" s="17"/>
      <c r="P116" s="17"/>
      <c r="Q116" s="17"/>
      <c r="R116" s="17"/>
      <c r="S116" s="17"/>
      <c r="T116" s="17"/>
      <c r="U116" s="17"/>
      <c r="V116" s="12"/>
      <c r="W116" s="12"/>
      <c r="X116" s="12"/>
      <c r="Y116" s="12"/>
      <c r="Z116" s="12"/>
    </row>
    <row r="117" spans="1:26" ht="15" customHeight="1" x14ac:dyDescent="0.3">
      <c r="A117" s="26"/>
      <c r="B117" s="17"/>
      <c r="C117" s="17"/>
      <c r="D117" s="17"/>
      <c r="E117" s="17"/>
      <c r="F117" s="17"/>
      <c r="G117" s="17"/>
      <c r="H117" s="17"/>
      <c r="I117" s="17"/>
      <c r="J117" s="17"/>
      <c r="K117" s="17"/>
      <c r="L117" s="17"/>
      <c r="M117" s="17"/>
      <c r="N117" s="17"/>
      <c r="O117" s="17"/>
      <c r="P117" s="17"/>
      <c r="Q117" s="17"/>
      <c r="R117" s="17"/>
      <c r="S117" s="17"/>
      <c r="T117" s="17"/>
      <c r="U117" s="17"/>
      <c r="V117" s="12"/>
      <c r="W117" s="12"/>
      <c r="X117" s="12"/>
      <c r="Y117" s="12"/>
      <c r="Z117" s="12"/>
    </row>
    <row r="118" spans="1:26" ht="15" customHeight="1" x14ac:dyDescent="0.3">
      <c r="A118" s="26"/>
      <c r="B118" s="17"/>
      <c r="C118" s="17"/>
      <c r="D118" s="17"/>
      <c r="E118" s="17"/>
      <c r="F118" s="17"/>
      <c r="G118" s="17"/>
      <c r="H118" s="17"/>
      <c r="I118" s="17"/>
      <c r="J118" s="17"/>
      <c r="K118" s="17"/>
      <c r="L118" s="17"/>
      <c r="M118" s="17"/>
      <c r="N118" s="17"/>
      <c r="O118" s="17"/>
      <c r="P118" s="17"/>
      <c r="Q118" s="17"/>
      <c r="R118" s="17"/>
      <c r="S118" s="17"/>
      <c r="T118" s="17"/>
      <c r="U118" s="17"/>
      <c r="V118" s="12"/>
      <c r="W118" s="12"/>
      <c r="X118" s="12"/>
      <c r="Y118" s="12"/>
      <c r="Z118" s="12"/>
    </row>
    <row r="119" spans="1:26" ht="15" customHeight="1" x14ac:dyDescent="0.3">
      <c r="A119" s="26"/>
      <c r="B119" s="17"/>
      <c r="C119" s="17"/>
      <c r="D119" s="17"/>
      <c r="E119" s="17"/>
      <c r="F119" s="17"/>
      <c r="G119" s="17"/>
      <c r="H119" s="17"/>
      <c r="I119" s="17"/>
      <c r="J119" s="17"/>
      <c r="K119" s="17"/>
      <c r="L119" s="17"/>
      <c r="M119" s="17"/>
      <c r="N119" s="17"/>
      <c r="O119" s="17"/>
      <c r="P119" s="17"/>
      <c r="Q119" s="17"/>
      <c r="R119" s="17"/>
      <c r="S119" s="17"/>
      <c r="T119" s="17"/>
      <c r="U119" s="17"/>
      <c r="V119" s="12"/>
      <c r="W119" s="12"/>
      <c r="X119" s="12"/>
      <c r="Y119" s="12"/>
      <c r="Z119" s="12"/>
    </row>
    <row r="120" spans="1:26" ht="15" customHeight="1" x14ac:dyDescent="0.3">
      <c r="A120" s="26"/>
      <c r="B120" s="17"/>
      <c r="C120" s="17"/>
      <c r="D120" s="17"/>
      <c r="E120" s="17"/>
      <c r="F120" s="17"/>
      <c r="G120" s="17"/>
      <c r="H120" s="17"/>
      <c r="I120" s="17"/>
      <c r="J120" s="17"/>
      <c r="K120" s="17"/>
      <c r="L120" s="17"/>
      <c r="M120" s="17"/>
      <c r="N120" s="17"/>
      <c r="O120" s="17"/>
      <c r="P120" s="17"/>
      <c r="Q120" s="17"/>
      <c r="R120" s="17"/>
      <c r="S120" s="17"/>
      <c r="T120" s="17"/>
      <c r="U120" s="17"/>
      <c r="V120" s="12"/>
      <c r="W120" s="12"/>
      <c r="X120" s="12"/>
      <c r="Y120" s="12"/>
      <c r="Z120" s="12"/>
    </row>
    <row r="121" spans="1:26" ht="15" customHeight="1" x14ac:dyDescent="0.3">
      <c r="A121" s="26"/>
      <c r="B121" s="17"/>
      <c r="C121" s="17"/>
      <c r="D121" s="17"/>
      <c r="E121" s="17"/>
      <c r="F121" s="17"/>
      <c r="G121" s="17"/>
      <c r="H121" s="17"/>
      <c r="I121" s="17"/>
      <c r="J121" s="17"/>
      <c r="K121" s="17"/>
      <c r="L121" s="17"/>
      <c r="M121" s="17"/>
      <c r="N121" s="17"/>
      <c r="O121" s="17"/>
      <c r="P121" s="17"/>
      <c r="Q121" s="17"/>
      <c r="R121" s="17"/>
      <c r="S121" s="17"/>
      <c r="T121" s="17"/>
      <c r="U121" s="17"/>
      <c r="V121" s="12"/>
      <c r="W121" s="12"/>
      <c r="X121" s="12"/>
      <c r="Y121" s="12"/>
      <c r="Z121" s="12"/>
    </row>
    <row r="122" spans="1:26" ht="15" customHeight="1" x14ac:dyDescent="0.3">
      <c r="A122" s="26"/>
      <c r="B122" s="17"/>
      <c r="C122" s="17"/>
      <c r="D122" s="17"/>
      <c r="E122" s="17"/>
      <c r="F122" s="17"/>
      <c r="G122" s="17"/>
      <c r="H122" s="17"/>
      <c r="I122" s="17"/>
      <c r="J122" s="17"/>
      <c r="K122" s="17"/>
      <c r="L122" s="17"/>
      <c r="M122" s="17"/>
      <c r="N122" s="17"/>
      <c r="O122" s="17"/>
      <c r="P122" s="17"/>
      <c r="Q122" s="17"/>
      <c r="R122" s="17"/>
      <c r="S122" s="17"/>
      <c r="T122" s="17"/>
      <c r="U122" s="17"/>
      <c r="V122" s="12"/>
      <c r="W122" s="12"/>
      <c r="X122" s="12"/>
      <c r="Y122" s="12"/>
      <c r="Z122" s="12"/>
    </row>
    <row r="123" spans="1:26" ht="15" customHeight="1" x14ac:dyDescent="0.3">
      <c r="A123" s="26"/>
      <c r="B123" s="17"/>
      <c r="C123" s="17"/>
      <c r="D123" s="17"/>
      <c r="E123" s="17"/>
      <c r="F123" s="17"/>
      <c r="G123" s="17"/>
      <c r="H123" s="17"/>
      <c r="I123" s="17"/>
      <c r="J123" s="17"/>
      <c r="K123" s="17"/>
      <c r="L123" s="17"/>
      <c r="M123" s="17"/>
      <c r="N123" s="17"/>
      <c r="O123" s="17"/>
      <c r="P123" s="17"/>
      <c r="Q123" s="17"/>
      <c r="R123" s="17"/>
      <c r="S123" s="17"/>
      <c r="T123" s="17"/>
      <c r="U123" s="17"/>
      <c r="V123" s="12"/>
      <c r="W123" s="12"/>
      <c r="X123" s="12"/>
      <c r="Y123" s="12"/>
      <c r="Z123" s="12"/>
    </row>
    <row r="124" spans="1:26" ht="15" customHeight="1" x14ac:dyDescent="0.3">
      <c r="A124" s="26"/>
      <c r="B124" s="17"/>
      <c r="C124" s="17"/>
      <c r="D124" s="17"/>
      <c r="E124" s="17"/>
      <c r="F124" s="17"/>
      <c r="G124" s="17"/>
      <c r="H124" s="17"/>
      <c r="I124" s="17"/>
      <c r="J124" s="17"/>
      <c r="K124" s="17"/>
      <c r="L124" s="17"/>
      <c r="M124" s="17"/>
      <c r="N124" s="17"/>
      <c r="O124" s="17"/>
      <c r="P124" s="17"/>
      <c r="Q124" s="17"/>
      <c r="R124" s="17"/>
      <c r="S124" s="17"/>
      <c r="T124" s="17"/>
      <c r="U124" s="17"/>
      <c r="V124" s="12"/>
      <c r="W124" s="12"/>
      <c r="X124" s="12"/>
      <c r="Y124" s="12"/>
      <c r="Z124" s="12"/>
    </row>
    <row r="125" spans="1:26" ht="15" customHeight="1" x14ac:dyDescent="0.3">
      <c r="A125" s="26"/>
      <c r="B125" s="17"/>
      <c r="C125" s="17"/>
      <c r="D125" s="17"/>
      <c r="E125" s="17"/>
      <c r="F125" s="17"/>
      <c r="G125" s="17"/>
      <c r="H125" s="17"/>
      <c r="I125" s="17"/>
      <c r="J125" s="17"/>
      <c r="K125" s="17"/>
      <c r="L125" s="17"/>
      <c r="M125" s="17"/>
      <c r="N125" s="17"/>
      <c r="O125" s="17"/>
      <c r="P125" s="17"/>
      <c r="Q125" s="17"/>
      <c r="R125" s="17"/>
      <c r="S125" s="17"/>
      <c r="T125" s="17"/>
      <c r="U125" s="17"/>
      <c r="V125" s="12"/>
      <c r="W125" s="12"/>
      <c r="X125" s="12"/>
      <c r="Y125" s="12"/>
      <c r="Z125" s="12"/>
    </row>
    <row r="126" spans="1:26" ht="15" customHeight="1" x14ac:dyDescent="0.3">
      <c r="A126" s="26"/>
      <c r="B126" s="17"/>
      <c r="C126" s="17"/>
      <c r="D126" s="17"/>
      <c r="E126" s="17"/>
      <c r="F126" s="17"/>
      <c r="G126" s="17"/>
      <c r="H126" s="17"/>
      <c r="I126" s="17"/>
      <c r="J126" s="17"/>
      <c r="K126" s="17"/>
      <c r="L126" s="17"/>
      <c r="M126" s="17"/>
      <c r="N126" s="17"/>
      <c r="O126" s="17"/>
      <c r="P126" s="17"/>
      <c r="Q126" s="17"/>
      <c r="R126" s="17"/>
      <c r="S126" s="17"/>
      <c r="T126" s="17"/>
      <c r="U126" s="17"/>
      <c r="V126" s="12"/>
      <c r="W126" s="12"/>
      <c r="X126" s="12"/>
      <c r="Y126" s="12"/>
      <c r="Z126" s="12"/>
    </row>
    <row r="127" spans="1:26" ht="15" customHeight="1" x14ac:dyDescent="0.3">
      <c r="A127" s="26"/>
      <c r="B127" s="17"/>
      <c r="C127" s="17"/>
      <c r="D127" s="17"/>
      <c r="E127" s="17"/>
      <c r="F127" s="17"/>
      <c r="G127" s="17"/>
      <c r="H127" s="17"/>
      <c r="I127" s="17"/>
      <c r="J127" s="17"/>
      <c r="K127" s="17"/>
      <c r="L127" s="17"/>
      <c r="M127" s="17"/>
      <c r="N127" s="17"/>
      <c r="O127" s="17"/>
      <c r="P127" s="17"/>
      <c r="Q127" s="17"/>
      <c r="R127" s="17"/>
      <c r="S127" s="17"/>
      <c r="T127" s="17"/>
      <c r="U127" s="17"/>
      <c r="V127" s="12"/>
      <c r="W127" s="12"/>
      <c r="X127" s="12"/>
      <c r="Y127" s="12"/>
      <c r="Z127" s="12"/>
    </row>
    <row r="128" spans="1:26" ht="15" customHeight="1" x14ac:dyDescent="0.3">
      <c r="A128" s="26"/>
      <c r="B128" s="17"/>
      <c r="C128" s="17"/>
      <c r="D128" s="17"/>
      <c r="E128" s="17"/>
      <c r="F128" s="17"/>
      <c r="G128" s="17"/>
      <c r="H128" s="17"/>
      <c r="I128" s="17"/>
      <c r="J128" s="17"/>
      <c r="K128" s="17"/>
      <c r="L128" s="17"/>
      <c r="M128" s="17"/>
      <c r="N128" s="17"/>
      <c r="O128" s="17"/>
      <c r="P128" s="17"/>
      <c r="Q128" s="17"/>
      <c r="R128" s="17"/>
      <c r="S128" s="17"/>
      <c r="T128" s="17"/>
      <c r="U128" s="17"/>
      <c r="V128" s="12"/>
      <c r="W128" s="12"/>
      <c r="X128" s="12"/>
      <c r="Y128" s="12"/>
      <c r="Z128" s="12"/>
    </row>
    <row r="129" spans="1:26" ht="15" customHeight="1" x14ac:dyDescent="0.3">
      <c r="A129" s="26"/>
      <c r="B129" s="17"/>
      <c r="C129" s="17"/>
      <c r="D129" s="17"/>
      <c r="E129" s="17"/>
      <c r="F129" s="17"/>
      <c r="G129" s="17"/>
      <c r="H129" s="17"/>
      <c r="I129" s="17"/>
      <c r="J129" s="17"/>
      <c r="K129" s="17"/>
      <c r="L129" s="17"/>
      <c r="M129" s="17"/>
      <c r="N129" s="17"/>
      <c r="O129" s="17"/>
      <c r="P129" s="17"/>
      <c r="Q129" s="17"/>
      <c r="R129" s="17"/>
      <c r="S129" s="17"/>
      <c r="T129" s="17"/>
      <c r="U129" s="17"/>
      <c r="V129" s="12"/>
      <c r="W129" s="12"/>
      <c r="X129" s="12"/>
      <c r="Y129" s="12"/>
      <c r="Z129" s="12"/>
    </row>
    <row r="130" spans="1:26" ht="15" customHeight="1" x14ac:dyDescent="0.3">
      <c r="A130" s="26"/>
      <c r="B130" s="17"/>
      <c r="C130" s="17"/>
      <c r="D130" s="17"/>
      <c r="E130" s="17"/>
      <c r="F130" s="17"/>
      <c r="G130" s="17"/>
      <c r="H130" s="17"/>
      <c r="I130" s="17"/>
      <c r="J130" s="17"/>
      <c r="K130" s="17"/>
      <c r="L130" s="17"/>
      <c r="M130" s="17"/>
      <c r="N130" s="17"/>
      <c r="O130" s="17"/>
      <c r="P130" s="17"/>
      <c r="Q130" s="17"/>
      <c r="R130" s="17"/>
      <c r="S130" s="17"/>
      <c r="T130" s="17"/>
      <c r="U130" s="17"/>
      <c r="V130" s="12"/>
      <c r="W130" s="12"/>
      <c r="X130" s="12"/>
      <c r="Y130" s="12"/>
      <c r="Z130" s="12"/>
    </row>
    <row r="131" spans="1:26" ht="15" customHeight="1" x14ac:dyDescent="0.3">
      <c r="A131" s="26"/>
      <c r="B131" s="17"/>
      <c r="C131" s="17"/>
      <c r="D131" s="17"/>
      <c r="E131" s="17"/>
      <c r="F131" s="17"/>
      <c r="G131" s="17"/>
      <c r="H131" s="17"/>
      <c r="I131" s="17"/>
      <c r="J131" s="17"/>
      <c r="K131" s="17"/>
      <c r="L131" s="17"/>
      <c r="M131" s="17"/>
      <c r="N131" s="17"/>
      <c r="O131" s="17"/>
      <c r="P131" s="17"/>
      <c r="Q131" s="17"/>
      <c r="R131" s="17"/>
      <c r="S131" s="17"/>
      <c r="T131" s="17"/>
      <c r="U131" s="17"/>
      <c r="V131" s="12"/>
      <c r="W131" s="12"/>
      <c r="X131" s="12"/>
      <c r="Y131" s="12"/>
      <c r="Z131" s="12"/>
    </row>
    <row r="132" spans="1:26" ht="15" customHeight="1" x14ac:dyDescent="0.3">
      <c r="A132" s="26"/>
      <c r="B132" s="17"/>
      <c r="C132" s="17"/>
      <c r="D132" s="17"/>
      <c r="E132" s="17"/>
      <c r="F132" s="17"/>
      <c r="G132" s="17"/>
      <c r="H132" s="17"/>
      <c r="I132" s="17"/>
      <c r="J132" s="17"/>
      <c r="K132" s="17"/>
      <c r="L132" s="17"/>
      <c r="M132" s="17"/>
      <c r="N132" s="17"/>
      <c r="O132" s="17"/>
      <c r="P132" s="17"/>
      <c r="Q132" s="17"/>
      <c r="R132" s="17"/>
      <c r="S132" s="17"/>
      <c r="T132" s="17"/>
      <c r="U132" s="17"/>
      <c r="V132" s="12"/>
      <c r="W132" s="12"/>
      <c r="X132" s="12"/>
      <c r="Y132" s="12"/>
      <c r="Z132" s="12"/>
    </row>
    <row r="133" spans="1:26" ht="15" customHeight="1" x14ac:dyDescent="0.3">
      <c r="A133" s="26"/>
      <c r="B133" s="17"/>
      <c r="C133" s="17"/>
      <c r="D133" s="17"/>
      <c r="E133" s="17"/>
      <c r="F133" s="17"/>
      <c r="G133" s="17"/>
      <c r="H133" s="17"/>
      <c r="I133" s="17"/>
      <c r="J133" s="17"/>
      <c r="K133" s="17"/>
      <c r="L133" s="17"/>
      <c r="M133" s="17"/>
      <c r="N133" s="17"/>
      <c r="O133" s="17"/>
      <c r="P133" s="17"/>
      <c r="Q133" s="17"/>
      <c r="R133" s="17"/>
      <c r="S133" s="17"/>
      <c r="T133" s="17"/>
      <c r="U133" s="17"/>
      <c r="V133" s="12"/>
      <c r="W133" s="12"/>
      <c r="X133" s="12"/>
      <c r="Y133" s="12"/>
      <c r="Z133" s="12"/>
    </row>
    <row r="134" spans="1:26" ht="15" customHeight="1" x14ac:dyDescent="0.3">
      <c r="A134" s="26"/>
      <c r="B134" s="17"/>
      <c r="C134" s="17"/>
      <c r="D134" s="17"/>
      <c r="E134" s="17"/>
      <c r="F134" s="17"/>
      <c r="G134" s="17"/>
      <c r="H134" s="17"/>
      <c r="I134" s="17"/>
      <c r="J134" s="17"/>
      <c r="K134" s="17"/>
      <c r="L134" s="17"/>
      <c r="M134" s="17"/>
      <c r="N134" s="17"/>
      <c r="O134" s="17"/>
      <c r="P134" s="17"/>
      <c r="Q134" s="17"/>
      <c r="R134" s="17"/>
      <c r="S134" s="17"/>
      <c r="T134" s="17"/>
      <c r="U134" s="17"/>
      <c r="V134" s="12"/>
      <c r="W134" s="12"/>
      <c r="X134" s="12"/>
      <c r="Y134" s="12"/>
      <c r="Z134" s="12"/>
    </row>
    <row r="135" spans="1:26" ht="15" customHeight="1" x14ac:dyDescent="0.3">
      <c r="A135" s="26"/>
      <c r="B135" s="17"/>
      <c r="C135" s="17"/>
      <c r="D135" s="17"/>
      <c r="E135" s="17"/>
      <c r="F135" s="17"/>
      <c r="G135" s="17"/>
      <c r="H135" s="17"/>
      <c r="I135" s="17"/>
      <c r="J135" s="17"/>
      <c r="K135" s="17"/>
      <c r="L135" s="17"/>
      <c r="M135" s="17"/>
      <c r="N135" s="17"/>
      <c r="O135" s="17"/>
      <c r="P135" s="17"/>
      <c r="Q135" s="17"/>
      <c r="R135" s="17"/>
      <c r="S135" s="17"/>
      <c r="T135" s="17"/>
      <c r="U135" s="17"/>
      <c r="V135" s="12"/>
      <c r="W135" s="12"/>
      <c r="X135" s="12"/>
      <c r="Y135" s="12"/>
      <c r="Z135" s="12"/>
    </row>
    <row r="136" spans="1:26" ht="15" customHeight="1" x14ac:dyDescent="0.3">
      <c r="A136" s="26"/>
      <c r="B136" s="17"/>
      <c r="C136" s="17"/>
      <c r="D136" s="17"/>
      <c r="E136" s="17"/>
      <c r="F136" s="17"/>
      <c r="G136" s="17"/>
      <c r="H136" s="17"/>
      <c r="I136" s="17"/>
      <c r="J136" s="17"/>
      <c r="K136" s="17"/>
      <c r="L136" s="17"/>
      <c r="M136" s="17"/>
      <c r="N136" s="17"/>
      <c r="O136" s="17"/>
      <c r="P136" s="17"/>
      <c r="Q136" s="17"/>
      <c r="R136" s="17"/>
      <c r="S136" s="17"/>
      <c r="T136" s="17"/>
      <c r="U136" s="17"/>
      <c r="V136" s="12"/>
      <c r="W136" s="12"/>
      <c r="X136" s="12"/>
      <c r="Y136" s="12"/>
      <c r="Z136" s="12"/>
    </row>
    <row r="137" spans="1:26" ht="15" customHeight="1" x14ac:dyDescent="0.3">
      <c r="A137" s="26"/>
      <c r="B137" s="17"/>
      <c r="C137" s="17"/>
      <c r="D137" s="17"/>
      <c r="E137" s="17"/>
      <c r="F137" s="17"/>
      <c r="G137" s="17"/>
      <c r="H137" s="17"/>
      <c r="I137" s="17"/>
      <c r="J137" s="17"/>
      <c r="K137" s="17"/>
      <c r="L137" s="17"/>
      <c r="M137" s="17"/>
      <c r="N137" s="17"/>
      <c r="O137" s="17"/>
      <c r="P137" s="17"/>
      <c r="Q137" s="17"/>
      <c r="R137" s="17"/>
      <c r="S137" s="17"/>
      <c r="T137" s="17"/>
      <c r="U137" s="17"/>
      <c r="V137" s="12"/>
      <c r="W137" s="12"/>
      <c r="X137" s="12"/>
      <c r="Y137" s="12"/>
      <c r="Z137" s="12"/>
    </row>
    <row r="138" spans="1:26" ht="15" customHeight="1" x14ac:dyDescent="0.3">
      <c r="A138" s="26"/>
      <c r="B138" s="17"/>
      <c r="C138" s="17"/>
      <c r="D138" s="17"/>
      <c r="E138" s="17"/>
      <c r="F138" s="17"/>
      <c r="G138" s="17"/>
      <c r="H138" s="17"/>
      <c r="I138" s="17"/>
      <c r="J138" s="17"/>
      <c r="K138" s="17"/>
      <c r="L138" s="17"/>
      <c r="M138" s="17"/>
      <c r="N138" s="17"/>
      <c r="O138" s="17"/>
      <c r="P138" s="17"/>
      <c r="Q138" s="17"/>
      <c r="R138" s="17"/>
      <c r="S138" s="17"/>
      <c r="T138" s="17"/>
      <c r="U138" s="17"/>
      <c r="V138" s="12"/>
      <c r="W138" s="12"/>
      <c r="X138" s="12"/>
      <c r="Y138" s="12"/>
      <c r="Z138" s="12"/>
    </row>
    <row r="139" spans="1:26" ht="15" customHeight="1" x14ac:dyDescent="0.3">
      <c r="A139" s="26"/>
      <c r="B139" s="17"/>
      <c r="C139" s="17"/>
      <c r="D139" s="17"/>
      <c r="E139" s="17"/>
      <c r="F139" s="17"/>
      <c r="G139" s="17"/>
      <c r="H139" s="17"/>
      <c r="I139" s="17"/>
      <c r="J139" s="17"/>
      <c r="K139" s="17"/>
      <c r="L139" s="17"/>
      <c r="M139" s="17"/>
      <c r="N139" s="17"/>
      <c r="O139" s="17"/>
      <c r="P139" s="17"/>
      <c r="Q139" s="17"/>
      <c r="R139" s="17"/>
      <c r="S139" s="17"/>
      <c r="T139" s="17"/>
      <c r="U139" s="17"/>
      <c r="V139" s="12"/>
      <c r="W139" s="12"/>
      <c r="X139" s="12"/>
      <c r="Y139" s="12"/>
      <c r="Z139" s="12"/>
    </row>
    <row r="140" spans="1:26" ht="15" customHeight="1" x14ac:dyDescent="0.3">
      <c r="A140" s="26"/>
      <c r="B140" s="17"/>
      <c r="C140" s="17"/>
      <c r="D140" s="17"/>
      <c r="E140" s="17"/>
      <c r="F140" s="17"/>
      <c r="G140" s="17"/>
      <c r="H140" s="17"/>
      <c r="I140" s="17"/>
      <c r="J140" s="17"/>
      <c r="K140" s="17"/>
      <c r="L140" s="17"/>
      <c r="M140" s="17"/>
      <c r="N140" s="17"/>
      <c r="O140" s="17"/>
      <c r="P140" s="17"/>
      <c r="Q140" s="17"/>
      <c r="R140" s="17"/>
      <c r="S140" s="17"/>
      <c r="T140" s="17"/>
      <c r="U140" s="17"/>
      <c r="V140" s="12"/>
      <c r="W140" s="12"/>
      <c r="X140" s="12"/>
      <c r="Y140" s="12"/>
      <c r="Z140" s="12"/>
    </row>
    <row r="141" spans="1:26" ht="15" customHeight="1" x14ac:dyDescent="0.3">
      <c r="A141" s="26"/>
      <c r="B141" s="17"/>
      <c r="C141" s="17"/>
      <c r="D141" s="17"/>
      <c r="E141" s="17"/>
      <c r="F141" s="17"/>
      <c r="G141" s="17"/>
      <c r="H141" s="17"/>
      <c r="I141" s="17"/>
      <c r="J141" s="17"/>
      <c r="K141" s="17"/>
      <c r="L141" s="17"/>
      <c r="M141" s="17"/>
      <c r="N141" s="17"/>
      <c r="O141" s="17"/>
      <c r="P141" s="17"/>
      <c r="Q141" s="17"/>
      <c r="R141" s="17"/>
      <c r="S141" s="17"/>
      <c r="T141" s="17"/>
      <c r="U141" s="17"/>
      <c r="V141" s="12"/>
      <c r="W141" s="12"/>
      <c r="X141" s="12"/>
      <c r="Y141" s="12"/>
      <c r="Z141" s="12"/>
    </row>
    <row r="142" spans="1:26" ht="15" customHeight="1" x14ac:dyDescent="0.3">
      <c r="A142" s="26"/>
      <c r="B142" s="17"/>
      <c r="C142" s="17"/>
      <c r="D142" s="17"/>
      <c r="E142" s="17"/>
      <c r="F142" s="17"/>
      <c r="G142" s="17"/>
      <c r="H142" s="17"/>
      <c r="I142" s="17"/>
      <c r="J142" s="17"/>
      <c r="K142" s="17"/>
      <c r="L142" s="17"/>
      <c r="M142" s="17"/>
      <c r="N142" s="17"/>
      <c r="O142" s="17"/>
      <c r="P142" s="17"/>
      <c r="Q142" s="17"/>
      <c r="R142" s="17"/>
      <c r="S142" s="17"/>
      <c r="T142" s="17"/>
      <c r="U142" s="17"/>
      <c r="V142" s="12"/>
      <c r="W142" s="12"/>
      <c r="X142" s="12"/>
      <c r="Y142" s="12"/>
      <c r="Z142" s="12"/>
    </row>
    <row r="143" spans="1:26" ht="15" customHeight="1" x14ac:dyDescent="0.3">
      <c r="A143" s="26"/>
      <c r="B143" s="17"/>
      <c r="C143" s="17"/>
      <c r="D143" s="17"/>
      <c r="E143" s="17"/>
      <c r="F143" s="17"/>
      <c r="G143" s="17"/>
      <c r="H143" s="17"/>
      <c r="I143" s="17"/>
      <c r="J143" s="17"/>
      <c r="K143" s="17"/>
      <c r="L143" s="17"/>
      <c r="M143" s="17"/>
      <c r="N143" s="17"/>
      <c r="O143" s="17"/>
      <c r="P143" s="17"/>
      <c r="Q143" s="17"/>
      <c r="R143" s="17"/>
      <c r="S143" s="17"/>
      <c r="T143" s="17"/>
      <c r="U143" s="17"/>
      <c r="V143" s="12"/>
      <c r="W143" s="12"/>
      <c r="X143" s="12"/>
      <c r="Y143" s="12"/>
      <c r="Z143" s="12"/>
    </row>
    <row r="144" spans="1:26" ht="15" customHeight="1" x14ac:dyDescent="0.3">
      <c r="A144" s="26"/>
      <c r="B144" s="17"/>
      <c r="C144" s="17"/>
      <c r="D144" s="17"/>
      <c r="E144" s="17"/>
      <c r="F144" s="17"/>
      <c r="G144" s="17"/>
      <c r="H144" s="17"/>
      <c r="I144" s="17"/>
      <c r="J144" s="17"/>
      <c r="K144" s="17"/>
      <c r="L144" s="17"/>
      <c r="M144" s="17"/>
      <c r="N144" s="17"/>
      <c r="O144" s="17"/>
      <c r="P144" s="17"/>
      <c r="Q144" s="17"/>
      <c r="R144" s="17"/>
      <c r="S144" s="17"/>
      <c r="T144" s="17"/>
      <c r="U144" s="17"/>
      <c r="V144" s="12"/>
      <c r="W144" s="12"/>
      <c r="X144" s="12"/>
      <c r="Y144" s="12"/>
      <c r="Z144" s="12"/>
    </row>
    <row r="145" spans="1:26" ht="15" customHeight="1" x14ac:dyDescent="0.3">
      <c r="A145" s="26"/>
      <c r="B145" s="17"/>
      <c r="C145" s="17"/>
      <c r="D145" s="17"/>
      <c r="E145" s="17"/>
      <c r="F145" s="17"/>
      <c r="G145" s="17"/>
      <c r="H145" s="17"/>
      <c r="I145" s="17"/>
      <c r="J145" s="17"/>
      <c r="K145" s="17"/>
      <c r="L145" s="17"/>
      <c r="M145" s="17"/>
      <c r="N145" s="17"/>
      <c r="O145" s="17"/>
      <c r="P145" s="17"/>
      <c r="Q145" s="17"/>
      <c r="R145" s="17"/>
      <c r="S145" s="17"/>
      <c r="T145" s="17"/>
      <c r="U145" s="17"/>
      <c r="V145" s="12"/>
      <c r="W145" s="12"/>
      <c r="X145" s="12"/>
      <c r="Y145" s="12"/>
      <c r="Z145" s="12"/>
    </row>
    <row r="146" spans="1:26" ht="15" customHeight="1" x14ac:dyDescent="0.3">
      <c r="A146" s="26"/>
      <c r="B146" s="17"/>
      <c r="C146" s="17"/>
      <c r="D146" s="17"/>
      <c r="E146" s="17"/>
      <c r="F146" s="17"/>
      <c r="G146" s="17"/>
      <c r="H146" s="17"/>
      <c r="I146" s="17"/>
      <c r="J146" s="17"/>
      <c r="K146" s="17"/>
      <c r="L146" s="17"/>
      <c r="M146" s="17"/>
      <c r="N146" s="17"/>
      <c r="O146" s="17"/>
      <c r="P146" s="17"/>
      <c r="Q146" s="17"/>
      <c r="R146" s="17"/>
      <c r="S146" s="17"/>
      <c r="T146" s="17"/>
      <c r="U146" s="17"/>
      <c r="V146" s="12"/>
      <c r="W146" s="12"/>
      <c r="X146" s="12"/>
      <c r="Y146" s="12"/>
      <c r="Z146" s="12"/>
    </row>
    <row r="147" spans="1:26" ht="15" customHeight="1" x14ac:dyDescent="0.3">
      <c r="A147" s="26"/>
      <c r="B147" s="17"/>
      <c r="C147" s="17"/>
      <c r="D147" s="17"/>
      <c r="E147" s="17"/>
      <c r="F147" s="17"/>
      <c r="G147" s="17"/>
      <c r="H147" s="17"/>
      <c r="I147" s="17"/>
      <c r="J147" s="17"/>
      <c r="K147" s="17"/>
      <c r="L147" s="17"/>
      <c r="M147" s="17"/>
      <c r="N147" s="17"/>
      <c r="O147" s="17"/>
      <c r="P147" s="17"/>
      <c r="Q147" s="17"/>
      <c r="R147" s="17"/>
      <c r="S147" s="17"/>
      <c r="T147" s="17"/>
      <c r="U147" s="17"/>
      <c r="V147" s="12"/>
      <c r="W147" s="12"/>
      <c r="X147" s="12"/>
      <c r="Y147" s="12"/>
      <c r="Z147" s="12"/>
    </row>
    <row r="148" spans="1:26" ht="15" customHeight="1" x14ac:dyDescent="0.3">
      <c r="A148" s="26"/>
      <c r="B148" s="17"/>
      <c r="C148" s="17"/>
      <c r="D148" s="17"/>
      <c r="E148" s="17"/>
      <c r="F148" s="17"/>
      <c r="G148" s="17"/>
      <c r="H148" s="17"/>
      <c r="I148" s="17"/>
      <c r="J148" s="17"/>
      <c r="K148" s="17"/>
      <c r="L148" s="17"/>
      <c r="M148" s="17"/>
      <c r="N148" s="17"/>
      <c r="O148" s="17"/>
      <c r="P148" s="17"/>
      <c r="Q148" s="17"/>
      <c r="R148" s="17"/>
      <c r="S148" s="17"/>
      <c r="T148" s="17"/>
      <c r="U148" s="17"/>
      <c r="V148" s="12"/>
      <c r="W148" s="12"/>
      <c r="X148" s="12"/>
      <c r="Y148" s="12"/>
      <c r="Z148" s="12"/>
    </row>
    <row r="149" spans="1:26" ht="15" customHeight="1" x14ac:dyDescent="0.3">
      <c r="A149" s="26"/>
      <c r="B149" s="17"/>
      <c r="C149" s="17"/>
      <c r="D149" s="17"/>
      <c r="E149" s="17"/>
      <c r="F149" s="17"/>
      <c r="G149" s="17"/>
      <c r="H149" s="17"/>
      <c r="I149" s="17"/>
      <c r="J149" s="17"/>
      <c r="K149" s="17"/>
      <c r="L149" s="17"/>
      <c r="M149" s="17"/>
      <c r="N149" s="17"/>
      <c r="O149" s="17"/>
      <c r="P149" s="17"/>
      <c r="Q149" s="17"/>
      <c r="R149" s="17"/>
      <c r="S149" s="17"/>
      <c r="T149" s="17"/>
      <c r="U149" s="17"/>
      <c r="V149" s="12"/>
      <c r="W149" s="12"/>
      <c r="X149" s="12"/>
      <c r="Y149" s="12"/>
      <c r="Z149" s="12"/>
    </row>
    <row r="150" spans="1:26" ht="15" customHeight="1" x14ac:dyDescent="0.3">
      <c r="A150" s="26"/>
      <c r="B150" s="17"/>
      <c r="C150" s="17"/>
      <c r="D150" s="17"/>
      <c r="E150" s="17"/>
      <c r="F150" s="17"/>
      <c r="G150" s="17"/>
      <c r="H150" s="17"/>
      <c r="I150" s="17"/>
      <c r="J150" s="17"/>
      <c r="K150" s="17"/>
      <c r="L150" s="17"/>
      <c r="M150" s="17"/>
      <c r="N150" s="17"/>
      <c r="O150" s="17"/>
      <c r="P150" s="17"/>
      <c r="Q150" s="17"/>
      <c r="R150" s="17"/>
      <c r="S150" s="17"/>
      <c r="T150" s="17"/>
      <c r="U150" s="17"/>
      <c r="V150" s="12"/>
      <c r="W150" s="12"/>
      <c r="X150" s="12"/>
      <c r="Y150" s="12"/>
      <c r="Z150" s="12"/>
    </row>
    <row r="151" spans="1:26" ht="15" customHeight="1" x14ac:dyDescent="0.3">
      <c r="A151" s="26"/>
      <c r="B151" s="17"/>
      <c r="C151" s="17"/>
      <c r="D151" s="17"/>
      <c r="E151" s="17"/>
      <c r="F151" s="17"/>
      <c r="G151" s="17"/>
      <c r="H151" s="17"/>
      <c r="I151" s="17"/>
      <c r="J151" s="17"/>
      <c r="K151" s="17"/>
      <c r="L151" s="17"/>
      <c r="M151" s="17"/>
      <c r="N151" s="17"/>
      <c r="O151" s="17"/>
      <c r="P151" s="17"/>
      <c r="Q151" s="17"/>
      <c r="R151" s="17"/>
      <c r="S151" s="17"/>
      <c r="T151" s="17"/>
      <c r="U151" s="17"/>
      <c r="V151" s="12"/>
      <c r="W151" s="12"/>
      <c r="X151" s="12"/>
      <c r="Y151" s="12"/>
      <c r="Z151" s="12"/>
    </row>
    <row r="152" spans="1:26" ht="15" customHeight="1" x14ac:dyDescent="0.3">
      <c r="A152" s="26"/>
      <c r="B152" s="17"/>
      <c r="C152" s="17"/>
      <c r="D152" s="17"/>
      <c r="E152" s="17"/>
      <c r="F152" s="17"/>
      <c r="G152" s="17"/>
      <c r="H152" s="17"/>
      <c r="I152" s="17"/>
      <c r="J152" s="17"/>
      <c r="K152" s="17"/>
      <c r="L152" s="17"/>
      <c r="M152" s="17"/>
      <c r="N152" s="17"/>
      <c r="O152" s="17"/>
      <c r="P152" s="17"/>
      <c r="Q152" s="17"/>
      <c r="R152" s="17"/>
      <c r="S152" s="17"/>
      <c r="T152" s="17"/>
      <c r="U152" s="17"/>
      <c r="V152" s="12"/>
      <c r="W152" s="12"/>
      <c r="X152" s="12"/>
      <c r="Y152" s="12"/>
      <c r="Z152" s="12"/>
    </row>
    <row r="153" spans="1:26" ht="15" customHeight="1" x14ac:dyDescent="0.3">
      <c r="A153" s="26"/>
      <c r="B153" s="17"/>
      <c r="C153" s="17"/>
      <c r="D153" s="17"/>
      <c r="E153" s="17"/>
      <c r="F153" s="17"/>
      <c r="G153" s="17"/>
      <c r="H153" s="17"/>
      <c r="I153" s="17"/>
      <c r="J153" s="17"/>
      <c r="K153" s="17"/>
      <c r="L153" s="17"/>
      <c r="M153" s="17"/>
      <c r="N153" s="17"/>
      <c r="O153" s="17"/>
      <c r="P153" s="17"/>
      <c r="Q153" s="17"/>
      <c r="R153" s="17"/>
      <c r="S153" s="17"/>
      <c r="T153" s="17"/>
      <c r="U153" s="17"/>
      <c r="V153" s="12"/>
      <c r="W153" s="12"/>
      <c r="X153" s="12"/>
      <c r="Y153" s="12"/>
      <c r="Z153" s="12"/>
    </row>
    <row r="154" spans="1:26" ht="15" customHeight="1" x14ac:dyDescent="0.3">
      <c r="A154" s="26"/>
      <c r="B154" s="17"/>
      <c r="C154" s="17"/>
      <c r="D154" s="17"/>
      <c r="E154" s="17"/>
      <c r="F154" s="17"/>
      <c r="G154" s="17"/>
      <c r="H154" s="17"/>
      <c r="I154" s="17"/>
      <c r="J154" s="17"/>
      <c r="K154" s="17"/>
      <c r="L154" s="17"/>
      <c r="M154" s="17"/>
      <c r="N154" s="17"/>
      <c r="O154" s="17"/>
      <c r="P154" s="17"/>
      <c r="Q154" s="17"/>
      <c r="R154" s="17"/>
      <c r="S154" s="17"/>
      <c r="T154" s="17"/>
      <c r="U154" s="17"/>
      <c r="V154" s="12"/>
      <c r="W154" s="12"/>
      <c r="X154" s="12"/>
      <c r="Y154" s="12"/>
      <c r="Z154" s="12"/>
    </row>
    <row r="155" spans="1:26" ht="15" customHeight="1" x14ac:dyDescent="0.3">
      <c r="A155" s="26"/>
      <c r="B155" s="17"/>
      <c r="C155" s="17"/>
      <c r="D155" s="17"/>
      <c r="E155" s="17"/>
      <c r="F155" s="17"/>
      <c r="G155" s="17"/>
      <c r="H155" s="17"/>
      <c r="I155" s="17"/>
      <c r="J155" s="17"/>
      <c r="K155" s="17"/>
      <c r="L155" s="17"/>
      <c r="M155" s="17"/>
      <c r="N155" s="17"/>
      <c r="O155" s="17"/>
      <c r="P155" s="17"/>
      <c r="Q155" s="17"/>
      <c r="R155" s="17"/>
      <c r="S155" s="17"/>
      <c r="T155" s="17"/>
      <c r="U155" s="17"/>
      <c r="V155" s="12"/>
      <c r="W155" s="12"/>
      <c r="X155" s="12"/>
      <c r="Y155" s="12"/>
      <c r="Z155" s="12"/>
    </row>
    <row r="156" spans="1:26" ht="15" customHeight="1" x14ac:dyDescent="0.3">
      <c r="A156" s="26"/>
      <c r="B156" s="17"/>
      <c r="C156" s="17"/>
      <c r="D156" s="17"/>
      <c r="E156" s="17"/>
      <c r="F156" s="17"/>
      <c r="G156" s="17"/>
      <c r="H156" s="17"/>
      <c r="I156" s="17"/>
      <c r="J156" s="17"/>
      <c r="K156" s="17"/>
      <c r="L156" s="17"/>
      <c r="M156" s="17"/>
      <c r="N156" s="17"/>
      <c r="O156" s="17"/>
      <c r="P156" s="17"/>
      <c r="Q156" s="17"/>
      <c r="R156" s="17"/>
      <c r="S156" s="17"/>
      <c r="T156" s="17"/>
      <c r="U156" s="17"/>
      <c r="V156" s="12"/>
      <c r="W156" s="12"/>
      <c r="X156" s="12"/>
      <c r="Y156" s="12"/>
      <c r="Z156" s="12"/>
    </row>
    <row r="157" spans="1:26" ht="15" customHeight="1" x14ac:dyDescent="0.3">
      <c r="A157" s="26"/>
      <c r="B157" s="17"/>
      <c r="C157" s="17"/>
      <c r="D157" s="17"/>
      <c r="E157" s="17"/>
      <c r="F157" s="17"/>
      <c r="G157" s="17"/>
      <c r="H157" s="17"/>
      <c r="I157" s="17"/>
      <c r="J157" s="17"/>
      <c r="K157" s="17"/>
      <c r="L157" s="17"/>
      <c r="M157" s="17"/>
      <c r="N157" s="17"/>
      <c r="O157" s="17"/>
      <c r="P157" s="17"/>
      <c r="Q157" s="17"/>
      <c r="R157" s="17"/>
      <c r="S157" s="17"/>
      <c r="T157" s="17"/>
      <c r="U157" s="17"/>
      <c r="V157" s="12"/>
      <c r="W157" s="12"/>
      <c r="X157" s="12"/>
      <c r="Y157" s="12"/>
      <c r="Z157" s="12"/>
    </row>
    <row r="158" spans="1:26" ht="15" customHeight="1" x14ac:dyDescent="0.3">
      <c r="A158" s="26"/>
      <c r="B158" s="17"/>
      <c r="C158" s="17"/>
      <c r="D158" s="17"/>
      <c r="E158" s="17"/>
      <c r="F158" s="17"/>
      <c r="G158" s="17"/>
      <c r="H158" s="17"/>
      <c r="I158" s="17"/>
      <c r="J158" s="17"/>
      <c r="K158" s="17"/>
      <c r="L158" s="17"/>
      <c r="M158" s="17"/>
      <c r="N158" s="17"/>
      <c r="O158" s="17"/>
      <c r="P158" s="17"/>
      <c r="Q158" s="17"/>
      <c r="R158" s="17"/>
      <c r="S158" s="17"/>
      <c r="T158" s="17"/>
      <c r="U158" s="17"/>
      <c r="V158" s="12"/>
      <c r="W158" s="12"/>
      <c r="X158" s="12"/>
      <c r="Y158" s="12"/>
      <c r="Z158" s="12"/>
    </row>
    <row r="159" spans="1:26" ht="15" customHeight="1" x14ac:dyDescent="0.3">
      <c r="A159" s="26"/>
      <c r="B159" s="17"/>
      <c r="C159" s="17"/>
      <c r="D159" s="17"/>
      <c r="E159" s="17"/>
      <c r="F159" s="17"/>
      <c r="G159" s="17"/>
      <c r="H159" s="17"/>
      <c r="I159" s="17"/>
      <c r="J159" s="17"/>
      <c r="K159" s="17"/>
      <c r="L159" s="17"/>
      <c r="M159" s="17"/>
      <c r="N159" s="17"/>
      <c r="O159" s="17"/>
      <c r="P159" s="17"/>
      <c r="Q159" s="17"/>
      <c r="R159" s="17"/>
      <c r="S159" s="17"/>
      <c r="T159" s="17"/>
      <c r="U159" s="17"/>
      <c r="V159" s="12"/>
      <c r="W159" s="12"/>
      <c r="X159" s="12"/>
      <c r="Y159" s="12"/>
      <c r="Z159" s="12"/>
    </row>
    <row r="160" spans="1:26" ht="15" customHeight="1" x14ac:dyDescent="0.3">
      <c r="A160" s="27"/>
      <c r="B160" s="19"/>
      <c r="C160" s="19"/>
      <c r="D160" s="19"/>
      <c r="E160" s="19"/>
      <c r="F160" s="19"/>
      <c r="G160" s="19"/>
      <c r="H160" s="19"/>
      <c r="I160" s="19"/>
      <c r="J160" s="19"/>
      <c r="K160" s="17"/>
      <c r="L160" s="17"/>
      <c r="M160" s="17"/>
      <c r="N160" s="17"/>
      <c r="O160" s="17"/>
      <c r="P160" s="17"/>
      <c r="Q160" s="17"/>
      <c r="R160" s="17"/>
      <c r="S160" s="17"/>
      <c r="T160" s="17"/>
      <c r="U160" s="17"/>
      <c r="V160" s="12"/>
      <c r="W160" s="12"/>
      <c r="X160" s="12"/>
      <c r="Y160" s="12"/>
      <c r="Z160" s="12"/>
    </row>
    <row r="161" spans="1:26" ht="15" customHeight="1" x14ac:dyDescent="0.3">
      <c r="A161" s="26"/>
      <c r="B161" s="17"/>
      <c r="C161" s="17"/>
      <c r="D161" s="17"/>
      <c r="E161" s="17"/>
      <c r="F161" s="17"/>
      <c r="G161" s="17"/>
      <c r="H161" s="17"/>
      <c r="I161" s="17"/>
      <c r="J161" s="17"/>
      <c r="K161" s="17"/>
      <c r="L161" s="17"/>
      <c r="M161" s="17"/>
      <c r="N161" s="17"/>
      <c r="O161" s="17"/>
      <c r="P161" s="17"/>
      <c r="Q161" s="17"/>
      <c r="R161" s="17"/>
      <c r="S161" s="17"/>
      <c r="T161" s="17"/>
      <c r="U161" s="17"/>
      <c r="V161" s="12"/>
      <c r="W161" s="12"/>
      <c r="X161" s="12"/>
      <c r="Y161" s="12"/>
      <c r="Z161" s="12"/>
    </row>
    <row r="162" spans="1:26" ht="15" customHeight="1" x14ac:dyDescent="0.3">
      <c r="A162" s="26"/>
      <c r="B162" s="17"/>
      <c r="C162" s="17"/>
      <c r="D162" s="17"/>
      <c r="E162" s="17"/>
      <c r="F162" s="17"/>
      <c r="G162" s="17"/>
      <c r="H162" s="17"/>
      <c r="I162" s="17"/>
      <c r="J162" s="17"/>
      <c r="K162" s="17"/>
      <c r="L162" s="17"/>
      <c r="M162" s="17"/>
      <c r="N162" s="17"/>
      <c r="O162" s="17"/>
      <c r="P162" s="17"/>
      <c r="Q162" s="17"/>
      <c r="R162" s="17"/>
      <c r="S162" s="17"/>
      <c r="T162" s="17"/>
      <c r="U162" s="17"/>
      <c r="V162" s="12"/>
      <c r="W162" s="12"/>
      <c r="X162" s="12"/>
      <c r="Y162" s="12"/>
      <c r="Z162" s="12"/>
    </row>
    <row r="163" spans="1:26" ht="15" customHeight="1" x14ac:dyDescent="0.3">
      <c r="A163" s="26"/>
      <c r="B163" s="17"/>
      <c r="C163" s="17"/>
      <c r="D163" s="17"/>
      <c r="E163" s="17"/>
      <c r="F163" s="17"/>
      <c r="G163" s="17"/>
      <c r="H163" s="17"/>
      <c r="I163" s="17"/>
      <c r="J163" s="17"/>
      <c r="K163" s="17"/>
      <c r="L163" s="17"/>
      <c r="M163" s="17"/>
      <c r="N163" s="17"/>
      <c r="O163" s="17"/>
      <c r="P163" s="17"/>
      <c r="Q163" s="17"/>
      <c r="R163" s="17"/>
      <c r="S163" s="17"/>
      <c r="T163" s="17"/>
      <c r="U163" s="17"/>
      <c r="V163" s="12"/>
      <c r="W163" s="12"/>
      <c r="X163" s="12"/>
      <c r="Y163" s="12"/>
      <c r="Z163" s="12"/>
    </row>
    <row r="164" spans="1:26" ht="15" customHeight="1" x14ac:dyDescent="0.3">
      <c r="A164" s="26"/>
      <c r="B164" s="17"/>
      <c r="C164" s="17"/>
      <c r="D164" s="17"/>
      <c r="E164" s="17"/>
      <c r="F164" s="17"/>
      <c r="G164" s="17"/>
      <c r="H164" s="17"/>
      <c r="I164" s="17"/>
      <c r="J164" s="17"/>
      <c r="K164" s="17"/>
      <c r="L164" s="17"/>
      <c r="M164" s="17"/>
      <c r="N164" s="17"/>
      <c r="O164" s="17"/>
      <c r="P164" s="17"/>
      <c r="Q164" s="17"/>
      <c r="R164" s="17"/>
      <c r="S164" s="17"/>
      <c r="T164" s="17"/>
      <c r="U164" s="17"/>
      <c r="V164" s="12"/>
      <c r="W164" s="12"/>
      <c r="X164" s="12"/>
      <c r="Y164" s="12"/>
      <c r="Z164" s="12"/>
    </row>
    <row r="165" spans="1:26" ht="15" customHeight="1" x14ac:dyDescent="0.3">
      <c r="A165" s="26"/>
      <c r="B165" s="17"/>
      <c r="C165" s="17"/>
      <c r="D165" s="17"/>
      <c r="E165" s="17"/>
      <c r="F165" s="17"/>
      <c r="G165" s="17"/>
      <c r="H165" s="17"/>
      <c r="I165" s="17"/>
      <c r="J165" s="17"/>
      <c r="K165" s="17"/>
      <c r="L165" s="17"/>
      <c r="M165" s="17"/>
      <c r="N165" s="17"/>
      <c r="O165" s="17"/>
      <c r="P165" s="17"/>
      <c r="Q165" s="17"/>
      <c r="R165" s="17"/>
      <c r="S165" s="17"/>
      <c r="T165" s="17"/>
      <c r="U165" s="17"/>
      <c r="V165" s="12"/>
      <c r="W165" s="12"/>
      <c r="X165" s="12"/>
      <c r="Y165" s="12"/>
      <c r="Z165" s="12"/>
    </row>
    <row r="166" spans="1:26" ht="15" customHeight="1" x14ac:dyDescent="0.3">
      <c r="A166" s="26"/>
      <c r="B166" s="17"/>
      <c r="C166" s="17"/>
      <c r="D166" s="17"/>
      <c r="E166" s="17"/>
      <c r="F166" s="17"/>
      <c r="G166" s="17"/>
      <c r="H166" s="17"/>
      <c r="I166" s="17"/>
      <c r="J166" s="17"/>
      <c r="K166" s="17"/>
      <c r="L166" s="17"/>
      <c r="M166" s="17"/>
      <c r="N166" s="17"/>
      <c r="O166" s="17"/>
      <c r="P166" s="17"/>
      <c r="Q166" s="17"/>
      <c r="R166" s="17"/>
      <c r="S166" s="17"/>
      <c r="T166" s="17"/>
      <c r="U166" s="17"/>
      <c r="V166" s="12"/>
      <c r="W166" s="12"/>
      <c r="X166" s="12"/>
      <c r="Y166" s="12"/>
      <c r="Z166" s="12"/>
    </row>
    <row r="167" spans="1:26" ht="15" customHeight="1" x14ac:dyDescent="0.3">
      <c r="A167" s="26"/>
      <c r="B167" s="17"/>
      <c r="C167" s="17"/>
      <c r="D167" s="17"/>
      <c r="E167" s="17"/>
      <c r="F167" s="17"/>
      <c r="G167" s="17"/>
      <c r="H167" s="17"/>
      <c r="I167" s="17"/>
      <c r="J167" s="17"/>
      <c r="K167" s="17"/>
      <c r="L167" s="17"/>
      <c r="M167" s="17"/>
      <c r="N167" s="17"/>
      <c r="O167" s="17"/>
      <c r="P167" s="17"/>
      <c r="Q167" s="17"/>
      <c r="R167" s="17"/>
      <c r="S167" s="17"/>
      <c r="T167" s="17"/>
      <c r="U167" s="17"/>
      <c r="V167" s="12"/>
      <c r="W167" s="12"/>
      <c r="X167" s="12"/>
      <c r="Y167" s="12"/>
      <c r="Z167" s="12"/>
    </row>
    <row r="168" spans="1:26" ht="15" customHeight="1" x14ac:dyDescent="0.3">
      <c r="A168" s="26"/>
      <c r="B168" s="17"/>
      <c r="C168" s="17"/>
      <c r="D168" s="17"/>
      <c r="E168" s="17"/>
      <c r="F168" s="17"/>
      <c r="G168" s="17"/>
      <c r="H168" s="17"/>
      <c r="I168" s="17"/>
      <c r="J168" s="17"/>
      <c r="K168" s="17"/>
      <c r="L168" s="17"/>
      <c r="M168" s="17"/>
      <c r="N168" s="17"/>
      <c r="O168" s="17"/>
      <c r="P168" s="17"/>
      <c r="Q168" s="17"/>
      <c r="R168" s="17"/>
      <c r="S168" s="17"/>
      <c r="T168" s="17"/>
      <c r="U168" s="17"/>
      <c r="V168" s="12"/>
      <c r="W168" s="12"/>
      <c r="X168" s="12"/>
      <c r="Y168" s="12"/>
      <c r="Z168" s="12"/>
    </row>
    <row r="169" spans="1:26" ht="15" customHeight="1" x14ac:dyDescent="0.3">
      <c r="A169" s="26"/>
      <c r="B169" s="17"/>
      <c r="C169" s="17"/>
      <c r="D169" s="17"/>
      <c r="E169" s="17"/>
      <c r="F169" s="17"/>
      <c r="G169" s="17"/>
      <c r="H169" s="17"/>
      <c r="I169" s="17"/>
      <c r="J169" s="17"/>
      <c r="K169" s="17"/>
      <c r="L169" s="17"/>
      <c r="M169" s="17"/>
      <c r="N169" s="17"/>
      <c r="O169" s="17"/>
      <c r="P169" s="17"/>
      <c r="Q169" s="17"/>
      <c r="R169" s="17"/>
      <c r="S169" s="17"/>
      <c r="T169" s="17"/>
      <c r="U169" s="17"/>
      <c r="V169" s="12"/>
      <c r="W169" s="12"/>
      <c r="X169" s="12"/>
      <c r="Y169" s="12"/>
      <c r="Z169" s="12"/>
    </row>
    <row r="170" spans="1:26" ht="15" customHeight="1" x14ac:dyDescent="0.3">
      <c r="A170" s="26"/>
      <c r="B170" s="17"/>
      <c r="C170" s="17"/>
      <c r="D170" s="17"/>
      <c r="E170" s="17"/>
      <c r="F170" s="17"/>
      <c r="G170" s="17"/>
      <c r="H170" s="17"/>
      <c r="I170" s="17"/>
      <c r="J170" s="17"/>
      <c r="K170" s="17"/>
      <c r="L170" s="17"/>
      <c r="M170" s="17"/>
      <c r="N170" s="17"/>
      <c r="O170" s="17"/>
      <c r="P170" s="17"/>
      <c r="Q170" s="17"/>
      <c r="R170" s="17"/>
      <c r="S170" s="17"/>
      <c r="T170" s="17"/>
      <c r="U170" s="17"/>
      <c r="V170" s="12"/>
      <c r="W170" s="12"/>
      <c r="X170" s="12"/>
      <c r="Y170" s="12"/>
      <c r="Z170" s="12"/>
    </row>
    <row r="171" spans="1:26" ht="15" customHeight="1" x14ac:dyDescent="0.3">
      <c r="A171" s="26"/>
      <c r="B171" s="17"/>
      <c r="C171" s="17"/>
      <c r="D171" s="17"/>
      <c r="E171" s="17"/>
      <c r="F171" s="17"/>
      <c r="G171" s="17"/>
      <c r="H171" s="17"/>
      <c r="I171" s="17"/>
      <c r="J171" s="17"/>
      <c r="K171" s="17"/>
      <c r="L171" s="17"/>
      <c r="M171" s="17"/>
      <c r="N171" s="17"/>
      <c r="O171" s="17"/>
      <c r="P171" s="17"/>
      <c r="Q171" s="17"/>
      <c r="R171" s="17"/>
      <c r="S171" s="17"/>
      <c r="T171" s="17"/>
      <c r="U171" s="17"/>
      <c r="V171" s="12"/>
      <c r="W171" s="12"/>
      <c r="X171" s="12"/>
      <c r="Y171" s="12"/>
      <c r="Z171" s="12"/>
    </row>
    <row r="172" spans="1:26" ht="15" customHeight="1" x14ac:dyDescent="0.3">
      <c r="A172" s="26"/>
      <c r="B172" s="17"/>
      <c r="C172" s="17"/>
      <c r="D172" s="17"/>
      <c r="E172" s="17"/>
      <c r="F172" s="17"/>
      <c r="G172" s="17"/>
      <c r="H172" s="17"/>
      <c r="I172" s="17"/>
      <c r="J172" s="17"/>
      <c r="K172" s="17"/>
      <c r="L172" s="17"/>
      <c r="M172" s="17"/>
      <c r="N172" s="17"/>
      <c r="O172" s="17"/>
      <c r="P172" s="17"/>
      <c r="Q172" s="17"/>
      <c r="R172" s="17"/>
      <c r="S172" s="17"/>
      <c r="T172" s="17"/>
      <c r="U172" s="17"/>
      <c r="V172" s="12"/>
      <c r="W172" s="12"/>
      <c r="X172" s="12"/>
      <c r="Y172" s="12"/>
      <c r="Z172" s="12"/>
    </row>
    <row r="173" spans="1:26" ht="15" customHeight="1" x14ac:dyDescent="0.3">
      <c r="A173" s="26"/>
      <c r="B173" s="17"/>
      <c r="C173" s="17"/>
      <c r="D173" s="17"/>
      <c r="E173" s="17"/>
      <c r="F173" s="17"/>
      <c r="G173" s="17"/>
      <c r="H173" s="17"/>
      <c r="I173" s="17"/>
      <c r="J173" s="17"/>
      <c r="K173" s="17"/>
      <c r="L173" s="17"/>
      <c r="M173" s="17"/>
      <c r="N173" s="17"/>
      <c r="O173" s="17"/>
      <c r="P173" s="17"/>
      <c r="Q173" s="17"/>
      <c r="R173" s="17"/>
      <c r="S173" s="17"/>
      <c r="T173" s="17"/>
      <c r="U173" s="17"/>
      <c r="V173" s="12"/>
      <c r="W173" s="12"/>
      <c r="X173" s="12"/>
      <c r="Y173" s="12"/>
      <c r="Z173" s="12"/>
    </row>
    <row r="174" spans="1:26" ht="15" customHeight="1" x14ac:dyDescent="0.3">
      <c r="A174" s="27"/>
      <c r="B174" s="19"/>
      <c r="C174" s="19"/>
      <c r="D174" s="19"/>
      <c r="E174" s="19"/>
      <c r="F174" s="19"/>
      <c r="G174" s="19"/>
      <c r="H174" s="19"/>
      <c r="I174" s="19"/>
      <c r="J174" s="19"/>
      <c r="K174" s="17"/>
      <c r="L174" s="17"/>
      <c r="M174" s="17"/>
      <c r="N174" s="17"/>
      <c r="O174" s="17"/>
      <c r="P174" s="17"/>
      <c r="Q174" s="17"/>
      <c r="R174" s="17"/>
      <c r="S174" s="17"/>
      <c r="T174" s="17"/>
      <c r="U174" s="17"/>
      <c r="V174" s="12"/>
      <c r="W174" s="12"/>
      <c r="X174" s="12"/>
      <c r="Y174" s="12"/>
      <c r="Z174" s="12"/>
    </row>
    <row r="175" spans="1:26" ht="15" customHeight="1" x14ac:dyDescent="0.3">
      <c r="A175" s="26"/>
      <c r="B175" s="17"/>
      <c r="C175" s="17"/>
      <c r="D175" s="17"/>
      <c r="E175" s="17"/>
      <c r="F175" s="17"/>
      <c r="G175" s="17"/>
      <c r="H175" s="17"/>
      <c r="I175" s="17"/>
      <c r="J175" s="17"/>
      <c r="K175" s="17"/>
      <c r="L175" s="17"/>
      <c r="M175" s="17"/>
      <c r="N175" s="17"/>
      <c r="O175" s="17"/>
      <c r="P175" s="17"/>
      <c r="Q175" s="17"/>
      <c r="R175" s="17"/>
      <c r="S175" s="17"/>
      <c r="T175" s="17"/>
      <c r="U175" s="17"/>
      <c r="V175" s="12"/>
      <c r="W175" s="12"/>
      <c r="X175" s="12"/>
      <c r="Y175" s="12"/>
      <c r="Z175" s="12"/>
    </row>
    <row r="176" spans="1:26" ht="15" customHeight="1" x14ac:dyDescent="0.3">
      <c r="A176" s="26"/>
      <c r="B176" s="17"/>
      <c r="C176" s="17"/>
      <c r="D176" s="17"/>
      <c r="E176" s="17"/>
      <c r="F176" s="17"/>
      <c r="G176" s="17"/>
      <c r="H176" s="17"/>
      <c r="I176" s="17"/>
      <c r="J176" s="17"/>
      <c r="K176" s="17"/>
      <c r="L176" s="17"/>
      <c r="M176" s="17"/>
      <c r="N176" s="17"/>
      <c r="O176" s="17"/>
      <c r="P176" s="17"/>
      <c r="Q176" s="17"/>
      <c r="R176" s="17"/>
      <c r="S176" s="17"/>
      <c r="T176" s="17"/>
      <c r="U176" s="17"/>
      <c r="V176" s="12"/>
      <c r="W176" s="12"/>
      <c r="X176" s="12"/>
      <c r="Y176" s="12"/>
      <c r="Z176" s="12"/>
    </row>
    <row r="177" spans="1:26" ht="15" customHeight="1" x14ac:dyDescent="0.3">
      <c r="A177" s="26"/>
      <c r="B177" s="17"/>
      <c r="C177" s="17"/>
      <c r="D177" s="17"/>
      <c r="E177" s="17"/>
      <c r="F177" s="17"/>
      <c r="G177" s="17"/>
      <c r="H177" s="17"/>
      <c r="I177" s="17"/>
      <c r="J177" s="17"/>
      <c r="K177" s="17"/>
      <c r="L177" s="17"/>
      <c r="M177" s="17"/>
      <c r="N177" s="17"/>
      <c r="O177" s="17"/>
      <c r="P177" s="17"/>
      <c r="Q177" s="17"/>
      <c r="R177" s="17"/>
      <c r="S177" s="17"/>
      <c r="T177" s="17"/>
      <c r="U177" s="17"/>
      <c r="V177" s="12"/>
      <c r="W177" s="12"/>
      <c r="X177" s="12"/>
      <c r="Y177" s="12"/>
      <c r="Z177" s="12"/>
    </row>
    <row r="178" spans="1:26" ht="15" customHeight="1" x14ac:dyDescent="0.3">
      <c r="A178" s="26"/>
      <c r="B178" s="17"/>
      <c r="C178" s="17"/>
      <c r="D178" s="17"/>
      <c r="E178" s="17"/>
      <c r="F178" s="17"/>
      <c r="G178" s="17"/>
      <c r="H178" s="17"/>
      <c r="I178" s="17"/>
      <c r="J178" s="17"/>
      <c r="K178" s="17"/>
      <c r="L178" s="17"/>
      <c r="M178" s="17"/>
      <c r="N178" s="17"/>
      <c r="O178" s="17"/>
      <c r="P178" s="17"/>
      <c r="Q178" s="17"/>
      <c r="R178" s="17"/>
      <c r="S178" s="17"/>
      <c r="T178" s="17"/>
      <c r="U178" s="17"/>
      <c r="V178" s="12"/>
      <c r="W178" s="12"/>
      <c r="X178" s="12"/>
      <c r="Y178" s="12"/>
      <c r="Z178" s="12"/>
    </row>
    <row r="179" spans="1:26" ht="15" customHeight="1" x14ac:dyDescent="0.3">
      <c r="A179" s="26"/>
      <c r="B179" s="17"/>
      <c r="C179" s="17"/>
      <c r="D179" s="17"/>
      <c r="E179" s="17"/>
      <c r="F179" s="17"/>
      <c r="G179" s="17"/>
      <c r="H179" s="17"/>
      <c r="I179" s="17"/>
      <c r="J179" s="17"/>
      <c r="K179" s="17"/>
      <c r="L179" s="17"/>
      <c r="M179" s="17"/>
      <c r="N179" s="17"/>
      <c r="O179" s="17"/>
      <c r="P179" s="17"/>
      <c r="Q179" s="17"/>
      <c r="R179" s="17"/>
      <c r="S179" s="17"/>
      <c r="T179" s="17"/>
      <c r="U179" s="17"/>
      <c r="V179" s="12"/>
      <c r="W179" s="12"/>
      <c r="X179" s="12"/>
      <c r="Y179" s="12"/>
      <c r="Z179" s="12"/>
    </row>
    <row r="180" spans="1:26" ht="15" customHeight="1" x14ac:dyDescent="0.3">
      <c r="A180" s="26"/>
      <c r="B180" s="17"/>
      <c r="C180" s="17"/>
      <c r="D180" s="17"/>
      <c r="E180" s="17"/>
      <c r="F180" s="17"/>
      <c r="G180" s="17"/>
      <c r="H180" s="17"/>
      <c r="I180" s="17"/>
      <c r="J180" s="17"/>
      <c r="K180" s="17"/>
      <c r="L180" s="17"/>
      <c r="M180" s="17"/>
      <c r="N180" s="17"/>
      <c r="O180" s="17"/>
      <c r="P180" s="17"/>
      <c r="Q180" s="17"/>
      <c r="R180" s="17"/>
      <c r="S180" s="17"/>
      <c r="T180" s="17"/>
      <c r="U180" s="17"/>
      <c r="V180" s="12"/>
      <c r="W180" s="12"/>
      <c r="X180" s="12"/>
      <c r="Y180" s="12"/>
      <c r="Z180" s="12"/>
    </row>
    <row r="181" spans="1:26" ht="15" customHeight="1" x14ac:dyDescent="0.3">
      <c r="A181" s="26"/>
      <c r="B181" s="17"/>
      <c r="C181" s="17"/>
      <c r="D181" s="17"/>
      <c r="E181" s="17"/>
      <c r="F181" s="17"/>
      <c r="G181" s="17"/>
      <c r="H181" s="17"/>
      <c r="I181" s="17"/>
      <c r="J181" s="17"/>
      <c r="K181" s="17"/>
      <c r="L181" s="17"/>
      <c r="M181" s="17"/>
      <c r="N181" s="17"/>
      <c r="O181" s="17"/>
      <c r="P181" s="17"/>
      <c r="Q181" s="17"/>
      <c r="R181" s="17"/>
      <c r="S181" s="17"/>
      <c r="T181" s="17"/>
      <c r="U181" s="17"/>
      <c r="V181" s="12"/>
      <c r="W181" s="12"/>
      <c r="X181" s="12"/>
      <c r="Y181" s="12"/>
      <c r="Z181" s="12"/>
    </row>
    <row r="182" spans="1:26" ht="15" customHeight="1" x14ac:dyDescent="0.3">
      <c r="A182" s="26"/>
      <c r="B182" s="17"/>
      <c r="C182" s="17"/>
      <c r="D182" s="17"/>
      <c r="E182" s="17"/>
      <c r="F182" s="17"/>
      <c r="G182" s="17"/>
      <c r="H182" s="17"/>
      <c r="I182" s="17"/>
      <c r="J182" s="17"/>
      <c r="K182" s="17"/>
      <c r="L182" s="17"/>
      <c r="M182" s="17"/>
      <c r="N182" s="17"/>
      <c r="O182" s="17"/>
      <c r="P182" s="17"/>
      <c r="Q182" s="17"/>
      <c r="R182" s="17"/>
      <c r="S182" s="17"/>
      <c r="T182" s="17"/>
      <c r="U182" s="17"/>
      <c r="V182" s="12"/>
      <c r="W182" s="12"/>
      <c r="X182" s="12"/>
      <c r="Y182" s="12"/>
      <c r="Z182" s="12"/>
    </row>
    <row r="183" spans="1:26" ht="15" customHeight="1" x14ac:dyDescent="0.3">
      <c r="A183" s="26"/>
      <c r="B183" s="17"/>
      <c r="C183" s="17"/>
      <c r="D183" s="17"/>
      <c r="E183" s="17"/>
      <c r="F183" s="17"/>
      <c r="G183" s="17"/>
      <c r="H183" s="17"/>
      <c r="I183" s="17"/>
      <c r="J183" s="17"/>
      <c r="K183" s="17"/>
      <c r="L183" s="17"/>
      <c r="M183" s="17"/>
      <c r="N183" s="17"/>
      <c r="O183" s="17"/>
      <c r="P183" s="17"/>
      <c r="Q183" s="17"/>
      <c r="R183" s="17"/>
      <c r="S183" s="17"/>
      <c r="T183" s="17"/>
      <c r="U183" s="17"/>
      <c r="V183" s="12"/>
      <c r="W183" s="12"/>
      <c r="X183" s="12"/>
      <c r="Y183" s="12"/>
      <c r="Z183" s="12"/>
    </row>
    <row r="184" spans="1:26" ht="15" customHeight="1" x14ac:dyDescent="0.3">
      <c r="A184" s="26"/>
      <c r="B184" s="17"/>
      <c r="C184" s="17"/>
      <c r="D184" s="17"/>
      <c r="E184" s="17"/>
      <c r="F184" s="17"/>
      <c r="G184" s="17"/>
      <c r="H184" s="17"/>
      <c r="I184" s="17"/>
      <c r="J184" s="17"/>
      <c r="K184" s="17"/>
      <c r="L184" s="17"/>
      <c r="M184" s="17"/>
      <c r="N184" s="17"/>
      <c r="O184" s="17"/>
      <c r="P184" s="17"/>
      <c r="Q184" s="17"/>
      <c r="R184" s="17"/>
      <c r="S184" s="17"/>
      <c r="T184" s="17"/>
      <c r="U184" s="17"/>
      <c r="V184" s="12"/>
      <c r="W184" s="12"/>
      <c r="X184" s="12"/>
      <c r="Y184" s="12"/>
      <c r="Z184" s="12"/>
    </row>
    <row r="185" spans="1:26" ht="15" customHeight="1" x14ac:dyDescent="0.3">
      <c r="A185" s="26"/>
      <c r="B185" s="17"/>
      <c r="C185" s="17"/>
      <c r="D185" s="17"/>
      <c r="E185" s="17"/>
      <c r="F185" s="17"/>
      <c r="G185" s="17"/>
      <c r="H185" s="17"/>
      <c r="I185" s="17"/>
      <c r="J185" s="17"/>
      <c r="K185" s="17"/>
      <c r="L185" s="17"/>
      <c r="M185" s="17"/>
      <c r="N185" s="17"/>
      <c r="O185" s="17"/>
      <c r="P185" s="17"/>
      <c r="Q185" s="17"/>
      <c r="R185" s="17"/>
      <c r="S185" s="17"/>
      <c r="T185" s="17"/>
      <c r="U185" s="17"/>
      <c r="V185" s="12"/>
      <c r="W185" s="12"/>
      <c r="X185" s="12"/>
      <c r="Y185" s="12"/>
      <c r="Z185" s="12"/>
    </row>
    <row r="186" spans="1:26" ht="15" customHeight="1" x14ac:dyDescent="0.3">
      <c r="A186" s="26"/>
      <c r="B186" s="17"/>
      <c r="C186" s="17"/>
      <c r="D186" s="17"/>
      <c r="E186" s="17"/>
      <c r="F186" s="17"/>
      <c r="G186" s="17"/>
      <c r="H186" s="17"/>
      <c r="I186" s="17"/>
      <c r="J186" s="17"/>
      <c r="K186" s="17"/>
      <c r="L186" s="17"/>
      <c r="M186" s="17"/>
      <c r="N186" s="17"/>
      <c r="O186" s="17"/>
      <c r="P186" s="17"/>
      <c r="Q186" s="17"/>
      <c r="R186" s="17"/>
      <c r="S186" s="17"/>
      <c r="T186" s="17"/>
      <c r="U186" s="17"/>
      <c r="V186" s="12"/>
      <c r="W186" s="12"/>
      <c r="X186" s="12"/>
      <c r="Y186" s="12"/>
      <c r="Z186" s="12"/>
    </row>
    <row r="187" spans="1:26" ht="15" customHeight="1" x14ac:dyDescent="0.3">
      <c r="A187" s="26"/>
      <c r="B187" s="17"/>
      <c r="C187" s="17"/>
      <c r="D187" s="17"/>
      <c r="E187" s="17"/>
      <c r="F187" s="17"/>
      <c r="G187" s="17"/>
      <c r="H187" s="17"/>
      <c r="I187" s="17"/>
      <c r="J187" s="17"/>
      <c r="K187" s="17"/>
      <c r="L187" s="17"/>
      <c r="M187" s="17"/>
      <c r="N187" s="17"/>
      <c r="O187" s="17"/>
      <c r="P187" s="17"/>
      <c r="Q187" s="17"/>
      <c r="R187" s="17"/>
      <c r="S187" s="17"/>
      <c r="T187" s="17"/>
      <c r="U187" s="17"/>
      <c r="V187" s="12"/>
      <c r="W187" s="12"/>
      <c r="X187" s="12"/>
      <c r="Y187" s="12"/>
      <c r="Z187" s="12"/>
    </row>
    <row r="188" spans="1:26" ht="15" customHeight="1" x14ac:dyDescent="0.3">
      <c r="A188" s="26"/>
      <c r="B188" s="17"/>
      <c r="C188" s="17"/>
      <c r="D188" s="17"/>
      <c r="E188" s="17"/>
      <c r="F188" s="17"/>
      <c r="G188" s="17"/>
      <c r="H188" s="17"/>
      <c r="I188" s="17"/>
      <c r="J188" s="17"/>
      <c r="K188" s="17"/>
      <c r="L188" s="17"/>
      <c r="M188" s="17"/>
      <c r="N188" s="17"/>
      <c r="O188" s="17"/>
      <c r="P188" s="17"/>
      <c r="Q188" s="17"/>
      <c r="R188" s="17"/>
      <c r="S188" s="17"/>
      <c r="T188" s="17"/>
      <c r="U188" s="17"/>
      <c r="V188" s="12"/>
      <c r="W188" s="12"/>
      <c r="X188" s="12"/>
      <c r="Y188" s="12"/>
      <c r="Z188" s="12"/>
    </row>
    <row r="189" spans="1:26" ht="15" customHeight="1" x14ac:dyDescent="0.3">
      <c r="A189" s="26"/>
      <c r="B189" s="17"/>
      <c r="C189" s="17"/>
      <c r="D189" s="17"/>
      <c r="E189" s="17"/>
      <c r="F189" s="17"/>
      <c r="G189" s="17"/>
      <c r="H189" s="17"/>
      <c r="I189" s="17"/>
      <c r="J189" s="17"/>
      <c r="K189" s="17"/>
      <c r="L189" s="17"/>
      <c r="M189" s="17"/>
      <c r="N189" s="17"/>
      <c r="O189" s="17"/>
      <c r="P189" s="17"/>
      <c r="Q189" s="17"/>
      <c r="R189" s="17"/>
      <c r="S189" s="17"/>
      <c r="T189" s="17"/>
      <c r="U189" s="17"/>
      <c r="V189" s="12"/>
      <c r="W189" s="12"/>
      <c r="X189" s="12"/>
      <c r="Y189" s="12"/>
      <c r="Z189" s="12"/>
    </row>
    <row r="190" spans="1:26" ht="15" customHeight="1" x14ac:dyDescent="0.3">
      <c r="A190" s="26"/>
      <c r="B190" s="17"/>
      <c r="C190" s="17"/>
      <c r="D190" s="17"/>
      <c r="E190" s="17"/>
      <c r="F190" s="17"/>
      <c r="G190" s="17"/>
      <c r="H190" s="17"/>
      <c r="I190" s="17"/>
      <c r="J190" s="17"/>
      <c r="K190" s="17"/>
      <c r="L190" s="17"/>
      <c r="M190" s="17"/>
      <c r="N190" s="17"/>
      <c r="O190" s="17"/>
      <c r="P190" s="17"/>
      <c r="Q190" s="17"/>
      <c r="R190" s="17"/>
      <c r="S190" s="17"/>
      <c r="T190" s="17"/>
      <c r="U190" s="17"/>
      <c r="V190" s="12"/>
      <c r="W190" s="12"/>
      <c r="X190" s="12"/>
      <c r="Y190" s="12"/>
      <c r="Z190" s="12"/>
    </row>
    <row r="191" spans="1:26" ht="15" customHeight="1" x14ac:dyDescent="0.3">
      <c r="A191" s="26"/>
      <c r="B191" s="17"/>
      <c r="C191" s="17"/>
      <c r="D191" s="17"/>
      <c r="E191" s="17"/>
      <c r="F191" s="17"/>
      <c r="G191" s="17"/>
      <c r="H191" s="17"/>
      <c r="I191" s="17"/>
      <c r="J191" s="17"/>
      <c r="K191" s="17"/>
      <c r="L191" s="17"/>
      <c r="M191" s="17"/>
      <c r="N191" s="17"/>
      <c r="O191" s="17"/>
      <c r="P191" s="17"/>
      <c r="Q191" s="17"/>
      <c r="R191" s="17"/>
      <c r="S191" s="17"/>
      <c r="T191" s="17"/>
      <c r="U191" s="17"/>
      <c r="V191" s="12"/>
      <c r="W191" s="12"/>
      <c r="X191" s="12"/>
      <c r="Y191" s="12"/>
      <c r="Z191" s="12"/>
    </row>
    <row r="192" spans="1:26" ht="15" customHeight="1" x14ac:dyDescent="0.3">
      <c r="A192" s="26"/>
      <c r="B192" s="17"/>
      <c r="C192" s="17"/>
      <c r="D192" s="17"/>
      <c r="E192" s="17"/>
      <c r="F192" s="17"/>
      <c r="G192" s="17"/>
      <c r="H192" s="17"/>
      <c r="I192" s="17"/>
      <c r="J192" s="17"/>
      <c r="K192" s="17"/>
      <c r="L192" s="17"/>
      <c r="M192" s="17"/>
      <c r="N192" s="17"/>
      <c r="O192" s="17"/>
      <c r="P192" s="17"/>
      <c r="Q192" s="17"/>
      <c r="R192" s="17"/>
      <c r="S192" s="17"/>
      <c r="T192" s="17"/>
      <c r="U192" s="17"/>
      <c r="V192" s="12"/>
      <c r="W192" s="12"/>
      <c r="X192" s="12"/>
      <c r="Y192" s="12"/>
      <c r="Z192" s="12"/>
    </row>
    <row r="193" spans="1:26" ht="15" customHeight="1" x14ac:dyDescent="0.3">
      <c r="A193" s="26"/>
      <c r="B193" s="17"/>
      <c r="C193" s="17"/>
      <c r="D193" s="17"/>
      <c r="E193" s="17"/>
      <c r="F193" s="17"/>
      <c r="G193" s="17"/>
      <c r="H193" s="17"/>
      <c r="I193" s="17"/>
      <c r="J193" s="17"/>
      <c r="K193" s="17"/>
      <c r="L193" s="17"/>
      <c r="M193" s="17"/>
      <c r="N193" s="17"/>
      <c r="O193" s="17"/>
      <c r="P193" s="17"/>
      <c r="Q193" s="17"/>
      <c r="R193" s="17"/>
      <c r="S193" s="17"/>
      <c r="T193" s="17"/>
      <c r="U193" s="17"/>
      <c r="V193" s="12"/>
      <c r="W193" s="12"/>
      <c r="X193" s="12"/>
      <c r="Y193" s="12"/>
      <c r="Z193" s="12"/>
    </row>
    <row r="194" spans="1:26" ht="15" customHeight="1" x14ac:dyDescent="0.3">
      <c r="A194" s="26"/>
      <c r="B194" s="17"/>
      <c r="C194" s="17"/>
      <c r="D194" s="17"/>
      <c r="E194" s="17"/>
      <c r="F194" s="17"/>
      <c r="G194" s="17"/>
      <c r="H194" s="17"/>
      <c r="I194" s="17"/>
      <c r="J194" s="17"/>
      <c r="K194" s="17"/>
      <c r="L194" s="17"/>
      <c r="M194" s="17"/>
      <c r="N194" s="17"/>
      <c r="O194" s="17"/>
      <c r="P194" s="17"/>
      <c r="Q194" s="17"/>
      <c r="R194" s="17"/>
      <c r="S194" s="17"/>
      <c r="T194" s="17"/>
      <c r="U194" s="17"/>
      <c r="V194" s="12"/>
      <c r="W194" s="12"/>
      <c r="X194" s="12"/>
      <c r="Y194" s="12"/>
      <c r="Z194" s="12"/>
    </row>
    <row r="195" spans="1:26" ht="15" customHeight="1" x14ac:dyDescent="0.3">
      <c r="A195" s="26"/>
      <c r="B195" s="17"/>
      <c r="C195" s="17"/>
      <c r="D195" s="17"/>
      <c r="E195" s="17"/>
      <c r="F195" s="17"/>
      <c r="G195" s="17"/>
      <c r="H195" s="17"/>
      <c r="I195" s="17"/>
      <c r="J195" s="17"/>
      <c r="K195" s="17"/>
      <c r="L195" s="17"/>
      <c r="M195" s="17"/>
      <c r="N195" s="17"/>
      <c r="O195" s="17"/>
      <c r="P195" s="17"/>
      <c r="Q195" s="17"/>
      <c r="R195" s="17"/>
      <c r="S195" s="17"/>
      <c r="T195" s="17"/>
      <c r="U195" s="17"/>
      <c r="V195" s="12"/>
      <c r="W195" s="12"/>
      <c r="X195" s="12"/>
      <c r="Y195" s="12"/>
      <c r="Z195" s="12"/>
    </row>
    <row r="196" spans="1:26" ht="15" customHeight="1" x14ac:dyDescent="0.3">
      <c r="A196" s="26"/>
      <c r="B196" s="17"/>
      <c r="C196" s="17"/>
      <c r="D196" s="17"/>
      <c r="E196" s="17"/>
      <c r="F196" s="17"/>
      <c r="G196" s="17"/>
      <c r="H196" s="17"/>
      <c r="I196" s="17"/>
      <c r="J196" s="17"/>
      <c r="K196" s="17"/>
      <c r="L196" s="17"/>
      <c r="M196" s="17"/>
      <c r="N196" s="17"/>
      <c r="O196" s="17"/>
      <c r="P196" s="17"/>
      <c r="Q196" s="17"/>
      <c r="R196" s="17"/>
      <c r="S196" s="17"/>
      <c r="T196" s="17"/>
      <c r="U196" s="17"/>
      <c r="V196" s="12"/>
      <c r="W196" s="12"/>
      <c r="X196" s="12"/>
      <c r="Y196" s="12"/>
      <c r="Z196" s="12"/>
    </row>
    <row r="197" spans="1:26" ht="15" customHeight="1" x14ac:dyDescent="0.3">
      <c r="A197" s="26"/>
      <c r="B197" s="17"/>
      <c r="C197" s="17"/>
      <c r="D197" s="17"/>
      <c r="E197" s="17"/>
      <c r="F197" s="17"/>
      <c r="G197" s="17"/>
      <c r="H197" s="17"/>
      <c r="I197" s="17"/>
      <c r="J197" s="17"/>
      <c r="K197" s="17"/>
      <c r="L197" s="17"/>
      <c r="M197" s="17"/>
      <c r="N197" s="17"/>
      <c r="O197" s="17"/>
      <c r="P197" s="17"/>
      <c r="Q197" s="17"/>
      <c r="R197" s="17"/>
      <c r="S197" s="17"/>
      <c r="T197" s="17"/>
      <c r="U197" s="17"/>
      <c r="V197" s="12"/>
      <c r="W197" s="12"/>
      <c r="X197" s="12"/>
      <c r="Y197" s="12"/>
      <c r="Z197" s="12"/>
    </row>
    <row r="198" spans="1:26" ht="15" customHeight="1" x14ac:dyDescent="0.3">
      <c r="A198" s="26"/>
      <c r="B198" s="17"/>
      <c r="C198" s="17"/>
      <c r="D198" s="17"/>
      <c r="E198" s="17"/>
      <c r="F198" s="17"/>
      <c r="G198" s="17"/>
      <c r="H198" s="17"/>
      <c r="I198" s="17"/>
      <c r="J198" s="17"/>
      <c r="K198" s="17"/>
      <c r="L198" s="17"/>
      <c r="M198" s="17"/>
      <c r="N198" s="17"/>
      <c r="O198" s="17"/>
      <c r="P198" s="17"/>
      <c r="Q198" s="17"/>
      <c r="R198" s="17"/>
      <c r="S198" s="17"/>
      <c r="T198" s="17"/>
      <c r="U198" s="17"/>
      <c r="V198" s="12"/>
      <c r="W198" s="12"/>
      <c r="X198" s="12"/>
      <c r="Y198" s="12"/>
      <c r="Z198" s="12"/>
    </row>
    <row r="199" spans="1:26" ht="15" customHeight="1" x14ac:dyDescent="0.3">
      <c r="A199" s="26"/>
      <c r="B199" s="17"/>
      <c r="C199" s="17"/>
      <c r="D199" s="17"/>
      <c r="E199" s="17"/>
      <c r="F199" s="17"/>
      <c r="G199" s="17"/>
      <c r="H199" s="17"/>
      <c r="I199" s="17"/>
      <c r="J199" s="17"/>
      <c r="K199" s="17"/>
      <c r="L199" s="17"/>
      <c r="M199" s="17"/>
      <c r="N199" s="17"/>
      <c r="O199" s="17"/>
      <c r="P199" s="17"/>
      <c r="Q199" s="17"/>
      <c r="R199" s="17"/>
      <c r="S199" s="17"/>
      <c r="T199" s="17"/>
      <c r="U199" s="17"/>
      <c r="V199" s="12"/>
      <c r="W199" s="12"/>
      <c r="X199" s="12"/>
      <c r="Y199" s="12"/>
      <c r="Z199" s="12"/>
    </row>
    <row r="200" spans="1:26" ht="15" customHeight="1" x14ac:dyDescent="0.3">
      <c r="A200" s="26"/>
      <c r="B200" s="17"/>
      <c r="C200" s="17"/>
      <c r="D200" s="17"/>
      <c r="E200" s="17"/>
      <c r="F200" s="17"/>
      <c r="G200" s="17"/>
      <c r="H200" s="17"/>
      <c r="I200" s="17"/>
      <c r="J200" s="17"/>
      <c r="K200" s="17"/>
      <c r="L200" s="17"/>
      <c r="M200" s="17"/>
      <c r="N200" s="17"/>
      <c r="O200" s="17"/>
      <c r="P200" s="17"/>
      <c r="Q200" s="17"/>
      <c r="R200" s="17"/>
      <c r="S200" s="17"/>
      <c r="T200" s="17"/>
      <c r="U200" s="17"/>
      <c r="V200" s="12"/>
      <c r="W200" s="12"/>
      <c r="X200" s="12"/>
      <c r="Y200" s="12"/>
      <c r="Z200" s="12"/>
    </row>
    <row r="201" spans="1:26" ht="15" customHeight="1" x14ac:dyDescent="0.3">
      <c r="A201" s="26"/>
      <c r="B201" s="17"/>
      <c r="C201" s="17"/>
      <c r="D201" s="17"/>
      <c r="E201" s="17"/>
      <c r="F201" s="17"/>
      <c r="G201" s="17"/>
      <c r="H201" s="17"/>
      <c r="I201" s="17"/>
      <c r="J201" s="17"/>
      <c r="K201" s="17"/>
      <c r="L201" s="17"/>
      <c r="M201" s="17"/>
      <c r="N201" s="17"/>
      <c r="O201" s="17"/>
      <c r="P201" s="17"/>
      <c r="Q201" s="17"/>
      <c r="R201" s="17"/>
      <c r="S201" s="17"/>
      <c r="T201" s="17"/>
      <c r="U201" s="17"/>
      <c r="V201" s="12"/>
      <c r="W201" s="12"/>
      <c r="X201" s="12"/>
      <c r="Y201" s="12"/>
      <c r="Z201" s="12"/>
    </row>
    <row r="202" spans="1:26" ht="15" customHeight="1" x14ac:dyDescent="0.3">
      <c r="A202" s="26"/>
      <c r="B202" s="17"/>
      <c r="C202" s="17"/>
      <c r="D202" s="17"/>
      <c r="E202" s="17"/>
      <c r="F202" s="17"/>
      <c r="G202" s="17"/>
      <c r="H202" s="17"/>
      <c r="I202" s="17"/>
      <c r="J202" s="17"/>
      <c r="K202" s="17"/>
      <c r="L202" s="17"/>
      <c r="M202" s="17"/>
      <c r="N202" s="17"/>
      <c r="O202" s="17"/>
      <c r="P202" s="17"/>
      <c r="Q202" s="17"/>
      <c r="R202" s="17"/>
      <c r="S202" s="17"/>
      <c r="T202" s="17"/>
      <c r="U202" s="17"/>
      <c r="V202" s="12"/>
      <c r="W202" s="12"/>
      <c r="X202" s="12"/>
      <c r="Y202" s="12"/>
      <c r="Z202" s="12"/>
    </row>
    <row r="203" spans="1:26" ht="15" customHeight="1" x14ac:dyDescent="0.3">
      <c r="A203" s="26"/>
      <c r="B203" s="17"/>
      <c r="C203" s="17"/>
      <c r="D203" s="17"/>
      <c r="E203" s="17"/>
      <c r="F203" s="17"/>
      <c r="G203" s="17"/>
      <c r="H203" s="17"/>
      <c r="I203" s="17"/>
      <c r="J203" s="17"/>
      <c r="K203" s="17"/>
      <c r="L203" s="17"/>
      <c r="M203" s="17"/>
      <c r="N203" s="17"/>
      <c r="O203" s="17"/>
      <c r="P203" s="17"/>
      <c r="Q203" s="17"/>
      <c r="R203" s="17"/>
      <c r="S203" s="17"/>
      <c r="T203" s="17"/>
      <c r="U203" s="17"/>
      <c r="V203" s="12"/>
      <c r="W203" s="12"/>
      <c r="X203" s="12"/>
      <c r="Y203" s="12"/>
      <c r="Z203" s="12"/>
    </row>
    <row r="204" spans="1:26" ht="15" customHeight="1" x14ac:dyDescent="0.3">
      <c r="A204" s="26"/>
      <c r="B204" s="17"/>
      <c r="C204" s="17"/>
      <c r="D204" s="17"/>
      <c r="E204" s="17"/>
      <c r="F204" s="17"/>
      <c r="G204" s="17"/>
      <c r="H204" s="17"/>
      <c r="I204" s="17"/>
      <c r="J204" s="17"/>
      <c r="K204" s="17"/>
      <c r="L204" s="17"/>
      <c r="M204" s="17"/>
      <c r="N204" s="17"/>
      <c r="O204" s="17"/>
      <c r="P204" s="17"/>
      <c r="Q204" s="17"/>
      <c r="R204" s="17"/>
      <c r="S204" s="17"/>
      <c r="T204" s="17"/>
      <c r="U204" s="17"/>
      <c r="V204" s="12"/>
      <c r="W204" s="12"/>
      <c r="X204" s="12"/>
      <c r="Y204" s="12"/>
      <c r="Z204" s="12"/>
    </row>
    <row r="205" spans="1:26" ht="15" customHeight="1" x14ac:dyDescent="0.3">
      <c r="A205" s="26"/>
      <c r="B205" s="17"/>
      <c r="C205" s="17"/>
      <c r="D205" s="17"/>
      <c r="E205" s="17"/>
      <c r="F205" s="17"/>
      <c r="G205" s="17"/>
      <c r="H205" s="17"/>
      <c r="I205" s="17"/>
      <c r="J205" s="17"/>
      <c r="K205" s="17"/>
      <c r="L205" s="17"/>
      <c r="M205" s="17"/>
      <c r="N205" s="17"/>
      <c r="O205" s="17"/>
      <c r="P205" s="17"/>
      <c r="Q205" s="17"/>
      <c r="R205" s="17"/>
      <c r="S205" s="17"/>
      <c r="T205" s="17"/>
      <c r="U205" s="17"/>
      <c r="V205" s="12"/>
      <c r="W205" s="12"/>
      <c r="X205" s="12"/>
      <c r="Y205" s="12"/>
      <c r="Z205" s="12"/>
    </row>
    <row r="206" spans="1:26" ht="15" customHeight="1" x14ac:dyDescent="0.3">
      <c r="A206" s="26"/>
      <c r="B206" s="17"/>
      <c r="C206" s="17"/>
      <c r="D206" s="17"/>
      <c r="E206" s="17"/>
      <c r="F206" s="17"/>
      <c r="G206" s="17"/>
      <c r="H206" s="17"/>
      <c r="I206" s="17"/>
      <c r="J206" s="17"/>
      <c r="K206" s="17"/>
      <c r="L206" s="17"/>
      <c r="M206" s="17"/>
      <c r="N206" s="17"/>
      <c r="O206" s="17"/>
      <c r="P206" s="17"/>
      <c r="Q206" s="17"/>
      <c r="R206" s="17"/>
      <c r="S206" s="17"/>
      <c r="T206" s="17"/>
      <c r="U206" s="17"/>
      <c r="V206" s="12"/>
      <c r="W206" s="12"/>
      <c r="X206" s="12"/>
      <c r="Y206" s="12"/>
      <c r="Z206" s="12"/>
    </row>
    <row r="207" spans="1:26" ht="15" customHeight="1" x14ac:dyDescent="0.3">
      <c r="A207" s="26"/>
      <c r="B207" s="17"/>
      <c r="C207" s="17"/>
      <c r="D207" s="17"/>
      <c r="E207" s="17"/>
      <c r="F207" s="17"/>
      <c r="G207" s="17"/>
      <c r="H207" s="17"/>
      <c r="I207" s="17"/>
      <c r="J207" s="17"/>
      <c r="K207" s="17"/>
      <c r="L207" s="17"/>
      <c r="M207" s="17"/>
      <c r="N207" s="17"/>
      <c r="O207" s="17"/>
      <c r="P207" s="17"/>
      <c r="Q207" s="17"/>
      <c r="R207" s="17"/>
      <c r="S207" s="17"/>
      <c r="T207" s="17"/>
      <c r="U207" s="17"/>
      <c r="V207" s="12"/>
      <c r="W207" s="12"/>
      <c r="X207" s="12"/>
      <c r="Y207" s="12"/>
      <c r="Z207" s="12"/>
    </row>
    <row r="208" spans="1:26" ht="15" customHeight="1" x14ac:dyDescent="0.3">
      <c r="A208" s="26"/>
      <c r="B208" s="17"/>
      <c r="C208" s="17"/>
      <c r="D208" s="17"/>
      <c r="E208" s="17"/>
      <c r="F208" s="17"/>
      <c r="G208" s="17"/>
      <c r="H208" s="17"/>
      <c r="I208" s="17"/>
      <c r="J208" s="17"/>
      <c r="K208" s="17"/>
      <c r="L208" s="17"/>
      <c r="M208" s="17"/>
      <c r="N208" s="17"/>
      <c r="O208" s="17"/>
      <c r="P208" s="17"/>
      <c r="Q208" s="17"/>
      <c r="R208" s="17"/>
      <c r="S208" s="17"/>
      <c r="T208" s="17"/>
      <c r="U208" s="17"/>
      <c r="V208" s="12"/>
      <c r="W208" s="12"/>
      <c r="X208" s="12"/>
      <c r="Y208" s="12"/>
      <c r="Z208" s="12"/>
    </row>
    <row r="209" spans="1:26" ht="15" customHeight="1" x14ac:dyDescent="0.3">
      <c r="A209" s="26"/>
      <c r="B209" s="17"/>
      <c r="C209" s="17"/>
      <c r="D209" s="17"/>
      <c r="E209" s="17"/>
      <c r="F209" s="17"/>
      <c r="G209" s="17"/>
      <c r="H209" s="17"/>
      <c r="I209" s="17"/>
      <c r="J209" s="17"/>
      <c r="K209" s="17"/>
      <c r="L209" s="17"/>
      <c r="M209" s="17"/>
      <c r="N209" s="17"/>
      <c r="O209" s="17"/>
      <c r="P209" s="17"/>
      <c r="Q209" s="17"/>
      <c r="R209" s="17"/>
      <c r="S209" s="17"/>
      <c r="T209" s="17"/>
      <c r="U209" s="17"/>
      <c r="V209" s="12"/>
      <c r="W209" s="12"/>
      <c r="X209" s="12"/>
      <c r="Y209" s="12"/>
      <c r="Z209" s="12"/>
    </row>
    <row r="210" spans="1:26" ht="15" customHeight="1" x14ac:dyDescent="0.3">
      <c r="A210" s="26"/>
      <c r="B210" s="17"/>
      <c r="C210" s="17"/>
      <c r="D210" s="17"/>
      <c r="E210" s="17"/>
      <c r="F210" s="17"/>
      <c r="G210" s="17"/>
      <c r="H210" s="17"/>
      <c r="I210" s="17"/>
      <c r="J210" s="17"/>
      <c r="K210" s="17"/>
      <c r="L210" s="17"/>
      <c r="M210" s="17"/>
      <c r="N210" s="17"/>
      <c r="O210" s="17"/>
      <c r="P210" s="17"/>
      <c r="Q210" s="17"/>
      <c r="R210" s="17"/>
      <c r="S210" s="17"/>
      <c r="T210" s="17"/>
      <c r="U210" s="17"/>
      <c r="V210" s="12"/>
      <c r="W210" s="12"/>
      <c r="X210" s="12"/>
      <c r="Y210" s="12"/>
      <c r="Z210" s="12"/>
    </row>
    <row r="211" spans="1:26" ht="15" customHeight="1" x14ac:dyDescent="0.3">
      <c r="A211" s="26"/>
      <c r="B211" s="17"/>
      <c r="C211" s="17"/>
      <c r="D211" s="17"/>
      <c r="E211" s="17"/>
      <c r="F211" s="17"/>
      <c r="G211" s="17"/>
      <c r="H211" s="17"/>
      <c r="I211" s="17"/>
      <c r="J211" s="17"/>
      <c r="K211" s="17"/>
      <c r="L211" s="17"/>
      <c r="M211" s="17"/>
      <c r="N211" s="17"/>
      <c r="O211" s="17"/>
      <c r="P211" s="17"/>
      <c r="Q211" s="17"/>
      <c r="R211" s="17"/>
      <c r="S211" s="17"/>
      <c r="T211" s="17"/>
      <c r="U211" s="17"/>
      <c r="V211" s="12"/>
      <c r="W211" s="12"/>
      <c r="X211" s="12"/>
      <c r="Y211" s="12"/>
      <c r="Z211" s="12"/>
    </row>
    <row r="212" spans="1:26" ht="15" customHeight="1" x14ac:dyDescent="0.3">
      <c r="A212" s="26"/>
      <c r="B212" s="17"/>
      <c r="C212" s="17"/>
      <c r="D212" s="17"/>
      <c r="E212" s="17"/>
      <c r="F212" s="17"/>
      <c r="G212" s="17"/>
      <c r="H212" s="17"/>
      <c r="I212" s="17"/>
      <c r="J212" s="17"/>
      <c r="K212" s="17"/>
      <c r="L212" s="17"/>
      <c r="M212" s="17"/>
      <c r="N212" s="17"/>
      <c r="O212" s="17"/>
      <c r="P212" s="17"/>
      <c r="Q212" s="17"/>
      <c r="R212" s="17"/>
      <c r="S212" s="17"/>
      <c r="T212" s="17"/>
      <c r="U212" s="17"/>
      <c r="V212" s="12"/>
      <c r="W212" s="12"/>
      <c r="X212" s="12"/>
      <c r="Y212" s="12"/>
      <c r="Z212" s="12"/>
    </row>
    <row r="213" spans="1:26" ht="15" customHeight="1" x14ac:dyDescent="0.3">
      <c r="A213" s="26"/>
      <c r="B213" s="17"/>
      <c r="C213" s="17"/>
      <c r="D213" s="17"/>
      <c r="E213" s="17"/>
      <c r="F213" s="17"/>
      <c r="G213" s="17"/>
      <c r="H213" s="17"/>
      <c r="I213" s="17"/>
      <c r="J213" s="17"/>
      <c r="K213" s="17"/>
      <c r="L213" s="17"/>
      <c r="M213" s="17"/>
      <c r="N213" s="17"/>
      <c r="O213" s="17"/>
      <c r="P213" s="17"/>
      <c r="Q213" s="17"/>
      <c r="R213" s="17"/>
      <c r="S213" s="17"/>
      <c r="T213" s="17"/>
      <c r="U213" s="17"/>
      <c r="V213" s="12"/>
      <c r="W213" s="12"/>
      <c r="X213" s="12"/>
      <c r="Y213" s="12"/>
      <c r="Z213" s="12"/>
    </row>
    <row r="214" spans="1:26" ht="15" customHeight="1" x14ac:dyDescent="0.3">
      <c r="A214" s="26"/>
      <c r="B214" s="17"/>
      <c r="C214" s="17"/>
      <c r="D214" s="17"/>
      <c r="E214" s="17"/>
      <c r="F214" s="17"/>
      <c r="G214" s="17"/>
      <c r="H214" s="17"/>
      <c r="I214" s="17"/>
      <c r="J214" s="17"/>
      <c r="K214" s="17"/>
      <c r="L214" s="17"/>
      <c r="M214" s="17"/>
      <c r="N214" s="17"/>
      <c r="O214" s="17"/>
      <c r="P214" s="17"/>
      <c r="Q214" s="17"/>
      <c r="R214" s="17"/>
      <c r="S214" s="17"/>
      <c r="T214" s="17"/>
      <c r="U214" s="17"/>
      <c r="V214" s="12"/>
      <c r="W214" s="12"/>
      <c r="X214" s="12"/>
      <c r="Y214" s="12"/>
      <c r="Z214" s="12"/>
    </row>
    <row r="215" spans="1:26" ht="15" customHeight="1" x14ac:dyDescent="0.3">
      <c r="A215" s="26"/>
      <c r="B215" s="17"/>
      <c r="C215" s="17"/>
      <c r="D215" s="17"/>
      <c r="E215" s="17"/>
      <c r="F215" s="17"/>
      <c r="G215" s="17"/>
      <c r="H215" s="17"/>
      <c r="I215" s="17"/>
      <c r="J215" s="17"/>
      <c r="K215" s="17"/>
      <c r="L215" s="17"/>
      <c r="M215" s="17"/>
      <c r="N215" s="17"/>
      <c r="O215" s="17"/>
      <c r="P215" s="17"/>
      <c r="Q215" s="17"/>
      <c r="R215" s="17"/>
      <c r="S215" s="17"/>
      <c r="T215" s="17"/>
      <c r="U215" s="17"/>
      <c r="V215" s="12"/>
      <c r="W215" s="12"/>
      <c r="X215" s="12"/>
      <c r="Y215" s="12"/>
      <c r="Z215" s="12"/>
    </row>
    <row r="216" spans="1:26" ht="15" customHeight="1" x14ac:dyDescent="0.3">
      <c r="A216" s="26"/>
      <c r="B216" s="17"/>
      <c r="C216" s="17"/>
      <c r="D216" s="17"/>
      <c r="E216" s="17"/>
      <c r="F216" s="17"/>
      <c r="G216" s="17"/>
      <c r="H216" s="17"/>
      <c r="I216" s="17"/>
      <c r="J216" s="17"/>
      <c r="K216" s="17"/>
      <c r="L216" s="17"/>
      <c r="M216" s="17"/>
      <c r="N216" s="17"/>
      <c r="O216" s="17"/>
      <c r="P216" s="17"/>
      <c r="Q216" s="17"/>
      <c r="R216" s="17"/>
      <c r="S216" s="17"/>
      <c r="T216" s="17"/>
      <c r="U216" s="17"/>
      <c r="V216" s="12"/>
      <c r="W216" s="12"/>
      <c r="X216" s="12"/>
      <c r="Y216" s="12"/>
      <c r="Z216" s="12"/>
    </row>
    <row r="217" spans="1:26" ht="15" customHeight="1" x14ac:dyDescent="0.3">
      <c r="A217" s="26"/>
      <c r="B217" s="17"/>
      <c r="C217" s="17"/>
      <c r="D217" s="17"/>
      <c r="E217" s="17"/>
      <c r="F217" s="17"/>
      <c r="G217" s="17"/>
      <c r="H217" s="17"/>
      <c r="I217" s="17"/>
      <c r="J217" s="17"/>
      <c r="K217" s="17"/>
      <c r="L217" s="17"/>
      <c r="M217" s="17"/>
      <c r="N217" s="17"/>
      <c r="O217" s="17"/>
      <c r="P217" s="17"/>
      <c r="Q217" s="17"/>
      <c r="R217" s="17"/>
      <c r="S217" s="17"/>
      <c r="T217" s="17"/>
      <c r="U217" s="17"/>
      <c r="V217" s="12"/>
      <c r="W217" s="12"/>
      <c r="X217" s="12"/>
      <c r="Y217" s="12"/>
      <c r="Z217" s="12"/>
    </row>
    <row r="218" spans="1:26" ht="15" customHeight="1" x14ac:dyDescent="0.3">
      <c r="A218" s="26"/>
      <c r="B218" s="17"/>
      <c r="C218" s="17"/>
      <c r="D218" s="17"/>
      <c r="E218" s="17"/>
      <c r="F218" s="17"/>
      <c r="G218" s="17"/>
      <c r="H218" s="17"/>
      <c r="I218" s="17"/>
      <c r="J218" s="17"/>
      <c r="K218" s="17"/>
      <c r="L218" s="17"/>
      <c r="M218" s="17"/>
      <c r="N218" s="17"/>
      <c r="O218" s="17"/>
      <c r="P218" s="17"/>
      <c r="Q218" s="17"/>
      <c r="R218" s="17"/>
      <c r="S218" s="17"/>
      <c r="T218" s="17"/>
      <c r="U218" s="17"/>
      <c r="V218" s="12"/>
      <c r="W218" s="12"/>
      <c r="X218" s="12"/>
      <c r="Y218" s="12"/>
      <c r="Z218" s="12"/>
    </row>
    <row r="219" spans="1:26" ht="15" customHeight="1" x14ac:dyDescent="0.3">
      <c r="A219" s="26"/>
      <c r="B219" s="17"/>
      <c r="C219" s="17"/>
      <c r="D219" s="17"/>
      <c r="E219" s="17"/>
      <c r="F219" s="17"/>
      <c r="G219" s="17"/>
      <c r="H219" s="17"/>
      <c r="I219" s="17"/>
      <c r="J219" s="17"/>
      <c r="K219" s="17"/>
      <c r="L219" s="17"/>
      <c r="M219" s="17"/>
      <c r="N219" s="17"/>
      <c r="O219" s="17"/>
      <c r="P219" s="17"/>
      <c r="Q219" s="17"/>
      <c r="R219" s="17"/>
      <c r="S219" s="17"/>
      <c r="T219" s="17"/>
      <c r="U219" s="17"/>
      <c r="V219" s="12"/>
      <c r="W219" s="12"/>
      <c r="X219" s="12"/>
      <c r="Y219" s="12"/>
      <c r="Z219" s="12"/>
    </row>
    <row r="220" spans="1:26" ht="15" customHeight="1" x14ac:dyDescent="0.3">
      <c r="A220" s="26"/>
      <c r="B220" s="17"/>
      <c r="C220" s="17"/>
      <c r="D220" s="17"/>
      <c r="E220" s="17"/>
      <c r="F220" s="17"/>
      <c r="G220" s="17"/>
      <c r="H220" s="17"/>
      <c r="I220" s="17"/>
      <c r="J220" s="17"/>
      <c r="K220" s="17"/>
      <c r="L220" s="17"/>
      <c r="M220" s="17"/>
      <c r="N220" s="17"/>
      <c r="O220" s="17"/>
      <c r="P220" s="17"/>
      <c r="Q220" s="17"/>
      <c r="R220" s="17"/>
      <c r="S220" s="17"/>
      <c r="T220" s="17"/>
      <c r="U220" s="17"/>
      <c r="V220" s="12"/>
      <c r="W220" s="12"/>
      <c r="X220" s="12"/>
      <c r="Y220" s="12"/>
      <c r="Z220" s="12"/>
    </row>
    <row r="221" spans="1:26" ht="15" customHeight="1" x14ac:dyDescent="0.3">
      <c r="A221" s="26"/>
      <c r="B221" s="17"/>
      <c r="C221" s="17"/>
      <c r="D221" s="17"/>
      <c r="E221" s="17"/>
      <c r="F221" s="17"/>
      <c r="G221" s="17"/>
      <c r="H221" s="17"/>
      <c r="I221" s="17"/>
      <c r="J221" s="17"/>
      <c r="K221" s="17"/>
      <c r="L221" s="17"/>
      <c r="M221" s="17"/>
      <c r="N221" s="17"/>
      <c r="O221" s="17"/>
      <c r="P221" s="17"/>
      <c r="Q221" s="17"/>
      <c r="R221" s="17"/>
      <c r="S221" s="17"/>
      <c r="T221" s="17"/>
      <c r="U221" s="17"/>
      <c r="V221" s="12"/>
      <c r="W221" s="12"/>
      <c r="X221" s="12"/>
      <c r="Y221" s="12"/>
      <c r="Z221" s="12"/>
    </row>
    <row r="222" spans="1:26" ht="15" customHeight="1" x14ac:dyDescent="0.3">
      <c r="A222" s="26"/>
      <c r="B222" s="17"/>
      <c r="C222" s="17"/>
      <c r="D222" s="17"/>
      <c r="E222" s="17"/>
      <c r="F222" s="17"/>
      <c r="G222" s="17"/>
      <c r="H222" s="17"/>
      <c r="I222" s="17"/>
      <c r="J222" s="17"/>
      <c r="K222" s="17"/>
      <c r="L222" s="17"/>
      <c r="M222" s="17"/>
      <c r="N222" s="17"/>
      <c r="O222" s="17"/>
      <c r="P222" s="17"/>
      <c r="Q222" s="17"/>
      <c r="R222" s="17"/>
      <c r="S222" s="17"/>
      <c r="T222" s="17"/>
      <c r="U222" s="17"/>
      <c r="V222" s="12"/>
      <c r="W222" s="12"/>
      <c r="X222" s="12"/>
      <c r="Y222" s="12"/>
      <c r="Z222" s="12"/>
    </row>
    <row r="223" spans="1:26" ht="15" customHeight="1" x14ac:dyDescent="0.3">
      <c r="A223" s="26"/>
      <c r="B223" s="17"/>
      <c r="C223" s="17"/>
      <c r="D223" s="17"/>
      <c r="E223" s="17"/>
      <c r="F223" s="17"/>
      <c r="G223" s="17"/>
      <c r="H223" s="17"/>
      <c r="I223" s="17"/>
      <c r="J223" s="17"/>
      <c r="K223" s="17"/>
      <c r="L223" s="17"/>
      <c r="M223" s="17"/>
      <c r="N223" s="17"/>
      <c r="O223" s="17"/>
      <c r="P223" s="17"/>
      <c r="Q223" s="17"/>
      <c r="R223" s="17"/>
      <c r="S223" s="17"/>
      <c r="T223" s="17"/>
      <c r="U223" s="17"/>
      <c r="V223" s="12"/>
      <c r="W223" s="12"/>
      <c r="X223" s="12"/>
      <c r="Y223" s="12"/>
      <c r="Z223" s="12"/>
    </row>
    <row r="224" spans="1:26" ht="15" customHeight="1" x14ac:dyDescent="0.3">
      <c r="A224" s="26"/>
      <c r="B224" s="17"/>
      <c r="C224" s="17"/>
      <c r="D224" s="17"/>
      <c r="E224" s="17"/>
      <c r="F224" s="17"/>
      <c r="G224" s="17"/>
      <c r="H224" s="17"/>
      <c r="I224" s="17"/>
      <c r="J224" s="17"/>
      <c r="K224" s="17"/>
      <c r="L224" s="17"/>
      <c r="M224" s="17"/>
      <c r="N224" s="17"/>
      <c r="O224" s="17"/>
      <c r="P224" s="17"/>
      <c r="Q224" s="17"/>
      <c r="R224" s="17"/>
      <c r="S224" s="17"/>
      <c r="T224" s="17"/>
      <c r="U224" s="17"/>
      <c r="V224" s="12"/>
      <c r="W224" s="12"/>
      <c r="X224" s="12"/>
      <c r="Y224" s="12"/>
      <c r="Z224" s="12"/>
    </row>
    <row r="225" spans="1:26" ht="15" customHeight="1" x14ac:dyDescent="0.3">
      <c r="A225" s="27"/>
      <c r="B225" s="19"/>
      <c r="C225" s="19"/>
      <c r="D225" s="19"/>
      <c r="E225" s="19"/>
      <c r="F225" s="19"/>
      <c r="G225" s="19"/>
      <c r="H225" s="19"/>
      <c r="I225" s="19"/>
      <c r="J225" s="19"/>
      <c r="K225" s="17"/>
      <c r="L225" s="17"/>
      <c r="M225" s="17"/>
      <c r="N225" s="17"/>
      <c r="O225" s="17"/>
      <c r="P225" s="17"/>
      <c r="Q225" s="17"/>
      <c r="R225" s="17"/>
      <c r="S225" s="17"/>
      <c r="T225" s="17"/>
      <c r="U225" s="17"/>
      <c r="V225" s="12"/>
      <c r="W225" s="12"/>
      <c r="X225" s="12"/>
      <c r="Y225" s="12"/>
      <c r="Z225" s="12"/>
    </row>
    <row r="226" spans="1:26" ht="15" customHeight="1" x14ac:dyDescent="0.3">
      <c r="A226" s="26"/>
      <c r="B226" s="17"/>
      <c r="C226" s="17"/>
      <c r="D226" s="17"/>
      <c r="E226" s="17"/>
      <c r="F226" s="17"/>
      <c r="G226" s="17"/>
      <c r="H226" s="17"/>
      <c r="I226" s="17"/>
      <c r="J226" s="17"/>
      <c r="K226" s="17"/>
      <c r="L226" s="17"/>
      <c r="M226" s="17"/>
      <c r="N226" s="17"/>
      <c r="O226" s="17"/>
      <c r="P226" s="17"/>
      <c r="Q226" s="17"/>
      <c r="R226" s="17"/>
      <c r="S226" s="17"/>
      <c r="T226" s="17"/>
      <c r="U226" s="17"/>
      <c r="V226" s="12"/>
      <c r="W226" s="12"/>
      <c r="X226" s="12"/>
      <c r="Y226" s="12"/>
      <c r="Z226" s="12"/>
    </row>
    <row r="227" spans="1:26" ht="15" customHeight="1" x14ac:dyDescent="0.3">
      <c r="A227" s="26"/>
      <c r="B227" s="17"/>
      <c r="C227" s="17"/>
      <c r="D227" s="17"/>
      <c r="E227" s="17"/>
      <c r="F227" s="17"/>
      <c r="G227" s="17"/>
      <c r="H227" s="17"/>
      <c r="I227" s="17"/>
      <c r="J227" s="17"/>
      <c r="K227" s="17"/>
      <c r="L227" s="17"/>
      <c r="M227" s="17"/>
      <c r="N227" s="17"/>
      <c r="O227" s="17"/>
      <c r="P227" s="17"/>
      <c r="Q227" s="17"/>
      <c r="R227" s="17"/>
      <c r="S227" s="17"/>
      <c r="T227" s="17"/>
      <c r="U227" s="17"/>
      <c r="V227" s="12"/>
      <c r="W227" s="12"/>
      <c r="X227" s="12"/>
      <c r="Y227" s="12"/>
      <c r="Z227" s="12"/>
    </row>
    <row r="228" spans="1:26" ht="15" customHeight="1" x14ac:dyDescent="0.3">
      <c r="A228" s="26"/>
      <c r="B228" s="17"/>
      <c r="C228" s="17"/>
      <c r="D228" s="17"/>
      <c r="E228" s="17"/>
      <c r="F228" s="17"/>
      <c r="G228" s="17"/>
      <c r="H228" s="17"/>
      <c r="I228" s="17"/>
      <c r="J228" s="17"/>
      <c r="K228" s="17"/>
      <c r="L228" s="17"/>
      <c r="M228" s="17"/>
      <c r="N228" s="17"/>
      <c r="O228" s="17"/>
      <c r="P228" s="17"/>
      <c r="Q228" s="17"/>
      <c r="R228" s="17"/>
      <c r="S228" s="17"/>
      <c r="T228" s="17"/>
      <c r="U228" s="17"/>
      <c r="V228" s="12"/>
      <c r="W228" s="12"/>
      <c r="X228" s="12"/>
      <c r="Y228" s="12"/>
      <c r="Z228" s="12"/>
    </row>
    <row r="229" spans="1:26" ht="15" customHeight="1" x14ac:dyDescent="0.3">
      <c r="A229" s="26"/>
      <c r="B229" s="17"/>
      <c r="C229" s="17"/>
      <c r="D229" s="17"/>
      <c r="E229" s="17"/>
      <c r="F229" s="17"/>
      <c r="G229" s="17"/>
      <c r="H229" s="17"/>
      <c r="I229" s="17"/>
      <c r="J229" s="17"/>
      <c r="K229" s="17"/>
      <c r="L229" s="17"/>
      <c r="M229" s="17"/>
      <c r="N229" s="17"/>
      <c r="O229" s="17"/>
      <c r="P229" s="17"/>
      <c r="Q229" s="17"/>
      <c r="R229" s="17"/>
      <c r="S229" s="17"/>
      <c r="T229" s="17"/>
      <c r="U229" s="17"/>
      <c r="V229" s="12"/>
      <c r="W229" s="12"/>
      <c r="X229" s="12"/>
      <c r="Y229" s="12"/>
      <c r="Z229" s="12"/>
    </row>
    <row r="230" spans="1:26" ht="15" customHeight="1" x14ac:dyDescent="0.3">
      <c r="A230" s="26"/>
      <c r="B230" s="17"/>
      <c r="C230" s="17"/>
      <c r="D230" s="17"/>
      <c r="E230" s="17"/>
      <c r="F230" s="17"/>
      <c r="G230" s="17"/>
      <c r="H230" s="17"/>
      <c r="I230" s="17"/>
      <c r="J230" s="17"/>
      <c r="K230" s="17"/>
      <c r="L230" s="17"/>
      <c r="M230" s="17"/>
      <c r="N230" s="17"/>
      <c r="O230" s="17"/>
      <c r="P230" s="17"/>
      <c r="Q230" s="17"/>
      <c r="R230" s="17"/>
      <c r="S230" s="17"/>
      <c r="T230" s="17"/>
      <c r="U230" s="17"/>
      <c r="V230" s="12"/>
      <c r="W230" s="12"/>
      <c r="X230" s="12"/>
      <c r="Y230" s="12"/>
      <c r="Z230" s="12"/>
    </row>
    <row r="231" spans="1:26" ht="15" customHeight="1" x14ac:dyDescent="0.3">
      <c r="A231" s="26"/>
      <c r="B231" s="17"/>
      <c r="C231" s="17"/>
      <c r="D231" s="17"/>
      <c r="E231" s="17"/>
      <c r="F231" s="17"/>
      <c r="G231" s="17"/>
      <c r="H231" s="17"/>
      <c r="I231" s="17"/>
      <c r="J231" s="17"/>
      <c r="K231" s="17"/>
      <c r="L231" s="17"/>
      <c r="M231" s="17"/>
      <c r="N231" s="17"/>
      <c r="O231" s="17"/>
      <c r="P231" s="17"/>
      <c r="Q231" s="17"/>
      <c r="R231" s="17"/>
      <c r="S231" s="17"/>
      <c r="T231" s="17"/>
      <c r="U231" s="17"/>
      <c r="V231" s="12"/>
      <c r="W231" s="12"/>
      <c r="X231" s="12"/>
      <c r="Y231" s="12"/>
      <c r="Z231" s="12"/>
    </row>
    <row r="232" spans="1:26" ht="15" customHeight="1" x14ac:dyDescent="0.3">
      <c r="A232" s="26"/>
      <c r="B232" s="17"/>
      <c r="C232" s="17"/>
      <c r="D232" s="17"/>
      <c r="E232" s="17"/>
      <c r="F232" s="17"/>
      <c r="G232" s="17"/>
      <c r="H232" s="17"/>
      <c r="I232" s="17"/>
      <c r="J232" s="17"/>
      <c r="K232" s="17"/>
      <c r="L232" s="17"/>
      <c r="M232" s="17"/>
      <c r="N232" s="17"/>
      <c r="O232" s="17"/>
      <c r="P232" s="17"/>
      <c r="Q232" s="17"/>
      <c r="R232" s="17"/>
      <c r="S232" s="17"/>
      <c r="T232" s="17"/>
      <c r="U232" s="17"/>
      <c r="V232" s="12"/>
      <c r="W232" s="12"/>
      <c r="X232" s="12"/>
      <c r="Y232" s="12"/>
      <c r="Z232" s="12"/>
    </row>
    <row r="233" spans="1:26" ht="15" customHeight="1" x14ac:dyDescent="0.3">
      <c r="A233" s="26"/>
      <c r="B233" s="17"/>
      <c r="C233" s="17"/>
      <c r="D233" s="17"/>
      <c r="E233" s="17"/>
      <c r="F233" s="17"/>
      <c r="G233" s="17"/>
      <c r="H233" s="17"/>
      <c r="I233" s="17"/>
      <c r="J233" s="17"/>
      <c r="K233" s="17"/>
      <c r="L233" s="17"/>
      <c r="M233" s="17"/>
      <c r="N233" s="17"/>
      <c r="O233" s="17"/>
      <c r="P233" s="17"/>
      <c r="Q233" s="17"/>
      <c r="R233" s="17"/>
      <c r="S233" s="17"/>
      <c r="T233" s="17"/>
      <c r="U233" s="17"/>
      <c r="V233" s="12"/>
      <c r="W233" s="12"/>
      <c r="X233" s="12"/>
      <c r="Y233" s="12"/>
      <c r="Z233" s="12"/>
    </row>
    <row r="234" spans="1:26" ht="15" customHeight="1" x14ac:dyDescent="0.3">
      <c r="A234" s="26"/>
      <c r="B234" s="17"/>
      <c r="C234" s="17"/>
      <c r="D234" s="17"/>
      <c r="E234" s="17"/>
      <c r="F234" s="17"/>
      <c r="G234" s="17"/>
      <c r="H234" s="17"/>
      <c r="I234" s="17"/>
      <c r="J234" s="17"/>
      <c r="K234" s="17"/>
      <c r="L234" s="17"/>
      <c r="M234" s="17"/>
      <c r="N234" s="17"/>
      <c r="O234" s="17"/>
      <c r="P234" s="17"/>
      <c r="Q234" s="17"/>
      <c r="R234" s="17"/>
      <c r="S234" s="17"/>
      <c r="T234" s="17"/>
      <c r="U234" s="17"/>
      <c r="V234" s="12"/>
      <c r="W234" s="12"/>
      <c r="X234" s="12"/>
      <c r="Y234" s="12"/>
      <c r="Z234" s="12"/>
    </row>
    <row r="235" spans="1:26" ht="15" customHeight="1" x14ac:dyDescent="0.3">
      <c r="A235" s="26"/>
      <c r="B235" s="17"/>
      <c r="C235" s="17"/>
      <c r="D235" s="17"/>
      <c r="E235" s="17"/>
      <c r="F235" s="17"/>
      <c r="G235" s="17"/>
      <c r="H235" s="17"/>
      <c r="I235" s="17"/>
      <c r="J235" s="17"/>
      <c r="K235" s="17"/>
      <c r="L235" s="17"/>
      <c r="M235" s="17"/>
      <c r="N235" s="17"/>
      <c r="O235" s="17"/>
      <c r="P235" s="17"/>
      <c r="Q235" s="17"/>
      <c r="R235" s="17"/>
      <c r="S235" s="17"/>
      <c r="T235" s="17"/>
      <c r="U235" s="17"/>
      <c r="V235" s="12"/>
      <c r="W235" s="12"/>
      <c r="X235" s="12"/>
      <c r="Y235" s="12"/>
      <c r="Z235" s="12"/>
    </row>
    <row r="236" spans="1:26" ht="15" customHeight="1" x14ac:dyDescent="0.3">
      <c r="A236" s="26"/>
      <c r="B236" s="17"/>
      <c r="C236" s="17"/>
      <c r="D236" s="17"/>
      <c r="E236" s="17"/>
      <c r="F236" s="17"/>
      <c r="G236" s="17"/>
      <c r="H236" s="17"/>
      <c r="I236" s="17"/>
      <c r="J236" s="17"/>
      <c r="K236" s="17"/>
      <c r="L236" s="17"/>
      <c r="M236" s="17"/>
      <c r="N236" s="17"/>
      <c r="O236" s="17"/>
      <c r="P236" s="17"/>
      <c r="Q236" s="17"/>
      <c r="R236" s="17"/>
      <c r="S236" s="17"/>
      <c r="T236" s="17"/>
      <c r="U236" s="17"/>
      <c r="V236" s="12"/>
      <c r="W236" s="12"/>
      <c r="X236" s="12"/>
      <c r="Y236" s="12"/>
      <c r="Z236" s="12"/>
    </row>
    <row r="237" spans="1:26" ht="15" customHeight="1" x14ac:dyDescent="0.3">
      <c r="A237" s="26"/>
      <c r="B237" s="17"/>
      <c r="C237" s="17"/>
      <c r="D237" s="17"/>
      <c r="E237" s="17"/>
      <c r="F237" s="17"/>
      <c r="G237" s="17"/>
      <c r="H237" s="17"/>
      <c r="I237" s="17"/>
      <c r="J237" s="17"/>
      <c r="K237" s="17"/>
      <c r="L237" s="17"/>
      <c r="M237" s="17"/>
      <c r="N237" s="17"/>
      <c r="O237" s="17"/>
      <c r="P237" s="17"/>
      <c r="Q237" s="17"/>
      <c r="R237" s="17"/>
      <c r="S237" s="17"/>
      <c r="T237" s="17"/>
      <c r="U237" s="17"/>
      <c r="V237" s="12"/>
      <c r="W237" s="12"/>
      <c r="X237" s="12"/>
      <c r="Y237" s="12"/>
      <c r="Z237" s="12"/>
    </row>
    <row r="238" spans="1:26" ht="15" customHeight="1" x14ac:dyDescent="0.3">
      <c r="A238" s="26"/>
      <c r="B238" s="17"/>
      <c r="C238" s="17"/>
      <c r="D238" s="17"/>
      <c r="E238" s="17"/>
      <c r="F238" s="17"/>
      <c r="G238" s="17"/>
      <c r="H238" s="17"/>
      <c r="I238" s="17"/>
      <c r="J238" s="17"/>
      <c r="K238" s="17"/>
      <c r="L238" s="17"/>
      <c r="M238" s="17"/>
      <c r="N238" s="17"/>
      <c r="O238" s="17"/>
      <c r="P238" s="17"/>
      <c r="Q238" s="17"/>
      <c r="R238" s="17"/>
      <c r="S238" s="17"/>
      <c r="T238" s="17"/>
      <c r="U238" s="17"/>
      <c r="V238" s="12"/>
      <c r="W238" s="12"/>
      <c r="X238" s="12"/>
      <c r="Y238" s="12"/>
      <c r="Z238" s="12"/>
    </row>
    <row r="239" spans="1:26" ht="15" customHeight="1" x14ac:dyDescent="0.3">
      <c r="A239" s="26"/>
      <c r="B239" s="17"/>
      <c r="C239" s="17"/>
      <c r="D239" s="17"/>
      <c r="E239" s="17"/>
      <c r="F239" s="17"/>
      <c r="G239" s="17"/>
      <c r="H239" s="17"/>
      <c r="I239" s="17"/>
      <c r="J239" s="17"/>
      <c r="K239" s="17"/>
      <c r="L239" s="17"/>
      <c r="M239" s="17"/>
      <c r="N239" s="17"/>
      <c r="O239" s="17"/>
      <c r="P239" s="17"/>
      <c r="Q239" s="17"/>
      <c r="R239" s="17"/>
      <c r="S239" s="17"/>
      <c r="T239" s="17"/>
      <c r="U239" s="17"/>
      <c r="V239" s="12"/>
      <c r="W239" s="12"/>
      <c r="X239" s="12"/>
      <c r="Y239" s="12"/>
      <c r="Z239" s="12"/>
    </row>
    <row r="240" spans="1:26" ht="15" customHeight="1" x14ac:dyDescent="0.3">
      <c r="A240" s="26"/>
      <c r="B240" s="17"/>
      <c r="C240" s="17"/>
      <c r="D240" s="17"/>
      <c r="E240" s="17"/>
      <c r="F240" s="17"/>
      <c r="G240" s="17"/>
      <c r="H240" s="17"/>
      <c r="I240" s="17"/>
      <c r="J240" s="17"/>
      <c r="K240" s="17"/>
      <c r="L240" s="17"/>
      <c r="M240" s="17"/>
      <c r="N240" s="17"/>
      <c r="O240" s="17"/>
      <c r="P240" s="17"/>
      <c r="Q240" s="17"/>
      <c r="R240" s="17"/>
      <c r="S240" s="17"/>
      <c r="T240" s="17"/>
      <c r="U240" s="17"/>
      <c r="V240" s="12"/>
      <c r="W240" s="12"/>
      <c r="X240" s="12"/>
      <c r="Y240" s="12"/>
      <c r="Z240" s="12"/>
    </row>
    <row r="241" spans="1:26" ht="15" customHeight="1" x14ac:dyDescent="0.3">
      <c r="A241" s="26"/>
      <c r="B241" s="17"/>
      <c r="C241" s="17"/>
      <c r="D241" s="17"/>
      <c r="E241" s="17"/>
      <c r="F241" s="17"/>
      <c r="G241" s="17"/>
      <c r="H241" s="17"/>
      <c r="I241" s="17"/>
      <c r="J241" s="17"/>
      <c r="K241" s="17"/>
      <c r="L241" s="17"/>
      <c r="M241" s="17"/>
      <c r="N241" s="17"/>
      <c r="O241" s="17"/>
      <c r="P241" s="17"/>
      <c r="Q241" s="17"/>
      <c r="R241" s="17"/>
      <c r="S241" s="17"/>
      <c r="T241" s="17"/>
      <c r="U241" s="17"/>
      <c r="V241" s="12"/>
      <c r="W241" s="12"/>
      <c r="X241" s="12"/>
      <c r="Y241" s="12"/>
      <c r="Z241" s="12"/>
    </row>
    <row r="242" spans="1:26" ht="15" customHeight="1" x14ac:dyDescent="0.3">
      <c r="A242" s="26"/>
      <c r="B242" s="17"/>
      <c r="C242" s="17"/>
      <c r="D242" s="17"/>
      <c r="E242" s="17"/>
      <c r="F242" s="17"/>
      <c r="G242" s="17"/>
      <c r="H242" s="17"/>
      <c r="I242" s="17"/>
      <c r="J242" s="17"/>
      <c r="K242" s="17"/>
      <c r="L242" s="17"/>
      <c r="M242" s="17"/>
      <c r="N242" s="17"/>
      <c r="O242" s="17"/>
      <c r="P242" s="17"/>
      <c r="Q242" s="17"/>
      <c r="R242" s="17"/>
      <c r="S242" s="17"/>
      <c r="T242" s="17"/>
      <c r="U242" s="17"/>
      <c r="V242" s="12"/>
      <c r="W242" s="12"/>
      <c r="X242" s="12"/>
      <c r="Y242" s="12"/>
      <c r="Z242" s="12"/>
    </row>
    <row r="243" spans="1:26" ht="15" customHeight="1" x14ac:dyDescent="0.3">
      <c r="A243" s="26"/>
      <c r="B243" s="17"/>
      <c r="C243" s="17"/>
      <c r="D243" s="17"/>
      <c r="E243" s="17"/>
      <c r="F243" s="17"/>
      <c r="G243" s="17"/>
      <c r="H243" s="17"/>
      <c r="I243" s="17"/>
      <c r="J243" s="17"/>
      <c r="K243" s="17"/>
      <c r="L243" s="17"/>
      <c r="M243" s="17"/>
      <c r="N243" s="17"/>
      <c r="O243" s="17"/>
      <c r="P243" s="17"/>
      <c r="Q243" s="17"/>
      <c r="R243" s="17"/>
      <c r="S243" s="17"/>
      <c r="T243" s="17"/>
      <c r="U243" s="17"/>
      <c r="V243" s="12"/>
      <c r="W243" s="12"/>
      <c r="X243" s="12"/>
      <c r="Y243" s="12"/>
      <c r="Z243" s="12"/>
    </row>
    <row r="244" spans="1:26" ht="15" customHeight="1" x14ac:dyDescent="0.3">
      <c r="A244" s="26"/>
      <c r="B244" s="17"/>
      <c r="C244" s="17"/>
      <c r="D244" s="17"/>
      <c r="E244" s="17"/>
      <c r="F244" s="17"/>
      <c r="G244" s="17"/>
      <c r="H244" s="17"/>
      <c r="I244" s="17"/>
      <c r="J244" s="17"/>
      <c r="K244" s="17"/>
      <c r="L244" s="17"/>
      <c r="M244" s="17"/>
      <c r="N244" s="17"/>
      <c r="O244" s="17"/>
      <c r="P244" s="17"/>
      <c r="Q244" s="17"/>
      <c r="R244" s="17"/>
      <c r="S244" s="17"/>
      <c r="T244" s="17"/>
      <c r="U244" s="17"/>
      <c r="V244" s="12"/>
      <c r="W244" s="12"/>
      <c r="X244" s="12"/>
      <c r="Y244" s="12"/>
      <c r="Z244" s="12"/>
    </row>
    <row r="245" spans="1:26" ht="15" customHeight="1" x14ac:dyDescent="0.3">
      <c r="A245" s="26"/>
      <c r="B245" s="17"/>
      <c r="C245" s="17"/>
      <c r="D245" s="17"/>
      <c r="E245" s="17"/>
      <c r="F245" s="17"/>
      <c r="G245" s="17"/>
      <c r="H245" s="17"/>
      <c r="I245" s="17"/>
      <c r="J245" s="17"/>
      <c r="K245" s="17"/>
      <c r="L245" s="17"/>
      <c r="M245" s="17"/>
      <c r="N245" s="17"/>
      <c r="O245" s="17"/>
      <c r="P245" s="17"/>
      <c r="Q245" s="17"/>
      <c r="R245" s="17"/>
      <c r="S245" s="17"/>
      <c r="T245" s="17"/>
      <c r="U245" s="17"/>
      <c r="V245" s="12"/>
      <c r="W245" s="12"/>
      <c r="X245" s="12"/>
      <c r="Y245" s="12"/>
      <c r="Z245" s="12"/>
    </row>
    <row r="246" spans="1:26" ht="15" customHeight="1" x14ac:dyDescent="0.3">
      <c r="A246" s="26"/>
      <c r="B246" s="17"/>
      <c r="C246" s="17"/>
      <c r="D246" s="17"/>
      <c r="E246" s="17"/>
      <c r="F246" s="17"/>
      <c r="G246" s="17"/>
      <c r="H246" s="17"/>
      <c r="I246" s="17"/>
      <c r="J246" s="17"/>
      <c r="K246" s="17"/>
      <c r="L246" s="17"/>
      <c r="M246" s="17"/>
      <c r="N246" s="17"/>
      <c r="O246" s="17"/>
      <c r="P246" s="17"/>
      <c r="Q246" s="17"/>
      <c r="R246" s="17"/>
      <c r="S246" s="17"/>
      <c r="T246" s="17"/>
      <c r="U246" s="17"/>
      <c r="V246" s="12"/>
      <c r="W246" s="12"/>
      <c r="X246" s="12"/>
      <c r="Y246" s="12"/>
      <c r="Z246" s="12"/>
    </row>
    <row r="247" spans="1:26" ht="15" customHeight="1" x14ac:dyDescent="0.3">
      <c r="A247" s="27"/>
      <c r="B247" s="19"/>
      <c r="C247" s="19"/>
      <c r="D247" s="19"/>
      <c r="E247" s="19"/>
      <c r="F247" s="19"/>
      <c r="G247" s="19"/>
      <c r="H247" s="19"/>
      <c r="I247" s="19"/>
      <c r="J247" s="19"/>
      <c r="K247" s="17"/>
      <c r="L247" s="17"/>
      <c r="M247" s="17"/>
      <c r="N247" s="17"/>
      <c r="O247" s="17"/>
      <c r="P247" s="17"/>
      <c r="Q247" s="17"/>
      <c r="R247" s="17"/>
      <c r="S247" s="17"/>
      <c r="T247" s="17"/>
      <c r="U247" s="17"/>
      <c r="V247" s="12"/>
      <c r="W247" s="12"/>
      <c r="X247" s="12"/>
      <c r="Y247" s="12"/>
      <c r="Z247" s="12"/>
    </row>
    <row r="248" spans="1:26" ht="15" customHeight="1" x14ac:dyDescent="0.3">
      <c r="A248" s="27"/>
      <c r="B248" s="19"/>
      <c r="C248" s="19"/>
      <c r="D248" s="19"/>
      <c r="E248" s="19"/>
      <c r="F248" s="19"/>
      <c r="G248" s="19"/>
      <c r="H248" s="19"/>
      <c r="I248" s="19"/>
      <c r="J248" s="19"/>
      <c r="K248" s="17"/>
      <c r="L248" s="17"/>
      <c r="M248" s="17"/>
      <c r="N248" s="17"/>
      <c r="O248" s="17"/>
      <c r="P248" s="17"/>
      <c r="Q248" s="17"/>
      <c r="R248" s="17"/>
      <c r="S248" s="17"/>
      <c r="T248" s="17"/>
      <c r="U248" s="17"/>
      <c r="V248" s="12"/>
      <c r="W248" s="12"/>
      <c r="X248" s="12"/>
      <c r="Y248" s="12"/>
      <c r="Z248" s="12"/>
    </row>
    <row r="249" spans="1:26" ht="15" customHeight="1" x14ac:dyDescent="0.3">
      <c r="A249" s="26"/>
      <c r="B249" s="17"/>
      <c r="C249" s="17"/>
      <c r="D249" s="17"/>
      <c r="E249" s="17"/>
      <c r="F249" s="17"/>
      <c r="G249" s="17"/>
      <c r="H249" s="17"/>
      <c r="I249" s="17"/>
      <c r="J249" s="17"/>
      <c r="K249" s="17"/>
      <c r="L249" s="17"/>
      <c r="M249" s="17"/>
      <c r="N249" s="17"/>
      <c r="O249" s="17"/>
      <c r="P249" s="17"/>
      <c r="Q249" s="17"/>
      <c r="R249" s="17"/>
      <c r="S249" s="17"/>
      <c r="T249" s="17"/>
      <c r="U249" s="17"/>
      <c r="V249" s="12"/>
      <c r="W249" s="12"/>
      <c r="X249" s="12"/>
      <c r="Y249" s="12"/>
      <c r="Z249" s="12"/>
    </row>
    <row r="250" spans="1:26" ht="15" customHeight="1" x14ac:dyDescent="0.3">
      <c r="A250" s="26"/>
      <c r="B250" s="17"/>
      <c r="C250" s="17"/>
      <c r="D250" s="17"/>
      <c r="E250" s="17"/>
      <c r="F250" s="17"/>
      <c r="G250" s="17"/>
      <c r="H250" s="17"/>
      <c r="I250" s="17"/>
      <c r="J250" s="17"/>
      <c r="K250" s="17"/>
      <c r="L250" s="17"/>
      <c r="M250" s="17"/>
      <c r="N250" s="17"/>
      <c r="O250" s="17"/>
      <c r="P250" s="17"/>
      <c r="Q250" s="17"/>
      <c r="R250" s="17"/>
      <c r="S250" s="17"/>
      <c r="T250" s="17"/>
      <c r="U250" s="17"/>
      <c r="V250" s="12"/>
      <c r="W250" s="12"/>
      <c r="X250" s="12"/>
      <c r="Y250" s="12"/>
      <c r="Z250" s="12"/>
    </row>
    <row r="251" spans="1:26" ht="15" customHeight="1" x14ac:dyDescent="0.3">
      <c r="A251" s="26"/>
      <c r="B251" s="17"/>
      <c r="C251" s="17"/>
      <c r="D251" s="17"/>
      <c r="E251" s="17"/>
      <c r="F251" s="17"/>
      <c r="G251" s="17"/>
      <c r="H251" s="17"/>
      <c r="I251" s="17"/>
      <c r="J251" s="17"/>
      <c r="K251" s="17"/>
      <c r="L251" s="17"/>
      <c r="M251" s="17"/>
      <c r="N251" s="17"/>
      <c r="O251" s="17"/>
      <c r="P251" s="17"/>
      <c r="Q251" s="17"/>
      <c r="R251" s="17"/>
      <c r="S251" s="17"/>
      <c r="T251" s="17"/>
      <c r="U251" s="17"/>
      <c r="V251" s="12"/>
      <c r="W251" s="12"/>
      <c r="X251" s="12"/>
      <c r="Y251" s="12"/>
      <c r="Z251" s="12"/>
    </row>
    <row r="252" spans="1:26" ht="15" customHeight="1" x14ac:dyDescent="0.3">
      <c r="A252" s="26"/>
      <c r="B252" s="17"/>
      <c r="C252" s="17"/>
      <c r="D252" s="17"/>
      <c r="E252" s="17"/>
      <c r="F252" s="17"/>
      <c r="G252" s="17"/>
      <c r="H252" s="17"/>
      <c r="I252" s="17"/>
      <c r="J252" s="17"/>
      <c r="K252" s="17"/>
      <c r="L252" s="17"/>
      <c r="M252" s="17"/>
      <c r="N252" s="17"/>
      <c r="O252" s="17"/>
      <c r="P252" s="17"/>
      <c r="Q252" s="17"/>
      <c r="R252" s="17"/>
      <c r="S252" s="17"/>
      <c r="T252" s="17"/>
      <c r="U252" s="17"/>
      <c r="V252" s="12"/>
      <c r="W252" s="12"/>
      <c r="X252" s="12"/>
      <c r="Y252" s="12"/>
      <c r="Z252" s="12"/>
    </row>
    <row r="253" spans="1:26" ht="15" customHeight="1" x14ac:dyDescent="0.3">
      <c r="A253" s="26"/>
      <c r="B253" s="17"/>
      <c r="C253" s="17"/>
      <c r="D253" s="17"/>
      <c r="E253" s="17"/>
      <c r="F253" s="17"/>
      <c r="G253" s="17"/>
      <c r="H253" s="17"/>
      <c r="I253" s="17"/>
      <c r="J253" s="17"/>
      <c r="K253" s="17"/>
      <c r="L253" s="17"/>
      <c r="M253" s="17"/>
      <c r="N253" s="17"/>
      <c r="O253" s="17"/>
      <c r="P253" s="17"/>
      <c r="Q253" s="17"/>
      <c r="R253" s="17"/>
      <c r="S253" s="17"/>
      <c r="T253" s="17"/>
      <c r="U253" s="17"/>
      <c r="V253" s="12"/>
      <c r="W253" s="12"/>
      <c r="X253" s="12"/>
      <c r="Y253" s="12"/>
      <c r="Z253" s="12"/>
    </row>
    <row r="254" spans="1:26" ht="15" customHeight="1" x14ac:dyDescent="0.3">
      <c r="A254" s="26"/>
      <c r="B254" s="17"/>
      <c r="C254" s="17"/>
      <c r="D254" s="17"/>
      <c r="E254" s="17"/>
      <c r="F254" s="17"/>
      <c r="G254" s="17"/>
      <c r="H254" s="17"/>
      <c r="I254" s="17"/>
      <c r="J254" s="17"/>
      <c r="K254" s="17"/>
      <c r="L254" s="17"/>
      <c r="M254" s="17"/>
      <c r="N254" s="17"/>
      <c r="O254" s="17"/>
      <c r="P254" s="17"/>
      <c r="Q254" s="17"/>
      <c r="R254" s="17"/>
      <c r="S254" s="17"/>
      <c r="T254" s="17"/>
      <c r="U254" s="17"/>
      <c r="V254" s="12"/>
      <c r="W254" s="12"/>
      <c r="X254" s="12"/>
      <c r="Y254" s="12"/>
      <c r="Z254" s="12"/>
    </row>
    <row r="255" spans="1:26" ht="15" customHeight="1" x14ac:dyDescent="0.3">
      <c r="A255" s="26"/>
      <c r="B255" s="17"/>
      <c r="C255" s="17"/>
      <c r="D255" s="17"/>
      <c r="E255" s="17"/>
      <c r="F255" s="17"/>
      <c r="G255" s="17"/>
      <c r="H255" s="17"/>
      <c r="I255" s="17"/>
      <c r="J255" s="17"/>
      <c r="K255" s="17"/>
      <c r="L255" s="17"/>
      <c r="M255" s="17"/>
      <c r="N255" s="17"/>
      <c r="O255" s="17"/>
      <c r="P255" s="17"/>
      <c r="Q255" s="17"/>
      <c r="R255" s="17"/>
      <c r="S255" s="17"/>
      <c r="T255" s="17"/>
      <c r="U255" s="17"/>
      <c r="V255" s="12"/>
      <c r="W255" s="12"/>
      <c r="X255" s="12"/>
      <c r="Y255" s="12"/>
      <c r="Z255" s="12"/>
    </row>
    <row r="256" spans="1:26" ht="15" customHeight="1" x14ac:dyDescent="0.3">
      <c r="A256" s="26"/>
      <c r="B256" s="17"/>
      <c r="C256" s="17"/>
      <c r="D256" s="17"/>
      <c r="E256" s="17"/>
      <c r="F256" s="17"/>
      <c r="G256" s="17"/>
      <c r="H256" s="17"/>
      <c r="I256" s="17"/>
      <c r="J256" s="17"/>
      <c r="K256" s="17"/>
      <c r="L256" s="17"/>
      <c r="M256" s="17"/>
      <c r="N256" s="17"/>
      <c r="O256" s="17"/>
      <c r="P256" s="17"/>
      <c r="Q256" s="17"/>
      <c r="R256" s="17"/>
      <c r="S256" s="17"/>
      <c r="T256" s="17"/>
      <c r="U256" s="17"/>
      <c r="V256" s="12"/>
      <c r="W256" s="12"/>
      <c r="X256" s="12"/>
      <c r="Y256" s="12"/>
      <c r="Z256" s="12"/>
    </row>
    <row r="257" spans="1:26" ht="15" customHeight="1" x14ac:dyDescent="0.3">
      <c r="A257" s="26"/>
      <c r="B257" s="17"/>
      <c r="C257" s="17"/>
      <c r="D257" s="17"/>
      <c r="E257" s="17"/>
      <c r="F257" s="17"/>
      <c r="G257" s="17"/>
      <c r="H257" s="17"/>
      <c r="I257" s="17"/>
      <c r="J257" s="17"/>
      <c r="K257" s="17"/>
      <c r="L257" s="17"/>
      <c r="M257" s="17"/>
      <c r="N257" s="17"/>
      <c r="O257" s="17"/>
      <c r="P257" s="17"/>
      <c r="Q257" s="17"/>
      <c r="R257" s="17"/>
      <c r="S257" s="17"/>
      <c r="T257" s="17"/>
      <c r="U257" s="17"/>
      <c r="V257" s="12"/>
      <c r="W257" s="12"/>
      <c r="X257" s="12"/>
      <c r="Y257" s="12"/>
      <c r="Z257" s="12"/>
    </row>
    <row r="258" spans="1:26" ht="15" customHeight="1" x14ac:dyDescent="0.3">
      <c r="A258" s="26"/>
      <c r="B258" s="17"/>
      <c r="C258" s="17"/>
      <c r="D258" s="17"/>
      <c r="E258" s="17"/>
      <c r="F258" s="17"/>
      <c r="G258" s="17"/>
      <c r="H258" s="17"/>
      <c r="I258" s="17"/>
      <c r="J258" s="17"/>
      <c r="K258" s="17"/>
      <c r="L258" s="17"/>
      <c r="M258" s="17"/>
      <c r="N258" s="17"/>
      <c r="O258" s="17"/>
      <c r="P258" s="17"/>
      <c r="Q258" s="17"/>
      <c r="R258" s="17"/>
      <c r="S258" s="17"/>
      <c r="T258" s="17"/>
      <c r="U258" s="17"/>
      <c r="V258" s="12"/>
      <c r="W258" s="12"/>
      <c r="X258" s="12"/>
      <c r="Y258" s="12"/>
      <c r="Z258" s="12"/>
    </row>
    <row r="259" spans="1:26" ht="15" customHeight="1" x14ac:dyDescent="0.3">
      <c r="A259" s="26"/>
      <c r="B259" s="17"/>
      <c r="C259" s="17"/>
      <c r="D259" s="17"/>
      <c r="E259" s="17"/>
      <c r="F259" s="17"/>
      <c r="G259" s="17"/>
      <c r="H259" s="17"/>
      <c r="I259" s="17"/>
      <c r="J259" s="17"/>
      <c r="K259" s="17"/>
      <c r="L259" s="17"/>
      <c r="M259" s="17"/>
      <c r="N259" s="17"/>
      <c r="O259" s="17"/>
      <c r="P259" s="17"/>
      <c r="Q259" s="17"/>
      <c r="R259" s="17"/>
      <c r="S259" s="17"/>
      <c r="T259" s="17"/>
      <c r="U259" s="17"/>
      <c r="V259" s="12"/>
      <c r="W259" s="12"/>
      <c r="X259" s="12"/>
      <c r="Y259" s="12"/>
      <c r="Z259" s="12"/>
    </row>
    <row r="260" spans="1:26" ht="15" customHeight="1" x14ac:dyDescent="0.3">
      <c r="A260" s="26"/>
      <c r="B260" s="17"/>
      <c r="C260" s="17"/>
      <c r="D260" s="17"/>
      <c r="E260" s="17"/>
      <c r="F260" s="17"/>
      <c r="G260" s="17"/>
      <c r="H260" s="17"/>
      <c r="I260" s="17"/>
      <c r="J260" s="17"/>
      <c r="K260" s="17"/>
      <c r="L260" s="17"/>
      <c r="M260" s="17"/>
      <c r="N260" s="17"/>
      <c r="O260" s="17"/>
      <c r="P260" s="17"/>
      <c r="Q260" s="17"/>
      <c r="R260" s="17"/>
      <c r="S260" s="17"/>
      <c r="T260" s="17"/>
      <c r="U260" s="17"/>
      <c r="V260" s="12"/>
      <c r="W260" s="12"/>
      <c r="X260" s="12"/>
      <c r="Y260" s="12"/>
      <c r="Z260" s="12"/>
    </row>
    <row r="261" spans="1:26" ht="15" customHeight="1" x14ac:dyDescent="0.3">
      <c r="A261" s="26"/>
      <c r="B261" s="17"/>
      <c r="C261" s="17"/>
      <c r="D261" s="17"/>
      <c r="E261" s="17"/>
      <c r="F261" s="17"/>
      <c r="G261" s="17"/>
      <c r="H261" s="17"/>
      <c r="I261" s="17"/>
      <c r="J261" s="17"/>
      <c r="K261" s="17"/>
      <c r="L261" s="17"/>
      <c r="M261" s="17"/>
      <c r="N261" s="17"/>
      <c r="O261" s="17"/>
      <c r="P261" s="17"/>
      <c r="Q261" s="17"/>
      <c r="R261" s="17"/>
      <c r="S261" s="17"/>
      <c r="T261" s="17"/>
      <c r="U261" s="17"/>
      <c r="V261" s="12"/>
      <c r="W261" s="12"/>
      <c r="X261" s="12"/>
      <c r="Y261" s="12"/>
      <c r="Z261" s="12"/>
    </row>
    <row r="262" spans="1:26" ht="15" customHeight="1" x14ac:dyDescent="0.3">
      <c r="A262" s="26"/>
      <c r="B262" s="17"/>
      <c r="C262" s="17"/>
      <c r="D262" s="17"/>
      <c r="E262" s="17"/>
      <c r="F262" s="17"/>
      <c r="G262" s="17"/>
      <c r="H262" s="17"/>
      <c r="I262" s="17"/>
      <c r="J262" s="17"/>
      <c r="K262" s="17"/>
      <c r="L262" s="17"/>
      <c r="M262" s="17"/>
      <c r="N262" s="17"/>
      <c r="O262" s="17"/>
      <c r="P262" s="17"/>
      <c r="Q262" s="17"/>
      <c r="R262" s="17"/>
      <c r="S262" s="17"/>
      <c r="T262" s="17"/>
      <c r="U262" s="17"/>
      <c r="V262" s="12"/>
      <c r="W262" s="12"/>
      <c r="X262" s="12"/>
      <c r="Y262" s="12"/>
      <c r="Z262" s="12"/>
    </row>
    <row r="263" spans="1:26" ht="15" customHeight="1" x14ac:dyDescent="0.3">
      <c r="A263" s="26"/>
      <c r="B263" s="17"/>
      <c r="C263" s="17"/>
      <c r="D263" s="17"/>
      <c r="E263" s="17"/>
      <c r="F263" s="17"/>
      <c r="G263" s="17"/>
      <c r="H263" s="17"/>
      <c r="I263" s="17"/>
      <c r="J263" s="17"/>
      <c r="K263" s="17"/>
      <c r="L263" s="17"/>
      <c r="M263" s="17"/>
      <c r="N263" s="17"/>
      <c r="O263" s="17"/>
      <c r="P263" s="17"/>
      <c r="Q263" s="17"/>
      <c r="R263" s="17"/>
      <c r="S263" s="17"/>
      <c r="T263" s="17"/>
      <c r="U263" s="17"/>
      <c r="V263" s="12"/>
      <c r="W263" s="12"/>
      <c r="X263" s="12"/>
      <c r="Y263" s="12"/>
      <c r="Z263" s="12"/>
    </row>
    <row r="264" spans="1:26" ht="15" customHeight="1" x14ac:dyDescent="0.3">
      <c r="A264" s="26"/>
      <c r="B264" s="17"/>
      <c r="C264" s="17"/>
      <c r="D264" s="17"/>
      <c r="E264" s="17"/>
      <c r="F264" s="17"/>
      <c r="G264" s="17"/>
      <c r="H264" s="17"/>
      <c r="I264" s="17"/>
      <c r="J264" s="17"/>
      <c r="K264" s="17"/>
      <c r="L264" s="17"/>
      <c r="M264" s="17"/>
      <c r="N264" s="17"/>
      <c r="O264" s="17"/>
      <c r="P264" s="17"/>
      <c r="Q264" s="17"/>
      <c r="R264" s="17"/>
      <c r="S264" s="17"/>
      <c r="T264" s="17"/>
      <c r="U264" s="17"/>
      <c r="V264" s="12"/>
      <c r="W264" s="12"/>
      <c r="X264" s="12"/>
      <c r="Y264" s="12"/>
      <c r="Z264" s="12"/>
    </row>
    <row r="265" spans="1:26" ht="15" customHeight="1" x14ac:dyDescent="0.3">
      <c r="A265" s="26"/>
      <c r="B265" s="17"/>
      <c r="C265" s="17"/>
      <c r="D265" s="17"/>
      <c r="E265" s="17"/>
      <c r="F265" s="17"/>
      <c r="G265" s="17"/>
      <c r="H265" s="17"/>
      <c r="I265" s="17"/>
      <c r="J265" s="17"/>
      <c r="K265" s="17"/>
      <c r="L265" s="17"/>
      <c r="M265" s="17"/>
      <c r="N265" s="17"/>
      <c r="O265" s="17"/>
      <c r="P265" s="17"/>
      <c r="Q265" s="17"/>
      <c r="R265" s="17"/>
      <c r="S265" s="17"/>
      <c r="T265" s="17"/>
      <c r="U265" s="17"/>
      <c r="V265" s="12"/>
      <c r="W265" s="12"/>
      <c r="X265" s="12"/>
      <c r="Y265" s="12"/>
      <c r="Z265" s="12"/>
    </row>
    <row r="266" spans="1:26" ht="15" customHeight="1" x14ac:dyDescent="0.3">
      <c r="A266" s="26"/>
      <c r="B266" s="17"/>
      <c r="C266" s="17"/>
      <c r="D266" s="17"/>
      <c r="E266" s="17"/>
      <c r="F266" s="17"/>
      <c r="G266" s="17"/>
      <c r="H266" s="17"/>
      <c r="I266" s="17"/>
      <c r="J266" s="17"/>
      <c r="K266" s="17"/>
      <c r="L266" s="17"/>
      <c r="M266" s="17"/>
      <c r="N266" s="17"/>
      <c r="O266" s="17"/>
      <c r="P266" s="17"/>
      <c r="Q266" s="17"/>
      <c r="R266" s="17"/>
      <c r="S266" s="17"/>
      <c r="T266" s="17"/>
      <c r="U266" s="17"/>
      <c r="V266" s="12"/>
      <c r="W266" s="12"/>
      <c r="X266" s="12"/>
      <c r="Y266" s="12"/>
      <c r="Z266" s="12"/>
    </row>
    <row r="267" spans="1:26" ht="15" customHeight="1" x14ac:dyDescent="0.3">
      <c r="A267" s="26"/>
      <c r="B267" s="17"/>
      <c r="C267" s="17"/>
      <c r="D267" s="17"/>
      <c r="E267" s="17"/>
      <c r="F267" s="17"/>
      <c r="G267" s="17"/>
      <c r="H267" s="17"/>
      <c r="I267" s="17"/>
      <c r="J267" s="17"/>
      <c r="K267" s="17"/>
      <c r="L267" s="17"/>
      <c r="M267" s="17"/>
      <c r="N267" s="17"/>
      <c r="O267" s="17"/>
      <c r="P267" s="17"/>
      <c r="Q267" s="17"/>
      <c r="R267" s="17"/>
      <c r="S267" s="17"/>
      <c r="T267" s="17"/>
      <c r="U267" s="17"/>
      <c r="V267" s="12"/>
      <c r="W267" s="12"/>
      <c r="X267" s="12"/>
      <c r="Y267" s="12"/>
      <c r="Z267" s="12"/>
    </row>
    <row r="268" spans="1:26" ht="15" customHeight="1" x14ac:dyDescent="0.3">
      <c r="A268" s="26"/>
      <c r="B268" s="17"/>
      <c r="C268" s="17"/>
      <c r="D268" s="17"/>
      <c r="E268" s="17"/>
      <c r="F268" s="17"/>
      <c r="G268" s="17"/>
      <c r="H268" s="17"/>
      <c r="I268" s="17"/>
      <c r="J268" s="17"/>
      <c r="K268" s="17"/>
      <c r="L268" s="17"/>
      <c r="M268" s="17"/>
      <c r="N268" s="17"/>
      <c r="O268" s="17"/>
      <c r="P268" s="17"/>
      <c r="Q268" s="17"/>
      <c r="R268" s="17"/>
      <c r="S268" s="17"/>
      <c r="T268" s="17"/>
      <c r="U268" s="17"/>
      <c r="V268" s="12"/>
      <c r="W268" s="12"/>
      <c r="X268" s="12"/>
      <c r="Y268" s="12"/>
      <c r="Z268" s="12"/>
    </row>
    <row r="269" spans="1:26" ht="15" customHeight="1" x14ac:dyDescent="0.3">
      <c r="A269" s="26"/>
      <c r="B269" s="17"/>
      <c r="C269" s="17"/>
      <c r="D269" s="17"/>
      <c r="E269" s="17"/>
      <c r="F269" s="17"/>
      <c r="G269" s="17"/>
      <c r="H269" s="17"/>
      <c r="I269" s="17"/>
      <c r="J269" s="17"/>
      <c r="K269" s="17"/>
      <c r="L269" s="17"/>
      <c r="M269" s="17"/>
      <c r="N269" s="17"/>
      <c r="O269" s="17"/>
      <c r="P269" s="17"/>
      <c r="Q269" s="17"/>
      <c r="R269" s="17"/>
      <c r="S269" s="17"/>
      <c r="T269" s="17"/>
      <c r="U269" s="17"/>
      <c r="V269" s="12"/>
      <c r="W269" s="12"/>
      <c r="X269" s="12"/>
      <c r="Y269" s="12"/>
      <c r="Z269" s="12"/>
    </row>
    <row r="270" spans="1:26" ht="15" customHeight="1" x14ac:dyDescent="0.3">
      <c r="A270" s="26"/>
      <c r="B270" s="17"/>
      <c r="C270" s="17"/>
      <c r="D270" s="17"/>
      <c r="E270" s="17"/>
      <c r="F270" s="17"/>
      <c r="G270" s="17"/>
      <c r="H270" s="17"/>
      <c r="I270" s="17"/>
      <c r="J270" s="17"/>
      <c r="K270" s="17"/>
      <c r="L270" s="17"/>
      <c r="M270" s="17"/>
      <c r="N270" s="17"/>
      <c r="O270" s="17"/>
      <c r="P270" s="17"/>
      <c r="Q270" s="17"/>
      <c r="R270" s="17"/>
      <c r="S270" s="17"/>
      <c r="T270" s="17"/>
      <c r="U270" s="17"/>
      <c r="V270" s="12"/>
      <c r="W270" s="12"/>
      <c r="X270" s="12"/>
      <c r="Y270" s="12"/>
      <c r="Z270" s="12"/>
    </row>
    <row r="271" spans="1:26" ht="15" customHeight="1" x14ac:dyDescent="0.3">
      <c r="A271" s="26"/>
      <c r="B271" s="17"/>
      <c r="C271" s="17"/>
      <c r="D271" s="17"/>
      <c r="E271" s="17"/>
      <c r="F271" s="17"/>
      <c r="G271" s="17"/>
      <c r="H271" s="17"/>
      <c r="I271" s="17"/>
      <c r="J271" s="17"/>
      <c r="K271" s="17"/>
      <c r="L271" s="17"/>
      <c r="M271" s="17"/>
      <c r="N271" s="17"/>
      <c r="O271" s="17"/>
      <c r="P271" s="17"/>
      <c r="Q271" s="17"/>
      <c r="R271" s="17"/>
      <c r="S271" s="17"/>
      <c r="T271" s="17"/>
      <c r="U271" s="17"/>
      <c r="V271" s="12"/>
      <c r="W271" s="12"/>
      <c r="X271" s="12"/>
      <c r="Y271" s="12"/>
      <c r="Z271" s="12"/>
    </row>
    <row r="272" spans="1:26" ht="15" customHeight="1" x14ac:dyDescent="0.3">
      <c r="A272" s="26"/>
      <c r="B272" s="17"/>
      <c r="C272" s="17"/>
      <c r="D272" s="17"/>
      <c r="E272" s="17"/>
      <c r="F272" s="17"/>
      <c r="G272" s="17"/>
      <c r="H272" s="17"/>
      <c r="I272" s="17"/>
      <c r="J272" s="17"/>
      <c r="K272" s="17"/>
      <c r="L272" s="17"/>
      <c r="M272" s="17"/>
      <c r="N272" s="17"/>
      <c r="O272" s="17"/>
      <c r="P272" s="17"/>
      <c r="Q272" s="17"/>
      <c r="R272" s="17"/>
      <c r="S272" s="17"/>
      <c r="T272" s="17"/>
      <c r="U272" s="17"/>
      <c r="V272" s="12"/>
      <c r="W272" s="12"/>
      <c r="X272" s="12"/>
      <c r="Y272" s="12"/>
      <c r="Z272" s="12"/>
    </row>
    <row r="273" spans="1:26" ht="15" customHeight="1" x14ac:dyDescent="0.3">
      <c r="A273" s="26"/>
      <c r="B273" s="17"/>
      <c r="C273" s="17"/>
      <c r="D273" s="17"/>
      <c r="E273" s="17"/>
      <c r="F273" s="17"/>
      <c r="G273" s="17"/>
      <c r="H273" s="17"/>
      <c r="I273" s="17"/>
      <c r="J273" s="17"/>
      <c r="K273" s="17"/>
      <c r="L273" s="17"/>
      <c r="M273" s="17"/>
      <c r="N273" s="17"/>
      <c r="O273" s="17"/>
      <c r="P273" s="17"/>
      <c r="Q273" s="17"/>
      <c r="R273" s="17"/>
      <c r="S273" s="17"/>
      <c r="T273" s="17"/>
      <c r="U273" s="17"/>
      <c r="V273" s="12"/>
      <c r="W273" s="12"/>
      <c r="X273" s="12"/>
      <c r="Y273" s="12"/>
      <c r="Z273" s="12"/>
    </row>
    <row r="274" spans="1:26" ht="15" customHeight="1" x14ac:dyDescent="0.3">
      <c r="A274" s="26"/>
      <c r="B274" s="17"/>
      <c r="C274" s="17"/>
      <c r="D274" s="17"/>
      <c r="E274" s="17"/>
      <c r="F274" s="17"/>
      <c r="G274" s="17"/>
      <c r="H274" s="17"/>
      <c r="I274" s="17"/>
      <c r="J274" s="17"/>
      <c r="K274" s="17"/>
      <c r="L274" s="17"/>
      <c r="M274" s="17"/>
      <c r="N274" s="17"/>
      <c r="O274" s="17"/>
      <c r="P274" s="17"/>
      <c r="Q274" s="17"/>
      <c r="R274" s="17"/>
      <c r="S274" s="17"/>
      <c r="T274" s="17"/>
      <c r="U274" s="17"/>
      <c r="V274" s="12"/>
      <c r="W274" s="12"/>
      <c r="X274" s="12"/>
      <c r="Y274" s="12"/>
      <c r="Z274" s="12"/>
    </row>
    <row r="275" spans="1:26" ht="15" customHeight="1" x14ac:dyDescent="0.3">
      <c r="A275" s="26"/>
      <c r="B275" s="17"/>
      <c r="C275" s="17"/>
      <c r="D275" s="17"/>
      <c r="E275" s="17"/>
      <c r="F275" s="17"/>
      <c r="G275" s="17"/>
      <c r="H275" s="17"/>
      <c r="I275" s="17"/>
      <c r="J275" s="17"/>
      <c r="K275" s="17"/>
      <c r="L275" s="17"/>
      <c r="M275" s="17"/>
      <c r="N275" s="17"/>
      <c r="O275" s="17"/>
      <c r="P275" s="17"/>
      <c r="Q275" s="17"/>
      <c r="R275" s="17"/>
      <c r="S275" s="17"/>
      <c r="T275" s="17"/>
      <c r="U275" s="17"/>
      <c r="V275" s="12"/>
      <c r="W275" s="12"/>
      <c r="X275" s="12"/>
      <c r="Y275" s="12"/>
      <c r="Z275" s="12"/>
    </row>
    <row r="276" spans="1:26" ht="15" customHeight="1" x14ac:dyDescent="0.3">
      <c r="A276" s="26"/>
      <c r="B276" s="17"/>
      <c r="C276" s="17"/>
      <c r="D276" s="17"/>
      <c r="E276" s="17"/>
      <c r="F276" s="17"/>
      <c r="G276" s="17"/>
      <c r="H276" s="17"/>
      <c r="I276" s="17"/>
      <c r="J276" s="17"/>
      <c r="K276" s="17"/>
      <c r="L276" s="17"/>
      <c r="M276" s="17"/>
      <c r="N276" s="17"/>
      <c r="O276" s="17"/>
      <c r="P276" s="17"/>
      <c r="Q276" s="17"/>
      <c r="R276" s="17"/>
      <c r="S276" s="17"/>
      <c r="T276" s="17"/>
      <c r="U276" s="17"/>
      <c r="V276" s="21"/>
      <c r="W276" s="21"/>
      <c r="X276" s="21"/>
      <c r="Y276" s="21"/>
      <c r="Z276" s="21"/>
    </row>
    <row r="277" spans="1:26" ht="15" customHeight="1" x14ac:dyDescent="0.3">
      <c r="A277" s="26"/>
      <c r="B277" s="17"/>
      <c r="C277" s="17"/>
      <c r="D277" s="17"/>
      <c r="E277" s="17"/>
      <c r="F277" s="17"/>
      <c r="G277" s="17"/>
      <c r="H277" s="17"/>
      <c r="I277" s="17"/>
      <c r="J277" s="17"/>
      <c r="K277" s="17"/>
      <c r="L277" s="17"/>
      <c r="M277" s="17"/>
      <c r="N277" s="17"/>
      <c r="O277" s="17"/>
      <c r="P277" s="17"/>
      <c r="Q277" s="17"/>
      <c r="R277" s="17"/>
      <c r="S277" s="17"/>
      <c r="T277" s="17"/>
      <c r="U277" s="17"/>
      <c r="V277" s="12"/>
      <c r="W277" s="12"/>
      <c r="X277" s="12"/>
      <c r="Y277" s="12"/>
      <c r="Z277" s="12"/>
    </row>
    <row r="278" spans="1:26" ht="15" customHeight="1" x14ac:dyDescent="0.3">
      <c r="A278" s="26"/>
      <c r="B278" s="17"/>
      <c r="C278" s="17"/>
      <c r="D278" s="17"/>
      <c r="E278" s="17"/>
      <c r="F278" s="17"/>
      <c r="G278" s="17"/>
      <c r="H278" s="17"/>
      <c r="I278" s="17"/>
      <c r="J278" s="17"/>
      <c r="K278" s="17"/>
      <c r="L278" s="17"/>
      <c r="M278" s="17"/>
      <c r="N278" s="17"/>
      <c r="O278" s="17"/>
      <c r="P278" s="17"/>
      <c r="Q278" s="17"/>
      <c r="R278" s="17"/>
      <c r="S278" s="17"/>
      <c r="T278" s="17"/>
      <c r="U278" s="17"/>
      <c r="V278" s="12"/>
      <c r="W278" s="12"/>
      <c r="X278" s="12"/>
      <c r="Y278" s="12"/>
      <c r="Z278" s="12"/>
    </row>
    <row r="279" spans="1:26" ht="15" customHeight="1" x14ac:dyDescent="0.3">
      <c r="A279" s="26"/>
      <c r="B279" s="17"/>
      <c r="C279" s="17"/>
      <c r="D279" s="17"/>
      <c r="E279" s="17"/>
      <c r="F279" s="17"/>
      <c r="G279" s="17"/>
      <c r="H279" s="17"/>
      <c r="I279" s="17"/>
      <c r="J279" s="17"/>
      <c r="K279" s="17"/>
      <c r="L279" s="17"/>
      <c r="M279" s="17"/>
      <c r="N279" s="17"/>
      <c r="O279" s="17"/>
      <c r="P279" s="17"/>
      <c r="Q279" s="17"/>
      <c r="R279" s="17"/>
      <c r="S279" s="17"/>
      <c r="T279" s="17"/>
      <c r="U279" s="17"/>
      <c r="V279" s="12"/>
      <c r="W279" s="12"/>
      <c r="X279" s="12"/>
      <c r="Y279" s="12"/>
      <c r="Z279" s="12"/>
    </row>
    <row r="280" spans="1:26" ht="15" customHeight="1" x14ac:dyDescent="0.3">
      <c r="A280" s="26"/>
      <c r="B280" s="17"/>
      <c r="C280" s="17"/>
      <c r="D280" s="17"/>
      <c r="E280" s="17"/>
      <c r="F280" s="17"/>
      <c r="G280" s="17"/>
      <c r="H280" s="17"/>
      <c r="I280" s="17"/>
      <c r="J280" s="17"/>
      <c r="K280" s="17"/>
      <c r="L280" s="17"/>
      <c r="M280" s="17"/>
      <c r="N280" s="17"/>
      <c r="O280" s="17"/>
      <c r="P280" s="17"/>
      <c r="Q280" s="17"/>
      <c r="R280" s="17"/>
      <c r="S280" s="17"/>
      <c r="T280" s="17"/>
      <c r="U280" s="17"/>
      <c r="V280" s="12"/>
      <c r="W280" s="12"/>
      <c r="X280" s="12"/>
      <c r="Y280" s="12"/>
      <c r="Z280" s="12"/>
    </row>
    <row r="281" spans="1:26" ht="15" customHeight="1" x14ac:dyDescent="0.3">
      <c r="A281" s="26"/>
      <c r="B281" s="17"/>
      <c r="C281" s="17"/>
      <c r="D281" s="17"/>
      <c r="E281" s="17"/>
      <c r="F281" s="17"/>
      <c r="G281" s="17"/>
      <c r="H281" s="17"/>
      <c r="I281" s="17"/>
      <c r="J281" s="17"/>
      <c r="K281" s="17"/>
      <c r="L281" s="17"/>
      <c r="M281" s="17"/>
      <c r="N281" s="17"/>
      <c r="O281" s="17"/>
      <c r="P281" s="17"/>
      <c r="Q281" s="17"/>
      <c r="R281" s="17"/>
      <c r="S281" s="17"/>
      <c r="T281" s="17"/>
      <c r="U281" s="17"/>
      <c r="V281" s="12"/>
      <c r="W281" s="12"/>
      <c r="X281" s="12"/>
      <c r="Y281" s="12"/>
      <c r="Z281" s="12"/>
    </row>
    <row r="282" spans="1:26" ht="15" customHeight="1" x14ac:dyDescent="0.3">
      <c r="A282" s="26"/>
      <c r="B282" s="17"/>
      <c r="C282" s="17"/>
      <c r="D282" s="17"/>
      <c r="E282" s="17"/>
      <c r="F282" s="17"/>
      <c r="G282" s="17"/>
      <c r="H282" s="17"/>
      <c r="I282" s="17"/>
      <c r="J282" s="17"/>
      <c r="K282" s="17"/>
      <c r="L282" s="17"/>
      <c r="M282" s="17"/>
      <c r="N282" s="17"/>
      <c r="O282" s="17"/>
      <c r="P282" s="17"/>
      <c r="Q282" s="17"/>
      <c r="R282" s="17"/>
      <c r="S282" s="17"/>
      <c r="T282" s="17"/>
      <c r="U282" s="17"/>
      <c r="V282" s="12"/>
      <c r="W282" s="12"/>
      <c r="X282" s="12"/>
      <c r="Y282" s="12"/>
      <c r="Z282" s="12"/>
    </row>
    <row r="283" spans="1:26" ht="15" customHeight="1" x14ac:dyDescent="0.3">
      <c r="A283" s="26"/>
      <c r="B283" s="17"/>
      <c r="C283" s="17"/>
      <c r="D283" s="17"/>
      <c r="E283" s="17"/>
      <c r="F283" s="17"/>
      <c r="G283" s="17"/>
      <c r="H283" s="17"/>
      <c r="I283" s="17"/>
      <c r="J283" s="17"/>
      <c r="K283" s="17"/>
      <c r="L283" s="17"/>
      <c r="M283" s="17"/>
      <c r="N283" s="17"/>
      <c r="O283" s="17"/>
      <c r="P283" s="17"/>
      <c r="Q283" s="17"/>
      <c r="R283" s="17"/>
      <c r="S283" s="17"/>
      <c r="T283" s="17"/>
      <c r="U283" s="17"/>
      <c r="V283" s="12"/>
      <c r="W283" s="12"/>
      <c r="X283" s="12"/>
      <c r="Y283" s="12"/>
      <c r="Z283" s="12"/>
    </row>
    <row r="284" spans="1:26" ht="15" customHeight="1" x14ac:dyDescent="0.3">
      <c r="A284" s="26"/>
      <c r="B284" s="17"/>
      <c r="C284" s="17"/>
      <c r="D284" s="17"/>
      <c r="E284" s="17"/>
      <c r="F284" s="17"/>
      <c r="G284" s="17"/>
      <c r="H284" s="17"/>
      <c r="I284" s="17"/>
      <c r="J284" s="17"/>
      <c r="K284" s="17"/>
      <c r="L284" s="17"/>
      <c r="M284" s="17"/>
      <c r="N284" s="17"/>
      <c r="O284" s="17"/>
      <c r="P284" s="17"/>
      <c r="Q284" s="17"/>
      <c r="R284" s="17"/>
      <c r="S284" s="17"/>
      <c r="T284" s="17"/>
      <c r="U284" s="17"/>
      <c r="V284" s="12"/>
      <c r="W284" s="12"/>
      <c r="X284" s="12"/>
      <c r="Y284" s="12"/>
      <c r="Z284" s="12"/>
    </row>
    <row r="285" spans="1:26" ht="15" customHeight="1" x14ac:dyDescent="0.3">
      <c r="A285" s="26"/>
      <c r="B285" s="17"/>
      <c r="C285" s="17"/>
      <c r="D285" s="17"/>
      <c r="E285" s="17"/>
      <c r="F285" s="17"/>
      <c r="G285" s="17"/>
      <c r="H285" s="17"/>
      <c r="I285" s="17"/>
      <c r="J285" s="17"/>
      <c r="K285" s="17"/>
      <c r="L285" s="17"/>
      <c r="M285" s="17"/>
      <c r="N285" s="17"/>
      <c r="O285" s="17"/>
      <c r="P285" s="17"/>
      <c r="Q285" s="17"/>
      <c r="R285" s="17"/>
      <c r="S285" s="17"/>
      <c r="T285" s="17"/>
      <c r="U285" s="17"/>
      <c r="V285" s="12"/>
      <c r="W285" s="12"/>
      <c r="X285" s="12"/>
      <c r="Y285" s="12"/>
      <c r="Z285" s="12"/>
    </row>
    <row r="286" spans="1:26" ht="15" customHeight="1" x14ac:dyDescent="0.3">
      <c r="A286" s="26"/>
      <c r="B286" s="17"/>
      <c r="C286" s="17"/>
      <c r="D286" s="17"/>
      <c r="E286" s="17"/>
      <c r="F286" s="17"/>
      <c r="G286" s="17"/>
      <c r="H286" s="17"/>
      <c r="I286" s="17"/>
      <c r="J286" s="17"/>
      <c r="K286" s="17"/>
      <c r="L286" s="17"/>
      <c r="M286" s="17"/>
      <c r="N286" s="17"/>
      <c r="O286" s="17"/>
      <c r="P286" s="17"/>
      <c r="Q286" s="17"/>
      <c r="R286" s="17"/>
      <c r="S286" s="17"/>
      <c r="T286" s="17"/>
      <c r="U286" s="17"/>
      <c r="V286" s="12"/>
      <c r="W286" s="12"/>
      <c r="X286" s="12"/>
      <c r="Y286" s="12"/>
      <c r="Z286" s="12"/>
    </row>
    <row r="287" spans="1:26" ht="15" customHeight="1" x14ac:dyDescent="0.3">
      <c r="A287" s="26"/>
      <c r="B287" s="17"/>
      <c r="C287" s="17"/>
      <c r="D287" s="17"/>
      <c r="E287" s="17"/>
      <c r="F287" s="17"/>
      <c r="G287" s="17"/>
      <c r="H287" s="17"/>
      <c r="I287" s="17"/>
      <c r="J287" s="17"/>
      <c r="K287" s="17"/>
      <c r="L287" s="17"/>
      <c r="M287" s="17"/>
      <c r="N287" s="17"/>
      <c r="O287" s="17"/>
      <c r="P287" s="17"/>
      <c r="Q287" s="17"/>
      <c r="R287" s="17"/>
      <c r="S287" s="17"/>
      <c r="T287" s="17"/>
      <c r="U287" s="17"/>
      <c r="V287" s="12"/>
      <c r="W287" s="12"/>
      <c r="X287" s="12"/>
      <c r="Y287" s="12"/>
      <c r="Z287" s="12"/>
    </row>
    <row r="288" spans="1:26" ht="15" customHeight="1" x14ac:dyDescent="0.3">
      <c r="A288" s="26"/>
      <c r="B288" s="17"/>
      <c r="C288" s="17"/>
      <c r="D288" s="17"/>
      <c r="E288" s="17"/>
      <c r="F288" s="17"/>
      <c r="G288" s="17"/>
      <c r="H288" s="17"/>
      <c r="I288" s="17"/>
      <c r="J288" s="17"/>
      <c r="K288" s="17"/>
      <c r="L288" s="17"/>
      <c r="M288" s="17"/>
      <c r="N288" s="17"/>
      <c r="O288" s="17"/>
      <c r="P288" s="17"/>
      <c r="Q288" s="17"/>
      <c r="R288" s="17"/>
      <c r="S288" s="17"/>
      <c r="T288" s="17"/>
      <c r="U288" s="17"/>
      <c r="V288" s="12"/>
      <c r="W288" s="12"/>
      <c r="X288" s="12"/>
      <c r="Y288" s="12"/>
      <c r="Z288" s="12"/>
    </row>
    <row r="289" spans="1:26" ht="15" customHeight="1" x14ac:dyDescent="0.3">
      <c r="A289" s="26"/>
      <c r="B289" s="17"/>
      <c r="C289" s="17"/>
      <c r="D289" s="17"/>
      <c r="E289" s="17"/>
      <c r="F289" s="17"/>
      <c r="G289" s="17"/>
      <c r="H289" s="17"/>
      <c r="I289" s="17"/>
      <c r="J289" s="17"/>
      <c r="K289" s="17"/>
      <c r="L289" s="17"/>
      <c r="M289" s="17"/>
      <c r="N289" s="17"/>
      <c r="O289" s="17"/>
      <c r="P289" s="17"/>
      <c r="Q289" s="17"/>
      <c r="R289" s="17"/>
      <c r="S289" s="17"/>
      <c r="T289" s="17"/>
      <c r="U289" s="17"/>
      <c r="V289" s="12"/>
      <c r="W289" s="12"/>
      <c r="X289" s="12"/>
      <c r="Y289" s="12"/>
      <c r="Z289" s="12"/>
    </row>
    <row r="290" spans="1:26" ht="15" customHeight="1" x14ac:dyDescent="0.3">
      <c r="A290" s="27"/>
      <c r="B290" s="19"/>
      <c r="C290" s="19"/>
      <c r="D290" s="19"/>
      <c r="E290" s="19"/>
      <c r="F290" s="19"/>
      <c r="G290" s="19"/>
      <c r="H290" s="19"/>
      <c r="I290" s="19"/>
      <c r="J290" s="19"/>
      <c r="K290" s="17"/>
      <c r="L290" s="17"/>
      <c r="M290" s="17"/>
      <c r="N290" s="17"/>
      <c r="O290" s="17"/>
      <c r="P290" s="17"/>
      <c r="Q290" s="17"/>
      <c r="R290" s="17"/>
      <c r="S290" s="17"/>
      <c r="T290" s="17"/>
      <c r="U290" s="17"/>
      <c r="V290" s="12"/>
      <c r="W290" s="12"/>
      <c r="X290" s="12"/>
      <c r="Y290" s="12"/>
      <c r="Z290" s="12"/>
    </row>
    <row r="291" spans="1:26" ht="15" customHeight="1" x14ac:dyDescent="0.3">
      <c r="A291" s="26"/>
      <c r="B291" s="17"/>
      <c r="C291" s="17"/>
      <c r="D291" s="17"/>
      <c r="E291" s="17"/>
      <c r="F291" s="17"/>
      <c r="G291" s="17"/>
      <c r="H291" s="17"/>
      <c r="I291" s="17"/>
      <c r="J291" s="17"/>
      <c r="K291" s="17"/>
      <c r="L291" s="17"/>
      <c r="M291" s="17"/>
      <c r="N291" s="17"/>
      <c r="O291" s="17"/>
      <c r="P291" s="17"/>
      <c r="Q291" s="17"/>
      <c r="R291" s="17"/>
      <c r="S291" s="17"/>
      <c r="T291" s="17"/>
      <c r="U291" s="17"/>
      <c r="V291" s="12"/>
      <c r="W291" s="12"/>
      <c r="X291" s="12"/>
      <c r="Y291" s="12"/>
      <c r="Z291" s="12"/>
    </row>
    <row r="292" spans="1:26" ht="15" customHeight="1" x14ac:dyDescent="0.3">
      <c r="A292" s="26"/>
      <c r="B292" s="17"/>
      <c r="C292" s="17"/>
      <c r="D292" s="17"/>
      <c r="E292" s="17"/>
      <c r="F292" s="17"/>
      <c r="G292" s="17"/>
      <c r="H292" s="17"/>
      <c r="I292" s="17"/>
      <c r="J292" s="17"/>
      <c r="K292" s="17"/>
      <c r="L292" s="17"/>
      <c r="M292" s="17"/>
      <c r="N292" s="17"/>
      <c r="O292" s="17"/>
      <c r="P292" s="17"/>
      <c r="Q292" s="17"/>
      <c r="R292" s="17"/>
      <c r="S292" s="17"/>
      <c r="T292" s="17"/>
      <c r="U292" s="17"/>
      <c r="V292" s="12"/>
      <c r="W292" s="12"/>
      <c r="X292" s="12"/>
      <c r="Y292" s="12"/>
      <c r="Z292" s="12"/>
    </row>
    <row r="293" spans="1:26" ht="15" customHeight="1" x14ac:dyDescent="0.3">
      <c r="A293" s="26"/>
      <c r="B293" s="17"/>
      <c r="C293" s="17"/>
      <c r="D293" s="17"/>
      <c r="E293" s="17"/>
      <c r="F293" s="17"/>
      <c r="G293" s="17"/>
      <c r="H293" s="17"/>
      <c r="I293" s="17"/>
      <c r="J293" s="17"/>
      <c r="K293" s="17"/>
      <c r="L293" s="17"/>
      <c r="M293" s="17"/>
      <c r="N293" s="17"/>
      <c r="O293" s="17"/>
      <c r="P293" s="17"/>
      <c r="Q293" s="17"/>
      <c r="R293" s="17"/>
      <c r="S293" s="17"/>
      <c r="T293" s="17"/>
      <c r="U293" s="17"/>
      <c r="V293" s="12"/>
      <c r="W293" s="12"/>
      <c r="X293" s="12"/>
      <c r="Y293" s="12"/>
      <c r="Z293" s="12"/>
    </row>
    <row r="294" spans="1:26" ht="15" customHeight="1" x14ac:dyDescent="0.3">
      <c r="A294" s="26"/>
      <c r="B294" s="17"/>
      <c r="C294" s="17"/>
      <c r="D294" s="17"/>
      <c r="E294" s="17"/>
      <c r="F294" s="17"/>
      <c r="G294" s="17"/>
      <c r="H294" s="17"/>
      <c r="I294" s="17"/>
      <c r="J294" s="17"/>
      <c r="K294" s="17"/>
      <c r="L294" s="17"/>
      <c r="M294" s="17"/>
      <c r="N294" s="17"/>
      <c r="O294" s="17"/>
      <c r="P294" s="17"/>
      <c r="Q294" s="17"/>
      <c r="R294" s="17"/>
      <c r="S294" s="17"/>
      <c r="T294" s="17"/>
      <c r="U294" s="17"/>
      <c r="V294" s="12"/>
      <c r="W294" s="12"/>
      <c r="X294" s="12"/>
      <c r="Y294" s="12"/>
      <c r="Z294" s="12"/>
    </row>
    <row r="295" spans="1:26" ht="15" customHeight="1" x14ac:dyDescent="0.3">
      <c r="A295" s="26"/>
      <c r="B295" s="17"/>
      <c r="C295" s="17"/>
      <c r="D295" s="17"/>
      <c r="E295" s="17"/>
      <c r="F295" s="17"/>
      <c r="G295" s="17"/>
      <c r="H295" s="17"/>
      <c r="I295" s="17"/>
      <c r="J295" s="17"/>
      <c r="K295" s="17"/>
      <c r="L295" s="17"/>
      <c r="M295" s="17"/>
      <c r="N295" s="17"/>
      <c r="O295" s="17"/>
      <c r="P295" s="17"/>
      <c r="Q295" s="17"/>
      <c r="R295" s="17"/>
      <c r="S295" s="17"/>
      <c r="T295" s="17"/>
      <c r="U295" s="17"/>
      <c r="V295" s="12"/>
      <c r="W295" s="12"/>
      <c r="X295" s="12"/>
      <c r="Y295" s="12"/>
      <c r="Z295" s="12"/>
    </row>
    <row r="296" spans="1:26" ht="15" customHeight="1" x14ac:dyDescent="0.3">
      <c r="A296" s="26"/>
      <c r="B296" s="17"/>
      <c r="C296" s="17"/>
      <c r="D296" s="17"/>
      <c r="E296" s="17"/>
      <c r="F296" s="17"/>
      <c r="G296" s="17"/>
      <c r="H296" s="17"/>
      <c r="I296" s="17"/>
      <c r="J296" s="17"/>
      <c r="K296" s="17"/>
      <c r="L296" s="17"/>
      <c r="M296" s="17"/>
      <c r="N296" s="17"/>
      <c r="O296" s="17"/>
      <c r="P296" s="17"/>
      <c r="Q296" s="17"/>
      <c r="R296" s="17"/>
      <c r="S296" s="17"/>
      <c r="T296" s="17"/>
      <c r="U296" s="17"/>
      <c r="V296" s="12"/>
      <c r="W296" s="12"/>
      <c r="X296" s="12"/>
      <c r="Y296" s="12"/>
      <c r="Z296" s="12"/>
    </row>
    <row r="297" spans="1:26" ht="15" customHeight="1" x14ac:dyDescent="0.3">
      <c r="A297" s="26"/>
      <c r="B297" s="17"/>
      <c r="C297" s="17"/>
      <c r="D297" s="17"/>
      <c r="E297" s="17"/>
      <c r="F297" s="17"/>
      <c r="G297" s="17"/>
      <c r="H297" s="17"/>
      <c r="I297" s="17"/>
      <c r="J297" s="17"/>
      <c r="K297" s="17"/>
      <c r="L297" s="17"/>
      <c r="M297" s="17"/>
      <c r="N297" s="17"/>
      <c r="O297" s="17"/>
      <c r="P297" s="17"/>
      <c r="Q297" s="17"/>
      <c r="R297" s="17"/>
      <c r="S297" s="17"/>
      <c r="T297" s="17"/>
      <c r="U297" s="17"/>
      <c r="V297" s="12"/>
      <c r="W297" s="12"/>
      <c r="X297" s="12"/>
      <c r="Y297" s="12"/>
      <c r="Z297" s="12"/>
    </row>
    <row r="298" spans="1:26" ht="15" customHeight="1" x14ac:dyDescent="0.3">
      <c r="A298" s="26"/>
      <c r="B298" s="17"/>
      <c r="C298" s="17"/>
      <c r="D298" s="17"/>
      <c r="E298" s="17"/>
      <c r="F298" s="17"/>
      <c r="G298" s="17"/>
      <c r="H298" s="17"/>
      <c r="I298" s="17"/>
      <c r="J298" s="17"/>
      <c r="K298" s="17"/>
      <c r="L298" s="17"/>
      <c r="M298" s="17"/>
      <c r="N298" s="17"/>
      <c r="O298" s="17"/>
      <c r="P298" s="17"/>
      <c r="Q298" s="17"/>
      <c r="R298" s="17"/>
      <c r="S298" s="17"/>
      <c r="T298" s="17"/>
      <c r="U298" s="17"/>
      <c r="V298" s="12"/>
      <c r="W298" s="12"/>
      <c r="X298" s="12"/>
      <c r="Y298" s="12"/>
      <c r="Z298" s="12"/>
    </row>
    <row r="299" spans="1:26" ht="15" customHeight="1" x14ac:dyDescent="0.3">
      <c r="A299" s="26"/>
      <c r="B299" s="17"/>
      <c r="C299" s="17"/>
      <c r="D299" s="17"/>
      <c r="E299" s="17"/>
      <c r="F299" s="17"/>
      <c r="G299" s="17"/>
      <c r="H299" s="17"/>
      <c r="I299" s="17"/>
      <c r="J299" s="17"/>
      <c r="K299" s="17"/>
      <c r="L299" s="17"/>
      <c r="M299" s="17"/>
      <c r="N299" s="17"/>
      <c r="O299" s="17"/>
      <c r="P299" s="17"/>
      <c r="Q299" s="17"/>
      <c r="R299" s="17"/>
      <c r="S299" s="17"/>
      <c r="T299" s="17"/>
      <c r="U299" s="17"/>
      <c r="V299" s="12"/>
      <c r="W299" s="12"/>
      <c r="X299" s="12"/>
      <c r="Y299" s="12"/>
      <c r="Z299" s="12"/>
    </row>
    <row r="300" spans="1:26" ht="15" customHeight="1" x14ac:dyDescent="0.3">
      <c r="A300" s="26"/>
      <c r="B300" s="17"/>
      <c r="C300" s="17"/>
      <c r="D300" s="17"/>
      <c r="E300" s="17"/>
      <c r="F300" s="17"/>
      <c r="G300" s="17"/>
      <c r="H300" s="17"/>
      <c r="I300" s="17"/>
      <c r="J300" s="17"/>
      <c r="K300" s="17"/>
      <c r="L300" s="17"/>
      <c r="M300" s="17"/>
      <c r="N300" s="17"/>
      <c r="O300" s="17"/>
      <c r="P300" s="17"/>
      <c r="Q300" s="17"/>
      <c r="R300" s="17"/>
      <c r="S300" s="17"/>
      <c r="T300" s="17"/>
      <c r="U300" s="17"/>
      <c r="V300" s="12"/>
      <c r="W300" s="12"/>
      <c r="X300" s="12"/>
      <c r="Y300" s="12"/>
      <c r="Z300" s="12"/>
    </row>
    <row r="301" spans="1:26" ht="15" customHeight="1" x14ac:dyDescent="0.3">
      <c r="A301" s="26"/>
      <c r="B301" s="17"/>
      <c r="C301" s="17"/>
      <c r="D301" s="17"/>
      <c r="E301" s="17"/>
      <c r="F301" s="17"/>
      <c r="G301" s="17"/>
      <c r="H301" s="17"/>
      <c r="I301" s="17"/>
      <c r="J301" s="17"/>
      <c r="K301" s="17"/>
      <c r="L301" s="17"/>
      <c r="M301" s="17"/>
      <c r="N301" s="17"/>
      <c r="O301" s="17"/>
      <c r="P301" s="17"/>
      <c r="Q301" s="17"/>
      <c r="R301" s="17"/>
      <c r="S301" s="17"/>
      <c r="T301" s="17"/>
      <c r="U301" s="17"/>
      <c r="V301" s="12"/>
      <c r="W301" s="12"/>
      <c r="X301" s="12"/>
      <c r="Y301" s="12"/>
      <c r="Z301" s="12"/>
    </row>
    <row r="302" spans="1:26" ht="15" customHeight="1" x14ac:dyDescent="0.3">
      <c r="A302" s="26"/>
      <c r="B302" s="17"/>
      <c r="C302" s="17"/>
      <c r="D302" s="17"/>
      <c r="E302" s="17"/>
      <c r="F302" s="17"/>
      <c r="G302" s="17"/>
      <c r="H302" s="17"/>
      <c r="I302" s="17"/>
      <c r="J302" s="17"/>
      <c r="K302" s="17"/>
      <c r="L302" s="17"/>
      <c r="M302" s="17"/>
      <c r="N302" s="17"/>
      <c r="O302" s="17"/>
      <c r="P302" s="17"/>
      <c r="Q302" s="17"/>
      <c r="R302" s="17"/>
      <c r="S302" s="17"/>
      <c r="T302" s="17"/>
      <c r="U302" s="17"/>
      <c r="V302" s="12"/>
      <c r="W302" s="12"/>
      <c r="X302" s="12"/>
      <c r="Y302" s="12"/>
      <c r="Z302" s="12"/>
    </row>
    <row r="303" spans="1:26" ht="15" customHeight="1" x14ac:dyDescent="0.3">
      <c r="A303" s="26"/>
      <c r="B303" s="17"/>
      <c r="C303" s="17"/>
      <c r="D303" s="17"/>
      <c r="E303" s="17"/>
      <c r="F303" s="17"/>
      <c r="G303" s="17"/>
      <c r="H303" s="17"/>
      <c r="I303" s="17"/>
      <c r="J303" s="17"/>
      <c r="K303" s="17"/>
      <c r="L303" s="17"/>
      <c r="M303" s="17"/>
      <c r="N303" s="17"/>
      <c r="O303" s="17"/>
      <c r="P303" s="17"/>
      <c r="Q303" s="17"/>
      <c r="R303" s="17"/>
      <c r="S303" s="17"/>
      <c r="T303" s="17"/>
      <c r="U303" s="17"/>
      <c r="V303" s="12"/>
      <c r="W303" s="12"/>
      <c r="X303" s="12"/>
      <c r="Y303" s="12"/>
      <c r="Z303" s="12"/>
    </row>
    <row r="304" spans="1:26" ht="15" customHeight="1" x14ac:dyDescent="0.3">
      <c r="A304" s="26"/>
      <c r="B304" s="17"/>
      <c r="C304" s="17"/>
      <c r="D304" s="17"/>
      <c r="E304" s="17"/>
      <c r="F304" s="17"/>
      <c r="G304" s="17"/>
      <c r="H304" s="17"/>
      <c r="I304" s="17"/>
      <c r="J304" s="17"/>
      <c r="K304" s="17"/>
      <c r="L304" s="17"/>
      <c r="M304" s="17"/>
      <c r="N304" s="17"/>
      <c r="O304" s="17"/>
      <c r="P304" s="17"/>
      <c r="Q304" s="17"/>
      <c r="R304" s="17"/>
      <c r="S304" s="17"/>
      <c r="T304" s="17"/>
      <c r="U304" s="17"/>
      <c r="V304" s="12"/>
      <c r="W304" s="12"/>
      <c r="X304" s="12"/>
      <c r="Y304" s="12"/>
      <c r="Z304" s="12"/>
    </row>
    <row r="305" spans="1:26" ht="15" customHeight="1" x14ac:dyDescent="0.3">
      <c r="A305" s="26"/>
      <c r="B305" s="17"/>
      <c r="C305" s="17"/>
      <c r="D305" s="17"/>
      <c r="E305" s="17"/>
      <c r="F305" s="17"/>
      <c r="G305" s="17"/>
      <c r="H305" s="17"/>
      <c r="I305" s="17"/>
      <c r="J305" s="17"/>
      <c r="K305" s="17"/>
      <c r="L305" s="17"/>
      <c r="M305" s="17"/>
      <c r="N305" s="17"/>
      <c r="O305" s="17"/>
      <c r="P305" s="17"/>
      <c r="Q305" s="17"/>
      <c r="R305" s="17"/>
      <c r="S305" s="17"/>
      <c r="T305" s="17"/>
      <c r="U305" s="17"/>
      <c r="V305" s="12"/>
      <c r="W305" s="12"/>
      <c r="X305" s="12"/>
      <c r="Y305" s="12"/>
      <c r="Z305" s="12"/>
    </row>
    <row r="306" spans="1:26" ht="15" customHeight="1" x14ac:dyDescent="0.3">
      <c r="A306" s="26"/>
      <c r="B306" s="17"/>
      <c r="C306" s="17"/>
      <c r="D306" s="17"/>
      <c r="E306" s="17"/>
      <c r="F306" s="17"/>
      <c r="G306" s="17"/>
      <c r="H306" s="17"/>
      <c r="I306" s="17"/>
      <c r="J306" s="17"/>
      <c r="K306" s="17"/>
      <c r="L306" s="17"/>
      <c r="M306" s="17"/>
      <c r="N306" s="17"/>
      <c r="O306" s="17"/>
      <c r="P306" s="17"/>
      <c r="Q306" s="17"/>
      <c r="R306" s="17"/>
      <c r="S306" s="17"/>
      <c r="T306" s="17"/>
      <c r="U306" s="17"/>
      <c r="V306" s="12"/>
      <c r="W306" s="12"/>
      <c r="X306" s="12"/>
      <c r="Y306" s="12"/>
      <c r="Z306" s="12"/>
    </row>
    <row r="307" spans="1:26" ht="15" customHeight="1" x14ac:dyDescent="0.3">
      <c r="A307" s="26"/>
      <c r="B307" s="17"/>
      <c r="C307" s="17"/>
      <c r="D307" s="17"/>
      <c r="E307" s="17"/>
      <c r="F307" s="17"/>
      <c r="G307" s="17"/>
      <c r="H307" s="17"/>
      <c r="I307" s="17"/>
      <c r="J307" s="17"/>
      <c r="K307" s="17"/>
      <c r="L307" s="17"/>
      <c r="M307" s="17"/>
      <c r="N307" s="17"/>
      <c r="O307" s="17"/>
      <c r="P307" s="17"/>
      <c r="Q307" s="17"/>
      <c r="R307" s="17"/>
      <c r="S307" s="17"/>
      <c r="T307" s="17"/>
      <c r="U307" s="17"/>
      <c r="V307" s="12"/>
      <c r="W307" s="12"/>
      <c r="X307" s="12"/>
      <c r="Y307" s="12"/>
      <c r="Z307" s="12"/>
    </row>
    <row r="308" spans="1:26" ht="15" customHeight="1" x14ac:dyDescent="0.3">
      <c r="A308" s="26"/>
      <c r="B308" s="17"/>
      <c r="C308" s="17"/>
      <c r="D308" s="17"/>
      <c r="E308" s="17"/>
      <c r="F308" s="17"/>
      <c r="G308" s="17"/>
      <c r="H308" s="17"/>
      <c r="I308" s="17"/>
      <c r="J308" s="17"/>
      <c r="K308" s="17"/>
      <c r="L308" s="17"/>
      <c r="M308" s="17"/>
      <c r="N308" s="17"/>
      <c r="O308" s="17"/>
      <c r="P308" s="17"/>
      <c r="Q308" s="17"/>
      <c r="R308" s="17"/>
      <c r="S308" s="17"/>
      <c r="T308" s="17"/>
      <c r="U308" s="17"/>
      <c r="V308" s="12"/>
      <c r="W308" s="12"/>
      <c r="X308" s="12"/>
      <c r="Y308" s="12"/>
      <c r="Z308" s="12"/>
    </row>
    <row r="309" spans="1:26" ht="15" customHeight="1" x14ac:dyDescent="0.3">
      <c r="A309" s="26"/>
      <c r="B309" s="17"/>
      <c r="C309" s="17"/>
      <c r="D309" s="17"/>
      <c r="E309" s="17"/>
      <c r="F309" s="17"/>
      <c r="G309" s="17"/>
      <c r="H309" s="17"/>
      <c r="I309" s="17"/>
      <c r="J309" s="17"/>
      <c r="K309" s="17"/>
      <c r="L309" s="17"/>
      <c r="M309" s="17"/>
      <c r="N309" s="17"/>
      <c r="O309" s="17"/>
      <c r="P309" s="17"/>
      <c r="Q309" s="17"/>
      <c r="R309" s="17"/>
      <c r="S309" s="17"/>
      <c r="T309" s="17"/>
      <c r="U309" s="17"/>
      <c r="V309" s="12"/>
      <c r="W309" s="12"/>
      <c r="X309" s="12"/>
      <c r="Y309" s="12"/>
      <c r="Z309" s="12"/>
    </row>
    <row r="310" spans="1:26" ht="15" customHeight="1" x14ac:dyDescent="0.3">
      <c r="A310" s="26"/>
      <c r="B310" s="17"/>
      <c r="C310" s="17"/>
      <c r="D310" s="17"/>
      <c r="E310" s="17"/>
      <c r="F310" s="17"/>
      <c r="G310" s="17"/>
      <c r="H310" s="17"/>
      <c r="I310" s="17"/>
      <c r="J310" s="17"/>
      <c r="K310" s="17"/>
      <c r="L310" s="17"/>
      <c r="M310" s="17"/>
      <c r="N310" s="17"/>
      <c r="O310" s="17"/>
      <c r="P310" s="17"/>
      <c r="Q310" s="17"/>
      <c r="R310" s="17"/>
      <c r="S310" s="17"/>
      <c r="T310" s="17"/>
      <c r="U310" s="17"/>
      <c r="V310" s="12"/>
      <c r="W310" s="12"/>
      <c r="X310" s="12"/>
      <c r="Y310" s="12"/>
      <c r="Z310" s="12"/>
    </row>
    <row r="311" spans="1:26" ht="15" customHeight="1" x14ac:dyDescent="0.3">
      <c r="A311" s="26"/>
      <c r="B311" s="17"/>
      <c r="C311" s="17"/>
      <c r="D311" s="17"/>
      <c r="E311" s="17"/>
      <c r="F311" s="17"/>
      <c r="G311" s="17"/>
      <c r="H311" s="17"/>
      <c r="I311" s="17"/>
      <c r="J311" s="17"/>
      <c r="K311" s="17"/>
      <c r="L311" s="17"/>
      <c r="M311" s="17"/>
      <c r="N311" s="17"/>
      <c r="O311" s="17"/>
      <c r="P311" s="17"/>
      <c r="Q311" s="17"/>
      <c r="R311" s="17"/>
      <c r="S311" s="17"/>
      <c r="T311" s="17"/>
      <c r="U311" s="17"/>
      <c r="V311" s="12"/>
      <c r="W311" s="12"/>
      <c r="X311" s="12"/>
      <c r="Y311" s="12"/>
      <c r="Z311" s="12"/>
    </row>
    <row r="312" spans="1:26" ht="15" customHeight="1" x14ac:dyDescent="0.3">
      <c r="A312" s="26"/>
      <c r="B312" s="17"/>
      <c r="C312" s="17"/>
      <c r="D312" s="17"/>
      <c r="E312" s="17"/>
      <c r="F312" s="17"/>
      <c r="G312" s="17"/>
      <c r="H312" s="17"/>
      <c r="I312" s="17"/>
      <c r="J312" s="17"/>
      <c r="K312" s="17"/>
      <c r="L312" s="17"/>
      <c r="M312" s="17"/>
      <c r="N312" s="17"/>
      <c r="O312" s="17"/>
      <c r="P312" s="17"/>
      <c r="Q312" s="17"/>
      <c r="R312" s="17"/>
      <c r="S312" s="17"/>
      <c r="T312" s="17"/>
      <c r="U312" s="17"/>
      <c r="V312" s="12"/>
      <c r="W312" s="12"/>
      <c r="X312" s="12"/>
      <c r="Y312" s="12"/>
      <c r="Z312" s="12"/>
    </row>
    <row r="313" spans="1:26" ht="15" customHeight="1" x14ac:dyDescent="0.3">
      <c r="A313" s="26"/>
      <c r="B313" s="17"/>
      <c r="C313" s="17"/>
      <c r="D313" s="17"/>
      <c r="E313" s="17"/>
      <c r="F313" s="17"/>
      <c r="G313" s="17"/>
      <c r="H313" s="17"/>
      <c r="I313" s="17"/>
      <c r="J313" s="17"/>
      <c r="K313" s="17"/>
      <c r="L313" s="17"/>
      <c r="M313" s="17"/>
      <c r="N313" s="17"/>
      <c r="O313" s="17"/>
      <c r="P313" s="17"/>
      <c r="Q313" s="17"/>
      <c r="R313" s="17"/>
      <c r="S313" s="17"/>
      <c r="T313" s="17"/>
      <c r="U313" s="17"/>
      <c r="V313" s="12"/>
      <c r="W313" s="12"/>
      <c r="X313" s="12"/>
      <c r="Y313" s="12"/>
      <c r="Z313" s="12"/>
    </row>
    <row r="314" spans="1:26" ht="15" customHeight="1" x14ac:dyDescent="0.3">
      <c r="A314" s="26"/>
      <c r="B314" s="17"/>
      <c r="C314" s="17"/>
      <c r="D314" s="17"/>
      <c r="E314" s="17"/>
      <c r="F314" s="17"/>
      <c r="G314" s="17"/>
      <c r="H314" s="17"/>
      <c r="I314" s="17"/>
      <c r="J314" s="17"/>
      <c r="K314" s="17"/>
      <c r="L314" s="17"/>
      <c r="M314" s="17"/>
      <c r="N314" s="17"/>
      <c r="O314" s="17"/>
      <c r="P314" s="17"/>
      <c r="Q314" s="17"/>
      <c r="R314" s="17"/>
      <c r="S314" s="17"/>
      <c r="T314" s="17"/>
      <c r="U314" s="17"/>
      <c r="V314" s="12"/>
      <c r="W314" s="12"/>
      <c r="X314" s="12"/>
      <c r="Y314" s="12"/>
      <c r="Z314" s="12"/>
    </row>
    <row r="315" spans="1:26" ht="15" customHeight="1" x14ac:dyDescent="0.3">
      <c r="A315" s="26"/>
      <c r="B315" s="17"/>
      <c r="C315" s="17"/>
      <c r="D315" s="17"/>
      <c r="E315" s="17"/>
      <c r="F315" s="17"/>
      <c r="G315" s="17"/>
      <c r="H315" s="17"/>
      <c r="I315" s="17"/>
      <c r="J315" s="17"/>
      <c r="K315" s="17"/>
      <c r="L315" s="17"/>
      <c r="M315" s="17"/>
      <c r="N315" s="17"/>
      <c r="O315" s="17"/>
      <c r="P315" s="17"/>
      <c r="Q315" s="17"/>
      <c r="R315" s="17"/>
      <c r="S315" s="17"/>
      <c r="T315" s="17"/>
      <c r="U315" s="17"/>
      <c r="V315" s="12"/>
      <c r="W315" s="12"/>
      <c r="X315" s="12"/>
      <c r="Y315" s="12"/>
      <c r="Z315" s="12"/>
    </row>
    <row r="316" spans="1:26" ht="15" customHeight="1" x14ac:dyDescent="0.3">
      <c r="A316" s="26"/>
      <c r="B316" s="17"/>
      <c r="C316" s="17"/>
      <c r="D316" s="17"/>
      <c r="E316" s="17"/>
      <c r="F316" s="17"/>
      <c r="G316" s="17"/>
      <c r="H316" s="17"/>
      <c r="I316" s="17"/>
      <c r="J316" s="17"/>
      <c r="K316" s="17"/>
      <c r="L316" s="17"/>
      <c r="M316" s="17"/>
      <c r="N316" s="17"/>
      <c r="O316" s="17"/>
      <c r="P316" s="17"/>
      <c r="Q316" s="17"/>
      <c r="R316" s="17"/>
      <c r="S316" s="17"/>
      <c r="T316" s="17"/>
      <c r="U316" s="17"/>
      <c r="V316" s="12"/>
      <c r="W316" s="12"/>
      <c r="X316" s="12"/>
      <c r="Y316" s="12"/>
      <c r="Z316" s="12"/>
    </row>
    <row r="317" spans="1:26" ht="15" customHeight="1" x14ac:dyDescent="0.3">
      <c r="A317" s="26"/>
      <c r="B317" s="17"/>
      <c r="C317" s="17"/>
      <c r="D317" s="17"/>
      <c r="E317" s="17"/>
      <c r="F317" s="17"/>
      <c r="G317" s="17"/>
      <c r="H317" s="17"/>
      <c r="I317" s="17"/>
      <c r="J317" s="17"/>
      <c r="K317" s="17"/>
      <c r="L317" s="17"/>
      <c r="M317" s="17"/>
      <c r="N317" s="17"/>
      <c r="O317" s="17"/>
      <c r="P317" s="17"/>
      <c r="Q317" s="17"/>
      <c r="R317" s="17"/>
      <c r="S317" s="17"/>
      <c r="T317" s="17"/>
      <c r="U317" s="17"/>
      <c r="V317" s="12"/>
      <c r="W317" s="12"/>
      <c r="X317" s="12"/>
      <c r="Y317" s="12"/>
      <c r="Z317" s="12"/>
    </row>
    <row r="318" spans="1:26" ht="15" customHeight="1" x14ac:dyDescent="0.3">
      <c r="A318" s="26"/>
      <c r="B318" s="17"/>
      <c r="C318" s="17"/>
      <c r="D318" s="17"/>
      <c r="E318" s="17"/>
      <c r="F318" s="17"/>
      <c r="G318" s="17"/>
      <c r="H318" s="17"/>
      <c r="I318" s="17"/>
      <c r="J318" s="17"/>
      <c r="K318" s="17"/>
      <c r="L318" s="17"/>
      <c r="M318" s="17"/>
      <c r="N318" s="17"/>
      <c r="O318" s="17"/>
      <c r="P318" s="17"/>
      <c r="Q318" s="17"/>
      <c r="R318" s="17"/>
      <c r="S318" s="17"/>
      <c r="T318" s="17"/>
      <c r="U318" s="17"/>
      <c r="V318" s="12"/>
      <c r="W318" s="12"/>
      <c r="X318" s="12"/>
      <c r="Y318" s="12"/>
      <c r="Z318" s="12"/>
    </row>
    <row r="319" spans="1:26" ht="15" customHeight="1" x14ac:dyDescent="0.3">
      <c r="A319" s="26"/>
      <c r="B319" s="17"/>
      <c r="C319" s="17"/>
      <c r="D319" s="17"/>
      <c r="E319" s="17"/>
      <c r="F319" s="17"/>
      <c r="G319" s="17"/>
      <c r="H319" s="17"/>
      <c r="I319" s="17"/>
      <c r="J319" s="17"/>
      <c r="K319" s="17"/>
      <c r="L319" s="17"/>
      <c r="M319" s="17"/>
      <c r="N319" s="17"/>
      <c r="O319" s="17"/>
      <c r="P319" s="17"/>
      <c r="Q319" s="17"/>
      <c r="R319" s="17"/>
      <c r="S319" s="17"/>
      <c r="T319" s="17"/>
      <c r="U319" s="17"/>
      <c r="V319" s="12"/>
      <c r="W319" s="12"/>
      <c r="X319" s="12"/>
      <c r="Y319" s="12"/>
      <c r="Z319" s="12"/>
    </row>
    <row r="320" spans="1:26" ht="15" customHeight="1" x14ac:dyDescent="0.3">
      <c r="A320" s="26"/>
      <c r="B320" s="17"/>
      <c r="C320" s="17"/>
      <c r="D320" s="17"/>
      <c r="E320" s="17"/>
      <c r="F320" s="17"/>
      <c r="G320" s="17"/>
      <c r="H320" s="17"/>
      <c r="I320" s="17"/>
      <c r="J320" s="17"/>
      <c r="K320" s="17"/>
      <c r="L320" s="17"/>
      <c r="M320" s="17"/>
      <c r="N320" s="17"/>
      <c r="O320" s="17"/>
      <c r="P320" s="17"/>
      <c r="Q320" s="17"/>
      <c r="R320" s="17"/>
      <c r="S320" s="17"/>
      <c r="T320" s="17"/>
      <c r="U320" s="17"/>
      <c r="V320" s="12"/>
      <c r="W320" s="12"/>
      <c r="X320" s="12"/>
      <c r="Y320" s="12"/>
      <c r="Z320" s="12"/>
    </row>
    <row r="321" spans="1:26" ht="15" customHeight="1" x14ac:dyDescent="0.3">
      <c r="A321" s="26"/>
      <c r="B321" s="17"/>
      <c r="C321" s="17"/>
      <c r="D321" s="17"/>
      <c r="E321" s="17"/>
      <c r="F321" s="17"/>
      <c r="G321" s="17"/>
      <c r="H321" s="17"/>
      <c r="I321" s="17"/>
      <c r="J321" s="17"/>
      <c r="K321" s="17"/>
      <c r="L321" s="17"/>
      <c r="M321" s="17"/>
      <c r="N321" s="17"/>
      <c r="O321" s="17"/>
      <c r="P321" s="17"/>
      <c r="Q321" s="17"/>
      <c r="R321" s="17"/>
      <c r="S321" s="17"/>
      <c r="T321" s="17"/>
      <c r="U321" s="17"/>
      <c r="V321" s="12"/>
      <c r="W321" s="12"/>
      <c r="X321" s="12"/>
      <c r="Y321" s="12"/>
      <c r="Z321" s="12"/>
    </row>
    <row r="322" spans="1:26" ht="15" customHeight="1" x14ac:dyDescent="0.3">
      <c r="A322" s="26"/>
      <c r="B322" s="17"/>
      <c r="C322" s="17"/>
      <c r="D322" s="17"/>
      <c r="E322" s="17"/>
      <c r="F322" s="17"/>
      <c r="G322" s="17"/>
      <c r="H322" s="17"/>
      <c r="I322" s="17"/>
      <c r="J322" s="17"/>
      <c r="K322" s="17"/>
      <c r="L322" s="17"/>
      <c r="M322" s="17"/>
      <c r="N322" s="17"/>
      <c r="O322" s="17"/>
      <c r="P322" s="17"/>
      <c r="Q322" s="17"/>
      <c r="R322" s="17"/>
      <c r="S322" s="17"/>
      <c r="T322" s="17"/>
      <c r="U322" s="17"/>
      <c r="V322" s="12"/>
      <c r="W322" s="12"/>
      <c r="X322" s="12"/>
      <c r="Y322" s="12"/>
      <c r="Z322" s="12"/>
    </row>
    <row r="323" spans="1:26" ht="15" customHeight="1" x14ac:dyDescent="0.3">
      <c r="A323" s="26"/>
      <c r="B323" s="17"/>
      <c r="C323" s="17"/>
      <c r="D323" s="17"/>
      <c r="E323" s="17"/>
      <c r="F323" s="17"/>
      <c r="G323" s="17"/>
      <c r="H323" s="17"/>
      <c r="I323" s="17"/>
      <c r="J323" s="17"/>
      <c r="K323" s="17"/>
      <c r="L323" s="17"/>
      <c r="M323" s="17"/>
      <c r="N323" s="17"/>
      <c r="O323" s="17"/>
      <c r="P323" s="17"/>
      <c r="Q323" s="17"/>
      <c r="R323" s="17"/>
      <c r="S323" s="17"/>
      <c r="T323" s="17"/>
      <c r="U323" s="17"/>
      <c r="V323" s="12"/>
      <c r="W323" s="12"/>
      <c r="X323" s="12"/>
      <c r="Y323" s="12"/>
      <c r="Z323" s="12"/>
    </row>
    <row r="324" spans="1:26" ht="15" customHeight="1" x14ac:dyDescent="0.3">
      <c r="A324" s="26"/>
      <c r="B324" s="17"/>
      <c r="C324" s="17"/>
      <c r="D324" s="17"/>
      <c r="E324" s="17"/>
      <c r="F324" s="17"/>
      <c r="G324" s="17"/>
      <c r="H324" s="17"/>
      <c r="I324" s="17"/>
      <c r="J324" s="17"/>
      <c r="K324" s="17"/>
      <c r="L324" s="17"/>
      <c r="M324" s="17"/>
      <c r="N324" s="17"/>
      <c r="O324" s="17"/>
      <c r="P324" s="17"/>
      <c r="Q324" s="17"/>
      <c r="R324" s="17"/>
      <c r="S324" s="17"/>
      <c r="T324" s="17"/>
      <c r="U324" s="17"/>
      <c r="V324" s="12"/>
      <c r="W324" s="12"/>
      <c r="X324" s="12"/>
      <c r="Y324" s="12"/>
      <c r="Z324" s="12"/>
    </row>
    <row r="325" spans="1:26" ht="15" customHeight="1" x14ac:dyDescent="0.3">
      <c r="A325" s="26"/>
      <c r="B325" s="17"/>
      <c r="C325" s="17"/>
      <c r="D325" s="17"/>
      <c r="E325" s="17"/>
      <c r="F325" s="17"/>
      <c r="G325" s="17"/>
      <c r="H325" s="17"/>
      <c r="I325" s="17"/>
      <c r="J325" s="17"/>
      <c r="K325" s="17"/>
      <c r="L325" s="17"/>
      <c r="M325" s="17"/>
      <c r="N325" s="17"/>
      <c r="O325" s="17"/>
      <c r="P325" s="17"/>
      <c r="Q325" s="17"/>
      <c r="R325" s="17"/>
      <c r="S325" s="17"/>
      <c r="T325" s="17"/>
      <c r="U325" s="17"/>
      <c r="V325" s="12"/>
      <c r="W325" s="12"/>
      <c r="X325" s="12"/>
      <c r="Y325" s="12"/>
      <c r="Z325" s="12"/>
    </row>
    <row r="326" spans="1:26" ht="15" customHeight="1" x14ac:dyDescent="0.3">
      <c r="A326" s="26"/>
      <c r="B326" s="17"/>
      <c r="C326" s="17"/>
      <c r="D326" s="17"/>
      <c r="E326" s="17"/>
      <c r="F326" s="17"/>
      <c r="G326" s="17"/>
      <c r="H326" s="17"/>
      <c r="I326" s="17"/>
      <c r="J326" s="17"/>
      <c r="K326" s="17"/>
      <c r="L326" s="17"/>
      <c r="M326" s="17"/>
      <c r="N326" s="17"/>
      <c r="O326" s="17"/>
      <c r="P326" s="17"/>
      <c r="Q326" s="17"/>
      <c r="R326" s="17"/>
      <c r="S326" s="17"/>
      <c r="T326" s="17"/>
      <c r="U326" s="17"/>
      <c r="V326" s="12"/>
      <c r="W326" s="12"/>
      <c r="X326" s="12"/>
      <c r="Y326" s="12"/>
      <c r="Z326" s="12"/>
    </row>
    <row r="327" spans="1:26" ht="15" customHeight="1" x14ac:dyDescent="0.3">
      <c r="A327" s="26"/>
      <c r="B327" s="17"/>
      <c r="C327" s="17"/>
      <c r="D327" s="17"/>
      <c r="E327" s="17"/>
      <c r="F327" s="17"/>
      <c r="G327" s="17"/>
      <c r="H327" s="17"/>
      <c r="I327" s="17"/>
      <c r="J327" s="17"/>
      <c r="K327" s="17"/>
      <c r="L327" s="17"/>
      <c r="M327" s="17"/>
      <c r="N327" s="17"/>
      <c r="O327" s="17"/>
      <c r="P327" s="17"/>
      <c r="Q327" s="17"/>
      <c r="R327" s="17"/>
      <c r="S327" s="17"/>
      <c r="T327" s="17"/>
      <c r="U327" s="17"/>
      <c r="V327" s="12"/>
      <c r="W327" s="12"/>
      <c r="X327" s="12"/>
      <c r="Y327" s="12"/>
      <c r="Z327" s="12"/>
    </row>
    <row r="328" spans="1:26" ht="15" customHeight="1" x14ac:dyDescent="0.3">
      <c r="A328" s="26"/>
      <c r="B328" s="17"/>
      <c r="C328" s="17"/>
      <c r="D328" s="17"/>
      <c r="E328" s="17"/>
      <c r="F328" s="17"/>
      <c r="G328" s="17"/>
      <c r="H328" s="17"/>
      <c r="I328" s="17"/>
      <c r="J328" s="17"/>
      <c r="K328" s="17"/>
      <c r="L328" s="17"/>
      <c r="M328" s="17"/>
      <c r="N328" s="17"/>
      <c r="O328" s="17"/>
      <c r="P328" s="17"/>
      <c r="Q328" s="17"/>
      <c r="R328" s="17"/>
      <c r="S328" s="17"/>
      <c r="T328" s="17"/>
      <c r="U328" s="17"/>
      <c r="V328" s="12"/>
      <c r="W328" s="12"/>
      <c r="X328" s="12"/>
      <c r="Y328" s="12"/>
      <c r="Z328" s="12"/>
    </row>
    <row r="329" spans="1:26" ht="15" customHeight="1" x14ac:dyDescent="0.3">
      <c r="A329" s="26"/>
      <c r="B329" s="17"/>
      <c r="C329" s="17"/>
      <c r="D329" s="17"/>
      <c r="E329" s="17"/>
      <c r="F329" s="17"/>
      <c r="G329" s="17"/>
      <c r="H329" s="17"/>
      <c r="I329" s="17"/>
      <c r="J329" s="17"/>
      <c r="K329" s="17"/>
      <c r="L329" s="17"/>
      <c r="M329" s="17"/>
      <c r="N329" s="17"/>
      <c r="O329" s="17"/>
      <c r="P329" s="17"/>
      <c r="Q329" s="17"/>
      <c r="R329" s="17"/>
      <c r="S329" s="17"/>
      <c r="T329" s="17"/>
      <c r="U329" s="17"/>
      <c r="V329" s="12"/>
      <c r="W329" s="12"/>
      <c r="X329" s="12"/>
      <c r="Y329" s="12"/>
      <c r="Z329" s="12"/>
    </row>
    <row r="330" spans="1:26" ht="15" customHeight="1" x14ac:dyDescent="0.3">
      <c r="A330" s="26"/>
      <c r="B330" s="17"/>
      <c r="C330" s="17"/>
      <c r="D330" s="17"/>
      <c r="E330" s="17"/>
      <c r="F330" s="17"/>
      <c r="G330" s="17"/>
      <c r="H330" s="17"/>
      <c r="I330" s="17"/>
      <c r="J330" s="17"/>
      <c r="K330" s="17"/>
      <c r="L330" s="17"/>
      <c r="M330" s="17"/>
      <c r="N330" s="17"/>
      <c r="O330" s="17"/>
      <c r="P330" s="17"/>
      <c r="Q330" s="17"/>
      <c r="R330" s="17"/>
      <c r="S330" s="17"/>
      <c r="T330" s="17"/>
      <c r="U330" s="17"/>
      <c r="V330" s="12"/>
      <c r="W330" s="12"/>
      <c r="X330" s="12"/>
      <c r="Y330" s="12"/>
      <c r="Z330" s="12"/>
    </row>
    <row r="331" spans="1:26" ht="15" customHeight="1" x14ac:dyDescent="0.3">
      <c r="A331" s="26"/>
      <c r="B331" s="17"/>
      <c r="C331" s="17"/>
      <c r="D331" s="17"/>
      <c r="E331" s="17"/>
      <c r="F331" s="17"/>
      <c r="G331" s="17"/>
      <c r="H331" s="17"/>
      <c r="I331" s="17"/>
      <c r="J331" s="17"/>
      <c r="K331" s="17"/>
      <c r="L331" s="17"/>
      <c r="M331" s="17"/>
      <c r="N331" s="17"/>
      <c r="O331" s="17"/>
      <c r="P331" s="17"/>
      <c r="Q331" s="17"/>
      <c r="R331" s="17"/>
      <c r="S331" s="17"/>
      <c r="T331" s="17"/>
      <c r="U331" s="17"/>
      <c r="V331" s="12"/>
      <c r="W331" s="12"/>
      <c r="X331" s="12"/>
      <c r="Y331" s="12"/>
      <c r="Z331" s="12"/>
    </row>
    <row r="332" spans="1:26" ht="15" customHeight="1" x14ac:dyDescent="0.3">
      <c r="A332" s="26"/>
      <c r="B332" s="17"/>
      <c r="C332" s="17"/>
      <c r="D332" s="17"/>
      <c r="E332" s="17"/>
      <c r="F332" s="17"/>
      <c r="G332" s="17"/>
      <c r="H332" s="17"/>
      <c r="I332" s="17"/>
      <c r="J332" s="17"/>
      <c r="K332" s="17"/>
      <c r="L332" s="17"/>
      <c r="M332" s="17"/>
      <c r="N332" s="17"/>
      <c r="O332" s="17"/>
      <c r="P332" s="17"/>
      <c r="Q332" s="17"/>
      <c r="R332" s="17"/>
      <c r="S332" s="17"/>
      <c r="T332" s="17"/>
      <c r="U332" s="17"/>
      <c r="V332" s="12"/>
      <c r="W332" s="12"/>
      <c r="X332" s="12"/>
      <c r="Y332" s="12"/>
      <c r="Z332" s="12"/>
    </row>
    <row r="333" spans="1:26" ht="15" customHeight="1" x14ac:dyDescent="0.3">
      <c r="A333" s="26"/>
      <c r="B333" s="17"/>
      <c r="C333" s="17"/>
      <c r="D333" s="17"/>
      <c r="E333" s="17"/>
      <c r="F333" s="17"/>
      <c r="G333" s="17"/>
      <c r="H333" s="17"/>
      <c r="I333" s="17"/>
      <c r="J333" s="17"/>
      <c r="K333" s="17"/>
      <c r="L333" s="17"/>
      <c r="M333" s="17"/>
      <c r="N333" s="17"/>
      <c r="O333" s="17"/>
      <c r="P333" s="17"/>
      <c r="Q333" s="17"/>
      <c r="R333" s="17"/>
      <c r="S333" s="17"/>
      <c r="T333" s="17"/>
      <c r="U333" s="17"/>
      <c r="V333" s="12"/>
      <c r="W333" s="12"/>
      <c r="X333" s="12"/>
      <c r="Y333" s="12"/>
      <c r="Z333" s="12"/>
    </row>
    <row r="334" spans="1:26" ht="15" customHeight="1" x14ac:dyDescent="0.3">
      <c r="A334" s="26"/>
      <c r="B334" s="17"/>
      <c r="C334" s="17"/>
      <c r="D334" s="17"/>
      <c r="E334" s="17"/>
      <c r="F334" s="17"/>
      <c r="G334" s="17"/>
      <c r="H334" s="17"/>
      <c r="I334" s="17"/>
      <c r="J334" s="17"/>
      <c r="K334" s="17"/>
      <c r="L334" s="17"/>
      <c r="M334" s="17"/>
      <c r="N334" s="17"/>
      <c r="O334" s="17"/>
      <c r="P334" s="17"/>
      <c r="Q334" s="17"/>
      <c r="R334" s="17"/>
      <c r="S334" s="17"/>
      <c r="T334" s="17"/>
      <c r="U334" s="17"/>
      <c r="V334" s="12"/>
      <c r="W334" s="12"/>
      <c r="X334" s="12"/>
      <c r="Y334" s="12"/>
      <c r="Z334" s="12"/>
    </row>
    <row r="335" spans="1:26" ht="15" customHeight="1" x14ac:dyDescent="0.3">
      <c r="A335" s="26"/>
      <c r="B335" s="17"/>
      <c r="C335" s="17"/>
      <c r="D335" s="17"/>
      <c r="E335" s="17"/>
      <c r="F335" s="17"/>
      <c r="G335" s="17"/>
      <c r="H335" s="17"/>
      <c r="I335" s="17"/>
      <c r="J335" s="17"/>
      <c r="K335" s="17"/>
      <c r="L335" s="17"/>
      <c r="M335" s="17"/>
      <c r="N335" s="17"/>
      <c r="O335" s="17"/>
      <c r="P335" s="17"/>
      <c r="Q335" s="17"/>
      <c r="R335" s="17"/>
      <c r="S335" s="17"/>
      <c r="T335" s="17"/>
      <c r="U335" s="17"/>
      <c r="V335" s="12"/>
      <c r="W335" s="12"/>
      <c r="X335" s="12"/>
      <c r="Y335" s="12"/>
      <c r="Z335" s="12"/>
    </row>
    <row r="336" spans="1:26" ht="15" customHeight="1" x14ac:dyDescent="0.3">
      <c r="A336" s="26"/>
      <c r="B336" s="17"/>
      <c r="C336" s="17"/>
      <c r="D336" s="17"/>
      <c r="E336" s="17"/>
      <c r="F336" s="17"/>
      <c r="G336" s="17"/>
      <c r="H336" s="17"/>
      <c r="I336" s="17"/>
      <c r="J336" s="17"/>
      <c r="K336" s="17"/>
      <c r="L336" s="17"/>
      <c r="M336" s="17"/>
      <c r="N336" s="17"/>
      <c r="O336" s="17"/>
      <c r="P336" s="17"/>
      <c r="Q336" s="17"/>
      <c r="R336" s="17"/>
      <c r="S336" s="17"/>
      <c r="T336" s="17"/>
      <c r="U336" s="17"/>
      <c r="V336" s="12"/>
      <c r="W336" s="12"/>
      <c r="X336" s="12"/>
      <c r="Y336" s="12"/>
      <c r="Z336" s="12"/>
    </row>
    <row r="337" spans="1:26" ht="15" customHeight="1" x14ac:dyDescent="0.3">
      <c r="A337" s="26"/>
      <c r="B337" s="17"/>
      <c r="C337" s="17"/>
      <c r="D337" s="17"/>
      <c r="E337" s="17"/>
      <c r="F337" s="17"/>
      <c r="G337" s="17"/>
      <c r="H337" s="17"/>
      <c r="I337" s="17"/>
      <c r="J337" s="17"/>
      <c r="K337" s="17"/>
      <c r="L337" s="17"/>
      <c r="M337" s="17"/>
      <c r="N337" s="17"/>
      <c r="O337" s="17"/>
      <c r="P337" s="17"/>
      <c r="Q337" s="17"/>
      <c r="R337" s="17"/>
      <c r="S337" s="17"/>
      <c r="T337" s="17"/>
      <c r="U337" s="17"/>
      <c r="V337" s="12"/>
      <c r="W337" s="12"/>
      <c r="X337" s="12"/>
      <c r="Y337" s="12"/>
      <c r="Z337" s="12"/>
    </row>
    <row r="338" spans="1:26" ht="15" customHeight="1" x14ac:dyDescent="0.3">
      <c r="A338" s="26"/>
      <c r="B338" s="17"/>
      <c r="C338" s="17"/>
      <c r="D338" s="17"/>
      <c r="E338" s="17"/>
      <c r="F338" s="17"/>
      <c r="G338" s="17"/>
      <c r="H338" s="17"/>
      <c r="I338" s="17"/>
      <c r="J338" s="17"/>
      <c r="K338" s="17"/>
      <c r="L338" s="17"/>
      <c r="M338" s="17"/>
      <c r="N338" s="17"/>
      <c r="O338" s="17"/>
      <c r="P338" s="17"/>
      <c r="Q338" s="17"/>
      <c r="R338" s="17"/>
      <c r="S338" s="17"/>
      <c r="T338" s="17"/>
      <c r="U338" s="17"/>
      <c r="V338" s="12"/>
      <c r="W338" s="12"/>
      <c r="X338" s="12"/>
      <c r="Y338" s="12"/>
      <c r="Z338" s="12"/>
    </row>
    <row r="339" spans="1:26" ht="15" customHeight="1" x14ac:dyDescent="0.3">
      <c r="A339" s="26"/>
      <c r="B339" s="17"/>
      <c r="C339" s="17"/>
      <c r="D339" s="17"/>
      <c r="E339" s="17"/>
      <c r="F339" s="17"/>
      <c r="G339" s="17"/>
      <c r="H339" s="17"/>
      <c r="I339" s="17"/>
      <c r="J339" s="17"/>
      <c r="K339" s="17"/>
      <c r="L339" s="17"/>
      <c r="M339" s="17"/>
      <c r="N339" s="17"/>
      <c r="O339" s="17"/>
      <c r="P339" s="17"/>
      <c r="Q339" s="17"/>
      <c r="R339" s="17"/>
      <c r="S339" s="17"/>
      <c r="T339" s="17"/>
      <c r="U339" s="17"/>
      <c r="V339" s="12"/>
      <c r="W339" s="12"/>
      <c r="X339" s="12"/>
      <c r="Y339" s="12"/>
      <c r="Z339" s="12"/>
    </row>
    <row r="340" spans="1:26" ht="15" customHeight="1" x14ac:dyDescent="0.3">
      <c r="A340" s="26"/>
      <c r="B340" s="17"/>
      <c r="C340" s="17"/>
      <c r="D340" s="17"/>
      <c r="E340" s="17"/>
      <c r="F340" s="17"/>
      <c r="G340" s="17"/>
      <c r="H340" s="17"/>
      <c r="I340" s="17"/>
      <c r="J340" s="17"/>
      <c r="K340" s="17"/>
      <c r="L340" s="17"/>
      <c r="M340" s="17"/>
      <c r="N340" s="17"/>
      <c r="O340" s="17"/>
      <c r="P340" s="17"/>
      <c r="Q340" s="17"/>
      <c r="R340" s="17"/>
      <c r="S340" s="17"/>
      <c r="T340" s="17"/>
      <c r="U340" s="17"/>
      <c r="V340" s="12"/>
      <c r="W340" s="12"/>
      <c r="X340" s="12"/>
      <c r="Y340" s="12"/>
      <c r="Z340" s="12"/>
    </row>
    <row r="341" spans="1:26" ht="15" customHeight="1" x14ac:dyDescent="0.3">
      <c r="A341" s="26"/>
      <c r="B341" s="17"/>
      <c r="C341" s="17"/>
      <c r="D341" s="17"/>
      <c r="E341" s="17"/>
      <c r="F341" s="17"/>
      <c r="G341" s="17"/>
      <c r="H341" s="17"/>
      <c r="I341" s="17"/>
      <c r="J341" s="17"/>
      <c r="K341" s="17"/>
      <c r="L341" s="17"/>
      <c r="M341" s="17"/>
      <c r="N341" s="17"/>
      <c r="O341" s="17"/>
      <c r="P341" s="17"/>
      <c r="Q341" s="17"/>
      <c r="R341" s="17"/>
      <c r="S341" s="17"/>
      <c r="T341" s="17"/>
      <c r="U341" s="17"/>
      <c r="V341" s="12"/>
      <c r="W341" s="12"/>
      <c r="X341" s="12"/>
      <c r="Y341" s="12"/>
      <c r="Z341" s="12"/>
    </row>
    <row r="342" spans="1:26" ht="15" customHeight="1" x14ac:dyDescent="0.3">
      <c r="A342" s="26"/>
      <c r="B342" s="17"/>
      <c r="C342" s="17"/>
      <c r="D342" s="17"/>
      <c r="E342" s="17"/>
      <c r="F342" s="17"/>
      <c r="G342" s="17"/>
      <c r="H342" s="17"/>
      <c r="I342" s="17"/>
      <c r="J342" s="17"/>
      <c r="K342" s="17"/>
      <c r="L342" s="17"/>
      <c r="M342" s="17"/>
      <c r="N342" s="17"/>
      <c r="O342" s="17"/>
      <c r="P342" s="17"/>
      <c r="Q342" s="17"/>
      <c r="R342" s="17"/>
      <c r="S342" s="17"/>
      <c r="T342" s="17"/>
      <c r="U342" s="17"/>
      <c r="V342" s="12"/>
      <c r="W342" s="12"/>
      <c r="X342" s="12"/>
      <c r="Y342" s="12"/>
      <c r="Z342" s="12"/>
    </row>
    <row r="343" spans="1:26" ht="15" customHeight="1" x14ac:dyDescent="0.3">
      <c r="A343" s="26"/>
      <c r="B343" s="17"/>
      <c r="C343" s="17"/>
      <c r="D343" s="17"/>
      <c r="E343" s="17"/>
      <c r="F343" s="17"/>
      <c r="G343" s="17"/>
      <c r="H343" s="17"/>
      <c r="I343" s="17"/>
      <c r="J343" s="17"/>
      <c r="K343" s="17"/>
      <c r="L343" s="17"/>
      <c r="M343" s="17"/>
      <c r="N343" s="17"/>
      <c r="O343" s="17"/>
      <c r="P343" s="17"/>
      <c r="Q343" s="17"/>
      <c r="R343" s="17"/>
      <c r="S343" s="17"/>
      <c r="T343" s="17"/>
      <c r="U343" s="17"/>
      <c r="V343" s="12"/>
      <c r="W343" s="12"/>
      <c r="X343" s="12"/>
      <c r="Y343" s="12"/>
      <c r="Z343" s="12"/>
    </row>
    <row r="344" spans="1:26" ht="15" customHeight="1" x14ac:dyDescent="0.3">
      <c r="A344" s="26"/>
      <c r="B344" s="17"/>
      <c r="C344" s="17"/>
      <c r="D344" s="17"/>
      <c r="E344" s="17"/>
      <c r="F344" s="17"/>
      <c r="G344" s="17"/>
      <c r="H344" s="17"/>
      <c r="I344" s="17"/>
      <c r="J344" s="17"/>
      <c r="K344" s="17"/>
      <c r="L344" s="17"/>
      <c r="M344" s="17"/>
      <c r="N344" s="17"/>
      <c r="O344" s="17"/>
      <c r="P344" s="17"/>
      <c r="Q344" s="17"/>
      <c r="R344" s="17"/>
      <c r="S344" s="17"/>
      <c r="T344" s="17"/>
      <c r="U344" s="17"/>
      <c r="V344" s="12"/>
      <c r="W344" s="12"/>
      <c r="X344" s="12"/>
      <c r="Y344" s="12"/>
      <c r="Z344" s="12"/>
    </row>
    <row r="345" spans="1:26" ht="15" customHeight="1" x14ac:dyDescent="0.3">
      <c r="A345" s="26"/>
      <c r="B345" s="17"/>
      <c r="C345" s="17"/>
      <c r="D345" s="17"/>
      <c r="E345" s="17"/>
      <c r="F345" s="17"/>
      <c r="G345" s="17"/>
      <c r="H345" s="17"/>
      <c r="I345" s="17"/>
      <c r="J345" s="17"/>
      <c r="K345" s="17"/>
      <c r="L345" s="17"/>
      <c r="M345" s="17"/>
      <c r="N345" s="17"/>
      <c r="O345" s="17"/>
      <c r="P345" s="17"/>
      <c r="Q345" s="17"/>
      <c r="R345" s="17"/>
      <c r="S345" s="17"/>
      <c r="T345" s="17"/>
      <c r="U345" s="17"/>
      <c r="V345" s="12"/>
      <c r="W345" s="12"/>
      <c r="X345" s="12"/>
      <c r="Y345" s="12"/>
      <c r="Z345" s="12"/>
    </row>
    <row r="346" spans="1:26" ht="15" customHeight="1" x14ac:dyDescent="0.3">
      <c r="A346" s="26"/>
      <c r="B346" s="17"/>
      <c r="C346" s="17"/>
      <c r="D346" s="17"/>
      <c r="E346" s="17"/>
      <c r="F346" s="17"/>
      <c r="G346" s="17"/>
      <c r="H346" s="17"/>
      <c r="I346" s="17"/>
      <c r="J346" s="17"/>
      <c r="K346" s="17"/>
      <c r="L346" s="17"/>
      <c r="M346" s="17"/>
      <c r="N346" s="17"/>
      <c r="O346" s="17"/>
      <c r="P346" s="17"/>
      <c r="Q346" s="17"/>
      <c r="R346" s="17"/>
      <c r="S346" s="17"/>
      <c r="T346" s="17"/>
      <c r="U346" s="17"/>
      <c r="V346" s="12"/>
      <c r="W346" s="12"/>
      <c r="X346" s="12"/>
      <c r="Y346" s="12"/>
      <c r="Z346" s="12"/>
    </row>
    <row r="347" spans="1:26" ht="15" customHeight="1" x14ac:dyDescent="0.3">
      <c r="A347" s="26"/>
      <c r="B347" s="17"/>
      <c r="C347" s="17"/>
      <c r="D347" s="17"/>
      <c r="E347" s="17"/>
      <c r="F347" s="17"/>
      <c r="G347" s="17"/>
      <c r="H347" s="17"/>
      <c r="I347" s="17"/>
      <c r="J347" s="17"/>
      <c r="K347" s="17"/>
      <c r="L347" s="17"/>
      <c r="M347" s="17"/>
      <c r="N347" s="17"/>
      <c r="O347" s="17"/>
      <c r="P347" s="17"/>
      <c r="Q347" s="17"/>
      <c r="R347" s="17"/>
      <c r="S347" s="17"/>
      <c r="T347" s="17"/>
      <c r="U347" s="17"/>
      <c r="V347" s="12"/>
      <c r="W347" s="12"/>
      <c r="X347" s="12"/>
      <c r="Y347" s="12"/>
      <c r="Z347" s="12"/>
    </row>
    <row r="348" spans="1:26" ht="15" customHeight="1" x14ac:dyDescent="0.3">
      <c r="A348" s="26"/>
      <c r="B348" s="17"/>
      <c r="C348" s="17"/>
      <c r="D348" s="17"/>
      <c r="E348" s="17"/>
      <c r="F348" s="17"/>
      <c r="G348" s="17"/>
      <c r="H348" s="17"/>
      <c r="I348" s="17"/>
      <c r="J348" s="17"/>
      <c r="K348" s="17"/>
      <c r="L348" s="17"/>
      <c r="M348" s="17"/>
      <c r="N348" s="17"/>
      <c r="O348" s="17"/>
      <c r="P348" s="17"/>
      <c r="Q348" s="17"/>
      <c r="R348" s="17"/>
      <c r="S348" s="17"/>
      <c r="T348" s="17"/>
      <c r="U348" s="17"/>
      <c r="V348" s="12"/>
      <c r="W348" s="12"/>
      <c r="X348" s="12"/>
      <c r="Y348" s="12"/>
      <c r="Z348" s="12"/>
    </row>
    <row r="349" spans="1:26" ht="15" customHeight="1" x14ac:dyDescent="0.3">
      <c r="A349" s="26"/>
      <c r="B349" s="17"/>
      <c r="C349" s="17"/>
      <c r="D349" s="17"/>
      <c r="E349" s="17"/>
      <c r="F349" s="17"/>
      <c r="G349" s="17"/>
      <c r="H349" s="17"/>
      <c r="I349" s="17"/>
      <c r="J349" s="17"/>
      <c r="K349" s="17"/>
      <c r="L349" s="17"/>
      <c r="M349" s="17"/>
      <c r="N349" s="17"/>
      <c r="O349" s="17"/>
      <c r="P349" s="17"/>
      <c r="Q349" s="17"/>
      <c r="R349" s="17"/>
      <c r="S349" s="17"/>
      <c r="T349" s="17"/>
      <c r="U349" s="17"/>
      <c r="V349" s="12"/>
      <c r="W349" s="12"/>
      <c r="X349" s="12"/>
      <c r="Y349" s="12"/>
      <c r="Z349" s="12"/>
    </row>
    <row r="350" spans="1:26" ht="15" customHeight="1" x14ac:dyDescent="0.3">
      <c r="A350" s="26"/>
      <c r="B350" s="17"/>
      <c r="C350" s="17"/>
      <c r="D350" s="17"/>
      <c r="E350" s="17"/>
      <c r="F350" s="17"/>
      <c r="G350" s="17"/>
      <c r="H350" s="17"/>
      <c r="I350" s="17"/>
      <c r="J350" s="17"/>
      <c r="K350" s="17"/>
      <c r="L350" s="17"/>
      <c r="M350" s="17"/>
      <c r="N350" s="17"/>
      <c r="O350" s="17"/>
      <c r="P350" s="17"/>
      <c r="Q350" s="17"/>
      <c r="R350" s="17"/>
      <c r="S350" s="17"/>
      <c r="T350" s="17"/>
      <c r="U350" s="17"/>
      <c r="V350" s="12"/>
      <c r="W350" s="12"/>
      <c r="X350" s="12"/>
      <c r="Y350" s="12"/>
      <c r="Z350" s="12"/>
    </row>
    <row r="351" spans="1:26" ht="15" customHeight="1" x14ac:dyDescent="0.3">
      <c r="A351" s="26"/>
      <c r="B351" s="17"/>
      <c r="C351" s="17"/>
      <c r="D351" s="17"/>
      <c r="E351" s="17"/>
      <c r="F351" s="17"/>
      <c r="G351" s="17"/>
      <c r="H351" s="17"/>
      <c r="I351" s="17"/>
      <c r="J351" s="17"/>
      <c r="K351" s="17"/>
      <c r="L351" s="17"/>
      <c r="M351" s="17"/>
      <c r="N351" s="17"/>
      <c r="O351" s="17"/>
      <c r="P351" s="17"/>
      <c r="Q351" s="17"/>
      <c r="R351" s="17"/>
      <c r="S351" s="17"/>
      <c r="T351" s="17"/>
      <c r="U351" s="17"/>
      <c r="V351" s="12"/>
      <c r="W351" s="12"/>
      <c r="X351" s="12"/>
      <c r="Y351" s="12"/>
      <c r="Z351" s="12"/>
    </row>
    <row r="352" spans="1:26" ht="15" customHeight="1" x14ac:dyDescent="0.3">
      <c r="A352" s="26"/>
      <c r="B352" s="17"/>
      <c r="C352" s="17"/>
      <c r="D352" s="17"/>
      <c r="E352" s="17"/>
      <c r="F352" s="17"/>
      <c r="G352" s="17"/>
      <c r="H352" s="17"/>
      <c r="I352" s="17"/>
      <c r="J352" s="17"/>
      <c r="K352" s="17"/>
      <c r="L352" s="17"/>
      <c r="M352" s="17"/>
      <c r="N352" s="17"/>
      <c r="O352" s="17"/>
      <c r="P352" s="17"/>
      <c r="Q352" s="17"/>
      <c r="R352" s="17"/>
      <c r="S352" s="17"/>
      <c r="T352" s="17"/>
      <c r="U352" s="17"/>
      <c r="V352" s="12"/>
      <c r="W352" s="12"/>
      <c r="X352" s="12"/>
      <c r="Y352" s="12"/>
      <c r="Z352" s="12"/>
    </row>
    <row r="353" spans="1:26" ht="15" customHeight="1" x14ac:dyDescent="0.3">
      <c r="A353" s="26"/>
      <c r="B353" s="17"/>
      <c r="C353" s="17"/>
      <c r="D353" s="17"/>
      <c r="E353" s="17"/>
      <c r="F353" s="17"/>
      <c r="G353" s="17"/>
      <c r="H353" s="17"/>
      <c r="I353" s="17"/>
      <c r="J353" s="17"/>
      <c r="K353" s="17"/>
      <c r="L353" s="17"/>
      <c r="M353" s="17"/>
      <c r="N353" s="17"/>
      <c r="O353" s="17"/>
      <c r="P353" s="17"/>
      <c r="Q353" s="17"/>
      <c r="R353" s="17"/>
      <c r="S353" s="17"/>
      <c r="T353" s="17"/>
      <c r="U353" s="17"/>
      <c r="V353" s="12"/>
      <c r="W353" s="12"/>
      <c r="X353" s="12"/>
      <c r="Y353" s="12"/>
      <c r="Z353" s="12"/>
    </row>
    <row r="354" spans="1:26" ht="15" customHeight="1" x14ac:dyDescent="0.3">
      <c r="A354" s="26"/>
      <c r="B354" s="17"/>
      <c r="C354" s="17"/>
      <c r="D354" s="17"/>
      <c r="E354" s="17"/>
      <c r="F354" s="17"/>
      <c r="G354" s="17"/>
      <c r="H354" s="17"/>
      <c r="I354" s="17"/>
      <c r="J354" s="17"/>
      <c r="K354" s="17"/>
      <c r="L354" s="17"/>
      <c r="M354" s="17"/>
      <c r="N354" s="17"/>
      <c r="O354" s="17"/>
      <c r="P354" s="17"/>
      <c r="Q354" s="17"/>
      <c r="R354" s="17"/>
      <c r="S354" s="17"/>
      <c r="T354" s="17"/>
      <c r="U354" s="17"/>
      <c r="V354" s="12"/>
      <c r="W354" s="12"/>
      <c r="X354" s="12"/>
      <c r="Y354" s="12"/>
      <c r="Z354" s="12"/>
    </row>
    <row r="355" spans="1:26" ht="15" customHeight="1" x14ac:dyDescent="0.3">
      <c r="A355" s="26"/>
      <c r="B355" s="17"/>
      <c r="C355" s="17"/>
      <c r="D355" s="17"/>
      <c r="E355" s="17"/>
      <c r="F355" s="17"/>
      <c r="G355" s="17"/>
      <c r="H355" s="17"/>
      <c r="I355" s="17"/>
      <c r="J355" s="17"/>
      <c r="K355" s="17"/>
      <c r="L355" s="17"/>
      <c r="M355" s="17"/>
      <c r="N355" s="17"/>
      <c r="O355" s="17"/>
      <c r="P355" s="17"/>
      <c r="Q355" s="17"/>
      <c r="R355" s="17"/>
      <c r="S355" s="17"/>
      <c r="T355" s="17"/>
      <c r="U355" s="17"/>
      <c r="V355" s="12"/>
      <c r="W355" s="12"/>
      <c r="X355" s="12"/>
      <c r="Y355" s="12"/>
      <c r="Z355" s="12"/>
    </row>
    <row r="356" spans="1:26" ht="15" customHeight="1" x14ac:dyDescent="0.3">
      <c r="A356" s="26"/>
      <c r="B356" s="17"/>
      <c r="C356" s="17"/>
      <c r="D356" s="17"/>
      <c r="E356" s="17"/>
      <c r="F356" s="17"/>
      <c r="G356" s="17"/>
      <c r="H356" s="17"/>
      <c r="I356" s="17"/>
      <c r="J356" s="17"/>
      <c r="K356" s="17"/>
      <c r="L356" s="17"/>
      <c r="M356" s="17"/>
      <c r="N356" s="17"/>
      <c r="O356" s="17"/>
      <c r="P356" s="17"/>
      <c r="Q356" s="17"/>
      <c r="R356" s="17"/>
      <c r="S356" s="17"/>
      <c r="T356" s="17"/>
      <c r="U356" s="17"/>
      <c r="V356" s="12"/>
      <c r="W356" s="12"/>
      <c r="X356" s="12"/>
      <c r="Y356" s="12"/>
      <c r="Z356" s="12"/>
    </row>
    <row r="357" spans="1:26" ht="15" customHeight="1" x14ac:dyDescent="0.3">
      <c r="A357" s="26"/>
      <c r="B357" s="17"/>
      <c r="C357" s="17"/>
      <c r="D357" s="17"/>
      <c r="E357" s="17"/>
      <c r="F357" s="17"/>
      <c r="G357" s="17"/>
      <c r="H357" s="17"/>
      <c r="I357" s="17"/>
      <c r="J357" s="17"/>
      <c r="K357" s="17"/>
      <c r="L357" s="17"/>
      <c r="M357" s="17"/>
      <c r="N357" s="17"/>
      <c r="O357" s="17"/>
      <c r="P357" s="17"/>
      <c r="Q357" s="17"/>
      <c r="R357" s="17"/>
      <c r="S357" s="17"/>
      <c r="T357" s="17"/>
      <c r="U357" s="17"/>
      <c r="V357" s="12"/>
      <c r="W357" s="12"/>
      <c r="X357" s="12"/>
      <c r="Y357" s="12"/>
      <c r="Z357" s="12"/>
    </row>
    <row r="358" spans="1:26" ht="15" customHeight="1" x14ac:dyDescent="0.3">
      <c r="A358" s="26"/>
      <c r="B358" s="17"/>
      <c r="C358" s="17"/>
      <c r="D358" s="17"/>
      <c r="E358" s="17"/>
      <c r="F358" s="17"/>
      <c r="G358" s="17"/>
      <c r="H358" s="17"/>
      <c r="I358" s="17"/>
      <c r="J358" s="17"/>
      <c r="K358" s="17"/>
      <c r="L358" s="17"/>
      <c r="M358" s="17"/>
      <c r="N358" s="17"/>
      <c r="O358" s="17"/>
      <c r="P358" s="17"/>
      <c r="Q358" s="17"/>
      <c r="R358" s="17"/>
      <c r="S358" s="17"/>
      <c r="T358" s="17"/>
      <c r="U358" s="17"/>
      <c r="V358" s="12"/>
      <c r="W358" s="12"/>
      <c r="X358" s="12"/>
      <c r="Y358" s="12"/>
      <c r="Z358" s="12"/>
    </row>
    <row r="359" spans="1:26" ht="15" customHeight="1" x14ac:dyDescent="0.3">
      <c r="A359" s="26"/>
      <c r="B359" s="17"/>
      <c r="C359" s="17"/>
      <c r="D359" s="17"/>
      <c r="E359" s="17"/>
      <c r="F359" s="17"/>
      <c r="G359" s="17"/>
      <c r="H359" s="17"/>
      <c r="I359" s="17"/>
      <c r="J359" s="17"/>
      <c r="K359" s="17"/>
      <c r="L359" s="17"/>
      <c r="M359" s="17"/>
      <c r="N359" s="17"/>
      <c r="O359" s="17"/>
      <c r="P359" s="17"/>
      <c r="Q359" s="17"/>
      <c r="R359" s="17"/>
      <c r="S359" s="17"/>
      <c r="T359" s="17"/>
      <c r="U359" s="17"/>
      <c r="V359" s="12"/>
      <c r="W359" s="12"/>
      <c r="X359" s="12"/>
      <c r="Y359" s="12"/>
      <c r="Z359" s="12"/>
    </row>
    <row r="360" spans="1:26" ht="15" customHeight="1" x14ac:dyDescent="0.3">
      <c r="A360" s="26"/>
      <c r="B360" s="17"/>
      <c r="C360" s="17"/>
      <c r="D360" s="17"/>
      <c r="E360" s="17"/>
      <c r="F360" s="17"/>
      <c r="G360" s="17"/>
      <c r="H360" s="17"/>
      <c r="I360" s="17"/>
      <c r="J360" s="17"/>
      <c r="K360" s="17"/>
      <c r="L360" s="17"/>
      <c r="M360" s="17"/>
      <c r="N360" s="17"/>
      <c r="O360" s="17"/>
      <c r="P360" s="17"/>
      <c r="Q360" s="17"/>
      <c r="R360" s="17"/>
      <c r="S360" s="17"/>
      <c r="T360" s="17"/>
      <c r="U360" s="17"/>
      <c r="V360" s="12"/>
      <c r="W360" s="12"/>
      <c r="X360" s="12"/>
      <c r="Y360" s="12"/>
      <c r="Z360" s="12"/>
    </row>
    <row r="361" spans="1:26" ht="15" customHeight="1" x14ac:dyDescent="0.3">
      <c r="A361" s="26"/>
      <c r="B361" s="17"/>
      <c r="C361" s="17"/>
      <c r="D361" s="17"/>
      <c r="E361" s="17"/>
      <c r="F361" s="17"/>
      <c r="G361" s="17"/>
      <c r="H361" s="17"/>
      <c r="I361" s="17"/>
      <c r="J361" s="17"/>
      <c r="K361" s="17"/>
      <c r="L361" s="17"/>
      <c r="M361" s="17"/>
      <c r="N361" s="17"/>
      <c r="O361" s="17"/>
      <c r="P361" s="17"/>
      <c r="Q361" s="17"/>
      <c r="R361" s="17"/>
      <c r="S361" s="17"/>
      <c r="T361" s="17"/>
      <c r="U361" s="17"/>
      <c r="V361" s="12"/>
      <c r="W361" s="12"/>
      <c r="X361" s="12"/>
      <c r="Y361" s="12"/>
      <c r="Z361" s="12"/>
    </row>
    <row r="362" spans="1:26" ht="15" customHeight="1" x14ac:dyDescent="0.3">
      <c r="A362" s="26"/>
      <c r="B362" s="17"/>
      <c r="C362" s="17"/>
      <c r="D362" s="17"/>
      <c r="E362" s="17"/>
      <c r="F362" s="17"/>
      <c r="G362" s="17"/>
      <c r="H362" s="17"/>
      <c r="I362" s="17"/>
      <c r="J362" s="17"/>
      <c r="K362" s="17"/>
      <c r="L362" s="17"/>
      <c r="M362" s="17"/>
      <c r="N362" s="17"/>
      <c r="O362" s="17"/>
      <c r="P362" s="17"/>
      <c r="Q362" s="17"/>
      <c r="R362" s="17"/>
      <c r="S362" s="17"/>
      <c r="T362" s="17"/>
      <c r="U362" s="17"/>
      <c r="V362" s="12"/>
      <c r="W362" s="12"/>
      <c r="X362" s="12"/>
      <c r="Y362" s="12"/>
      <c r="Z362" s="12"/>
    </row>
    <row r="363" spans="1:26" ht="15" customHeight="1" x14ac:dyDescent="0.3">
      <c r="A363" s="26"/>
      <c r="B363" s="17"/>
      <c r="C363" s="17"/>
      <c r="D363" s="17"/>
      <c r="E363" s="17"/>
      <c r="F363" s="17"/>
      <c r="G363" s="17"/>
      <c r="H363" s="17"/>
      <c r="I363" s="17"/>
      <c r="J363" s="17"/>
      <c r="K363" s="17"/>
      <c r="L363" s="17"/>
      <c r="M363" s="17"/>
      <c r="N363" s="17"/>
      <c r="O363" s="17"/>
      <c r="P363" s="17"/>
      <c r="Q363" s="17"/>
      <c r="R363" s="17"/>
      <c r="S363" s="17"/>
      <c r="T363" s="17"/>
      <c r="U363" s="17"/>
      <c r="V363" s="12"/>
      <c r="W363" s="12"/>
      <c r="X363" s="12"/>
      <c r="Y363" s="12"/>
      <c r="Z363" s="12"/>
    </row>
    <row r="364" spans="1:26" ht="15" customHeight="1" x14ac:dyDescent="0.3">
      <c r="A364" s="26"/>
      <c r="B364" s="17"/>
      <c r="C364" s="17"/>
      <c r="D364" s="17"/>
      <c r="E364" s="17"/>
      <c r="F364" s="17"/>
      <c r="G364" s="17"/>
      <c r="H364" s="17"/>
      <c r="I364" s="17"/>
      <c r="J364" s="17"/>
      <c r="K364" s="17"/>
      <c r="L364" s="17"/>
      <c r="M364" s="17"/>
      <c r="N364" s="17"/>
      <c r="O364" s="17"/>
      <c r="P364" s="17"/>
      <c r="Q364" s="17"/>
      <c r="R364" s="17"/>
      <c r="S364" s="17"/>
      <c r="T364" s="17"/>
      <c r="U364" s="17"/>
      <c r="V364" s="12"/>
      <c r="W364" s="12"/>
      <c r="X364" s="12"/>
      <c r="Y364" s="12"/>
      <c r="Z364" s="12"/>
    </row>
    <row r="365" spans="1:26" ht="15" customHeight="1" x14ac:dyDescent="0.3">
      <c r="A365" s="26"/>
      <c r="B365" s="17"/>
      <c r="C365" s="17"/>
      <c r="D365" s="17"/>
      <c r="E365" s="17"/>
      <c r="F365" s="17"/>
      <c r="G365" s="17"/>
      <c r="H365" s="17"/>
      <c r="I365" s="17"/>
      <c r="J365" s="17"/>
      <c r="K365" s="17"/>
      <c r="L365" s="17"/>
      <c r="M365" s="17"/>
      <c r="N365" s="17"/>
      <c r="O365" s="17"/>
      <c r="P365" s="17"/>
      <c r="Q365" s="17"/>
      <c r="R365" s="17"/>
      <c r="S365" s="17"/>
      <c r="T365" s="17"/>
      <c r="U365" s="17"/>
      <c r="V365" s="12"/>
      <c r="W365" s="12"/>
      <c r="X365" s="12"/>
      <c r="Y365" s="12"/>
      <c r="Z365" s="12"/>
    </row>
    <row r="366" spans="1:26" ht="15" customHeight="1" x14ac:dyDescent="0.3">
      <c r="A366" s="26"/>
      <c r="B366" s="17"/>
      <c r="C366" s="17"/>
      <c r="D366" s="17"/>
      <c r="E366" s="17"/>
      <c r="F366" s="17"/>
      <c r="G366" s="17"/>
      <c r="H366" s="17"/>
      <c r="I366" s="17"/>
      <c r="J366" s="17"/>
      <c r="K366" s="17"/>
      <c r="L366" s="17"/>
      <c r="M366" s="17"/>
      <c r="N366" s="17"/>
      <c r="O366" s="17"/>
      <c r="P366" s="17"/>
      <c r="Q366" s="17"/>
      <c r="R366" s="17"/>
      <c r="S366" s="17"/>
      <c r="T366" s="17"/>
      <c r="U366" s="17"/>
      <c r="V366" s="12"/>
      <c r="W366" s="12"/>
      <c r="X366" s="12"/>
      <c r="Y366" s="12"/>
      <c r="Z366" s="12"/>
    </row>
    <row r="367" spans="1:26" ht="15" customHeight="1" x14ac:dyDescent="0.3">
      <c r="A367" s="26"/>
      <c r="B367" s="17"/>
      <c r="C367" s="17"/>
      <c r="D367" s="17"/>
      <c r="E367" s="17"/>
      <c r="F367" s="17"/>
      <c r="G367" s="17"/>
      <c r="H367" s="17"/>
      <c r="I367" s="17"/>
      <c r="J367" s="17"/>
      <c r="K367" s="17"/>
      <c r="L367" s="17"/>
      <c r="M367" s="17"/>
      <c r="N367" s="17"/>
      <c r="O367" s="17"/>
      <c r="P367" s="17"/>
      <c r="Q367" s="17"/>
      <c r="R367" s="17"/>
      <c r="S367" s="17"/>
      <c r="T367" s="17"/>
      <c r="U367" s="17"/>
      <c r="V367" s="12"/>
      <c r="W367" s="12"/>
      <c r="X367" s="12"/>
      <c r="Y367" s="12"/>
      <c r="Z367" s="12"/>
    </row>
    <row r="368" spans="1:26" ht="15" customHeight="1" x14ac:dyDescent="0.3">
      <c r="A368" s="26"/>
      <c r="B368" s="17"/>
      <c r="C368" s="17"/>
      <c r="D368" s="17"/>
      <c r="E368" s="17"/>
      <c r="F368" s="17"/>
      <c r="G368" s="17"/>
      <c r="H368" s="17"/>
      <c r="I368" s="17"/>
      <c r="J368" s="17"/>
      <c r="K368" s="17"/>
      <c r="L368" s="17"/>
      <c r="M368" s="17"/>
      <c r="N368" s="17"/>
      <c r="O368" s="17"/>
      <c r="P368" s="17"/>
      <c r="Q368" s="17"/>
      <c r="R368" s="17"/>
      <c r="S368" s="17"/>
      <c r="T368" s="17"/>
      <c r="U368" s="17"/>
      <c r="V368" s="12"/>
      <c r="W368" s="12"/>
      <c r="X368" s="12"/>
      <c r="Y368" s="12"/>
      <c r="Z368" s="12"/>
    </row>
    <row r="369" spans="1:26" ht="15" customHeight="1" x14ac:dyDescent="0.3">
      <c r="A369" s="26"/>
      <c r="B369" s="17"/>
      <c r="C369" s="17"/>
      <c r="D369" s="17"/>
      <c r="E369" s="17"/>
      <c r="F369" s="17"/>
      <c r="G369" s="17"/>
      <c r="H369" s="17"/>
      <c r="I369" s="17"/>
      <c r="J369" s="17"/>
      <c r="K369" s="17"/>
      <c r="L369" s="17"/>
      <c r="M369" s="17"/>
      <c r="N369" s="17"/>
      <c r="O369" s="17"/>
      <c r="P369" s="17"/>
      <c r="Q369" s="17"/>
      <c r="R369" s="17"/>
      <c r="S369" s="17"/>
      <c r="T369" s="17"/>
      <c r="U369" s="17"/>
      <c r="V369" s="12"/>
      <c r="W369" s="12"/>
      <c r="X369" s="12"/>
      <c r="Y369" s="12"/>
      <c r="Z369" s="12"/>
    </row>
    <row r="370" spans="1:26" ht="15" customHeight="1" x14ac:dyDescent="0.3">
      <c r="A370" s="26"/>
      <c r="B370" s="17"/>
      <c r="C370" s="17"/>
      <c r="D370" s="17"/>
      <c r="E370" s="17"/>
      <c r="F370" s="17"/>
      <c r="G370" s="17"/>
      <c r="H370" s="17"/>
      <c r="I370" s="17"/>
      <c r="J370" s="17"/>
      <c r="K370" s="17"/>
      <c r="L370" s="17"/>
      <c r="M370" s="17"/>
      <c r="N370" s="17"/>
      <c r="O370" s="17"/>
      <c r="P370" s="17"/>
      <c r="Q370" s="17"/>
      <c r="R370" s="17"/>
      <c r="S370" s="17"/>
      <c r="T370" s="17"/>
      <c r="U370" s="17"/>
      <c r="V370" s="12"/>
      <c r="W370" s="12"/>
      <c r="X370" s="12"/>
      <c r="Y370" s="12"/>
      <c r="Z370" s="12"/>
    </row>
    <row r="371" spans="1:26" ht="15" customHeight="1" x14ac:dyDescent="0.3">
      <c r="A371" s="26"/>
      <c r="B371" s="17"/>
      <c r="C371" s="17"/>
      <c r="D371" s="17"/>
      <c r="E371" s="17"/>
      <c r="F371" s="17"/>
      <c r="G371" s="17"/>
      <c r="H371" s="17"/>
      <c r="I371" s="17"/>
      <c r="J371" s="17"/>
      <c r="K371" s="17"/>
      <c r="L371" s="17"/>
      <c r="M371" s="17"/>
      <c r="N371" s="17"/>
      <c r="O371" s="17"/>
      <c r="P371" s="17"/>
      <c r="Q371" s="17"/>
      <c r="R371" s="17"/>
      <c r="S371" s="17"/>
      <c r="T371" s="17"/>
      <c r="U371" s="17"/>
      <c r="V371" s="12"/>
      <c r="W371" s="12"/>
      <c r="X371" s="12"/>
      <c r="Y371" s="12"/>
      <c r="Z371" s="12"/>
    </row>
    <row r="372" spans="1:26" ht="15" customHeight="1" x14ac:dyDescent="0.3">
      <c r="A372" s="26"/>
      <c r="B372" s="17"/>
      <c r="C372" s="17"/>
      <c r="D372" s="17"/>
      <c r="E372" s="17"/>
      <c r="F372" s="17"/>
      <c r="G372" s="17"/>
      <c r="H372" s="17"/>
      <c r="I372" s="17"/>
      <c r="J372" s="17"/>
      <c r="K372" s="17"/>
      <c r="L372" s="17"/>
      <c r="M372" s="17"/>
      <c r="N372" s="17"/>
      <c r="O372" s="17"/>
      <c r="P372" s="17"/>
      <c r="Q372" s="17"/>
      <c r="R372" s="17"/>
      <c r="S372" s="17"/>
      <c r="T372" s="17"/>
      <c r="U372" s="17"/>
      <c r="V372" s="12"/>
      <c r="W372" s="12"/>
      <c r="X372" s="12"/>
      <c r="Y372" s="12"/>
      <c r="Z372" s="12"/>
    </row>
    <row r="373" spans="1:26" ht="15" customHeight="1" x14ac:dyDescent="0.3">
      <c r="A373" s="26"/>
      <c r="B373" s="17"/>
      <c r="C373" s="17"/>
      <c r="D373" s="17"/>
      <c r="E373" s="17"/>
      <c r="F373" s="17"/>
      <c r="G373" s="17"/>
      <c r="H373" s="17"/>
      <c r="I373" s="17"/>
      <c r="J373" s="17"/>
      <c r="K373" s="17"/>
      <c r="L373" s="17"/>
      <c r="M373" s="17"/>
      <c r="N373" s="17"/>
      <c r="O373" s="17"/>
      <c r="P373" s="17"/>
      <c r="Q373" s="17"/>
      <c r="R373" s="17"/>
      <c r="S373" s="17"/>
      <c r="T373" s="17"/>
      <c r="U373" s="17"/>
      <c r="V373" s="12"/>
      <c r="W373" s="12"/>
      <c r="X373" s="12"/>
      <c r="Y373" s="12"/>
      <c r="Z373" s="12"/>
    </row>
    <row r="374" spans="1:26" ht="15" customHeight="1" x14ac:dyDescent="0.3">
      <c r="A374" s="26"/>
      <c r="B374" s="17"/>
      <c r="C374" s="17"/>
      <c r="D374" s="17"/>
      <c r="E374" s="17"/>
      <c r="F374" s="17"/>
      <c r="G374" s="17"/>
      <c r="H374" s="17"/>
      <c r="I374" s="17"/>
      <c r="J374" s="17"/>
      <c r="K374" s="17"/>
      <c r="L374" s="17"/>
      <c r="M374" s="17"/>
      <c r="N374" s="17"/>
      <c r="O374" s="17"/>
      <c r="P374" s="17"/>
      <c r="Q374" s="17"/>
      <c r="R374" s="17"/>
      <c r="S374" s="17"/>
      <c r="T374" s="17"/>
      <c r="U374" s="17"/>
      <c r="V374" s="12"/>
      <c r="W374" s="12"/>
      <c r="X374" s="12"/>
      <c r="Y374" s="12"/>
      <c r="Z374" s="12"/>
    </row>
    <row r="375" spans="1:26" ht="15" customHeight="1" x14ac:dyDescent="0.3">
      <c r="A375" s="26"/>
      <c r="B375" s="17"/>
      <c r="C375" s="17"/>
      <c r="D375" s="17"/>
      <c r="E375" s="17"/>
      <c r="F375" s="17"/>
      <c r="G375" s="17"/>
      <c r="H375" s="17"/>
      <c r="I375" s="17"/>
      <c r="J375" s="17"/>
      <c r="K375" s="17"/>
      <c r="L375" s="17"/>
      <c r="M375" s="17"/>
      <c r="N375" s="17"/>
      <c r="O375" s="17"/>
      <c r="P375" s="17"/>
      <c r="Q375" s="17"/>
      <c r="R375" s="17"/>
      <c r="S375" s="17"/>
      <c r="T375" s="17"/>
      <c r="U375" s="17"/>
      <c r="V375" s="12"/>
      <c r="W375" s="12"/>
      <c r="X375" s="12"/>
      <c r="Y375" s="12"/>
      <c r="Z375" s="12"/>
    </row>
    <row r="376" spans="1:26" ht="15" customHeight="1" x14ac:dyDescent="0.3">
      <c r="A376" s="26"/>
      <c r="B376" s="17"/>
      <c r="C376" s="17"/>
      <c r="D376" s="17"/>
      <c r="E376" s="17"/>
      <c r="F376" s="17"/>
      <c r="G376" s="17"/>
      <c r="H376" s="17"/>
      <c r="I376" s="17"/>
      <c r="J376" s="17"/>
      <c r="K376" s="17"/>
      <c r="L376" s="17"/>
      <c r="M376" s="17"/>
      <c r="N376" s="17"/>
      <c r="O376" s="17"/>
      <c r="P376" s="17"/>
      <c r="Q376" s="17"/>
      <c r="R376" s="17"/>
      <c r="S376" s="17"/>
      <c r="T376" s="17"/>
      <c r="U376" s="17"/>
      <c r="V376" s="12"/>
      <c r="W376" s="12"/>
      <c r="X376" s="12"/>
      <c r="Y376" s="12"/>
      <c r="Z376" s="12"/>
    </row>
    <row r="377" spans="1:26" ht="15" customHeight="1" x14ac:dyDescent="0.3">
      <c r="A377" s="26"/>
      <c r="B377" s="17"/>
      <c r="C377" s="17"/>
      <c r="D377" s="17"/>
      <c r="E377" s="17"/>
      <c r="F377" s="17"/>
      <c r="G377" s="17"/>
      <c r="H377" s="17"/>
      <c r="I377" s="17"/>
      <c r="J377" s="17"/>
      <c r="K377" s="17"/>
      <c r="L377" s="17"/>
      <c r="M377" s="17"/>
      <c r="N377" s="17"/>
      <c r="O377" s="17"/>
      <c r="P377" s="17"/>
      <c r="Q377" s="17"/>
      <c r="R377" s="17"/>
      <c r="S377" s="17"/>
      <c r="T377" s="17"/>
      <c r="U377" s="17"/>
      <c r="V377" s="12"/>
      <c r="W377" s="12"/>
      <c r="X377" s="12"/>
      <c r="Y377" s="12"/>
      <c r="Z377" s="12"/>
    </row>
    <row r="378" spans="1:26" ht="15" customHeight="1" x14ac:dyDescent="0.3">
      <c r="A378" s="26"/>
      <c r="B378" s="17"/>
      <c r="C378" s="17"/>
      <c r="D378" s="17"/>
      <c r="E378" s="17"/>
      <c r="F378" s="17"/>
      <c r="G378" s="17"/>
      <c r="H378" s="17"/>
      <c r="I378" s="17"/>
      <c r="J378" s="17"/>
      <c r="K378" s="17"/>
      <c r="L378" s="17"/>
      <c r="M378" s="17"/>
      <c r="N378" s="17"/>
      <c r="O378" s="17"/>
      <c r="P378" s="17"/>
      <c r="Q378" s="17"/>
      <c r="R378" s="17"/>
      <c r="S378" s="17"/>
      <c r="T378" s="17"/>
      <c r="U378" s="17"/>
      <c r="V378" s="12"/>
      <c r="W378" s="12"/>
      <c r="X378" s="12"/>
      <c r="Y378" s="12"/>
      <c r="Z378" s="12"/>
    </row>
    <row r="379" spans="1:26" ht="15" customHeight="1" x14ac:dyDescent="0.3">
      <c r="A379" s="26"/>
      <c r="B379" s="17"/>
      <c r="C379" s="17"/>
      <c r="D379" s="17"/>
      <c r="E379" s="17"/>
      <c r="F379" s="17"/>
      <c r="G379" s="17"/>
      <c r="H379" s="17"/>
      <c r="I379" s="17"/>
      <c r="J379" s="17"/>
      <c r="K379" s="17"/>
      <c r="L379" s="17"/>
      <c r="M379" s="17"/>
      <c r="N379" s="17"/>
      <c r="O379" s="17"/>
      <c r="P379" s="17"/>
      <c r="Q379" s="17"/>
      <c r="R379" s="17"/>
      <c r="S379" s="17"/>
      <c r="T379" s="17"/>
      <c r="U379" s="17"/>
      <c r="V379" s="12"/>
      <c r="W379" s="12"/>
      <c r="X379" s="12"/>
      <c r="Y379" s="12"/>
      <c r="Z379" s="12"/>
    </row>
    <row r="380" spans="1:26" ht="15" customHeight="1" x14ac:dyDescent="0.3">
      <c r="A380" s="26"/>
      <c r="B380" s="17"/>
      <c r="C380" s="17"/>
      <c r="D380" s="17"/>
      <c r="E380" s="17"/>
      <c r="F380" s="17"/>
      <c r="G380" s="17"/>
      <c r="H380" s="17"/>
      <c r="I380" s="17"/>
      <c r="J380" s="17"/>
      <c r="K380" s="17"/>
      <c r="L380" s="17"/>
      <c r="M380" s="17"/>
      <c r="N380" s="17"/>
      <c r="O380" s="17"/>
      <c r="P380" s="17"/>
      <c r="Q380" s="17"/>
      <c r="R380" s="17"/>
      <c r="S380" s="17"/>
      <c r="T380" s="17"/>
      <c r="U380" s="17"/>
      <c r="V380" s="12"/>
      <c r="W380" s="12"/>
      <c r="X380" s="12"/>
      <c r="Y380" s="12"/>
      <c r="Z380" s="12"/>
    </row>
    <row r="381" spans="1:26" ht="15" customHeight="1" x14ac:dyDescent="0.3">
      <c r="A381" s="26"/>
      <c r="B381" s="17"/>
      <c r="C381" s="17"/>
      <c r="D381" s="17"/>
      <c r="E381" s="17"/>
      <c r="F381" s="17"/>
      <c r="G381" s="17"/>
      <c r="H381" s="17"/>
      <c r="I381" s="17"/>
      <c r="J381" s="17"/>
      <c r="K381" s="17"/>
      <c r="L381" s="17"/>
      <c r="M381" s="17"/>
      <c r="N381" s="17"/>
      <c r="O381" s="17"/>
      <c r="P381" s="17"/>
      <c r="Q381" s="17"/>
      <c r="R381" s="17"/>
      <c r="S381" s="17"/>
      <c r="T381" s="17"/>
      <c r="U381" s="17"/>
      <c r="V381" s="12"/>
      <c r="W381" s="12"/>
      <c r="X381" s="12"/>
      <c r="Y381" s="12"/>
      <c r="Z381" s="12"/>
    </row>
    <row r="382" spans="1:26" ht="15" customHeight="1" x14ac:dyDescent="0.3">
      <c r="A382" s="26"/>
      <c r="B382" s="17"/>
      <c r="C382" s="17"/>
      <c r="D382" s="17"/>
      <c r="E382" s="17"/>
      <c r="F382" s="17"/>
      <c r="G382" s="17"/>
      <c r="H382" s="17"/>
      <c r="I382" s="17"/>
      <c r="J382" s="17"/>
      <c r="K382" s="17"/>
      <c r="L382" s="17"/>
      <c r="M382" s="17"/>
      <c r="N382" s="17"/>
      <c r="O382" s="17"/>
      <c r="P382" s="17"/>
      <c r="Q382" s="17"/>
      <c r="R382" s="17"/>
      <c r="S382" s="17"/>
      <c r="T382" s="17"/>
      <c r="U382" s="17"/>
      <c r="V382" s="12"/>
      <c r="W382" s="12"/>
      <c r="X382" s="12"/>
      <c r="Y382" s="12"/>
      <c r="Z382" s="12"/>
    </row>
    <row r="383" spans="1:26" ht="15" customHeight="1" x14ac:dyDescent="0.3">
      <c r="A383" s="26"/>
      <c r="B383" s="17"/>
      <c r="C383" s="17"/>
      <c r="D383" s="17"/>
      <c r="E383" s="17"/>
      <c r="F383" s="17"/>
      <c r="G383" s="17"/>
      <c r="H383" s="17"/>
      <c r="I383" s="17"/>
      <c r="J383" s="17"/>
      <c r="K383" s="17"/>
      <c r="L383" s="17"/>
      <c r="M383" s="17"/>
      <c r="N383" s="17"/>
      <c r="O383" s="17"/>
      <c r="P383" s="17"/>
      <c r="Q383" s="17"/>
      <c r="R383" s="17"/>
      <c r="S383" s="17"/>
      <c r="T383" s="17"/>
      <c r="U383" s="17"/>
      <c r="V383" s="12"/>
      <c r="W383" s="12"/>
      <c r="X383" s="12"/>
      <c r="Y383" s="12"/>
      <c r="Z383" s="12"/>
    </row>
    <row r="384" spans="1:26" ht="15" customHeight="1" x14ac:dyDescent="0.3">
      <c r="A384" s="26"/>
      <c r="B384" s="17"/>
      <c r="C384" s="17"/>
      <c r="D384" s="17"/>
      <c r="E384" s="17"/>
      <c r="F384" s="17"/>
      <c r="G384" s="17"/>
      <c r="H384" s="17"/>
      <c r="I384" s="17"/>
      <c r="J384" s="17"/>
      <c r="K384" s="17"/>
      <c r="L384" s="17"/>
      <c r="M384" s="17"/>
      <c r="N384" s="17"/>
      <c r="O384" s="17"/>
      <c r="P384" s="17"/>
      <c r="Q384" s="17"/>
      <c r="R384" s="17"/>
      <c r="S384" s="17"/>
      <c r="T384" s="17"/>
      <c r="U384" s="17"/>
      <c r="V384" s="12"/>
      <c r="W384" s="12"/>
      <c r="X384" s="12"/>
      <c r="Y384" s="12"/>
      <c r="Z384" s="12"/>
    </row>
    <row r="385" spans="1:26" ht="15" customHeight="1" x14ac:dyDescent="0.3">
      <c r="A385" s="26"/>
      <c r="B385" s="17"/>
      <c r="C385" s="17"/>
      <c r="D385" s="17"/>
      <c r="E385" s="17"/>
      <c r="F385" s="17"/>
      <c r="G385" s="17"/>
      <c r="H385" s="17"/>
      <c r="I385" s="17"/>
      <c r="J385" s="17"/>
      <c r="K385" s="17"/>
      <c r="L385" s="17"/>
      <c r="M385" s="17"/>
      <c r="N385" s="17"/>
      <c r="O385" s="17"/>
      <c r="P385" s="17"/>
      <c r="Q385" s="17"/>
      <c r="R385" s="17"/>
      <c r="S385" s="17"/>
      <c r="T385" s="17"/>
      <c r="U385" s="17"/>
      <c r="V385" s="12"/>
      <c r="W385" s="12"/>
      <c r="X385" s="12"/>
      <c r="Y385" s="12"/>
      <c r="Z385" s="12"/>
    </row>
    <row r="386" spans="1:26" ht="15" customHeight="1" x14ac:dyDescent="0.3">
      <c r="A386" s="26"/>
      <c r="B386" s="17"/>
      <c r="C386" s="17"/>
      <c r="D386" s="17"/>
      <c r="E386" s="17"/>
      <c r="F386" s="17"/>
      <c r="G386" s="17"/>
      <c r="H386" s="17"/>
      <c r="I386" s="17"/>
      <c r="J386" s="17"/>
      <c r="K386" s="17"/>
      <c r="L386" s="17"/>
      <c r="M386" s="17"/>
      <c r="N386" s="17"/>
      <c r="O386" s="17"/>
      <c r="P386" s="17"/>
      <c r="Q386" s="17"/>
      <c r="R386" s="17"/>
      <c r="S386" s="17"/>
      <c r="T386" s="17"/>
      <c r="U386" s="17"/>
      <c r="V386" s="12"/>
      <c r="W386" s="12"/>
      <c r="X386" s="12"/>
      <c r="Y386" s="12"/>
      <c r="Z386" s="12"/>
    </row>
    <row r="387" spans="1:26" ht="15" customHeight="1" x14ac:dyDescent="0.3">
      <c r="A387" s="26"/>
      <c r="B387" s="17"/>
      <c r="C387" s="17"/>
      <c r="D387" s="17"/>
      <c r="E387" s="17"/>
      <c r="F387" s="17"/>
      <c r="G387" s="17"/>
      <c r="H387" s="17"/>
      <c r="I387" s="17"/>
      <c r="J387" s="17"/>
      <c r="K387" s="17"/>
      <c r="L387" s="17"/>
      <c r="M387" s="17"/>
      <c r="N387" s="17"/>
      <c r="O387" s="17"/>
      <c r="P387" s="17"/>
      <c r="Q387" s="17"/>
      <c r="R387" s="17"/>
      <c r="S387" s="17"/>
      <c r="T387" s="17"/>
      <c r="U387" s="17"/>
      <c r="V387" s="12"/>
      <c r="W387" s="12"/>
      <c r="X387" s="12"/>
      <c r="Y387" s="12"/>
      <c r="Z387" s="12"/>
    </row>
    <row r="388" spans="1:26" ht="15" customHeight="1" x14ac:dyDescent="0.3">
      <c r="A388" s="26"/>
      <c r="B388" s="17"/>
      <c r="C388" s="17"/>
      <c r="D388" s="17"/>
      <c r="E388" s="17"/>
      <c r="F388" s="17"/>
      <c r="G388" s="17"/>
      <c r="H388" s="17"/>
      <c r="I388" s="17"/>
      <c r="J388" s="17"/>
      <c r="K388" s="17"/>
      <c r="L388" s="17"/>
      <c r="M388" s="17"/>
      <c r="N388" s="17"/>
      <c r="O388" s="17"/>
      <c r="P388" s="17"/>
      <c r="Q388" s="17"/>
      <c r="R388" s="17"/>
      <c r="S388" s="17"/>
      <c r="T388" s="17"/>
      <c r="U388" s="17"/>
      <c r="V388" s="12"/>
      <c r="W388" s="12"/>
      <c r="X388" s="12"/>
      <c r="Y388" s="12"/>
      <c r="Z388" s="12"/>
    </row>
    <row r="389" spans="1:26" ht="15" customHeight="1" x14ac:dyDescent="0.3">
      <c r="A389" s="26"/>
      <c r="B389" s="17"/>
      <c r="C389" s="17"/>
      <c r="D389" s="17"/>
      <c r="E389" s="17"/>
      <c r="F389" s="17"/>
      <c r="G389" s="17"/>
      <c r="H389" s="17"/>
      <c r="I389" s="17"/>
      <c r="J389" s="17"/>
      <c r="K389" s="17"/>
      <c r="L389" s="17"/>
      <c r="M389" s="17"/>
      <c r="N389" s="17"/>
      <c r="O389" s="17"/>
      <c r="P389" s="17"/>
      <c r="Q389" s="17"/>
      <c r="R389" s="17"/>
      <c r="S389" s="17"/>
      <c r="T389" s="17"/>
      <c r="U389" s="17"/>
      <c r="V389" s="12"/>
      <c r="W389" s="12"/>
      <c r="X389" s="12"/>
      <c r="Y389" s="12"/>
      <c r="Z389" s="12"/>
    </row>
    <row r="390" spans="1:26" ht="15" customHeight="1" x14ac:dyDescent="0.3">
      <c r="A390" s="26"/>
      <c r="B390" s="17"/>
      <c r="C390" s="17"/>
      <c r="D390" s="17"/>
      <c r="E390" s="17"/>
      <c r="F390" s="17"/>
      <c r="G390" s="17"/>
      <c r="H390" s="17"/>
      <c r="I390" s="17"/>
      <c r="J390" s="17"/>
      <c r="K390" s="17"/>
      <c r="L390" s="17"/>
      <c r="M390" s="17"/>
      <c r="N390" s="17"/>
      <c r="O390" s="17"/>
      <c r="P390" s="17"/>
      <c r="Q390" s="17"/>
      <c r="R390" s="17"/>
      <c r="S390" s="17"/>
      <c r="T390" s="17"/>
      <c r="U390" s="17"/>
      <c r="V390" s="12"/>
      <c r="W390" s="12"/>
      <c r="X390" s="12"/>
      <c r="Y390" s="12"/>
      <c r="Z390" s="12"/>
    </row>
    <row r="391" spans="1:26" ht="15" customHeight="1" x14ac:dyDescent="0.3">
      <c r="A391" s="26"/>
      <c r="B391" s="17"/>
      <c r="C391" s="17"/>
      <c r="D391" s="17"/>
      <c r="E391" s="17"/>
      <c r="F391" s="17"/>
      <c r="G391" s="17"/>
      <c r="H391" s="17"/>
      <c r="I391" s="17"/>
      <c r="J391" s="17"/>
      <c r="K391" s="17"/>
      <c r="L391" s="17"/>
      <c r="M391" s="17"/>
      <c r="N391" s="17"/>
      <c r="O391" s="17"/>
      <c r="P391" s="17"/>
      <c r="Q391" s="17"/>
      <c r="R391" s="17"/>
      <c r="S391" s="17"/>
      <c r="T391" s="17"/>
      <c r="U391" s="17"/>
      <c r="V391" s="12"/>
      <c r="W391" s="12"/>
      <c r="X391" s="12"/>
      <c r="Y391" s="12"/>
      <c r="Z391" s="12"/>
    </row>
    <row r="392" spans="1:26" ht="15" customHeight="1" x14ac:dyDescent="0.3">
      <c r="A392" s="26"/>
      <c r="B392" s="17"/>
      <c r="C392" s="17"/>
      <c r="D392" s="17"/>
      <c r="E392" s="17"/>
      <c r="F392" s="17"/>
      <c r="G392" s="17"/>
      <c r="H392" s="17"/>
      <c r="I392" s="17"/>
      <c r="J392" s="17"/>
      <c r="K392" s="17"/>
      <c r="L392" s="17"/>
      <c r="M392" s="17"/>
      <c r="N392" s="17"/>
      <c r="O392" s="17"/>
      <c r="P392" s="17"/>
      <c r="Q392" s="17"/>
      <c r="R392" s="17"/>
      <c r="S392" s="17"/>
      <c r="T392" s="17"/>
      <c r="U392" s="17"/>
      <c r="V392" s="12"/>
      <c r="W392" s="12"/>
      <c r="X392" s="12"/>
      <c r="Y392" s="12"/>
      <c r="Z392" s="12"/>
    </row>
    <row r="393" spans="1:26" ht="15" customHeight="1" x14ac:dyDescent="0.3">
      <c r="A393" s="26"/>
      <c r="B393" s="17"/>
      <c r="C393" s="17"/>
      <c r="D393" s="17"/>
      <c r="E393" s="17"/>
      <c r="F393" s="17"/>
      <c r="G393" s="17"/>
      <c r="H393" s="17"/>
      <c r="I393" s="17"/>
      <c r="J393" s="17"/>
      <c r="K393" s="17"/>
      <c r="L393" s="17"/>
      <c r="M393" s="17"/>
      <c r="N393" s="17"/>
      <c r="O393" s="17"/>
      <c r="P393" s="17"/>
      <c r="Q393" s="17"/>
      <c r="R393" s="17"/>
      <c r="S393" s="17"/>
      <c r="T393" s="17"/>
      <c r="U393" s="17"/>
      <c r="V393" s="12"/>
      <c r="W393" s="12"/>
      <c r="X393" s="12"/>
      <c r="Y393" s="12"/>
      <c r="Z393" s="12"/>
    </row>
    <row r="394" spans="1:26" ht="15" customHeight="1" x14ac:dyDescent="0.3">
      <c r="A394" s="26"/>
      <c r="B394" s="17"/>
      <c r="C394" s="17"/>
      <c r="D394" s="17"/>
      <c r="E394" s="17"/>
      <c r="F394" s="17"/>
      <c r="G394" s="17"/>
      <c r="H394" s="17"/>
      <c r="I394" s="17"/>
      <c r="J394" s="17"/>
      <c r="K394" s="17"/>
      <c r="L394" s="17"/>
      <c r="M394" s="17"/>
      <c r="N394" s="17"/>
      <c r="O394" s="17"/>
      <c r="P394" s="17"/>
      <c r="Q394" s="17"/>
      <c r="R394" s="17"/>
      <c r="S394" s="17"/>
      <c r="T394" s="17"/>
      <c r="U394" s="17"/>
      <c r="V394" s="12"/>
      <c r="W394" s="12"/>
      <c r="X394" s="12"/>
      <c r="Y394" s="12"/>
      <c r="Z394" s="12"/>
    </row>
    <row r="395" spans="1:26" ht="15" customHeight="1" x14ac:dyDescent="0.3">
      <c r="A395" s="26"/>
      <c r="B395" s="17"/>
      <c r="C395" s="17"/>
      <c r="D395" s="17"/>
      <c r="E395" s="17"/>
      <c r="F395" s="17"/>
      <c r="G395" s="17"/>
      <c r="H395" s="17"/>
      <c r="I395" s="17"/>
      <c r="J395" s="17"/>
      <c r="K395" s="17"/>
      <c r="L395" s="17"/>
      <c r="M395" s="17"/>
      <c r="N395" s="17"/>
      <c r="O395" s="17"/>
      <c r="P395" s="17"/>
      <c r="Q395" s="17"/>
      <c r="R395" s="17"/>
      <c r="S395" s="17"/>
      <c r="T395" s="17"/>
      <c r="U395" s="17"/>
      <c r="V395" s="12"/>
      <c r="W395" s="12"/>
      <c r="X395" s="12"/>
      <c r="Y395" s="12"/>
      <c r="Z395" s="12"/>
    </row>
    <row r="396" spans="1:26" ht="15" customHeight="1" x14ac:dyDescent="0.3">
      <c r="A396" s="26"/>
      <c r="B396" s="17"/>
      <c r="C396" s="17"/>
      <c r="D396" s="17"/>
      <c r="E396" s="17"/>
      <c r="F396" s="17"/>
      <c r="G396" s="17"/>
      <c r="H396" s="17"/>
      <c r="I396" s="17"/>
      <c r="J396" s="17"/>
      <c r="K396" s="17"/>
      <c r="L396" s="17"/>
      <c r="M396" s="17"/>
      <c r="N396" s="17"/>
      <c r="O396" s="17"/>
      <c r="P396" s="17"/>
      <c r="Q396" s="17"/>
      <c r="R396" s="17"/>
      <c r="S396" s="17"/>
      <c r="T396" s="17"/>
      <c r="U396" s="17"/>
      <c r="V396" s="12"/>
      <c r="W396" s="12"/>
      <c r="X396" s="12"/>
      <c r="Y396" s="12"/>
      <c r="Z396" s="12"/>
    </row>
    <row r="397" spans="1:26" ht="15" customHeight="1" x14ac:dyDescent="0.3">
      <c r="A397" s="26"/>
      <c r="B397" s="17"/>
      <c r="C397" s="17"/>
      <c r="D397" s="17"/>
      <c r="E397" s="17"/>
      <c r="F397" s="17"/>
      <c r="G397" s="17"/>
      <c r="H397" s="17"/>
      <c r="I397" s="17"/>
      <c r="J397" s="17"/>
      <c r="K397" s="17"/>
      <c r="L397" s="17"/>
      <c r="M397" s="17"/>
      <c r="N397" s="17"/>
      <c r="O397" s="17"/>
      <c r="P397" s="17"/>
      <c r="Q397" s="17"/>
      <c r="R397" s="17"/>
      <c r="S397" s="17"/>
      <c r="T397" s="17"/>
      <c r="U397" s="17"/>
      <c r="V397" s="12"/>
      <c r="W397" s="12"/>
      <c r="X397" s="12"/>
      <c r="Y397" s="12"/>
      <c r="Z397" s="12"/>
    </row>
    <row r="398" spans="1:26" ht="15" customHeight="1" x14ac:dyDescent="0.3">
      <c r="A398" s="26"/>
      <c r="B398" s="17"/>
      <c r="C398" s="17"/>
      <c r="D398" s="17"/>
      <c r="E398" s="17"/>
      <c r="F398" s="17"/>
      <c r="G398" s="17"/>
      <c r="H398" s="17"/>
      <c r="I398" s="17"/>
      <c r="J398" s="17"/>
      <c r="K398" s="17"/>
      <c r="L398" s="17"/>
      <c r="M398" s="17"/>
      <c r="N398" s="17"/>
      <c r="O398" s="17"/>
      <c r="P398" s="17"/>
      <c r="Q398" s="17"/>
      <c r="R398" s="17"/>
      <c r="S398" s="17"/>
      <c r="T398" s="17"/>
      <c r="U398" s="17"/>
      <c r="V398" s="12"/>
      <c r="W398" s="12"/>
      <c r="X398" s="12"/>
      <c r="Y398" s="12"/>
      <c r="Z398" s="12"/>
    </row>
    <row r="399" spans="1:26" ht="15" customHeight="1" x14ac:dyDescent="0.3">
      <c r="A399" s="26"/>
      <c r="B399" s="17"/>
      <c r="C399" s="17"/>
      <c r="D399" s="17"/>
      <c r="E399" s="17"/>
      <c r="F399" s="17"/>
      <c r="G399" s="17"/>
      <c r="H399" s="17"/>
      <c r="I399" s="17"/>
      <c r="J399" s="17"/>
      <c r="K399" s="17"/>
      <c r="L399" s="17"/>
      <c r="M399" s="17"/>
      <c r="N399" s="17"/>
      <c r="O399" s="17"/>
      <c r="P399" s="17"/>
      <c r="Q399" s="17"/>
      <c r="R399" s="17"/>
      <c r="S399" s="17"/>
      <c r="T399" s="17"/>
      <c r="U399" s="17"/>
      <c r="V399" s="12"/>
      <c r="W399" s="12"/>
      <c r="X399" s="12"/>
      <c r="Y399" s="12"/>
      <c r="Z399" s="12"/>
    </row>
    <row r="400" spans="1:26" ht="15" customHeight="1" x14ac:dyDescent="0.3">
      <c r="A400" s="26"/>
      <c r="B400" s="17"/>
      <c r="C400" s="17"/>
      <c r="D400" s="17"/>
      <c r="E400" s="17"/>
      <c r="F400" s="17"/>
      <c r="G400" s="17"/>
      <c r="H400" s="17"/>
      <c r="I400" s="17"/>
      <c r="J400" s="17"/>
      <c r="K400" s="17"/>
      <c r="L400" s="17"/>
      <c r="M400" s="17"/>
      <c r="N400" s="17"/>
      <c r="O400" s="17"/>
      <c r="P400" s="17"/>
      <c r="Q400" s="17"/>
      <c r="R400" s="17"/>
      <c r="S400" s="17"/>
      <c r="T400" s="17"/>
      <c r="U400" s="17"/>
      <c r="V400" s="12"/>
      <c r="W400" s="12"/>
      <c r="X400" s="12"/>
      <c r="Y400" s="12"/>
      <c r="Z400" s="12"/>
    </row>
    <row r="401" spans="1:26" ht="15" customHeight="1" x14ac:dyDescent="0.3">
      <c r="A401" s="26"/>
      <c r="B401" s="17"/>
      <c r="C401" s="17"/>
      <c r="D401" s="17"/>
      <c r="E401" s="17"/>
      <c r="F401" s="17"/>
      <c r="G401" s="17"/>
      <c r="H401" s="17"/>
      <c r="I401" s="17"/>
      <c r="J401" s="17"/>
      <c r="K401" s="17"/>
      <c r="L401" s="17"/>
      <c r="M401" s="17"/>
      <c r="N401" s="17"/>
      <c r="O401" s="17"/>
      <c r="P401" s="17"/>
      <c r="Q401" s="17"/>
      <c r="R401" s="17"/>
      <c r="S401" s="17"/>
      <c r="T401" s="17"/>
      <c r="U401" s="17"/>
      <c r="V401" s="12"/>
      <c r="W401" s="12"/>
      <c r="X401" s="12"/>
      <c r="Y401" s="12"/>
      <c r="Z401" s="12"/>
    </row>
    <row r="402" spans="1:26" ht="15" customHeight="1" x14ac:dyDescent="0.3">
      <c r="A402" s="26"/>
      <c r="B402" s="17"/>
      <c r="C402" s="17"/>
      <c r="D402" s="17"/>
      <c r="E402" s="17"/>
      <c r="F402" s="17"/>
      <c r="G402" s="17"/>
      <c r="H402" s="17"/>
      <c r="I402" s="17"/>
      <c r="J402" s="17"/>
      <c r="K402" s="17"/>
      <c r="L402" s="17"/>
      <c r="M402" s="17"/>
      <c r="N402" s="17"/>
      <c r="O402" s="17"/>
      <c r="P402" s="17"/>
      <c r="Q402" s="17"/>
      <c r="R402" s="17"/>
      <c r="S402" s="17"/>
      <c r="T402" s="17"/>
      <c r="U402" s="17"/>
      <c r="V402" s="12"/>
      <c r="W402" s="12"/>
      <c r="X402" s="12"/>
      <c r="Y402" s="12"/>
      <c r="Z402" s="12"/>
    </row>
    <row r="403" spans="1:26" ht="15" customHeight="1" x14ac:dyDescent="0.3">
      <c r="A403" s="26"/>
      <c r="B403" s="17"/>
      <c r="C403" s="17"/>
      <c r="D403" s="17"/>
      <c r="E403" s="17"/>
      <c r="F403" s="17"/>
      <c r="G403" s="17"/>
      <c r="H403" s="17"/>
      <c r="I403" s="17"/>
      <c r="J403" s="17"/>
      <c r="K403" s="17"/>
      <c r="L403" s="17"/>
      <c r="M403" s="17"/>
      <c r="N403" s="17"/>
      <c r="O403" s="17"/>
      <c r="P403" s="17"/>
      <c r="Q403" s="17"/>
      <c r="R403" s="17"/>
      <c r="S403" s="17"/>
      <c r="T403" s="17"/>
      <c r="U403" s="17"/>
      <c r="V403" s="12"/>
      <c r="W403" s="12"/>
      <c r="X403" s="12"/>
      <c r="Y403" s="12"/>
      <c r="Z403" s="12"/>
    </row>
    <row r="404" spans="1:26" ht="15" customHeight="1" x14ac:dyDescent="0.3">
      <c r="A404" s="26"/>
      <c r="B404" s="17"/>
      <c r="C404" s="17"/>
      <c r="D404" s="17"/>
      <c r="E404" s="17"/>
      <c r="F404" s="17"/>
      <c r="G404" s="17"/>
      <c r="H404" s="17"/>
      <c r="I404" s="17"/>
      <c r="J404" s="17"/>
      <c r="K404" s="17"/>
      <c r="L404" s="17"/>
      <c r="M404" s="17"/>
      <c r="N404" s="17"/>
      <c r="O404" s="17"/>
      <c r="P404" s="17"/>
      <c r="Q404" s="17"/>
      <c r="R404" s="17"/>
      <c r="S404" s="17"/>
      <c r="T404" s="17"/>
      <c r="U404" s="17"/>
      <c r="V404" s="12"/>
      <c r="W404" s="12"/>
      <c r="X404" s="12"/>
      <c r="Y404" s="12"/>
      <c r="Z404" s="12"/>
    </row>
    <row r="405" spans="1:26" ht="15" customHeight="1" x14ac:dyDescent="0.3">
      <c r="A405" s="26"/>
      <c r="B405" s="17"/>
      <c r="C405" s="17"/>
      <c r="D405" s="17"/>
      <c r="E405" s="17"/>
      <c r="F405" s="17"/>
      <c r="G405" s="17"/>
      <c r="H405" s="17"/>
      <c r="I405" s="17"/>
      <c r="J405" s="17"/>
      <c r="K405" s="17"/>
      <c r="L405" s="17"/>
      <c r="M405" s="17"/>
      <c r="N405" s="17"/>
      <c r="O405" s="17"/>
      <c r="P405" s="17"/>
      <c r="Q405" s="17"/>
      <c r="R405" s="17"/>
      <c r="S405" s="17"/>
      <c r="T405" s="17"/>
      <c r="U405" s="17"/>
      <c r="V405" s="12"/>
      <c r="W405" s="12"/>
      <c r="X405" s="12"/>
      <c r="Y405" s="12"/>
      <c r="Z405" s="12"/>
    </row>
    <row r="406" spans="1:26" ht="15" customHeight="1" x14ac:dyDescent="0.3">
      <c r="A406" s="26"/>
      <c r="B406" s="17"/>
      <c r="C406" s="17"/>
      <c r="D406" s="17"/>
      <c r="E406" s="17"/>
      <c r="F406" s="17"/>
      <c r="G406" s="17"/>
      <c r="H406" s="17"/>
      <c r="I406" s="17"/>
      <c r="J406" s="17"/>
      <c r="K406" s="17"/>
      <c r="L406" s="17"/>
      <c r="M406" s="17"/>
      <c r="N406" s="17"/>
      <c r="O406" s="17"/>
      <c r="P406" s="17"/>
      <c r="Q406" s="17"/>
      <c r="R406" s="17"/>
      <c r="S406" s="17"/>
      <c r="T406" s="17"/>
      <c r="U406" s="17"/>
      <c r="V406" s="12"/>
      <c r="W406" s="12"/>
      <c r="X406" s="12"/>
      <c r="Y406" s="12"/>
      <c r="Z406" s="12"/>
    </row>
    <row r="407" spans="1:26" ht="15" customHeight="1" x14ac:dyDescent="0.3">
      <c r="A407" s="26"/>
      <c r="B407" s="17"/>
      <c r="C407" s="17"/>
      <c r="D407" s="17"/>
      <c r="E407" s="17"/>
      <c r="F407" s="17"/>
      <c r="G407" s="17"/>
      <c r="H407" s="17"/>
      <c r="I407" s="17"/>
      <c r="J407" s="17"/>
      <c r="K407" s="17"/>
      <c r="L407" s="17"/>
      <c r="M407" s="17"/>
      <c r="N407" s="17"/>
      <c r="O407" s="17"/>
      <c r="P407" s="17"/>
      <c r="Q407" s="17"/>
      <c r="R407" s="17"/>
      <c r="S407" s="17"/>
      <c r="T407" s="17"/>
      <c r="U407" s="17"/>
      <c r="V407" s="12"/>
      <c r="W407" s="12"/>
      <c r="X407" s="12"/>
      <c r="Y407" s="12"/>
      <c r="Z407" s="12"/>
    </row>
    <row r="408" spans="1:26" ht="15" customHeight="1" x14ac:dyDescent="0.3">
      <c r="A408" s="26"/>
      <c r="B408" s="17"/>
      <c r="C408" s="17"/>
      <c r="D408" s="17"/>
      <c r="E408" s="17"/>
      <c r="F408" s="17"/>
      <c r="G408" s="17"/>
      <c r="H408" s="17"/>
      <c r="I408" s="17"/>
      <c r="J408" s="17"/>
      <c r="K408" s="17"/>
      <c r="L408" s="17"/>
      <c r="M408" s="17"/>
      <c r="N408" s="17"/>
      <c r="O408" s="17"/>
      <c r="P408" s="17"/>
      <c r="Q408" s="17"/>
      <c r="R408" s="17"/>
      <c r="S408" s="17"/>
      <c r="T408" s="17"/>
      <c r="U408" s="17"/>
      <c r="V408" s="12"/>
      <c r="W408" s="12"/>
      <c r="X408" s="12"/>
      <c r="Y408" s="12"/>
      <c r="Z408" s="12"/>
    </row>
    <row r="409" spans="1:26" ht="15" customHeight="1" x14ac:dyDescent="0.3">
      <c r="A409" s="26"/>
      <c r="B409" s="17"/>
      <c r="C409" s="17"/>
      <c r="D409" s="17"/>
      <c r="E409" s="17"/>
      <c r="F409" s="17"/>
      <c r="G409" s="17"/>
      <c r="H409" s="17"/>
      <c r="I409" s="17"/>
      <c r="J409" s="17"/>
      <c r="K409" s="17"/>
      <c r="L409" s="17"/>
      <c r="M409" s="17"/>
      <c r="N409" s="17"/>
      <c r="O409" s="17"/>
      <c r="P409" s="17"/>
      <c r="Q409" s="17"/>
      <c r="R409" s="17"/>
      <c r="S409" s="17"/>
      <c r="T409" s="17"/>
      <c r="U409" s="17"/>
      <c r="V409" s="12"/>
      <c r="W409" s="12"/>
      <c r="X409" s="12"/>
      <c r="Y409" s="12"/>
      <c r="Z409" s="12"/>
    </row>
    <row r="410" spans="1:26" ht="15" customHeight="1" x14ac:dyDescent="0.3">
      <c r="A410" s="26"/>
      <c r="B410" s="17"/>
      <c r="C410" s="17"/>
      <c r="D410" s="17"/>
      <c r="E410" s="17"/>
      <c r="F410" s="17"/>
      <c r="G410" s="17"/>
      <c r="H410" s="17"/>
      <c r="I410" s="17"/>
      <c r="J410" s="17"/>
      <c r="K410" s="17"/>
      <c r="L410" s="17"/>
      <c r="M410" s="17"/>
      <c r="N410" s="17"/>
      <c r="O410" s="17"/>
      <c r="P410" s="17"/>
      <c r="Q410" s="17"/>
      <c r="R410" s="17"/>
      <c r="S410" s="17"/>
      <c r="T410" s="17"/>
      <c r="U410" s="17"/>
      <c r="V410" s="12"/>
      <c r="W410" s="12"/>
      <c r="X410" s="12"/>
      <c r="Y410" s="12"/>
      <c r="Z410" s="12"/>
    </row>
    <row r="411" spans="1:26" ht="15" customHeight="1" x14ac:dyDescent="0.3">
      <c r="A411" s="26"/>
      <c r="B411" s="17"/>
      <c r="C411" s="17"/>
      <c r="D411" s="17"/>
      <c r="E411" s="17"/>
      <c r="F411" s="17"/>
      <c r="G411" s="17"/>
      <c r="H411" s="17"/>
      <c r="I411" s="17"/>
      <c r="J411" s="17"/>
      <c r="K411" s="17"/>
      <c r="L411" s="17"/>
      <c r="M411" s="17"/>
      <c r="N411" s="17"/>
      <c r="O411" s="17"/>
      <c r="P411" s="17"/>
      <c r="Q411" s="17"/>
      <c r="R411" s="17"/>
      <c r="S411" s="17"/>
      <c r="T411" s="17"/>
      <c r="U411" s="17"/>
      <c r="V411" s="12"/>
      <c r="W411" s="12"/>
      <c r="X411" s="12"/>
      <c r="Y411" s="12"/>
      <c r="Z411" s="12"/>
    </row>
    <row r="412" spans="1:26" ht="15" customHeight="1" x14ac:dyDescent="0.3">
      <c r="A412" s="26"/>
      <c r="B412" s="17"/>
      <c r="C412" s="17"/>
      <c r="D412" s="17"/>
      <c r="E412" s="17"/>
      <c r="F412" s="17"/>
      <c r="G412" s="17"/>
      <c r="H412" s="17"/>
      <c r="I412" s="17"/>
      <c r="J412" s="17"/>
      <c r="K412" s="17"/>
      <c r="L412" s="17"/>
      <c r="M412" s="17"/>
      <c r="N412" s="17"/>
      <c r="O412" s="17"/>
      <c r="P412" s="17"/>
      <c r="Q412" s="17"/>
      <c r="R412" s="17"/>
      <c r="S412" s="17"/>
      <c r="T412" s="17"/>
      <c r="U412" s="17"/>
      <c r="V412" s="12"/>
      <c r="W412" s="12"/>
      <c r="X412" s="12"/>
      <c r="Y412" s="12"/>
      <c r="Z412" s="12"/>
    </row>
    <row r="413" spans="1:26" ht="15" customHeight="1" x14ac:dyDescent="0.3">
      <c r="A413" s="26"/>
      <c r="B413" s="17"/>
      <c r="C413" s="17"/>
      <c r="D413" s="17"/>
      <c r="E413" s="17"/>
      <c r="F413" s="17"/>
      <c r="G413" s="17"/>
      <c r="H413" s="17"/>
      <c r="I413" s="17"/>
      <c r="J413" s="17"/>
      <c r="K413" s="17"/>
      <c r="L413" s="17"/>
      <c r="M413" s="17"/>
      <c r="N413" s="17"/>
      <c r="O413" s="17"/>
      <c r="P413" s="17"/>
      <c r="Q413" s="17"/>
      <c r="R413" s="17"/>
      <c r="S413" s="17"/>
      <c r="T413" s="17"/>
      <c r="U413" s="17"/>
      <c r="V413" s="12"/>
      <c r="W413" s="12"/>
      <c r="X413" s="12"/>
      <c r="Y413" s="12"/>
      <c r="Z413" s="12"/>
    </row>
    <row r="414" spans="1:26" ht="15" customHeight="1" x14ac:dyDescent="0.3">
      <c r="A414" s="26"/>
      <c r="B414" s="17"/>
      <c r="C414" s="17"/>
      <c r="D414" s="17"/>
      <c r="E414" s="17"/>
      <c r="F414" s="17"/>
      <c r="G414" s="17"/>
      <c r="H414" s="17"/>
      <c r="I414" s="17"/>
      <c r="J414" s="17"/>
      <c r="K414" s="17"/>
      <c r="L414" s="17"/>
      <c r="M414" s="17"/>
      <c r="N414" s="17"/>
      <c r="O414" s="17"/>
      <c r="P414" s="17"/>
      <c r="Q414" s="17"/>
      <c r="R414" s="17"/>
      <c r="S414" s="17"/>
      <c r="T414" s="17"/>
      <c r="U414" s="17"/>
      <c r="V414" s="12"/>
      <c r="W414" s="12"/>
      <c r="X414" s="12"/>
      <c r="Y414" s="12"/>
      <c r="Z414" s="12"/>
    </row>
    <row r="415" spans="1:26" ht="15" customHeight="1" x14ac:dyDescent="0.3">
      <c r="A415" s="26"/>
      <c r="B415" s="17"/>
      <c r="C415" s="17"/>
      <c r="D415" s="17"/>
      <c r="E415" s="17"/>
      <c r="F415" s="17"/>
      <c r="G415" s="17"/>
      <c r="H415" s="17"/>
      <c r="I415" s="17"/>
      <c r="J415" s="17"/>
      <c r="K415" s="17"/>
      <c r="L415" s="17"/>
      <c r="M415" s="17"/>
      <c r="N415" s="17"/>
      <c r="O415" s="17"/>
      <c r="P415" s="17"/>
      <c r="Q415" s="17"/>
      <c r="R415" s="17"/>
      <c r="S415" s="17"/>
      <c r="T415" s="17"/>
      <c r="U415" s="17"/>
      <c r="V415" s="12"/>
      <c r="W415" s="12"/>
      <c r="X415" s="12"/>
      <c r="Y415" s="12"/>
      <c r="Z415" s="12"/>
    </row>
    <row r="416" spans="1:26" ht="15" customHeight="1" x14ac:dyDescent="0.3">
      <c r="A416" s="26"/>
      <c r="B416" s="17"/>
      <c r="C416" s="17"/>
      <c r="D416" s="17"/>
      <c r="E416" s="17"/>
      <c r="F416" s="17"/>
      <c r="G416" s="17"/>
      <c r="H416" s="17"/>
      <c r="I416" s="17"/>
      <c r="J416" s="17"/>
      <c r="K416" s="17"/>
      <c r="L416" s="17"/>
      <c r="M416" s="17"/>
      <c r="N416" s="17"/>
      <c r="O416" s="17"/>
      <c r="P416" s="17"/>
      <c r="Q416" s="17"/>
      <c r="R416" s="17"/>
      <c r="S416" s="17"/>
      <c r="T416" s="17"/>
      <c r="U416" s="17"/>
      <c r="V416" s="12"/>
      <c r="W416" s="12"/>
      <c r="X416" s="12"/>
      <c r="Y416" s="12"/>
      <c r="Z416" s="12"/>
    </row>
    <row r="417" spans="1:26" ht="15" customHeight="1" x14ac:dyDescent="0.3">
      <c r="A417" s="26"/>
      <c r="B417" s="17"/>
      <c r="C417" s="17"/>
      <c r="D417" s="17"/>
      <c r="E417" s="17"/>
      <c r="F417" s="17"/>
      <c r="G417" s="17"/>
      <c r="H417" s="17"/>
      <c r="I417" s="17"/>
      <c r="J417" s="17"/>
      <c r="K417" s="17"/>
      <c r="L417" s="17"/>
      <c r="M417" s="17"/>
      <c r="N417" s="17"/>
      <c r="O417" s="17"/>
      <c r="P417" s="17"/>
      <c r="Q417" s="17"/>
      <c r="R417" s="17"/>
      <c r="S417" s="17"/>
      <c r="T417" s="17"/>
      <c r="U417" s="17"/>
      <c r="V417" s="12"/>
      <c r="W417" s="12"/>
      <c r="X417" s="12"/>
      <c r="Y417" s="12"/>
      <c r="Z417" s="12"/>
    </row>
    <row r="418" spans="1:26" ht="15" customHeight="1" x14ac:dyDescent="0.3">
      <c r="A418" s="26"/>
      <c r="B418" s="17"/>
      <c r="C418" s="17"/>
      <c r="D418" s="17"/>
      <c r="E418" s="17"/>
      <c r="F418" s="17"/>
      <c r="G418" s="17"/>
      <c r="H418" s="17"/>
      <c r="I418" s="17"/>
      <c r="J418" s="17"/>
      <c r="K418" s="17"/>
      <c r="L418" s="17"/>
      <c r="M418" s="17"/>
      <c r="N418" s="17"/>
      <c r="O418" s="17"/>
      <c r="P418" s="17"/>
      <c r="Q418" s="17"/>
      <c r="R418" s="17"/>
      <c r="S418" s="17"/>
      <c r="T418" s="17"/>
      <c r="U418" s="17"/>
      <c r="V418" s="12"/>
      <c r="W418" s="12"/>
      <c r="X418" s="12"/>
      <c r="Y418" s="12"/>
      <c r="Z418" s="12"/>
    </row>
    <row r="419" spans="1:26" ht="15" customHeight="1" x14ac:dyDescent="0.3">
      <c r="A419" s="26"/>
      <c r="B419" s="17"/>
      <c r="C419" s="17"/>
      <c r="D419" s="17"/>
      <c r="E419" s="17"/>
      <c r="F419" s="17"/>
      <c r="G419" s="17"/>
      <c r="H419" s="17"/>
      <c r="I419" s="17"/>
      <c r="J419" s="17"/>
      <c r="K419" s="17"/>
      <c r="L419" s="17"/>
      <c r="M419" s="17"/>
      <c r="N419" s="17"/>
      <c r="O419" s="17"/>
      <c r="P419" s="17"/>
      <c r="Q419" s="17"/>
      <c r="R419" s="17"/>
      <c r="S419" s="17"/>
      <c r="T419" s="17"/>
      <c r="U419" s="17"/>
      <c r="V419" s="12"/>
      <c r="W419" s="12"/>
      <c r="X419" s="12"/>
      <c r="Y419" s="12"/>
      <c r="Z419" s="12"/>
    </row>
    <row r="420" spans="1:26" ht="15" customHeight="1" x14ac:dyDescent="0.3">
      <c r="A420" s="26"/>
      <c r="B420" s="17"/>
      <c r="C420" s="17"/>
      <c r="D420" s="17"/>
      <c r="E420" s="17"/>
      <c r="F420" s="17"/>
      <c r="G420" s="17"/>
      <c r="H420" s="17"/>
      <c r="I420" s="17"/>
      <c r="J420" s="17"/>
      <c r="K420" s="17"/>
      <c r="L420" s="17"/>
      <c r="M420" s="17"/>
      <c r="N420" s="17"/>
      <c r="O420" s="17"/>
      <c r="P420" s="17"/>
      <c r="Q420" s="17"/>
      <c r="R420" s="17"/>
      <c r="S420" s="17"/>
      <c r="T420" s="17"/>
      <c r="U420" s="17"/>
      <c r="V420" s="12"/>
      <c r="W420" s="12"/>
      <c r="X420" s="12"/>
      <c r="Y420" s="12"/>
      <c r="Z420" s="12"/>
    </row>
    <row r="421" spans="1:26" ht="15" customHeight="1" x14ac:dyDescent="0.3">
      <c r="A421" s="26"/>
      <c r="B421" s="17"/>
      <c r="C421" s="17"/>
      <c r="D421" s="17"/>
      <c r="E421" s="17"/>
      <c r="F421" s="17"/>
      <c r="G421" s="17"/>
      <c r="H421" s="17"/>
      <c r="I421" s="17"/>
      <c r="J421" s="17"/>
      <c r="K421" s="17"/>
      <c r="L421" s="17"/>
      <c r="M421" s="17"/>
      <c r="N421" s="17"/>
      <c r="O421" s="17"/>
      <c r="P421" s="17"/>
      <c r="Q421" s="17"/>
      <c r="R421" s="17"/>
      <c r="S421" s="17"/>
      <c r="T421" s="17"/>
      <c r="U421" s="17"/>
      <c r="V421" s="12"/>
      <c r="W421" s="12"/>
      <c r="X421" s="12"/>
      <c r="Y421" s="12"/>
      <c r="Z421" s="12"/>
    </row>
    <row r="422" spans="1:26" ht="15" customHeight="1" x14ac:dyDescent="0.3">
      <c r="A422" s="26"/>
      <c r="B422" s="17"/>
      <c r="C422" s="17"/>
      <c r="D422" s="17"/>
      <c r="E422" s="17"/>
      <c r="F422" s="17"/>
      <c r="G422" s="17"/>
      <c r="H422" s="17"/>
      <c r="I422" s="17"/>
      <c r="J422" s="17"/>
      <c r="K422" s="17"/>
      <c r="L422" s="17"/>
      <c r="M422" s="17"/>
      <c r="N422" s="17"/>
      <c r="O422" s="17"/>
      <c r="P422" s="17"/>
      <c r="Q422" s="17"/>
      <c r="R422" s="17"/>
      <c r="S422" s="17"/>
      <c r="T422" s="17"/>
      <c r="U422" s="17"/>
      <c r="V422" s="12"/>
      <c r="W422" s="12"/>
      <c r="X422" s="12"/>
      <c r="Y422" s="12"/>
      <c r="Z422" s="12"/>
    </row>
    <row r="423" spans="1:26" ht="15" customHeight="1" x14ac:dyDescent="0.3">
      <c r="A423" s="26"/>
      <c r="B423" s="17"/>
      <c r="C423" s="17"/>
      <c r="D423" s="17"/>
      <c r="E423" s="17"/>
      <c r="F423" s="17"/>
      <c r="G423" s="17"/>
      <c r="H423" s="17"/>
      <c r="I423" s="17"/>
      <c r="J423" s="17"/>
      <c r="K423" s="17"/>
      <c r="L423" s="17"/>
      <c r="M423" s="17"/>
      <c r="N423" s="17"/>
      <c r="O423" s="17"/>
      <c r="P423" s="17"/>
      <c r="Q423" s="17"/>
      <c r="R423" s="17"/>
      <c r="S423" s="17"/>
      <c r="T423" s="17"/>
      <c r="U423" s="17"/>
      <c r="V423" s="12"/>
      <c r="W423" s="12"/>
      <c r="X423" s="12"/>
      <c r="Y423" s="12"/>
      <c r="Z423" s="12"/>
    </row>
    <row r="424" spans="1:26" ht="15" customHeight="1" x14ac:dyDescent="0.3">
      <c r="A424" s="26"/>
      <c r="B424" s="17"/>
      <c r="C424" s="17"/>
      <c r="D424" s="17"/>
      <c r="E424" s="17"/>
      <c r="F424" s="17"/>
      <c r="G424" s="17"/>
      <c r="H424" s="17"/>
      <c r="I424" s="17"/>
      <c r="J424" s="17"/>
      <c r="K424" s="17"/>
      <c r="L424" s="17"/>
      <c r="M424" s="17"/>
      <c r="N424" s="17"/>
      <c r="O424" s="17"/>
      <c r="P424" s="17"/>
      <c r="Q424" s="17"/>
      <c r="R424" s="17"/>
      <c r="S424" s="17"/>
      <c r="T424" s="17"/>
      <c r="U424" s="17"/>
      <c r="V424" s="12"/>
      <c r="W424" s="12"/>
      <c r="X424" s="12"/>
      <c r="Y424" s="12"/>
      <c r="Z424" s="12"/>
    </row>
    <row r="425" spans="1:26" ht="15" customHeight="1" x14ac:dyDescent="0.3">
      <c r="A425" s="26"/>
      <c r="B425" s="17"/>
      <c r="C425" s="17"/>
      <c r="D425" s="17"/>
      <c r="E425" s="17"/>
      <c r="F425" s="17"/>
      <c r="G425" s="17"/>
      <c r="H425" s="17"/>
      <c r="I425" s="17"/>
      <c r="J425" s="17"/>
      <c r="K425" s="17"/>
      <c r="L425" s="17"/>
      <c r="M425" s="17"/>
      <c r="N425" s="17"/>
      <c r="O425" s="17"/>
      <c r="P425" s="17"/>
      <c r="Q425" s="17"/>
      <c r="R425" s="17"/>
      <c r="S425" s="17"/>
      <c r="T425" s="17"/>
      <c r="U425" s="17"/>
      <c r="V425" s="12"/>
      <c r="W425" s="12"/>
      <c r="X425" s="12"/>
      <c r="Y425" s="12"/>
      <c r="Z425" s="12"/>
    </row>
    <row r="426" spans="1:26" ht="15" customHeight="1" x14ac:dyDescent="0.3">
      <c r="A426" s="26"/>
      <c r="B426" s="17"/>
      <c r="C426" s="17"/>
      <c r="D426" s="17"/>
      <c r="E426" s="17"/>
      <c r="F426" s="17"/>
      <c r="G426" s="17"/>
      <c r="H426" s="17"/>
      <c r="I426" s="17"/>
      <c r="J426" s="17"/>
      <c r="K426" s="17"/>
      <c r="L426" s="17"/>
      <c r="M426" s="17"/>
      <c r="N426" s="17"/>
      <c r="O426" s="17"/>
      <c r="P426" s="17"/>
      <c r="Q426" s="17"/>
      <c r="R426" s="17"/>
      <c r="S426" s="17"/>
      <c r="T426" s="17"/>
      <c r="U426" s="17"/>
      <c r="V426" s="12"/>
      <c r="W426" s="12"/>
      <c r="X426" s="12"/>
      <c r="Y426" s="12"/>
      <c r="Z426" s="12"/>
    </row>
    <row r="427" spans="1:26" ht="15" customHeight="1" x14ac:dyDescent="0.3">
      <c r="A427" s="26"/>
      <c r="B427" s="17"/>
      <c r="C427" s="17"/>
      <c r="D427" s="17"/>
      <c r="E427" s="17"/>
      <c r="F427" s="17"/>
      <c r="G427" s="17"/>
      <c r="H427" s="17"/>
      <c r="I427" s="17"/>
      <c r="J427" s="17"/>
      <c r="K427" s="17"/>
      <c r="L427" s="17"/>
      <c r="M427" s="17"/>
      <c r="N427" s="17"/>
      <c r="O427" s="17"/>
      <c r="P427" s="17"/>
      <c r="Q427" s="17"/>
      <c r="R427" s="17"/>
      <c r="S427" s="17"/>
      <c r="T427" s="17"/>
      <c r="U427" s="17"/>
      <c r="V427" s="12"/>
      <c r="W427" s="12"/>
      <c r="X427" s="12"/>
      <c r="Y427" s="12"/>
      <c r="Z427" s="12"/>
    </row>
    <row r="428" spans="1:26" ht="15" customHeight="1" x14ac:dyDescent="0.3">
      <c r="A428" s="26"/>
      <c r="B428" s="17"/>
      <c r="C428" s="17"/>
      <c r="D428" s="17"/>
      <c r="E428" s="17"/>
      <c r="F428" s="17"/>
      <c r="G428" s="17"/>
      <c r="H428" s="17"/>
      <c r="I428" s="17"/>
      <c r="J428" s="17"/>
      <c r="K428" s="17"/>
      <c r="L428" s="17"/>
      <c r="M428" s="17"/>
      <c r="N428" s="17"/>
      <c r="O428" s="17"/>
      <c r="P428" s="17"/>
      <c r="Q428" s="17"/>
      <c r="R428" s="17"/>
      <c r="S428" s="17"/>
      <c r="T428" s="17"/>
      <c r="U428" s="17"/>
      <c r="V428" s="12"/>
      <c r="W428" s="12"/>
      <c r="X428" s="12"/>
      <c r="Y428" s="12"/>
      <c r="Z428" s="12"/>
    </row>
    <row r="429" spans="1:26" ht="15" customHeight="1" x14ac:dyDescent="0.3">
      <c r="A429" s="26"/>
      <c r="B429" s="17"/>
      <c r="C429" s="17"/>
      <c r="D429" s="17"/>
      <c r="E429" s="17"/>
      <c r="F429" s="17"/>
      <c r="G429" s="17"/>
      <c r="H429" s="17"/>
      <c r="I429" s="17"/>
      <c r="J429" s="17"/>
      <c r="K429" s="17"/>
      <c r="L429" s="17"/>
      <c r="M429" s="17"/>
      <c r="N429" s="17"/>
      <c r="O429" s="17"/>
      <c r="P429" s="17"/>
      <c r="Q429" s="17"/>
      <c r="R429" s="17"/>
      <c r="S429" s="17"/>
      <c r="T429" s="17"/>
      <c r="U429" s="17"/>
      <c r="V429" s="12"/>
      <c r="W429" s="12"/>
      <c r="X429" s="12"/>
      <c r="Y429" s="12"/>
      <c r="Z429" s="12"/>
    </row>
    <row r="430" spans="1:26" ht="15" customHeight="1" x14ac:dyDescent="0.3">
      <c r="A430" s="26"/>
      <c r="B430" s="17"/>
      <c r="C430" s="17"/>
      <c r="D430" s="17"/>
      <c r="E430" s="17"/>
      <c r="F430" s="17"/>
      <c r="G430" s="17"/>
      <c r="H430" s="17"/>
      <c r="I430" s="17"/>
      <c r="J430" s="17"/>
      <c r="K430" s="17"/>
      <c r="L430" s="17"/>
      <c r="M430" s="17"/>
      <c r="N430" s="17"/>
      <c r="O430" s="17"/>
      <c r="P430" s="17"/>
      <c r="Q430" s="17"/>
      <c r="R430" s="17"/>
      <c r="S430" s="17"/>
      <c r="T430" s="17"/>
      <c r="U430" s="17"/>
      <c r="V430" s="12"/>
      <c r="W430" s="12"/>
      <c r="X430" s="12"/>
      <c r="Y430" s="12"/>
      <c r="Z430" s="12"/>
    </row>
    <row r="431" spans="1:26" ht="15" customHeight="1" x14ac:dyDescent="0.3">
      <c r="A431" s="26"/>
      <c r="B431" s="17"/>
      <c r="C431" s="17"/>
      <c r="D431" s="17"/>
      <c r="E431" s="17"/>
      <c r="F431" s="17"/>
      <c r="G431" s="17"/>
      <c r="H431" s="17"/>
      <c r="I431" s="17"/>
      <c r="J431" s="17"/>
      <c r="K431" s="17"/>
      <c r="L431" s="17"/>
      <c r="M431" s="17"/>
      <c r="N431" s="17"/>
      <c r="O431" s="17"/>
      <c r="P431" s="17"/>
      <c r="Q431" s="17"/>
      <c r="R431" s="17"/>
      <c r="S431" s="17"/>
      <c r="T431" s="17"/>
      <c r="U431" s="17"/>
      <c r="V431" s="12"/>
      <c r="W431" s="12"/>
      <c r="X431" s="12"/>
      <c r="Y431" s="12"/>
      <c r="Z431" s="12"/>
    </row>
    <row r="432" spans="1:26" ht="15" customHeight="1" x14ac:dyDescent="0.3">
      <c r="A432" s="26"/>
      <c r="B432" s="17"/>
      <c r="C432" s="17"/>
      <c r="D432" s="17"/>
      <c r="E432" s="17"/>
      <c r="F432" s="17"/>
      <c r="G432" s="17"/>
      <c r="H432" s="17"/>
      <c r="I432" s="17"/>
      <c r="J432" s="17"/>
      <c r="K432" s="17"/>
      <c r="L432" s="17"/>
      <c r="M432" s="17"/>
      <c r="N432" s="17"/>
      <c r="O432" s="17"/>
      <c r="P432" s="17"/>
      <c r="Q432" s="17"/>
      <c r="R432" s="17"/>
      <c r="S432" s="17"/>
      <c r="T432" s="17"/>
      <c r="U432" s="17"/>
      <c r="V432" s="12"/>
      <c r="W432" s="12"/>
      <c r="X432" s="12"/>
      <c r="Y432" s="12"/>
      <c r="Z432" s="12"/>
    </row>
    <row r="433" spans="1:26" ht="15" customHeight="1" x14ac:dyDescent="0.3">
      <c r="A433" s="26"/>
      <c r="B433" s="17"/>
      <c r="C433" s="17"/>
      <c r="D433" s="17"/>
      <c r="E433" s="17"/>
      <c r="F433" s="17"/>
      <c r="G433" s="17"/>
      <c r="H433" s="17"/>
      <c r="I433" s="17"/>
      <c r="J433" s="17"/>
      <c r="K433" s="17"/>
      <c r="L433" s="17"/>
      <c r="M433" s="17"/>
      <c r="N433" s="17"/>
      <c r="O433" s="17"/>
      <c r="P433" s="17"/>
      <c r="Q433" s="17"/>
      <c r="R433" s="17"/>
      <c r="S433" s="17"/>
      <c r="T433" s="17"/>
      <c r="U433" s="17"/>
      <c r="V433" s="12"/>
      <c r="W433" s="12"/>
      <c r="X433" s="12"/>
      <c r="Y433" s="12"/>
      <c r="Z433" s="12"/>
    </row>
    <row r="434" spans="1:26" ht="15" customHeight="1" x14ac:dyDescent="0.3">
      <c r="A434" s="26"/>
      <c r="B434" s="17"/>
      <c r="C434" s="17"/>
      <c r="D434" s="17"/>
      <c r="E434" s="17"/>
      <c r="F434" s="17"/>
      <c r="G434" s="17"/>
      <c r="H434" s="17"/>
      <c r="I434" s="17"/>
      <c r="J434" s="17"/>
      <c r="K434" s="17"/>
      <c r="L434" s="17"/>
      <c r="M434" s="17"/>
      <c r="N434" s="17"/>
      <c r="O434" s="17"/>
      <c r="P434" s="17"/>
      <c r="Q434" s="17"/>
      <c r="R434" s="17"/>
      <c r="S434" s="17"/>
      <c r="T434" s="17"/>
      <c r="U434" s="17"/>
      <c r="V434" s="12"/>
      <c r="W434" s="12"/>
      <c r="X434" s="12"/>
      <c r="Y434" s="12"/>
      <c r="Z434" s="12"/>
    </row>
    <row r="435" spans="1:26" ht="15" customHeight="1" x14ac:dyDescent="0.3">
      <c r="A435" s="26"/>
      <c r="B435" s="17"/>
      <c r="C435" s="17"/>
      <c r="D435" s="17"/>
      <c r="E435" s="17"/>
      <c r="F435" s="17"/>
      <c r="G435" s="17"/>
      <c r="H435" s="17"/>
      <c r="I435" s="17"/>
      <c r="J435" s="17"/>
      <c r="K435" s="17"/>
      <c r="L435" s="17"/>
      <c r="M435" s="17"/>
      <c r="N435" s="17"/>
      <c r="O435" s="17"/>
      <c r="P435" s="17"/>
      <c r="Q435" s="17"/>
      <c r="R435" s="17"/>
      <c r="S435" s="17"/>
      <c r="T435" s="17"/>
      <c r="U435" s="17"/>
      <c r="V435" s="12"/>
      <c r="W435" s="12"/>
      <c r="X435" s="12"/>
      <c r="Y435" s="12"/>
      <c r="Z435" s="12"/>
    </row>
    <row r="436" spans="1:26" ht="15" customHeight="1" x14ac:dyDescent="0.3">
      <c r="A436" s="26"/>
      <c r="B436" s="17"/>
      <c r="C436" s="17"/>
      <c r="D436" s="17"/>
      <c r="E436" s="17"/>
      <c r="F436" s="17"/>
      <c r="G436" s="17"/>
      <c r="H436" s="17"/>
      <c r="I436" s="17"/>
      <c r="J436" s="17"/>
      <c r="K436" s="17"/>
      <c r="L436" s="17"/>
      <c r="M436" s="17"/>
      <c r="N436" s="17"/>
      <c r="O436" s="17"/>
      <c r="P436" s="17"/>
      <c r="Q436" s="17"/>
      <c r="R436" s="17"/>
      <c r="S436" s="17"/>
      <c r="T436" s="17"/>
      <c r="U436" s="17"/>
      <c r="V436" s="12"/>
      <c r="W436" s="12"/>
      <c r="X436" s="12"/>
      <c r="Y436" s="12"/>
      <c r="Z436" s="12"/>
    </row>
    <row r="437" spans="1:26" ht="15" customHeight="1" x14ac:dyDescent="0.3">
      <c r="A437" s="26"/>
      <c r="B437" s="17"/>
      <c r="C437" s="17"/>
      <c r="D437" s="17"/>
      <c r="E437" s="17"/>
      <c r="F437" s="17"/>
      <c r="G437" s="17"/>
      <c r="H437" s="17"/>
      <c r="I437" s="17"/>
      <c r="J437" s="17"/>
      <c r="K437" s="17"/>
      <c r="L437" s="17"/>
      <c r="M437" s="17"/>
      <c r="N437" s="17"/>
      <c r="O437" s="17"/>
      <c r="P437" s="17"/>
      <c r="Q437" s="17"/>
      <c r="R437" s="17"/>
      <c r="S437" s="17"/>
      <c r="T437" s="17"/>
      <c r="U437" s="17"/>
      <c r="V437" s="12"/>
      <c r="W437" s="12"/>
      <c r="X437" s="12"/>
      <c r="Y437" s="12"/>
      <c r="Z437" s="12"/>
    </row>
    <row r="438" spans="1:26" ht="15" customHeight="1" x14ac:dyDescent="0.3">
      <c r="A438" s="26"/>
      <c r="B438" s="17"/>
      <c r="C438" s="17"/>
      <c r="D438" s="17"/>
      <c r="E438" s="17"/>
      <c r="F438" s="17"/>
      <c r="G438" s="17"/>
      <c r="H438" s="17"/>
      <c r="I438" s="17"/>
      <c r="J438" s="17"/>
      <c r="K438" s="17"/>
      <c r="L438" s="17"/>
      <c r="M438" s="17"/>
      <c r="N438" s="17"/>
      <c r="O438" s="17"/>
      <c r="P438" s="17"/>
      <c r="Q438" s="17"/>
      <c r="R438" s="17"/>
      <c r="S438" s="17"/>
      <c r="T438" s="17"/>
      <c r="U438" s="17"/>
      <c r="V438" s="12"/>
      <c r="W438" s="12"/>
      <c r="X438" s="12"/>
      <c r="Y438" s="12"/>
      <c r="Z438" s="12"/>
    </row>
    <row r="439" spans="1:26" ht="15" customHeight="1" x14ac:dyDescent="0.3">
      <c r="A439" s="26"/>
      <c r="B439" s="17"/>
      <c r="C439" s="17"/>
      <c r="D439" s="17"/>
      <c r="E439" s="17"/>
      <c r="F439" s="17"/>
      <c r="G439" s="17"/>
      <c r="H439" s="17"/>
      <c r="I439" s="17"/>
      <c r="J439" s="17"/>
      <c r="K439" s="17"/>
      <c r="L439" s="17"/>
      <c r="M439" s="17"/>
      <c r="N439" s="17"/>
      <c r="O439" s="17"/>
      <c r="P439" s="17"/>
      <c r="Q439" s="17"/>
      <c r="R439" s="17"/>
      <c r="S439" s="17"/>
      <c r="T439" s="17"/>
      <c r="U439" s="17"/>
      <c r="V439" s="12"/>
      <c r="W439" s="12"/>
      <c r="X439" s="12"/>
      <c r="Y439" s="12"/>
      <c r="Z439" s="12"/>
    </row>
    <row r="440" spans="1:26" ht="15" customHeight="1" x14ac:dyDescent="0.3">
      <c r="A440" s="26"/>
      <c r="B440" s="17"/>
      <c r="C440" s="17"/>
      <c r="D440" s="17"/>
      <c r="E440" s="17"/>
      <c r="F440" s="17"/>
      <c r="G440" s="17"/>
      <c r="H440" s="17"/>
      <c r="I440" s="17"/>
      <c r="J440" s="17"/>
      <c r="K440" s="17"/>
      <c r="L440" s="17"/>
      <c r="M440" s="17"/>
      <c r="N440" s="17"/>
      <c r="O440" s="17"/>
      <c r="P440" s="17"/>
      <c r="Q440" s="17"/>
      <c r="R440" s="17"/>
      <c r="S440" s="17"/>
      <c r="T440" s="17"/>
      <c r="U440" s="17"/>
      <c r="V440" s="12"/>
      <c r="W440" s="12"/>
      <c r="X440" s="12"/>
      <c r="Y440" s="12"/>
      <c r="Z440" s="12"/>
    </row>
    <row r="441" spans="1:26" ht="15" customHeight="1" x14ac:dyDescent="0.3">
      <c r="A441" s="26"/>
      <c r="B441" s="17"/>
      <c r="C441" s="17"/>
      <c r="D441" s="17"/>
      <c r="E441" s="17"/>
      <c r="F441" s="17"/>
      <c r="G441" s="17"/>
      <c r="H441" s="17"/>
      <c r="I441" s="17"/>
      <c r="J441" s="17"/>
      <c r="K441" s="17"/>
      <c r="L441" s="17"/>
      <c r="M441" s="17"/>
      <c r="N441" s="17"/>
      <c r="O441" s="17"/>
      <c r="P441" s="17"/>
      <c r="Q441" s="17"/>
      <c r="R441" s="17"/>
      <c r="S441" s="17"/>
      <c r="T441" s="17"/>
      <c r="U441" s="17"/>
      <c r="V441" s="12"/>
      <c r="W441" s="12"/>
      <c r="X441" s="12"/>
      <c r="Y441" s="12"/>
      <c r="Z441" s="12"/>
    </row>
    <row r="442" spans="1:26" ht="15" customHeight="1" x14ac:dyDescent="0.3">
      <c r="A442" s="26"/>
      <c r="B442" s="17"/>
      <c r="C442" s="17"/>
      <c r="D442" s="17"/>
      <c r="E442" s="17"/>
      <c r="F442" s="17"/>
      <c r="G442" s="17"/>
      <c r="H442" s="17"/>
      <c r="I442" s="17"/>
      <c r="J442" s="17"/>
      <c r="K442" s="17"/>
      <c r="L442" s="17"/>
      <c r="M442" s="17"/>
      <c r="N442" s="17"/>
      <c r="O442" s="17"/>
      <c r="P442" s="17"/>
      <c r="Q442" s="17"/>
      <c r="R442" s="17"/>
      <c r="S442" s="17"/>
      <c r="T442" s="17"/>
      <c r="U442" s="17"/>
      <c r="V442" s="12"/>
      <c r="W442" s="12"/>
      <c r="X442" s="12"/>
      <c r="Y442" s="12"/>
      <c r="Z442" s="12"/>
    </row>
    <row r="443" spans="1:26" ht="15" customHeight="1" x14ac:dyDescent="0.3">
      <c r="A443" s="26"/>
      <c r="B443" s="17"/>
      <c r="C443" s="17"/>
      <c r="D443" s="17"/>
      <c r="E443" s="17"/>
      <c r="F443" s="17"/>
      <c r="G443" s="17"/>
      <c r="H443" s="17"/>
      <c r="I443" s="17"/>
      <c r="J443" s="17"/>
      <c r="K443" s="17"/>
      <c r="L443" s="17"/>
      <c r="M443" s="17"/>
      <c r="N443" s="17"/>
      <c r="O443" s="17"/>
      <c r="P443" s="17"/>
      <c r="Q443" s="17"/>
      <c r="R443" s="17"/>
      <c r="S443" s="17"/>
      <c r="T443" s="17"/>
      <c r="U443" s="17"/>
      <c r="V443" s="12"/>
      <c r="W443" s="12"/>
      <c r="X443" s="12"/>
      <c r="Y443" s="12"/>
      <c r="Z443" s="12"/>
    </row>
    <row r="444" spans="1:26" ht="15" customHeight="1" x14ac:dyDescent="0.3">
      <c r="A444" s="26"/>
      <c r="B444" s="17"/>
      <c r="C444" s="17"/>
      <c r="D444" s="17"/>
      <c r="E444" s="17"/>
      <c r="F444" s="17"/>
      <c r="G444" s="17"/>
      <c r="H444" s="17"/>
      <c r="I444" s="17"/>
      <c r="J444" s="17"/>
      <c r="K444" s="17"/>
      <c r="L444" s="17"/>
      <c r="M444" s="17"/>
      <c r="N444" s="17"/>
      <c r="O444" s="17"/>
      <c r="P444" s="17"/>
      <c r="Q444" s="17"/>
      <c r="R444" s="17"/>
      <c r="S444" s="17"/>
      <c r="T444" s="17"/>
      <c r="U444" s="17"/>
      <c r="V444" s="12"/>
      <c r="W444" s="12"/>
      <c r="X444" s="12"/>
      <c r="Y444" s="12"/>
      <c r="Z444" s="12"/>
    </row>
    <row r="445" spans="1:26" ht="15" customHeight="1" x14ac:dyDescent="0.3">
      <c r="A445" s="26"/>
      <c r="B445" s="17"/>
      <c r="C445" s="17"/>
      <c r="D445" s="17"/>
      <c r="E445" s="17"/>
      <c r="F445" s="17"/>
      <c r="G445" s="17"/>
      <c r="H445" s="17"/>
      <c r="I445" s="17"/>
      <c r="J445" s="17"/>
      <c r="K445" s="17"/>
      <c r="L445" s="17"/>
      <c r="M445" s="17"/>
      <c r="N445" s="17"/>
      <c r="O445" s="17"/>
      <c r="P445" s="17"/>
      <c r="Q445" s="17"/>
      <c r="R445" s="17"/>
      <c r="S445" s="17"/>
      <c r="T445" s="17"/>
      <c r="U445" s="17"/>
      <c r="V445" s="12"/>
      <c r="W445" s="12"/>
      <c r="X445" s="12"/>
      <c r="Y445" s="12"/>
      <c r="Z445" s="12"/>
    </row>
    <row r="446" spans="1:26" ht="15" customHeight="1" x14ac:dyDescent="0.3">
      <c r="A446" s="26"/>
      <c r="B446" s="17"/>
      <c r="C446" s="17"/>
      <c r="D446" s="17"/>
      <c r="E446" s="17"/>
      <c r="F446" s="17"/>
      <c r="G446" s="17"/>
      <c r="H446" s="17"/>
      <c r="I446" s="17"/>
      <c r="J446" s="17"/>
      <c r="K446" s="17"/>
      <c r="L446" s="17"/>
      <c r="M446" s="17"/>
      <c r="N446" s="17"/>
      <c r="O446" s="17"/>
      <c r="P446" s="17"/>
      <c r="Q446" s="17"/>
      <c r="R446" s="17"/>
      <c r="S446" s="17"/>
      <c r="T446" s="17"/>
      <c r="U446" s="17"/>
      <c r="V446" s="12"/>
      <c r="W446" s="12"/>
      <c r="X446" s="12"/>
      <c r="Y446" s="12"/>
      <c r="Z446" s="12"/>
    </row>
    <row r="447" spans="1:26" ht="15" customHeight="1" x14ac:dyDescent="0.3">
      <c r="A447" s="26"/>
      <c r="B447" s="17"/>
      <c r="C447" s="17"/>
      <c r="D447" s="17"/>
      <c r="E447" s="17"/>
      <c r="F447" s="17"/>
      <c r="G447" s="17"/>
      <c r="H447" s="17"/>
      <c r="I447" s="17"/>
      <c r="J447" s="17"/>
      <c r="K447" s="17"/>
      <c r="L447" s="17"/>
      <c r="M447" s="17"/>
      <c r="N447" s="17"/>
      <c r="O447" s="17"/>
      <c r="P447" s="17"/>
      <c r="Q447" s="17"/>
      <c r="R447" s="17"/>
      <c r="S447" s="17"/>
      <c r="T447" s="17"/>
      <c r="U447" s="17"/>
      <c r="V447" s="12"/>
      <c r="W447" s="12"/>
      <c r="X447" s="12"/>
      <c r="Y447" s="12"/>
      <c r="Z447" s="12"/>
    </row>
    <row r="448" spans="1:26" ht="15" customHeight="1" x14ac:dyDescent="0.3">
      <c r="A448" s="26"/>
      <c r="B448" s="17"/>
      <c r="C448" s="17"/>
      <c r="D448" s="17"/>
      <c r="E448" s="17"/>
      <c r="F448" s="17"/>
      <c r="G448" s="17"/>
      <c r="H448" s="17"/>
      <c r="I448" s="17"/>
      <c r="J448" s="17"/>
      <c r="K448" s="17"/>
      <c r="L448" s="17"/>
      <c r="M448" s="17"/>
      <c r="N448" s="17"/>
      <c r="O448" s="17"/>
      <c r="P448" s="17"/>
      <c r="Q448" s="17"/>
      <c r="R448" s="17"/>
      <c r="S448" s="17"/>
      <c r="T448" s="17"/>
      <c r="U448" s="17"/>
      <c r="V448" s="12"/>
      <c r="W448" s="12"/>
      <c r="X448" s="12"/>
      <c r="Y448" s="12"/>
      <c r="Z448" s="12"/>
    </row>
    <row r="449" spans="1:26" ht="15" customHeight="1" x14ac:dyDescent="0.3">
      <c r="A449" s="26"/>
      <c r="B449" s="17"/>
      <c r="C449" s="17"/>
      <c r="D449" s="17"/>
      <c r="E449" s="17"/>
      <c r="F449" s="17"/>
      <c r="G449" s="17"/>
      <c r="H449" s="17"/>
      <c r="I449" s="17"/>
      <c r="J449" s="17"/>
      <c r="K449" s="17"/>
      <c r="L449" s="17"/>
      <c r="M449" s="17"/>
      <c r="N449" s="17"/>
      <c r="O449" s="17"/>
      <c r="P449" s="17"/>
      <c r="Q449" s="17"/>
      <c r="R449" s="17"/>
      <c r="S449" s="17"/>
      <c r="T449" s="17"/>
      <c r="U449" s="17"/>
      <c r="V449" s="12"/>
      <c r="W449" s="12"/>
      <c r="X449" s="12"/>
      <c r="Y449" s="12"/>
      <c r="Z449" s="12"/>
    </row>
    <row r="450" spans="1:26" ht="15" customHeight="1" x14ac:dyDescent="0.3">
      <c r="A450" s="26"/>
      <c r="B450" s="17"/>
      <c r="C450" s="17"/>
      <c r="D450" s="17"/>
      <c r="E450" s="17"/>
      <c r="F450" s="17"/>
      <c r="G450" s="17"/>
      <c r="H450" s="17"/>
      <c r="I450" s="17"/>
      <c r="J450" s="17"/>
      <c r="K450" s="17"/>
      <c r="L450" s="17"/>
      <c r="M450" s="17"/>
      <c r="N450" s="17"/>
      <c r="O450" s="17"/>
      <c r="P450" s="17"/>
      <c r="Q450" s="17"/>
      <c r="R450" s="17"/>
      <c r="S450" s="17"/>
      <c r="T450" s="17"/>
      <c r="U450" s="17"/>
      <c r="V450" s="12"/>
      <c r="W450" s="12"/>
      <c r="X450" s="12"/>
      <c r="Y450" s="12"/>
      <c r="Z450" s="12"/>
    </row>
    <row r="451" spans="1:26" ht="15" customHeight="1" x14ac:dyDescent="0.3">
      <c r="A451" s="26"/>
      <c r="B451" s="17"/>
      <c r="C451" s="17"/>
      <c r="D451" s="17"/>
      <c r="E451" s="17"/>
      <c r="F451" s="17"/>
      <c r="G451" s="17"/>
      <c r="H451" s="17"/>
      <c r="I451" s="17"/>
      <c r="J451" s="17"/>
      <c r="K451" s="17"/>
      <c r="L451" s="17"/>
      <c r="M451" s="17"/>
      <c r="N451" s="17"/>
      <c r="O451" s="17"/>
      <c r="P451" s="17"/>
      <c r="Q451" s="17"/>
      <c r="R451" s="17"/>
      <c r="S451" s="17"/>
      <c r="T451" s="17"/>
      <c r="U451" s="17"/>
      <c r="V451" s="12"/>
      <c r="W451" s="12"/>
      <c r="X451" s="12"/>
      <c r="Y451" s="12"/>
      <c r="Z451" s="12"/>
    </row>
    <row r="452" spans="1:26" ht="15" customHeight="1" x14ac:dyDescent="0.3">
      <c r="A452" s="26"/>
      <c r="B452" s="17"/>
      <c r="C452" s="17"/>
      <c r="D452" s="17"/>
      <c r="E452" s="17"/>
      <c r="F452" s="17"/>
      <c r="G452" s="17"/>
      <c r="H452" s="17"/>
      <c r="I452" s="17"/>
      <c r="J452" s="17"/>
      <c r="K452" s="17"/>
      <c r="L452" s="17"/>
      <c r="M452" s="17"/>
      <c r="N452" s="17"/>
      <c r="O452" s="17"/>
      <c r="P452" s="17"/>
      <c r="Q452" s="17"/>
      <c r="R452" s="17"/>
      <c r="S452" s="17"/>
      <c r="T452" s="17"/>
      <c r="U452" s="17"/>
      <c r="V452" s="12"/>
      <c r="W452" s="12"/>
      <c r="X452" s="12"/>
      <c r="Y452" s="12"/>
      <c r="Z452" s="12"/>
    </row>
    <row r="453" spans="1:26" ht="15" customHeight="1" x14ac:dyDescent="0.3">
      <c r="A453" s="26"/>
      <c r="B453" s="17"/>
      <c r="C453" s="17"/>
      <c r="D453" s="17"/>
      <c r="E453" s="17"/>
      <c r="F453" s="17"/>
      <c r="G453" s="17"/>
      <c r="H453" s="17"/>
      <c r="I453" s="17"/>
      <c r="J453" s="17"/>
      <c r="K453" s="17"/>
      <c r="L453" s="17"/>
      <c r="M453" s="17"/>
      <c r="N453" s="17"/>
      <c r="O453" s="17"/>
      <c r="P453" s="17"/>
      <c r="Q453" s="17"/>
      <c r="R453" s="17"/>
      <c r="S453" s="17"/>
      <c r="T453" s="17"/>
      <c r="U453" s="17"/>
      <c r="V453" s="12"/>
      <c r="W453" s="12"/>
      <c r="X453" s="12"/>
      <c r="Y453" s="12"/>
      <c r="Z453" s="12"/>
    </row>
    <row r="454" spans="1:26" ht="15" customHeight="1" x14ac:dyDescent="0.3">
      <c r="A454" s="26"/>
      <c r="B454" s="17"/>
      <c r="C454" s="17"/>
      <c r="D454" s="17"/>
      <c r="E454" s="17"/>
      <c r="F454" s="17"/>
      <c r="G454" s="17"/>
      <c r="H454" s="17"/>
      <c r="I454" s="17"/>
      <c r="J454" s="17"/>
      <c r="K454" s="17"/>
      <c r="L454" s="17"/>
      <c r="M454" s="17"/>
      <c r="N454" s="17"/>
      <c r="O454" s="17"/>
      <c r="P454" s="17"/>
      <c r="Q454" s="17"/>
      <c r="R454" s="17"/>
      <c r="S454" s="17"/>
      <c r="T454" s="17"/>
      <c r="U454" s="17"/>
      <c r="V454" s="12"/>
      <c r="W454" s="12"/>
      <c r="X454" s="12"/>
      <c r="Y454" s="12"/>
      <c r="Z454" s="12"/>
    </row>
    <row r="455" spans="1:26" ht="15" customHeight="1" x14ac:dyDescent="0.3">
      <c r="A455" s="26"/>
      <c r="B455" s="17"/>
      <c r="C455" s="17"/>
      <c r="D455" s="17"/>
      <c r="E455" s="17"/>
      <c r="F455" s="17"/>
      <c r="G455" s="17"/>
      <c r="H455" s="17"/>
      <c r="I455" s="17"/>
      <c r="J455" s="17"/>
      <c r="K455" s="17"/>
      <c r="L455" s="17"/>
      <c r="M455" s="17"/>
      <c r="N455" s="17"/>
      <c r="O455" s="17"/>
      <c r="P455" s="17"/>
      <c r="Q455" s="17"/>
      <c r="R455" s="17"/>
      <c r="S455" s="17"/>
      <c r="T455" s="17"/>
      <c r="U455" s="17"/>
      <c r="V455" s="12"/>
      <c r="W455" s="12"/>
      <c r="X455" s="12"/>
      <c r="Y455" s="12"/>
      <c r="Z455" s="12"/>
    </row>
    <row r="456" spans="1:26" ht="15" customHeight="1" x14ac:dyDescent="0.3">
      <c r="A456" s="26"/>
      <c r="B456" s="17"/>
      <c r="C456" s="17"/>
      <c r="D456" s="17"/>
      <c r="E456" s="17"/>
      <c r="F456" s="17"/>
      <c r="G456" s="17"/>
      <c r="H456" s="17"/>
      <c r="I456" s="17"/>
      <c r="J456" s="17"/>
      <c r="K456" s="17"/>
      <c r="L456" s="17"/>
      <c r="M456" s="17"/>
      <c r="N456" s="17"/>
      <c r="O456" s="17"/>
      <c r="P456" s="17"/>
      <c r="Q456" s="17"/>
      <c r="R456" s="17"/>
      <c r="S456" s="17"/>
      <c r="T456" s="17"/>
      <c r="U456" s="17"/>
      <c r="V456" s="12"/>
      <c r="W456" s="12"/>
      <c r="X456" s="12"/>
      <c r="Y456" s="12"/>
      <c r="Z456" s="12"/>
    </row>
    <row r="457" spans="1:26" ht="15" customHeight="1" x14ac:dyDescent="0.3">
      <c r="A457" s="26"/>
      <c r="B457" s="17"/>
      <c r="C457" s="17"/>
      <c r="D457" s="17"/>
      <c r="E457" s="17"/>
      <c r="F457" s="17"/>
      <c r="G457" s="17"/>
      <c r="H457" s="17"/>
      <c r="I457" s="17"/>
      <c r="J457" s="17"/>
      <c r="K457" s="17"/>
      <c r="L457" s="17"/>
      <c r="M457" s="17"/>
      <c r="N457" s="17"/>
      <c r="O457" s="17"/>
      <c r="P457" s="17"/>
      <c r="Q457" s="17"/>
      <c r="R457" s="17"/>
      <c r="S457" s="17"/>
      <c r="T457" s="17"/>
      <c r="U457" s="17"/>
      <c r="V457" s="12"/>
      <c r="W457" s="12"/>
      <c r="X457" s="12"/>
      <c r="Y457" s="12"/>
      <c r="Z457" s="12"/>
    </row>
    <row r="458" spans="1:26" ht="15" customHeight="1" x14ac:dyDescent="0.3">
      <c r="A458" s="26"/>
      <c r="B458" s="17"/>
      <c r="C458" s="17"/>
      <c r="D458" s="17"/>
      <c r="E458" s="17"/>
      <c r="F458" s="17"/>
      <c r="G458" s="17"/>
      <c r="H458" s="17"/>
      <c r="I458" s="17"/>
      <c r="J458" s="17"/>
      <c r="K458" s="17"/>
      <c r="L458" s="17"/>
      <c r="M458" s="17"/>
      <c r="N458" s="17"/>
      <c r="O458" s="17"/>
      <c r="P458" s="17"/>
      <c r="Q458" s="17"/>
      <c r="R458" s="17"/>
      <c r="S458" s="17"/>
      <c r="T458" s="17"/>
      <c r="U458" s="17"/>
      <c r="V458" s="12"/>
      <c r="W458" s="12"/>
      <c r="X458" s="12"/>
      <c r="Y458" s="12"/>
      <c r="Z458" s="12"/>
    </row>
    <row r="459" spans="1:26" ht="15" customHeight="1" x14ac:dyDescent="0.3">
      <c r="A459" s="26"/>
      <c r="B459" s="17"/>
      <c r="C459" s="17"/>
      <c r="D459" s="17"/>
      <c r="E459" s="17"/>
      <c r="F459" s="17"/>
      <c r="G459" s="17"/>
      <c r="H459" s="17"/>
      <c r="I459" s="17"/>
      <c r="J459" s="17"/>
      <c r="K459" s="17"/>
      <c r="L459" s="17"/>
      <c r="M459" s="17"/>
      <c r="N459" s="17"/>
      <c r="O459" s="17"/>
      <c r="P459" s="17"/>
      <c r="Q459" s="17"/>
      <c r="R459" s="17"/>
      <c r="S459" s="17"/>
      <c r="T459" s="17"/>
      <c r="U459" s="17"/>
      <c r="V459" s="12"/>
      <c r="W459" s="12"/>
      <c r="X459" s="12"/>
      <c r="Y459" s="12"/>
      <c r="Z459" s="12"/>
    </row>
    <row r="460" spans="1:26" ht="15" customHeight="1" x14ac:dyDescent="0.3">
      <c r="A460" s="26"/>
      <c r="B460" s="17"/>
      <c r="C460" s="17"/>
      <c r="D460" s="17"/>
      <c r="E460" s="17"/>
      <c r="F460" s="17"/>
      <c r="G460" s="17"/>
      <c r="H460" s="17"/>
      <c r="I460" s="17"/>
      <c r="J460" s="17"/>
      <c r="K460" s="17"/>
      <c r="L460" s="17"/>
      <c r="M460" s="17"/>
      <c r="N460" s="17"/>
      <c r="O460" s="17"/>
      <c r="P460" s="17"/>
      <c r="Q460" s="17"/>
      <c r="R460" s="17"/>
      <c r="S460" s="17"/>
      <c r="T460" s="17"/>
      <c r="U460" s="17"/>
      <c r="V460" s="12"/>
      <c r="W460" s="12"/>
      <c r="X460" s="12"/>
      <c r="Y460" s="12"/>
      <c r="Z460" s="12"/>
    </row>
    <row r="461" spans="1:26" ht="15" customHeight="1" x14ac:dyDescent="0.3">
      <c r="A461" s="26"/>
      <c r="B461" s="17"/>
      <c r="C461" s="17"/>
      <c r="D461" s="17"/>
      <c r="E461" s="17"/>
      <c r="F461" s="17"/>
      <c r="G461" s="17"/>
      <c r="H461" s="17"/>
      <c r="I461" s="17"/>
      <c r="J461" s="17"/>
      <c r="K461" s="17"/>
      <c r="L461" s="17"/>
      <c r="M461" s="17"/>
      <c r="N461" s="17"/>
      <c r="O461" s="17"/>
      <c r="P461" s="17"/>
      <c r="Q461" s="17"/>
      <c r="R461" s="17"/>
      <c r="S461" s="17"/>
      <c r="T461" s="17"/>
      <c r="U461" s="17"/>
      <c r="V461" s="12"/>
      <c r="W461" s="12"/>
      <c r="X461" s="12"/>
      <c r="Y461" s="12"/>
      <c r="Z461" s="12"/>
    </row>
    <row r="462" spans="1:26" ht="15" customHeight="1" x14ac:dyDescent="0.3">
      <c r="A462" s="26"/>
      <c r="B462" s="17"/>
      <c r="C462" s="17"/>
      <c r="D462" s="17"/>
      <c r="E462" s="17"/>
      <c r="F462" s="17"/>
      <c r="G462" s="17"/>
      <c r="H462" s="17"/>
      <c r="I462" s="17"/>
      <c r="J462" s="17"/>
      <c r="K462" s="17"/>
      <c r="L462" s="17"/>
      <c r="M462" s="17"/>
      <c r="N462" s="17"/>
      <c r="O462" s="17"/>
      <c r="P462" s="17"/>
      <c r="Q462" s="17"/>
      <c r="R462" s="17"/>
      <c r="S462" s="17"/>
      <c r="T462" s="17"/>
      <c r="U462" s="17"/>
      <c r="V462" s="12"/>
      <c r="W462" s="12"/>
      <c r="X462" s="12"/>
      <c r="Y462" s="12"/>
      <c r="Z462" s="12"/>
    </row>
    <row r="463" spans="1:26" ht="15" customHeight="1" x14ac:dyDescent="0.3">
      <c r="A463" s="26"/>
      <c r="B463" s="17"/>
      <c r="C463" s="17"/>
      <c r="D463" s="17"/>
      <c r="E463" s="17"/>
      <c r="F463" s="17"/>
      <c r="G463" s="17"/>
      <c r="H463" s="17"/>
      <c r="I463" s="17"/>
      <c r="J463" s="17"/>
      <c r="K463" s="17"/>
      <c r="L463" s="17"/>
      <c r="M463" s="17"/>
      <c r="N463" s="17"/>
      <c r="O463" s="17"/>
      <c r="P463" s="17"/>
      <c r="Q463" s="17"/>
      <c r="R463" s="17"/>
      <c r="S463" s="17"/>
      <c r="T463" s="17"/>
      <c r="U463" s="17"/>
      <c r="V463" s="12"/>
      <c r="W463" s="12"/>
      <c r="X463" s="12"/>
      <c r="Y463" s="12"/>
      <c r="Z463" s="12"/>
    </row>
    <row r="464" spans="1:26" ht="15" customHeight="1" x14ac:dyDescent="0.3">
      <c r="A464" s="26"/>
      <c r="B464" s="17"/>
      <c r="C464" s="17"/>
      <c r="D464" s="17"/>
      <c r="E464" s="17"/>
      <c r="F464" s="17"/>
      <c r="G464" s="17"/>
      <c r="H464" s="17"/>
      <c r="I464" s="17"/>
      <c r="J464" s="17"/>
      <c r="K464" s="17"/>
      <c r="L464" s="17"/>
      <c r="M464" s="17"/>
      <c r="N464" s="17"/>
      <c r="O464" s="17"/>
      <c r="P464" s="17"/>
      <c r="Q464" s="17"/>
      <c r="R464" s="17"/>
      <c r="S464" s="17"/>
      <c r="T464" s="17"/>
      <c r="U464" s="17"/>
      <c r="V464" s="12"/>
      <c r="W464" s="12"/>
      <c r="X464" s="12"/>
      <c r="Y464" s="12"/>
      <c r="Z464" s="12"/>
    </row>
    <row r="465" spans="1:26" ht="15" customHeight="1" x14ac:dyDescent="0.3">
      <c r="A465" s="26"/>
      <c r="B465" s="17"/>
      <c r="C465" s="17"/>
      <c r="D465" s="17"/>
      <c r="E465" s="17"/>
      <c r="F465" s="17"/>
      <c r="G465" s="17"/>
      <c r="H465" s="17"/>
      <c r="I465" s="17"/>
      <c r="J465" s="17"/>
      <c r="K465" s="17"/>
      <c r="L465" s="17"/>
      <c r="M465" s="17"/>
      <c r="N465" s="17"/>
      <c r="O465" s="17"/>
      <c r="P465" s="17"/>
      <c r="Q465" s="17"/>
      <c r="R465" s="17"/>
      <c r="S465" s="17"/>
      <c r="T465" s="17"/>
      <c r="U465" s="17"/>
      <c r="V465" s="12"/>
      <c r="W465" s="12"/>
      <c r="X465" s="12"/>
      <c r="Y465" s="12"/>
      <c r="Z465" s="12"/>
    </row>
    <row r="466" spans="1:26" ht="15" customHeight="1" x14ac:dyDescent="0.3">
      <c r="A466" s="26"/>
      <c r="B466" s="17"/>
      <c r="C466" s="17"/>
      <c r="D466" s="17"/>
      <c r="E466" s="17"/>
      <c r="F466" s="17"/>
      <c r="G466" s="17"/>
      <c r="H466" s="17"/>
      <c r="I466" s="17"/>
      <c r="J466" s="17"/>
      <c r="K466" s="17"/>
      <c r="L466" s="17"/>
      <c r="M466" s="17"/>
      <c r="N466" s="17"/>
      <c r="O466" s="17"/>
      <c r="P466" s="17"/>
      <c r="Q466" s="17"/>
      <c r="R466" s="17"/>
      <c r="S466" s="17"/>
      <c r="T466" s="17"/>
      <c r="U466" s="17"/>
      <c r="V466" s="12"/>
      <c r="W466" s="12"/>
      <c r="X466" s="12"/>
      <c r="Y466" s="12"/>
      <c r="Z466" s="12"/>
    </row>
    <row r="467" spans="1:26" ht="15" customHeight="1" x14ac:dyDescent="0.3">
      <c r="A467" s="26"/>
      <c r="B467" s="17"/>
      <c r="C467" s="17"/>
      <c r="D467" s="17"/>
      <c r="E467" s="17"/>
      <c r="F467" s="17"/>
      <c r="G467" s="17"/>
      <c r="H467" s="17"/>
      <c r="I467" s="17"/>
      <c r="J467" s="17"/>
      <c r="K467" s="17"/>
      <c r="L467" s="17"/>
      <c r="M467" s="17"/>
      <c r="N467" s="17"/>
      <c r="O467" s="17"/>
      <c r="P467" s="17"/>
      <c r="Q467" s="17"/>
      <c r="R467" s="17"/>
      <c r="S467" s="17"/>
      <c r="T467" s="17"/>
      <c r="U467" s="17"/>
      <c r="V467" s="12"/>
      <c r="W467" s="12"/>
      <c r="X467" s="12"/>
      <c r="Y467" s="12"/>
      <c r="Z467" s="12"/>
    </row>
    <row r="468" spans="1:26" ht="15" customHeight="1" x14ac:dyDescent="0.3">
      <c r="A468" s="26"/>
      <c r="B468" s="17"/>
      <c r="C468" s="17"/>
      <c r="D468" s="17"/>
      <c r="E468" s="17"/>
      <c r="F468" s="17"/>
      <c r="G468" s="17"/>
      <c r="H468" s="17"/>
      <c r="I468" s="17"/>
      <c r="J468" s="17"/>
      <c r="K468" s="17"/>
      <c r="L468" s="17"/>
      <c r="M468" s="17"/>
      <c r="N468" s="17"/>
      <c r="O468" s="17"/>
      <c r="P468" s="17"/>
      <c r="Q468" s="17"/>
      <c r="R468" s="17"/>
      <c r="S468" s="17"/>
      <c r="T468" s="17"/>
      <c r="U468" s="17"/>
      <c r="V468" s="12"/>
      <c r="W468" s="12"/>
      <c r="X468" s="12"/>
      <c r="Y468" s="12"/>
      <c r="Z468" s="12"/>
    </row>
    <row r="469" spans="1:26" ht="15" customHeight="1" x14ac:dyDescent="0.3">
      <c r="A469" s="26"/>
      <c r="B469" s="17"/>
      <c r="C469" s="17"/>
      <c r="D469" s="17"/>
      <c r="E469" s="17"/>
      <c r="F469" s="17"/>
      <c r="G469" s="17"/>
      <c r="H469" s="17"/>
      <c r="I469" s="17"/>
      <c r="J469" s="17"/>
      <c r="K469" s="17"/>
      <c r="L469" s="17"/>
      <c r="M469" s="17"/>
      <c r="N469" s="17"/>
      <c r="O469" s="17"/>
      <c r="P469" s="17"/>
      <c r="Q469" s="17"/>
      <c r="R469" s="17"/>
      <c r="S469" s="17"/>
      <c r="T469" s="17"/>
      <c r="U469" s="17"/>
      <c r="V469" s="12"/>
      <c r="W469" s="12"/>
      <c r="X469" s="12"/>
      <c r="Y469" s="12"/>
      <c r="Z469" s="12"/>
    </row>
    <row r="470" spans="1:26" ht="15" customHeight="1" x14ac:dyDescent="0.3">
      <c r="A470" s="29"/>
      <c r="B470" s="17"/>
      <c r="C470" s="17"/>
      <c r="D470" s="17"/>
      <c r="E470" s="17"/>
      <c r="F470" s="17"/>
      <c r="G470" s="17"/>
      <c r="H470" s="17"/>
      <c r="I470" s="17"/>
      <c r="J470" s="17"/>
      <c r="K470" s="17"/>
      <c r="L470" s="17"/>
      <c r="M470" s="17"/>
      <c r="N470" s="17"/>
      <c r="O470" s="17"/>
      <c r="P470" s="17"/>
      <c r="Q470" s="17"/>
      <c r="R470" s="17"/>
      <c r="S470" s="17"/>
      <c r="T470" s="17"/>
      <c r="U470" s="17"/>
      <c r="V470" s="12"/>
      <c r="W470" s="12"/>
      <c r="X470" s="12"/>
      <c r="Y470" s="12"/>
      <c r="Z470" s="12"/>
    </row>
    <row r="471" spans="1:26" ht="15" customHeight="1" x14ac:dyDescent="0.3">
      <c r="A471" s="29"/>
      <c r="B471" s="17"/>
      <c r="C471" s="17"/>
      <c r="D471" s="17"/>
      <c r="E471" s="17"/>
      <c r="F471" s="17"/>
      <c r="G471" s="17"/>
      <c r="H471" s="17"/>
      <c r="I471" s="17"/>
      <c r="J471" s="17"/>
      <c r="K471" s="17"/>
      <c r="L471" s="17"/>
      <c r="M471" s="17"/>
      <c r="N471" s="17"/>
      <c r="O471" s="17"/>
      <c r="P471" s="17"/>
      <c r="Q471" s="17"/>
      <c r="R471" s="17"/>
      <c r="S471" s="17"/>
      <c r="T471" s="17"/>
      <c r="U471" s="17"/>
      <c r="V471" s="12"/>
      <c r="W471" s="12"/>
      <c r="X471" s="12"/>
      <c r="Y471" s="12"/>
      <c r="Z471" s="12"/>
    </row>
    <row r="472" spans="1:26" ht="15" customHeight="1" x14ac:dyDescent="0.3">
      <c r="A472" s="26"/>
      <c r="B472" s="17"/>
      <c r="C472" s="17"/>
      <c r="D472" s="17"/>
      <c r="E472" s="17"/>
      <c r="F472" s="17"/>
      <c r="G472" s="17"/>
      <c r="H472" s="17"/>
      <c r="I472" s="17"/>
      <c r="J472" s="17"/>
      <c r="K472" s="17"/>
      <c r="L472" s="17"/>
      <c r="M472" s="17"/>
      <c r="N472" s="17"/>
      <c r="O472" s="17"/>
      <c r="P472" s="17"/>
      <c r="Q472" s="17"/>
      <c r="R472" s="17"/>
      <c r="S472" s="17"/>
      <c r="T472" s="17"/>
      <c r="U472" s="17"/>
      <c r="V472" s="12"/>
      <c r="W472" s="12"/>
      <c r="X472" s="12"/>
      <c r="Y472" s="12"/>
      <c r="Z472" s="12"/>
    </row>
    <row r="473" spans="1:26" ht="15" customHeight="1" x14ac:dyDescent="0.3">
      <c r="A473" s="26"/>
      <c r="B473" s="17"/>
      <c r="C473" s="17"/>
      <c r="D473" s="17"/>
      <c r="E473" s="17"/>
      <c r="F473" s="17"/>
      <c r="G473" s="17"/>
      <c r="H473" s="17"/>
      <c r="I473" s="17"/>
      <c r="J473" s="17"/>
      <c r="K473" s="17"/>
      <c r="L473" s="17"/>
      <c r="M473" s="17"/>
      <c r="N473" s="17"/>
      <c r="O473" s="17"/>
      <c r="P473" s="17"/>
      <c r="Q473" s="17"/>
      <c r="R473" s="17"/>
      <c r="S473" s="17"/>
      <c r="T473" s="17"/>
      <c r="U473" s="17"/>
      <c r="V473" s="12"/>
      <c r="W473" s="12"/>
      <c r="X473" s="12"/>
      <c r="Y473" s="12"/>
      <c r="Z473" s="12"/>
    </row>
    <row r="474" spans="1:26" ht="15" customHeight="1" x14ac:dyDescent="0.3">
      <c r="A474" s="26"/>
      <c r="B474" s="17"/>
      <c r="C474" s="17"/>
      <c r="D474" s="17"/>
      <c r="E474" s="17"/>
      <c r="F474" s="17"/>
      <c r="G474" s="17"/>
      <c r="H474" s="17"/>
      <c r="I474" s="17"/>
      <c r="J474" s="17"/>
      <c r="K474" s="17"/>
      <c r="L474" s="17"/>
      <c r="M474" s="17"/>
      <c r="N474" s="17"/>
      <c r="O474" s="17"/>
      <c r="P474" s="17"/>
      <c r="Q474" s="17"/>
      <c r="R474" s="17"/>
      <c r="S474" s="17"/>
      <c r="T474" s="17"/>
      <c r="U474" s="17"/>
      <c r="V474" s="12"/>
      <c r="W474" s="12"/>
      <c r="X474" s="12"/>
      <c r="Y474" s="12"/>
      <c r="Z474" s="12"/>
    </row>
    <row r="475" spans="1:26" ht="15" customHeight="1" x14ac:dyDescent="0.3">
      <c r="A475" s="26"/>
      <c r="B475" s="17"/>
      <c r="C475" s="17"/>
      <c r="D475" s="17"/>
      <c r="E475" s="17"/>
      <c r="F475" s="17"/>
      <c r="G475" s="17"/>
      <c r="H475" s="17"/>
      <c r="I475" s="17"/>
      <c r="J475" s="17"/>
      <c r="K475" s="17"/>
      <c r="L475" s="17"/>
      <c r="M475" s="17"/>
      <c r="N475" s="17"/>
      <c r="O475" s="17"/>
      <c r="P475" s="17"/>
      <c r="Q475" s="17"/>
      <c r="R475" s="17"/>
      <c r="S475" s="17"/>
      <c r="T475" s="17"/>
      <c r="U475" s="17"/>
      <c r="V475" s="12"/>
      <c r="W475" s="12"/>
      <c r="X475" s="12"/>
      <c r="Y475" s="12"/>
      <c r="Z475" s="12"/>
    </row>
    <row r="476" spans="1:26" ht="15" customHeight="1" x14ac:dyDescent="0.3">
      <c r="A476" s="26"/>
      <c r="B476" s="17"/>
      <c r="C476" s="17"/>
      <c r="D476" s="17"/>
      <c r="E476" s="17"/>
      <c r="F476" s="17"/>
      <c r="G476" s="17"/>
      <c r="H476" s="17"/>
      <c r="I476" s="17"/>
      <c r="J476" s="17"/>
      <c r="K476" s="17"/>
      <c r="L476" s="17"/>
      <c r="M476" s="17"/>
      <c r="N476" s="17"/>
      <c r="O476" s="17"/>
      <c r="P476" s="17"/>
      <c r="Q476" s="17"/>
      <c r="R476" s="17"/>
      <c r="S476" s="17"/>
      <c r="T476" s="17"/>
      <c r="U476" s="17"/>
      <c r="V476" s="12"/>
      <c r="W476" s="12"/>
      <c r="X476" s="12"/>
      <c r="Y476" s="12"/>
      <c r="Z476" s="12"/>
    </row>
    <row r="477" spans="1:26" ht="15" customHeight="1" x14ac:dyDescent="0.3">
      <c r="A477" s="26"/>
      <c r="B477" s="17"/>
      <c r="C477" s="17"/>
      <c r="D477" s="17"/>
      <c r="E477" s="17"/>
      <c r="F477" s="17"/>
      <c r="G477" s="17"/>
      <c r="H477" s="17"/>
      <c r="I477" s="17"/>
      <c r="J477" s="17"/>
      <c r="K477" s="17"/>
      <c r="L477" s="17"/>
      <c r="M477" s="17"/>
      <c r="N477" s="17"/>
      <c r="O477" s="17"/>
      <c r="P477" s="17"/>
      <c r="Q477" s="17"/>
      <c r="R477" s="17"/>
      <c r="S477" s="17"/>
      <c r="T477" s="17"/>
      <c r="U477" s="17"/>
      <c r="V477" s="12"/>
      <c r="W477" s="12"/>
      <c r="X477" s="12"/>
      <c r="Y477" s="12"/>
      <c r="Z477" s="12"/>
    </row>
    <row r="478" spans="1:26" ht="15" customHeight="1" x14ac:dyDescent="0.3">
      <c r="A478" s="26"/>
      <c r="B478" s="17"/>
      <c r="C478" s="17"/>
      <c r="D478" s="17"/>
      <c r="E478" s="17"/>
      <c r="F478" s="17"/>
      <c r="G478" s="17"/>
      <c r="H478" s="17"/>
      <c r="I478" s="17"/>
      <c r="J478" s="17"/>
      <c r="K478" s="17"/>
      <c r="L478" s="17"/>
      <c r="M478" s="17"/>
      <c r="N478" s="17"/>
      <c r="O478" s="17"/>
      <c r="P478" s="17"/>
      <c r="Q478" s="17"/>
      <c r="R478" s="17"/>
      <c r="S478" s="17"/>
      <c r="T478" s="17"/>
      <c r="U478" s="17"/>
      <c r="V478" s="12"/>
      <c r="W478" s="12"/>
      <c r="X478" s="12"/>
      <c r="Y478" s="12"/>
      <c r="Z478" s="12"/>
    </row>
    <row r="479" spans="1:26" ht="15" customHeight="1" x14ac:dyDescent="0.3">
      <c r="A479" s="27"/>
      <c r="B479" s="17"/>
      <c r="C479" s="17"/>
      <c r="D479" s="17"/>
      <c r="E479" s="17"/>
      <c r="F479" s="17"/>
      <c r="G479" s="17"/>
      <c r="H479" s="17"/>
      <c r="I479" s="17"/>
      <c r="J479" s="17"/>
      <c r="K479" s="17"/>
      <c r="L479" s="17"/>
      <c r="M479" s="17"/>
      <c r="N479" s="17"/>
      <c r="O479" s="17"/>
      <c r="P479" s="17"/>
      <c r="Q479" s="17"/>
      <c r="R479" s="17"/>
      <c r="S479" s="17"/>
      <c r="T479" s="17"/>
      <c r="U479" s="17"/>
      <c r="V479" s="12"/>
      <c r="W479" s="12"/>
      <c r="X479" s="12"/>
      <c r="Y479" s="12"/>
      <c r="Z479" s="12"/>
    </row>
    <row r="480" spans="1:26" ht="15" customHeight="1" x14ac:dyDescent="0.3">
      <c r="A480" s="26"/>
      <c r="B480" s="17"/>
      <c r="C480" s="17"/>
      <c r="D480" s="17"/>
      <c r="E480" s="17"/>
      <c r="F480" s="17"/>
      <c r="G480" s="17"/>
      <c r="H480" s="17"/>
      <c r="I480" s="17"/>
      <c r="J480" s="17"/>
      <c r="K480" s="17"/>
      <c r="L480" s="17"/>
      <c r="M480" s="17"/>
      <c r="N480" s="17"/>
      <c r="O480" s="17"/>
      <c r="P480" s="17"/>
      <c r="Q480" s="17"/>
      <c r="R480" s="17"/>
      <c r="S480" s="17"/>
      <c r="T480" s="17"/>
      <c r="U480" s="17"/>
      <c r="V480" s="12"/>
      <c r="W480" s="12"/>
      <c r="X480" s="12"/>
      <c r="Y480" s="12"/>
      <c r="Z480" s="12"/>
    </row>
    <row r="481" spans="1:26" ht="15" customHeight="1" x14ac:dyDescent="0.3">
      <c r="A481" s="26"/>
      <c r="B481" s="17"/>
      <c r="C481" s="17"/>
      <c r="D481" s="17"/>
      <c r="E481" s="17"/>
      <c r="F481" s="17"/>
      <c r="G481" s="17"/>
      <c r="H481" s="17"/>
      <c r="I481" s="17"/>
      <c r="J481" s="17"/>
      <c r="K481" s="17"/>
      <c r="L481" s="17"/>
      <c r="M481" s="17"/>
      <c r="N481" s="17"/>
      <c r="O481" s="17"/>
      <c r="P481" s="17"/>
      <c r="Q481" s="17"/>
      <c r="R481" s="17"/>
      <c r="S481" s="17"/>
      <c r="T481" s="17"/>
      <c r="U481" s="17"/>
      <c r="V481" s="12"/>
      <c r="W481" s="12"/>
      <c r="X481" s="12"/>
      <c r="Y481" s="12"/>
      <c r="Z481" s="12"/>
    </row>
    <row r="482" spans="1:26" ht="15" customHeight="1" x14ac:dyDescent="0.3">
      <c r="A482" s="26"/>
      <c r="B482" s="17"/>
      <c r="C482" s="17"/>
      <c r="D482" s="17"/>
      <c r="E482" s="17"/>
      <c r="F482" s="17"/>
      <c r="G482" s="17"/>
      <c r="H482" s="17"/>
      <c r="I482" s="17"/>
      <c r="J482" s="17"/>
      <c r="K482" s="17"/>
      <c r="L482" s="17"/>
      <c r="M482" s="17"/>
      <c r="N482" s="17"/>
      <c r="O482" s="17"/>
      <c r="P482" s="17"/>
      <c r="Q482" s="17"/>
      <c r="R482" s="17"/>
      <c r="S482" s="17"/>
      <c r="T482" s="17"/>
      <c r="U482" s="17"/>
      <c r="V482" s="12"/>
      <c r="W482" s="12"/>
      <c r="X482" s="12"/>
      <c r="Y482" s="12"/>
      <c r="Z482" s="12"/>
    </row>
    <row r="483" spans="1:26" ht="15" customHeight="1" x14ac:dyDescent="0.3">
      <c r="A483" s="26"/>
      <c r="B483" s="17"/>
      <c r="C483" s="17"/>
      <c r="D483" s="17"/>
      <c r="E483" s="17"/>
      <c r="F483" s="17"/>
      <c r="G483" s="17"/>
      <c r="H483" s="17"/>
      <c r="I483" s="17"/>
      <c r="J483" s="17"/>
      <c r="K483" s="17"/>
      <c r="L483" s="17"/>
      <c r="M483" s="17"/>
      <c r="N483" s="17"/>
      <c r="O483" s="17"/>
      <c r="P483" s="17"/>
      <c r="Q483" s="17"/>
      <c r="R483" s="17"/>
      <c r="S483" s="17"/>
      <c r="T483" s="17"/>
      <c r="U483" s="17"/>
      <c r="V483" s="12"/>
      <c r="W483" s="12"/>
      <c r="X483" s="12"/>
      <c r="Y483" s="12"/>
      <c r="Z483" s="12"/>
    </row>
    <row r="484" spans="1:26" ht="15" customHeight="1" x14ac:dyDescent="0.3">
      <c r="A484" s="26"/>
      <c r="B484" s="17"/>
      <c r="C484" s="17"/>
      <c r="D484" s="17"/>
      <c r="E484" s="17"/>
      <c r="F484" s="17"/>
      <c r="G484" s="17"/>
      <c r="H484" s="17"/>
      <c r="I484" s="17"/>
      <c r="J484" s="17"/>
      <c r="K484" s="17"/>
      <c r="L484" s="17"/>
      <c r="M484" s="17"/>
      <c r="N484" s="17"/>
      <c r="O484" s="17"/>
      <c r="P484" s="17"/>
      <c r="Q484" s="17"/>
      <c r="R484" s="17"/>
      <c r="S484" s="17"/>
      <c r="T484" s="17"/>
      <c r="U484" s="17"/>
      <c r="V484" s="12"/>
      <c r="W484" s="12"/>
      <c r="X484" s="12"/>
      <c r="Y484" s="12"/>
      <c r="Z484" s="12"/>
    </row>
    <row r="485" spans="1:26" ht="15" customHeight="1" x14ac:dyDescent="0.3">
      <c r="A485" s="26"/>
      <c r="B485" s="17"/>
      <c r="C485" s="17"/>
      <c r="D485" s="17"/>
      <c r="E485" s="17"/>
      <c r="F485" s="17"/>
      <c r="G485" s="17"/>
      <c r="H485" s="17"/>
      <c r="I485" s="17"/>
      <c r="J485" s="17"/>
      <c r="K485" s="17"/>
      <c r="L485" s="17"/>
      <c r="M485" s="17"/>
      <c r="N485" s="17"/>
      <c r="O485" s="17"/>
      <c r="P485" s="17"/>
      <c r="Q485" s="17"/>
      <c r="R485" s="17"/>
      <c r="S485" s="17"/>
      <c r="T485" s="17"/>
      <c r="U485" s="17"/>
      <c r="V485" s="12"/>
      <c r="W485" s="12"/>
      <c r="X485" s="12"/>
      <c r="Y485" s="12"/>
      <c r="Z485" s="12"/>
    </row>
    <row r="486" spans="1:26" ht="15" customHeight="1" x14ac:dyDescent="0.3">
      <c r="A486" s="26"/>
      <c r="B486" s="17"/>
      <c r="C486" s="17"/>
      <c r="D486" s="17"/>
      <c r="E486" s="17"/>
      <c r="F486" s="17"/>
      <c r="G486" s="17"/>
      <c r="H486" s="17"/>
      <c r="I486" s="17"/>
      <c r="J486" s="17"/>
      <c r="K486" s="17"/>
      <c r="L486" s="17"/>
      <c r="M486" s="17"/>
      <c r="N486" s="17"/>
      <c r="O486" s="17"/>
      <c r="P486" s="17"/>
      <c r="Q486" s="17"/>
      <c r="R486" s="17"/>
      <c r="S486" s="17"/>
      <c r="T486" s="17"/>
      <c r="U486" s="17"/>
      <c r="V486" s="12"/>
      <c r="W486" s="12"/>
      <c r="X486" s="12"/>
      <c r="Y486" s="12"/>
      <c r="Z486" s="12"/>
    </row>
    <row r="487" spans="1:26" ht="15" customHeight="1" x14ac:dyDescent="0.3">
      <c r="A487" s="26"/>
      <c r="B487" s="17"/>
      <c r="C487" s="17"/>
      <c r="D487" s="17"/>
      <c r="E487" s="17"/>
      <c r="F487" s="17"/>
      <c r="G487" s="17"/>
      <c r="H487" s="17"/>
      <c r="I487" s="17"/>
      <c r="J487" s="17"/>
      <c r="K487" s="17"/>
      <c r="L487" s="17"/>
      <c r="M487" s="17"/>
      <c r="N487" s="17"/>
      <c r="O487" s="17"/>
      <c r="P487" s="17"/>
      <c r="Q487" s="17"/>
      <c r="R487" s="17"/>
      <c r="S487" s="17"/>
      <c r="T487" s="17"/>
      <c r="U487" s="17"/>
      <c r="V487" s="12"/>
      <c r="W487" s="12"/>
      <c r="X487" s="12"/>
      <c r="Y487" s="12"/>
      <c r="Z487" s="12"/>
    </row>
    <row r="488" spans="1:26" ht="15" customHeight="1" x14ac:dyDescent="0.3">
      <c r="A488" s="26"/>
      <c r="B488" s="17"/>
      <c r="C488" s="17"/>
      <c r="D488" s="17"/>
      <c r="E488" s="17"/>
      <c r="F488" s="17"/>
      <c r="G488" s="17"/>
      <c r="H488" s="17"/>
      <c r="I488" s="17"/>
      <c r="J488" s="17"/>
      <c r="K488" s="17"/>
      <c r="L488" s="17"/>
      <c r="M488" s="17"/>
      <c r="N488" s="17"/>
      <c r="O488" s="17"/>
      <c r="P488" s="17"/>
      <c r="Q488" s="17"/>
      <c r="R488" s="17"/>
      <c r="S488" s="17"/>
      <c r="T488" s="17"/>
      <c r="U488" s="17"/>
      <c r="V488" s="12"/>
      <c r="W488" s="12"/>
      <c r="X488" s="12"/>
      <c r="Y488" s="12"/>
      <c r="Z488" s="12"/>
    </row>
    <row r="489" spans="1:26" ht="15" customHeight="1" x14ac:dyDescent="0.3">
      <c r="A489" s="26"/>
      <c r="B489" s="17"/>
      <c r="C489" s="17"/>
      <c r="D489" s="17"/>
      <c r="E489" s="17"/>
      <c r="F489" s="17"/>
      <c r="G489" s="17"/>
      <c r="H489" s="17"/>
      <c r="I489" s="17"/>
      <c r="J489" s="17"/>
      <c r="K489" s="17"/>
      <c r="L489" s="17"/>
      <c r="M489" s="17"/>
      <c r="N489" s="17"/>
      <c r="O489" s="17"/>
      <c r="P489" s="17"/>
      <c r="Q489" s="17"/>
      <c r="R489" s="17"/>
      <c r="S489" s="17"/>
      <c r="T489" s="17"/>
      <c r="U489" s="17"/>
      <c r="V489" s="12"/>
      <c r="W489" s="12"/>
      <c r="X489" s="12"/>
      <c r="Y489" s="12"/>
      <c r="Z489" s="12"/>
    </row>
    <row r="490" spans="1:26" ht="15" customHeight="1" x14ac:dyDescent="0.3">
      <c r="A490" s="26"/>
      <c r="B490" s="17"/>
      <c r="C490" s="17"/>
      <c r="D490" s="17"/>
      <c r="E490" s="17"/>
      <c r="F490" s="17"/>
      <c r="G490" s="17"/>
      <c r="H490" s="17"/>
      <c r="I490" s="17"/>
      <c r="J490" s="17"/>
      <c r="K490" s="17"/>
      <c r="L490" s="17"/>
      <c r="M490" s="17"/>
      <c r="N490" s="17"/>
      <c r="O490" s="17"/>
      <c r="P490" s="17"/>
      <c r="Q490" s="17"/>
      <c r="R490" s="17"/>
      <c r="S490" s="17"/>
      <c r="T490" s="17"/>
      <c r="U490" s="17"/>
      <c r="V490" s="12"/>
      <c r="W490" s="12"/>
      <c r="X490" s="12"/>
      <c r="Y490" s="12"/>
      <c r="Z490" s="12"/>
    </row>
    <row r="491" spans="1:26" ht="15" customHeight="1" x14ac:dyDescent="0.3">
      <c r="A491" s="26"/>
      <c r="B491" s="17"/>
      <c r="C491" s="17"/>
      <c r="D491" s="17"/>
      <c r="E491" s="17"/>
      <c r="F491" s="17"/>
      <c r="G491" s="17"/>
      <c r="H491" s="17"/>
      <c r="I491" s="17"/>
      <c r="J491" s="17"/>
      <c r="K491" s="17"/>
      <c r="L491" s="17"/>
      <c r="M491" s="17"/>
      <c r="N491" s="17"/>
      <c r="O491" s="17"/>
      <c r="P491" s="17"/>
      <c r="Q491" s="17"/>
      <c r="R491" s="17"/>
      <c r="S491" s="17"/>
      <c r="T491" s="17"/>
      <c r="U491" s="17"/>
      <c r="V491" s="12"/>
      <c r="W491" s="12"/>
      <c r="X491" s="12"/>
      <c r="Y491" s="12"/>
      <c r="Z491" s="12"/>
    </row>
    <row r="492" spans="1:26" ht="15" customHeight="1" x14ac:dyDescent="0.3">
      <c r="A492" s="26"/>
      <c r="B492" s="17"/>
      <c r="C492" s="17"/>
      <c r="D492" s="17"/>
      <c r="E492" s="17"/>
      <c r="F492" s="17"/>
      <c r="G492" s="17"/>
      <c r="H492" s="17"/>
      <c r="I492" s="17"/>
      <c r="J492" s="17"/>
      <c r="K492" s="17"/>
      <c r="L492" s="17"/>
      <c r="M492" s="17"/>
      <c r="N492" s="17"/>
      <c r="O492" s="17"/>
      <c r="P492" s="17"/>
      <c r="Q492" s="17"/>
      <c r="R492" s="17"/>
      <c r="S492" s="17"/>
      <c r="T492" s="17"/>
      <c r="U492" s="17"/>
      <c r="V492" s="12"/>
      <c r="W492" s="12"/>
      <c r="X492" s="12"/>
      <c r="Y492" s="12"/>
      <c r="Z492" s="12"/>
    </row>
    <row r="493" spans="1:26" ht="15" customHeight="1" x14ac:dyDescent="0.3">
      <c r="A493" s="26"/>
      <c r="B493" s="17"/>
      <c r="C493" s="17"/>
      <c r="D493" s="17"/>
      <c r="E493" s="17"/>
      <c r="F493" s="17"/>
      <c r="G493" s="17"/>
      <c r="H493" s="17"/>
      <c r="I493" s="17"/>
      <c r="J493" s="17"/>
      <c r="K493" s="17"/>
      <c r="L493" s="17"/>
      <c r="M493" s="17"/>
      <c r="N493" s="17"/>
      <c r="O493" s="17"/>
      <c r="P493" s="17"/>
      <c r="Q493" s="17"/>
      <c r="R493" s="17"/>
      <c r="S493" s="17"/>
      <c r="T493" s="17"/>
      <c r="U493" s="17"/>
      <c r="V493" s="12"/>
      <c r="W493" s="12"/>
      <c r="X493" s="12"/>
      <c r="Y493" s="12"/>
      <c r="Z493" s="12"/>
    </row>
    <row r="494" spans="1:26" ht="15" customHeight="1" x14ac:dyDescent="0.3">
      <c r="A494" s="26"/>
      <c r="B494" s="17"/>
      <c r="C494" s="17"/>
      <c r="D494" s="17"/>
      <c r="E494" s="17"/>
      <c r="F494" s="17"/>
      <c r="G494" s="17"/>
      <c r="H494" s="17"/>
      <c r="I494" s="17"/>
      <c r="J494" s="17"/>
      <c r="K494" s="17"/>
      <c r="L494" s="17"/>
      <c r="M494" s="17"/>
      <c r="N494" s="17"/>
      <c r="O494" s="17"/>
      <c r="P494" s="17"/>
      <c r="Q494" s="17"/>
      <c r="R494" s="17"/>
      <c r="S494" s="17"/>
      <c r="T494" s="17"/>
      <c r="U494" s="17"/>
      <c r="V494" s="12"/>
      <c r="W494" s="12"/>
      <c r="X494" s="12"/>
      <c r="Y494" s="12"/>
      <c r="Z494" s="12"/>
    </row>
    <row r="495" spans="1:26" ht="15" customHeight="1" x14ac:dyDescent="0.3">
      <c r="A495" s="26"/>
      <c r="B495" s="17"/>
      <c r="C495" s="17"/>
      <c r="D495" s="17"/>
      <c r="E495" s="17"/>
      <c r="F495" s="17"/>
      <c r="G495" s="17"/>
      <c r="H495" s="17"/>
      <c r="I495" s="17"/>
      <c r="J495" s="17"/>
      <c r="K495" s="17"/>
      <c r="L495" s="17"/>
      <c r="M495" s="17"/>
      <c r="N495" s="17"/>
      <c r="O495" s="17"/>
      <c r="P495" s="17"/>
      <c r="Q495" s="17"/>
      <c r="R495" s="17"/>
      <c r="S495" s="17"/>
      <c r="T495" s="17"/>
      <c r="U495" s="17"/>
      <c r="V495" s="12"/>
      <c r="W495" s="12"/>
      <c r="X495" s="12"/>
      <c r="Y495" s="12"/>
      <c r="Z495" s="12"/>
    </row>
    <row r="496" spans="1:26" ht="15" customHeight="1" x14ac:dyDescent="0.3">
      <c r="A496" s="26"/>
      <c r="B496" s="17"/>
      <c r="C496" s="17"/>
      <c r="D496" s="17"/>
      <c r="E496" s="17"/>
      <c r="F496" s="17"/>
      <c r="G496" s="17"/>
      <c r="H496" s="17"/>
      <c r="I496" s="17"/>
      <c r="J496" s="17"/>
      <c r="K496" s="17"/>
      <c r="L496" s="17"/>
      <c r="M496" s="17"/>
      <c r="N496" s="17"/>
      <c r="O496" s="17"/>
      <c r="P496" s="17"/>
      <c r="Q496" s="17"/>
      <c r="R496" s="17"/>
      <c r="S496" s="17"/>
      <c r="T496" s="17"/>
      <c r="U496" s="17"/>
      <c r="V496" s="12"/>
      <c r="W496" s="12"/>
      <c r="X496" s="12"/>
      <c r="Y496" s="12"/>
      <c r="Z496" s="12"/>
    </row>
    <row r="497" spans="1:26" ht="15" customHeight="1" x14ac:dyDescent="0.3">
      <c r="A497" s="26"/>
      <c r="B497" s="17"/>
      <c r="C497" s="17"/>
      <c r="D497" s="17"/>
      <c r="E497" s="17"/>
      <c r="F497" s="17"/>
      <c r="G497" s="17"/>
      <c r="H497" s="17"/>
      <c r="I497" s="17"/>
      <c r="J497" s="17"/>
      <c r="K497" s="17"/>
      <c r="L497" s="17"/>
      <c r="M497" s="17"/>
      <c r="N497" s="17"/>
      <c r="O497" s="17"/>
      <c r="P497" s="17"/>
      <c r="Q497" s="17"/>
      <c r="R497" s="17"/>
      <c r="S497" s="17"/>
      <c r="T497" s="17"/>
      <c r="U497" s="17"/>
      <c r="V497" s="12"/>
      <c r="W497" s="12"/>
      <c r="X497" s="12"/>
      <c r="Y497" s="12"/>
      <c r="Z497" s="12"/>
    </row>
    <row r="498" spans="1:26" ht="15" customHeight="1" x14ac:dyDescent="0.3">
      <c r="A498" s="26"/>
      <c r="B498" s="17"/>
      <c r="C498" s="17"/>
      <c r="D498" s="17"/>
      <c r="E498" s="17"/>
      <c r="F498" s="17"/>
      <c r="G498" s="17"/>
      <c r="H498" s="17"/>
      <c r="I498" s="17"/>
      <c r="J498" s="17"/>
      <c r="K498" s="17"/>
      <c r="L498" s="17"/>
      <c r="M498" s="17"/>
      <c r="N498" s="17"/>
      <c r="O498" s="17"/>
      <c r="P498" s="17"/>
      <c r="Q498" s="17"/>
      <c r="R498" s="17"/>
      <c r="S498" s="17"/>
      <c r="T498" s="17"/>
      <c r="U498" s="17"/>
      <c r="V498" s="12"/>
      <c r="W498" s="12"/>
      <c r="X498" s="12"/>
      <c r="Y498" s="12"/>
      <c r="Z498" s="12"/>
    </row>
    <row r="499" spans="1:26" ht="15" customHeight="1" x14ac:dyDescent="0.3">
      <c r="A499" s="26"/>
      <c r="B499" s="17"/>
      <c r="C499" s="17"/>
      <c r="D499" s="17"/>
      <c r="E499" s="17"/>
      <c r="F499" s="17"/>
      <c r="G499" s="17"/>
      <c r="H499" s="17"/>
      <c r="I499" s="17"/>
      <c r="J499" s="17"/>
      <c r="K499" s="17"/>
      <c r="L499" s="17"/>
      <c r="M499" s="17"/>
      <c r="N499" s="17"/>
      <c r="O499" s="17"/>
      <c r="P499" s="17"/>
      <c r="Q499" s="17"/>
      <c r="R499" s="17"/>
      <c r="S499" s="17"/>
      <c r="T499" s="17"/>
      <c r="U499" s="17"/>
      <c r="V499" s="12"/>
      <c r="W499" s="12"/>
      <c r="X499" s="12"/>
      <c r="Y499" s="12"/>
      <c r="Z499" s="12"/>
    </row>
    <row r="500" spans="1:26" ht="15" customHeight="1" x14ac:dyDescent="0.3">
      <c r="A500" s="26"/>
      <c r="B500" s="17"/>
      <c r="C500" s="17"/>
      <c r="D500" s="17"/>
      <c r="E500" s="17"/>
      <c r="F500" s="17"/>
      <c r="G500" s="17"/>
      <c r="H500" s="17"/>
      <c r="I500" s="17"/>
      <c r="J500" s="17"/>
      <c r="K500" s="17"/>
      <c r="L500" s="17"/>
      <c r="M500" s="17"/>
      <c r="N500" s="17"/>
      <c r="O500" s="17"/>
      <c r="P500" s="17"/>
      <c r="Q500" s="17"/>
      <c r="R500" s="17"/>
      <c r="S500" s="17"/>
      <c r="T500" s="17"/>
      <c r="U500" s="17"/>
      <c r="V500" s="12"/>
      <c r="W500" s="12"/>
      <c r="X500" s="12"/>
      <c r="Y500" s="12"/>
      <c r="Z500" s="12"/>
    </row>
    <row r="501" spans="1:26" ht="15" customHeight="1" x14ac:dyDescent="0.3">
      <c r="A501" s="26"/>
      <c r="B501" s="17"/>
      <c r="C501" s="17"/>
      <c r="D501" s="17"/>
      <c r="E501" s="17"/>
      <c r="F501" s="17"/>
      <c r="G501" s="17"/>
      <c r="H501" s="17"/>
      <c r="I501" s="17"/>
      <c r="J501" s="17"/>
      <c r="K501" s="17"/>
      <c r="L501" s="17"/>
      <c r="M501" s="17"/>
      <c r="N501" s="17"/>
      <c r="O501" s="17"/>
      <c r="P501" s="17"/>
      <c r="Q501" s="17"/>
      <c r="R501" s="17"/>
      <c r="S501" s="17"/>
      <c r="T501" s="17"/>
      <c r="U501" s="17"/>
      <c r="V501" s="12"/>
      <c r="W501" s="12"/>
      <c r="X501" s="12"/>
      <c r="Y501" s="12"/>
      <c r="Z501" s="12"/>
    </row>
    <row r="502" spans="1:26" ht="15" customHeight="1" x14ac:dyDescent="0.3">
      <c r="A502" s="26"/>
      <c r="B502" s="17"/>
      <c r="C502" s="17"/>
      <c r="D502" s="17"/>
      <c r="E502" s="17"/>
      <c r="F502" s="17"/>
      <c r="G502" s="17"/>
      <c r="H502" s="17"/>
      <c r="I502" s="17"/>
      <c r="J502" s="17"/>
      <c r="K502" s="17"/>
      <c r="L502" s="17"/>
      <c r="M502" s="17"/>
      <c r="N502" s="17"/>
      <c r="O502" s="17"/>
      <c r="P502" s="17"/>
      <c r="Q502" s="17"/>
      <c r="R502" s="17"/>
      <c r="S502" s="17"/>
      <c r="T502" s="17"/>
      <c r="U502" s="17"/>
      <c r="V502" s="12"/>
      <c r="W502" s="12"/>
      <c r="X502" s="12"/>
      <c r="Y502" s="12"/>
      <c r="Z502" s="12"/>
    </row>
    <row r="503" spans="1:26" ht="15" customHeight="1" x14ac:dyDescent="0.3">
      <c r="A503" s="26"/>
      <c r="B503" s="17"/>
      <c r="C503" s="17"/>
      <c r="D503" s="17"/>
      <c r="E503" s="17"/>
      <c r="F503" s="17"/>
      <c r="G503" s="17"/>
      <c r="H503" s="17"/>
      <c r="I503" s="17"/>
      <c r="J503" s="17"/>
      <c r="K503" s="17"/>
      <c r="L503" s="17"/>
      <c r="M503" s="17"/>
      <c r="N503" s="17"/>
      <c r="O503" s="17"/>
      <c r="P503" s="17"/>
      <c r="Q503" s="17"/>
      <c r="R503" s="17"/>
      <c r="S503" s="17"/>
      <c r="T503" s="17"/>
      <c r="U503" s="17"/>
      <c r="V503" s="12"/>
      <c r="W503" s="12"/>
      <c r="X503" s="12"/>
      <c r="Y503" s="12"/>
      <c r="Z503" s="12"/>
    </row>
    <row r="504" spans="1:26" ht="15" customHeight="1" x14ac:dyDescent="0.3">
      <c r="A504" s="26"/>
      <c r="B504" s="17"/>
      <c r="C504" s="17"/>
      <c r="D504" s="17"/>
      <c r="E504" s="17"/>
      <c r="F504" s="17"/>
      <c r="G504" s="17"/>
      <c r="H504" s="17"/>
      <c r="I504" s="17"/>
      <c r="J504" s="17"/>
      <c r="K504" s="17"/>
      <c r="L504" s="17"/>
      <c r="M504" s="17"/>
      <c r="N504" s="17"/>
      <c r="O504" s="17"/>
      <c r="P504" s="17"/>
      <c r="Q504" s="17"/>
      <c r="R504" s="17"/>
      <c r="S504" s="17"/>
      <c r="T504" s="17"/>
      <c r="U504" s="17"/>
      <c r="V504" s="12"/>
      <c r="W504" s="12"/>
      <c r="X504" s="12"/>
      <c r="Y504" s="12"/>
      <c r="Z504" s="12"/>
    </row>
    <row r="505" spans="1:26" ht="15" customHeight="1" x14ac:dyDescent="0.3">
      <c r="A505" s="26"/>
      <c r="B505" s="17"/>
      <c r="C505" s="17"/>
      <c r="D505" s="17"/>
      <c r="E505" s="17"/>
      <c r="F505" s="17"/>
      <c r="G505" s="17"/>
      <c r="H505" s="17"/>
      <c r="I505" s="17"/>
      <c r="J505" s="17"/>
      <c r="K505" s="17"/>
      <c r="L505" s="17"/>
      <c r="M505" s="17"/>
      <c r="N505" s="17"/>
      <c r="O505" s="17"/>
      <c r="P505" s="17"/>
      <c r="Q505" s="17"/>
      <c r="R505" s="17"/>
      <c r="S505" s="17"/>
      <c r="T505" s="17"/>
      <c r="U505" s="17"/>
      <c r="V505" s="12"/>
      <c r="W505" s="12"/>
      <c r="X505" s="12"/>
      <c r="Y505" s="12"/>
      <c r="Z505" s="12"/>
    </row>
    <row r="506" spans="1:26" ht="15" customHeight="1" x14ac:dyDescent="0.3">
      <c r="A506" s="26"/>
      <c r="B506" s="17"/>
      <c r="C506" s="17"/>
      <c r="D506" s="17"/>
      <c r="E506" s="17"/>
      <c r="F506" s="17"/>
      <c r="G506" s="17"/>
      <c r="H506" s="17"/>
      <c r="I506" s="17"/>
      <c r="J506" s="17"/>
      <c r="K506" s="17"/>
      <c r="L506" s="17"/>
      <c r="M506" s="17"/>
      <c r="N506" s="17"/>
      <c r="O506" s="17"/>
      <c r="P506" s="17"/>
      <c r="Q506" s="17"/>
      <c r="R506" s="17"/>
      <c r="S506" s="17"/>
      <c r="T506" s="17"/>
      <c r="U506" s="17"/>
      <c r="V506" s="12"/>
      <c r="W506" s="12"/>
      <c r="X506" s="12"/>
      <c r="Y506" s="12"/>
      <c r="Z506" s="12"/>
    </row>
    <row r="507" spans="1:26" ht="15" customHeight="1" x14ac:dyDescent="0.3">
      <c r="A507" s="26"/>
      <c r="B507" s="17"/>
      <c r="C507" s="17"/>
      <c r="D507" s="17"/>
      <c r="E507" s="17"/>
      <c r="F507" s="17"/>
      <c r="G507" s="17"/>
      <c r="H507" s="17"/>
      <c r="I507" s="17"/>
      <c r="J507" s="17"/>
      <c r="K507" s="17"/>
      <c r="L507" s="17"/>
      <c r="M507" s="17"/>
      <c r="N507" s="17"/>
      <c r="O507" s="17"/>
      <c r="P507" s="17"/>
      <c r="Q507" s="17"/>
      <c r="R507" s="17"/>
      <c r="S507" s="17"/>
      <c r="T507" s="17"/>
      <c r="U507" s="17"/>
      <c r="V507" s="12"/>
      <c r="W507" s="12"/>
      <c r="X507" s="12"/>
      <c r="Y507" s="12"/>
      <c r="Z507" s="12"/>
    </row>
    <row r="508" spans="1:26" ht="15" customHeight="1" x14ac:dyDescent="0.3">
      <c r="A508" s="26"/>
      <c r="B508" s="17"/>
      <c r="C508" s="17"/>
      <c r="D508" s="17"/>
      <c r="E508" s="17"/>
      <c r="F508" s="17"/>
      <c r="G508" s="17"/>
      <c r="H508" s="17"/>
      <c r="I508" s="17"/>
      <c r="J508" s="17"/>
      <c r="K508" s="17"/>
      <c r="L508" s="17"/>
      <c r="M508" s="17"/>
      <c r="N508" s="17"/>
      <c r="O508" s="17"/>
      <c r="P508" s="17"/>
      <c r="Q508" s="17"/>
      <c r="R508" s="17"/>
      <c r="S508" s="17"/>
      <c r="T508" s="17"/>
      <c r="U508" s="17"/>
      <c r="V508" s="12"/>
      <c r="W508" s="12"/>
      <c r="X508" s="12"/>
      <c r="Y508" s="12"/>
      <c r="Z508" s="12"/>
    </row>
    <row r="509" spans="1:26" ht="15" customHeight="1" x14ac:dyDescent="0.3">
      <c r="A509" s="26"/>
      <c r="B509" s="17"/>
      <c r="C509" s="17"/>
      <c r="D509" s="17"/>
      <c r="E509" s="17"/>
      <c r="F509" s="17"/>
      <c r="G509" s="17"/>
      <c r="H509" s="17"/>
      <c r="I509" s="17"/>
      <c r="J509" s="17"/>
      <c r="K509" s="17"/>
      <c r="L509" s="17"/>
      <c r="M509" s="17"/>
      <c r="N509" s="17"/>
      <c r="O509" s="17"/>
      <c r="P509" s="17"/>
      <c r="Q509" s="17"/>
      <c r="R509" s="17"/>
      <c r="S509" s="17"/>
      <c r="T509" s="17"/>
      <c r="U509" s="17"/>
      <c r="V509" s="12"/>
      <c r="W509" s="12"/>
      <c r="X509" s="12"/>
      <c r="Y509" s="12"/>
      <c r="Z509" s="12"/>
    </row>
    <row r="510" spans="1:26" ht="15" customHeight="1" x14ac:dyDescent="0.3">
      <c r="A510" s="26"/>
      <c r="B510" s="17"/>
      <c r="C510" s="17"/>
      <c r="D510" s="17"/>
      <c r="E510" s="17"/>
      <c r="F510" s="17"/>
      <c r="G510" s="17"/>
      <c r="H510" s="17"/>
      <c r="I510" s="17"/>
      <c r="J510" s="17"/>
      <c r="K510" s="17"/>
      <c r="L510" s="17"/>
      <c r="M510" s="17"/>
      <c r="N510" s="17"/>
      <c r="O510" s="17"/>
      <c r="P510" s="17"/>
      <c r="Q510" s="17"/>
      <c r="R510" s="17"/>
      <c r="S510" s="17"/>
      <c r="T510" s="17"/>
      <c r="U510" s="17"/>
      <c r="V510" s="12"/>
      <c r="W510" s="12"/>
      <c r="X510" s="12"/>
      <c r="Y510" s="12"/>
      <c r="Z510" s="12"/>
    </row>
    <row r="511" spans="1:26" ht="15" customHeight="1" x14ac:dyDescent="0.3">
      <c r="A511" s="26"/>
      <c r="B511" s="17"/>
      <c r="C511" s="17"/>
      <c r="D511" s="17"/>
      <c r="E511" s="17"/>
      <c r="F511" s="17"/>
      <c r="G511" s="17"/>
      <c r="H511" s="17"/>
      <c r="I511" s="17"/>
      <c r="J511" s="17"/>
      <c r="K511" s="17"/>
      <c r="L511" s="17"/>
      <c r="M511" s="17"/>
      <c r="N511" s="17"/>
      <c r="O511" s="17"/>
      <c r="P511" s="17"/>
      <c r="Q511" s="17"/>
      <c r="R511" s="17"/>
      <c r="S511" s="17"/>
      <c r="T511" s="17"/>
      <c r="U511" s="17"/>
      <c r="V511" s="12"/>
      <c r="W511" s="12"/>
      <c r="X511" s="12"/>
      <c r="Y511" s="12"/>
      <c r="Z511" s="12"/>
    </row>
    <row r="512" spans="1:26" ht="15" customHeight="1" x14ac:dyDescent="0.3">
      <c r="A512" s="26"/>
      <c r="B512" s="17"/>
      <c r="C512" s="17"/>
      <c r="D512" s="17"/>
      <c r="E512" s="17"/>
      <c r="F512" s="17"/>
      <c r="G512" s="17"/>
      <c r="H512" s="17"/>
      <c r="I512" s="17"/>
      <c r="J512" s="17"/>
      <c r="K512" s="17"/>
      <c r="L512" s="17"/>
      <c r="M512" s="17"/>
      <c r="N512" s="17"/>
      <c r="O512" s="17"/>
      <c r="P512" s="17"/>
      <c r="Q512" s="17"/>
      <c r="R512" s="17"/>
      <c r="S512" s="17"/>
      <c r="T512" s="17"/>
      <c r="U512" s="17"/>
      <c r="V512" s="12"/>
      <c r="W512" s="12"/>
      <c r="X512" s="12"/>
      <c r="Y512" s="12"/>
      <c r="Z512" s="12"/>
    </row>
    <row r="513" spans="1:26" ht="15" customHeight="1" x14ac:dyDescent="0.3">
      <c r="A513" s="26"/>
      <c r="B513" s="17"/>
      <c r="C513" s="17"/>
      <c r="D513" s="17"/>
      <c r="E513" s="17"/>
      <c r="F513" s="17"/>
      <c r="G513" s="17"/>
      <c r="H513" s="17"/>
      <c r="I513" s="17"/>
      <c r="J513" s="17"/>
      <c r="K513" s="17"/>
      <c r="L513" s="17"/>
      <c r="M513" s="17"/>
      <c r="N513" s="17"/>
      <c r="O513" s="17"/>
      <c r="P513" s="17"/>
      <c r="Q513" s="17"/>
      <c r="R513" s="17"/>
      <c r="S513" s="17"/>
      <c r="T513" s="17"/>
      <c r="U513" s="17"/>
      <c r="V513" s="12"/>
      <c r="W513" s="12"/>
      <c r="X513" s="12"/>
      <c r="Y513" s="12"/>
      <c r="Z513" s="12"/>
    </row>
    <row r="514" spans="1:26" ht="15" customHeight="1" x14ac:dyDescent="0.3">
      <c r="A514" s="26"/>
      <c r="B514" s="17"/>
      <c r="C514" s="17"/>
      <c r="D514" s="17"/>
      <c r="E514" s="17"/>
      <c r="F514" s="17"/>
      <c r="G514" s="17"/>
      <c r="H514" s="17"/>
      <c r="I514" s="17"/>
      <c r="J514" s="17"/>
      <c r="K514" s="17"/>
      <c r="L514" s="17"/>
      <c r="M514" s="17"/>
      <c r="N514" s="17"/>
      <c r="O514" s="17"/>
      <c r="P514" s="17"/>
      <c r="Q514" s="17"/>
      <c r="R514" s="17"/>
      <c r="S514" s="17"/>
      <c r="T514" s="17"/>
      <c r="U514" s="17"/>
      <c r="V514" s="12"/>
      <c r="W514" s="12"/>
      <c r="X514" s="12"/>
      <c r="Y514" s="12"/>
      <c r="Z514" s="12"/>
    </row>
    <row r="515" spans="1:26" ht="15" customHeight="1" x14ac:dyDescent="0.3">
      <c r="A515" s="26"/>
      <c r="B515" s="17"/>
      <c r="C515" s="17"/>
      <c r="D515" s="17"/>
      <c r="E515" s="17"/>
      <c r="F515" s="17"/>
      <c r="G515" s="17"/>
      <c r="H515" s="17"/>
      <c r="I515" s="17"/>
      <c r="J515" s="17"/>
      <c r="K515" s="17"/>
      <c r="L515" s="17"/>
      <c r="M515" s="17"/>
      <c r="N515" s="17"/>
      <c r="O515" s="17"/>
      <c r="P515" s="17"/>
      <c r="Q515" s="17"/>
      <c r="R515" s="17"/>
      <c r="S515" s="17"/>
      <c r="T515" s="17"/>
      <c r="U515" s="17"/>
      <c r="V515" s="12"/>
      <c r="W515" s="12"/>
      <c r="X515" s="12"/>
      <c r="Y515" s="12"/>
      <c r="Z515" s="12"/>
    </row>
    <row r="516" spans="1:26" ht="15" customHeight="1" x14ac:dyDescent="0.3">
      <c r="A516" s="26"/>
      <c r="B516" s="17"/>
      <c r="C516" s="17"/>
      <c r="D516" s="17"/>
      <c r="E516" s="17"/>
      <c r="F516" s="17"/>
      <c r="G516" s="17"/>
      <c r="H516" s="17"/>
      <c r="I516" s="17"/>
      <c r="J516" s="17"/>
      <c r="K516" s="17"/>
      <c r="L516" s="17"/>
      <c r="M516" s="17"/>
      <c r="N516" s="17"/>
      <c r="O516" s="17"/>
      <c r="P516" s="17"/>
      <c r="Q516" s="17"/>
      <c r="R516" s="17"/>
      <c r="S516" s="17"/>
      <c r="T516" s="17"/>
      <c r="U516" s="17"/>
      <c r="V516" s="12"/>
      <c r="W516" s="12"/>
      <c r="X516" s="12"/>
      <c r="Y516" s="12"/>
      <c r="Z516" s="12"/>
    </row>
    <row r="517" spans="1:26" ht="15" customHeight="1" x14ac:dyDescent="0.3">
      <c r="A517" s="26"/>
      <c r="B517" s="17"/>
      <c r="C517" s="17"/>
      <c r="D517" s="17"/>
      <c r="E517" s="17"/>
      <c r="F517" s="17"/>
      <c r="G517" s="17"/>
      <c r="H517" s="17"/>
      <c r="I517" s="17"/>
      <c r="J517" s="17"/>
      <c r="K517" s="17"/>
      <c r="L517" s="17"/>
      <c r="M517" s="17"/>
      <c r="N517" s="17"/>
      <c r="O517" s="17"/>
      <c r="P517" s="17"/>
      <c r="Q517" s="17"/>
      <c r="R517" s="17"/>
      <c r="S517" s="17"/>
      <c r="T517" s="17"/>
      <c r="U517" s="17"/>
      <c r="V517" s="12"/>
      <c r="W517" s="12"/>
      <c r="X517" s="12"/>
      <c r="Y517" s="12"/>
      <c r="Z517" s="12"/>
    </row>
    <row r="518" spans="1:26" ht="15" customHeight="1" x14ac:dyDescent="0.3">
      <c r="A518" s="26"/>
      <c r="B518" s="17"/>
      <c r="C518" s="17"/>
      <c r="D518" s="17"/>
      <c r="E518" s="17"/>
      <c r="F518" s="17"/>
      <c r="G518" s="17"/>
      <c r="H518" s="17"/>
      <c r="I518" s="17"/>
      <c r="J518" s="17"/>
      <c r="K518" s="17"/>
      <c r="L518" s="17"/>
      <c r="M518" s="17"/>
      <c r="N518" s="17"/>
      <c r="O518" s="17"/>
      <c r="P518" s="17"/>
      <c r="Q518" s="17"/>
      <c r="R518" s="17"/>
      <c r="S518" s="17"/>
      <c r="T518" s="17"/>
      <c r="U518" s="17"/>
      <c r="V518" s="12"/>
      <c r="W518" s="12"/>
      <c r="X518" s="12"/>
      <c r="Y518" s="12"/>
      <c r="Z518" s="12"/>
    </row>
    <row r="519" spans="1:26" ht="15" customHeight="1" x14ac:dyDescent="0.3">
      <c r="A519" s="26"/>
      <c r="B519" s="17"/>
      <c r="C519" s="17"/>
      <c r="D519" s="17"/>
      <c r="E519" s="17"/>
      <c r="F519" s="17"/>
      <c r="G519" s="17"/>
      <c r="H519" s="17"/>
      <c r="I519" s="17"/>
      <c r="J519" s="17"/>
      <c r="K519" s="17"/>
      <c r="L519" s="17"/>
      <c r="M519" s="17"/>
      <c r="N519" s="17"/>
      <c r="O519" s="17"/>
      <c r="P519" s="17"/>
      <c r="Q519" s="17"/>
      <c r="R519" s="17"/>
      <c r="S519" s="17"/>
      <c r="T519" s="17"/>
      <c r="U519" s="17"/>
      <c r="V519" s="12"/>
      <c r="W519" s="12"/>
      <c r="X519" s="12"/>
      <c r="Y519" s="12"/>
      <c r="Z519" s="12"/>
    </row>
    <row r="520" spans="1:26" ht="15" customHeight="1" x14ac:dyDescent="0.3">
      <c r="A520" s="26"/>
      <c r="B520" s="17"/>
      <c r="C520" s="17"/>
      <c r="D520" s="17"/>
      <c r="E520" s="17"/>
      <c r="F520" s="17"/>
      <c r="G520" s="17"/>
      <c r="H520" s="17"/>
      <c r="I520" s="17"/>
      <c r="J520" s="17"/>
      <c r="K520" s="17"/>
      <c r="L520" s="17"/>
      <c r="M520" s="17"/>
      <c r="N520" s="17"/>
      <c r="O520" s="17"/>
      <c r="P520" s="17"/>
      <c r="Q520" s="17"/>
      <c r="R520" s="17"/>
      <c r="S520" s="17"/>
      <c r="T520" s="17"/>
      <c r="U520" s="17"/>
      <c r="V520" s="12"/>
      <c r="W520" s="12"/>
      <c r="X520" s="12"/>
      <c r="Y520" s="12"/>
      <c r="Z520" s="12"/>
    </row>
    <row r="521" spans="1:26" ht="15" customHeight="1" x14ac:dyDescent="0.3">
      <c r="A521" s="26"/>
      <c r="B521" s="17"/>
      <c r="C521" s="17"/>
      <c r="D521" s="17"/>
      <c r="E521" s="17"/>
      <c r="F521" s="17"/>
      <c r="G521" s="17"/>
      <c r="H521" s="17"/>
      <c r="I521" s="17"/>
      <c r="J521" s="17"/>
      <c r="K521" s="17"/>
      <c r="L521" s="17"/>
      <c r="M521" s="17"/>
      <c r="N521" s="17"/>
      <c r="O521" s="17"/>
      <c r="P521" s="17"/>
      <c r="Q521" s="17"/>
      <c r="R521" s="17"/>
      <c r="S521" s="17"/>
      <c r="T521" s="17"/>
      <c r="U521" s="17"/>
      <c r="V521" s="12"/>
      <c r="W521" s="12"/>
      <c r="X521" s="12"/>
      <c r="Y521" s="12"/>
      <c r="Z521" s="12"/>
    </row>
    <row r="522" spans="1:26" ht="15" customHeight="1" x14ac:dyDescent="0.3">
      <c r="A522" s="26"/>
      <c r="B522" s="17"/>
      <c r="C522" s="17"/>
      <c r="D522" s="17"/>
      <c r="E522" s="17"/>
      <c r="F522" s="17"/>
      <c r="G522" s="17"/>
      <c r="H522" s="17"/>
      <c r="I522" s="17"/>
      <c r="J522" s="17"/>
      <c r="K522" s="17"/>
      <c r="L522" s="17"/>
      <c r="M522" s="17"/>
      <c r="N522" s="17"/>
      <c r="O522" s="17"/>
      <c r="P522" s="17"/>
      <c r="Q522" s="17"/>
      <c r="R522" s="17"/>
      <c r="S522" s="17"/>
      <c r="T522" s="17"/>
      <c r="U522" s="17"/>
      <c r="V522" s="12"/>
      <c r="W522" s="12"/>
      <c r="X522" s="12"/>
      <c r="Y522" s="12"/>
      <c r="Z522" s="12"/>
    </row>
    <row r="523" spans="1:26" ht="15" customHeight="1" x14ac:dyDescent="0.3">
      <c r="A523" s="26"/>
      <c r="B523" s="17"/>
      <c r="C523" s="17"/>
      <c r="D523" s="17"/>
      <c r="E523" s="17"/>
      <c r="F523" s="17"/>
      <c r="G523" s="17"/>
      <c r="H523" s="17"/>
      <c r="I523" s="17"/>
      <c r="J523" s="17"/>
      <c r="K523" s="17"/>
      <c r="L523" s="17"/>
      <c r="M523" s="17"/>
      <c r="N523" s="17"/>
      <c r="O523" s="17"/>
      <c r="P523" s="17"/>
      <c r="Q523" s="17"/>
      <c r="R523" s="17"/>
      <c r="S523" s="17"/>
      <c r="T523" s="17"/>
      <c r="U523" s="17"/>
      <c r="V523" s="12"/>
      <c r="W523" s="12"/>
      <c r="X523" s="12"/>
      <c r="Y523" s="12"/>
      <c r="Z523" s="12"/>
    </row>
    <row r="524" spans="1:26" ht="15" customHeight="1" x14ac:dyDescent="0.3">
      <c r="A524" s="26"/>
      <c r="B524" s="17"/>
      <c r="C524" s="17"/>
      <c r="D524" s="17"/>
      <c r="E524" s="17"/>
      <c r="F524" s="17"/>
      <c r="G524" s="17"/>
      <c r="H524" s="17"/>
      <c r="I524" s="17"/>
      <c r="J524" s="17"/>
      <c r="K524" s="17"/>
      <c r="L524" s="17"/>
      <c r="M524" s="17"/>
      <c r="N524" s="17"/>
      <c r="O524" s="17"/>
      <c r="P524" s="17"/>
      <c r="Q524" s="17"/>
      <c r="R524" s="17"/>
      <c r="S524" s="17"/>
      <c r="T524" s="17"/>
      <c r="U524" s="17"/>
      <c r="V524" s="12"/>
      <c r="W524" s="12"/>
      <c r="X524" s="12"/>
      <c r="Y524" s="12"/>
      <c r="Z524" s="12"/>
    </row>
    <row r="525" spans="1:26" ht="15" customHeight="1" x14ac:dyDescent="0.3">
      <c r="A525" s="26"/>
      <c r="B525" s="17"/>
      <c r="C525" s="17"/>
      <c r="D525" s="17"/>
      <c r="E525" s="17"/>
      <c r="F525" s="17"/>
      <c r="G525" s="17"/>
      <c r="H525" s="17"/>
      <c r="I525" s="17"/>
      <c r="J525" s="17"/>
      <c r="K525" s="17"/>
      <c r="L525" s="17"/>
      <c r="M525" s="17"/>
      <c r="N525" s="17"/>
      <c r="O525" s="17"/>
      <c r="P525" s="17"/>
      <c r="Q525" s="17"/>
      <c r="R525" s="17"/>
      <c r="S525" s="17"/>
      <c r="T525" s="17"/>
      <c r="U525" s="17"/>
      <c r="V525" s="12"/>
      <c r="W525" s="12"/>
      <c r="X525" s="12"/>
      <c r="Y525" s="12"/>
      <c r="Z525" s="12"/>
    </row>
    <row r="526" spans="1:26" ht="15" customHeight="1" x14ac:dyDescent="0.3">
      <c r="A526" s="26"/>
      <c r="B526" s="17"/>
      <c r="C526" s="17"/>
      <c r="D526" s="17"/>
      <c r="E526" s="17"/>
      <c r="F526" s="17"/>
      <c r="G526" s="17"/>
      <c r="H526" s="17"/>
      <c r="I526" s="17"/>
      <c r="J526" s="17"/>
      <c r="K526" s="17"/>
      <c r="L526" s="17"/>
      <c r="M526" s="17"/>
      <c r="N526" s="17"/>
      <c r="O526" s="17"/>
      <c r="P526" s="17"/>
      <c r="Q526" s="17"/>
      <c r="R526" s="17"/>
      <c r="S526" s="17"/>
      <c r="T526" s="17"/>
      <c r="U526" s="17"/>
      <c r="V526" s="12"/>
      <c r="W526" s="12"/>
      <c r="X526" s="12"/>
      <c r="Y526" s="12"/>
      <c r="Z526" s="12"/>
    </row>
    <row r="527" spans="1:26" ht="15" customHeight="1" x14ac:dyDescent="0.3">
      <c r="A527" s="26"/>
      <c r="B527" s="17"/>
      <c r="C527" s="17"/>
      <c r="D527" s="17"/>
      <c r="E527" s="17"/>
      <c r="F527" s="17"/>
      <c r="G527" s="17"/>
      <c r="H527" s="17"/>
      <c r="I527" s="17"/>
      <c r="J527" s="17"/>
      <c r="K527" s="17"/>
      <c r="L527" s="17"/>
      <c r="M527" s="17"/>
      <c r="N527" s="17"/>
      <c r="O527" s="17"/>
      <c r="P527" s="17"/>
      <c r="Q527" s="17"/>
      <c r="R527" s="17"/>
      <c r="S527" s="17"/>
      <c r="T527" s="17"/>
      <c r="U527" s="17"/>
      <c r="V527" s="12"/>
      <c r="W527" s="12"/>
      <c r="X527" s="12"/>
      <c r="Y527" s="12"/>
      <c r="Z527" s="12"/>
    </row>
    <row r="528" spans="1:26" ht="15" customHeight="1" x14ac:dyDescent="0.3">
      <c r="A528" s="26"/>
      <c r="B528" s="17"/>
      <c r="C528" s="17"/>
      <c r="D528" s="17"/>
      <c r="E528" s="17"/>
      <c r="F528" s="17"/>
      <c r="G528" s="17"/>
      <c r="H528" s="17"/>
      <c r="I528" s="17"/>
      <c r="J528" s="17"/>
      <c r="K528" s="17"/>
      <c r="L528" s="17"/>
      <c r="M528" s="17"/>
      <c r="N528" s="17"/>
      <c r="O528" s="17"/>
      <c r="P528" s="17"/>
      <c r="Q528" s="17"/>
      <c r="R528" s="17"/>
      <c r="S528" s="17"/>
      <c r="T528" s="17"/>
      <c r="U528" s="17"/>
      <c r="V528" s="12"/>
      <c r="W528" s="12"/>
      <c r="X528" s="12"/>
      <c r="Y528" s="12"/>
      <c r="Z528" s="12"/>
    </row>
    <row r="529" spans="1:26" ht="15" customHeight="1" x14ac:dyDescent="0.3">
      <c r="A529" s="26"/>
      <c r="B529" s="17"/>
      <c r="C529" s="17"/>
      <c r="D529" s="17"/>
      <c r="E529" s="17"/>
      <c r="F529" s="17"/>
      <c r="G529" s="17"/>
      <c r="H529" s="17"/>
      <c r="I529" s="17"/>
      <c r="J529" s="17"/>
      <c r="K529" s="17"/>
      <c r="L529" s="17"/>
      <c r="M529" s="17"/>
      <c r="N529" s="17"/>
      <c r="O529" s="17"/>
      <c r="P529" s="17"/>
      <c r="Q529" s="17"/>
      <c r="R529" s="17"/>
      <c r="S529" s="17"/>
      <c r="T529" s="17"/>
      <c r="U529" s="17"/>
      <c r="V529" s="12"/>
      <c r="W529" s="12"/>
      <c r="X529" s="12"/>
      <c r="Y529" s="12"/>
      <c r="Z529" s="12"/>
    </row>
    <row r="530" spans="1:26" ht="15" customHeight="1" x14ac:dyDescent="0.3">
      <c r="A530" s="26"/>
      <c r="B530" s="17"/>
      <c r="C530" s="17"/>
      <c r="D530" s="17"/>
      <c r="E530" s="17"/>
      <c r="F530" s="17"/>
      <c r="G530" s="17"/>
      <c r="H530" s="17"/>
      <c r="I530" s="17"/>
      <c r="J530" s="17"/>
      <c r="K530" s="17"/>
      <c r="L530" s="17"/>
      <c r="M530" s="17"/>
      <c r="N530" s="17"/>
      <c r="O530" s="17"/>
      <c r="P530" s="17"/>
      <c r="Q530" s="17"/>
      <c r="R530" s="17"/>
      <c r="S530" s="17"/>
      <c r="T530" s="17"/>
      <c r="U530" s="17"/>
      <c r="V530" s="12"/>
      <c r="W530" s="12"/>
      <c r="X530" s="12"/>
      <c r="Y530" s="12"/>
      <c r="Z530" s="12"/>
    </row>
    <row r="531" spans="1:26" ht="15" customHeight="1" x14ac:dyDescent="0.3">
      <c r="A531" s="26"/>
      <c r="B531" s="17"/>
      <c r="C531" s="17"/>
      <c r="D531" s="17"/>
      <c r="E531" s="17"/>
      <c r="F531" s="17"/>
      <c r="G531" s="17"/>
      <c r="H531" s="17"/>
      <c r="I531" s="17"/>
      <c r="J531" s="17"/>
      <c r="K531" s="17"/>
      <c r="L531" s="17"/>
      <c r="M531" s="17"/>
      <c r="N531" s="17"/>
      <c r="O531" s="17"/>
      <c r="P531" s="17"/>
      <c r="Q531" s="17"/>
      <c r="R531" s="17"/>
      <c r="S531" s="17"/>
      <c r="T531" s="17"/>
      <c r="U531" s="17"/>
      <c r="V531" s="12"/>
      <c r="W531" s="12"/>
      <c r="X531" s="12"/>
      <c r="Y531" s="12"/>
      <c r="Z531" s="12"/>
    </row>
    <row r="532" spans="1:26" ht="15" customHeight="1" x14ac:dyDescent="0.3">
      <c r="A532" s="26"/>
      <c r="B532" s="17"/>
      <c r="C532" s="17"/>
      <c r="D532" s="17"/>
      <c r="E532" s="17"/>
      <c r="F532" s="17"/>
      <c r="G532" s="17"/>
      <c r="H532" s="17"/>
      <c r="I532" s="17"/>
      <c r="J532" s="17"/>
      <c r="K532" s="17"/>
      <c r="L532" s="17"/>
      <c r="M532" s="17"/>
      <c r="N532" s="17"/>
      <c r="O532" s="17"/>
      <c r="P532" s="17"/>
      <c r="Q532" s="17"/>
      <c r="R532" s="17"/>
      <c r="S532" s="17"/>
      <c r="T532" s="17"/>
      <c r="U532" s="17"/>
      <c r="V532" s="12"/>
      <c r="W532" s="12"/>
      <c r="X532" s="12"/>
      <c r="Y532" s="12"/>
      <c r="Z532" s="12"/>
    </row>
    <row r="533" spans="1:26" ht="15" customHeight="1" x14ac:dyDescent="0.3">
      <c r="A533" s="26"/>
      <c r="B533" s="17"/>
      <c r="C533" s="17"/>
      <c r="D533" s="17"/>
      <c r="E533" s="17"/>
      <c r="F533" s="17"/>
      <c r="G533" s="17"/>
      <c r="H533" s="17"/>
      <c r="I533" s="17"/>
      <c r="J533" s="17"/>
      <c r="K533" s="17"/>
      <c r="L533" s="17"/>
      <c r="M533" s="17"/>
      <c r="N533" s="17"/>
      <c r="O533" s="17"/>
      <c r="P533" s="17"/>
      <c r="Q533" s="17"/>
      <c r="R533" s="17"/>
      <c r="S533" s="17"/>
      <c r="T533" s="17"/>
      <c r="U533" s="17"/>
      <c r="V533" s="12"/>
      <c r="W533" s="12"/>
      <c r="X533" s="12"/>
      <c r="Y533" s="12"/>
      <c r="Z533" s="12"/>
    </row>
    <row r="534" spans="1:26" ht="15" customHeight="1" x14ac:dyDescent="0.3">
      <c r="A534" s="27"/>
      <c r="B534" s="19"/>
      <c r="C534" s="19"/>
      <c r="D534" s="19"/>
      <c r="E534" s="19"/>
      <c r="F534" s="19"/>
      <c r="G534" s="19"/>
      <c r="H534" s="19"/>
      <c r="I534" s="19"/>
      <c r="J534" s="19"/>
      <c r="K534" s="19"/>
      <c r="L534" s="17"/>
      <c r="M534" s="17"/>
      <c r="N534" s="17"/>
      <c r="O534" s="17"/>
      <c r="P534" s="17"/>
      <c r="Q534" s="17"/>
      <c r="R534" s="17"/>
      <c r="S534" s="17"/>
      <c r="T534" s="17"/>
      <c r="U534" s="17"/>
      <c r="V534" s="12"/>
      <c r="W534" s="12"/>
      <c r="X534" s="12"/>
      <c r="Y534" s="12"/>
      <c r="Z534" s="12"/>
    </row>
    <row r="535" spans="1:26" ht="15" customHeight="1" x14ac:dyDescent="0.3">
      <c r="A535" s="27"/>
      <c r="B535" s="19"/>
      <c r="C535" s="19"/>
      <c r="D535" s="19"/>
      <c r="E535" s="19"/>
      <c r="F535" s="19"/>
      <c r="G535" s="19"/>
      <c r="H535" s="19"/>
      <c r="I535" s="19"/>
      <c r="J535" s="19"/>
      <c r="K535" s="19"/>
      <c r="L535" s="17"/>
      <c r="M535" s="17"/>
      <c r="N535" s="17"/>
      <c r="O535" s="17"/>
      <c r="P535" s="17"/>
      <c r="Q535" s="17"/>
      <c r="R535" s="17"/>
      <c r="S535" s="17"/>
      <c r="T535" s="17"/>
      <c r="U535" s="17"/>
      <c r="V535" s="12"/>
      <c r="W535" s="12"/>
      <c r="X535" s="12"/>
      <c r="Y535" s="12"/>
      <c r="Z535" s="12"/>
    </row>
    <row r="536" spans="1:26" ht="15" customHeight="1" x14ac:dyDescent="0.3">
      <c r="A536" s="27"/>
      <c r="B536" s="19"/>
      <c r="C536" s="19"/>
      <c r="D536" s="19"/>
      <c r="E536" s="19"/>
      <c r="F536" s="19"/>
      <c r="G536" s="19"/>
      <c r="H536" s="19"/>
      <c r="I536" s="19"/>
      <c r="J536" s="19"/>
      <c r="K536" s="19"/>
      <c r="L536" s="17"/>
      <c r="M536" s="17"/>
      <c r="N536" s="17"/>
      <c r="O536" s="17"/>
      <c r="P536" s="17"/>
      <c r="Q536" s="17"/>
      <c r="R536" s="17"/>
      <c r="S536" s="17"/>
      <c r="T536" s="17"/>
      <c r="U536" s="17"/>
      <c r="V536" s="12"/>
      <c r="W536" s="12"/>
      <c r="X536" s="12"/>
      <c r="Y536" s="12"/>
      <c r="Z536" s="12"/>
    </row>
    <row r="537" spans="1:26" ht="15" customHeight="1" x14ac:dyDescent="0.3">
      <c r="A537" s="27"/>
      <c r="B537" s="19"/>
      <c r="C537" s="19"/>
      <c r="D537" s="19"/>
      <c r="E537" s="19"/>
      <c r="F537" s="19"/>
      <c r="G537" s="19"/>
      <c r="H537" s="19"/>
      <c r="I537" s="19"/>
      <c r="J537" s="19"/>
      <c r="K537" s="19"/>
      <c r="L537" s="17"/>
      <c r="M537" s="17"/>
      <c r="N537" s="17"/>
      <c r="O537" s="17"/>
      <c r="P537" s="17"/>
      <c r="Q537" s="17"/>
      <c r="R537" s="17"/>
      <c r="S537" s="17"/>
      <c r="T537" s="17"/>
      <c r="U537" s="17"/>
      <c r="V537" s="12"/>
      <c r="W537" s="12"/>
      <c r="X537" s="12"/>
      <c r="Y537" s="12"/>
      <c r="Z537" s="12"/>
    </row>
    <row r="538" spans="1:26" ht="15" customHeight="1" x14ac:dyDescent="0.3">
      <c r="A538" s="27"/>
      <c r="B538" s="19"/>
      <c r="C538" s="19"/>
      <c r="D538" s="19"/>
      <c r="E538" s="19"/>
      <c r="F538" s="19"/>
      <c r="G538" s="19"/>
      <c r="H538" s="19"/>
      <c r="I538" s="19"/>
      <c r="J538" s="19"/>
      <c r="K538" s="19"/>
      <c r="L538" s="17"/>
      <c r="M538" s="17"/>
      <c r="N538" s="17"/>
      <c r="O538" s="17"/>
      <c r="P538" s="17"/>
      <c r="Q538" s="17"/>
      <c r="R538" s="17"/>
      <c r="S538" s="17"/>
      <c r="T538" s="17"/>
      <c r="U538" s="17"/>
      <c r="V538" s="12"/>
      <c r="W538" s="12"/>
      <c r="X538" s="12"/>
      <c r="Y538" s="12"/>
      <c r="Z538" s="12"/>
    </row>
    <row r="539" spans="1:26" ht="15" customHeight="1" x14ac:dyDescent="0.3">
      <c r="A539" s="2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 customHeight="1" x14ac:dyDescent="0.3">
      <c r="A540" s="27"/>
      <c r="B540" s="18"/>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customHeight="1" x14ac:dyDescent="0.3">
      <c r="A541" s="2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 customHeight="1" x14ac:dyDescent="0.3">
      <c r="A542" s="2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 customHeight="1" x14ac:dyDescent="0.3">
      <c r="A543" s="2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 customHeight="1" x14ac:dyDescent="0.3">
      <c r="A544" s="2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 customHeight="1" x14ac:dyDescent="0.3">
      <c r="A545" s="2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 customHeight="1" x14ac:dyDescent="0.3">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 customHeight="1" x14ac:dyDescent="0.3">
      <c r="A547" s="2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 customHeight="1" x14ac:dyDescent="0.3">
      <c r="A548" s="2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 customHeight="1" x14ac:dyDescent="0.3">
      <c r="A549" s="2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 customHeight="1" x14ac:dyDescent="0.3">
      <c r="A550" s="2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 customHeight="1" x14ac:dyDescent="0.3">
      <c r="A551" s="2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 customHeight="1" x14ac:dyDescent="0.3">
      <c r="A552" s="2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 customHeight="1" x14ac:dyDescent="0.3">
      <c r="A553" s="2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 customHeight="1" x14ac:dyDescent="0.3">
      <c r="A554" s="2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 customHeight="1" x14ac:dyDescent="0.3">
      <c r="A555" s="2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 customHeight="1" x14ac:dyDescent="0.3">
      <c r="A556" s="2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 customHeight="1" x14ac:dyDescent="0.3">
      <c r="A557" s="2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 customHeight="1" x14ac:dyDescent="0.3">
      <c r="A558" s="2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 customHeight="1" x14ac:dyDescent="0.3">
      <c r="A559" s="2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 customHeight="1" x14ac:dyDescent="0.3">
      <c r="A560" s="2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 customHeight="1" x14ac:dyDescent="0.3">
      <c r="A561" s="2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 customHeight="1" x14ac:dyDescent="0.3">
      <c r="A562" s="2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 customHeight="1" x14ac:dyDescent="0.3">
      <c r="A563" s="2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 customHeight="1" x14ac:dyDescent="0.3">
      <c r="A564" s="2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 customHeight="1" x14ac:dyDescent="0.3">
      <c r="A565" s="2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 customHeight="1" x14ac:dyDescent="0.3">
      <c r="A566" s="2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 customHeight="1" x14ac:dyDescent="0.3">
      <c r="A567" s="2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 customHeight="1" x14ac:dyDescent="0.3">
      <c r="A568" s="2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 customHeight="1" x14ac:dyDescent="0.3">
      <c r="A569" s="2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 customHeight="1" x14ac:dyDescent="0.3">
      <c r="A570" s="2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 customHeight="1" x14ac:dyDescent="0.3">
      <c r="A571" s="2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 customHeight="1" x14ac:dyDescent="0.3">
      <c r="A572" s="2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 customHeight="1" x14ac:dyDescent="0.3">
      <c r="A573" s="2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 customHeight="1" x14ac:dyDescent="0.3">
      <c r="A574" s="2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 customHeight="1" x14ac:dyDescent="0.3">
      <c r="A575" s="2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 customHeight="1" x14ac:dyDescent="0.3">
      <c r="A576" s="2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 customHeight="1" x14ac:dyDescent="0.3">
      <c r="A577" s="2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 customHeight="1" x14ac:dyDescent="0.3">
      <c r="A578" s="2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 customHeight="1" x14ac:dyDescent="0.3">
      <c r="A579" s="2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 customHeight="1" x14ac:dyDescent="0.3">
      <c r="A580" s="2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 customHeight="1" x14ac:dyDescent="0.3">
      <c r="A581" s="2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 customHeight="1" x14ac:dyDescent="0.3">
      <c r="A582" s="2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 customHeight="1" x14ac:dyDescent="0.3">
      <c r="A583" s="2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 customHeight="1" x14ac:dyDescent="0.3">
      <c r="A584" s="2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 customHeight="1" x14ac:dyDescent="0.3">
      <c r="A585" s="2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 customHeight="1" x14ac:dyDescent="0.3">
      <c r="A586" s="2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 customHeight="1" x14ac:dyDescent="0.3">
      <c r="A587" s="2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 customHeight="1" x14ac:dyDescent="0.3">
      <c r="A588" s="2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 customHeight="1" x14ac:dyDescent="0.3">
      <c r="A589" s="2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 customHeight="1" x14ac:dyDescent="0.3">
      <c r="A590" s="2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 customHeight="1" x14ac:dyDescent="0.3">
      <c r="A591" s="2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 customHeight="1" x14ac:dyDescent="0.3">
      <c r="A592" s="2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 customHeight="1" x14ac:dyDescent="0.3">
      <c r="A593" s="2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 customHeight="1" x14ac:dyDescent="0.3">
      <c r="A594" s="2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 customHeight="1" x14ac:dyDescent="0.3">
      <c r="A595" s="2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 customHeight="1" x14ac:dyDescent="0.3">
      <c r="A596" s="2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 customHeight="1" x14ac:dyDescent="0.3">
      <c r="A597" s="2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 customHeight="1" x14ac:dyDescent="0.3">
      <c r="A598" s="2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 customHeight="1" x14ac:dyDescent="0.3">
      <c r="A599" s="2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 customHeight="1" x14ac:dyDescent="0.3">
      <c r="A600" s="2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 customHeight="1" x14ac:dyDescent="0.3">
      <c r="A601" s="2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 customHeight="1" x14ac:dyDescent="0.3">
      <c r="A602" s="2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 customHeight="1" x14ac:dyDescent="0.3">
      <c r="A603" s="2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 customHeight="1" x14ac:dyDescent="0.3">
      <c r="A604" s="2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 customHeight="1" x14ac:dyDescent="0.3">
      <c r="A605" s="2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 customHeight="1" x14ac:dyDescent="0.3">
      <c r="A606" s="2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 customHeight="1" x14ac:dyDescent="0.3">
      <c r="A607" s="2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 customHeight="1" x14ac:dyDescent="0.3">
      <c r="A608" s="2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 customHeight="1" x14ac:dyDescent="0.3">
      <c r="A609" s="2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 customHeight="1" x14ac:dyDescent="0.3">
      <c r="A610" s="2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 customHeight="1" x14ac:dyDescent="0.3">
      <c r="A611" s="2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 customHeight="1" x14ac:dyDescent="0.3">
      <c r="A612" s="2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 customHeight="1" x14ac:dyDescent="0.3">
      <c r="A613" s="2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 customHeight="1" x14ac:dyDescent="0.3">
      <c r="A614" s="2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 customHeight="1" x14ac:dyDescent="0.3">
      <c r="A615" s="2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 customHeight="1" x14ac:dyDescent="0.3">
      <c r="A616" s="2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 customHeight="1" x14ac:dyDescent="0.3">
      <c r="A617" s="2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 customHeight="1" x14ac:dyDescent="0.3">
      <c r="A618" s="2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 customHeight="1" x14ac:dyDescent="0.3">
      <c r="A619" s="2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 customHeight="1" x14ac:dyDescent="0.3">
      <c r="A620" s="2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 customHeight="1" x14ac:dyDescent="0.3">
      <c r="A621" s="2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 customHeight="1" x14ac:dyDescent="0.3">
      <c r="A622" s="2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 customHeight="1" x14ac:dyDescent="0.3">
      <c r="A623" s="2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 customHeight="1" x14ac:dyDescent="0.3">
      <c r="A624" s="2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 customHeight="1" x14ac:dyDescent="0.3">
      <c r="A625" s="2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 customHeight="1" x14ac:dyDescent="0.3">
      <c r="A626" s="2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 customHeight="1" x14ac:dyDescent="0.3">
      <c r="A627" s="2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 customHeight="1" x14ac:dyDescent="0.3">
      <c r="A628" s="2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 customHeight="1" x14ac:dyDescent="0.3">
      <c r="A629" s="2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 customHeight="1" x14ac:dyDescent="0.3">
      <c r="A630" s="2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 customHeight="1" x14ac:dyDescent="0.3">
      <c r="A631" s="2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 customHeight="1" x14ac:dyDescent="0.3">
      <c r="A632" s="2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 customHeight="1" x14ac:dyDescent="0.3">
      <c r="A633" s="2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 customHeight="1" x14ac:dyDescent="0.3">
      <c r="A634" s="2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 customHeight="1" x14ac:dyDescent="0.3">
      <c r="A635" s="2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 customHeight="1" x14ac:dyDescent="0.3">
      <c r="A636" s="2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 customHeight="1" x14ac:dyDescent="0.3">
      <c r="A637" s="2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 customHeight="1" x14ac:dyDescent="0.3">
      <c r="A638" s="2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 customHeight="1" x14ac:dyDescent="0.3">
      <c r="A639" s="2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 customHeight="1" x14ac:dyDescent="0.3">
      <c r="A640" s="2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 customHeight="1" x14ac:dyDescent="0.3">
      <c r="A641" s="2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 customHeight="1" x14ac:dyDescent="0.3">
      <c r="A642" s="2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 customHeight="1" x14ac:dyDescent="0.3">
      <c r="A643" s="2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 customHeight="1" x14ac:dyDescent="0.3">
      <c r="A644" s="2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 customHeight="1" x14ac:dyDescent="0.3">
      <c r="A645" s="2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 customHeight="1" x14ac:dyDescent="0.3">
      <c r="A646" s="2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 customHeight="1" x14ac:dyDescent="0.3">
      <c r="A647" s="2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 customHeight="1" x14ac:dyDescent="0.3">
      <c r="A648" s="2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 customHeight="1" x14ac:dyDescent="0.3">
      <c r="A649" s="2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 customHeight="1" x14ac:dyDescent="0.3">
      <c r="A650" s="2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 customHeight="1" x14ac:dyDescent="0.3">
      <c r="A651" s="2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 customHeight="1" x14ac:dyDescent="0.3">
      <c r="A652" s="2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 customHeight="1" x14ac:dyDescent="0.3">
      <c r="A653" s="2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 customHeight="1" x14ac:dyDescent="0.3">
      <c r="A654" s="2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 customHeight="1" x14ac:dyDescent="0.3">
      <c r="A655" s="2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 customHeight="1" x14ac:dyDescent="0.3">
      <c r="A656" s="2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 customHeight="1" x14ac:dyDescent="0.3">
      <c r="A657" s="2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 customHeight="1" x14ac:dyDescent="0.3">
      <c r="A658" s="2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 customHeight="1" x14ac:dyDescent="0.3">
      <c r="A659" s="2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 customHeight="1" x14ac:dyDescent="0.3">
      <c r="A660" s="2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 customHeight="1" x14ac:dyDescent="0.3">
      <c r="A661" s="2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 customHeight="1" x14ac:dyDescent="0.3">
      <c r="A662" s="2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 customHeight="1" x14ac:dyDescent="0.3">
      <c r="A663" s="2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 customHeight="1" x14ac:dyDescent="0.3">
      <c r="A664" s="2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 customHeight="1" x14ac:dyDescent="0.3">
      <c r="A665" s="2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 customHeight="1" x14ac:dyDescent="0.3">
      <c r="A666" s="2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 customHeight="1" x14ac:dyDescent="0.3">
      <c r="A667" s="2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 customHeight="1" x14ac:dyDescent="0.3">
      <c r="A668" s="2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 customHeight="1" x14ac:dyDescent="0.3">
      <c r="A669" s="2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 customHeight="1" x14ac:dyDescent="0.3">
      <c r="A670" s="2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 customHeight="1" x14ac:dyDescent="0.3">
      <c r="A671" s="2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 customHeight="1" x14ac:dyDescent="0.3">
      <c r="A672" s="2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 customHeight="1" x14ac:dyDescent="0.3">
      <c r="A673" s="2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 customHeight="1" x14ac:dyDescent="0.3">
      <c r="A674" s="2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 customHeight="1" x14ac:dyDescent="0.3">
      <c r="A675" s="2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 customHeight="1" x14ac:dyDescent="0.3">
      <c r="A676" s="2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 customHeight="1" x14ac:dyDescent="0.3">
      <c r="A677" s="2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 customHeight="1" x14ac:dyDescent="0.3">
      <c r="A678" s="2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 customHeight="1" x14ac:dyDescent="0.3">
      <c r="A679" s="2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 customHeight="1" x14ac:dyDescent="0.3">
      <c r="A680" s="2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 customHeight="1" x14ac:dyDescent="0.3">
      <c r="A681" s="2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 customHeight="1" x14ac:dyDescent="0.3">
      <c r="A682" s="2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 customHeight="1" x14ac:dyDescent="0.3">
      <c r="A683" s="2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 customHeight="1" x14ac:dyDescent="0.3">
      <c r="A684" s="2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 customHeight="1" x14ac:dyDescent="0.3">
      <c r="A685" s="2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 customHeight="1" x14ac:dyDescent="0.3">
      <c r="A686" s="2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 customHeight="1" x14ac:dyDescent="0.3">
      <c r="A687" s="2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 customHeight="1" x14ac:dyDescent="0.3">
      <c r="A688" s="2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 customHeight="1" x14ac:dyDescent="0.3">
      <c r="A689" s="2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 customHeight="1" x14ac:dyDescent="0.3">
      <c r="A690" s="2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 customHeight="1" x14ac:dyDescent="0.3">
      <c r="A691" s="2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 customHeight="1" x14ac:dyDescent="0.3">
      <c r="A692" s="2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 customHeight="1" x14ac:dyDescent="0.3">
      <c r="A693" s="2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 customHeight="1" x14ac:dyDescent="0.3">
      <c r="A694" s="2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 customHeight="1" x14ac:dyDescent="0.3">
      <c r="A695" s="2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 customHeight="1" x14ac:dyDescent="0.3">
      <c r="A696" s="2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 customHeight="1" x14ac:dyDescent="0.3">
      <c r="A697" s="2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 customHeight="1" x14ac:dyDescent="0.3">
      <c r="A698" s="2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 customHeight="1" x14ac:dyDescent="0.3">
      <c r="A699" s="2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 customHeight="1" x14ac:dyDescent="0.3">
      <c r="A700" s="2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 customHeight="1" x14ac:dyDescent="0.3">
      <c r="A701" s="2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 customHeight="1" x14ac:dyDescent="0.3">
      <c r="A702" s="2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 customHeight="1" x14ac:dyDescent="0.3">
      <c r="A703" s="2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 customHeight="1" x14ac:dyDescent="0.3">
      <c r="A704" s="2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 customHeight="1" x14ac:dyDescent="0.3">
      <c r="A705" s="2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 customHeight="1" x14ac:dyDescent="0.3">
      <c r="A706" s="2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 customHeight="1" x14ac:dyDescent="0.3">
      <c r="A707" s="2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 customHeight="1" x14ac:dyDescent="0.3">
      <c r="A708" s="2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 customHeight="1" x14ac:dyDescent="0.3">
      <c r="A709" s="2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 customHeight="1" x14ac:dyDescent="0.3">
      <c r="A710" s="2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 customHeight="1" x14ac:dyDescent="0.3">
      <c r="A711" s="2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 customHeight="1" x14ac:dyDescent="0.3">
      <c r="A712" s="2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 customHeight="1" x14ac:dyDescent="0.3">
      <c r="A713" s="2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 customHeight="1" x14ac:dyDescent="0.3">
      <c r="A714" s="2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 customHeight="1" x14ac:dyDescent="0.3">
      <c r="A715" s="2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 customHeight="1" x14ac:dyDescent="0.3">
      <c r="A716" s="2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 customHeight="1" x14ac:dyDescent="0.3">
      <c r="A717" s="2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 customHeight="1" x14ac:dyDescent="0.3">
      <c r="A718" s="2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 customHeight="1" x14ac:dyDescent="0.3">
      <c r="A719" s="2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 customHeight="1" x14ac:dyDescent="0.3">
      <c r="A720" s="2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 customHeight="1" x14ac:dyDescent="0.3">
      <c r="A721" s="2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 customHeight="1" x14ac:dyDescent="0.3">
      <c r="A722" s="2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 customHeight="1" x14ac:dyDescent="0.3">
      <c r="A723" s="2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 customHeight="1" x14ac:dyDescent="0.3">
      <c r="A724" s="2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 customHeight="1" x14ac:dyDescent="0.3">
      <c r="A725" s="2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 customHeight="1" x14ac:dyDescent="0.3">
      <c r="A726" s="2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 customHeight="1" x14ac:dyDescent="0.3">
      <c r="A727" s="2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 customHeight="1" x14ac:dyDescent="0.3">
      <c r="A728" s="2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 customHeight="1" x14ac:dyDescent="0.3">
      <c r="A729" s="2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 customHeight="1" x14ac:dyDescent="0.3">
      <c r="A730" s="2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 customHeight="1" x14ac:dyDescent="0.3">
      <c r="A731" s="2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 customHeight="1" x14ac:dyDescent="0.3">
      <c r="A732" s="2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 customHeight="1" x14ac:dyDescent="0.3">
      <c r="A733" s="2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 customHeight="1" x14ac:dyDescent="0.3">
      <c r="A734" s="2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 customHeight="1" x14ac:dyDescent="0.3">
      <c r="A735" s="2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 customHeight="1" x14ac:dyDescent="0.3">
      <c r="A736" s="2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 customHeight="1" x14ac:dyDescent="0.3">
      <c r="A737" s="2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 customHeight="1" x14ac:dyDescent="0.3">
      <c r="A738" s="2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 customHeight="1" x14ac:dyDescent="0.3">
      <c r="A739" s="2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 customHeight="1" x14ac:dyDescent="0.3">
      <c r="A740" s="2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 customHeight="1" x14ac:dyDescent="0.3">
      <c r="A741" s="2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 customHeight="1" x14ac:dyDescent="0.3">
      <c r="A742" s="2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 customHeight="1" x14ac:dyDescent="0.3">
      <c r="A743" s="2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 customHeight="1" x14ac:dyDescent="0.3">
      <c r="A744" s="2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 customHeight="1" x14ac:dyDescent="0.3">
      <c r="A745" s="2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 customHeight="1" x14ac:dyDescent="0.3">
      <c r="A746" s="2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 customHeight="1" x14ac:dyDescent="0.3">
      <c r="A747" s="2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 customHeight="1" x14ac:dyDescent="0.3">
      <c r="A748" s="2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 customHeight="1" x14ac:dyDescent="0.3">
      <c r="A749" s="2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 customHeight="1" x14ac:dyDescent="0.3">
      <c r="A750" s="2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 customHeight="1" x14ac:dyDescent="0.3">
      <c r="A751" s="2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 customHeight="1" x14ac:dyDescent="0.3">
      <c r="A752" s="2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 customHeight="1" x14ac:dyDescent="0.3">
      <c r="A753" s="2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 customHeight="1" x14ac:dyDescent="0.3">
      <c r="A754" s="2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 customHeight="1" x14ac:dyDescent="0.3">
      <c r="A755" s="2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 customHeight="1" x14ac:dyDescent="0.3">
      <c r="A756" s="2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 customHeight="1" x14ac:dyDescent="0.3">
      <c r="A757" s="2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 customHeight="1" x14ac:dyDescent="0.3">
      <c r="A758" s="2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 customHeight="1" x14ac:dyDescent="0.3">
      <c r="A759" s="2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 customHeight="1" x14ac:dyDescent="0.3">
      <c r="A760" s="2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 customHeight="1" x14ac:dyDescent="0.3">
      <c r="A761" s="2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 customHeight="1" x14ac:dyDescent="0.3">
      <c r="A762" s="2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 customHeight="1" x14ac:dyDescent="0.3">
      <c r="A763" s="2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 customHeight="1" x14ac:dyDescent="0.3">
      <c r="A764" s="2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 customHeight="1" x14ac:dyDescent="0.3">
      <c r="A765" s="2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 customHeight="1" x14ac:dyDescent="0.3">
      <c r="A766" s="2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 customHeight="1" x14ac:dyDescent="0.3">
      <c r="A767" s="2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 customHeight="1" x14ac:dyDescent="0.3">
      <c r="A768" s="2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 customHeight="1" x14ac:dyDescent="0.3">
      <c r="A769" s="2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 customHeight="1" x14ac:dyDescent="0.3">
      <c r="A770" s="2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 customHeight="1" x14ac:dyDescent="0.3">
      <c r="A771" s="2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 customHeight="1" x14ac:dyDescent="0.3">
      <c r="A772" s="2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 customHeight="1" x14ac:dyDescent="0.3">
      <c r="A773" s="2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 customHeight="1" x14ac:dyDescent="0.3">
      <c r="A774" s="2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 customHeight="1" x14ac:dyDescent="0.3">
      <c r="A775" s="2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 customHeight="1" x14ac:dyDescent="0.3">
      <c r="A776" s="2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 customHeight="1" x14ac:dyDescent="0.3">
      <c r="A777" s="2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 customHeight="1" x14ac:dyDescent="0.3">
      <c r="A778" s="2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 customHeight="1" x14ac:dyDescent="0.3">
      <c r="A779" s="2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 customHeight="1" x14ac:dyDescent="0.3">
      <c r="A780" s="2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 customHeight="1" x14ac:dyDescent="0.3">
      <c r="A781" s="2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 customHeight="1" x14ac:dyDescent="0.3">
      <c r="A782" s="2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 customHeight="1" x14ac:dyDescent="0.3">
      <c r="A783" s="2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 customHeight="1" x14ac:dyDescent="0.3">
      <c r="A784" s="2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 customHeight="1" x14ac:dyDescent="0.3">
      <c r="A785" s="2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 customHeight="1" x14ac:dyDescent="0.3">
      <c r="A786" s="2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 customHeight="1" x14ac:dyDescent="0.3">
      <c r="A787" s="2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 customHeight="1" x14ac:dyDescent="0.3">
      <c r="A788" s="2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 customHeight="1" x14ac:dyDescent="0.3">
      <c r="A789" s="2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 customHeight="1" x14ac:dyDescent="0.3">
      <c r="A790" s="2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 customHeight="1" x14ac:dyDescent="0.3">
      <c r="A791" s="2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 customHeight="1" x14ac:dyDescent="0.3">
      <c r="A792" s="2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 customHeight="1" x14ac:dyDescent="0.3">
      <c r="A793" s="2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 customHeight="1" x14ac:dyDescent="0.3">
      <c r="A794" s="2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 customHeight="1" x14ac:dyDescent="0.3">
      <c r="A795" s="2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 customHeight="1" x14ac:dyDescent="0.3">
      <c r="A796" s="2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 customHeight="1" x14ac:dyDescent="0.3">
      <c r="A797" s="2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 customHeight="1" x14ac:dyDescent="0.3">
      <c r="A798" s="2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 customHeight="1" x14ac:dyDescent="0.3">
      <c r="A799" s="2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 customHeight="1" x14ac:dyDescent="0.3">
      <c r="A800" s="2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 customHeight="1" x14ac:dyDescent="0.3">
      <c r="A801" s="2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 customHeight="1" x14ac:dyDescent="0.3">
      <c r="A802" s="2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 customHeight="1" x14ac:dyDescent="0.3">
      <c r="A803" s="2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 customHeight="1" x14ac:dyDescent="0.3">
      <c r="A804" s="2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 customHeight="1" x14ac:dyDescent="0.3">
      <c r="A805" s="2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 customHeight="1" x14ac:dyDescent="0.3">
      <c r="A806" s="2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 customHeight="1" x14ac:dyDescent="0.3">
      <c r="A807" s="2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 customHeight="1" x14ac:dyDescent="0.3">
      <c r="A808" s="2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 customHeight="1" x14ac:dyDescent="0.3">
      <c r="A809" s="2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 customHeight="1" x14ac:dyDescent="0.3">
      <c r="A810" s="2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 customHeight="1" x14ac:dyDescent="0.3">
      <c r="A811" s="2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 customHeight="1" x14ac:dyDescent="0.3">
      <c r="A812" s="2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 customHeight="1" x14ac:dyDescent="0.3">
      <c r="A813" s="2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 customHeight="1" x14ac:dyDescent="0.3">
      <c r="A814" s="2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 customHeight="1" x14ac:dyDescent="0.3">
      <c r="A815" s="2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 customHeight="1" x14ac:dyDescent="0.3">
      <c r="A816" s="2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 customHeight="1" x14ac:dyDescent="0.3">
      <c r="A817" s="2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 customHeight="1" x14ac:dyDescent="0.3">
      <c r="A818" s="2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 customHeight="1" x14ac:dyDescent="0.3">
      <c r="A819" s="2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 customHeight="1" x14ac:dyDescent="0.3">
      <c r="A820" s="2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 customHeight="1" x14ac:dyDescent="0.3">
      <c r="A821" s="2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 customHeight="1" x14ac:dyDescent="0.3">
      <c r="A822" s="2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 customHeight="1" x14ac:dyDescent="0.3">
      <c r="A823" s="2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 customHeight="1" x14ac:dyDescent="0.3">
      <c r="A824" s="2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 customHeight="1" x14ac:dyDescent="0.3">
      <c r="A825" s="2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 customHeight="1" x14ac:dyDescent="0.3">
      <c r="A826" s="2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 customHeight="1" x14ac:dyDescent="0.3">
      <c r="A827" s="2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 customHeight="1" x14ac:dyDescent="0.3">
      <c r="A828" s="2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 customHeight="1" x14ac:dyDescent="0.3">
      <c r="A829" s="2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 customHeight="1" x14ac:dyDescent="0.3">
      <c r="A830" s="2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 customHeight="1" x14ac:dyDescent="0.3">
      <c r="A831" s="2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 customHeight="1" x14ac:dyDescent="0.3">
      <c r="A832" s="2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 customHeight="1" x14ac:dyDescent="0.3">
      <c r="A833" s="2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 customHeight="1" x14ac:dyDescent="0.3">
      <c r="A834" s="2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 customHeight="1" x14ac:dyDescent="0.3">
      <c r="A835" s="2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 customHeight="1" x14ac:dyDescent="0.3">
      <c r="A836" s="2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 customHeight="1" x14ac:dyDescent="0.3">
      <c r="A837" s="2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 customHeight="1" x14ac:dyDescent="0.3">
      <c r="A838" s="2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 customHeight="1" x14ac:dyDescent="0.3">
      <c r="A839" s="2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 customHeight="1" x14ac:dyDescent="0.3">
      <c r="A840" s="2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 customHeight="1" x14ac:dyDescent="0.3">
      <c r="A841" s="2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 customHeight="1" x14ac:dyDescent="0.3">
      <c r="A842" s="2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 customHeight="1" x14ac:dyDescent="0.3">
      <c r="A843" s="2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 customHeight="1" x14ac:dyDescent="0.3">
      <c r="A844" s="2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 customHeight="1" x14ac:dyDescent="0.3">
      <c r="A845" s="2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 customHeight="1" x14ac:dyDescent="0.3">
      <c r="A846" s="2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 customHeight="1" x14ac:dyDescent="0.3">
      <c r="A847" s="2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 customHeight="1" x14ac:dyDescent="0.3">
      <c r="A848" s="2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 customHeight="1" x14ac:dyDescent="0.3">
      <c r="A849" s="2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 customHeight="1" x14ac:dyDescent="0.3">
      <c r="A850" s="2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 customHeight="1" x14ac:dyDescent="0.3">
      <c r="A851" s="2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 customHeight="1" x14ac:dyDescent="0.3">
      <c r="A852" s="2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 customHeight="1" x14ac:dyDescent="0.3">
      <c r="A853" s="2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 customHeight="1" x14ac:dyDescent="0.3">
      <c r="A854" s="2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 customHeight="1" x14ac:dyDescent="0.3">
      <c r="A855" s="2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 customHeight="1" x14ac:dyDescent="0.3">
      <c r="A856" s="2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 customHeight="1" x14ac:dyDescent="0.3">
      <c r="A857" s="2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 customHeight="1" x14ac:dyDescent="0.3">
      <c r="A858" s="2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 customHeight="1" x14ac:dyDescent="0.3">
      <c r="A859" s="2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 customHeight="1" x14ac:dyDescent="0.3">
      <c r="A860" s="2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 customHeight="1" x14ac:dyDescent="0.3">
      <c r="A861" s="2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 customHeight="1" x14ac:dyDescent="0.3">
      <c r="A862" s="2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 customHeight="1" x14ac:dyDescent="0.3">
      <c r="A863" s="2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 customHeight="1" x14ac:dyDescent="0.3">
      <c r="A864" s="2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 customHeight="1" x14ac:dyDescent="0.3">
      <c r="A865" s="2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 customHeight="1" x14ac:dyDescent="0.3">
      <c r="A866" s="2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 customHeight="1" x14ac:dyDescent="0.3">
      <c r="A867" s="2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 customHeight="1" x14ac:dyDescent="0.3">
      <c r="A868" s="2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 customHeight="1" x14ac:dyDescent="0.3">
      <c r="A869" s="2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 customHeight="1" x14ac:dyDescent="0.3">
      <c r="A870" s="2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 customHeight="1" x14ac:dyDescent="0.3">
      <c r="A871" s="2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 customHeight="1" x14ac:dyDescent="0.3">
      <c r="A872" s="2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 customHeight="1" x14ac:dyDescent="0.3">
      <c r="A873" s="2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 customHeight="1" x14ac:dyDescent="0.3">
      <c r="A874" s="2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 customHeight="1" x14ac:dyDescent="0.3">
      <c r="A875" s="2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 customHeight="1" x14ac:dyDescent="0.3">
      <c r="A876" s="2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 customHeight="1" x14ac:dyDescent="0.3">
      <c r="A877" s="2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 customHeight="1" x14ac:dyDescent="0.3">
      <c r="A878" s="2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 customHeight="1" x14ac:dyDescent="0.3">
      <c r="A879" s="2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 customHeight="1" x14ac:dyDescent="0.3">
      <c r="A880" s="2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 customHeight="1" x14ac:dyDescent="0.3">
      <c r="A881" s="2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 customHeight="1" x14ac:dyDescent="0.3">
      <c r="A882" s="2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 customHeight="1" x14ac:dyDescent="0.3">
      <c r="A883" s="2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 customHeight="1" x14ac:dyDescent="0.3">
      <c r="A884" s="2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 customHeight="1" x14ac:dyDescent="0.3">
      <c r="A885" s="2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 customHeight="1" x14ac:dyDescent="0.3">
      <c r="A886" s="2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 customHeight="1" x14ac:dyDescent="0.3">
      <c r="A887" s="2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 customHeight="1" x14ac:dyDescent="0.3">
      <c r="A888" s="2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 customHeight="1" x14ac:dyDescent="0.3">
      <c r="A889" s="2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 customHeight="1" x14ac:dyDescent="0.3">
      <c r="A890" s="2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 customHeight="1" x14ac:dyDescent="0.3">
      <c r="A891" s="2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 customHeight="1" x14ac:dyDescent="0.3">
      <c r="A892" s="2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 customHeight="1" x14ac:dyDescent="0.3">
      <c r="A893" s="2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 customHeight="1" x14ac:dyDescent="0.3">
      <c r="A894" s="2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 customHeight="1" x14ac:dyDescent="0.3">
      <c r="A895" s="2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 customHeight="1" x14ac:dyDescent="0.3">
      <c r="A896" s="2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 customHeight="1" x14ac:dyDescent="0.3">
      <c r="A897" s="2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 customHeight="1" x14ac:dyDescent="0.3">
      <c r="A898" s="2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 customHeight="1" x14ac:dyDescent="0.3">
      <c r="A899" s="2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 customHeight="1" x14ac:dyDescent="0.3">
      <c r="A900" s="2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 customHeight="1" x14ac:dyDescent="0.3">
      <c r="A901" s="2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 customHeight="1" x14ac:dyDescent="0.3">
      <c r="A902" s="2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 customHeight="1" x14ac:dyDescent="0.3">
      <c r="A903" s="2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 customHeight="1" x14ac:dyDescent="0.3">
      <c r="A904" s="2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 customHeight="1" x14ac:dyDescent="0.3">
      <c r="A905" s="2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 customHeight="1" x14ac:dyDescent="0.3">
      <c r="A906" s="2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 customHeight="1" x14ac:dyDescent="0.3">
      <c r="A907" s="2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 customHeight="1" x14ac:dyDescent="0.3">
      <c r="A908" s="2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 customHeight="1" x14ac:dyDescent="0.3">
      <c r="A909" s="2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 customHeight="1" x14ac:dyDescent="0.3">
      <c r="A910" s="2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 customHeight="1" x14ac:dyDescent="0.3">
      <c r="A911" s="2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 customHeight="1" x14ac:dyDescent="0.3">
      <c r="A912" s="2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 customHeight="1" x14ac:dyDescent="0.3">
      <c r="A913" s="2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 customHeight="1" x14ac:dyDescent="0.3">
      <c r="A914" s="2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 customHeight="1" x14ac:dyDescent="0.3">
      <c r="A915" s="2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 customHeight="1" x14ac:dyDescent="0.3">
      <c r="A916" s="2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 customHeight="1" x14ac:dyDescent="0.3">
      <c r="A917" s="2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 customHeight="1" x14ac:dyDescent="0.3">
      <c r="A918" s="2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 customHeight="1" x14ac:dyDescent="0.3">
      <c r="A919" s="2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 customHeight="1" x14ac:dyDescent="0.3">
      <c r="A920" s="2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 customHeight="1" x14ac:dyDescent="0.3">
      <c r="A921" s="2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 customHeight="1" x14ac:dyDescent="0.3">
      <c r="A922" s="2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 customHeight="1" x14ac:dyDescent="0.3">
      <c r="A923" s="2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 customHeight="1" x14ac:dyDescent="0.3">
      <c r="A924" s="2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 customHeight="1" x14ac:dyDescent="0.3">
      <c r="A925" s="2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 customHeight="1" x14ac:dyDescent="0.3">
      <c r="A926" s="2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 customHeight="1" x14ac:dyDescent="0.3">
      <c r="A927" s="2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 customHeight="1" x14ac:dyDescent="0.3">
      <c r="A928" s="2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 customHeight="1" x14ac:dyDescent="0.3">
      <c r="A929" s="2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 customHeight="1" x14ac:dyDescent="0.3">
      <c r="A930" s="2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 customHeight="1" x14ac:dyDescent="0.3">
      <c r="A931" s="2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 customHeight="1" x14ac:dyDescent="0.3">
      <c r="A932" s="2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 customHeight="1" x14ac:dyDescent="0.3">
      <c r="A933" s="2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 customHeight="1" x14ac:dyDescent="0.3">
      <c r="A934" s="2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 customHeight="1" x14ac:dyDescent="0.3">
      <c r="A935" s="2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 customHeight="1" x14ac:dyDescent="0.3">
      <c r="A936" s="2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 customHeight="1" x14ac:dyDescent="0.3">
      <c r="A937" s="2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 customHeight="1" x14ac:dyDescent="0.3">
      <c r="A938" s="2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 customHeight="1" x14ac:dyDescent="0.3">
      <c r="A939" s="2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 customHeight="1" x14ac:dyDescent="0.3">
      <c r="A940" s="2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 customHeight="1" x14ac:dyDescent="0.3">
      <c r="A941" s="2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 customHeight="1" x14ac:dyDescent="0.3">
      <c r="A942" s="2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 customHeight="1" x14ac:dyDescent="0.3">
      <c r="A943" s="2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 customHeight="1" x14ac:dyDescent="0.3">
      <c r="A944" s="2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 customHeight="1" x14ac:dyDescent="0.3">
      <c r="A945" s="2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 customHeight="1" x14ac:dyDescent="0.3">
      <c r="A946" s="2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 customHeight="1" x14ac:dyDescent="0.3">
      <c r="A947" s="2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 customHeight="1" x14ac:dyDescent="0.3">
      <c r="A948" s="2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 customHeight="1" x14ac:dyDescent="0.3">
      <c r="A949" s="2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 customHeight="1" x14ac:dyDescent="0.3">
      <c r="A950" s="2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 customHeight="1" x14ac:dyDescent="0.3">
      <c r="A951" s="2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 customHeight="1" x14ac:dyDescent="0.3">
      <c r="A952" s="2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 customHeight="1" x14ac:dyDescent="0.3">
      <c r="A953" s="2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 customHeight="1" x14ac:dyDescent="0.3">
      <c r="A954" s="2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 customHeight="1" x14ac:dyDescent="0.3">
      <c r="A955" s="2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 customHeight="1" x14ac:dyDescent="0.3">
      <c r="A956" s="2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 customHeight="1" x14ac:dyDescent="0.3">
      <c r="A957" s="2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 customHeight="1" x14ac:dyDescent="0.3">
      <c r="A958" s="2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 customHeight="1" x14ac:dyDescent="0.3">
      <c r="A959" s="2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 customHeight="1" x14ac:dyDescent="0.3">
      <c r="A960" s="2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 customHeight="1" x14ac:dyDescent="0.3">
      <c r="A961" s="2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 customHeight="1" x14ac:dyDescent="0.3">
      <c r="A962" s="2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 customHeight="1" x14ac:dyDescent="0.3">
      <c r="A963" s="2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 customHeight="1" x14ac:dyDescent="0.3">
      <c r="A964" s="2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 customHeight="1" x14ac:dyDescent="0.3">
      <c r="A965" s="2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 customHeight="1" x14ac:dyDescent="0.3">
      <c r="A966" s="2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 customHeight="1" x14ac:dyDescent="0.3">
      <c r="A967" s="2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 customHeight="1" x14ac:dyDescent="0.3">
      <c r="A968" s="2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 customHeight="1" x14ac:dyDescent="0.3">
      <c r="A969" s="2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 customHeight="1" x14ac:dyDescent="0.3">
      <c r="A970" s="2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 customHeight="1" x14ac:dyDescent="0.3">
      <c r="A971" s="2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 customHeight="1" x14ac:dyDescent="0.3">
      <c r="A972" s="2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 customHeight="1" x14ac:dyDescent="0.3">
      <c r="A973" s="2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 customHeight="1" x14ac:dyDescent="0.3">
      <c r="A974" s="2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 customHeight="1" x14ac:dyDescent="0.3">
      <c r="A975" s="2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 customHeight="1" x14ac:dyDescent="0.3">
      <c r="A976" s="2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 customHeight="1" x14ac:dyDescent="0.3">
      <c r="A977" s="2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 customHeight="1" x14ac:dyDescent="0.3">
      <c r="A978" s="2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 customHeight="1" x14ac:dyDescent="0.3">
      <c r="A979" s="2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 customHeight="1" x14ac:dyDescent="0.3">
      <c r="A980" s="2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 customHeight="1" x14ac:dyDescent="0.3">
      <c r="A981" s="2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 customHeight="1" x14ac:dyDescent="0.3">
      <c r="A982" s="2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 customHeight="1" x14ac:dyDescent="0.3">
      <c r="A983" s="2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 customHeight="1" x14ac:dyDescent="0.3">
      <c r="A984" s="2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 customHeight="1" x14ac:dyDescent="0.3">
      <c r="A985" s="2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 customHeight="1" x14ac:dyDescent="0.3">
      <c r="A986" s="2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 customHeight="1" x14ac:dyDescent="0.3">
      <c r="A987" s="2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 customHeight="1" x14ac:dyDescent="0.3">
      <c r="A988" s="2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 customHeight="1" x14ac:dyDescent="0.3">
      <c r="A989" s="2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 customHeight="1" x14ac:dyDescent="0.3">
      <c r="A990" s="2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 customHeight="1" x14ac:dyDescent="0.3">
      <c r="A991" s="2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 customHeight="1" x14ac:dyDescent="0.3">
      <c r="A992" s="2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 customHeight="1" x14ac:dyDescent="0.3">
      <c r="A993" s="2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 customHeight="1" x14ac:dyDescent="0.3">
      <c r="A994" s="2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 customHeight="1" x14ac:dyDescent="0.3">
      <c r="A995" s="2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 customHeight="1" x14ac:dyDescent="0.3">
      <c r="A996" s="2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 customHeight="1" x14ac:dyDescent="0.3">
      <c r="A997" s="2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 customHeight="1" x14ac:dyDescent="0.3">
      <c r="A998" s="2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 customHeight="1" x14ac:dyDescent="0.3">
      <c r="A999" s="2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 customHeight="1" x14ac:dyDescent="0.3">
      <c r="A1000" s="27"/>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7">
    <mergeCell ref="L1:P1"/>
    <mergeCell ref="Q1:U1"/>
    <mergeCell ref="A1:A2"/>
    <mergeCell ref="B1:D1"/>
    <mergeCell ref="E1:E2"/>
    <mergeCell ref="F1:F2"/>
    <mergeCell ref="G1:K1"/>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1" ySplit="2" topLeftCell="B3" activePane="bottomRight" state="frozen"/>
      <selection pane="topRight" activeCell="B1" sqref="B1"/>
      <selection pane="bottomLeft" activeCell="A3" sqref="A3"/>
      <selection pane="bottomRight" sqref="A1:A2"/>
    </sheetView>
  </sheetViews>
  <sheetFormatPr defaultColWidth="12.6640625" defaultRowHeight="15" customHeight="1" x14ac:dyDescent="0.3"/>
  <cols>
    <col min="1" max="1" width="12.6640625" style="30" customWidth="1"/>
    <col min="2" max="6" width="12.6640625" style="13" customWidth="1"/>
    <col min="7" max="7" width="13.1640625" style="13" customWidth="1"/>
    <col min="8" max="8" width="13.25" style="13" customWidth="1"/>
    <col min="9" max="11" width="10.5" style="13" customWidth="1"/>
    <col min="12" max="26" width="12.6640625" style="13" customWidth="1"/>
    <col min="27" max="16384" width="12.6640625" style="13"/>
  </cols>
  <sheetData>
    <row r="1" spans="1:26" ht="15" customHeight="1" x14ac:dyDescent="0.3">
      <c r="A1" s="37" t="s">
        <v>62</v>
      </c>
      <c r="B1" s="39" t="s">
        <v>24</v>
      </c>
      <c r="C1" s="35"/>
      <c r="D1" s="36"/>
      <c r="E1" s="34" t="s">
        <v>16</v>
      </c>
      <c r="F1" s="34" t="s">
        <v>25</v>
      </c>
      <c r="G1" s="34" t="s">
        <v>26</v>
      </c>
      <c r="H1" s="35"/>
      <c r="I1" s="35"/>
      <c r="J1" s="35"/>
      <c r="K1" s="36"/>
      <c r="L1" s="34" t="s">
        <v>63</v>
      </c>
      <c r="M1" s="35"/>
      <c r="N1" s="35"/>
      <c r="O1" s="35"/>
      <c r="P1" s="36"/>
      <c r="Q1" s="34" t="s">
        <v>28</v>
      </c>
      <c r="R1" s="35"/>
      <c r="S1" s="35"/>
      <c r="T1" s="35"/>
      <c r="U1" s="36"/>
      <c r="V1" s="12"/>
      <c r="W1" s="12"/>
      <c r="X1" s="12"/>
      <c r="Y1" s="12"/>
      <c r="Z1" s="12"/>
    </row>
    <row r="2" spans="1:26" ht="15" customHeight="1" x14ac:dyDescent="0.3">
      <c r="A2" s="38"/>
      <c r="B2" s="14" t="s">
        <v>29</v>
      </c>
      <c r="C2" s="15" t="s">
        <v>30</v>
      </c>
      <c r="D2" s="15" t="s">
        <v>31</v>
      </c>
      <c r="E2" s="36"/>
      <c r="F2" s="36"/>
      <c r="G2" s="15" t="s">
        <v>32</v>
      </c>
      <c r="H2" s="15" t="s">
        <v>33</v>
      </c>
      <c r="I2" s="15" t="s">
        <v>19</v>
      </c>
      <c r="J2" s="15" t="s">
        <v>20</v>
      </c>
      <c r="K2" s="15" t="s">
        <v>21</v>
      </c>
      <c r="L2" s="15" t="s">
        <v>32</v>
      </c>
      <c r="M2" s="15" t="s">
        <v>33</v>
      </c>
      <c r="N2" s="15" t="s">
        <v>19</v>
      </c>
      <c r="O2" s="15" t="s">
        <v>20</v>
      </c>
      <c r="P2" s="15" t="s">
        <v>21</v>
      </c>
      <c r="Q2" s="15" t="s">
        <v>32</v>
      </c>
      <c r="R2" s="15" t="s">
        <v>33</v>
      </c>
      <c r="S2" s="15" t="s">
        <v>19</v>
      </c>
      <c r="T2" s="15" t="s">
        <v>20</v>
      </c>
      <c r="U2" s="15" t="s">
        <v>21</v>
      </c>
      <c r="V2" s="12"/>
      <c r="W2" s="12"/>
      <c r="X2" s="12"/>
      <c r="Y2" s="12"/>
      <c r="Z2" s="12"/>
    </row>
    <row r="3" spans="1:26" ht="15" customHeight="1" x14ac:dyDescent="0.3">
      <c r="A3" s="26" t="s">
        <v>64</v>
      </c>
      <c r="B3" s="17">
        <v>14.95</v>
      </c>
      <c r="C3" s="17">
        <v>4.63</v>
      </c>
      <c r="D3" s="17">
        <v>6.98</v>
      </c>
      <c r="E3" s="17">
        <v>9.8000000000000007</v>
      </c>
      <c r="F3" s="22" t="s">
        <v>35</v>
      </c>
      <c r="G3" s="17">
        <f>SQRT((4*(HSP!$B$2-$B3)^2+(HSP!$C$2-$C3)^2+(HSP!$D$2-$D3)^2))</f>
        <v>5.8718736362425243</v>
      </c>
      <c r="H3" s="17">
        <f>SQRT((4*(HSP!$B$3-$B3)^2+(HSP!$C$3-$C3)^2+(HSP!$D$3-$D3)^2))</f>
        <v>5.37</v>
      </c>
      <c r="I3" s="17">
        <f>SQRT((4*(HSP!$B$4-$B3)^2+(HSP!$C$4-$C3)^2+(HSP!$D$4-$D3)^2))</f>
        <v>0.47801673610868617</v>
      </c>
      <c r="J3" s="17">
        <f>SQRT((4*(HSP!$B$5-$B3)^2+(HSP!$C$5-$C3)^2+(HSP!$D$5-$D3)^2))</f>
        <v>9.0255304553250486</v>
      </c>
      <c r="K3" s="17">
        <f>SQRT((4*(HSP!$B$6-$B3)^2+(HSP!$C$6-$C3)^2+(HSP!$D$6-$D3)^2))</f>
        <v>3.6669469589837269</v>
      </c>
      <c r="L3" s="17">
        <f>$G3/$E3</f>
        <v>0.59917077920842077</v>
      </c>
      <c r="M3" s="17">
        <f>$H3/$E3</f>
        <v>0.54795918367346941</v>
      </c>
      <c r="N3" s="17">
        <f>$I3/$E3</f>
        <v>4.8777217970274095E-2</v>
      </c>
      <c r="O3" s="17">
        <f>$J3/$E3</f>
        <v>0.92097249544133142</v>
      </c>
      <c r="P3" s="17">
        <f>$K3/$E3</f>
        <v>0.37417826112078845</v>
      </c>
      <c r="Q3" s="17">
        <f>$G3/HSP!$E$2</f>
        <v>0.36023764639524686</v>
      </c>
      <c r="R3" s="17">
        <f>$H3/HSP!$E$3</f>
        <v>0.39777777777777779</v>
      </c>
      <c r="S3" s="17">
        <f>$I3/HSP!$E$4</f>
        <v>3.0063945667212967E-2</v>
      </c>
      <c r="T3" s="17">
        <f>$J3/HSP!$E$5</f>
        <v>0.65879784345438319</v>
      </c>
      <c r="U3" s="17">
        <f>$K3/HSP!$E$6</f>
        <v>0.24776668641781938</v>
      </c>
      <c r="V3" s="12"/>
      <c r="W3" s="12"/>
      <c r="X3" s="12"/>
      <c r="Y3" s="12"/>
      <c r="Z3" s="12"/>
    </row>
    <row r="4" spans="1:26" ht="15" customHeight="1" x14ac:dyDescent="0.3">
      <c r="A4" s="26" t="s">
        <v>65</v>
      </c>
      <c r="B4" s="17">
        <v>16.579999999999998</v>
      </c>
      <c r="C4" s="17">
        <v>2.4</v>
      </c>
      <c r="D4" s="17">
        <v>5.85</v>
      </c>
      <c r="E4" s="17" t="s">
        <v>35</v>
      </c>
      <c r="F4" s="22" t="s">
        <v>35</v>
      </c>
      <c r="G4" s="17">
        <f>SQRT((4*(HSP!$B$2-$B4)^2+(HSP!$C$2-$C4)^2+(HSP!$D$2-$D4)^2))</f>
        <v>9.0510828081506354</v>
      </c>
      <c r="H4" s="17">
        <f>SQRT((4*(HSP!$B$3-$B4)^2+(HSP!$C$3-$C4)^2+(HSP!$D$3-$D4)^2))</f>
        <v>7.4750852837944262</v>
      </c>
      <c r="I4" s="17">
        <f>SQRT((4*(HSP!$B$4-$B4)^2+(HSP!$C$4-$C4)^2+(HSP!$D$4-$D4)^2))</f>
        <v>3.7487731326395282</v>
      </c>
      <c r="J4" s="17">
        <f>SQRT((4*(HSP!$B$5-$B4)^2+(HSP!$C$5-$C4)^2+(HSP!$D$5-$D4)^2))</f>
        <v>11.797169151961839</v>
      </c>
      <c r="K4" s="17">
        <f>SQRT((4*(HSP!$B$6-$B4)^2+(HSP!$C$6-$C4)^2+(HSP!$D$6-$D4)^2))</f>
        <v>5.2062750599636951</v>
      </c>
      <c r="L4" s="17" t="s">
        <v>35</v>
      </c>
      <c r="M4" s="17" t="s">
        <v>35</v>
      </c>
      <c r="N4" s="17" t="s">
        <v>35</v>
      </c>
      <c r="O4" s="17" t="s">
        <v>35</v>
      </c>
      <c r="P4" s="17" t="s">
        <v>35</v>
      </c>
      <c r="Q4" s="17">
        <f>$G4/HSP!$E$2</f>
        <v>0.55528115387427213</v>
      </c>
      <c r="R4" s="17">
        <f>$H4/HSP!$E$3</f>
        <v>0.55371002102180933</v>
      </c>
      <c r="S4" s="17">
        <f>$I4/HSP!$E$4</f>
        <v>0.23577189513456151</v>
      </c>
      <c r="T4" s="17">
        <f>$J4/HSP!$E$5</f>
        <v>0.86110723736947736</v>
      </c>
      <c r="U4" s="17">
        <f>$K4/HSP!$E$6</f>
        <v>0.35177534188943882</v>
      </c>
      <c r="V4" s="12"/>
      <c r="W4" s="12"/>
      <c r="X4" s="12"/>
      <c r="Y4" s="12"/>
      <c r="Z4" s="12"/>
    </row>
    <row r="5" spans="1:26" ht="15" customHeight="1" x14ac:dyDescent="0.3">
      <c r="A5" s="26" t="s">
        <v>66</v>
      </c>
      <c r="B5" s="17">
        <v>16.54</v>
      </c>
      <c r="C5" s="17">
        <v>2.06</v>
      </c>
      <c r="D5" s="17">
        <v>5.43</v>
      </c>
      <c r="E5" s="17" t="s">
        <v>35</v>
      </c>
      <c r="F5" s="22" t="s">
        <v>35</v>
      </c>
      <c r="G5" s="17">
        <f>SQRT((4*(HSP!$B$2-$B5)^2+(HSP!$C$2-$C5)^2+(HSP!$D$2-$D5)^2))</f>
        <v>9.3817322494302715</v>
      </c>
      <c r="H5" s="17">
        <f>SQRT((4*(HSP!$B$3-$B5)^2+(HSP!$C$3-$C5)^2+(HSP!$D$3-$D5)^2))</f>
        <v>7.7975701343431334</v>
      </c>
      <c r="I5" s="17">
        <f>SQRT((4*(HSP!$B$4-$B5)^2+(HSP!$C$4-$C5)^2+(HSP!$D$4-$D5)^2))</f>
        <v>4.0309924336321927</v>
      </c>
      <c r="J5" s="17">
        <f>SQRT((4*(HSP!$B$5-$B5)^2+(HSP!$C$5-$C5)^2+(HSP!$D$5-$D5)^2))</f>
        <v>12.261207118387651</v>
      </c>
      <c r="K5" s="17">
        <f>SQRT((4*(HSP!$B$6-$B5)^2+(HSP!$C$6-$C5)^2+(HSP!$D$6-$D5)^2))</f>
        <v>5.2957435738524943</v>
      </c>
      <c r="L5" s="17" t="s">
        <v>35</v>
      </c>
      <c r="M5" s="17" t="s">
        <v>35</v>
      </c>
      <c r="N5" s="17" t="s">
        <v>35</v>
      </c>
      <c r="O5" s="17" t="s">
        <v>35</v>
      </c>
      <c r="P5" s="17" t="s">
        <v>35</v>
      </c>
      <c r="Q5" s="17">
        <f>$G5/HSP!$E$2</f>
        <v>0.57556639567056878</v>
      </c>
      <c r="R5" s="17">
        <f>$H5/HSP!$E$3</f>
        <v>0.57759778772912096</v>
      </c>
      <c r="S5" s="17">
        <f>$I5/HSP!$E$4</f>
        <v>0.25352153670642719</v>
      </c>
      <c r="T5" s="17">
        <f>$J5/HSP!$E$5</f>
        <v>0.89497862178012055</v>
      </c>
      <c r="U5" s="17">
        <f>$K5/HSP!$E$6</f>
        <v>0.35782051174679014</v>
      </c>
      <c r="V5" s="12"/>
      <c r="W5" s="12"/>
      <c r="X5" s="12"/>
      <c r="Y5" s="12"/>
      <c r="Z5" s="12"/>
    </row>
    <row r="6" spans="1:26" ht="15" customHeight="1" x14ac:dyDescent="0.3">
      <c r="A6" s="26" t="s">
        <v>67</v>
      </c>
      <c r="B6" s="17">
        <v>16.45</v>
      </c>
      <c r="C6" s="17">
        <v>1.53</v>
      </c>
      <c r="D6" s="17">
        <v>4.67</v>
      </c>
      <c r="E6" s="17" t="s">
        <v>35</v>
      </c>
      <c r="F6" s="22" t="s">
        <v>35</v>
      </c>
      <c r="G6" s="17">
        <f>SQRT((4*(HSP!$B$2-$B6)^2+(HSP!$C$2-$C6)^2+(HSP!$D$2-$D6)^2))</f>
        <v>9.938360025678282</v>
      </c>
      <c r="H6" s="17">
        <f>SQRT((4*(HSP!$B$3-$B6)^2+(HSP!$C$3-$C6)^2+(HSP!$D$3-$D6)^2))</f>
        <v>8.3504371143072511</v>
      </c>
      <c r="I6" s="17">
        <f>SQRT((4*(HSP!$B$4-$B6)^2+(HSP!$C$4-$C6)^2+(HSP!$D$4-$D6)^2))</f>
        <v>4.5839938917934857</v>
      </c>
      <c r="J6" s="17">
        <f>SQRT((4*(HSP!$B$5-$B6)^2+(HSP!$C$5-$C6)^2+(HSP!$D$5-$D6)^2))</f>
        <v>13.037380871938966</v>
      </c>
      <c r="K6" s="17">
        <f>SQRT((4*(HSP!$B$6-$B6)^2+(HSP!$C$6-$C6)^2+(HSP!$D$6-$D6)^2))</f>
        <v>5.5001818151766573</v>
      </c>
      <c r="L6" s="17" t="s">
        <v>35</v>
      </c>
      <c r="M6" s="17" t="s">
        <v>35</v>
      </c>
      <c r="N6" s="17" t="s">
        <v>35</v>
      </c>
      <c r="O6" s="17" t="s">
        <v>35</v>
      </c>
      <c r="P6" s="17" t="s">
        <v>35</v>
      </c>
      <c r="Q6" s="17">
        <f>$G6/HSP!$E$2</f>
        <v>0.60971533899866759</v>
      </c>
      <c r="R6" s="17">
        <f>$H6/HSP!$E$3</f>
        <v>0.6185508973560927</v>
      </c>
      <c r="S6" s="17">
        <f>$I6/HSP!$E$4</f>
        <v>0.28830150262852111</v>
      </c>
      <c r="T6" s="17">
        <f>$J6/HSP!$E$5</f>
        <v>0.95163364028751585</v>
      </c>
      <c r="U6" s="17">
        <f>$K6/HSP!$E$6</f>
        <v>0.3716339064308552</v>
      </c>
      <c r="V6" s="12"/>
      <c r="W6" s="12"/>
      <c r="X6" s="12"/>
      <c r="Y6" s="12"/>
      <c r="Z6" s="12"/>
    </row>
    <row r="7" spans="1:26" ht="15" customHeight="1" x14ac:dyDescent="0.3">
      <c r="A7" s="26" t="s">
        <v>68</v>
      </c>
      <c r="B7" s="17">
        <v>16.510000000000002</v>
      </c>
      <c r="C7" s="17">
        <v>1.81</v>
      </c>
      <c r="D7" s="17">
        <v>5.08</v>
      </c>
      <c r="E7" s="17" t="s">
        <v>35</v>
      </c>
      <c r="F7" s="22" t="s">
        <v>35</v>
      </c>
      <c r="G7" s="17">
        <f>SQRT((4*(HSP!$B$2-$B7)^2+(HSP!$C$2-$C7)^2+(HSP!$D$2-$D7)^2))</f>
        <v>9.6449416794504277</v>
      </c>
      <c r="H7" s="17">
        <f>SQRT((4*(HSP!$B$3-$B7)^2+(HSP!$C$3-$C7)^2+(HSP!$D$3-$D7)^2))</f>
        <v>8.0535520113798249</v>
      </c>
      <c r="I7" s="17">
        <f>SQRT((4*(HSP!$B$4-$B7)^2+(HSP!$C$4-$C7)^2+(HSP!$D$4-$D7)^2))</f>
        <v>4.2869219726978951</v>
      </c>
      <c r="J7" s="17">
        <f>SQRT((4*(HSP!$B$5-$B7)^2+(HSP!$C$5-$C7)^2+(HSP!$D$5-$D7)^2))</f>
        <v>12.625410884402932</v>
      </c>
      <c r="K7" s="17">
        <f>SQRT((4*(HSP!$B$6-$B7)^2+(HSP!$C$6-$C7)^2+(HSP!$D$6-$D7)^2))</f>
        <v>5.3858796867364216</v>
      </c>
      <c r="L7" s="17" t="s">
        <v>35</v>
      </c>
      <c r="M7" s="17" t="s">
        <v>35</v>
      </c>
      <c r="N7" s="17" t="s">
        <v>35</v>
      </c>
      <c r="O7" s="17" t="s">
        <v>35</v>
      </c>
      <c r="P7" s="17" t="s">
        <v>35</v>
      </c>
      <c r="Q7" s="17">
        <f>$G7/HSP!$E$2</f>
        <v>0.5917142134632164</v>
      </c>
      <c r="R7" s="17">
        <f>$H7/HSP!$E$3</f>
        <v>0.59655940825035736</v>
      </c>
      <c r="S7" s="17">
        <f>$I7/HSP!$E$4</f>
        <v>0.26961773413194307</v>
      </c>
      <c r="T7" s="17">
        <f>$J7/HSP!$E$5</f>
        <v>0.92156283827758634</v>
      </c>
      <c r="U7" s="17">
        <f>$K7/HSP!$E$6</f>
        <v>0.36391078964435281</v>
      </c>
      <c r="V7" s="12"/>
      <c r="W7" s="12"/>
      <c r="X7" s="12"/>
      <c r="Y7" s="12"/>
      <c r="Z7" s="12"/>
    </row>
    <row r="8" spans="1:26" ht="15" customHeight="1" x14ac:dyDescent="0.3">
      <c r="A8" s="26" t="s">
        <v>69</v>
      </c>
      <c r="B8" s="17">
        <v>16.45</v>
      </c>
      <c r="C8" s="17">
        <v>1.49</v>
      </c>
      <c r="D8" s="17">
        <v>4.6100000000000003</v>
      </c>
      <c r="E8" s="17" t="s">
        <v>35</v>
      </c>
      <c r="F8" s="22" t="s">
        <v>35</v>
      </c>
      <c r="G8" s="17">
        <f>SQRT((4*(HSP!$B$2-$B8)^2+(HSP!$C$2-$C8)^2+(HSP!$D$2-$D8)^2))</f>
        <v>9.9883832525589451</v>
      </c>
      <c r="H8" s="17">
        <f>SQRT((4*(HSP!$B$3-$B8)^2+(HSP!$C$3-$C8)^2+(HSP!$D$3-$D8)^2))</f>
        <v>8.3978211459878089</v>
      </c>
      <c r="I8" s="17">
        <f>SQRT((4*(HSP!$B$4-$B8)^2+(HSP!$C$4-$C8)^2+(HSP!$D$4-$D8)^2))</f>
        <v>4.6395904991712351</v>
      </c>
      <c r="J8" s="17">
        <f>SQRT((4*(HSP!$B$5-$B8)^2+(HSP!$C$5-$C8)^2+(HSP!$D$5-$D8)^2))</f>
        <v>13.10056868994625</v>
      </c>
      <c r="K8" s="17">
        <f>SQRT((4*(HSP!$B$6-$B8)^2+(HSP!$C$6-$C8)^2+(HSP!$D$6-$D8)^2))</f>
        <v>5.5272778110024463</v>
      </c>
      <c r="L8" s="17" t="s">
        <v>35</v>
      </c>
      <c r="M8" s="17" t="s">
        <v>35</v>
      </c>
      <c r="N8" s="17" t="s">
        <v>35</v>
      </c>
      <c r="O8" s="17" t="s">
        <v>35</v>
      </c>
      <c r="P8" s="17" t="s">
        <v>35</v>
      </c>
      <c r="Q8" s="17">
        <f>$G8/HSP!$E$2</f>
        <v>0.6127842486232481</v>
      </c>
      <c r="R8" s="17">
        <f>$H8/HSP!$E$3</f>
        <v>0.62206082562872655</v>
      </c>
      <c r="S8" s="17">
        <f>$I8/HSP!$E$4</f>
        <v>0.29179814460196446</v>
      </c>
      <c r="T8" s="17">
        <f>$J8/HSP!$E$5</f>
        <v>0.95624588977709857</v>
      </c>
      <c r="U8" s="17">
        <f>$K8/HSP!$E$6</f>
        <v>0.37346471695962474</v>
      </c>
      <c r="V8" s="12"/>
      <c r="W8" s="12"/>
      <c r="X8" s="12"/>
      <c r="Y8" s="12"/>
      <c r="Z8" s="12"/>
    </row>
    <row r="9" spans="1:26" ht="15" customHeight="1" x14ac:dyDescent="0.3">
      <c r="A9" s="26" t="s">
        <v>70</v>
      </c>
      <c r="B9" s="17">
        <v>16.48</v>
      </c>
      <c r="C9" s="17">
        <v>1.61</v>
      </c>
      <c r="D9" s="17">
        <v>4.8</v>
      </c>
      <c r="E9" s="17" t="s">
        <v>35</v>
      </c>
      <c r="F9" s="22" t="s">
        <v>35</v>
      </c>
      <c r="G9" s="17">
        <f>SQRT((4*(HSP!$B$2-$B9)^2+(HSP!$C$2-$C9)^2+(HSP!$D$2-$D9)^2))</f>
        <v>9.8596399528583216</v>
      </c>
      <c r="H9" s="17">
        <f>SQRT((4*(HSP!$B$3-$B9)^2+(HSP!$C$3-$C9)^2+(HSP!$D$3-$D9)^2))</f>
        <v>8.2667587360464339</v>
      </c>
      <c r="I9" s="17">
        <f>SQRT((4*(HSP!$B$4-$B9)^2+(HSP!$C$4-$C9)^2+(HSP!$D$4-$D9)^2))</f>
        <v>4.5043645500780682</v>
      </c>
      <c r="J9" s="17">
        <f>SQRT((4*(HSP!$B$5-$B9)^2+(HSP!$C$5-$C9)^2+(HSP!$D$5-$D9)^2))</f>
        <v>12.917639103179809</v>
      </c>
      <c r="K9" s="17">
        <f>SQRT((4*(HSP!$B$6-$B9)^2+(HSP!$C$6-$C9)^2+(HSP!$D$6-$D9)^2))</f>
        <v>5.4764313197555943</v>
      </c>
      <c r="L9" s="17" t="s">
        <v>35</v>
      </c>
      <c r="M9" s="17" t="s">
        <v>35</v>
      </c>
      <c r="N9" s="17" t="s">
        <v>35</v>
      </c>
      <c r="O9" s="17" t="s">
        <v>35</v>
      </c>
      <c r="P9" s="17" t="s">
        <v>35</v>
      </c>
      <c r="Q9" s="17">
        <f>$G9/HSP!$E$2</f>
        <v>0.60488588667842458</v>
      </c>
      <c r="R9" s="17">
        <f>$H9/HSP!$E$3</f>
        <v>0.61235249896640254</v>
      </c>
      <c r="S9" s="17">
        <f>$I9/HSP!$E$4</f>
        <v>0.28329336792943827</v>
      </c>
      <c r="T9" s="17">
        <f>$J9/HSP!$E$5</f>
        <v>0.94289336519560651</v>
      </c>
      <c r="U9" s="17">
        <f>$K9/HSP!$E$6</f>
        <v>0.37002914322672931</v>
      </c>
      <c r="V9" s="12"/>
      <c r="W9" s="12"/>
      <c r="X9" s="12"/>
      <c r="Y9" s="12"/>
      <c r="Z9" s="12"/>
    </row>
    <row r="10" spans="1:26" ht="15" customHeight="1" x14ac:dyDescent="0.3">
      <c r="A10" s="26" t="s">
        <v>71</v>
      </c>
      <c r="B10" s="17">
        <v>16.46</v>
      </c>
      <c r="C10" s="17">
        <v>1.45</v>
      </c>
      <c r="D10" s="17">
        <v>4.5599999999999996</v>
      </c>
      <c r="E10" s="17" t="s">
        <v>35</v>
      </c>
      <c r="F10" s="22" t="s">
        <v>35</v>
      </c>
      <c r="G10" s="17">
        <f>SQRT((4*(HSP!$B$2-$B10)^2+(HSP!$C$2-$C10)^2+(HSP!$D$2-$D10)^2))</f>
        <v>10.043649735031586</v>
      </c>
      <c r="H10" s="17">
        <f>SQRT((4*(HSP!$B$3-$B10)^2+(HSP!$C$3-$C10)^2+(HSP!$D$3-$D10)^2))</f>
        <v>8.4476801549301115</v>
      </c>
      <c r="I10" s="17">
        <f>SQRT((4*(HSP!$B$4-$B10)^2+(HSP!$C$4-$C10)^2+(HSP!$D$4-$D10)^2))</f>
        <v>4.7017975286054172</v>
      </c>
      <c r="J10" s="17">
        <f>SQRT((4*(HSP!$B$5-$B10)^2+(HSP!$C$5-$C10)^2+(HSP!$D$5-$D10)^2))</f>
        <v>13.162606124928301</v>
      </c>
      <c r="K10" s="17">
        <f>SQRT((4*(HSP!$B$6-$B10)^2+(HSP!$C$6-$C10)^2+(HSP!$D$6-$D10)^2))</f>
        <v>5.5649707995640014</v>
      </c>
      <c r="L10" s="17" t="s">
        <v>35</v>
      </c>
      <c r="M10" s="17" t="s">
        <v>35</v>
      </c>
      <c r="N10" s="17" t="s">
        <v>35</v>
      </c>
      <c r="O10" s="17" t="s">
        <v>35</v>
      </c>
      <c r="P10" s="17" t="s">
        <v>35</v>
      </c>
      <c r="Q10" s="17">
        <f>$G10/HSP!$E$2</f>
        <v>0.61617483037003595</v>
      </c>
      <c r="R10" s="17">
        <f>$H10/HSP!$E$3</f>
        <v>0.62575408555037859</v>
      </c>
      <c r="S10" s="17">
        <f>$I10/HSP!$E$4</f>
        <v>0.29571053639027778</v>
      </c>
      <c r="T10" s="17">
        <f>$J10/HSP!$E$5</f>
        <v>0.96077416970279572</v>
      </c>
      <c r="U10" s="17">
        <f>$K10/HSP!$E$6</f>
        <v>0.37601154051108115</v>
      </c>
      <c r="V10" s="12"/>
      <c r="W10" s="12"/>
      <c r="X10" s="12"/>
      <c r="Y10" s="12"/>
      <c r="Z10" s="12"/>
    </row>
    <row r="11" spans="1:26" ht="15" customHeight="1" x14ac:dyDescent="0.3">
      <c r="A11" s="26" t="s">
        <v>72</v>
      </c>
      <c r="B11" s="17">
        <v>17.54</v>
      </c>
      <c r="C11" s="17">
        <v>3.34</v>
      </c>
      <c r="D11" s="17">
        <v>4.08</v>
      </c>
      <c r="E11" s="17">
        <v>7.48</v>
      </c>
      <c r="F11" s="22" t="s">
        <v>35</v>
      </c>
      <c r="G11" s="17">
        <f>SQRT((4*(HSP!$B$2-$B11)^2+(HSP!$C$2-$C11)^2+(HSP!$D$2-$D11)^2))</f>
        <v>9.6787809149706447</v>
      </c>
      <c r="H11" s="17">
        <f>SQRT((4*(HSP!$B$3-$B11)^2+(HSP!$C$3-$C11)^2+(HSP!$D$3-$D11)^2))</f>
        <v>7.5272837066235256</v>
      </c>
      <c r="I11" s="17">
        <f>SQRT((4*(HSP!$B$4-$B11)^2+(HSP!$C$4-$C11)^2+(HSP!$D$4-$D11)^2))</f>
        <v>5.626864135555433</v>
      </c>
      <c r="J11" s="17">
        <f>SQRT((4*(HSP!$B$5-$B11)^2+(HSP!$C$5-$C11)^2+(HSP!$D$5-$D11)^2))</f>
        <v>12.470705673697859</v>
      </c>
      <c r="K11" s="17">
        <f>SQRT((4*(HSP!$B$6-$B11)^2+(HSP!$C$6-$C11)^2+(HSP!$D$6-$D11)^2))</f>
        <v>5.4965989484407531</v>
      </c>
      <c r="L11" s="17">
        <f t="shared" ref="L11:L12" si="0">$G11/$E11</f>
        <v>1.2939546677768241</v>
      </c>
      <c r="M11" s="17">
        <f t="shared" ref="M11:M12" si="1">$H11/$E11</f>
        <v>1.0063213511528777</v>
      </c>
      <c r="N11" s="17">
        <f t="shared" ref="N11:N12" si="2">$I11/$E11</f>
        <v>0.75225456357692955</v>
      </c>
      <c r="O11" s="17">
        <f t="shared" ref="O11:O12" si="3">$J11/$E11</f>
        <v>1.6672066408686976</v>
      </c>
      <c r="P11" s="17">
        <f t="shared" ref="P11:P12" si="4">$K11/$E11</f>
        <v>0.73483943160972631</v>
      </c>
      <c r="Q11" s="17">
        <f>$G11/HSP!$E$2</f>
        <v>0.59379024018224813</v>
      </c>
      <c r="R11" s="17">
        <f>$H11/HSP!$E$3</f>
        <v>0.55757657086100187</v>
      </c>
      <c r="S11" s="17">
        <f>$I11/HSP!$E$4</f>
        <v>0.35389082613556183</v>
      </c>
      <c r="T11" s="17">
        <f>$J11/HSP!$E$5</f>
        <v>0.9102704871312306</v>
      </c>
      <c r="U11" s="17">
        <f>$K11/HSP!$E$6</f>
        <v>0.37139182084059141</v>
      </c>
      <c r="V11" s="12"/>
      <c r="W11" s="12"/>
      <c r="X11" s="12"/>
      <c r="Y11" s="12"/>
      <c r="Z11" s="12"/>
    </row>
    <row r="12" spans="1:26" ht="15" customHeight="1" x14ac:dyDescent="0.3">
      <c r="A12" s="26" t="s">
        <v>73</v>
      </c>
      <c r="B12" s="17">
        <v>15.35</v>
      </c>
      <c r="C12" s="17">
        <v>3.77</v>
      </c>
      <c r="D12" s="17">
        <v>6.87</v>
      </c>
      <c r="E12" s="17">
        <v>9.57</v>
      </c>
      <c r="F12" s="22" t="s">
        <v>35</v>
      </c>
      <c r="G12" s="17">
        <f>SQRT((4*(HSP!$B$2-$B12)^2+(HSP!$C$2-$C12)^2+(HSP!$D$2-$D12)^2))</f>
        <v>6.8569818433476994</v>
      </c>
      <c r="H12" s="17">
        <f>SQRT((4*(HSP!$B$3-$B12)^2+(HSP!$C$3-$C12)^2+(HSP!$D$3-$D12)^2))</f>
        <v>6.021378579694189</v>
      </c>
      <c r="I12" s="17">
        <f>SQRT((4*(HSP!$B$4-$B12)^2+(HSP!$C$4-$C12)^2+(HSP!$D$4-$D12)^2))</f>
        <v>0.98112180691288231</v>
      </c>
      <c r="J12" s="17">
        <f>SQRT((4*(HSP!$B$5-$B12)^2+(HSP!$C$5-$C12)^2+(HSP!$D$5-$D12)^2))</f>
        <v>9.8291250882263181</v>
      </c>
      <c r="K12" s="17">
        <f>SQRT((4*(HSP!$B$6-$B12)^2+(HSP!$C$6-$C12)^2+(HSP!$D$6-$D12)^2))</f>
        <v>4.0276047472412184</v>
      </c>
      <c r="L12" s="17">
        <f t="shared" si="0"/>
        <v>0.71650802960791005</v>
      </c>
      <c r="M12" s="17">
        <f t="shared" si="1"/>
        <v>0.62919316402238123</v>
      </c>
      <c r="N12" s="17">
        <f t="shared" si="2"/>
        <v>0.10252056498567214</v>
      </c>
      <c r="O12" s="17">
        <f t="shared" si="3"/>
        <v>1.027076811726888</v>
      </c>
      <c r="P12" s="17">
        <f t="shared" si="4"/>
        <v>0.42085734035958394</v>
      </c>
      <c r="Q12" s="17">
        <f>$G12/HSP!$E$2</f>
        <v>0.42067373272071773</v>
      </c>
      <c r="R12" s="17">
        <f>$H12/HSP!$E$3</f>
        <v>0.44602804294031029</v>
      </c>
      <c r="S12" s="17">
        <f>$I12/HSP!$E$4</f>
        <v>6.1705774019678132E-2</v>
      </c>
      <c r="T12" s="17">
        <f>$J12/HSP!$E$5</f>
        <v>0.71745438600192102</v>
      </c>
      <c r="U12" s="17">
        <f>$K12/HSP!$E$6</f>
        <v>0.27213545589467691</v>
      </c>
      <c r="V12" s="12"/>
      <c r="W12" s="12"/>
      <c r="X12" s="12"/>
      <c r="Y12" s="12"/>
      <c r="Z12" s="12"/>
    </row>
    <row r="13" spans="1:26" ht="15" customHeight="1" x14ac:dyDescent="0.3">
      <c r="A13" s="26"/>
      <c r="B13" s="17"/>
      <c r="C13" s="17"/>
      <c r="D13" s="17"/>
      <c r="E13" s="17"/>
      <c r="F13" s="17"/>
      <c r="G13" s="17"/>
      <c r="H13" s="17"/>
      <c r="I13" s="17"/>
      <c r="J13" s="17"/>
      <c r="K13" s="17"/>
      <c r="L13" s="17"/>
      <c r="M13" s="17"/>
      <c r="N13" s="17"/>
      <c r="O13" s="17"/>
      <c r="P13" s="17"/>
      <c r="Q13" s="17"/>
      <c r="R13" s="17"/>
      <c r="S13" s="17"/>
      <c r="T13" s="17"/>
      <c r="U13" s="17"/>
      <c r="V13" s="12"/>
      <c r="W13" s="12"/>
      <c r="X13" s="12"/>
      <c r="Y13" s="12"/>
      <c r="Z13" s="12"/>
    </row>
    <row r="14" spans="1:26" ht="15" customHeight="1" x14ac:dyDescent="0.3">
      <c r="A14" s="26"/>
      <c r="B14" s="17"/>
      <c r="C14" s="17"/>
      <c r="D14" s="17"/>
      <c r="E14" s="17"/>
      <c r="F14" s="17"/>
      <c r="G14" s="17"/>
      <c r="H14" s="17"/>
      <c r="I14" s="17"/>
      <c r="J14" s="17"/>
      <c r="K14" s="17"/>
      <c r="L14" s="17"/>
      <c r="M14" s="17"/>
      <c r="N14" s="17"/>
      <c r="O14" s="17"/>
      <c r="P14" s="17"/>
      <c r="Q14" s="17"/>
      <c r="R14" s="17"/>
      <c r="S14" s="17"/>
      <c r="T14" s="17"/>
      <c r="U14" s="17"/>
      <c r="V14" s="12"/>
      <c r="W14" s="12"/>
      <c r="X14" s="12"/>
      <c r="Y14" s="12"/>
      <c r="Z14" s="12"/>
    </row>
    <row r="15" spans="1:26" ht="15" customHeight="1" x14ac:dyDescent="0.3">
      <c r="A15" s="26"/>
      <c r="B15" s="17"/>
      <c r="C15" s="17"/>
      <c r="D15" s="17"/>
      <c r="E15" s="17"/>
      <c r="F15" s="17"/>
      <c r="G15" s="17"/>
      <c r="H15" s="17"/>
      <c r="I15" s="17"/>
      <c r="J15" s="17"/>
      <c r="K15" s="17"/>
      <c r="L15" s="17"/>
      <c r="M15" s="17"/>
      <c r="N15" s="17"/>
      <c r="O15" s="17"/>
      <c r="P15" s="17"/>
      <c r="Q15" s="17"/>
      <c r="R15" s="17"/>
      <c r="S15" s="17"/>
      <c r="T15" s="17"/>
      <c r="U15" s="17"/>
      <c r="V15" s="12"/>
      <c r="W15" s="12"/>
      <c r="X15" s="12"/>
      <c r="Y15" s="12"/>
      <c r="Z15" s="12"/>
    </row>
    <row r="16" spans="1:26" ht="15" customHeight="1" x14ac:dyDescent="0.3">
      <c r="A16" s="26"/>
      <c r="B16" s="17"/>
      <c r="C16" s="17"/>
      <c r="D16" s="17"/>
      <c r="E16" s="17"/>
      <c r="F16" s="17"/>
      <c r="G16" s="17"/>
      <c r="H16" s="17"/>
      <c r="I16" s="17"/>
      <c r="J16" s="17"/>
      <c r="K16" s="17"/>
      <c r="L16" s="17"/>
      <c r="M16" s="17"/>
      <c r="N16" s="17"/>
      <c r="O16" s="17"/>
      <c r="P16" s="17"/>
      <c r="Q16" s="17"/>
      <c r="R16" s="17"/>
      <c r="S16" s="17"/>
      <c r="T16" s="17"/>
      <c r="U16" s="17"/>
      <c r="V16" s="12"/>
      <c r="W16" s="12"/>
      <c r="X16" s="12"/>
      <c r="Y16" s="12"/>
      <c r="Z16" s="12"/>
    </row>
    <row r="17" spans="1:26" ht="15" customHeight="1" x14ac:dyDescent="0.3">
      <c r="A17" s="26"/>
      <c r="B17" s="17"/>
      <c r="C17" s="17"/>
      <c r="D17" s="17"/>
      <c r="E17" s="17"/>
      <c r="F17" s="17"/>
      <c r="G17" s="17"/>
      <c r="H17" s="17"/>
      <c r="I17" s="17"/>
      <c r="J17" s="17"/>
      <c r="K17" s="17"/>
      <c r="L17" s="17"/>
      <c r="M17" s="17"/>
      <c r="N17" s="17"/>
      <c r="O17" s="17"/>
      <c r="P17" s="17"/>
      <c r="Q17" s="17"/>
      <c r="R17" s="17"/>
      <c r="S17" s="17"/>
      <c r="T17" s="17"/>
      <c r="U17" s="17"/>
      <c r="V17" s="12"/>
      <c r="W17" s="12"/>
      <c r="X17" s="12"/>
      <c r="Y17" s="12"/>
      <c r="Z17" s="12"/>
    </row>
    <row r="18" spans="1:26" ht="15" customHeight="1" x14ac:dyDescent="0.3">
      <c r="A18" s="26"/>
      <c r="B18" s="17"/>
      <c r="C18" s="17"/>
      <c r="D18" s="17"/>
      <c r="E18" s="17"/>
      <c r="F18" s="17"/>
      <c r="G18" s="17"/>
      <c r="H18" s="17"/>
      <c r="I18" s="17"/>
      <c r="J18" s="17"/>
      <c r="K18" s="17"/>
      <c r="L18" s="17"/>
      <c r="M18" s="17"/>
      <c r="N18" s="17"/>
      <c r="O18" s="17"/>
      <c r="P18" s="17"/>
      <c r="Q18" s="17"/>
      <c r="R18" s="17"/>
      <c r="S18" s="17"/>
      <c r="T18" s="17"/>
      <c r="U18" s="17"/>
      <c r="V18" s="12"/>
      <c r="W18" s="12"/>
      <c r="X18" s="12"/>
      <c r="Y18" s="12"/>
      <c r="Z18" s="12"/>
    </row>
    <row r="19" spans="1:26" ht="15" customHeight="1" x14ac:dyDescent="0.3">
      <c r="A19" s="26"/>
      <c r="B19" s="17"/>
      <c r="C19" s="17"/>
      <c r="D19" s="17"/>
      <c r="E19" s="17"/>
      <c r="F19" s="17"/>
      <c r="G19" s="17"/>
      <c r="H19" s="17"/>
      <c r="I19" s="17"/>
      <c r="J19" s="17"/>
      <c r="K19" s="17"/>
      <c r="L19" s="17"/>
      <c r="M19" s="17"/>
      <c r="N19" s="17"/>
      <c r="O19" s="17"/>
      <c r="P19" s="17"/>
      <c r="Q19" s="17"/>
      <c r="R19" s="17"/>
      <c r="S19" s="17"/>
      <c r="T19" s="17"/>
      <c r="U19" s="17"/>
      <c r="V19" s="12"/>
      <c r="W19" s="12"/>
      <c r="X19" s="12"/>
      <c r="Y19" s="12"/>
      <c r="Z19" s="12"/>
    </row>
    <row r="20" spans="1:26" ht="15" customHeight="1" x14ac:dyDescent="0.3">
      <c r="A20" s="26"/>
      <c r="B20" s="17"/>
      <c r="C20" s="17"/>
      <c r="D20" s="17"/>
      <c r="E20" s="17"/>
      <c r="F20" s="17"/>
      <c r="G20" s="17"/>
      <c r="H20" s="17"/>
      <c r="I20" s="17"/>
      <c r="J20" s="17"/>
      <c r="K20" s="17"/>
      <c r="L20" s="17"/>
      <c r="M20" s="17"/>
      <c r="N20" s="17"/>
      <c r="O20" s="17"/>
      <c r="P20" s="17"/>
      <c r="Q20" s="17"/>
      <c r="R20" s="17"/>
      <c r="S20" s="17"/>
      <c r="T20" s="17"/>
      <c r="U20" s="17"/>
      <c r="V20" s="12"/>
      <c r="W20" s="12"/>
      <c r="X20" s="12"/>
      <c r="Y20" s="12"/>
      <c r="Z20" s="12"/>
    </row>
    <row r="21" spans="1:26" ht="15" customHeight="1" x14ac:dyDescent="0.3">
      <c r="A21" s="26"/>
      <c r="B21" s="17"/>
      <c r="C21" s="17"/>
      <c r="D21" s="17"/>
      <c r="E21" s="17"/>
      <c r="F21" s="17"/>
      <c r="G21" s="17"/>
      <c r="H21" s="17"/>
      <c r="I21" s="17"/>
      <c r="J21" s="17"/>
      <c r="K21" s="17"/>
      <c r="L21" s="17"/>
      <c r="M21" s="17"/>
      <c r="N21" s="17"/>
      <c r="O21" s="17"/>
      <c r="P21" s="17"/>
      <c r="Q21" s="17"/>
      <c r="R21" s="17"/>
      <c r="S21" s="17"/>
      <c r="T21" s="17"/>
      <c r="U21" s="17"/>
      <c r="V21" s="12"/>
      <c r="W21" s="12"/>
      <c r="X21" s="12"/>
      <c r="Y21" s="12"/>
      <c r="Z21" s="12"/>
    </row>
    <row r="22" spans="1:26" ht="15" customHeight="1" x14ac:dyDescent="0.3">
      <c r="A22" s="26"/>
      <c r="B22" s="17"/>
      <c r="C22" s="17"/>
      <c r="D22" s="17"/>
      <c r="E22" s="17"/>
      <c r="F22" s="17"/>
      <c r="G22" s="17"/>
      <c r="H22" s="17"/>
      <c r="I22" s="17"/>
      <c r="J22" s="17"/>
      <c r="K22" s="17"/>
      <c r="L22" s="17"/>
      <c r="M22" s="17"/>
      <c r="N22" s="17"/>
      <c r="O22" s="17"/>
      <c r="P22" s="17"/>
      <c r="Q22" s="17"/>
      <c r="R22" s="17"/>
      <c r="S22" s="17"/>
      <c r="T22" s="17"/>
      <c r="U22" s="17"/>
      <c r="V22" s="12"/>
      <c r="W22" s="12"/>
      <c r="X22" s="12"/>
      <c r="Y22" s="12"/>
      <c r="Z22" s="12"/>
    </row>
    <row r="23" spans="1:26" ht="15" customHeight="1" x14ac:dyDescent="0.3">
      <c r="A23" s="26"/>
      <c r="B23" s="17"/>
      <c r="C23" s="17"/>
      <c r="D23" s="17"/>
      <c r="E23" s="17"/>
      <c r="F23" s="17"/>
      <c r="G23" s="17"/>
      <c r="H23" s="17"/>
      <c r="I23" s="17"/>
      <c r="J23" s="17"/>
      <c r="K23" s="17"/>
      <c r="L23" s="17"/>
      <c r="M23" s="17"/>
      <c r="N23" s="17"/>
      <c r="O23" s="17"/>
      <c r="P23" s="17"/>
      <c r="Q23" s="17"/>
      <c r="R23" s="17"/>
      <c r="S23" s="17"/>
      <c r="T23" s="17"/>
      <c r="U23" s="17"/>
      <c r="V23" s="12"/>
      <c r="W23" s="12"/>
      <c r="X23" s="12"/>
      <c r="Y23" s="12"/>
      <c r="Z23" s="12"/>
    </row>
    <row r="24" spans="1:26" ht="15" customHeight="1" x14ac:dyDescent="0.3">
      <c r="A24" s="26"/>
      <c r="B24" s="17"/>
      <c r="C24" s="17"/>
      <c r="D24" s="17"/>
      <c r="E24" s="17"/>
      <c r="F24" s="17"/>
      <c r="G24" s="17"/>
      <c r="H24" s="17"/>
      <c r="I24" s="17"/>
      <c r="J24" s="17"/>
      <c r="K24" s="17"/>
      <c r="L24" s="17"/>
      <c r="M24" s="17"/>
      <c r="N24" s="17"/>
      <c r="O24" s="17"/>
      <c r="P24" s="17"/>
      <c r="Q24" s="17"/>
      <c r="R24" s="17"/>
      <c r="S24" s="17"/>
      <c r="T24" s="17"/>
      <c r="U24" s="17"/>
      <c r="V24" s="12"/>
      <c r="W24" s="12"/>
      <c r="X24" s="12"/>
      <c r="Y24" s="12"/>
      <c r="Z24" s="12"/>
    </row>
    <row r="25" spans="1:26" ht="15" customHeight="1" x14ac:dyDescent="0.3">
      <c r="A25" s="26"/>
      <c r="B25" s="17"/>
      <c r="C25" s="17"/>
      <c r="D25" s="17"/>
      <c r="E25" s="17"/>
      <c r="F25" s="17"/>
      <c r="G25" s="17"/>
      <c r="H25" s="17"/>
      <c r="I25" s="17"/>
      <c r="J25" s="17"/>
      <c r="K25" s="17"/>
      <c r="L25" s="17"/>
      <c r="M25" s="17"/>
      <c r="N25" s="17"/>
      <c r="O25" s="17"/>
      <c r="P25" s="17"/>
      <c r="Q25" s="17"/>
      <c r="R25" s="17"/>
      <c r="S25" s="17"/>
      <c r="T25" s="17"/>
      <c r="U25" s="17"/>
      <c r="V25" s="12"/>
      <c r="W25" s="12"/>
      <c r="X25" s="12"/>
      <c r="Y25" s="12"/>
      <c r="Z25" s="12"/>
    </row>
    <row r="26" spans="1:26" ht="15" customHeight="1" x14ac:dyDescent="0.3">
      <c r="A26" s="26"/>
      <c r="B26" s="17"/>
      <c r="C26" s="17"/>
      <c r="D26" s="17"/>
      <c r="E26" s="17"/>
      <c r="F26" s="17"/>
      <c r="G26" s="17"/>
      <c r="H26" s="17"/>
      <c r="I26" s="17"/>
      <c r="J26" s="17"/>
      <c r="K26" s="17"/>
      <c r="L26" s="17"/>
      <c r="M26" s="17"/>
      <c r="N26" s="17"/>
      <c r="O26" s="17"/>
      <c r="P26" s="17"/>
      <c r="Q26" s="17"/>
      <c r="R26" s="17"/>
      <c r="S26" s="17"/>
      <c r="T26" s="17"/>
      <c r="U26" s="17"/>
      <c r="V26" s="12"/>
      <c r="W26" s="12"/>
      <c r="X26" s="12"/>
      <c r="Y26" s="12"/>
      <c r="Z26" s="12"/>
    </row>
    <row r="27" spans="1:26" ht="15" customHeight="1" x14ac:dyDescent="0.3">
      <c r="A27" s="26"/>
      <c r="B27" s="17"/>
      <c r="C27" s="17"/>
      <c r="D27" s="17"/>
      <c r="E27" s="17"/>
      <c r="F27" s="17"/>
      <c r="G27" s="17"/>
      <c r="H27" s="17"/>
      <c r="I27" s="17"/>
      <c r="J27" s="17"/>
      <c r="K27" s="17"/>
      <c r="L27" s="17"/>
      <c r="M27" s="17"/>
      <c r="N27" s="17"/>
      <c r="O27" s="17"/>
      <c r="P27" s="17"/>
      <c r="Q27" s="17"/>
      <c r="R27" s="17"/>
      <c r="S27" s="17"/>
      <c r="T27" s="17"/>
      <c r="U27" s="17"/>
      <c r="V27" s="12"/>
      <c r="W27" s="12"/>
      <c r="X27" s="12"/>
      <c r="Y27" s="12"/>
      <c r="Z27" s="12"/>
    </row>
    <row r="28" spans="1:26" ht="15" customHeight="1" x14ac:dyDescent="0.3">
      <c r="A28" s="26"/>
      <c r="B28" s="17"/>
      <c r="C28" s="17"/>
      <c r="D28" s="17"/>
      <c r="E28" s="17"/>
      <c r="F28" s="17"/>
      <c r="G28" s="17"/>
      <c r="H28" s="17"/>
      <c r="I28" s="17"/>
      <c r="J28" s="17"/>
      <c r="K28" s="17"/>
      <c r="L28" s="17"/>
      <c r="M28" s="17"/>
      <c r="N28" s="17"/>
      <c r="O28" s="17"/>
      <c r="P28" s="17"/>
      <c r="Q28" s="17"/>
      <c r="R28" s="17"/>
      <c r="S28" s="17"/>
      <c r="T28" s="17"/>
      <c r="U28" s="17"/>
      <c r="V28" s="12"/>
      <c r="W28" s="12"/>
      <c r="X28" s="12"/>
      <c r="Y28" s="12"/>
      <c r="Z28" s="12"/>
    </row>
    <row r="29" spans="1:26" ht="15" customHeight="1" x14ac:dyDescent="0.3">
      <c r="A29" s="26"/>
      <c r="B29" s="17"/>
      <c r="C29" s="17"/>
      <c r="D29" s="17"/>
      <c r="E29" s="17"/>
      <c r="F29" s="17"/>
      <c r="G29" s="17"/>
      <c r="H29" s="17"/>
      <c r="I29" s="17"/>
      <c r="J29" s="17"/>
      <c r="K29" s="17"/>
      <c r="L29" s="17"/>
      <c r="M29" s="17"/>
      <c r="N29" s="17"/>
      <c r="O29" s="17"/>
      <c r="P29" s="17"/>
      <c r="Q29" s="17"/>
      <c r="R29" s="17"/>
      <c r="S29" s="17"/>
      <c r="T29" s="17"/>
      <c r="U29" s="17"/>
      <c r="V29" s="12"/>
      <c r="W29" s="12"/>
      <c r="X29" s="12"/>
      <c r="Y29" s="12"/>
      <c r="Z29" s="12"/>
    </row>
    <row r="30" spans="1:26" ht="15" customHeight="1" x14ac:dyDescent="0.3">
      <c r="A30" s="26"/>
      <c r="B30" s="17"/>
      <c r="C30" s="17"/>
      <c r="D30" s="17"/>
      <c r="E30" s="17"/>
      <c r="F30" s="17"/>
      <c r="G30" s="17"/>
      <c r="H30" s="17"/>
      <c r="I30" s="17"/>
      <c r="J30" s="17"/>
      <c r="K30" s="17"/>
      <c r="L30" s="17"/>
      <c r="M30" s="17"/>
      <c r="N30" s="17"/>
      <c r="O30" s="17"/>
      <c r="P30" s="17"/>
      <c r="Q30" s="17"/>
      <c r="R30" s="17"/>
      <c r="S30" s="17"/>
      <c r="T30" s="17"/>
      <c r="U30" s="17"/>
      <c r="V30" s="12"/>
      <c r="W30" s="12"/>
      <c r="X30" s="12"/>
      <c r="Y30" s="12"/>
      <c r="Z30" s="12"/>
    </row>
    <row r="31" spans="1:26" ht="15" customHeight="1" x14ac:dyDescent="0.3">
      <c r="A31" s="26"/>
      <c r="B31" s="17"/>
      <c r="C31" s="17"/>
      <c r="D31" s="17"/>
      <c r="E31" s="17"/>
      <c r="F31" s="17"/>
      <c r="G31" s="17"/>
      <c r="H31" s="17"/>
      <c r="I31" s="17"/>
      <c r="J31" s="17"/>
      <c r="K31" s="17"/>
      <c r="L31" s="17"/>
      <c r="M31" s="17"/>
      <c r="N31" s="17"/>
      <c r="O31" s="17"/>
      <c r="P31" s="17"/>
      <c r="Q31" s="17"/>
      <c r="R31" s="17"/>
      <c r="S31" s="17"/>
      <c r="T31" s="17"/>
      <c r="U31" s="17"/>
      <c r="V31" s="12"/>
      <c r="W31" s="12"/>
      <c r="X31" s="12"/>
      <c r="Y31" s="12"/>
      <c r="Z31" s="12"/>
    </row>
    <row r="32" spans="1:26" ht="15" customHeight="1" x14ac:dyDescent="0.3">
      <c r="A32" s="26"/>
      <c r="B32" s="17"/>
      <c r="C32" s="17"/>
      <c r="D32" s="17"/>
      <c r="E32" s="17"/>
      <c r="F32" s="17"/>
      <c r="G32" s="17"/>
      <c r="H32" s="17"/>
      <c r="I32" s="17"/>
      <c r="J32" s="17"/>
      <c r="K32" s="17"/>
      <c r="L32" s="17"/>
      <c r="M32" s="17"/>
      <c r="N32" s="17"/>
      <c r="O32" s="17"/>
      <c r="P32" s="17"/>
      <c r="Q32" s="17"/>
      <c r="R32" s="17"/>
      <c r="S32" s="17"/>
      <c r="T32" s="17"/>
      <c r="U32" s="17"/>
      <c r="V32" s="12"/>
      <c r="W32" s="12"/>
      <c r="X32" s="12"/>
      <c r="Y32" s="12"/>
      <c r="Z32" s="12"/>
    </row>
    <row r="33" spans="1:26" ht="15" customHeight="1" x14ac:dyDescent="0.3">
      <c r="A33" s="26"/>
      <c r="B33" s="17"/>
      <c r="C33" s="17"/>
      <c r="D33" s="17"/>
      <c r="E33" s="17"/>
      <c r="F33" s="17"/>
      <c r="G33" s="17"/>
      <c r="H33" s="17"/>
      <c r="I33" s="17"/>
      <c r="J33" s="17"/>
      <c r="K33" s="17"/>
      <c r="L33" s="17"/>
      <c r="M33" s="17"/>
      <c r="N33" s="17"/>
      <c r="O33" s="17"/>
      <c r="P33" s="17"/>
      <c r="Q33" s="17"/>
      <c r="R33" s="17"/>
      <c r="S33" s="17"/>
      <c r="T33" s="17"/>
      <c r="U33" s="17"/>
      <c r="V33" s="12"/>
      <c r="W33" s="12"/>
      <c r="X33" s="12"/>
      <c r="Y33" s="12"/>
      <c r="Z33" s="12"/>
    </row>
    <row r="34" spans="1:26" ht="15" customHeight="1" x14ac:dyDescent="0.3">
      <c r="A34" s="26"/>
      <c r="B34" s="17"/>
      <c r="C34" s="17"/>
      <c r="D34" s="17"/>
      <c r="E34" s="17"/>
      <c r="F34" s="17"/>
      <c r="G34" s="17"/>
      <c r="H34" s="17"/>
      <c r="I34" s="17"/>
      <c r="J34" s="17"/>
      <c r="K34" s="17"/>
      <c r="L34" s="17"/>
      <c r="M34" s="17"/>
      <c r="N34" s="17"/>
      <c r="O34" s="17"/>
      <c r="P34" s="17"/>
      <c r="Q34" s="17"/>
      <c r="R34" s="17"/>
      <c r="S34" s="17"/>
      <c r="T34" s="17"/>
      <c r="U34" s="17"/>
      <c r="V34" s="12"/>
      <c r="W34" s="12"/>
      <c r="X34" s="12"/>
      <c r="Y34" s="12"/>
      <c r="Z34" s="12"/>
    </row>
    <row r="35" spans="1:26" ht="15" customHeight="1" x14ac:dyDescent="0.3">
      <c r="A35" s="26"/>
      <c r="B35" s="17"/>
      <c r="C35" s="17"/>
      <c r="D35" s="17"/>
      <c r="E35" s="17"/>
      <c r="F35" s="17"/>
      <c r="G35" s="17"/>
      <c r="H35" s="17"/>
      <c r="I35" s="17"/>
      <c r="J35" s="17"/>
      <c r="K35" s="17"/>
      <c r="L35" s="17"/>
      <c r="M35" s="17"/>
      <c r="N35" s="17"/>
      <c r="O35" s="17"/>
      <c r="P35" s="17"/>
      <c r="Q35" s="17"/>
      <c r="R35" s="17"/>
      <c r="S35" s="17"/>
      <c r="T35" s="17"/>
      <c r="U35" s="17"/>
      <c r="V35" s="12"/>
      <c r="W35" s="12"/>
      <c r="X35" s="12"/>
      <c r="Y35" s="12"/>
      <c r="Z35" s="12"/>
    </row>
    <row r="36" spans="1:26" ht="15" customHeight="1" x14ac:dyDescent="0.3">
      <c r="A36" s="26"/>
      <c r="B36" s="17"/>
      <c r="C36" s="17"/>
      <c r="D36" s="17"/>
      <c r="E36" s="17"/>
      <c r="F36" s="17"/>
      <c r="G36" s="17"/>
      <c r="H36" s="17"/>
      <c r="I36" s="17"/>
      <c r="J36" s="17"/>
      <c r="K36" s="17"/>
      <c r="L36" s="17"/>
      <c r="M36" s="17"/>
      <c r="N36" s="17"/>
      <c r="O36" s="17"/>
      <c r="P36" s="17"/>
      <c r="Q36" s="17"/>
      <c r="R36" s="17"/>
      <c r="S36" s="17"/>
      <c r="T36" s="17"/>
      <c r="U36" s="17"/>
      <c r="V36" s="12"/>
      <c r="W36" s="12"/>
      <c r="X36" s="12"/>
      <c r="Y36" s="12"/>
      <c r="Z36" s="12"/>
    </row>
    <row r="37" spans="1:26" ht="15" customHeight="1" x14ac:dyDescent="0.3">
      <c r="A37" s="26"/>
      <c r="B37" s="17"/>
      <c r="C37" s="17"/>
      <c r="D37" s="17"/>
      <c r="E37" s="17"/>
      <c r="F37" s="17"/>
      <c r="G37" s="17"/>
      <c r="H37" s="17"/>
      <c r="I37" s="17"/>
      <c r="J37" s="17"/>
      <c r="K37" s="17"/>
      <c r="L37" s="17"/>
      <c r="M37" s="17"/>
      <c r="N37" s="17"/>
      <c r="O37" s="17"/>
      <c r="P37" s="17"/>
      <c r="Q37" s="17"/>
      <c r="R37" s="17"/>
      <c r="S37" s="17"/>
      <c r="T37" s="17"/>
      <c r="U37" s="17"/>
      <c r="V37" s="12"/>
      <c r="W37" s="12"/>
      <c r="X37" s="12"/>
      <c r="Y37" s="12"/>
      <c r="Z37" s="12"/>
    </row>
    <row r="38" spans="1:26" ht="15" customHeight="1" x14ac:dyDescent="0.3">
      <c r="A38" s="26"/>
      <c r="B38" s="17"/>
      <c r="C38" s="17"/>
      <c r="D38" s="17"/>
      <c r="E38" s="17"/>
      <c r="F38" s="17"/>
      <c r="G38" s="17"/>
      <c r="H38" s="17"/>
      <c r="I38" s="17"/>
      <c r="J38" s="17"/>
      <c r="K38" s="17"/>
      <c r="L38" s="17"/>
      <c r="M38" s="17"/>
      <c r="N38" s="17"/>
      <c r="O38" s="17"/>
      <c r="P38" s="17"/>
      <c r="Q38" s="17"/>
      <c r="R38" s="17"/>
      <c r="S38" s="17"/>
      <c r="T38" s="17"/>
      <c r="U38" s="17"/>
      <c r="V38" s="12"/>
      <c r="W38" s="12"/>
      <c r="X38" s="12"/>
      <c r="Y38" s="12"/>
      <c r="Z38" s="12"/>
    </row>
    <row r="39" spans="1:26" ht="15" customHeight="1" x14ac:dyDescent="0.3">
      <c r="A39" s="26"/>
      <c r="B39" s="17"/>
      <c r="C39" s="17"/>
      <c r="D39" s="17"/>
      <c r="E39" s="17"/>
      <c r="F39" s="17"/>
      <c r="G39" s="17"/>
      <c r="H39" s="17"/>
      <c r="I39" s="17"/>
      <c r="J39" s="17"/>
      <c r="K39" s="17"/>
      <c r="L39" s="17"/>
      <c r="M39" s="17"/>
      <c r="N39" s="17"/>
      <c r="O39" s="17"/>
      <c r="P39" s="17"/>
      <c r="Q39" s="17"/>
      <c r="R39" s="17"/>
      <c r="S39" s="17"/>
      <c r="T39" s="17"/>
      <c r="U39" s="17"/>
      <c r="V39" s="12"/>
      <c r="W39" s="12"/>
      <c r="X39" s="12"/>
      <c r="Y39" s="12"/>
      <c r="Z39" s="12"/>
    </row>
    <row r="40" spans="1:26" ht="15" customHeight="1" x14ac:dyDescent="0.3">
      <c r="A40" s="26"/>
      <c r="B40" s="17"/>
      <c r="C40" s="17"/>
      <c r="D40" s="17"/>
      <c r="E40" s="17"/>
      <c r="F40" s="17"/>
      <c r="G40" s="17"/>
      <c r="H40" s="17"/>
      <c r="I40" s="17"/>
      <c r="J40" s="17"/>
      <c r="K40" s="17"/>
      <c r="L40" s="17"/>
      <c r="M40" s="17"/>
      <c r="N40" s="17"/>
      <c r="O40" s="17"/>
      <c r="P40" s="17"/>
      <c r="Q40" s="17"/>
      <c r="R40" s="17"/>
      <c r="S40" s="17"/>
      <c r="T40" s="17"/>
      <c r="U40" s="17"/>
      <c r="V40" s="12"/>
      <c r="W40" s="12"/>
      <c r="X40" s="12"/>
      <c r="Y40" s="12"/>
      <c r="Z40" s="12"/>
    </row>
    <row r="41" spans="1:26" ht="15" customHeight="1" x14ac:dyDescent="0.3">
      <c r="A41" s="26"/>
      <c r="B41" s="17"/>
      <c r="C41" s="17"/>
      <c r="D41" s="17"/>
      <c r="E41" s="17"/>
      <c r="F41" s="17"/>
      <c r="G41" s="17"/>
      <c r="H41" s="17"/>
      <c r="I41" s="17"/>
      <c r="J41" s="17"/>
      <c r="K41" s="17"/>
      <c r="L41" s="17"/>
      <c r="M41" s="17"/>
      <c r="N41" s="17"/>
      <c r="O41" s="17"/>
      <c r="P41" s="17"/>
      <c r="Q41" s="17"/>
      <c r="R41" s="17"/>
      <c r="S41" s="17"/>
      <c r="T41" s="17"/>
      <c r="U41" s="17"/>
      <c r="V41" s="12"/>
      <c r="W41" s="12"/>
      <c r="X41" s="12"/>
      <c r="Y41" s="12"/>
      <c r="Z41" s="12"/>
    </row>
    <row r="42" spans="1:26" ht="15" customHeight="1" x14ac:dyDescent="0.3">
      <c r="A42" s="26"/>
      <c r="B42" s="17"/>
      <c r="C42" s="17"/>
      <c r="D42" s="17"/>
      <c r="E42" s="17"/>
      <c r="F42" s="17"/>
      <c r="G42" s="17"/>
      <c r="H42" s="17"/>
      <c r="I42" s="17"/>
      <c r="J42" s="17"/>
      <c r="K42" s="17"/>
      <c r="L42" s="17"/>
      <c r="M42" s="17"/>
      <c r="N42" s="17"/>
      <c r="O42" s="17"/>
      <c r="P42" s="17"/>
      <c r="Q42" s="17"/>
      <c r="R42" s="17"/>
      <c r="S42" s="17"/>
      <c r="T42" s="17"/>
      <c r="U42" s="17"/>
      <c r="V42" s="12"/>
      <c r="W42" s="12"/>
      <c r="X42" s="12"/>
      <c r="Y42" s="12"/>
      <c r="Z42" s="12"/>
    </row>
    <row r="43" spans="1:26" ht="15" customHeight="1" x14ac:dyDescent="0.3">
      <c r="A43" s="26"/>
      <c r="B43" s="17"/>
      <c r="C43" s="17"/>
      <c r="D43" s="17"/>
      <c r="E43" s="17"/>
      <c r="F43" s="17"/>
      <c r="G43" s="17"/>
      <c r="H43" s="17"/>
      <c r="I43" s="17"/>
      <c r="J43" s="17"/>
      <c r="K43" s="17"/>
      <c r="L43" s="17"/>
      <c r="M43" s="17"/>
      <c r="N43" s="17"/>
      <c r="O43" s="17"/>
      <c r="P43" s="17"/>
      <c r="Q43" s="17"/>
      <c r="R43" s="17"/>
      <c r="S43" s="17"/>
      <c r="T43" s="17"/>
      <c r="U43" s="17"/>
      <c r="V43" s="12"/>
      <c r="W43" s="12"/>
      <c r="X43" s="12"/>
      <c r="Y43" s="12"/>
      <c r="Z43" s="12"/>
    </row>
    <row r="44" spans="1:26" ht="15" customHeight="1" x14ac:dyDescent="0.3">
      <c r="A44" s="26"/>
      <c r="B44" s="17"/>
      <c r="C44" s="17"/>
      <c r="D44" s="17"/>
      <c r="E44" s="17"/>
      <c r="F44" s="17"/>
      <c r="G44" s="17"/>
      <c r="H44" s="17"/>
      <c r="I44" s="17"/>
      <c r="J44" s="17"/>
      <c r="K44" s="17"/>
      <c r="L44" s="17"/>
      <c r="M44" s="17"/>
      <c r="N44" s="17"/>
      <c r="O44" s="17"/>
      <c r="P44" s="17"/>
      <c r="Q44" s="17"/>
      <c r="R44" s="17"/>
      <c r="S44" s="17"/>
      <c r="T44" s="17"/>
      <c r="U44" s="17"/>
      <c r="V44" s="12"/>
      <c r="W44" s="12"/>
      <c r="X44" s="12"/>
      <c r="Y44" s="12"/>
      <c r="Z44" s="12"/>
    </row>
    <row r="45" spans="1:26" ht="15" customHeight="1" x14ac:dyDescent="0.3">
      <c r="A45" s="26"/>
      <c r="B45" s="17"/>
      <c r="C45" s="17"/>
      <c r="D45" s="17"/>
      <c r="E45" s="17"/>
      <c r="F45" s="17"/>
      <c r="G45" s="17"/>
      <c r="H45" s="17"/>
      <c r="I45" s="17"/>
      <c r="J45" s="17"/>
      <c r="K45" s="17"/>
      <c r="L45" s="17"/>
      <c r="M45" s="17"/>
      <c r="N45" s="17"/>
      <c r="O45" s="17"/>
      <c r="P45" s="17"/>
      <c r="Q45" s="17"/>
      <c r="R45" s="17"/>
      <c r="S45" s="17"/>
      <c r="T45" s="17"/>
      <c r="U45" s="17"/>
      <c r="V45" s="12"/>
      <c r="W45" s="12"/>
      <c r="X45" s="12"/>
      <c r="Y45" s="12"/>
      <c r="Z45" s="12"/>
    </row>
    <row r="46" spans="1:26" ht="15" customHeight="1" x14ac:dyDescent="0.3">
      <c r="A46" s="26"/>
      <c r="B46" s="17"/>
      <c r="C46" s="17"/>
      <c r="D46" s="17"/>
      <c r="E46" s="17"/>
      <c r="F46" s="17"/>
      <c r="G46" s="17"/>
      <c r="H46" s="17"/>
      <c r="I46" s="17"/>
      <c r="J46" s="17"/>
      <c r="K46" s="17"/>
      <c r="L46" s="17"/>
      <c r="M46" s="17"/>
      <c r="N46" s="17"/>
      <c r="O46" s="17"/>
      <c r="P46" s="17"/>
      <c r="Q46" s="17"/>
      <c r="R46" s="17"/>
      <c r="S46" s="17"/>
      <c r="T46" s="17"/>
      <c r="U46" s="17"/>
      <c r="V46" s="12"/>
      <c r="W46" s="12"/>
      <c r="X46" s="12"/>
      <c r="Y46" s="12"/>
      <c r="Z46" s="12"/>
    </row>
    <row r="47" spans="1:26" ht="15" customHeight="1" x14ac:dyDescent="0.3">
      <c r="A47" s="26"/>
      <c r="B47" s="17"/>
      <c r="C47" s="17"/>
      <c r="D47" s="17"/>
      <c r="E47" s="17"/>
      <c r="F47" s="17"/>
      <c r="G47" s="17"/>
      <c r="H47" s="17"/>
      <c r="I47" s="17"/>
      <c r="J47" s="17"/>
      <c r="K47" s="17"/>
      <c r="L47" s="17"/>
      <c r="M47" s="17"/>
      <c r="N47" s="17"/>
      <c r="O47" s="17"/>
      <c r="P47" s="17"/>
      <c r="Q47" s="17"/>
      <c r="R47" s="17"/>
      <c r="S47" s="17"/>
      <c r="T47" s="17"/>
      <c r="U47" s="17"/>
      <c r="V47" s="12"/>
      <c r="W47" s="12"/>
      <c r="X47" s="12"/>
      <c r="Y47" s="12"/>
      <c r="Z47" s="12"/>
    </row>
    <row r="48" spans="1:26" ht="15" customHeight="1" x14ac:dyDescent="0.3">
      <c r="A48" s="26"/>
      <c r="B48" s="17"/>
      <c r="C48" s="17"/>
      <c r="D48" s="17"/>
      <c r="E48" s="17"/>
      <c r="F48" s="17"/>
      <c r="G48" s="17"/>
      <c r="H48" s="17"/>
      <c r="I48" s="17"/>
      <c r="J48" s="17"/>
      <c r="K48" s="17"/>
      <c r="L48" s="17"/>
      <c r="M48" s="17"/>
      <c r="N48" s="17"/>
      <c r="O48" s="17"/>
      <c r="P48" s="17"/>
      <c r="Q48" s="17"/>
      <c r="R48" s="17"/>
      <c r="S48" s="17"/>
      <c r="T48" s="17"/>
      <c r="U48" s="17"/>
      <c r="V48" s="12"/>
      <c r="W48" s="12"/>
      <c r="X48" s="12"/>
      <c r="Y48" s="12"/>
      <c r="Z48" s="12"/>
    </row>
    <row r="49" spans="1:26" ht="15" customHeight="1" x14ac:dyDescent="0.3">
      <c r="A49" s="26"/>
      <c r="B49" s="17"/>
      <c r="C49" s="17"/>
      <c r="D49" s="17"/>
      <c r="E49" s="17"/>
      <c r="F49" s="17"/>
      <c r="G49" s="17"/>
      <c r="H49" s="17"/>
      <c r="I49" s="17"/>
      <c r="J49" s="17"/>
      <c r="K49" s="17"/>
      <c r="L49" s="17"/>
      <c r="M49" s="17"/>
      <c r="N49" s="17"/>
      <c r="O49" s="17"/>
      <c r="P49" s="17"/>
      <c r="Q49" s="17"/>
      <c r="R49" s="17"/>
      <c r="S49" s="17"/>
      <c r="T49" s="17"/>
      <c r="U49" s="17"/>
      <c r="V49" s="12"/>
      <c r="W49" s="12"/>
      <c r="X49" s="12"/>
      <c r="Y49" s="12"/>
      <c r="Z49" s="12"/>
    </row>
    <row r="50" spans="1:26" ht="15" customHeight="1" x14ac:dyDescent="0.3">
      <c r="A50" s="26"/>
      <c r="B50" s="17"/>
      <c r="C50" s="17"/>
      <c r="D50" s="17"/>
      <c r="E50" s="17"/>
      <c r="F50" s="17"/>
      <c r="G50" s="17"/>
      <c r="H50" s="17"/>
      <c r="I50" s="17"/>
      <c r="J50" s="17"/>
      <c r="K50" s="17"/>
      <c r="L50" s="17"/>
      <c r="M50" s="17"/>
      <c r="N50" s="17"/>
      <c r="O50" s="17"/>
      <c r="P50" s="17"/>
      <c r="Q50" s="17"/>
      <c r="R50" s="17"/>
      <c r="S50" s="17"/>
      <c r="T50" s="17"/>
      <c r="U50" s="17"/>
      <c r="V50" s="12"/>
      <c r="W50" s="12"/>
      <c r="X50" s="12"/>
      <c r="Y50" s="12"/>
      <c r="Z50" s="12"/>
    </row>
    <row r="51" spans="1:26" ht="15" customHeight="1" x14ac:dyDescent="0.3">
      <c r="A51" s="26"/>
      <c r="B51" s="17"/>
      <c r="C51" s="17"/>
      <c r="D51" s="17"/>
      <c r="E51" s="17"/>
      <c r="F51" s="17"/>
      <c r="G51" s="17"/>
      <c r="H51" s="17"/>
      <c r="I51" s="17"/>
      <c r="J51" s="17"/>
      <c r="K51" s="17"/>
      <c r="L51" s="17"/>
      <c r="M51" s="17"/>
      <c r="N51" s="17"/>
      <c r="O51" s="17"/>
      <c r="P51" s="17"/>
      <c r="Q51" s="17"/>
      <c r="R51" s="17"/>
      <c r="S51" s="17"/>
      <c r="T51" s="17"/>
      <c r="U51" s="17"/>
      <c r="V51" s="12"/>
      <c r="W51" s="12"/>
      <c r="X51" s="12"/>
      <c r="Y51" s="12"/>
      <c r="Z51" s="12"/>
    </row>
    <row r="52" spans="1:26" ht="15" customHeight="1" x14ac:dyDescent="0.3">
      <c r="A52" s="26"/>
      <c r="B52" s="17"/>
      <c r="C52" s="17"/>
      <c r="D52" s="17"/>
      <c r="E52" s="17"/>
      <c r="F52" s="17"/>
      <c r="G52" s="17"/>
      <c r="H52" s="17"/>
      <c r="I52" s="17"/>
      <c r="J52" s="17"/>
      <c r="K52" s="17"/>
      <c r="L52" s="17"/>
      <c r="M52" s="17"/>
      <c r="N52" s="17"/>
      <c r="O52" s="17"/>
      <c r="P52" s="17"/>
      <c r="Q52" s="17"/>
      <c r="R52" s="17"/>
      <c r="S52" s="17"/>
      <c r="T52" s="17"/>
      <c r="U52" s="17"/>
      <c r="V52" s="12"/>
      <c r="W52" s="12"/>
      <c r="X52" s="12"/>
      <c r="Y52" s="12"/>
      <c r="Z52" s="12"/>
    </row>
    <row r="53" spans="1:26" ht="15" customHeight="1" x14ac:dyDescent="0.3">
      <c r="A53" s="26"/>
      <c r="B53" s="17"/>
      <c r="C53" s="17"/>
      <c r="D53" s="17"/>
      <c r="E53" s="17"/>
      <c r="F53" s="17"/>
      <c r="G53" s="17"/>
      <c r="H53" s="17"/>
      <c r="I53" s="17"/>
      <c r="J53" s="17"/>
      <c r="K53" s="17"/>
      <c r="L53" s="17"/>
      <c r="M53" s="17"/>
      <c r="N53" s="17"/>
      <c r="O53" s="17"/>
      <c r="P53" s="17"/>
      <c r="Q53" s="17"/>
      <c r="R53" s="17"/>
      <c r="S53" s="17"/>
      <c r="T53" s="17"/>
      <c r="U53" s="17"/>
      <c r="V53" s="12"/>
      <c r="W53" s="12"/>
      <c r="X53" s="12"/>
      <c r="Y53" s="12"/>
      <c r="Z53" s="12"/>
    </row>
    <row r="54" spans="1:26" ht="15" customHeight="1" x14ac:dyDescent="0.3">
      <c r="A54" s="26"/>
      <c r="B54" s="17"/>
      <c r="C54" s="17"/>
      <c r="D54" s="17"/>
      <c r="E54" s="17"/>
      <c r="F54" s="17"/>
      <c r="G54" s="17"/>
      <c r="H54" s="17"/>
      <c r="I54" s="17"/>
      <c r="J54" s="17"/>
      <c r="K54" s="17"/>
      <c r="L54" s="17"/>
      <c r="M54" s="17"/>
      <c r="N54" s="17"/>
      <c r="O54" s="17"/>
      <c r="P54" s="17"/>
      <c r="Q54" s="17"/>
      <c r="R54" s="17"/>
      <c r="S54" s="17"/>
      <c r="T54" s="17"/>
      <c r="U54" s="17"/>
      <c r="V54" s="12"/>
      <c r="W54" s="12"/>
      <c r="X54" s="12"/>
      <c r="Y54" s="12"/>
      <c r="Z54" s="12"/>
    </row>
    <row r="55" spans="1:26" ht="15" customHeight="1" x14ac:dyDescent="0.3">
      <c r="A55" s="26"/>
      <c r="B55" s="17"/>
      <c r="C55" s="17"/>
      <c r="D55" s="17"/>
      <c r="E55" s="17"/>
      <c r="F55" s="17"/>
      <c r="G55" s="17"/>
      <c r="H55" s="17"/>
      <c r="I55" s="17"/>
      <c r="J55" s="17"/>
      <c r="K55" s="17"/>
      <c r="L55" s="17"/>
      <c r="M55" s="17"/>
      <c r="N55" s="17"/>
      <c r="O55" s="17"/>
      <c r="P55" s="17"/>
      <c r="Q55" s="17"/>
      <c r="R55" s="17"/>
      <c r="S55" s="17"/>
      <c r="T55" s="17"/>
      <c r="U55" s="17"/>
      <c r="V55" s="12"/>
      <c r="W55" s="12"/>
      <c r="X55" s="12"/>
      <c r="Y55" s="12"/>
      <c r="Z55" s="12"/>
    </row>
    <row r="56" spans="1:26" ht="15" customHeight="1" x14ac:dyDescent="0.3">
      <c r="A56" s="26"/>
      <c r="B56" s="17"/>
      <c r="C56" s="17"/>
      <c r="D56" s="17"/>
      <c r="E56" s="17"/>
      <c r="F56" s="17"/>
      <c r="G56" s="17"/>
      <c r="H56" s="17"/>
      <c r="I56" s="17"/>
      <c r="J56" s="17"/>
      <c r="K56" s="17"/>
      <c r="L56" s="17"/>
      <c r="M56" s="17"/>
      <c r="N56" s="17"/>
      <c r="O56" s="17"/>
      <c r="P56" s="17"/>
      <c r="Q56" s="17"/>
      <c r="R56" s="17"/>
      <c r="S56" s="17"/>
      <c r="T56" s="17"/>
      <c r="U56" s="17"/>
      <c r="V56" s="12"/>
      <c r="W56" s="12"/>
      <c r="X56" s="12"/>
      <c r="Y56" s="12"/>
      <c r="Z56" s="12"/>
    </row>
    <row r="57" spans="1:26" ht="15" customHeight="1" x14ac:dyDescent="0.3">
      <c r="A57" s="26"/>
      <c r="B57" s="17"/>
      <c r="C57" s="17"/>
      <c r="D57" s="17"/>
      <c r="E57" s="17"/>
      <c r="F57" s="17"/>
      <c r="G57" s="17"/>
      <c r="H57" s="17"/>
      <c r="I57" s="17"/>
      <c r="J57" s="17"/>
      <c r="K57" s="17"/>
      <c r="L57" s="17"/>
      <c r="M57" s="17"/>
      <c r="N57" s="17"/>
      <c r="O57" s="17"/>
      <c r="P57" s="17"/>
      <c r="Q57" s="17"/>
      <c r="R57" s="17"/>
      <c r="S57" s="17"/>
      <c r="T57" s="17"/>
      <c r="U57" s="17"/>
      <c r="V57" s="12"/>
      <c r="W57" s="12"/>
      <c r="X57" s="12"/>
      <c r="Y57" s="12"/>
      <c r="Z57" s="12"/>
    </row>
    <row r="58" spans="1:26" ht="15" customHeight="1" x14ac:dyDescent="0.3">
      <c r="A58" s="26"/>
      <c r="B58" s="17"/>
      <c r="C58" s="17"/>
      <c r="D58" s="17"/>
      <c r="E58" s="17"/>
      <c r="F58" s="17"/>
      <c r="G58" s="17"/>
      <c r="H58" s="17"/>
      <c r="I58" s="17"/>
      <c r="J58" s="17"/>
      <c r="K58" s="17"/>
      <c r="L58" s="17"/>
      <c r="M58" s="17"/>
      <c r="N58" s="17"/>
      <c r="O58" s="17"/>
      <c r="P58" s="17"/>
      <c r="Q58" s="17"/>
      <c r="R58" s="17"/>
      <c r="S58" s="17"/>
      <c r="T58" s="17"/>
      <c r="U58" s="17"/>
      <c r="V58" s="12"/>
      <c r="W58" s="12"/>
      <c r="X58" s="12"/>
      <c r="Y58" s="12"/>
      <c r="Z58" s="12"/>
    </row>
    <row r="59" spans="1:26" ht="15" customHeight="1" x14ac:dyDescent="0.3">
      <c r="A59" s="26"/>
      <c r="B59" s="17"/>
      <c r="C59" s="17"/>
      <c r="D59" s="17"/>
      <c r="E59" s="17"/>
      <c r="F59" s="17"/>
      <c r="G59" s="17"/>
      <c r="H59" s="17"/>
      <c r="I59" s="17"/>
      <c r="J59" s="17"/>
      <c r="K59" s="17"/>
      <c r="L59" s="17"/>
      <c r="M59" s="17"/>
      <c r="N59" s="17"/>
      <c r="O59" s="17"/>
      <c r="P59" s="17"/>
      <c r="Q59" s="17"/>
      <c r="R59" s="17"/>
      <c r="S59" s="17"/>
      <c r="T59" s="17"/>
      <c r="U59" s="17"/>
      <c r="V59" s="12"/>
      <c r="W59" s="12"/>
      <c r="X59" s="12"/>
      <c r="Y59" s="12"/>
      <c r="Z59" s="12"/>
    </row>
    <row r="60" spans="1:26" ht="15" customHeight="1" x14ac:dyDescent="0.3">
      <c r="A60" s="26"/>
      <c r="B60" s="17"/>
      <c r="C60" s="17"/>
      <c r="D60" s="17"/>
      <c r="E60" s="17"/>
      <c r="F60" s="17"/>
      <c r="G60" s="17"/>
      <c r="H60" s="17"/>
      <c r="I60" s="17"/>
      <c r="J60" s="17"/>
      <c r="K60" s="17"/>
      <c r="L60" s="17"/>
      <c r="M60" s="17"/>
      <c r="N60" s="17"/>
      <c r="O60" s="17"/>
      <c r="P60" s="17"/>
      <c r="Q60" s="17"/>
      <c r="R60" s="17"/>
      <c r="S60" s="17"/>
      <c r="T60" s="17"/>
      <c r="U60" s="17"/>
      <c r="V60" s="12"/>
      <c r="W60" s="12"/>
      <c r="X60" s="12"/>
      <c r="Y60" s="12"/>
      <c r="Z60" s="12"/>
    </row>
    <row r="61" spans="1:26" ht="15" customHeight="1" x14ac:dyDescent="0.3">
      <c r="A61" s="26"/>
      <c r="B61" s="17"/>
      <c r="C61" s="17"/>
      <c r="D61" s="17"/>
      <c r="E61" s="17"/>
      <c r="F61" s="17"/>
      <c r="G61" s="17"/>
      <c r="H61" s="17"/>
      <c r="I61" s="17"/>
      <c r="J61" s="17"/>
      <c r="K61" s="17"/>
      <c r="L61" s="17"/>
      <c r="M61" s="17"/>
      <c r="N61" s="17"/>
      <c r="O61" s="17"/>
      <c r="P61" s="17"/>
      <c r="Q61" s="17"/>
      <c r="R61" s="17"/>
      <c r="S61" s="17"/>
      <c r="T61" s="17"/>
      <c r="U61" s="17"/>
      <c r="V61" s="12"/>
      <c r="W61" s="12"/>
      <c r="X61" s="12"/>
      <c r="Y61" s="12"/>
      <c r="Z61" s="12"/>
    </row>
    <row r="62" spans="1:26" ht="15" customHeight="1" x14ac:dyDescent="0.3">
      <c r="A62" s="26"/>
      <c r="B62" s="17"/>
      <c r="C62" s="17"/>
      <c r="D62" s="17"/>
      <c r="E62" s="17"/>
      <c r="F62" s="17"/>
      <c r="G62" s="17"/>
      <c r="H62" s="17"/>
      <c r="I62" s="17"/>
      <c r="J62" s="17"/>
      <c r="K62" s="17"/>
      <c r="L62" s="17"/>
      <c r="M62" s="17"/>
      <c r="N62" s="17"/>
      <c r="O62" s="17"/>
      <c r="P62" s="17"/>
      <c r="Q62" s="17"/>
      <c r="R62" s="17"/>
      <c r="S62" s="17"/>
      <c r="T62" s="17"/>
      <c r="U62" s="17"/>
      <c r="V62" s="12"/>
      <c r="W62" s="12"/>
      <c r="X62" s="12"/>
      <c r="Y62" s="12"/>
      <c r="Z62" s="12"/>
    </row>
    <row r="63" spans="1:26" ht="15" customHeight="1" x14ac:dyDescent="0.3">
      <c r="A63" s="26"/>
      <c r="B63" s="17"/>
      <c r="C63" s="17"/>
      <c r="D63" s="17"/>
      <c r="E63" s="17"/>
      <c r="F63" s="17"/>
      <c r="G63" s="17"/>
      <c r="H63" s="17"/>
      <c r="I63" s="17"/>
      <c r="J63" s="17"/>
      <c r="K63" s="17"/>
      <c r="L63" s="17"/>
      <c r="M63" s="17"/>
      <c r="N63" s="17"/>
      <c r="O63" s="17"/>
      <c r="P63" s="17"/>
      <c r="Q63" s="17"/>
      <c r="R63" s="17"/>
      <c r="S63" s="17"/>
      <c r="T63" s="17"/>
      <c r="U63" s="17"/>
      <c r="V63" s="12"/>
      <c r="W63" s="12"/>
      <c r="X63" s="12"/>
      <c r="Y63" s="12"/>
      <c r="Z63" s="12"/>
    </row>
    <row r="64" spans="1:26" ht="15" customHeight="1" x14ac:dyDescent="0.3">
      <c r="A64" s="26"/>
      <c r="B64" s="17"/>
      <c r="C64" s="17"/>
      <c r="D64" s="17"/>
      <c r="E64" s="17"/>
      <c r="F64" s="17"/>
      <c r="G64" s="17"/>
      <c r="H64" s="17"/>
      <c r="I64" s="17"/>
      <c r="J64" s="17"/>
      <c r="K64" s="17"/>
      <c r="L64" s="17"/>
      <c r="M64" s="17"/>
      <c r="N64" s="17"/>
      <c r="O64" s="17"/>
      <c r="P64" s="17"/>
      <c r="Q64" s="17"/>
      <c r="R64" s="17"/>
      <c r="S64" s="17"/>
      <c r="T64" s="17"/>
      <c r="U64" s="17"/>
      <c r="V64" s="12"/>
      <c r="W64" s="12"/>
      <c r="X64" s="12"/>
      <c r="Y64" s="12"/>
      <c r="Z64" s="12"/>
    </row>
    <row r="65" spans="1:26" ht="15" customHeight="1" x14ac:dyDescent="0.3">
      <c r="A65" s="26"/>
      <c r="B65" s="17"/>
      <c r="C65" s="17"/>
      <c r="D65" s="17"/>
      <c r="E65" s="17"/>
      <c r="F65" s="17"/>
      <c r="G65" s="17"/>
      <c r="H65" s="17"/>
      <c r="I65" s="17"/>
      <c r="J65" s="17"/>
      <c r="K65" s="17"/>
      <c r="L65" s="17"/>
      <c r="M65" s="17"/>
      <c r="N65" s="17"/>
      <c r="O65" s="17"/>
      <c r="P65" s="17"/>
      <c r="Q65" s="17"/>
      <c r="R65" s="17"/>
      <c r="S65" s="17"/>
      <c r="T65" s="17"/>
      <c r="U65" s="17"/>
      <c r="V65" s="12"/>
      <c r="W65" s="12"/>
      <c r="X65" s="12"/>
      <c r="Y65" s="12"/>
      <c r="Z65" s="12"/>
    </row>
    <row r="66" spans="1:26" ht="15" customHeight="1" x14ac:dyDescent="0.3">
      <c r="A66" s="26"/>
      <c r="B66" s="17"/>
      <c r="C66" s="17"/>
      <c r="D66" s="17"/>
      <c r="E66" s="17"/>
      <c r="F66" s="17"/>
      <c r="G66" s="17"/>
      <c r="H66" s="17"/>
      <c r="I66" s="17"/>
      <c r="J66" s="17"/>
      <c r="K66" s="17"/>
      <c r="L66" s="17"/>
      <c r="M66" s="17"/>
      <c r="N66" s="17"/>
      <c r="O66" s="17"/>
      <c r="P66" s="17"/>
      <c r="Q66" s="17"/>
      <c r="R66" s="17"/>
      <c r="S66" s="17"/>
      <c r="T66" s="17"/>
      <c r="U66" s="17"/>
      <c r="V66" s="12"/>
      <c r="W66" s="12"/>
      <c r="X66" s="12"/>
      <c r="Y66" s="12"/>
      <c r="Z66" s="12"/>
    </row>
    <row r="67" spans="1:26" ht="15" customHeight="1" x14ac:dyDescent="0.3">
      <c r="A67" s="26"/>
      <c r="B67" s="17"/>
      <c r="C67" s="17"/>
      <c r="D67" s="17"/>
      <c r="E67" s="17"/>
      <c r="F67" s="17"/>
      <c r="G67" s="17"/>
      <c r="H67" s="17"/>
      <c r="I67" s="17"/>
      <c r="J67" s="17"/>
      <c r="K67" s="17"/>
      <c r="L67" s="17"/>
      <c r="M67" s="17"/>
      <c r="N67" s="17"/>
      <c r="O67" s="17"/>
      <c r="P67" s="17"/>
      <c r="Q67" s="17"/>
      <c r="R67" s="17"/>
      <c r="S67" s="17"/>
      <c r="T67" s="17"/>
      <c r="U67" s="17"/>
      <c r="V67" s="12"/>
      <c r="W67" s="12"/>
      <c r="X67" s="12"/>
      <c r="Y67" s="12"/>
      <c r="Z67" s="12"/>
    </row>
    <row r="68" spans="1:26" ht="15" customHeight="1" x14ac:dyDescent="0.3">
      <c r="A68" s="26"/>
      <c r="B68" s="17"/>
      <c r="C68" s="17"/>
      <c r="D68" s="17"/>
      <c r="E68" s="17"/>
      <c r="F68" s="17"/>
      <c r="G68" s="17"/>
      <c r="H68" s="17"/>
      <c r="I68" s="17"/>
      <c r="J68" s="17"/>
      <c r="K68" s="17"/>
      <c r="L68" s="17"/>
      <c r="M68" s="17"/>
      <c r="N68" s="17"/>
      <c r="O68" s="17"/>
      <c r="P68" s="17"/>
      <c r="Q68" s="17"/>
      <c r="R68" s="17"/>
      <c r="S68" s="17"/>
      <c r="T68" s="17"/>
      <c r="U68" s="17"/>
      <c r="V68" s="12"/>
      <c r="W68" s="12"/>
      <c r="X68" s="12"/>
      <c r="Y68" s="12"/>
      <c r="Z68" s="12"/>
    </row>
    <row r="69" spans="1:26" ht="15" customHeight="1" x14ac:dyDescent="0.3">
      <c r="A69" s="26"/>
      <c r="B69" s="17"/>
      <c r="C69" s="17"/>
      <c r="D69" s="17"/>
      <c r="E69" s="17"/>
      <c r="F69" s="17"/>
      <c r="G69" s="17"/>
      <c r="H69" s="17"/>
      <c r="I69" s="17"/>
      <c r="J69" s="17"/>
      <c r="K69" s="17"/>
      <c r="L69" s="17"/>
      <c r="M69" s="17"/>
      <c r="N69" s="17"/>
      <c r="O69" s="17"/>
      <c r="P69" s="17"/>
      <c r="Q69" s="17"/>
      <c r="R69" s="17"/>
      <c r="S69" s="17"/>
      <c r="T69" s="17"/>
      <c r="U69" s="17"/>
      <c r="V69" s="12"/>
      <c r="W69" s="12"/>
      <c r="X69" s="12"/>
      <c r="Y69" s="12"/>
      <c r="Z69" s="12"/>
    </row>
    <row r="70" spans="1:26" ht="15" customHeight="1" x14ac:dyDescent="0.3">
      <c r="A70" s="26"/>
      <c r="B70" s="17"/>
      <c r="C70" s="17"/>
      <c r="D70" s="17"/>
      <c r="E70" s="17"/>
      <c r="F70" s="17"/>
      <c r="G70" s="17"/>
      <c r="H70" s="17"/>
      <c r="I70" s="17"/>
      <c r="J70" s="17"/>
      <c r="K70" s="17"/>
      <c r="L70" s="17"/>
      <c r="M70" s="17"/>
      <c r="N70" s="17"/>
      <c r="O70" s="17"/>
      <c r="P70" s="17"/>
      <c r="Q70" s="17"/>
      <c r="R70" s="17"/>
      <c r="S70" s="17"/>
      <c r="T70" s="17"/>
      <c r="U70" s="17"/>
      <c r="V70" s="12"/>
      <c r="W70" s="12"/>
      <c r="X70" s="12"/>
      <c r="Y70" s="12"/>
      <c r="Z70" s="12"/>
    </row>
    <row r="71" spans="1:26" ht="15" customHeight="1" x14ac:dyDescent="0.3">
      <c r="A71" s="26"/>
      <c r="B71" s="17"/>
      <c r="C71" s="17"/>
      <c r="D71" s="17"/>
      <c r="E71" s="17"/>
      <c r="F71" s="17"/>
      <c r="G71" s="17"/>
      <c r="H71" s="17"/>
      <c r="I71" s="17"/>
      <c r="J71" s="17"/>
      <c r="K71" s="17"/>
      <c r="L71" s="17"/>
      <c r="M71" s="17"/>
      <c r="N71" s="17"/>
      <c r="O71" s="17"/>
      <c r="P71" s="17"/>
      <c r="Q71" s="17"/>
      <c r="R71" s="17"/>
      <c r="S71" s="17"/>
      <c r="T71" s="17"/>
      <c r="U71" s="17"/>
      <c r="V71" s="12"/>
      <c r="W71" s="12"/>
      <c r="X71" s="12"/>
      <c r="Y71" s="12"/>
      <c r="Z71" s="12"/>
    </row>
    <row r="72" spans="1:26" ht="15" customHeight="1" x14ac:dyDescent="0.3">
      <c r="A72" s="26"/>
      <c r="B72" s="17"/>
      <c r="C72" s="17"/>
      <c r="D72" s="17"/>
      <c r="E72" s="17"/>
      <c r="F72" s="17"/>
      <c r="G72" s="17"/>
      <c r="H72" s="17"/>
      <c r="I72" s="17"/>
      <c r="J72" s="17"/>
      <c r="K72" s="17"/>
      <c r="L72" s="17"/>
      <c r="M72" s="17"/>
      <c r="N72" s="17"/>
      <c r="O72" s="17"/>
      <c r="P72" s="17"/>
      <c r="Q72" s="17"/>
      <c r="R72" s="17"/>
      <c r="S72" s="17"/>
      <c r="T72" s="17"/>
      <c r="U72" s="17"/>
      <c r="V72" s="12"/>
      <c r="W72" s="12"/>
      <c r="X72" s="12"/>
      <c r="Y72" s="12"/>
      <c r="Z72" s="12"/>
    </row>
    <row r="73" spans="1:26" ht="15" customHeight="1" x14ac:dyDescent="0.3">
      <c r="A73" s="26"/>
      <c r="B73" s="17"/>
      <c r="C73" s="17"/>
      <c r="D73" s="17"/>
      <c r="E73" s="17"/>
      <c r="F73" s="17"/>
      <c r="G73" s="17"/>
      <c r="H73" s="17"/>
      <c r="I73" s="17"/>
      <c r="J73" s="17"/>
      <c r="K73" s="17"/>
      <c r="L73" s="17"/>
      <c r="M73" s="17"/>
      <c r="N73" s="17"/>
      <c r="O73" s="17"/>
      <c r="P73" s="17"/>
      <c r="Q73" s="17"/>
      <c r="R73" s="17"/>
      <c r="S73" s="17"/>
      <c r="T73" s="17"/>
      <c r="U73" s="17"/>
      <c r="V73" s="12"/>
      <c r="W73" s="12"/>
      <c r="X73" s="12"/>
      <c r="Y73" s="12"/>
      <c r="Z73" s="12"/>
    </row>
    <row r="74" spans="1:26" ht="15" customHeight="1" x14ac:dyDescent="0.3">
      <c r="A74" s="26"/>
      <c r="B74" s="17"/>
      <c r="C74" s="17"/>
      <c r="D74" s="17"/>
      <c r="E74" s="17"/>
      <c r="F74" s="17"/>
      <c r="G74" s="17"/>
      <c r="H74" s="17"/>
      <c r="I74" s="17"/>
      <c r="J74" s="17"/>
      <c r="K74" s="17"/>
      <c r="L74" s="17"/>
      <c r="M74" s="17"/>
      <c r="N74" s="17"/>
      <c r="O74" s="17"/>
      <c r="P74" s="17"/>
      <c r="Q74" s="17"/>
      <c r="R74" s="17"/>
      <c r="S74" s="17"/>
      <c r="T74" s="17"/>
      <c r="U74" s="17"/>
      <c r="V74" s="12"/>
      <c r="W74" s="12"/>
      <c r="X74" s="12"/>
      <c r="Y74" s="12"/>
      <c r="Z74" s="12"/>
    </row>
    <row r="75" spans="1:26" ht="15" customHeight="1" x14ac:dyDescent="0.3">
      <c r="A75" s="26"/>
      <c r="B75" s="17"/>
      <c r="C75" s="17"/>
      <c r="D75" s="17"/>
      <c r="E75" s="17"/>
      <c r="F75" s="17"/>
      <c r="G75" s="17"/>
      <c r="H75" s="17"/>
      <c r="I75" s="17"/>
      <c r="J75" s="17"/>
      <c r="K75" s="17"/>
      <c r="L75" s="17"/>
      <c r="M75" s="17"/>
      <c r="N75" s="17"/>
      <c r="O75" s="17"/>
      <c r="P75" s="17"/>
      <c r="Q75" s="17"/>
      <c r="R75" s="17"/>
      <c r="S75" s="17"/>
      <c r="T75" s="17"/>
      <c r="U75" s="17"/>
      <c r="V75" s="12"/>
      <c r="W75" s="12"/>
      <c r="X75" s="12"/>
      <c r="Y75" s="12"/>
      <c r="Z75" s="12"/>
    </row>
    <row r="76" spans="1:26" ht="15" customHeight="1" x14ac:dyDescent="0.3">
      <c r="A76" s="26"/>
      <c r="B76" s="17"/>
      <c r="C76" s="17"/>
      <c r="D76" s="17"/>
      <c r="E76" s="17"/>
      <c r="F76" s="17"/>
      <c r="G76" s="17"/>
      <c r="H76" s="17"/>
      <c r="I76" s="17"/>
      <c r="J76" s="17"/>
      <c r="K76" s="17"/>
      <c r="L76" s="17"/>
      <c r="M76" s="17"/>
      <c r="N76" s="17"/>
      <c r="O76" s="17"/>
      <c r="P76" s="17"/>
      <c r="Q76" s="17"/>
      <c r="R76" s="17"/>
      <c r="S76" s="17"/>
      <c r="T76" s="17"/>
      <c r="U76" s="17"/>
      <c r="V76" s="12"/>
      <c r="W76" s="12"/>
      <c r="X76" s="12"/>
      <c r="Y76" s="12"/>
      <c r="Z76" s="12"/>
    </row>
    <row r="77" spans="1:26" ht="15" customHeight="1" x14ac:dyDescent="0.3">
      <c r="A77" s="26"/>
      <c r="B77" s="17"/>
      <c r="C77" s="17"/>
      <c r="D77" s="17"/>
      <c r="E77" s="17"/>
      <c r="F77" s="17"/>
      <c r="G77" s="17"/>
      <c r="H77" s="17"/>
      <c r="I77" s="17"/>
      <c r="J77" s="17"/>
      <c r="K77" s="17"/>
      <c r="L77" s="17"/>
      <c r="M77" s="17"/>
      <c r="N77" s="17"/>
      <c r="O77" s="17"/>
      <c r="P77" s="17"/>
      <c r="Q77" s="17"/>
      <c r="R77" s="17"/>
      <c r="S77" s="17"/>
      <c r="T77" s="17"/>
      <c r="U77" s="17"/>
      <c r="V77" s="12"/>
      <c r="W77" s="12"/>
      <c r="X77" s="12"/>
      <c r="Y77" s="12"/>
      <c r="Z77" s="12"/>
    </row>
    <row r="78" spans="1:26" ht="15" customHeight="1" x14ac:dyDescent="0.3">
      <c r="A78" s="26"/>
      <c r="B78" s="17"/>
      <c r="C78" s="17"/>
      <c r="D78" s="17"/>
      <c r="E78" s="17"/>
      <c r="F78" s="17"/>
      <c r="G78" s="17"/>
      <c r="H78" s="17"/>
      <c r="I78" s="17"/>
      <c r="J78" s="17"/>
      <c r="K78" s="17"/>
      <c r="L78" s="17"/>
      <c r="M78" s="17"/>
      <c r="N78" s="17"/>
      <c r="O78" s="17"/>
      <c r="P78" s="17"/>
      <c r="Q78" s="17"/>
      <c r="R78" s="17"/>
      <c r="S78" s="17"/>
      <c r="T78" s="17"/>
      <c r="U78" s="17"/>
      <c r="V78" s="12"/>
      <c r="W78" s="12"/>
      <c r="X78" s="12"/>
      <c r="Y78" s="12"/>
      <c r="Z78" s="12"/>
    </row>
    <row r="79" spans="1:26" ht="15" customHeight="1" x14ac:dyDescent="0.3">
      <c r="A79" s="26"/>
      <c r="B79" s="17"/>
      <c r="C79" s="17"/>
      <c r="D79" s="17"/>
      <c r="E79" s="17"/>
      <c r="F79" s="17"/>
      <c r="G79" s="17"/>
      <c r="H79" s="17"/>
      <c r="I79" s="17"/>
      <c r="J79" s="17"/>
      <c r="K79" s="17"/>
      <c r="L79" s="17"/>
      <c r="M79" s="17"/>
      <c r="N79" s="17"/>
      <c r="O79" s="17"/>
      <c r="P79" s="17"/>
      <c r="Q79" s="17"/>
      <c r="R79" s="17"/>
      <c r="S79" s="17"/>
      <c r="T79" s="17"/>
      <c r="U79" s="17"/>
      <c r="V79" s="12"/>
      <c r="W79" s="12"/>
      <c r="X79" s="12"/>
      <c r="Y79" s="12"/>
      <c r="Z79" s="12"/>
    </row>
    <row r="80" spans="1:26" ht="15" customHeight="1" x14ac:dyDescent="0.3">
      <c r="A80" s="26"/>
      <c r="B80" s="17"/>
      <c r="C80" s="17"/>
      <c r="D80" s="17"/>
      <c r="E80" s="17"/>
      <c r="F80" s="17"/>
      <c r="G80" s="17"/>
      <c r="H80" s="17"/>
      <c r="I80" s="17"/>
      <c r="J80" s="17"/>
      <c r="K80" s="17"/>
      <c r="L80" s="17"/>
      <c r="M80" s="17"/>
      <c r="N80" s="17"/>
      <c r="O80" s="17"/>
      <c r="P80" s="17"/>
      <c r="Q80" s="17"/>
      <c r="R80" s="17"/>
      <c r="S80" s="17"/>
      <c r="T80" s="17"/>
      <c r="U80" s="17"/>
      <c r="V80" s="12"/>
      <c r="W80" s="12"/>
      <c r="X80" s="12"/>
      <c r="Y80" s="12"/>
      <c r="Z80" s="12"/>
    </row>
    <row r="81" spans="1:26" ht="15" customHeight="1" x14ac:dyDescent="0.3">
      <c r="A81" s="26"/>
      <c r="B81" s="17"/>
      <c r="C81" s="17"/>
      <c r="D81" s="17"/>
      <c r="E81" s="17"/>
      <c r="F81" s="17"/>
      <c r="G81" s="17"/>
      <c r="H81" s="17"/>
      <c r="I81" s="17"/>
      <c r="J81" s="17"/>
      <c r="K81" s="17"/>
      <c r="L81" s="17"/>
      <c r="M81" s="17"/>
      <c r="N81" s="17"/>
      <c r="O81" s="17"/>
      <c r="P81" s="17"/>
      <c r="Q81" s="17"/>
      <c r="R81" s="17"/>
      <c r="S81" s="17"/>
      <c r="T81" s="17"/>
      <c r="U81" s="17"/>
      <c r="V81" s="12"/>
      <c r="W81" s="12"/>
      <c r="X81" s="12"/>
      <c r="Y81" s="12"/>
      <c r="Z81" s="12"/>
    </row>
    <row r="82" spans="1:26" ht="15" customHeight="1" x14ac:dyDescent="0.3">
      <c r="A82" s="26"/>
      <c r="B82" s="17"/>
      <c r="C82" s="17"/>
      <c r="D82" s="17"/>
      <c r="E82" s="17"/>
      <c r="F82" s="17"/>
      <c r="G82" s="17"/>
      <c r="H82" s="17"/>
      <c r="I82" s="17"/>
      <c r="J82" s="17"/>
      <c r="K82" s="17"/>
      <c r="L82" s="17"/>
      <c r="M82" s="17"/>
      <c r="N82" s="17"/>
      <c r="O82" s="17"/>
      <c r="P82" s="17"/>
      <c r="Q82" s="17"/>
      <c r="R82" s="17"/>
      <c r="S82" s="17"/>
      <c r="T82" s="17"/>
      <c r="U82" s="17"/>
      <c r="V82" s="12"/>
      <c r="W82" s="12"/>
      <c r="X82" s="12"/>
      <c r="Y82" s="12"/>
      <c r="Z82" s="12"/>
    </row>
    <row r="83" spans="1:26" ht="15" customHeight="1" x14ac:dyDescent="0.3">
      <c r="A83" s="26"/>
      <c r="B83" s="17"/>
      <c r="C83" s="17"/>
      <c r="D83" s="17"/>
      <c r="E83" s="17"/>
      <c r="F83" s="17"/>
      <c r="G83" s="17"/>
      <c r="H83" s="17"/>
      <c r="I83" s="17"/>
      <c r="J83" s="17"/>
      <c r="K83" s="17"/>
      <c r="L83" s="17"/>
      <c r="M83" s="17"/>
      <c r="N83" s="17"/>
      <c r="O83" s="17"/>
      <c r="P83" s="17"/>
      <c r="Q83" s="17"/>
      <c r="R83" s="17"/>
      <c r="S83" s="17"/>
      <c r="T83" s="17"/>
      <c r="U83" s="17"/>
      <c r="V83" s="12"/>
      <c r="W83" s="12"/>
      <c r="X83" s="12"/>
      <c r="Y83" s="12"/>
      <c r="Z83" s="12"/>
    </row>
    <row r="84" spans="1:26" ht="15" customHeight="1" x14ac:dyDescent="0.3">
      <c r="A84" s="26"/>
      <c r="B84" s="17"/>
      <c r="C84" s="17"/>
      <c r="D84" s="17"/>
      <c r="E84" s="17"/>
      <c r="F84" s="17"/>
      <c r="G84" s="17"/>
      <c r="H84" s="17"/>
      <c r="I84" s="17"/>
      <c r="J84" s="17"/>
      <c r="K84" s="17"/>
      <c r="L84" s="17"/>
      <c r="M84" s="17"/>
      <c r="N84" s="17"/>
      <c r="O84" s="17"/>
      <c r="P84" s="17"/>
      <c r="Q84" s="17"/>
      <c r="R84" s="17"/>
      <c r="S84" s="17"/>
      <c r="T84" s="17"/>
      <c r="U84" s="17"/>
      <c r="V84" s="12"/>
      <c r="W84" s="12"/>
      <c r="X84" s="12"/>
      <c r="Y84" s="12"/>
      <c r="Z84" s="12"/>
    </row>
    <row r="85" spans="1:26" ht="15" customHeight="1" x14ac:dyDescent="0.3">
      <c r="A85" s="26"/>
      <c r="B85" s="17"/>
      <c r="C85" s="17"/>
      <c r="D85" s="17"/>
      <c r="E85" s="17"/>
      <c r="F85" s="17"/>
      <c r="G85" s="17"/>
      <c r="H85" s="17"/>
      <c r="I85" s="17"/>
      <c r="J85" s="17"/>
      <c r="K85" s="17"/>
      <c r="L85" s="17"/>
      <c r="M85" s="17"/>
      <c r="N85" s="17"/>
      <c r="O85" s="17"/>
      <c r="P85" s="17"/>
      <c r="Q85" s="17"/>
      <c r="R85" s="17"/>
      <c r="S85" s="17"/>
      <c r="T85" s="17"/>
      <c r="U85" s="17"/>
      <c r="V85" s="12"/>
      <c r="W85" s="12"/>
      <c r="X85" s="12"/>
      <c r="Y85" s="12"/>
      <c r="Z85" s="12"/>
    </row>
    <row r="86" spans="1:26" ht="15" customHeight="1" x14ac:dyDescent="0.3">
      <c r="A86" s="26"/>
      <c r="B86" s="17"/>
      <c r="C86" s="17"/>
      <c r="D86" s="17"/>
      <c r="E86" s="17"/>
      <c r="F86" s="17"/>
      <c r="G86" s="17"/>
      <c r="H86" s="17"/>
      <c r="I86" s="17"/>
      <c r="J86" s="17"/>
      <c r="K86" s="17"/>
      <c r="L86" s="17"/>
      <c r="M86" s="17"/>
      <c r="N86" s="17"/>
      <c r="O86" s="17"/>
      <c r="P86" s="17"/>
      <c r="Q86" s="17"/>
      <c r="R86" s="17"/>
      <c r="S86" s="17"/>
      <c r="T86" s="17"/>
      <c r="U86" s="17"/>
      <c r="V86" s="12"/>
      <c r="W86" s="12"/>
      <c r="X86" s="12"/>
      <c r="Y86" s="12"/>
      <c r="Z86" s="12"/>
    </row>
    <row r="87" spans="1:26" ht="15" customHeight="1" x14ac:dyDescent="0.3">
      <c r="A87" s="26"/>
      <c r="B87" s="17"/>
      <c r="C87" s="17"/>
      <c r="D87" s="17"/>
      <c r="E87" s="17"/>
      <c r="F87" s="17"/>
      <c r="G87" s="17"/>
      <c r="H87" s="17"/>
      <c r="I87" s="17"/>
      <c r="J87" s="17"/>
      <c r="K87" s="17"/>
      <c r="L87" s="17"/>
      <c r="M87" s="17"/>
      <c r="N87" s="17"/>
      <c r="O87" s="17"/>
      <c r="P87" s="17"/>
      <c r="Q87" s="17"/>
      <c r="R87" s="17"/>
      <c r="S87" s="17"/>
      <c r="T87" s="17"/>
      <c r="U87" s="17"/>
      <c r="V87" s="12"/>
      <c r="W87" s="12"/>
      <c r="X87" s="12"/>
      <c r="Y87" s="12"/>
      <c r="Z87" s="12"/>
    </row>
    <row r="88" spans="1:26" ht="15" customHeight="1" x14ac:dyDescent="0.3">
      <c r="A88" s="26"/>
      <c r="B88" s="17"/>
      <c r="C88" s="17"/>
      <c r="D88" s="17"/>
      <c r="E88" s="17"/>
      <c r="F88" s="17"/>
      <c r="G88" s="17"/>
      <c r="H88" s="17"/>
      <c r="I88" s="17"/>
      <c r="J88" s="17"/>
      <c r="K88" s="17"/>
      <c r="L88" s="17"/>
      <c r="M88" s="17"/>
      <c r="N88" s="17"/>
      <c r="O88" s="17"/>
      <c r="P88" s="17"/>
      <c r="Q88" s="17"/>
      <c r="R88" s="17"/>
      <c r="S88" s="17"/>
      <c r="T88" s="17"/>
      <c r="U88" s="17"/>
      <c r="V88" s="12"/>
      <c r="W88" s="12"/>
      <c r="X88" s="12"/>
      <c r="Y88" s="12"/>
      <c r="Z88" s="12"/>
    </row>
    <row r="89" spans="1:26" ht="15" customHeight="1" x14ac:dyDescent="0.3">
      <c r="A89" s="26"/>
      <c r="B89" s="17"/>
      <c r="C89" s="17"/>
      <c r="D89" s="17"/>
      <c r="E89" s="17"/>
      <c r="F89" s="17"/>
      <c r="G89" s="17"/>
      <c r="H89" s="17"/>
      <c r="I89" s="17"/>
      <c r="J89" s="17"/>
      <c r="K89" s="17"/>
      <c r="L89" s="17"/>
      <c r="M89" s="17"/>
      <c r="N89" s="17"/>
      <c r="O89" s="17"/>
      <c r="P89" s="17"/>
      <c r="Q89" s="17"/>
      <c r="R89" s="17"/>
      <c r="S89" s="17"/>
      <c r="T89" s="17"/>
      <c r="U89" s="17"/>
      <c r="V89" s="12"/>
      <c r="W89" s="12"/>
      <c r="X89" s="12"/>
      <c r="Y89" s="12"/>
      <c r="Z89" s="12"/>
    </row>
    <row r="90" spans="1:26" ht="15" customHeight="1" x14ac:dyDescent="0.3">
      <c r="A90" s="26"/>
      <c r="B90" s="17"/>
      <c r="C90" s="17"/>
      <c r="D90" s="17"/>
      <c r="E90" s="17"/>
      <c r="F90" s="17"/>
      <c r="G90" s="17"/>
      <c r="H90" s="17"/>
      <c r="I90" s="17"/>
      <c r="J90" s="17"/>
      <c r="K90" s="17"/>
      <c r="L90" s="17"/>
      <c r="M90" s="17"/>
      <c r="N90" s="17"/>
      <c r="O90" s="17"/>
      <c r="P90" s="17"/>
      <c r="Q90" s="17"/>
      <c r="R90" s="17"/>
      <c r="S90" s="17"/>
      <c r="T90" s="17"/>
      <c r="U90" s="17"/>
      <c r="V90" s="12"/>
      <c r="W90" s="12"/>
      <c r="X90" s="12"/>
      <c r="Y90" s="12"/>
      <c r="Z90" s="12"/>
    </row>
    <row r="91" spans="1:26" ht="15" customHeight="1" x14ac:dyDescent="0.3">
      <c r="A91" s="26"/>
      <c r="B91" s="17"/>
      <c r="C91" s="17"/>
      <c r="D91" s="17"/>
      <c r="E91" s="17"/>
      <c r="F91" s="17"/>
      <c r="G91" s="17"/>
      <c r="H91" s="17"/>
      <c r="I91" s="17"/>
      <c r="J91" s="17"/>
      <c r="K91" s="17"/>
      <c r="L91" s="17"/>
      <c r="M91" s="17"/>
      <c r="N91" s="17"/>
      <c r="O91" s="17"/>
      <c r="P91" s="17"/>
      <c r="Q91" s="17"/>
      <c r="R91" s="17"/>
      <c r="S91" s="17"/>
      <c r="T91" s="17"/>
      <c r="U91" s="17"/>
      <c r="V91" s="12"/>
      <c r="W91" s="12"/>
      <c r="X91" s="12"/>
      <c r="Y91" s="12"/>
      <c r="Z91" s="12"/>
    </row>
    <row r="92" spans="1:26" ht="15" customHeight="1" x14ac:dyDescent="0.3">
      <c r="A92" s="26"/>
      <c r="B92" s="17"/>
      <c r="C92" s="17"/>
      <c r="D92" s="17"/>
      <c r="E92" s="17"/>
      <c r="F92" s="17"/>
      <c r="G92" s="17"/>
      <c r="H92" s="17"/>
      <c r="I92" s="17"/>
      <c r="J92" s="17"/>
      <c r="K92" s="17"/>
      <c r="L92" s="17"/>
      <c r="M92" s="17"/>
      <c r="N92" s="17"/>
      <c r="O92" s="17"/>
      <c r="P92" s="17"/>
      <c r="Q92" s="17"/>
      <c r="R92" s="17"/>
      <c r="S92" s="17"/>
      <c r="T92" s="17"/>
      <c r="U92" s="17"/>
      <c r="V92" s="12"/>
      <c r="W92" s="12"/>
      <c r="X92" s="12"/>
      <c r="Y92" s="12"/>
      <c r="Z92" s="12"/>
    </row>
    <row r="93" spans="1:26" ht="15" customHeight="1" x14ac:dyDescent="0.3">
      <c r="A93" s="26"/>
      <c r="B93" s="17"/>
      <c r="C93" s="17"/>
      <c r="D93" s="17"/>
      <c r="E93" s="17"/>
      <c r="F93" s="17"/>
      <c r="G93" s="17"/>
      <c r="H93" s="17"/>
      <c r="I93" s="17"/>
      <c r="J93" s="17"/>
      <c r="K93" s="17"/>
      <c r="L93" s="17"/>
      <c r="M93" s="17"/>
      <c r="N93" s="17"/>
      <c r="O93" s="17"/>
      <c r="P93" s="17"/>
      <c r="Q93" s="17"/>
      <c r="R93" s="17"/>
      <c r="S93" s="17"/>
      <c r="T93" s="17"/>
      <c r="U93" s="17"/>
      <c r="V93" s="12"/>
      <c r="W93" s="12"/>
      <c r="X93" s="12"/>
      <c r="Y93" s="12"/>
      <c r="Z93" s="12"/>
    </row>
    <row r="94" spans="1:26" ht="15" customHeight="1" x14ac:dyDescent="0.3">
      <c r="A94" s="26"/>
      <c r="B94" s="17"/>
      <c r="C94" s="17"/>
      <c r="D94" s="17"/>
      <c r="E94" s="17"/>
      <c r="F94" s="17"/>
      <c r="G94" s="17"/>
      <c r="H94" s="17"/>
      <c r="I94" s="17"/>
      <c r="J94" s="17"/>
      <c r="K94" s="17"/>
      <c r="L94" s="17"/>
      <c r="M94" s="17"/>
      <c r="N94" s="17"/>
      <c r="O94" s="17"/>
      <c r="P94" s="17"/>
      <c r="Q94" s="17"/>
      <c r="R94" s="17"/>
      <c r="S94" s="17"/>
      <c r="T94" s="17"/>
      <c r="U94" s="17"/>
      <c r="V94" s="12"/>
      <c r="W94" s="12"/>
      <c r="X94" s="12"/>
      <c r="Y94" s="12"/>
      <c r="Z94" s="12"/>
    </row>
    <row r="95" spans="1:26" ht="15" customHeight="1" x14ac:dyDescent="0.3">
      <c r="A95" s="26"/>
      <c r="B95" s="17"/>
      <c r="C95" s="17"/>
      <c r="D95" s="17"/>
      <c r="E95" s="17"/>
      <c r="F95" s="17"/>
      <c r="G95" s="17"/>
      <c r="H95" s="17"/>
      <c r="I95" s="17"/>
      <c r="J95" s="17"/>
      <c r="K95" s="17"/>
      <c r="L95" s="17"/>
      <c r="M95" s="17"/>
      <c r="N95" s="17"/>
      <c r="O95" s="17"/>
      <c r="P95" s="17"/>
      <c r="Q95" s="17"/>
      <c r="R95" s="17"/>
      <c r="S95" s="17"/>
      <c r="T95" s="17"/>
      <c r="U95" s="17"/>
      <c r="V95" s="12"/>
      <c r="W95" s="12"/>
      <c r="X95" s="12"/>
      <c r="Y95" s="12"/>
      <c r="Z95" s="12"/>
    </row>
    <row r="96" spans="1:26" ht="15" customHeight="1" x14ac:dyDescent="0.3">
      <c r="A96" s="26"/>
      <c r="B96" s="17"/>
      <c r="C96" s="17"/>
      <c r="D96" s="17"/>
      <c r="E96" s="17"/>
      <c r="F96" s="17"/>
      <c r="G96" s="17"/>
      <c r="H96" s="17"/>
      <c r="I96" s="17"/>
      <c r="J96" s="17"/>
      <c r="K96" s="17"/>
      <c r="L96" s="17"/>
      <c r="M96" s="17"/>
      <c r="N96" s="17"/>
      <c r="O96" s="17"/>
      <c r="P96" s="17"/>
      <c r="Q96" s="17"/>
      <c r="R96" s="17"/>
      <c r="S96" s="17"/>
      <c r="T96" s="17"/>
      <c r="U96" s="17"/>
      <c r="V96" s="12"/>
      <c r="W96" s="12"/>
      <c r="X96" s="12"/>
      <c r="Y96" s="12"/>
      <c r="Z96" s="12"/>
    </row>
    <row r="97" spans="1:26" ht="15" customHeight="1" x14ac:dyDescent="0.3">
      <c r="A97" s="26"/>
      <c r="B97" s="17"/>
      <c r="C97" s="17"/>
      <c r="D97" s="17"/>
      <c r="E97" s="17"/>
      <c r="F97" s="17"/>
      <c r="G97" s="17"/>
      <c r="H97" s="17"/>
      <c r="I97" s="17"/>
      <c r="J97" s="17"/>
      <c r="K97" s="17"/>
      <c r="L97" s="17"/>
      <c r="M97" s="17"/>
      <c r="N97" s="17"/>
      <c r="O97" s="17"/>
      <c r="P97" s="17"/>
      <c r="Q97" s="17"/>
      <c r="R97" s="17"/>
      <c r="S97" s="17"/>
      <c r="T97" s="17"/>
      <c r="U97" s="17"/>
      <c r="V97" s="12"/>
      <c r="W97" s="12"/>
      <c r="X97" s="12"/>
      <c r="Y97" s="12"/>
      <c r="Z97" s="12"/>
    </row>
    <row r="98" spans="1:26" ht="15" customHeight="1" x14ac:dyDescent="0.3">
      <c r="A98" s="26"/>
      <c r="B98" s="17"/>
      <c r="C98" s="17"/>
      <c r="D98" s="17"/>
      <c r="E98" s="17"/>
      <c r="F98" s="17"/>
      <c r="G98" s="17"/>
      <c r="H98" s="17"/>
      <c r="I98" s="17"/>
      <c r="J98" s="17"/>
      <c r="K98" s="17"/>
      <c r="L98" s="17"/>
      <c r="M98" s="17"/>
      <c r="N98" s="17"/>
      <c r="O98" s="17"/>
      <c r="P98" s="17"/>
      <c r="Q98" s="17"/>
      <c r="R98" s="17"/>
      <c r="S98" s="17"/>
      <c r="T98" s="17"/>
      <c r="U98" s="17"/>
      <c r="V98" s="12"/>
      <c r="W98" s="12"/>
      <c r="X98" s="12"/>
      <c r="Y98" s="12"/>
      <c r="Z98" s="12"/>
    </row>
    <row r="99" spans="1:26" ht="15" customHeight="1" x14ac:dyDescent="0.3">
      <c r="A99" s="26"/>
      <c r="B99" s="17"/>
      <c r="C99" s="17"/>
      <c r="D99" s="17"/>
      <c r="E99" s="17"/>
      <c r="F99" s="17"/>
      <c r="G99" s="17"/>
      <c r="H99" s="17"/>
      <c r="I99" s="17"/>
      <c r="J99" s="17"/>
      <c r="K99" s="17"/>
      <c r="L99" s="17"/>
      <c r="M99" s="17"/>
      <c r="N99" s="17"/>
      <c r="O99" s="17"/>
      <c r="P99" s="17"/>
      <c r="Q99" s="17"/>
      <c r="R99" s="17"/>
      <c r="S99" s="17"/>
      <c r="T99" s="17"/>
      <c r="U99" s="17"/>
      <c r="V99" s="12"/>
      <c r="W99" s="12"/>
      <c r="X99" s="12"/>
      <c r="Y99" s="12"/>
      <c r="Z99" s="12"/>
    </row>
    <row r="100" spans="1:26" ht="15" customHeight="1" x14ac:dyDescent="0.3">
      <c r="A100" s="26"/>
      <c r="B100" s="17"/>
      <c r="C100" s="17"/>
      <c r="D100" s="17"/>
      <c r="E100" s="17"/>
      <c r="F100" s="17"/>
      <c r="G100" s="17"/>
      <c r="H100" s="17"/>
      <c r="I100" s="17"/>
      <c r="J100" s="17"/>
      <c r="K100" s="17"/>
      <c r="L100" s="17"/>
      <c r="M100" s="17"/>
      <c r="N100" s="17"/>
      <c r="O100" s="17"/>
      <c r="P100" s="17"/>
      <c r="Q100" s="17"/>
      <c r="R100" s="17"/>
      <c r="S100" s="17"/>
      <c r="T100" s="17"/>
      <c r="U100" s="17"/>
      <c r="V100" s="12"/>
      <c r="W100" s="12"/>
      <c r="X100" s="12"/>
      <c r="Y100" s="12"/>
      <c r="Z100" s="12"/>
    </row>
    <row r="101" spans="1:26" ht="15" customHeight="1" x14ac:dyDescent="0.3">
      <c r="A101" s="26"/>
      <c r="B101" s="17"/>
      <c r="C101" s="17"/>
      <c r="D101" s="17"/>
      <c r="E101" s="17"/>
      <c r="F101" s="17"/>
      <c r="G101" s="17"/>
      <c r="H101" s="17"/>
      <c r="I101" s="17"/>
      <c r="J101" s="17"/>
      <c r="K101" s="17"/>
      <c r="L101" s="17"/>
      <c r="M101" s="17"/>
      <c r="N101" s="17"/>
      <c r="O101" s="17"/>
      <c r="P101" s="17"/>
      <c r="Q101" s="17"/>
      <c r="R101" s="17"/>
      <c r="S101" s="17"/>
      <c r="T101" s="17"/>
      <c r="U101" s="17"/>
      <c r="V101" s="12"/>
      <c r="W101" s="12"/>
      <c r="X101" s="12"/>
      <c r="Y101" s="12"/>
      <c r="Z101" s="12"/>
    </row>
    <row r="102" spans="1:26" ht="15" customHeight="1" x14ac:dyDescent="0.3">
      <c r="A102" s="26"/>
      <c r="B102" s="17"/>
      <c r="C102" s="17"/>
      <c r="D102" s="17"/>
      <c r="E102" s="17"/>
      <c r="F102" s="17"/>
      <c r="G102" s="17"/>
      <c r="H102" s="17"/>
      <c r="I102" s="17"/>
      <c r="J102" s="17"/>
      <c r="K102" s="17"/>
      <c r="L102" s="17"/>
      <c r="M102" s="17"/>
      <c r="N102" s="17"/>
      <c r="O102" s="17"/>
      <c r="P102" s="17"/>
      <c r="Q102" s="17"/>
      <c r="R102" s="17"/>
      <c r="S102" s="17"/>
      <c r="T102" s="17"/>
      <c r="U102" s="17"/>
      <c r="V102" s="12"/>
      <c r="W102" s="12"/>
      <c r="X102" s="12"/>
      <c r="Y102" s="12"/>
      <c r="Z102" s="12"/>
    </row>
    <row r="103" spans="1:26" ht="15" customHeight="1" x14ac:dyDescent="0.3">
      <c r="A103" s="26"/>
      <c r="B103" s="17"/>
      <c r="C103" s="17"/>
      <c r="D103" s="17"/>
      <c r="E103" s="17"/>
      <c r="F103" s="17"/>
      <c r="G103" s="17"/>
      <c r="H103" s="17"/>
      <c r="I103" s="17"/>
      <c r="J103" s="17"/>
      <c r="K103" s="17"/>
      <c r="L103" s="17"/>
      <c r="M103" s="17"/>
      <c r="N103" s="17"/>
      <c r="O103" s="17"/>
      <c r="P103" s="17"/>
      <c r="Q103" s="17"/>
      <c r="R103" s="17"/>
      <c r="S103" s="17"/>
      <c r="T103" s="17"/>
      <c r="U103" s="17"/>
      <c r="V103" s="12"/>
      <c r="W103" s="12"/>
      <c r="X103" s="12"/>
      <c r="Y103" s="12"/>
      <c r="Z103" s="12"/>
    </row>
    <row r="104" spans="1:26" ht="15" customHeight="1" x14ac:dyDescent="0.3">
      <c r="A104" s="26"/>
      <c r="B104" s="17"/>
      <c r="C104" s="17"/>
      <c r="D104" s="17"/>
      <c r="E104" s="17"/>
      <c r="F104" s="17"/>
      <c r="G104" s="17"/>
      <c r="H104" s="17"/>
      <c r="I104" s="17"/>
      <c r="J104" s="17"/>
      <c r="K104" s="17"/>
      <c r="L104" s="17"/>
      <c r="M104" s="17"/>
      <c r="N104" s="17"/>
      <c r="O104" s="17"/>
      <c r="P104" s="17"/>
      <c r="Q104" s="17"/>
      <c r="R104" s="17"/>
      <c r="S104" s="17"/>
      <c r="T104" s="17"/>
      <c r="U104" s="17"/>
      <c r="V104" s="12"/>
      <c r="W104" s="12"/>
      <c r="X104" s="12"/>
      <c r="Y104" s="12"/>
      <c r="Z104" s="12"/>
    </row>
    <row r="105" spans="1:26" ht="15" customHeight="1" x14ac:dyDescent="0.3">
      <c r="A105" s="26"/>
      <c r="B105" s="17"/>
      <c r="C105" s="17"/>
      <c r="D105" s="17"/>
      <c r="E105" s="17"/>
      <c r="F105" s="17"/>
      <c r="G105" s="17"/>
      <c r="H105" s="17"/>
      <c r="I105" s="17"/>
      <c r="J105" s="17"/>
      <c r="K105" s="17"/>
      <c r="L105" s="17"/>
      <c r="M105" s="17"/>
      <c r="N105" s="17"/>
      <c r="O105" s="17"/>
      <c r="P105" s="17"/>
      <c r="Q105" s="17"/>
      <c r="R105" s="17"/>
      <c r="S105" s="17"/>
      <c r="T105" s="17"/>
      <c r="U105" s="17"/>
      <c r="V105" s="12"/>
      <c r="W105" s="12"/>
      <c r="X105" s="12"/>
      <c r="Y105" s="12"/>
      <c r="Z105" s="12"/>
    </row>
    <row r="106" spans="1:26" ht="15" customHeight="1" x14ac:dyDescent="0.3">
      <c r="A106" s="26"/>
      <c r="B106" s="17"/>
      <c r="C106" s="17"/>
      <c r="D106" s="17"/>
      <c r="E106" s="17"/>
      <c r="F106" s="17"/>
      <c r="G106" s="17"/>
      <c r="H106" s="17"/>
      <c r="I106" s="17"/>
      <c r="J106" s="17"/>
      <c r="K106" s="17"/>
      <c r="L106" s="17"/>
      <c r="M106" s="17"/>
      <c r="N106" s="17"/>
      <c r="O106" s="17"/>
      <c r="P106" s="17"/>
      <c r="Q106" s="17"/>
      <c r="R106" s="17"/>
      <c r="S106" s="17"/>
      <c r="T106" s="17"/>
      <c r="U106" s="17"/>
      <c r="V106" s="12"/>
      <c r="W106" s="12"/>
      <c r="X106" s="12"/>
      <c r="Y106" s="12"/>
      <c r="Z106" s="12"/>
    </row>
    <row r="107" spans="1:26" ht="15" customHeight="1" x14ac:dyDescent="0.3">
      <c r="A107" s="26"/>
      <c r="B107" s="17"/>
      <c r="C107" s="17"/>
      <c r="D107" s="17"/>
      <c r="E107" s="17"/>
      <c r="F107" s="17"/>
      <c r="G107" s="17"/>
      <c r="H107" s="17"/>
      <c r="I107" s="17"/>
      <c r="J107" s="17"/>
      <c r="K107" s="17"/>
      <c r="L107" s="17"/>
      <c r="M107" s="17"/>
      <c r="N107" s="17"/>
      <c r="O107" s="17"/>
      <c r="P107" s="17"/>
      <c r="Q107" s="17"/>
      <c r="R107" s="17"/>
      <c r="S107" s="17"/>
      <c r="T107" s="17"/>
      <c r="U107" s="17"/>
      <c r="V107" s="12"/>
      <c r="W107" s="12"/>
      <c r="X107" s="12"/>
      <c r="Y107" s="12"/>
      <c r="Z107" s="12"/>
    </row>
    <row r="108" spans="1:26" ht="15" customHeight="1" x14ac:dyDescent="0.3">
      <c r="A108" s="26"/>
      <c r="B108" s="17"/>
      <c r="C108" s="17"/>
      <c r="D108" s="17"/>
      <c r="E108" s="17"/>
      <c r="F108" s="17"/>
      <c r="G108" s="17"/>
      <c r="H108" s="17"/>
      <c r="I108" s="17"/>
      <c r="J108" s="17"/>
      <c r="K108" s="17"/>
      <c r="L108" s="17"/>
      <c r="M108" s="17"/>
      <c r="N108" s="17"/>
      <c r="O108" s="17"/>
      <c r="P108" s="17"/>
      <c r="Q108" s="17"/>
      <c r="R108" s="17"/>
      <c r="S108" s="17"/>
      <c r="T108" s="17"/>
      <c r="U108" s="17"/>
      <c r="V108" s="12"/>
      <c r="W108" s="12"/>
      <c r="X108" s="12"/>
      <c r="Y108" s="12"/>
      <c r="Z108" s="12"/>
    </row>
    <row r="109" spans="1:26" ht="15" customHeight="1" x14ac:dyDescent="0.3">
      <c r="A109" s="26"/>
      <c r="B109" s="17"/>
      <c r="C109" s="17"/>
      <c r="D109" s="17"/>
      <c r="E109" s="17"/>
      <c r="F109" s="17"/>
      <c r="G109" s="17"/>
      <c r="H109" s="17"/>
      <c r="I109" s="17"/>
      <c r="J109" s="17"/>
      <c r="K109" s="17"/>
      <c r="L109" s="17"/>
      <c r="M109" s="17"/>
      <c r="N109" s="17"/>
      <c r="O109" s="17"/>
      <c r="P109" s="17"/>
      <c r="Q109" s="17"/>
      <c r="R109" s="17"/>
      <c r="S109" s="17"/>
      <c r="T109" s="17"/>
      <c r="U109" s="17"/>
      <c r="V109" s="12"/>
      <c r="W109" s="12"/>
      <c r="X109" s="12"/>
      <c r="Y109" s="12"/>
      <c r="Z109" s="12"/>
    </row>
    <row r="110" spans="1:26" ht="15" customHeight="1" x14ac:dyDescent="0.3">
      <c r="A110" s="26"/>
      <c r="B110" s="17"/>
      <c r="C110" s="17"/>
      <c r="D110" s="17"/>
      <c r="E110" s="17"/>
      <c r="F110" s="17"/>
      <c r="G110" s="17"/>
      <c r="H110" s="17"/>
      <c r="I110" s="17"/>
      <c r="J110" s="17"/>
      <c r="K110" s="17"/>
      <c r="L110" s="17"/>
      <c r="M110" s="17"/>
      <c r="N110" s="17"/>
      <c r="O110" s="17"/>
      <c r="P110" s="17"/>
      <c r="Q110" s="17"/>
      <c r="R110" s="17"/>
      <c r="S110" s="17"/>
      <c r="T110" s="17"/>
      <c r="U110" s="17"/>
      <c r="V110" s="12"/>
      <c r="W110" s="12"/>
      <c r="X110" s="12"/>
      <c r="Y110" s="12"/>
      <c r="Z110" s="12"/>
    </row>
    <row r="111" spans="1:26" ht="15" customHeight="1" x14ac:dyDescent="0.3">
      <c r="A111" s="26"/>
      <c r="B111" s="17"/>
      <c r="C111" s="17"/>
      <c r="D111" s="17"/>
      <c r="E111" s="17"/>
      <c r="F111" s="17"/>
      <c r="G111" s="17"/>
      <c r="H111" s="17"/>
      <c r="I111" s="17"/>
      <c r="J111" s="17"/>
      <c r="K111" s="17"/>
      <c r="L111" s="17"/>
      <c r="M111" s="17"/>
      <c r="N111" s="17"/>
      <c r="O111" s="17"/>
      <c r="P111" s="17"/>
      <c r="Q111" s="17"/>
      <c r="R111" s="17"/>
      <c r="S111" s="17"/>
      <c r="T111" s="17"/>
      <c r="U111" s="17"/>
      <c r="V111" s="12"/>
      <c r="W111" s="12"/>
      <c r="X111" s="12"/>
      <c r="Y111" s="12"/>
      <c r="Z111" s="12"/>
    </row>
    <row r="112" spans="1:26" ht="15" customHeight="1" x14ac:dyDescent="0.3">
      <c r="A112" s="26"/>
      <c r="B112" s="17"/>
      <c r="C112" s="17"/>
      <c r="D112" s="17"/>
      <c r="E112" s="17"/>
      <c r="F112" s="17"/>
      <c r="G112" s="17"/>
      <c r="H112" s="17"/>
      <c r="I112" s="17"/>
      <c r="J112" s="17"/>
      <c r="K112" s="17"/>
      <c r="L112" s="17"/>
      <c r="M112" s="17"/>
      <c r="N112" s="17"/>
      <c r="O112" s="17"/>
      <c r="P112" s="17"/>
      <c r="Q112" s="17"/>
      <c r="R112" s="17"/>
      <c r="S112" s="17"/>
      <c r="T112" s="17"/>
      <c r="U112" s="17"/>
      <c r="V112" s="12"/>
      <c r="W112" s="12"/>
      <c r="X112" s="12"/>
      <c r="Y112" s="12"/>
      <c r="Z112" s="12"/>
    </row>
    <row r="113" spans="1:26" ht="15" customHeight="1" x14ac:dyDescent="0.3">
      <c r="A113" s="26"/>
      <c r="B113" s="17"/>
      <c r="C113" s="17"/>
      <c r="D113" s="17"/>
      <c r="E113" s="17"/>
      <c r="F113" s="17"/>
      <c r="G113" s="17"/>
      <c r="H113" s="17"/>
      <c r="I113" s="17"/>
      <c r="J113" s="17"/>
      <c r="K113" s="17"/>
      <c r="L113" s="17"/>
      <c r="M113" s="17"/>
      <c r="N113" s="17"/>
      <c r="O113" s="17"/>
      <c r="P113" s="17"/>
      <c r="Q113" s="17"/>
      <c r="R113" s="17"/>
      <c r="S113" s="17"/>
      <c r="T113" s="17"/>
      <c r="U113" s="17"/>
      <c r="V113" s="12"/>
      <c r="W113" s="12"/>
      <c r="X113" s="12"/>
      <c r="Y113" s="12"/>
      <c r="Z113" s="12"/>
    </row>
    <row r="114" spans="1:26" ht="15" customHeight="1" x14ac:dyDescent="0.3">
      <c r="A114" s="26"/>
      <c r="B114" s="17"/>
      <c r="C114" s="17"/>
      <c r="D114" s="17"/>
      <c r="E114" s="17"/>
      <c r="F114" s="17"/>
      <c r="G114" s="17"/>
      <c r="H114" s="17"/>
      <c r="I114" s="17"/>
      <c r="J114" s="17"/>
      <c r="K114" s="17"/>
      <c r="L114" s="17"/>
      <c r="M114" s="17"/>
      <c r="N114" s="17"/>
      <c r="O114" s="17"/>
      <c r="P114" s="17"/>
      <c r="Q114" s="17"/>
      <c r="R114" s="17"/>
      <c r="S114" s="17"/>
      <c r="T114" s="17"/>
      <c r="U114" s="17"/>
      <c r="V114" s="12"/>
      <c r="W114" s="12"/>
      <c r="X114" s="12"/>
      <c r="Y114" s="12"/>
      <c r="Z114" s="12"/>
    </row>
    <row r="115" spans="1:26" ht="15" customHeight="1" x14ac:dyDescent="0.3">
      <c r="A115" s="26"/>
      <c r="B115" s="17"/>
      <c r="C115" s="17"/>
      <c r="D115" s="17"/>
      <c r="E115" s="17"/>
      <c r="F115" s="17"/>
      <c r="G115" s="17"/>
      <c r="H115" s="17"/>
      <c r="I115" s="17"/>
      <c r="J115" s="17"/>
      <c r="K115" s="17"/>
      <c r="L115" s="17"/>
      <c r="M115" s="17"/>
      <c r="N115" s="17"/>
      <c r="O115" s="17"/>
      <c r="P115" s="17"/>
      <c r="Q115" s="17"/>
      <c r="R115" s="17"/>
      <c r="S115" s="17"/>
      <c r="T115" s="17"/>
      <c r="U115" s="17"/>
      <c r="V115" s="12"/>
      <c r="W115" s="12"/>
      <c r="X115" s="12"/>
      <c r="Y115" s="12"/>
      <c r="Z115" s="12"/>
    </row>
    <row r="116" spans="1:26" ht="15" customHeight="1" x14ac:dyDescent="0.3">
      <c r="A116" s="26"/>
      <c r="B116" s="17"/>
      <c r="C116" s="17"/>
      <c r="D116" s="17"/>
      <c r="E116" s="17"/>
      <c r="F116" s="17"/>
      <c r="G116" s="17"/>
      <c r="H116" s="17"/>
      <c r="I116" s="17"/>
      <c r="J116" s="17"/>
      <c r="K116" s="17"/>
      <c r="L116" s="17"/>
      <c r="M116" s="17"/>
      <c r="N116" s="17"/>
      <c r="O116" s="17"/>
      <c r="P116" s="17"/>
      <c r="Q116" s="17"/>
      <c r="R116" s="17"/>
      <c r="S116" s="17"/>
      <c r="T116" s="17"/>
      <c r="U116" s="17"/>
      <c r="V116" s="12"/>
      <c r="W116" s="12"/>
      <c r="X116" s="12"/>
      <c r="Y116" s="12"/>
      <c r="Z116" s="12"/>
    </row>
    <row r="117" spans="1:26" ht="15" customHeight="1" x14ac:dyDescent="0.3">
      <c r="A117" s="26"/>
      <c r="B117" s="17"/>
      <c r="C117" s="17"/>
      <c r="D117" s="17"/>
      <c r="E117" s="17"/>
      <c r="F117" s="17"/>
      <c r="G117" s="17"/>
      <c r="H117" s="17"/>
      <c r="I117" s="17"/>
      <c r="J117" s="17"/>
      <c r="K117" s="17"/>
      <c r="L117" s="17"/>
      <c r="M117" s="17"/>
      <c r="N117" s="17"/>
      <c r="O117" s="17"/>
      <c r="P117" s="17"/>
      <c r="Q117" s="17"/>
      <c r="R117" s="17"/>
      <c r="S117" s="17"/>
      <c r="T117" s="17"/>
      <c r="U117" s="17"/>
      <c r="V117" s="12"/>
      <c r="W117" s="12"/>
      <c r="X117" s="12"/>
      <c r="Y117" s="12"/>
      <c r="Z117" s="12"/>
    </row>
    <row r="118" spans="1:26" ht="15" customHeight="1" x14ac:dyDescent="0.3">
      <c r="A118" s="26"/>
      <c r="B118" s="17"/>
      <c r="C118" s="17"/>
      <c r="D118" s="17"/>
      <c r="E118" s="17"/>
      <c r="F118" s="17"/>
      <c r="G118" s="17"/>
      <c r="H118" s="17"/>
      <c r="I118" s="17"/>
      <c r="J118" s="17"/>
      <c r="K118" s="17"/>
      <c r="L118" s="17"/>
      <c r="M118" s="17"/>
      <c r="N118" s="17"/>
      <c r="O118" s="17"/>
      <c r="P118" s="17"/>
      <c r="Q118" s="17"/>
      <c r="R118" s="17"/>
      <c r="S118" s="17"/>
      <c r="T118" s="17"/>
      <c r="U118" s="17"/>
      <c r="V118" s="12"/>
      <c r="W118" s="12"/>
      <c r="X118" s="12"/>
      <c r="Y118" s="12"/>
      <c r="Z118" s="12"/>
    </row>
    <row r="119" spans="1:26" ht="15" customHeight="1" x14ac:dyDescent="0.3">
      <c r="A119" s="26"/>
      <c r="B119" s="17"/>
      <c r="C119" s="17"/>
      <c r="D119" s="17"/>
      <c r="E119" s="17"/>
      <c r="F119" s="17"/>
      <c r="G119" s="17"/>
      <c r="H119" s="17"/>
      <c r="I119" s="17"/>
      <c r="J119" s="17"/>
      <c r="K119" s="17"/>
      <c r="L119" s="17"/>
      <c r="M119" s="17"/>
      <c r="N119" s="17"/>
      <c r="O119" s="17"/>
      <c r="P119" s="17"/>
      <c r="Q119" s="17"/>
      <c r="R119" s="17"/>
      <c r="S119" s="17"/>
      <c r="T119" s="17"/>
      <c r="U119" s="17"/>
      <c r="V119" s="12"/>
      <c r="W119" s="12"/>
      <c r="X119" s="12"/>
      <c r="Y119" s="12"/>
      <c r="Z119" s="12"/>
    </row>
    <row r="120" spans="1:26" ht="15" customHeight="1" x14ac:dyDescent="0.3">
      <c r="A120" s="26"/>
      <c r="B120" s="17"/>
      <c r="C120" s="17"/>
      <c r="D120" s="17"/>
      <c r="E120" s="17"/>
      <c r="F120" s="17"/>
      <c r="G120" s="17"/>
      <c r="H120" s="17"/>
      <c r="I120" s="17"/>
      <c r="J120" s="17"/>
      <c r="K120" s="17"/>
      <c r="L120" s="17"/>
      <c r="M120" s="17"/>
      <c r="N120" s="17"/>
      <c r="O120" s="17"/>
      <c r="P120" s="17"/>
      <c r="Q120" s="17"/>
      <c r="R120" s="17"/>
      <c r="S120" s="17"/>
      <c r="T120" s="17"/>
      <c r="U120" s="17"/>
      <c r="V120" s="12"/>
      <c r="W120" s="12"/>
      <c r="X120" s="12"/>
      <c r="Y120" s="12"/>
      <c r="Z120" s="12"/>
    </row>
    <row r="121" spans="1:26" ht="15" customHeight="1" x14ac:dyDescent="0.3">
      <c r="A121" s="26"/>
      <c r="B121" s="17"/>
      <c r="C121" s="17"/>
      <c r="D121" s="17"/>
      <c r="E121" s="17"/>
      <c r="F121" s="17"/>
      <c r="G121" s="17"/>
      <c r="H121" s="17"/>
      <c r="I121" s="17"/>
      <c r="J121" s="17"/>
      <c r="K121" s="17"/>
      <c r="L121" s="17"/>
      <c r="M121" s="17"/>
      <c r="N121" s="17"/>
      <c r="O121" s="17"/>
      <c r="P121" s="17"/>
      <c r="Q121" s="17"/>
      <c r="R121" s="17"/>
      <c r="S121" s="17"/>
      <c r="T121" s="17"/>
      <c r="U121" s="17"/>
      <c r="V121" s="12"/>
      <c r="W121" s="12"/>
      <c r="X121" s="12"/>
      <c r="Y121" s="12"/>
      <c r="Z121" s="12"/>
    </row>
    <row r="122" spans="1:26" ht="15" customHeight="1" x14ac:dyDescent="0.3">
      <c r="A122" s="26"/>
      <c r="B122" s="17"/>
      <c r="C122" s="17"/>
      <c r="D122" s="17"/>
      <c r="E122" s="17"/>
      <c r="F122" s="17"/>
      <c r="G122" s="17"/>
      <c r="H122" s="17"/>
      <c r="I122" s="17"/>
      <c r="J122" s="17"/>
      <c r="K122" s="17"/>
      <c r="L122" s="17"/>
      <c r="M122" s="17"/>
      <c r="N122" s="17"/>
      <c r="O122" s="17"/>
      <c r="P122" s="17"/>
      <c r="Q122" s="17"/>
      <c r="R122" s="17"/>
      <c r="S122" s="17"/>
      <c r="T122" s="17"/>
      <c r="U122" s="17"/>
      <c r="V122" s="12"/>
      <c r="W122" s="12"/>
      <c r="X122" s="12"/>
      <c r="Y122" s="12"/>
      <c r="Z122" s="12"/>
    </row>
    <row r="123" spans="1:26" ht="15" customHeight="1" x14ac:dyDescent="0.3">
      <c r="A123" s="26"/>
      <c r="B123" s="17"/>
      <c r="C123" s="17"/>
      <c r="D123" s="17"/>
      <c r="E123" s="17"/>
      <c r="F123" s="17"/>
      <c r="G123" s="17"/>
      <c r="H123" s="17"/>
      <c r="I123" s="17"/>
      <c r="J123" s="17"/>
      <c r="K123" s="17"/>
      <c r="L123" s="17"/>
      <c r="M123" s="17"/>
      <c r="N123" s="17"/>
      <c r="O123" s="17"/>
      <c r="P123" s="17"/>
      <c r="Q123" s="17"/>
      <c r="R123" s="17"/>
      <c r="S123" s="17"/>
      <c r="T123" s="17"/>
      <c r="U123" s="17"/>
      <c r="V123" s="12"/>
      <c r="W123" s="12"/>
      <c r="X123" s="12"/>
      <c r="Y123" s="12"/>
      <c r="Z123" s="12"/>
    </row>
    <row r="124" spans="1:26" ht="15" customHeight="1" x14ac:dyDescent="0.3">
      <c r="A124" s="26"/>
      <c r="B124" s="17"/>
      <c r="C124" s="17"/>
      <c r="D124" s="17"/>
      <c r="E124" s="17"/>
      <c r="F124" s="17"/>
      <c r="G124" s="17"/>
      <c r="H124" s="17"/>
      <c r="I124" s="17"/>
      <c r="J124" s="17"/>
      <c r="K124" s="17"/>
      <c r="L124" s="17"/>
      <c r="M124" s="17"/>
      <c r="N124" s="17"/>
      <c r="O124" s="17"/>
      <c r="P124" s="17"/>
      <c r="Q124" s="17"/>
      <c r="R124" s="17"/>
      <c r="S124" s="17"/>
      <c r="T124" s="17"/>
      <c r="U124" s="17"/>
      <c r="V124" s="12"/>
      <c r="W124" s="12"/>
      <c r="X124" s="12"/>
      <c r="Y124" s="12"/>
      <c r="Z124" s="12"/>
    </row>
    <row r="125" spans="1:26" ht="15" customHeight="1" x14ac:dyDescent="0.3">
      <c r="A125" s="26"/>
      <c r="B125" s="17"/>
      <c r="C125" s="17"/>
      <c r="D125" s="17"/>
      <c r="E125" s="17"/>
      <c r="F125" s="17"/>
      <c r="G125" s="17"/>
      <c r="H125" s="17"/>
      <c r="I125" s="17"/>
      <c r="J125" s="17"/>
      <c r="K125" s="17"/>
      <c r="L125" s="17"/>
      <c r="M125" s="17"/>
      <c r="N125" s="17"/>
      <c r="O125" s="17"/>
      <c r="P125" s="17"/>
      <c r="Q125" s="17"/>
      <c r="R125" s="17"/>
      <c r="S125" s="17"/>
      <c r="T125" s="17"/>
      <c r="U125" s="17"/>
      <c r="V125" s="12"/>
      <c r="W125" s="12"/>
      <c r="X125" s="12"/>
      <c r="Y125" s="12"/>
      <c r="Z125" s="12"/>
    </row>
    <row r="126" spans="1:26" ht="15" customHeight="1" x14ac:dyDescent="0.3">
      <c r="A126" s="26"/>
      <c r="B126" s="17"/>
      <c r="C126" s="17"/>
      <c r="D126" s="17"/>
      <c r="E126" s="17"/>
      <c r="F126" s="17"/>
      <c r="G126" s="17"/>
      <c r="H126" s="17"/>
      <c r="I126" s="17"/>
      <c r="J126" s="17"/>
      <c r="K126" s="17"/>
      <c r="L126" s="17"/>
      <c r="M126" s="17"/>
      <c r="N126" s="17"/>
      <c r="O126" s="17"/>
      <c r="P126" s="17"/>
      <c r="Q126" s="17"/>
      <c r="R126" s="17"/>
      <c r="S126" s="17"/>
      <c r="T126" s="17"/>
      <c r="U126" s="17"/>
      <c r="V126" s="12"/>
      <c r="W126" s="12"/>
      <c r="X126" s="12"/>
      <c r="Y126" s="12"/>
      <c r="Z126" s="12"/>
    </row>
    <row r="127" spans="1:26" ht="15" customHeight="1" x14ac:dyDescent="0.3">
      <c r="A127" s="26"/>
      <c r="B127" s="17"/>
      <c r="C127" s="17"/>
      <c r="D127" s="17"/>
      <c r="E127" s="17"/>
      <c r="F127" s="17"/>
      <c r="G127" s="17"/>
      <c r="H127" s="17"/>
      <c r="I127" s="17"/>
      <c r="J127" s="17"/>
      <c r="K127" s="17"/>
      <c r="L127" s="17"/>
      <c r="M127" s="17"/>
      <c r="N127" s="17"/>
      <c r="O127" s="17"/>
      <c r="P127" s="17"/>
      <c r="Q127" s="17"/>
      <c r="R127" s="17"/>
      <c r="S127" s="17"/>
      <c r="T127" s="17"/>
      <c r="U127" s="17"/>
      <c r="V127" s="12"/>
      <c r="W127" s="12"/>
      <c r="X127" s="12"/>
      <c r="Y127" s="12"/>
      <c r="Z127" s="12"/>
    </row>
    <row r="128" spans="1:26" ht="15" customHeight="1" x14ac:dyDescent="0.3">
      <c r="A128" s="26"/>
      <c r="B128" s="17"/>
      <c r="C128" s="17"/>
      <c r="D128" s="17"/>
      <c r="E128" s="17"/>
      <c r="F128" s="17"/>
      <c r="G128" s="17"/>
      <c r="H128" s="17"/>
      <c r="I128" s="17"/>
      <c r="J128" s="17"/>
      <c r="K128" s="17"/>
      <c r="L128" s="17"/>
      <c r="M128" s="17"/>
      <c r="N128" s="17"/>
      <c r="O128" s="17"/>
      <c r="P128" s="17"/>
      <c r="Q128" s="17"/>
      <c r="R128" s="17"/>
      <c r="S128" s="17"/>
      <c r="T128" s="17"/>
      <c r="U128" s="17"/>
      <c r="V128" s="12"/>
      <c r="W128" s="12"/>
      <c r="X128" s="12"/>
      <c r="Y128" s="12"/>
      <c r="Z128" s="12"/>
    </row>
    <row r="129" spans="1:26" ht="15" customHeight="1" x14ac:dyDescent="0.3">
      <c r="A129" s="26"/>
      <c r="B129" s="17"/>
      <c r="C129" s="17"/>
      <c r="D129" s="17"/>
      <c r="E129" s="17"/>
      <c r="F129" s="17"/>
      <c r="G129" s="17"/>
      <c r="H129" s="17"/>
      <c r="I129" s="17"/>
      <c r="J129" s="17"/>
      <c r="K129" s="17"/>
      <c r="L129" s="17"/>
      <c r="M129" s="17"/>
      <c r="N129" s="17"/>
      <c r="O129" s="17"/>
      <c r="P129" s="17"/>
      <c r="Q129" s="17"/>
      <c r="R129" s="17"/>
      <c r="S129" s="17"/>
      <c r="T129" s="17"/>
      <c r="U129" s="17"/>
      <c r="V129" s="12"/>
      <c r="W129" s="12"/>
      <c r="X129" s="12"/>
      <c r="Y129" s="12"/>
      <c r="Z129" s="12"/>
    </row>
    <row r="130" spans="1:26" ht="15" customHeight="1" x14ac:dyDescent="0.3">
      <c r="A130" s="26"/>
      <c r="B130" s="17"/>
      <c r="C130" s="17"/>
      <c r="D130" s="17"/>
      <c r="E130" s="17"/>
      <c r="F130" s="17"/>
      <c r="G130" s="17"/>
      <c r="H130" s="17"/>
      <c r="I130" s="17"/>
      <c r="J130" s="17"/>
      <c r="K130" s="17"/>
      <c r="L130" s="17"/>
      <c r="M130" s="17"/>
      <c r="N130" s="17"/>
      <c r="O130" s="17"/>
      <c r="P130" s="17"/>
      <c r="Q130" s="17"/>
      <c r="R130" s="17"/>
      <c r="S130" s="17"/>
      <c r="T130" s="17"/>
      <c r="U130" s="17"/>
      <c r="V130" s="12"/>
      <c r="W130" s="12"/>
      <c r="X130" s="12"/>
      <c r="Y130" s="12"/>
      <c r="Z130" s="12"/>
    </row>
    <row r="131" spans="1:26" ht="15" customHeight="1" x14ac:dyDescent="0.3">
      <c r="A131" s="26"/>
      <c r="B131" s="17"/>
      <c r="C131" s="17"/>
      <c r="D131" s="17"/>
      <c r="E131" s="17"/>
      <c r="F131" s="17"/>
      <c r="G131" s="17"/>
      <c r="H131" s="17"/>
      <c r="I131" s="17"/>
      <c r="J131" s="17"/>
      <c r="K131" s="17"/>
      <c r="L131" s="17"/>
      <c r="M131" s="17"/>
      <c r="N131" s="17"/>
      <c r="O131" s="17"/>
      <c r="P131" s="17"/>
      <c r="Q131" s="17"/>
      <c r="R131" s="17"/>
      <c r="S131" s="17"/>
      <c r="T131" s="17"/>
      <c r="U131" s="17"/>
      <c r="V131" s="12"/>
      <c r="W131" s="12"/>
      <c r="X131" s="12"/>
      <c r="Y131" s="12"/>
      <c r="Z131" s="12"/>
    </row>
    <row r="132" spans="1:26" ht="15" customHeight="1" x14ac:dyDescent="0.3">
      <c r="A132" s="26"/>
      <c r="B132" s="17"/>
      <c r="C132" s="17"/>
      <c r="D132" s="17"/>
      <c r="E132" s="17"/>
      <c r="F132" s="17"/>
      <c r="G132" s="17"/>
      <c r="H132" s="17"/>
      <c r="I132" s="17"/>
      <c r="J132" s="17"/>
      <c r="K132" s="17"/>
      <c r="L132" s="17"/>
      <c r="M132" s="17"/>
      <c r="N132" s="17"/>
      <c r="O132" s="17"/>
      <c r="P132" s="17"/>
      <c r="Q132" s="17"/>
      <c r="R132" s="17"/>
      <c r="S132" s="17"/>
      <c r="T132" s="17"/>
      <c r="U132" s="17"/>
      <c r="V132" s="12"/>
      <c r="W132" s="12"/>
      <c r="X132" s="12"/>
      <c r="Y132" s="12"/>
      <c r="Z132" s="12"/>
    </row>
    <row r="133" spans="1:26" ht="15" customHeight="1" x14ac:dyDescent="0.3">
      <c r="A133" s="26"/>
      <c r="B133" s="17"/>
      <c r="C133" s="17"/>
      <c r="D133" s="17"/>
      <c r="E133" s="17"/>
      <c r="F133" s="17"/>
      <c r="G133" s="17"/>
      <c r="H133" s="17"/>
      <c r="I133" s="17"/>
      <c r="J133" s="17"/>
      <c r="K133" s="17"/>
      <c r="L133" s="17"/>
      <c r="M133" s="17"/>
      <c r="N133" s="17"/>
      <c r="O133" s="17"/>
      <c r="P133" s="17"/>
      <c r="Q133" s="17"/>
      <c r="R133" s="17"/>
      <c r="S133" s="17"/>
      <c r="T133" s="17"/>
      <c r="U133" s="17"/>
      <c r="V133" s="12"/>
      <c r="W133" s="12"/>
      <c r="X133" s="12"/>
      <c r="Y133" s="12"/>
      <c r="Z133" s="12"/>
    </row>
    <row r="134" spans="1:26" ht="15" customHeight="1" x14ac:dyDescent="0.3">
      <c r="A134" s="26"/>
      <c r="B134" s="17"/>
      <c r="C134" s="17"/>
      <c r="D134" s="17"/>
      <c r="E134" s="17"/>
      <c r="F134" s="17"/>
      <c r="G134" s="17"/>
      <c r="H134" s="17"/>
      <c r="I134" s="17"/>
      <c r="J134" s="17"/>
      <c r="K134" s="17"/>
      <c r="L134" s="17"/>
      <c r="M134" s="17"/>
      <c r="N134" s="17"/>
      <c r="O134" s="17"/>
      <c r="P134" s="17"/>
      <c r="Q134" s="17"/>
      <c r="R134" s="17"/>
      <c r="S134" s="17"/>
      <c r="T134" s="17"/>
      <c r="U134" s="17"/>
      <c r="V134" s="12"/>
      <c r="W134" s="12"/>
      <c r="X134" s="12"/>
      <c r="Y134" s="12"/>
      <c r="Z134" s="12"/>
    </row>
    <row r="135" spans="1:26" ht="15" customHeight="1" x14ac:dyDescent="0.3">
      <c r="A135" s="26"/>
      <c r="B135" s="17"/>
      <c r="C135" s="17"/>
      <c r="D135" s="17"/>
      <c r="E135" s="17"/>
      <c r="F135" s="17"/>
      <c r="G135" s="17"/>
      <c r="H135" s="17"/>
      <c r="I135" s="17"/>
      <c r="J135" s="17"/>
      <c r="K135" s="17"/>
      <c r="L135" s="17"/>
      <c r="M135" s="17"/>
      <c r="N135" s="17"/>
      <c r="O135" s="17"/>
      <c r="P135" s="17"/>
      <c r="Q135" s="17"/>
      <c r="R135" s="17"/>
      <c r="S135" s="17"/>
      <c r="T135" s="17"/>
      <c r="U135" s="17"/>
      <c r="V135" s="12"/>
      <c r="W135" s="12"/>
      <c r="X135" s="12"/>
      <c r="Y135" s="12"/>
      <c r="Z135" s="12"/>
    </row>
    <row r="136" spans="1:26" ht="15" customHeight="1" x14ac:dyDescent="0.3">
      <c r="A136" s="26"/>
      <c r="B136" s="17"/>
      <c r="C136" s="17"/>
      <c r="D136" s="17"/>
      <c r="E136" s="17"/>
      <c r="F136" s="17"/>
      <c r="G136" s="17"/>
      <c r="H136" s="17"/>
      <c r="I136" s="17"/>
      <c r="J136" s="17"/>
      <c r="K136" s="17"/>
      <c r="L136" s="17"/>
      <c r="M136" s="17"/>
      <c r="N136" s="17"/>
      <c r="O136" s="17"/>
      <c r="P136" s="17"/>
      <c r="Q136" s="17"/>
      <c r="R136" s="17"/>
      <c r="S136" s="17"/>
      <c r="T136" s="17"/>
      <c r="U136" s="17"/>
      <c r="V136" s="12"/>
      <c r="W136" s="12"/>
      <c r="X136" s="12"/>
      <c r="Y136" s="12"/>
      <c r="Z136" s="12"/>
    </row>
    <row r="137" spans="1:26" ht="15" customHeight="1" x14ac:dyDescent="0.3">
      <c r="A137" s="26"/>
      <c r="B137" s="17"/>
      <c r="C137" s="17"/>
      <c r="D137" s="17"/>
      <c r="E137" s="17"/>
      <c r="F137" s="17"/>
      <c r="G137" s="17"/>
      <c r="H137" s="17"/>
      <c r="I137" s="17"/>
      <c r="J137" s="17"/>
      <c r="K137" s="17"/>
      <c r="L137" s="17"/>
      <c r="M137" s="17"/>
      <c r="N137" s="17"/>
      <c r="O137" s="17"/>
      <c r="P137" s="17"/>
      <c r="Q137" s="17"/>
      <c r="R137" s="17"/>
      <c r="S137" s="17"/>
      <c r="T137" s="17"/>
      <c r="U137" s="17"/>
      <c r="V137" s="12"/>
      <c r="W137" s="12"/>
      <c r="X137" s="12"/>
      <c r="Y137" s="12"/>
      <c r="Z137" s="12"/>
    </row>
    <row r="138" spans="1:26" ht="15" customHeight="1" x14ac:dyDescent="0.3">
      <c r="A138" s="26"/>
      <c r="B138" s="17"/>
      <c r="C138" s="17"/>
      <c r="D138" s="17"/>
      <c r="E138" s="17"/>
      <c r="F138" s="17"/>
      <c r="G138" s="17"/>
      <c r="H138" s="17"/>
      <c r="I138" s="17"/>
      <c r="J138" s="17"/>
      <c r="K138" s="17"/>
      <c r="L138" s="17"/>
      <c r="M138" s="17"/>
      <c r="N138" s="17"/>
      <c r="O138" s="17"/>
      <c r="P138" s="17"/>
      <c r="Q138" s="17"/>
      <c r="R138" s="17"/>
      <c r="S138" s="17"/>
      <c r="T138" s="17"/>
      <c r="U138" s="17"/>
      <c r="V138" s="12"/>
      <c r="W138" s="12"/>
      <c r="X138" s="12"/>
      <c r="Y138" s="12"/>
      <c r="Z138" s="12"/>
    </row>
    <row r="139" spans="1:26" ht="15" customHeight="1" x14ac:dyDescent="0.3">
      <c r="A139" s="26"/>
      <c r="B139" s="17"/>
      <c r="C139" s="17"/>
      <c r="D139" s="17"/>
      <c r="E139" s="17"/>
      <c r="F139" s="17"/>
      <c r="G139" s="17"/>
      <c r="H139" s="17"/>
      <c r="I139" s="17"/>
      <c r="J139" s="17"/>
      <c r="K139" s="17"/>
      <c r="L139" s="17"/>
      <c r="M139" s="17"/>
      <c r="N139" s="17"/>
      <c r="O139" s="17"/>
      <c r="P139" s="17"/>
      <c r="Q139" s="17"/>
      <c r="R139" s="17"/>
      <c r="S139" s="17"/>
      <c r="T139" s="17"/>
      <c r="U139" s="17"/>
      <c r="V139" s="12"/>
      <c r="W139" s="12"/>
      <c r="X139" s="12"/>
      <c r="Y139" s="12"/>
      <c r="Z139" s="12"/>
    </row>
    <row r="140" spans="1:26" ht="15" customHeight="1" x14ac:dyDescent="0.3">
      <c r="A140" s="26"/>
      <c r="B140" s="17"/>
      <c r="C140" s="17"/>
      <c r="D140" s="17"/>
      <c r="E140" s="17"/>
      <c r="F140" s="17"/>
      <c r="G140" s="17"/>
      <c r="H140" s="17"/>
      <c r="I140" s="17"/>
      <c r="J140" s="17"/>
      <c r="K140" s="17"/>
      <c r="L140" s="17"/>
      <c r="M140" s="17"/>
      <c r="N140" s="17"/>
      <c r="O140" s="17"/>
      <c r="P140" s="17"/>
      <c r="Q140" s="17"/>
      <c r="R140" s="17"/>
      <c r="S140" s="17"/>
      <c r="T140" s="17"/>
      <c r="U140" s="17"/>
      <c r="V140" s="12"/>
      <c r="W140" s="12"/>
      <c r="X140" s="12"/>
      <c r="Y140" s="12"/>
      <c r="Z140" s="12"/>
    </row>
    <row r="141" spans="1:26" ht="15" customHeight="1" x14ac:dyDescent="0.3">
      <c r="A141" s="26"/>
      <c r="B141" s="17"/>
      <c r="C141" s="17"/>
      <c r="D141" s="17"/>
      <c r="E141" s="17"/>
      <c r="F141" s="17"/>
      <c r="G141" s="17"/>
      <c r="H141" s="17"/>
      <c r="I141" s="17"/>
      <c r="J141" s="17"/>
      <c r="K141" s="17"/>
      <c r="L141" s="17"/>
      <c r="M141" s="17"/>
      <c r="N141" s="17"/>
      <c r="O141" s="17"/>
      <c r="P141" s="17"/>
      <c r="Q141" s="17"/>
      <c r="R141" s="17"/>
      <c r="S141" s="17"/>
      <c r="T141" s="17"/>
      <c r="U141" s="17"/>
      <c r="V141" s="12"/>
      <c r="W141" s="12"/>
      <c r="X141" s="12"/>
      <c r="Y141" s="12"/>
      <c r="Z141" s="12"/>
    </row>
    <row r="142" spans="1:26" ht="15" customHeight="1" x14ac:dyDescent="0.3">
      <c r="A142" s="26"/>
      <c r="B142" s="17"/>
      <c r="C142" s="17"/>
      <c r="D142" s="17"/>
      <c r="E142" s="17"/>
      <c r="F142" s="17"/>
      <c r="G142" s="17"/>
      <c r="H142" s="17"/>
      <c r="I142" s="17"/>
      <c r="J142" s="17"/>
      <c r="K142" s="17"/>
      <c r="L142" s="17"/>
      <c r="M142" s="17"/>
      <c r="N142" s="17"/>
      <c r="O142" s="17"/>
      <c r="P142" s="17"/>
      <c r="Q142" s="17"/>
      <c r="R142" s="17"/>
      <c r="S142" s="17"/>
      <c r="T142" s="17"/>
      <c r="U142" s="17"/>
      <c r="V142" s="12"/>
      <c r="W142" s="12"/>
      <c r="X142" s="12"/>
      <c r="Y142" s="12"/>
      <c r="Z142" s="12"/>
    </row>
    <row r="143" spans="1:26" ht="15" customHeight="1" x14ac:dyDescent="0.3">
      <c r="A143" s="26"/>
      <c r="B143" s="17"/>
      <c r="C143" s="17"/>
      <c r="D143" s="17"/>
      <c r="E143" s="17"/>
      <c r="F143" s="17"/>
      <c r="G143" s="17"/>
      <c r="H143" s="17"/>
      <c r="I143" s="17"/>
      <c r="J143" s="17"/>
      <c r="K143" s="17"/>
      <c r="L143" s="17"/>
      <c r="M143" s="17"/>
      <c r="N143" s="17"/>
      <c r="O143" s="17"/>
      <c r="P143" s="17"/>
      <c r="Q143" s="17"/>
      <c r="R143" s="17"/>
      <c r="S143" s="17"/>
      <c r="T143" s="17"/>
      <c r="U143" s="17"/>
      <c r="V143" s="12"/>
      <c r="W143" s="12"/>
      <c r="X143" s="12"/>
      <c r="Y143" s="12"/>
      <c r="Z143" s="12"/>
    </row>
    <row r="144" spans="1:26" ht="15" customHeight="1" x14ac:dyDescent="0.3">
      <c r="A144" s="26"/>
      <c r="B144" s="17"/>
      <c r="C144" s="17"/>
      <c r="D144" s="17"/>
      <c r="E144" s="17"/>
      <c r="F144" s="17"/>
      <c r="G144" s="17"/>
      <c r="H144" s="17"/>
      <c r="I144" s="17"/>
      <c r="J144" s="17"/>
      <c r="K144" s="17"/>
      <c r="L144" s="17"/>
      <c r="M144" s="17"/>
      <c r="N144" s="17"/>
      <c r="O144" s="17"/>
      <c r="P144" s="17"/>
      <c r="Q144" s="17"/>
      <c r="R144" s="17"/>
      <c r="S144" s="17"/>
      <c r="T144" s="17"/>
      <c r="U144" s="17"/>
      <c r="V144" s="12"/>
      <c r="W144" s="12"/>
      <c r="X144" s="12"/>
      <c r="Y144" s="12"/>
      <c r="Z144" s="12"/>
    </row>
    <row r="145" spans="1:26" ht="15" customHeight="1" x14ac:dyDescent="0.3">
      <c r="A145" s="26"/>
      <c r="B145" s="17"/>
      <c r="C145" s="17"/>
      <c r="D145" s="17"/>
      <c r="E145" s="17"/>
      <c r="F145" s="17"/>
      <c r="G145" s="17"/>
      <c r="H145" s="17"/>
      <c r="I145" s="17"/>
      <c r="J145" s="17"/>
      <c r="K145" s="17"/>
      <c r="L145" s="17"/>
      <c r="M145" s="17"/>
      <c r="N145" s="17"/>
      <c r="O145" s="17"/>
      <c r="P145" s="17"/>
      <c r="Q145" s="17"/>
      <c r="R145" s="17"/>
      <c r="S145" s="17"/>
      <c r="T145" s="17"/>
      <c r="U145" s="17"/>
      <c r="V145" s="12"/>
      <c r="W145" s="12"/>
      <c r="X145" s="12"/>
      <c r="Y145" s="12"/>
      <c r="Z145" s="12"/>
    </row>
    <row r="146" spans="1:26" ht="15" customHeight="1" x14ac:dyDescent="0.3">
      <c r="A146" s="26"/>
      <c r="B146" s="17"/>
      <c r="C146" s="17"/>
      <c r="D146" s="17"/>
      <c r="E146" s="17"/>
      <c r="F146" s="17"/>
      <c r="G146" s="17"/>
      <c r="H146" s="17"/>
      <c r="I146" s="17"/>
      <c r="J146" s="17"/>
      <c r="K146" s="17"/>
      <c r="L146" s="17"/>
      <c r="M146" s="17"/>
      <c r="N146" s="17"/>
      <c r="O146" s="17"/>
      <c r="P146" s="17"/>
      <c r="Q146" s="17"/>
      <c r="R146" s="17"/>
      <c r="S146" s="17"/>
      <c r="T146" s="17"/>
      <c r="U146" s="17"/>
      <c r="V146" s="12"/>
      <c r="W146" s="12"/>
      <c r="X146" s="12"/>
      <c r="Y146" s="12"/>
      <c r="Z146" s="12"/>
    </row>
    <row r="147" spans="1:26" ht="15" customHeight="1" x14ac:dyDescent="0.3">
      <c r="A147" s="26"/>
      <c r="B147" s="17"/>
      <c r="C147" s="17"/>
      <c r="D147" s="17"/>
      <c r="E147" s="17"/>
      <c r="F147" s="17"/>
      <c r="G147" s="17"/>
      <c r="H147" s="17"/>
      <c r="I147" s="17"/>
      <c r="J147" s="17"/>
      <c r="K147" s="17"/>
      <c r="L147" s="17"/>
      <c r="M147" s="17"/>
      <c r="N147" s="17"/>
      <c r="O147" s="17"/>
      <c r="P147" s="17"/>
      <c r="Q147" s="17"/>
      <c r="R147" s="17"/>
      <c r="S147" s="17"/>
      <c r="T147" s="17"/>
      <c r="U147" s="17"/>
      <c r="V147" s="12"/>
      <c r="W147" s="12"/>
      <c r="X147" s="12"/>
      <c r="Y147" s="12"/>
      <c r="Z147" s="12"/>
    </row>
    <row r="148" spans="1:26" ht="15" customHeight="1" x14ac:dyDescent="0.3">
      <c r="A148" s="26"/>
      <c r="B148" s="17"/>
      <c r="C148" s="17"/>
      <c r="D148" s="17"/>
      <c r="E148" s="17"/>
      <c r="F148" s="17"/>
      <c r="G148" s="17"/>
      <c r="H148" s="17"/>
      <c r="I148" s="17"/>
      <c r="J148" s="17"/>
      <c r="K148" s="17"/>
      <c r="L148" s="17"/>
      <c r="M148" s="17"/>
      <c r="N148" s="17"/>
      <c r="O148" s="17"/>
      <c r="P148" s="17"/>
      <c r="Q148" s="17"/>
      <c r="R148" s="17"/>
      <c r="S148" s="17"/>
      <c r="T148" s="17"/>
      <c r="U148" s="17"/>
      <c r="V148" s="12"/>
      <c r="W148" s="12"/>
      <c r="X148" s="12"/>
      <c r="Y148" s="12"/>
      <c r="Z148" s="12"/>
    </row>
    <row r="149" spans="1:26" ht="15" customHeight="1" x14ac:dyDescent="0.3">
      <c r="A149" s="26"/>
      <c r="B149" s="17"/>
      <c r="C149" s="17"/>
      <c r="D149" s="17"/>
      <c r="E149" s="17"/>
      <c r="F149" s="17"/>
      <c r="G149" s="17"/>
      <c r="H149" s="17"/>
      <c r="I149" s="17"/>
      <c r="J149" s="17"/>
      <c r="K149" s="17"/>
      <c r="L149" s="17"/>
      <c r="M149" s="17"/>
      <c r="N149" s="17"/>
      <c r="O149" s="17"/>
      <c r="P149" s="17"/>
      <c r="Q149" s="17"/>
      <c r="R149" s="17"/>
      <c r="S149" s="17"/>
      <c r="T149" s="17"/>
      <c r="U149" s="17"/>
      <c r="V149" s="12"/>
      <c r="W149" s="12"/>
      <c r="X149" s="12"/>
      <c r="Y149" s="12"/>
      <c r="Z149" s="12"/>
    </row>
    <row r="150" spans="1:26" ht="15" customHeight="1" x14ac:dyDescent="0.3">
      <c r="A150" s="26"/>
      <c r="B150" s="17"/>
      <c r="C150" s="17"/>
      <c r="D150" s="17"/>
      <c r="E150" s="17"/>
      <c r="F150" s="17"/>
      <c r="G150" s="17"/>
      <c r="H150" s="17"/>
      <c r="I150" s="17"/>
      <c r="J150" s="17"/>
      <c r="K150" s="17"/>
      <c r="L150" s="17"/>
      <c r="M150" s="17"/>
      <c r="N150" s="17"/>
      <c r="O150" s="17"/>
      <c r="P150" s="17"/>
      <c r="Q150" s="17"/>
      <c r="R150" s="17"/>
      <c r="S150" s="17"/>
      <c r="T150" s="17"/>
      <c r="U150" s="17"/>
      <c r="V150" s="12"/>
      <c r="W150" s="12"/>
      <c r="X150" s="12"/>
      <c r="Y150" s="12"/>
      <c r="Z150" s="12"/>
    </row>
    <row r="151" spans="1:26" ht="15" customHeight="1" x14ac:dyDescent="0.3">
      <c r="A151" s="26"/>
      <c r="B151" s="17"/>
      <c r="C151" s="17"/>
      <c r="D151" s="17"/>
      <c r="E151" s="17"/>
      <c r="F151" s="17"/>
      <c r="G151" s="17"/>
      <c r="H151" s="17"/>
      <c r="I151" s="17"/>
      <c r="J151" s="17"/>
      <c r="K151" s="17"/>
      <c r="L151" s="17"/>
      <c r="M151" s="17"/>
      <c r="N151" s="17"/>
      <c r="O151" s="17"/>
      <c r="P151" s="17"/>
      <c r="Q151" s="17"/>
      <c r="R151" s="17"/>
      <c r="S151" s="17"/>
      <c r="T151" s="17"/>
      <c r="U151" s="17"/>
      <c r="V151" s="12"/>
      <c r="W151" s="12"/>
      <c r="X151" s="12"/>
      <c r="Y151" s="12"/>
      <c r="Z151" s="12"/>
    </row>
    <row r="152" spans="1:26" ht="15" customHeight="1" x14ac:dyDescent="0.3">
      <c r="A152" s="26"/>
      <c r="B152" s="17"/>
      <c r="C152" s="17"/>
      <c r="D152" s="17"/>
      <c r="E152" s="17"/>
      <c r="F152" s="17"/>
      <c r="G152" s="17"/>
      <c r="H152" s="17"/>
      <c r="I152" s="17"/>
      <c r="J152" s="17"/>
      <c r="K152" s="17"/>
      <c r="L152" s="17"/>
      <c r="M152" s="17"/>
      <c r="N152" s="17"/>
      <c r="O152" s="17"/>
      <c r="P152" s="17"/>
      <c r="Q152" s="17"/>
      <c r="R152" s="17"/>
      <c r="S152" s="17"/>
      <c r="T152" s="17"/>
      <c r="U152" s="17"/>
      <c r="V152" s="12"/>
      <c r="W152" s="12"/>
      <c r="X152" s="12"/>
      <c r="Y152" s="12"/>
      <c r="Z152" s="12"/>
    </row>
    <row r="153" spans="1:26" ht="15" customHeight="1" x14ac:dyDescent="0.3">
      <c r="A153" s="26"/>
      <c r="B153" s="17"/>
      <c r="C153" s="17"/>
      <c r="D153" s="17"/>
      <c r="E153" s="17"/>
      <c r="F153" s="17"/>
      <c r="G153" s="17"/>
      <c r="H153" s="17"/>
      <c r="I153" s="17"/>
      <c r="J153" s="17"/>
      <c r="K153" s="17"/>
      <c r="L153" s="17"/>
      <c r="M153" s="17"/>
      <c r="N153" s="17"/>
      <c r="O153" s="17"/>
      <c r="P153" s="17"/>
      <c r="Q153" s="17"/>
      <c r="R153" s="17"/>
      <c r="S153" s="17"/>
      <c r="T153" s="17"/>
      <c r="U153" s="17"/>
      <c r="V153" s="12"/>
      <c r="W153" s="12"/>
      <c r="X153" s="12"/>
      <c r="Y153" s="12"/>
      <c r="Z153" s="12"/>
    </row>
    <row r="154" spans="1:26" ht="15" customHeight="1" x14ac:dyDescent="0.3">
      <c r="A154" s="26"/>
      <c r="B154" s="17"/>
      <c r="C154" s="17"/>
      <c r="D154" s="17"/>
      <c r="E154" s="17"/>
      <c r="F154" s="17"/>
      <c r="G154" s="17"/>
      <c r="H154" s="17"/>
      <c r="I154" s="17"/>
      <c r="J154" s="17"/>
      <c r="K154" s="17"/>
      <c r="L154" s="17"/>
      <c r="M154" s="17"/>
      <c r="N154" s="17"/>
      <c r="O154" s="17"/>
      <c r="P154" s="17"/>
      <c r="Q154" s="17"/>
      <c r="R154" s="17"/>
      <c r="S154" s="17"/>
      <c r="T154" s="17"/>
      <c r="U154" s="17"/>
      <c r="V154" s="12"/>
      <c r="W154" s="12"/>
      <c r="X154" s="12"/>
      <c r="Y154" s="12"/>
      <c r="Z154" s="12"/>
    </row>
    <row r="155" spans="1:26" ht="15" customHeight="1" x14ac:dyDescent="0.3">
      <c r="A155" s="26"/>
      <c r="B155" s="17"/>
      <c r="C155" s="17"/>
      <c r="D155" s="17"/>
      <c r="E155" s="17"/>
      <c r="F155" s="17"/>
      <c r="G155" s="17"/>
      <c r="H155" s="17"/>
      <c r="I155" s="17"/>
      <c r="J155" s="17"/>
      <c r="K155" s="17"/>
      <c r="L155" s="17"/>
      <c r="M155" s="17"/>
      <c r="N155" s="17"/>
      <c r="O155" s="17"/>
      <c r="P155" s="17"/>
      <c r="Q155" s="17"/>
      <c r="R155" s="17"/>
      <c r="S155" s="17"/>
      <c r="T155" s="17"/>
      <c r="U155" s="17"/>
      <c r="V155" s="12"/>
      <c r="W155" s="12"/>
      <c r="X155" s="12"/>
      <c r="Y155" s="12"/>
      <c r="Z155" s="12"/>
    </row>
    <row r="156" spans="1:26" ht="15" customHeight="1" x14ac:dyDescent="0.3">
      <c r="A156" s="26"/>
      <c r="B156" s="17"/>
      <c r="C156" s="17"/>
      <c r="D156" s="17"/>
      <c r="E156" s="17"/>
      <c r="F156" s="17"/>
      <c r="G156" s="17"/>
      <c r="H156" s="17"/>
      <c r="I156" s="17"/>
      <c r="J156" s="17"/>
      <c r="K156" s="17"/>
      <c r="L156" s="17"/>
      <c r="M156" s="17"/>
      <c r="N156" s="17"/>
      <c r="O156" s="17"/>
      <c r="P156" s="17"/>
      <c r="Q156" s="17"/>
      <c r="R156" s="17"/>
      <c r="S156" s="17"/>
      <c r="T156" s="17"/>
      <c r="U156" s="17"/>
      <c r="V156" s="12"/>
      <c r="W156" s="12"/>
      <c r="X156" s="12"/>
      <c r="Y156" s="12"/>
      <c r="Z156" s="12"/>
    </row>
    <row r="157" spans="1:26" ht="15" customHeight="1" x14ac:dyDescent="0.3">
      <c r="A157" s="26"/>
      <c r="B157" s="17"/>
      <c r="C157" s="17"/>
      <c r="D157" s="17"/>
      <c r="E157" s="17"/>
      <c r="F157" s="17"/>
      <c r="G157" s="17"/>
      <c r="H157" s="17"/>
      <c r="I157" s="17"/>
      <c r="J157" s="17"/>
      <c r="K157" s="17"/>
      <c r="L157" s="17"/>
      <c r="M157" s="17"/>
      <c r="N157" s="17"/>
      <c r="O157" s="17"/>
      <c r="P157" s="17"/>
      <c r="Q157" s="17"/>
      <c r="R157" s="17"/>
      <c r="S157" s="17"/>
      <c r="T157" s="17"/>
      <c r="U157" s="17"/>
      <c r="V157" s="12"/>
      <c r="W157" s="12"/>
      <c r="X157" s="12"/>
      <c r="Y157" s="12"/>
      <c r="Z157" s="12"/>
    </row>
    <row r="158" spans="1:26" ht="15" customHeight="1" x14ac:dyDescent="0.3">
      <c r="A158" s="26"/>
      <c r="B158" s="17"/>
      <c r="C158" s="17"/>
      <c r="D158" s="17"/>
      <c r="E158" s="17"/>
      <c r="F158" s="17"/>
      <c r="G158" s="17"/>
      <c r="H158" s="17"/>
      <c r="I158" s="17"/>
      <c r="J158" s="17"/>
      <c r="K158" s="17"/>
      <c r="L158" s="17"/>
      <c r="M158" s="17"/>
      <c r="N158" s="17"/>
      <c r="O158" s="17"/>
      <c r="P158" s="17"/>
      <c r="Q158" s="17"/>
      <c r="R158" s="17"/>
      <c r="S158" s="17"/>
      <c r="T158" s="17"/>
      <c r="U158" s="17"/>
      <c r="V158" s="12"/>
      <c r="W158" s="12"/>
      <c r="X158" s="12"/>
      <c r="Y158" s="12"/>
      <c r="Z158" s="12"/>
    </row>
    <row r="159" spans="1:26" ht="15" customHeight="1" x14ac:dyDescent="0.3">
      <c r="A159" s="26"/>
      <c r="B159" s="17"/>
      <c r="C159" s="17"/>
      <c r="D159" s="17"/>
      <c r="E159" s="17"/>
      <c r="F159" s="17"/>
      <c r="G159" s="17"/>
      <c r="H159" s="17"/>
      <c r="I159" s="17"/>
      <c r="J159" s="17"/>
      <c r="K159" s="17"/>
      <c r="L159" s="17"/>
      <c r="M159" s="17"/>
      <c r="N159" s="17"/>
      <c r="O159" s="17"/>
      <c r="P159" s="17"/>
      <c r="Q159" s="17"/>
      <c r="R159" s="17"/>
      <c r="S159" s="17"/>
      <c r="T159" s="17"/>
      <c r="U159" s="17"/>
      <c r="V159" s="12"/>
      <c r="W159" s="12"/>
      <c r="X159" s="12"/>
      <c r="Y159" s="12"/>
      <c r="Z159" s="12"/>
    </row>
    <row r="160" spans="1:26" ht="15" customHeight="1" x14ac:dyDescent="0.3">
      <c r="A160" s="26"/>
      <c r="B160" s="17"/>
      <c r="C160" s="17"/>
      <c r="D160" s="17"/>
      <c r="E160" s="17"/>
      <c r="F160" s="17"/>
      <c r="G160" s="17"/>
      <c r="H160" s="17"/>
      <c r="I160" s="17"/>
      <c r="J160" s="17"/>
      <c r="K160" s="17"/>
      <c r="L160" s="17"/>
      <c r="M160" s="17"/>
      <c r="N160" s="17"/>
      <c r="O160" s="17"/>
      <c r="P160" s="17"/>
      <c r="Q160" s="17"/>
      <c r="R160" s="17"/>
      <c r="S160" s="17"/>
      <c r="T160" s="17"/>
      <c r="U160" s="17"/>
      <c r="V160" s="12"/>
      <c r="W160" s="12"/>
      <c r="X160" s="12"/>
      <c r="Y160" s="12"/>
      <c r="Z160" s="12"/>
    </row>
    <row r="161" spans="1:26" ht="15" customHeight="1" x14ac:dyDescent="0.3">
      <c r="A161" s="26"/>
      <c r="B161" s="17"/>
      <c r="C161" s="17"/>
      <c r="D161" s="17"/>
      <c r="E161" s="17"/>
      <c r="F161" s="17"/>
      <c r="G161" s="17"/>
      <c r="H161" s="17"/>
      <c r="I161" s="17"/>
      <c r="J161" s="17"/>
      <c r="K161" s="17"/>
      <c r="L161" s="17"/>
      <c r="M161" s="17"/>
      <c r="N161" s="17"/>
      <c r="O161" s="17"/>
      <c r="P161" s="17"/>
      <c r="Q161" s="17"/>
      <c r="R161" s="17"/>
      <c r="S161" s="17"/>
      <c r="T161" s="17"/>
      <c r="U161" s="17"/>
      <c r="V161" s="12"/>
      <c r="W161" s="12"/>
      <c r="X161" s="12"/>
      <c r="Y161" s="12"/>
      <c r="Z161" s="12"/>
    </row>
    <row r="162" spans="1:26" ht="15" customHeight="1" x14ac:dyDescent="0.3">
      <c r="A162" s="26"/>
      <c r="B162" s="17"/>
      <c r="C162" s="17"/>
      <c r="D162" s="17"/>
      <c r="E162" s="17"/>
      <c r="F162" s="17"/>
      <c r="G162" s="17"/>
      <c r="H162" s="17"/>
      <c r="I162" s="17"/>
      <c r="J162" s="17"/>
      <c r="K162" s="17"/>
      <c r="L162" s="17"/>
      <c r="M162" s="17"/>
      <c r="N162" s="17"/>
      <c r="O162" s="17"/>
      <c r="P162" s="17"/>
      <c r="Q162" s="17"/>
      <c r="R162" s="17"/>
      <c r="S162" s="17"/>
      <c r="T162" s="17"/>
      <c r="U162" s="17"/>
      <c r="V162" s="12"/>
      <c r="W162" s="12"/>
      <c r="X162" s="12"/>
      <c r="Y162" s="12"/>
      <c r="Z162" s="12"/>
    </row>
    <row r="163" spans="1:26" ht="15" customHeight="1" x14ac:dyDescent="0.3">
      <c r="A163" s="26"/>
      <c r="B163" s="17"/>
      <c r="C163" s="17"/>
      <c r="D163" s="17"/>
      <c r="E163" s="17"/>
      <c r="F163" s="17"/>
      <c r="G163" s="17"/>
      <c r="H163" s="17"/>
      <c r="I163" s="17"/>
      <c r="J163" s="17"/>
      <c r="K163" s="17"/>
      <c r="L163" s="17"/>
      <c r="M163" s="17"/>
      <c r="N163" s="17"/>
      <c r="O163" s="17"/>
      <c r="P163" s="17"/>
      <c r="Q163" s="17"/>
      <c r="R163" s="17"/>
      <c r="S163" s="17"/>
      <c r="T163" s="17"/>
      <c r="U163" s="17"/>
      <c r="V163" s="12"/>
      <c r="W163" s="12"/>
      <c r="X163" s="12"/>
      <c r="Y163" s="12"/>
      <c r="Z163" s="12"/>
    </row>
    <row r="164" spans="1:26" ht="15" customHeight="1" x14ac:dyDescent="0.3">
      <c r="A164" s="26"/>
      <c r="B164" s="17"/>
      <c r="C164" s="17"/>
      <c r="D164" s="17"/>
      <c r="E164" s="17"/>
      <c r="F164" s="17"/>
      <c r="G164" s="17"/>
      <c r="H164" s="17"/>
      <c r="I164" s="17"/>
      <c r="J164" s="17"/>
      <c r="K164" s="17"/>
      <c r="L164" s="17"/>
      <c r="M164" s="17"/>
      <c r="N164" s="17"/>
      <c r="O164" s="17"/>
      <c r="P164" s="17"/>
      <c r="Q164" s="17"/>
      <c r="R164" s="17"/>
      <c r="S164" s="17"/>
      <c r="T164" s="17"/>
      <c r="U164" s="17"/>
      <c r="V164" s="12"/>
      <c r="W164" s="12"/>
      <c r="X164" s="12"/>
      <c r="Y164" s="12"/>
      <c r="Z164" s="12"/>
    </row>
    <row r="165" spans="1:26" ht="15" customHeight="1" x14ac:dyDescent="0.3">
      <c r="A165" s="26"/>
      <c r="B165" s="17"/>
      <c r="C165" s="17"/>
      <c r="D165" s="17"/>
      <c r="E165" s="17"/>
      <c r="F165" s="17"/>
      <c r="G165" s="17"/>
      <c r="H165" s="17"/>
      <c r="I165" s="17"/>
      <c r="J165" s="17"/>
      <c r="K165" s="17"/>
      <c r="L165" s="17"/>
      <c r="M165" s="17"/>
      <c r="N165" s="17"/>
      <c r="O165" s="17"/>
      <c r="P165" s="17"/>
      <c r="Q165" s="17"/>
      <c r="R165" s="17"/>
      <c r="S165" s="17"/>
      <c r="T165" s="17"/>
      <c r="U165" s="17"/>
      <c r="V165" s="12"/>
      <c r="W165" s="12"/>
      <c r="X165" s="12"/>
      <c r="Y165" s="12"/>
      <c r="Z165" s="12"/>
    </row>
    <row r="166" spans="1:26" ht="15" customHeight="1" x14ac:dyDescent="0.3">
      <c r="A166" s="26"/>
      <c r="B166" s="17"/>
      <c r="C166" s="17"/>
      <c r="D166" s="17"/>
      <c r="E166" s="17"/>
      <c r="F166" s="17"/>
      <c r="G166" s="17"/>
      <c r="H166" s="17"/>
      <c r="I166" s="17"/>
      <c r="J166" s="17"/>
      <c r="K166" s="17"/>
      <c r="L166" s="17"/>
      <c r="M166" s="17"/>
      <c r="N166" s="17"/>
      <c r="O166" s="17"/>
      <c r="P166" s="17"/>
      <c r="Q166" s="17"/>
      <c r="R166" s="17"/>
      <c r="S166" s="17"/>
      <c r="T166" s="17"/>
      <c r="U166" s="17"/>
      <c r="V166" s="12"/>
      <c r="W166" s="12"/>
      <c r="X166" s="12"/>
      <c r="Y166" s="12"/>
      <c r="Z166" s="12"/>
    </row>
    <row r="167" spans="1:26" ht="15" customHeight="1" x14ac:dyDescent="0.3">
      <c r="A167" s="26"/>
      <c r="B167" s="17"/>
      <c r="C167" s="17"/>
      <c r="D167" s="17"/>
      <c r="E167" s="17"/>
      <c r="F167" s="17"/>
      <c r="G167" s="17"/>
      <c r="H167" s="17"/>
      <c r="I167" s="17"/>
      <c r="J167" s="17"/>
      <c r="K167" s="17"/>
      <c r="L167" s="17"/>
      <c r="M167" s="17"/>
      <c r="N167" s="17"/>
      <c r="O167" s="17"/>
      <c r="P167" s="17"/>
      <c r="Q167" s="17"/>
      <c r="R167" s="17"/>
      <c r="S167" s="17"/>
      <c r="T167" s="17"/>
      <c r="U167" s="17"/>
      <c r="V167" s="12"/>
      <c r="W167" s="12"/>
      <c r="X167" s="12"/>
      <c r="Y167" s="12"/>
      <c r="Z167" s="12"/>
    </row>
    <row r="168" spans="1:26" ht="15" customHeight="1" x14ac:dyDescent="0.3">
      <c r="A168" s="26"/>
      <c r="B168" s="17"/>
      <c r="C168" s="17"/>
      <c r="D168" s="17"/>
      <c r="E168" s="17"/>
      <c r="F168" s="17"/>
      <c r="G168" s="17"/>
      <c r="H168" s="17"/>
      <c r="I168" s="17"/>
      <c r="J168" s="17"/>
      <c r="K168" s="17"/>
      <c r="L168" s="17"/>
      <c r="M168" s="17"/>
      <c r="N168" s="17"/>
      <c r="O168" s="17"/>
      <c r="P168" s="17"/>
      <c r="Q168" s="17"/>
      <c r="R168" s="17"/>
      <c r="S168" s="17"/>
      <c r="T168" s="17"/>
      <c r="U168" s="17"/>
      <c r="V168" s="12"/>
      <c r="W168" s="12"/>
      <c r="X168" s="12"/>
      <c r="Y168" s="12"/>
      <c r="Z168" s="12"/>
    </row>
    <row r="169" spans="1:26" ht="15" customHeight="1" x14ac:dyDescent="0.3">
      <c r="A169" s="26"/>
      <c r="B169" s="17"/>
      <c r="C169" s="17"/>
      <c r="D169" s="17"/>
      <c r="E169" s="17"/>
      <c r="F169" s="17"/>
      <c r="G169" s="17"/>
      <c r="H169" s="17"/>
      <c r="I169" s="17"/>
      <c r="J169" s="17"/>
      <c r="K169" s="17"/>
      <c r="L169" s="17"/>
      <c r="M169" s="17"/>
      <c r="N169" s="17"/>
      <c r="O169" s="17"/>
      <c r="P169" s="17"/>
      <c r="Q169" s="17"/>
      <c r="R169" s="17"/>
      <c r="S169" s="17"/>
      <c r="T169" s="17"/>
      <c r="U169" s="17"/>
      <c r="V169" s="12"/>
      <c r="W169" s="12"/>
      <c r="X169" s="12"/>
      <c r="Y169" s="12"/>
      <c r="Z169" s="12"/>
    </row>
    <row r="170" spans="1:26" ht="15" customHeight="1" x14ac:dyDescent="0.3">
      <c r="A170" s="29"/>
      <c r="B170" s="17"/>
      <c r="C170" s="17"/>
      <c r="D170" s="17"/>
      <c r="E170" s="17"/>
      <c r="F170" s="17"/>
      <c r="G170" s="17"/>
      <c r="H170" s="17"/>
      <c r="I170" s="17"/>
      <c r="J170" s="17"/>
      <c r="K170" s="17"/>
      <c r="L170" s="17"/>
      <c r="M170" s="17"/>
      <c r="N170" s="17"/>
      <c r="O170" s="17"/>
      <c r="P170" s="17"/>
      <c r="Q170" s="17"/>
      <c r="R170" s="17"/>
      <c r="S170" s="17"/>
      <c r="T170" s="17"/>
      <c r="U170" s="17"/>
      <c r="V170" s="12"/>
      <c r="W170" s="12"/>
      <c r="X170" s="12"/>
      <c r="Y170" s="12"/>
      <c r="Z170" s="12"/>
    </row>
    <row r="171" spans="1:26" ht="15" customHeight="1" x14ac:dyDescent="0.3">
      <c r="A171" s="29"/>
      <c r="B171" s="17"/>
      <c r="C171" s="17"/>
      <c r="D171" s="17"/>
      <c r="E171" s="17"/>
      <c r="F171" s="17"/>
      <c r="G171" s="17"/>
      <c r="H171" s="17"/>
      <c r="I171" s="17"/>
      <c r="J171" s="17"/>
      <c r="K171" s="17"/>
      <c r="L171" s="17"/>
      <c r="M171" s="17"/>
      <c r="N171" s="17"/>
      <c r="O171" s="17"/>
      <c r="P171" s="17"/>
      <c r="Q171" s="17"/>
      <c r="R171" s="17"/>
      <c r="S171" s="17"/>
      <c r="T171" s="17"/>
      <c r="U171" s="17"/>
      <c r="V171" s="12"/>
      <c r="W171" s="12"/>
      <c r="X171" s="12"/>
      <c r="Y171" s="12"/>
      <c r="Z171" s="12"/>
    </row>
    <row r="172" spans="1:26" ht="15" customHeight="1" x14ac:dyDescent="0.3">
      <c r="A172" s="26"/>
      <c r="B172" s="17"/>
      <c r="C172" s="17"/>
      <c r="D172" s="17"/>
      <c r="E172" s="17"/>
      <c r="F172" s="17"/>
      <c r="G172" s="17"/>
      <c r="H172" s="17"/>
      <c r="I172" s="17"/>
      <c r="J172" s="17"/>
      <c r="K172" s="17"/>
      <c r="L172" s="17"/>
      <c r="M172" s="17"/>
      <c r="N172" s="17"/>
      <c r="O172" s="17"/>
      <c r="P172" s="17"/>
      <c r="Q172" s="17"/>
      <c r="R172" s="17"/>
      <c r="S172" s="17"/>
      <c r="T172" s="17"/>
      <c r="U172" s="17"/>
      <c r="V172" s="12"/>
      <c r="W172" s="12"/>
      <c r="X172" s="12"/>
      <c r="Y172" s="12"/>
      <c r="Z172" s="12"/>
    </row>
    <row r="173" spans="1:26" ht="15" customHeight="1" x14ac:dyDescent="0.3">
      <c r="A173" s="26"/>
      <c r="B173" s="17"/>
      <c r="C173" s="17"/>
      <c r="D173" s="17"/>
      <c r="E173" s="17"/>
      <c r="F173" s="17"/>
      <c r="G173" s="17"/>
      <c r="H173" s="17"/>
      <c r="I173" s="17"/>
      <c r="J173" s="17"/>
      <c r="K173" s="17"/>
      <c r="L173" s="17"/>
      <c r="M173" s="17"/>
      <c r="N173" s="17"/>
      <c r="O173" s="17"/>
      <c r="P173" s="17"/>
      <c r="Q173" s="17"/>
      <c r="R173" s="17"/>
      <c r="S173" s="17"/>
      <c r="T173" s="17"/>
      <c r="U173" s="17"/>
      <c r="V173" s="12"/>
      <c r="W173" s="12"/>
      <c r="X173" s="12"/>
      <c r="Y173" s="12"/>
      <c r="Z173" s="12"/>
    </row>
    <row r="174" spans="1:26" ht="15" customHeight="1" x14ac:dyDescent="0.3">
      <c r="A174" s="26"/>
      <c r="B174" s="17"/>
      <c r="C174" s="17"/>
      <c r="D174" s="17"/>
      <c r="E174" s="17"/>
      <c r="F174" s="17"/>
      <c r="G174" s="17"/>
      <c r="H174" s="17"/>
      <c r="I174" s="17"/>
      <c r="J174" s="17"/>
      <c r="K174" s="17"/>
      <c r="L174" s="17"/>
      <c r="M174" s="17"/>
      <c r="N174" s="17"/>
      <c r="O174" s="17"/>
      <c r="P174" s="17"/>
      <c r="Q174" s="17"/>
      <c r="R174" s="17"/>
      <c r="S174" s="17"/>
      <c r="T174" s="17"/>
      <c r="U174" s="17"/>
      <c r="V174" s="12"/>
      <c r="W174" s="12"/>
      <c r="X174" s="12"/>
      <c r="Y174" s="12"/>
      <c r="Z174" s="12"/>
    </row>
    <row r="175" spans="1:26" ht="15" customHeight="1" x14ac:dyDescent="0.3">
      <c r="A175" s="26"/>
      <c r="B175" s="17"/>
      <c r="C175" s="17"/>
      <c r="D175" s="17"/>
      <c r="E175" s="17"/>
      <c r="F175" s="17"/>
      <c r="G175" s="17"/>
      <c r="H175" s="17"/>
      <c r="I175" s="17"/>
      <c r="J175" s="17"/>
      <c r="K175" s="17"/>
      <c r="L175" s="17"/>
      <c r="M175" s="17"/>
      <c r="N175" s="17"/>
      <c r="O175" s="17"/>
      <c r="P175" s="17"/>
      <c r="Q175" s="17"/>
      <c r="R175" s="17"/>
      <c r="S175" s="17"/>
      <c r="T175" s="17"/>
      <c r="U175" s="17"/>
      <c r="V175" s="12"/>
      <c r="W175" s="12"/>
      <c r="X175" s="12"/>
      <c r="Y175" s="12"/>
      <c r="Z175" s="12"/>
    </row>
    <row r="176" spans="1:26" ht="15" customHeight="1" x14ac:dyDescent="0.3">
      <c r="A176" s="26"/>
      <c r="B176" s="17"/>
      <c r="C176" s="17"/>
      <c r="D176" s="17"/>
      <c r="E176" s="17"/>
      <c r="F176" s="17"/>
      <c r="G176" s="17"/>
      <c r="H176" s="17"/>
      <c r="I176" s="17"/>
      <c r="J176" s="17"/>
      <c r="K176" s="17"/>
      <c r="L176" s="17"/>
      <c r="M176" s="17"/>
      <c r="N176" s="17"/>
      <c r="O176" s="17"/>
      <c r="P176" s="17"/>
      <c r="Q176" s="17"/>
      <c r="R176" s="17"/>
      <c r="S176" s="17"/>
      <c r="T176" s="17"/>
      <c r="U176" s="17"/>
      <c r="V176" s="12"/>
      <c r="W176" s="12"/>
      <c r="X176" s="12"/>
      <c r="Y176" s="12"/>
      <c r="Z176" s="12"/>
    </row>
    <row r="177" spans="1:26" ht="15" customHeight="1" x14ac:dyDescent="0.3">
      <c r="A177" s="26"/>
      <c r="B177" s="17"/>
      <c r="C177" s="17"/>
      <c r="D177" s="17"/>
      <c r="E177" s="17"/>
      <c r="F177" s="17"/>
      <c r="G177" s="17"/>
      <c r="H177" s="17"/>
      <c r="I177" s="17"/>
      <c r="J177" s="17"/>
      <c r="K177" s="17"/>
      <c r="L177" s="17"/>
      <c r="M177" s="17"/>
      <c r="N177" s="17"/>
      <c r="O177" s="17"/>
      <c r="P177" s="17"/>
      <c r="Q177" s="17"/>
      <c r="R177" s="17"/>
      <c r="S177" s="17"/>
      <c r="T177" s="17"/>
      <c r="U177" s="17"/>
      <c r="V177" s="12"/>
      <c r="W177" s="12"/>
      <c r="X177" s="12"/>
      <c r="Y177" s="12"/>
      <c r="Z177" s="12"/>
    </row>
    <row r="178" spans="1:26" ht="15" customHeight="1" x14ac:dyDescent="0.3">
      <c r="A178" s="26"/>
      <c r="B178" s="17"/>
      <c r="C178" s="17"/>
      <c r="D178" s="17"/>
      <c r="E178" s="17"/>
      <c r="F178" s="17"/>
      <c r="G178" s="17"/>
      <c r="H178" s="17"/>
      <c r="I178" s="17"/>
      <c r="J178" s="17"/>
      <c r="K178" s="17"/>
      <c r="L178" s="17"/>
      <c r="M178" s="17"/>
      <c r="N178" s="17"/>
      <c r="O178" s="17"/>
      <c r="P178" s="17"/>
      <c r="Q178" s="17"/>
      <c r="R178" s="17"/>
      <c r="S178" s="17"/>
      <c r="T178" s="17"/>
      <c r="U178" s="17"/>
      <c r="V178" s="12"/>
      <c r="W178" s="12"/>
      <c r="X178" s="12"/>
      <c r="Y178" s="12"/>
      <c r="Z178" s="12"/>
    </row>
    <row r="179" spans="1:26" ht="15" customHeight="1" x14ac:dyDescent="0.3">
      <c r="A179" s="27"/>
      <c r="B179" s="17"/>
      <c r="C179" s="17"/>
      <c r="D179" s="17"/>
      <c r="E179" s="17"/>
      <c r="F179" s="17"/>
      <c r="G179" s="17"/>
      <c r="H179" s="17"/>
      <c r="I179" s="17"/>
      <c r="J179" s="17"/>
      <c r="K179" s="17"/>
      <c r="L179" s="17"/>
      <c r="M179" s="17"/>
      <c r="N179" s="17"/>
      <c r="O179" s="17"/>
      <c r="P179" s="17"/>
      <c r="Q179" s="17"/>
      <c r="R179" s="17"/>
      <c r="S179" s="17"/>
      <c r="T179" s="17"/>
      <c r="U179" s="17"/>
      <c r="V179" s="12"/>
      <c r="W179" s="12"/>
      <c r="X179" s="12"/>
      <c r="Y179" s="12"/>
      <c r="Z179" s="12"/>
    </row>
    <row r="180" spans="1:26" ht="15" customHeight="1" x14ac:dyDescent="0.3">
      <c r="A180" s="26"/>
      <c r="B180" s="17"/>
      <c r="C180" s="17"/>
      <c r="D180" s="17"/>
      <c r="E180" s="17"/>
      <c r="F180" s="17"/>
      <c r="G180" s="17"/>
      <c r="H180" s="17"/>
      <c r="I180" s="17"/>
      <c r="J180" s="17"/>
      <c r="K180" s="17"/>
      <c r="L180" s="17"/>
      <c r="M180" s="17"/>
      <c r="N180" s="17"/>
      <c r="O180" s="17"/>
      <c r="P180" s="17"/>
      <c r="Q180" s="17"/>
      <c r="R180" s="17"/>
      <c r="S180" s="17"/>
      <c r="T180" s="17"/>
      <c r="U180" s="17"/>
      <c r="V180" s="12"/>
      <c r="W180" s="12"/>
      <c r="X180" s="12"/>
      <c r="Y180" s="12"/>
      <c r="Z180" s="12"/>
    </row>
    <row r="181" spans="1:26" ht="15" customHeight="1" x14ac:dyDescent="0.3">
      <c r="A181" s="26"/>
      <c r="B181" s="17"/>
      <c r="C181" s="17"/>
      <c r="D181" s="17"/>
      <c r="E181" s="17"/>
      <c r="F181" s="17"/>
      <c r="G181" s="17"/>
      <c r="H181" s="17"/>
      <c r="I181" s="17"/>
      <c r="J181" s="17"/>
      <c r="K181" s="17"/>
      <c r="L181" s="17"/>
      <c r="M181" s="17"/>
      <c r="N181" s="17"/>
      <c r="O181" s="17"/>
      <c r="P181" s="17"/>
      <c r="Q181" s="17"/>
      <c r="R181" s="17"/>
      <c r="S181" s="17"/>
      <c r="T181" s="17"/>
      <c r="U181" s="17"/>
      <c r="V181" s="12"/>
      <c r="W181" s="12"/>
      <c r="X181" s="12"/>
      <c r="Y181" s="12"/>
      <c r="Z181" s="12"/>
    </row>
    <row r="182" spans="1:26" ht="15" customHeight="1" x14ac:dyDescent="0.3">
      <c r="A182" s="26"/>
      <c r="B182" s="17"/>
      <c r="C182" s="17"/>
      <c r="D182" s="17"/>
      <c r="E182" s="17"/>
      <c r="F182" s="17"/>
      <c r="G182" s="17"/>
      <c r="H182" s="17"/>
      <c r="I182" s="17"/>
      <c r="J182" s="17"/>
      <c r="K182" s="17"/>
      <c r="L182" s="17"/>
      <c r="M182" s="17"/>
      <c r="N182" s="17"/>
      <c r="O182" s="17"/>
      <c r="P182" s="17"/>
      <c r="Q182" s="17"/>
      <c r="R182" s="17"/>
      <c r="S182" s="17"/>
      <c r="T182" s="17"/>
      <c r="U182" s="17"/>
      <c r="V182" s="12"/>
      <c r="W182" s="12"/>
      <c r="X182" s="12"/>
      <c r="Y182" s="12"/>
      <c r="Z182" s="12"/>
    </row>
    <row r="183" spans="1:26" ht="15" customHeight="1" x14ac:dyDescent="0.3">
      <c r="A183" s="26"/>
      <c r="B183" s="17"/>
      <c r="C183" s="17"/>
      <c r="D183" s="17"/>
      <c r="E183" s="17"/>
      <c r="F183" s="17"/>
      <c r="G183" s="17"/>
      <c r="H183" s="17"/>
      <c r="I183" s="17"/>
      <c r="J183" s="17"/>
      <c r="K183" s="17"/>
      <c r="L183" s="17"/>
      <c r="M183" s="17"/>
      <c r="N183" s="17"/>
      <c r="O183" s="17"/>
      <c r="P183" s="17"/>
      <c r="Q183" s="17"/>
      <c r="R183" s="17"/>
      <c r="S183" s="17"/>
      <c r="T183" s="17"/>
      <c r="U183" s="17"/>
      <c r="V183" s="12"/>
      <c r="W183" s="12"/>
      <c r="X183" s="12"/>
      <c r="Y183" s="12"/>
      <c r="Z183" s="12"/>
    </row>
    <row r="184" spans="1:26" ht="15" customHeight="1" x14ac:dyDescent="0.3">
      <c r="A184" s="26"/>
      <c r="B184" s="17"/>
      <c r="C184" s="17"/>
      <c r="D184" s="17"/>
      <c r="E184" s="17"/>
      <c r="F184" s="17"/>
      <c r="G184" s="17"/>
      <c r="H184" s="17"/>
      <c r="I184" s="17"/>
      <c r="J184" s="17"/>
      <c r="K184" s="17"/>
      <c r="L184" s="17"/>
      <c r="M184" s="17"/>
      <c r="N184" s="17"/>
      <c r="O184" s="17"/>
      <c r="P184" s="17"/>
      <c r="Q184" s="17"/>
      <c r="R184" s="17"/>
      <c r="S184" s="17"/>
      <c r="T184" s="17"/>
      <c r="U184" s="17"/>
      <c r="V184" s="12"/>
      <c r="W184" s="12"/>
      <c r="X184" s="12"/>
      <c r="Y184" s="12"/>
      <c r="Z184" s="12"/>
    </row>
    <row r="185" spans="1:26" ht="15" customHeight="1" x14ac:dyDescent="0.3">
      <c r="A185" s="26"/>
      <c r="B185" s="17"/>
      <c r="C185" s="17"/>
      <c r="D185" s="17"/>
      <c r="E185" s="17"/>
      <c r="F185" s="17"/>
      <c r="G185" s="17"/>
      <c r="H185" s="17"/>
      <c r="I185" s="17"/>
      <c r="J185" s="17"/>
      <c r="K185" s="17"/>
      <c r="L185" s="17"/>
      <c r="M185" s="17"/>
      <c r="N185" s="17"/>
      <c r="O185" s="17"/>
      <c r="P185" s="17"/>
      <c r="Q185" s="17"/>
      <c r="R185" s="17"/>
      <c r="S185" s="17"/>
      <c r="T185" s="17"/>
      <c r="U185" s="17"/>
      <c r="V185" s="12"/>
      <c r="W185" s="12"/>
      <c r="X185" s="12"/>
      <c r="Y185" s="12"/>
      <c r="Z185" s="12"/>
    </row>
    <row r="186" spans="1:26" ht="15" customHeight="1" x14ac:dyDescent="0.3">
      <c r="A186" s="26"/>
      <c r="B186" s="17"/>
      <c r="C186" s="17"/>
      <c r="D186" s="17"/>
      <c r="E186" s="17"/>
      <c r="F186" s="17"/>
      <c r="G186" s="17"/>
      <c r="H186" s="17"/>
      <c r="I186" s="17"/>
      <c r="J186" s="17"/>
      <c r="K186" s="17"/>
      <c r="L186" s="17"/>
      <c r="M186" s="17"/>
      <c r="N186" s="17"/>
      <c r="O186" s="17"/>
      <c r="P186" s="17"/>
      <c r="Q186" s="17"/>
      <c r="R186" s="17"/>
      <c r="S186" s="17"/>
      <c r="T186" s="17"/>
      <c r="U186" s="17"/>
      <c r="V186" s="12"/>
      <c r="W186" s="12"/>
      <c r="X186" s="12"/>
      <c r="Y186" s="12"/>
      <c r="Z186" s="12"/>
    </row>
    <row r="187" spans="1:26" ht="15" customHeight="1" x14ac:dyDescent="0.3">
      <c r="A187" s="26"/>
      <c r="B187" s="17"/>
      <c r="C187" s="17"/>
      <c r="D187" s="17"/>
      <c r="E187" s="17"/>
      <c r="F187" s="17"/>
      <c r="G187" s="17"/>
      <c r="H187" s="17"/>
      <c r="I187" s="17"/>
      <c r="J187" s="17"/>
      <c r="K187" s="17"/>
      <c r="L187" s="17"/>
      <c r="M187" s="17"/>
      <c r="N187" s="17"/>
      <c r="O187" s="17"/>
      <c r="P187" s="17"/>
      <c r="Q187" s="17"/>
      <c r="R187" s="17"/>
      <c r="S187" s="17"/>
      <c r="T187" s="17"/>
      <c r="U187" s="17"/>
      <c r="V187" s="12"/>
      <c r="W187" s="12"/>
      <c r="X187" s="12"/>
      <c r="Y187" s="12"/>
      <c r="Z187" s="12"/>
    </row>
    <row r="188" spans="1:26" ht="15" customHeight="1" x14ac:dyDescent="0.3">
      <c r="A188" s="26"/>
      <c r="B188" s="17"/>
      <c r="C188" s="17"/>
      <c r="D188" s="17"/>
      <c r="E188" s="17"/>
      <c r="F188" s="17"/>
      <c r="G188" s="17"/>
      <c r="H188" s="17"/>
      <c r="I188" s="17"/>
      <c r="J188" s="17"/>
      <c r="K188" s="17"/>
      <c r="L188" s="17"/>
      <c r="M188" s="17"/>
      <c r="N188" s="17"/>
      <c r="O188" s="17"/>
      <c r="P188" s="17"/>
      <c r="Q188" s="17"/>
      <c r="R188" s="17"/>
      <c r="S188" s="17"/>
      <c r="T188" s="17"/>
      <c r="U188" s="17"/>
      <c r="V188" s="12"/>
      <c r="W188" s="12"/>
      <c r="X188" s="12"/>
      <c r="Y188" s="12"/>
      <c r="Z188" s="12"/>
    </row>
    <row r="189" spans="1:26" ht="15" customHeight="1" x14ac:dyDescent="0.3">
      <c r="A189" s="26"/>
      <c r="B189" s="17"/>
      <c r="C189" s="17"/>
      <c r="D189" s="17"/>
      <c r="E189" s="17"/>
      <c r="F189" s="17"/>
      <c r="G189" s="17"/>
      <c r="H189" s="17"/>
      <c r="I189" s="17"/>
      <c r="J189" s="17"/>
      <c r="K189" s="17"/>
      <c r="L189" s="17"/>
      <c r="M189" s="17"/>
      <c r="N189" s="17"/>
      <c r="O189" s="17"/>
      <c r="P189" s="17"/>
      <c r="Q189" s="17"/>
      <c r="R189" s="17"/>
      <c r="S189" s="17"/>
      <c r="T189" s="17"/>
      <c r="U189" s="17"/>
      <c r="V189" s="12"/>
      <c r="W189" s="12"/>
      <c r="X189" s="12"/>
      <c r="Y189" s="12"/>
      <c r="Z189" s="12"/>
    </row>
    <row r="190" spans="1:26" ht="15" customHeight="1" x14ac:dyDescent="0.3">
      <c r="A190" s="26"/>
      <c r="B190" s="17"/>
      <c r="C190" s="17"/>
      <c r="D190" s="17"/>
      <c r="E190" s="17"/>
      <c r="F190" s="17"/>
      <c r="G190" s="17"/>
      <c r="H190" s="17"/>
      <c r="I190" s="17"/>
      <c r="J190" s="17"/>
      <c r="K190" s="17"/>
      <c r="L190" s="17"/>
      <c r="M190" s="17"/>
      <c r="N190" s="17"/>
      <c r="O190" s="17"/>
      <c r="P190" s="17"/>
      <c r="Q190" s="17"/>
      <c r="R190" s="17"/>
      <c r="S190" s="17"/>
      <c r="T190" s="17"/>
      <c r="U190" s="17"/>
      <c r="V190" s="12"/>
      <c r="W190" s="12"/>
      <c r="X190" s="12"/>
      <c r="Y190" s="12"/>
      <c r="Z190" s="12"/>
    </row>
    <row r="191" spans="1:26" ht="15" customHeight="1" x14ac:dyDescent="0.3">
      <c r="A191" s="26"/>
      <c r="B191" s="17"/>
      <c r="C191" s="17"/>
      <c r="D191" s="17"/>
      <c r="E191" s="17"/>
      <c r="F191" s="17"/>
      <c r="G191" s="17"/>
      <c r="H191" s="17"/>
      <c r="I191" s="17"/>
      <c r="J191" s="17"/>
      <c r="K191" s="17"/>
      <c r="L191" s="17"/>
      <c r="M191" s="17"/>
      <c r="N191" s="17"/>
      <c r="O191" s="17"/>
      <c r="P191" s="17"/>
      <c r="Q191" s="17"/>
      <c r="R191" s="17"/>
      <c r="S191" s="17"/>
      <c r="T191" s="17"/>
      <c r="U191" s="17"/>
      <c r="V191" s="12"/>
      <c r="W191" s="12"/>
      <c r="X191" s="12"/>
      <c r="Y191" s="12"/>
      <c r="Z191" s="12"/>
    </row>
    <row r="192" spans="1:26" ht="15" customHeight="1" x14ac:dyDescent="0.3">
      <c r="A192" s="26"/>
      <c r="B192" s="17"/>
      <c r="C192" s="17"/>
      <c r="D192" s="17"/>
      <c r="E192" s="17"/>
      <c r="F192" s="17"/>
      <c r="G192" s="17"/>
      <c r="H192" s="17"/>
      <c r="I192" s="17"/>
      <c r="J192" s="17"/>
      <c r="K192" s="17"/>
      <c r="L192" s="17"/>
      <c r="M192" s="17"/>
      <c r="N192" s="17"/>
      <c r="O192" s="17"/>
      <c r="P192" s="17"/>
      <c r="Q192" s="17"/>
      <c r="R192" s="17"/>
      <c r="S192" s="17"/>
      <c r="T192" s="17"/>
      <c r="U192" s="17"/>
      <c r="V192" s="12"/>
      <c r="W192" s="12"/>
      <c r="X192" s="12"/>
      <c r="Y192" s="12"/>
      <c r="Z192" s="12"/>
    </row>
    <row r="193" spans="1:26" ht="15" customHeight="1" x14ac:dyDescent="0.3">
      <c r="A193" s="26"/>
      <c r="B193" s="17"/>
      <c r="C193" s="17"/>
      <c r="D193" s="17"/>
      <c r="E193" s="17"/>
      <c r="F193" s="17"/>
      <c r="G193" s="17"/>
      <c r="H193" s="17"/>
      <c r="I193" s="17"/>
      <c r="J193" s="17"/>
      <c r="K193" s="17"/>
      <c r="L193" s="17"/>
      <c r="M193" s="17"/>
      <c r="N193" s="17"/>
      <c r="O193" s="17"/>
      <c r="P193" s="17"/>
      <c r="Q193" s="17"/>
      <c r="R193" s="17"/>
      <c r="S193" s="17"/>
      <c r="T193" s="17"/>
      <c r="U193" s="17"/>
      <c r="V193" s="12"/>
      <c r="W193" s="12"/>
      <c r="X193" s="12"/>
      <c r="Y193" s="12"/>
      <c r="Z193" s="12"/>
    </row>
    <row r="194" spans="1:26" ht="15" customHeight="1" x14ac:dyDescent="0.3">
      <c r="A194" s="26"/>
      <c r="B194" s="17"/>
      <c r="C194" s="17"/>
      <c r="D194" s="17"/>
      <c r="E194" s="17"/>
      <c r="F194" s="17"/>
      <c r="G194" s="17"/>
      <c r="H194" s="17"/>
      <c r="I194" s="17"/>
      <c r="J194" s="17"/>
      <c r="K194" s="17"/>
      <c r="L194" s="17"/>
      <c r="M194" s="17"/>
      <c r="N194" s="17"/>
      <c r="O194" s="17"/>
      <c r="P194" s="17"/>
      <c r="Q194" s="17"/>
      <c r="R194" s="17"/>
      <c r="S194" s="17"/>
      <c r="T194" s="17"/>
      <c r="U194" s="17"/>
      <c r="V194" s="12"/>
      <c r="W194" s="12"/>
      <c r="X194" s="12"/>
      <c r="Y194" s="12"/>
      <c r="Z194" s="12"/>
    </row>
    <row r="195" spans="1:26" ht="15" customHeight="1" x14ac:dyDescent="0.3">
      <c r="A195" s="26"/>
      <c r="B195" s="17"/>
      <c r="C195" s="17"/>
      <c r="D195" s="17"/>
      <c r="E195" s="17"/>
      <c r="F195" s="17"/>
      <c r="G195" s="17"/>
      <c r="H195" s="17"/>
      <c r="I195" s="17"/>
      <c r="J195" s="17"/>
      <c r="K195" s="17"/>
      <c r="L195" s="17"/>
      <c r="M195" s="17"/>
      <c r="N195" s="17"/>
      <c r="O195" s="17"/>
      <c r="P195" s="17"/>
      <c r="Q195" s="17"/>
      <c r="R195" s="17"/>
      <c r="S195" s="17"/>
      <c r="T195" s="17"/>
      <c r="U195" s="17"/>
      <c r="V195" s="12"/>
      <c r="W195" s="12"/>
      <c r="X195" s="12"/>
      <c r="Y195" s="12"/>
      <c r="Z195" s="12"/>
    </row>
    <row r="196" spans="1:26" ht="15" customHeight="1" x14ac:dyDescent="0.3">
      <c r="A196" s="26"/>
      <c r="B196" s="17"/>
      <c r="C196" s="17"/>
      <c r="D196" s="17"/>
      <c r="E196" s="17"/>
      <c r="F196" s="17"/>
      <c r="G196" s="17"/>
      <c r="H196" s="17"/>
      <c r="I196" s="17"/>
      <c r="J196" s="17"/>
      <c r="K196" s="17"/>
      <c r="L196" s="17"/>
      <c r="M196" s="17"/>
      <c r="N196" s="17"/>
      <c r="O196" s="17"/>
      <c r="P196" s="17"/>
      <c r="Q196" s="17"/>
      <c r="R196" s="17"/>
      <c r="S196" s="17"/>
      <c r="T196" s="17"/>
      <c r="U196" s="17"/>
      <c r="V196" s="12"/>
      <c r="W196" s="12"/>
      <c r="X196" s="12"/>
      <c r="Y196" s="12"/>
      <c r="Z196" s="12"/>
    </row>
    <row r="197" spans="1:26" ht="15" customHeight="1" x14ac:dyDescent="0.3">
      <c r="A197" s="26"/>
      <c r="B197" s="17"/>
      <c r="C197" s="17"/>
      <c r="D197" s="17"/>
      <c r="E197" s="17"/>
      <c r="F197" s="17"/>
      <c r="G197" s="17"/>
      <c r="H197" s="17"/>
      <c r="I197" s="17"/>
      <c r="J197" s="17"/>
      <c r="K197" s="17"/>
      <c r="L197" s="17"/>
      <c r="M197" s="17"/>
      <c r="N197" s="17"/>
      <c r="O197" s="17"/>
      <c r="P197" s="17"/>
      <c r="Q197" s="17"/>
      <c r="R197" s="17"/>
      <c r="S197" s="17"/>
      <c r="T197" s="17"/>
      <c r="U197" s="17"/>
      <c r="V197" s="12"/>
      <c r="W197" s="12"/>
      <c r="X197" s="12"/>
      <c r="Y197" s="12"/>
      <c r="Z197" s="12"/>
    </row>
    <row r="198" spans="1:26" ht="15" customHeight="1" x14ac:dyDescent="0.3">
      <c r="A198" s="26"/>
      <c r="B198" s="17"/>
      <c r="C198" s="17"/>
      <c r="D198" s="17"/>
      <c r="E198" s="17"/>
      <c r="F198" s="17"/>
      <c r="G198" s="17"/>
      <c r="H198" s="17"/>
      <c r="I198" s="17"/>
      <c r="J198" s="17"/>
      <c r="K198" s="17"/>
      <c r="L198" s="17"/>
      <c r="M198" s="17"/>
      <c r="N198" s="17"/>
      <c r="O198" s="17"/>
      <c r="P198" s="17"/>
      <c r="Q198" s="17"/>
      <c r="R198" s="17"/>
      <c r="S198" s="17"/>
      <c r="T198" s="17"/>
      <c r="U198" s="17"/>
      <c r="V198" s="12"/>
      <c r="W198" s="12"/>
      <c r="X198" s="12"/>
      <c r="Y198" s="12"/>
      <c r="Z198" s="12"/>
    </row>
    <row r="199" spans="1:26" ht="15" customHeight="1" x14ac:dyDescent="0.3">
      <c r="A199" s="26"/>
      <c r="B199" s="17"/>
      <c r="C199" s="17"/>
      <c r="D199" s="17"/>
      <c r="E199" s="17"/>
      <c r="F199" s="17"/>
      <c r="G199" s="17"/>
      <c r="H199" s="17"/>
      <c r="I199" s="17"/>
      <c r="J199" s="17"/>
      <c r="K199" s="17"/>
      <c r="L199" s="17"/>
      <c r="M199" s="17"/>
      <c r="N199" s="17"/>
      <c r="O199" s="17"/>
      <c r="P199" s="17"/>
      <c r="Q199" s="17"/>
      <c r="R199" s="17"/>
      <c r="S199" s="17"/>
      <c r="T199" s="17"/>
      <c r="U199" s="17"/>
      <c r="V199" s="12"/>
      <c r="W199" s="12"/>
      <c r="X199" s="12"/>
      <c r="Y199" s="12"/>
      <c r="Z199" s="12"/>
    </row>
    <row r="200" spans="1:26" ht="15" customHeight="1" x14ac:dyDescent="0.3">
      <c r="A200" s="26"/>
      <c r="B200" s="17"/>
      <c r="C200" s="17"/>
      <c r="D200" s="17"/>
      <c r="E200" s="17"/>
      <c r="F200" s="17"/>
      <c r="G200" s="17"/>
      <c r="H200" s="17"/>
      <c r="I200" s="17"/>
      <c r="J200" s="17"/>
      <c r="K200" s="17"/>
      <c r="L200" s="17"/>
      <c r="M200" s="17"/>
      <c r="N200" s="17"/>
      <c r="O200" s="17"/>
      <c r="P200" s="17"/>
      <c r="Q200" s="17"/>
      <c r="R200" s="17"/>
      <c r="S200" s="17"/>
      <c r="T200" s="17"/>
      <c r="U200" s="17"/>
      <c r="V200" s="12"/>
      <c r="W200" s="12"/>
      <c r="X200" s="12"/>
      <c r="Y200" s="12"/>
      <c r="Z200" s="12"/>
    </row>
    <row r="201" spans="1:26" ht="15" customHeight="1" x14ac:dyDescent="0.3">
      <c r="A201" s="26"/>
      <c r="B201" s="17"/>
      <c r="C201" s="17"/>
      <c r="D201" s="17"/>
      <c r="E201" s="17"/>
      <c r="F201" s="17"/>
      <c r="G201" s="17"/>
      <c r="H201" s="17"/>
      <c r="I201" s="17"/>
      <c r="J201" s="17"/>
      <c r="K201" s="17"/>
      <c r="L201" s="17"/>
      <c r="M201" s="17"/>
      <c r="N201" s="17"/>
      <c r="O201" s="17"/>
      <c r="P201" s="17"/>
      <c r="Q201" s="17"/>
      <c r="R201" s="17"/>
      <c r="S201" s="17"/>
      <c r="T201" s="17"/>
      <c r="U201" s="17"/>
      <c r="V201" s="12"/>
      <c r="W201" s="12"/>
      <c r="X201" s="12"/>
      <c r="Y201" s="12"/>
      <c r="Z201" s="12"/>
    </row>
    <row r="202" spans="1:26" ht="15" customHeight="1" x14ac:dyDescent="0.3">
      <c r="A202" s="26"/>
      <c r="B202" s="17"/>
      <c r="C202" s="17"/>
      <c r="D202" s="17"/>
      <c r="E202" s="17"/>
      <c r="F202" s="17"/>
      <c r="G202" s="17"/>
      <c r="H202" s="17"/>
      <c r="I202" s="17"/>
      <c r="J202" s="17"/>
      <c r="K202" s="17"/>
      <c r="L202" s="17"/>
      <c r="M202" s="17"/>
      <c r="N202" s="17"/>
      <c r="O202" s="17"/>
      <c r="P202" s="17"/>
      <c r="Q202" s="17"/>
      <c r="R202" s="17"/>
      <c r="S202" s="17"/>
      <c r="T202" s="17"/>
      <c r="U202" s="17"/>
      <c r="V202" s="12"/>
      <c r="W202" s="12"/>
      <c r="X202" s="12"/>
      <c r="Y202" s="12"/>
      <c r="Z202" s="12"/>
    </row>
    <row r="203" spans="1:26" ht="15" customHeight="1" x14ac:dyDescent="0.3">
      <c r="A203" s="26"/>
      <c r="B203" s="17"/>
      <c r="C203" s="17"/>
      <c r="D203" s="17"/>
      <c r="E203" s="17"/>
      <c r="F203" s="17"/>
      <c r="G203" s="17"/>
      <c r="H203" s="17"/>
      <c r="I203" s="17"/>
      <c r="J203" s="17"/>
      <c r="K203" s="17"/>
      <c r="L203" s="17"/>
      <c r="M203" s="17"/>
      <c r="N203" s="17"/>
      <c r="O203" s="17"/>
      <c r="P203" s="17"/>
      <c r="Q203" s="17"/>
      <c r="R203" s="17"/>
      <c r="S203" s="17"/>
      <c r="T203" s="17"/>
      <c r="U203" s="17"/>
      <c r="V203" s="12"/>
      <c r="W203" s="12"/>
      <c r="X203" s="12"/>
      <c r="Y203" s="12"/>
      <c r="Z203" s="12"/>
    </row>
    <row r="204" spans="1:26" ht="15" customHeight="1" x14ac:dyDescent="0.3">
      <c r="A204" s="26"/>
      <c r="B204" s="17"/>
      <c r="C204" s="17"/>
      <c r="D204" s="17"/>
      <c r="E204" s="17"/>
      <c r="F204" s="17"/>
      <c r="G204" s="17"/>
      <c r="H204" s="17"/>
      <c r="I204" s="17"/>
      <c r="J204" s="17"/>
      <c r="K204" s="17"/>
      <c r="L204" s="17"/>
      <c r="M204" s="17"/>
      <c r="N204" s="17"/>
      <c r="O204" s="17"/>
      <c r="P204" s="17"/>
      <c r="Q204" s="17"/>
      <c r="R204" s="17"/>
      <c r="S204" s="17"/>
      <c r="T204" s="17"/>
      <c r="U204" s="17"/>
      <c r="V204" s="12"/>
      <c r="W204" s="12"/>
      <c r="X204" s="12"/>
      <c r="Y204" s="12"/>
      <c r="Z204" s="12"/>
    </row>
    <row r="205" spans="1:26" ht="15" customHeight="1" x14ac:dyDescent="0.3">
      <c r="A205" s="26"/>
      <c r="B205" s="17"/>
      <c r="C205" s="17"/>
      <c r="D205" s="17"/>
      <c r="E205" s="17"/>
      <c r="F205" s="17"/>
      <c r="G205" s="17"/>
      <c r="H205" s="17"/>
      <c r="I205" s="17"/>
      <c r="J205" s="17"/>
      <c r="K205" s="17"/>
      <c r="L205" s="17"/>
      <c r="M205" s="17"/>
      <c r="N205" s="17"/>
      <c r="O205" s="17"/>
      <c r="P205" s="17"/>
      <c r="Q205" s="17"/>
      <c r="R205" s="17"/>
      <c r="S205" s="17"/>
      <c r="T205" s="17"/>
      <c r="U205" s="17"/>
      <c r="V205" s="12"/>
      <c r="W205" s="12"/>
      <c r="X205" s="12"/>
      <c r="Y205" s="12"/>
      <c r="Z205" s="12"/>
    </row>
    <row r="206" spans="1:26" ht="15" customHeight="1" x14ac:dyDescent="0.3">
      <c r="A206" s="26"/>
      <c r="B206" s="17"/>
      <c r="C206" s="17"/>
      <c r="D206" s="17"/>
      <c r="E206" s="17"/>
      <c r="F206" s="17"/>
      <c r="G206" s="17"/>
      <c r="H206" s="17"/>
      <c r="I206" s="17"/>
      <c r="J206" s="17"/>
      <c r="K206" s="17"/>
      <c r="L206" s="17"/>
      <c r="M206" s="17"/>
      <c r="N206" s="17"/>
      <c r="O206" s="17"/>
      <c r="P206" s="17"/>
      <c r="Q206" s="17"/>
      <c r="R206" s="17"/>
      <c r="S206" s="17"/>
      <c r="T206" s="17"/>
      <c r="U206" s="17"/>
      <c r="V206" s="12"/>
      <c r="W206" s="12"/>
      <c r="X206" s="12"/>
      <c r="Y206" s="12"/>
      <c r="Z206" s="12"/>
    </row>
    <row r="207" spans="1:26" ht="15" customHeight="1" x14ac:dyDescent="0.3">
      <c r="A207" s="26"/>
      <c r="B207" s="17"/>
      <c r="C207" s="17"/>
      <c r="D207" s="17"/>
      <c r="E207" s="17"/>
      <c r="F207" s="17"/>
      <c r="G207" s="17"/>
      <c r="H207" s="17"/>
      <c r="I207" s="17"/>
      <c r="J207" s="17"/>
      <c r="K207" s="17"/>
      <c r="L207" s="17"/>
      <c r="M207" s="17"/>
      <c r="N207" s="17"/>
      <c r="O207" s="17"/>
      <c r="P207" s="17"/>
      <c r="Q207" s="17"/>
      <c r="R207" s="17"/>
      <c r="S207" s="17"/>
      <c r="T207" s="17"/>
      <c r="U207" s="17"/>
      <c r="V207" s="12"/>
      <c r="W207" s="12"/>
      <c r="X207" s="12"/>
      <c r="Y207" s="12"/>
      <c r="Z207" s="12"/>
    </row>
    <row r="208" spans="1:26" ht="15" customHeight="1" x14ac:dyDescent="0.3">
      <c r="A208" s="26"/>
      <c r="B208" s="17"/>
      <c r="C208" s="17"/>
      <c r="D208" s="17"/>
      <c r="E208" s="17"/>
      <c r="F208" s="17"/>
      <c r="G208" s="17"/>
      <c r="H208" s="17"/>
      <c r="I208" s="17"/>
      <c r="J208" s="17"/>
      <c r="K208" s="17"/>
      <c r="L208" s="17"/>
      <c r="M208" s="17"/>
      <c r="N208" s="17"/>
      <c r="O208" s="17"/>
      <c r="P208" s="17"/>
      <c r="Q208" s="17"/>
      <c r="R208" s="17"/>
      <c r="S208" s="17"/>
      <c r="T208" s="17"/>
      <c r="U208" s="17"/>
      <c r="V208" s="12"/>
      <c r="W208" s="12"/>
      <c r="X208" s="12"/>
      <c r="Y208" s="12"/>
      <c r="Z208" s="12"/>
    </row>
    <row r="209" spans="1:26" ht="15" customHeight="1" x14ac:dyDescent="0.3">
      <c r="A209" s="26"/>
      <c r="B209" s="17"/>
      <c r="C209" s="17"/>
      <c r="D209" s="17"/>
      <c r="E209" s="17"/>
      <c r="F209" s="17"/>
      <c r="G209" s="17"/>
      <c r="H209" s="17"/>
      <c r="I209" s="17"/>
      <c r="J209" s="17"/>
      <c r="K209" s="17"/>
      <c r="L209" s="17"/>
      <c r="M209" s="17"/>
      <c r="N209" s="17"/>
      <c r="O209" s="17"/>
      <c r="P209" s="17"/>
      <c r="Q209" s="17"/>
      <c r="R209" s="17"/>
      <c r="S209" s="17"/>
      <c r="T209" s="17"/>
      <c r="U209" s="17"/>
      <c r="V209" s="12"/>
      <c r="W209" s="12"/>
      <c r="X209" s="12"/>
      <c r="Y209" s="12"/>
      <c r="Z209" s="12"/>
    </row>
    <row r="210" spans="1:26" ht="15" customHeight="1" x14ac:dyDescent="0.3">
      <c r="A210" s="26"/>
      <c r="B210" s="17"/>
      <c r="C210" s="17"/>
      <c r="D210" s="17"/>
      <c r="E210" s="17"/>
      <c r="F210" s="17"/>
      <c r="G210" s="17"/>
      <c r="H210" s="17"/>
      <c r="I210" s="17"/>
      <c r="J210" s="17"/>
      <c r="K210" s="17"/>
      <c r="L210" s="17"/>
      <c r="M210" s="17"/>
      <c r="N210" s="17"/>
      <c r="O210" s="17"/>
      <c r="P210" s="17"/>
      <c r="Q210" s="17"/>
      <c r="R210" s="17"/>
      <c r="S210" s="17"/>
      <c r="T210" s="17"/>
      <c r="U210" s="17"/>
      <c r="V210" s="12"/>
      <c r="W210" s="12"/>
      <c r="X210" s="12"/>
      <c r="Y210" s="12"/>
      <c r="Z210" s="12"/>
    </row>
    <row r="211" spans="1:26" ht="15" customHeight="1" x14ac:dyDescent="0.3">
      <c r="A211" s="26"/>
      <c r="B211" s="17"/>
      <c r="C211" s="17"/>
      <c r="D211" s="17"/>
      <c r="E211" s="17"/>
      <c r="F211" s="17"/>
      <c r="G211" s="17"/>
      <c r="H211" s="17"/>
      <c r="I211" s="17"/>
      <c r="J211" s="17"/>
      <c r="K211" s="17"/>
      <c r="L211" s="17"/>
      <c r="M211" s="17"/>
      <c r="N211" s="17"/>
      <c r="O211" s="17"/>
      <c r="P211" s="17"/>
      <c r="Q211" s="17"/>
      <c r="R211" s="17"/>
      <c r="S211" s="17"/>
      <c r="T211" s="17"/>
      <c r="U211" s="17"/>
      <c r="V211" s="12"/>
      <c r="W211" s="12"/>
      <c r="X211" s="12"/>
      <c r="Y211" s="12"/>
      <c r="Z211" s="12"/>
    </row>
    <row r="212" spans="1:26" ht="15" customHeight="1" x14ac:dyDescent="0.3">
      <c r="A212" s="26"/>
      <c r="B212" s="17"/>
      <c r="C212" s="17"/>
      <c r="D212" s="17"/>
      <c r="E212" s="17"/>
      <c r="F212" s="17"/>
      <c r="G212" s="17"/>
      <c r="H212" s="17"/>
      <c r="I212" s="17"/>
      <c r="J212" s="17"/>
      <c r="K212" s="17"/>
      <c r="L212" s="17"/>
      <c r="M212" s="17"/>
      <c r="N212" s="17"/>
      <c r="O212" s="17"/>
      <c r="P212" s="17"/>
      <c r="Q212" s="17"/>
      <c r="R212" s="17"/>
      <c r="S212" s="17"/>
      <c r="T212" s="17"/>
      <c r="U212" s="17"/>
      <c r="V212" s="12"/>
      <c r="W212" s="12"/>
      <c r="X212" s="12"/>
      <c r="Y212" s="12"/>
      <c r="Z212" s="12"/>
    </row>
    <row r="213" spans="1:26" ht="15" customHeight="1" x14ac:dyDescent="0.3">
      <c r="A213" s="26"/>
      <c r="B213" s="17"/>
      <c r="C213" s="17"/>
      <c r="D213" s="17"/>
      <c r="E213" s="17"/>
      <c r="F213" s="17"/>
      <c r="G213" s="17"/>
      <c r="H213" s="17"/>
      <c r="I213" s="17"/>
      <c r="J213" s="17"/>
      <c r="K213" s="17"/>
      <c r="L213" s="17"/>
      <c r="M213" s="17"/>
      <c r="N213" s="17"/>
      <c r="O213" s="17"/>
      <c r="P213" s="17"/>
      <c r="Q213" s="17"/>
      <c r="R213" s="17"/>
      <c r="S213" s="17"/>
      <c r="T213" s="17"/>
      <c r="U213" s="17"/>
      <c r="V213" s="12"/>
      <c r="W213" s="12"/>
      <c r="X213" s="12"/>
      <c r="Y213" s="12"/>
      <c r="Z213" s="12"/>
    </row>
    <row r="214" spans="1:26" ht="15" customHeight="1" x14ac:dyDescent="0.3">
      <c r="A214" s="26"/>
      <c r="B214" s="17"/>
      <c r="C214" s="17"/>
      <c r="D214" s="17"/>
      <c r="E214" s="17"/>
      <c r="F214" s="17"/>
      <c r="G214" s="17"/>
      <c r="H214" s="17"/>
      <c r="I214" s="17"/>
      <c r="J214" s="17"/>
      <c r="K214" s="17"/>
      <c r="L214" s="17"/>
      <c r="M214" s="17"/>
      <c r="N214" s="17"/>
      <c r="O214" s="17"/>
      <c r="P214" s="17"/>
      <c r="Q214" s="17"/>
      <c r="R214" s="17"/>
      <c r="S214" s="17"/>
      <c r="T214" s="17"/>
      <c r="U214" s="17"/>
      <c r="V214" s="12"/>
      <c r="W214" s="12"/>
      <c r="X214" s="12"/>
      <c r="Y214" s="12"/>
      <c r="Z214" s="12"/>
    </row>
    <row r="215" spans="1:26" ht="15" customHeight="1" x14ac:dyDescent="0.3">
      <c r="A215" s="26"/>
      <c r="B215" s="17"/>
      <c r="C215" s="17"/>
      <c r="D215" s="17"/>
      <c r="E215" s="17"/>
      <c r="F215" s="17"/>
      <c r="G215" s="17"/>
      <c r="H215" s="17"/>
      <c r="I215" s="17"/>
      <c r="J215" s="17"/>
      <c r="K215" s="17"/>
      <c r="L215" s="17"/>
      <c r="M215" s="17"/>
      <c r="N215" s="17"/>
      <c r="O215" s="17"/>
      <c r="P215" s="17"/>
      <c r="Q215" s="17"/>
      <c r="R215" s="17"/>
      <c r="S215" s="17"/>
      <c r="T215" s="17"/>
      <c r="U215" s="17"/>
      <c r="V215" s="12"/>
      <c r="W215" s="12"/>
      <c r="X215" s="12"/>
      <c r="Y215" s="12"/>
      <c r="Z215" s="12"/>
    </row>
    <row r="216" spans="1:26" ht="15" customHeight="1" x14ac:dyDescent="0.3">
      <c r="A216" s="26"/>
      <c r="B216" s="17"/>
      <c r="C216" s="17"/>
      <c r="D216" s="17"/>
      <c r="E216" s="17"/>
      <c r="F216" s="17"/>
      <c r="G216" s="17"/>
      <c r="H216" s="17"/>
      <c r="I216" s="17"/>
      <c r="J216" s="17"/>
      <c r="K216" s="17"/>
      <c r="L216" s="17"/>
      <c r="M216" s="17"/>
      <c r="N216" s="17"/>
      <c r="O216" s="17"/>
      <c r="P216" s="17"/>
      <c r="Q216" s="17"/>
      <c r="R216" s="17"/>
      <c r="S216" s="17"/>
      <c r="T216" s="17"/>
      <c r="U216" s="17"/>
      <c r="V216" s="12"/>
      <c r="W216" s="12"/>
      <c r="X216" s="12"/>
      <c r="Y216" s="12"/>
      <c r="Z216" s="12"/>
    </row>
    <row r="217" spans="1:26" ht="15" customHeight="1" x14ac:dyDescent="0.3">
      <c r="A217" s="26"/>
      <c r="B217" s="17"/>
      <c r="C217" s="17"/>
      <c r="D217" s="17"/>
      <c r="E217" s="17"/>
      <c r="F217" s="17"/>
      <c r="G217" s="17"/>
      <c r="H217" s="17"/>
      <c r="I217" s="17"/>
      <c r="J217" s="17"/>
      <c r="K217" s="17"/>
      <c r="L217" s="17"/>
      <c r="M217" s="17"/>
      <c r="N217" s="17"/>
      <c r="O217" s="17"/>
      <c r="P217" s="17"/>
      <c r="Q217" s="17"/>
      <c r="R217" s="17"/>
      <c r="S217" s="17"/>
      <c r="T217" s="17"/>
      <c r="U217" s="17"/>
      <c r="V217" s="12"/>
      <c r="W217" s="12"/>
      <c r="X217" s="12"/>
      <c r="Y217" s="12"/>
      <c r="Z217" s="12"/>
    </row>
    <row r="218" spans="1:26" ht="15" customHeight="1" x14ac:dyDescent="0.3">
      <c r="A218" s="26"/>
      <c r="B218" s="17"/>
      <c r="C218" s="17"/>
      <c r="D218" s="17"/>
      <c r="E218" s="17"/>
      <c r="F218" s="17"/>
      <c r="G218" s="17"/>
      <c r="H218" s="17"/>
      <c r="I218" s="17"/>
      <c r="J218" s="17"/>
      <c r="K218" s="17"/>
      <c r="L218" s="17"/>
      <c r="M218" s="17"/>
      <c r="N218" s="17"/>
      <c r="O218" s="17"/>
      <c r="P218" s="17"/>
      <c r="Q218" s="17"/>
      <c r="R218" s="17"/>
      <c r="S218" s="17"/>
      <c r="T218" s="17"/>
      <c r="U218" s="17"/>
      <c r="V218" s="12"/>
      <c r="W218" s="12"/>
      <c r="X218" s="12"/>
      <c r="Y218" s="12"/>
      <c r="Z218" s="12"/>
    </row>
    <row r="219" spans="1:26" ht="15" customHeight="1" x14ac:dyDescent="0.3">
      <c r="A219" s="26"/>
      <c r="B219" s="17"/>
      <c r="C219" s="17"/>
      <c r="D219" s="17"/>
      <c r="E219" s="17"/>
      <c r="F219" s="17"/>
      <c r="G219" s="17"/>
      <c r="H219" s="17"/>
      <c r="I219" s="17"/>
      <c r="J219" s="17"/>
      <c r="K219" s="17"/>
      <c r="L219" s="17"/>
      <c r="M219" s="17"/>
      <c r="N219" s="17"/>
      <c r="O219" s="17"/>
      <c r="P219" s="17"/>
      <c r="Q219" s="17"/>
      <c r="R219" s="17"/>
      <c r="S219" s="17"/>
      <c r="T219" s="17"/>
      <c r="U219" s="17"/>
      <c r="V219" s="12"/>
      <c r="W219" s="12"/>
      <c r="X219" s="12"/>
      <c r="Y219" s="12"/>
      <c r="Z219" s="12"/>
    </row>
    <row r="220" spans="1:26" ht="15" customHeight="1" x14ac:dyDescent="0.3">
      <c r="A220" s="26"/>
      <c r="B220" s="17"/>
      <c r="C220" s="17"/>
      <c r="D220" s="17"/>
      <c r="E220" s="17"/>
      <c r="F220" s="17"/>
      <c r="G220" s="17"/>
      <c r="H220" s="17"/>
      <c r="I220" s="17"/>
      <c r="J220" s="17"/>
      <c r="K220" s="17"/>
      <c r="L220" s="17"/>
      <c r="M220" s="17"/>
      <c r="N220" s="17"/>
      <c r="O220" s="17"/>
      <c r="P220" s="17"/>
      <c r="Q220" s="17"/>
      <c r="R220" s="17"/>
      <c r="S220" s="17"/>
      <c r="T220" s="17"/>
      <c r="U220" s="17"/>
      <c r="V220" s="12"/>
      <c r="W220" s="12"/>
      <c r="X220" s="12"/>
      <c r="Y220" s="12"/>
      <c r="Z220" s="12"/>
    </row>
    <row r="221" spans="1:26" ht="15" customHeight="1" x14ac:dyDescent="0.3">
      <c r="A221" s="26"/>
      <c r="B221" s="17"/>
      <c r="C221" s="17"/>
      <c r="D221" s="17"/>
      <c r="E221" s="17"/>
      <c r="F221" s="17"/>
      <c r="G221" s="17"/>
      <c r="H221" s="17"/>
      <c r="I221" s="17"/>
      <c r="J221" s="17"/>
      <c r="K221" s="17"/>
      <c r="L221" s="17"/>
      <c r="M221" s="17"/>
      <c r="N221" s="17"/>
      <c r="O221" s="17"/>
      <c r="P221" s="17"/>
      <c r="Q221" s="17"/>
      <c r="R221" s="17"/>
      <c r="S221" s="17"/>
      <c r="T221" s="17"/>
      <c r="U221" s="17"/>
      <c r="V221" s="12"/>
      <c r="W221" s="12"/>
      <c r="X221" s="12"/>
      <c r="Y221" s="12"/>
      <c r="Z221" s="12"/>
    </row>
    <row r="222" spans="1:26" ht="15" customHeight="1" x14ac:dyDescent="0.3">
      <c r="A222" s="26"/>
      <c r="B222" s="17"/>
      <c r="C222" s="17"/>
      <c r="D222" s="17"/>
      <c r="E222" s="17"/>
      <c r="F222" s="17"/>
      <c r="G222" s="17"/>
      <c r="H222" s="17"/>
      <c r="I222" s="17"/>
      <c r="J222" s="17"/>
      <c r="K222" s="17"/>
      <c r="L222" s="17"/>
      <c r="M222" s="17"/>
      <c r="N222" s="17"/>
      <c r="O222" s="17"/>
      <c r="P222" s="17"/>
      <c r="Q222" s="17"/>
      <c r="R222" s="17"/>
      <c r="S222" s="17"/>
      <c r="T222" s="17"/>
      <c r="U222" s="17"/>
      <c r="V222" s="12"/>
      <c r="W222" s="12"/>
      <c r="X222" s="12"/>
      <c r="Y222" s="12"/>
      <c r="Z222" s="12"/>
    </row>
    <row r="223" spans="1:26" ht="15" customHeight="1" x14ac:dyDescent="0.3">
      <c r="A223" s="26"/>
      <c r="B223" s="17"/>
      <c r="C223" s="17"/>
      <c r="D223" s="17"/>
      <c r="E223" s="17"/>
      <c r="F223" s="17"/>
      <c r="G223" s="17"/>
      <c r="H223" s="17"/>
      <c r="I223" s="17"/>
      <c r="J223" s="17"/>
      <c r="K223" s="17"/>
      <c r="L223" s="17"/>
      <c r="M223" s="17"/>
      <c r="N223" s="17"/>
      <c r="O223" s="17"/>
      <c r="P223" s="17"/>
      <c r="Q223" s="17"/>
      <c r="R223" s="17"/>
      <c r="S223" s="17"/>
      <c r="T223" s="17"/>
      <c r="U223" s="17"/>
      <c r="V223" s="12"/>
      <c r="W223" s="12"/>
      <c r="X223" s="12"/>
      <c r="Y223" s="12"/>
      <c r="Z223" s="12"/>
    </row>
    <row r="224" spans="1:26" ht="15" customHeight="1" x14ac:dyDescent="0.3">
      <c r="A224" s="26"/>
      <c r="B224" s="17"/>
      <c r="C224" s="17"/>
      <c r="D224" s="17"/>
      <c r="E224" s="17"/>
      <c r="F224" s="17"/>
      <c r="G224" s="17"/>
      <c r="H224" s="17"/>
      <c r="I224" s="17"/>
      <c r="J224" s="17"/>
      <c r="K224" s="17"/>
      <c r="L224" s="17"/>
      <c r="M224" s="17"/>
      <c r="N224" s="17"/>
      <c r="O224" s="17"/>
      <c r="P224" s="17"/>
      <c r="Q224" s="17"/>
      <c r="R224" s="17"/>
      <c r="S224" s="17"/>
      <c r="T224" s="17"/>
      <c r="U224" s="17"/>
      <c r="V224" s="12"/>
      <c r="W224" s="12"/>
      <c r="X224" s="12"/>
      <c r="Y224" s="12"/>
      <c r="Z224" s="12"/>
    </row>
    <row r="225" spans="1:26" ht="15" customHeight="1" x14ac:dyDescent="0.3">
      <c r="A225" s="26"/>
      <c r="B225" s="17"/>
      <c r="C225" s="17"/>
      <c r="D225" s="17"/>
      <c r="E225" s="17"/>
      <c r="F225" s="17"/>
      <c r="G225" s="17"/>
      <c r="H225" s="17"/>
      <c r="I225" s="17"/>
      <c r="J225" s="17"/>
      <c r="K225" s="17"/>
      <c r="L225" s="17"/>
      <c r="M225" s="17"/>
      <c r="N225" s="17"/>
      <c r="O225" s="17"/>
      <c r="P225" s="17"/>
      <c r="Q225" s="17"/>
      <c r="R225" s="17"/>
      <c r="S225" s="17"/>
      <c r="T225" s="17"/>
      <c r="U225" s="17"/>
      <c r="V225" s="12"/>
      <c r="W225" s="12"/>
      <c r="X225" s="12"/>
      <c r="Y225" s="12"/>
      <c r="Z225" s="12"/>
    </row>
    <row r="226" spans="1:26" ht="15" customHeight="1" x14ac:dyDescent="0.3">
      <c r="A226" s="26"/>
      <c r="B226" s="17"/>
      <c r="C226" s="17"/>
      <c r="D226" s="17"/>
      <c r="E226" s="17"/>
      <c r="F226" s="17"/>
      <c r="G226" s="17"/>
      <c r="H226" s="17"/>
      <c r="I226" s="17"/>
      <c r="J226" s="17"/>
      <c r="K226" s="17"/>
      <c r="L226" s="17"/>
      <c r="M226" s="17"/>
      <c r="N226" s="17"/>
      <c r="O226" s="17"/>
      <c r="P226" s="17"/>
      <c r="Q226" s="17"/>
      <c r="R226" s="17"/>
      <c r="S226" s="17"/>
      <c r="T226" s="17"/>
      <c r="U226" s="17"/>
      <c r="V226" s="12"/>
      <c r="W226" s="12"/>
      <c r="X226" s="12"/>
      <c r="Y226" s="12"/>
      <c r="Z226" s="12"/>
    </row>
    <row r="227" spans="1:26" ht="15" customHeight="1" x14ac:dyDescent="0.3">
      <c r="A227" s="26"/>
      <c r="B227" s="17"/>
      <c r="C227" s="17"/>
      <c r="D227" s="17"/>
      <c r="E227" s="17"/>
      <c r="F227" s="17"/>
      <c r="G227" s="17"/>
      <c r="H227" s="17"/>
      <c r="I227" s="17"/>
      <c r="J227" s="17"/>
      <c r="K227" s="17"/>
      <c r="L227" s="17"/>
      <c r="M227" s="17"/>
      <c r="N227" s="17"/>
      <c r="O227" s="17"/>
      <c r="P227" s="17"/>
      <c r="Q227" s="17"/>
      <c r="R227" s="17"/>
      <c r="S227" s="17"/>
      <c r="T227" s="17"/>
      <c r="U227" s="17"/>
      <c r="V227" s="12"/>
      <c r="W227" s="12"/>
      <c r="X227" s="12"/>
      <c r="Y227" s="12"/>
      <c r="Z227" s="12"/>
    </row>
    <row r="228" spans="1:26" ht="15" customHeight="1" x14ac:dyDescent="0.3">
      <c r="A228" s="26"/>
      <c r="B228" s="17"/>
      <c r="C228" s="17"/>
      <c r="D228" s="17"/>
      <c r="E228" s="17"/>
      <c r="F228" s="17"/>
      <c r="G228" s="17"/>
      <c r="H228" s="17"/>
      <c r="I228" s="17"/>
      <c r="J228" s="17"/>
      <c r="K228" s="17"/>
      <c r="L228" s="17"/>
      <c r="M228" s="17"/>
      <c r="N228" s="17"/>
      <c r="O228" s="17"/>
      <c r="P228" s="17"/>
      <c r="Q228" s="17"/>
      <c r="R228" s="17"/>
      <c r="S228" s="17"/>
      <c r="T228" s="17"/>
      <c r="U228" s="17"/>
      <c r="V228" s="12"/>
      <c r="W228" s="12"/>
      <c r="X228" s="12"/>
      <c r="Y228" s="12"/>
      <c r="Z228" s="12"/>
    </row>
    <row r="229" spans="1:26" ht="15" customHeight="1" x14ac:dyDescent="0.3">
      <c r="A229" s="26"/>
      <c r="B229" s="17"/>
      <c r="C229" s="17"/>
      <c r="D229" s="17"/>
      <c r="E229" s="17"/>
      <c r="F229" s="17"/>
      <c r="G229" s="17"/>
      <c r="H229" s="17"/>
      <c r="I229" s="17"/>
      <c r="J229" s="17"/>
      <c r="K229" s="17"/>
      <c r="L229" s="17"/>
      <c r="M229" s="17"/>
      <c r="N229" s="17"/>
      <c r="O229" s="17"/>
      <c r="P229" s="17"/>
      <c r="Q229" s="17"/>
      <c r="R229" s="17"/>
      <c r="S229" s="17"/>
      <c r="T229" s="17"/>
      <c r="U229" s="17"/>
      <c r="V229" s="12"/>
      <c r="W229" s="12"/>
      <c r="X229" s="12"/>
      <c r="Y229" s="12"/>
      <c r="Z229" s="12"/>
    </row>
    <row r="230" spans="1:26" ht="15" customHeight="1" x14ac:dyDescent="0.3">
      <c r="A230" s="26"/>
      <c r="B230" s="17"/>
      <c r="C230" s="17"/>
      <c r="D230" s="17"/>
      <c r="E230" s="17"/>
      <c r="F230" s="17"/>
      <c r="G230" s="17"/>
      <c r="H230" s="17"/>
      <c r="I230" s="17"/>
      <c r="J230" s="17"/>
      <c r="K230" s="17"/>
      <c r="L230" s="17"/>
      <c r="M230" s="17"/>
      <c r="N230" s="17"/>
      <c r="O230" s="17"/>
      <c r="P230" s="17"/>
      <c r="Q230" s="17"/>
      <c r="R230" s="17"/>
      <c r="S230" s="17"/>
      <c r="T230" s="17"/>
      <c r="U230" s="17"/>
      <c r="V230" s="12"/>
      <c r="W230" s="12"/>
      <c r="X230" s="12"/>
      <c r="Y230" s="12"/>
      <c r="Z230" s="12"/>
    </row>
    <row r="231" spans="1:26" ht="15" customHeight="1" x14ac:dyDescent="0.3">
      <c r="A231" s="26"/>
      <c r="B231" s="17"/>
      <c r="C231" s="17"/>
      <c r="D231" s="17"/>
      <c r="E231" s="17"/>
      <c r="F231" s="17"/>
      <c r="G231" s="17"/>
      <c r="H231" s="17"/>
      <c r="I231" s="17"/>
      <c r="J231" s="17"/>
      <c r="K231" s="17"/>
      <c r="L231" s="17"/>
      <c r="M231" s="17"/>
      <c r="N231" s="17"/>
      <c r="O231" s="17"/>
      <c r="P231" s="17"/>
      <c r="Q231" s="17"/>
      <c r="R231" s="17"/>
      <c r="S231" s="17"/>
      <c r="T231" s="17"/>
      <c r="U231" s="17"/>
      <c r="V231" s="12"/>
      <c r="W231" s="12"/>
      <c r="X231" s="12"/>
      <c r="Y231" s="12"/>
      <c r="Z231" s="12"/>
    </row>
    <row r="232" spans="1:26" ht="15" customHeight="1" x14ac:dyDescent="0.3">
      <c r="A232" s="26"/>
      <c r="B232" s="17"/>
      <c r="C232" s="17"/>
      <c r="D232" s="17"/>
      <c r="E232" s="17"/>
      <c r="F232" s="17"/>
      <c r="G232" s="17"/>
      <c r="H232" s="17"/>
      <c r="I232" s="17"/>
      <c r="J232" s="17"/>
      <c r="K232" s="17"/>
      <c r="L232" s="17"/>
      <c r="M232" s="17"/>
      <c r="N232" s="17"/>
      <c r="O232" s="17"/>
      <c r="P232" s="17"/>
      <c r="Q232" s="17"/>
      <c r="R232" s="17"/>
      <c r="S232" s="17"/>
      <c r="T232" s="17"/>
      <c r="U232" s="17"/>
      <c r="V232" s="12"/>
      <c r="W232" s="12"/>
      <c r="X232" s="12"/>
      <c r="Y232" s="12"/>
      <c r="Z232" s="12"/>
    </row>
    <row r="233" spans="1:26" ht="15" customHeight="1" x14ac:dyDescent="0.3">
      <c r="A233" s="26"/>
      <c r="B233" s="17"/>
      <c r="C233" s="17"/>
      <c r="D233" s="17"/>
      <c r="E233" s="17"/>
      <c r="F233" s="17"/>
      <c r="G233" s="17"/>
      <c r="H233" s="17"/>
      <c r="I233" s="17"/>
      <c r="J233" s="17"/>
      <c r="K233" s="17"/>
      <c r="L233" s="17"/>
      <c r="M233" s="17"/>
      <c r="N233" s="17"/>
      <c r="O233" s="17"/>
      <c r="P233" s="17"/>
      <c r="Q233" s="17"/>
      <c r="R233" s="17"/>
      <c r="S233" s="17"/>
      <c r="T233" s="17"/>
      <c r="U233" s="17"/>
      <c r="V233" s="12"/>
      <c r="W233" s="12"/>
      <c r="X233" s="12"/>
      <c r="Y233" s="12"/>
      <c r="Z233" s="12"/>
    </row>
    <row r="234" spans="1:26" ht="15" customHeight="1" x14ac:dyDescent="0.3">
      <c r="A234" s="27"/>
      <c r="B234" s="19"/>
      <c r="C234" s="19"/>
      <c r="D234" s="19"/>
      <c r="E234" s="19"/>
      <c r="F234" s="19"/>
      <c r="G234" s="19"/>
      <c r="H234" s="19"/>
      <c r="I234" s="19"/>
      <c r="J234" s="19"/>
      <c r="K234" s="19"/>
      <c r="L234" s="17"/>
      <c r="M234" s="17"/>
      <c r="N234" s="17"/>
      <c r="O234" s="17"/>
      <c r="P234" s="17"/>
      <c r="Q234" s="17"/>
      <c r="R234" s="17"/>
      <c r="S234" s="17"/>
      <c r="T234" s="17"/>
      <c r="U234" s="17"/>
      <c r="V234" s="12"/>
      <c r="W234" s="12"/>
      <c r="X234" s="12"/>
      <c r="Y234" s="12"/>
      <c r="Z234" s="12"/>
    </row>
    <row r="235" spans="1:26" ht="15" customHeight="1" x14ac:dyDescent="0.3">
      <c r="A235" s="27"/>
      <c r="B235" s="19"/>
      <c r="C235" s="19"/>
      <c r="D235" s="19"/>
      <c r="E235" s="19"/>
      <c r="F235" s="19"/>
      <c r="G235" s="19"/>
      <c r="H235" s="19"/>
      <c r="I235" s="19"/>
      <c r="J235" s="19"/>
      <c r="K235" s="19"/>
      <c r="L235" s="17"/>
      <c r="M235" s="17"/>
      <c r="N235" s="17"/>
      <c r="O235" s="17"/>
      <c r="P235" s="17"/>
      <c r="Q235" s="17"/>
      <c r="R235" s="17"/>
      <c r="S235" s="17"/>
      <c r="T235" s="17"/>
      <c r="U235" s="17"/>
      <c r="V235" s="12"/>
      <c r="W235" s="12"/>
      <c r="X235" s="12"/>
      <c r="Y235" s="12"/>
      <c r="Z235" s="12"/>
    </row>
    <row r="236" spans="1:26" ht="15" customHeight="1" x14ac:dyDescent="0.3">
      <c r="A236" s="27"/>
      <c r="B236" s="19"/>
      <c r="C236" s="19"/>
      <c r="D236" s="19"/>
      <c r="E236" s="19"/>
      <c r="F236" s="19"/>
      <c r="G236" s="19"/>
      <c r="H236" s="19"/>
      <c r="I236" s="19"/>
      <c r="J236" s="19"/>
      <c r="K236" s="19"/>
      <c r="L236" s="17"/>
      <c r="M236" s="17"/>
      <c r="N236" s="17"/>
      <c r="O236" s="17"/>
      <c r="P236" s="17"/>
      <c r="Q236" s="17"/>
      <c r="R236" s="17"/>
      <c r="S236" s="17"/>
      <c r="T236" s="17"/>
      <c r="U236" s="17"/>
      <c r="V236" s="12"/>
      <c r="W236" s="12"/>
      <c r="X236" s="12"/>
      <c r="Y236" s="12"/>
      <c r="Z236" s="12"/>
    </row>
    <row r="237" spans="1:26" ht="15" customHeight="1" x14ac:dyDescent="0.3">
      <c r="A237" s="27"/>
      <c r="B237" s="19"/>
      <c r="C237" s="19"/>
      <c r="D237" s="19"/>
      <c r="E237" s="19"/>
      <c r="F237" s="19"/>
      <c r="G237" s="19"/>
      <c r="H237" s="19"/>
      <c r="I237" s="19"/>
      <c r="J237" s="19"/>
      <c r="K237" s="19"/>
      <c r="L237" s="17"/>
      <c r="M237" s="17"/>
      <c r="N237" s="17"/>
      <c r="O237" s="17"/>
      <c r="P237" s="17"/>
      <c r="Q237" s="17"/>
      <c r="R237" s="17"/>
      <c r="S237" s="17"/>
      <c r="T237" s="17"/>
      <c r="U237" s="17"/>
      <c r="V237" s="12"/>
      <c r="W237" s="12"/>
      <c r="X237" s="12"/>
      <c r="Y237" s="12"/>
      <c r="Z237" s="12"/>
    </row>
    <row r="238" spans="1:26" ht="15" customHeight="1" x14ac:dyDescent="0.3">
      <c r="A238" s="27"/>
      <c r="B238" s="19"/>
      <c r="C238" s="19"/>
      <c r="D238" s="19"/>
      <c r="E238" s="19"/>
      <c r="F238" s="19"/>
      <c r="G238" s="19"/>
      <c r="H238" s="19"/>
      <c r="I238" s="19"/>
      <c r="J238" s="19"/>
      <c r="K238" s="19"/>
      <c r="L238" s="17"/>
      <c r="M238" s="17"/>
      <c r="N238" s="17"/>
      <c r="O238" s="17"/>
      <c r="P238" s="17"/>
      <c r="Q238" s="17"/>
      <c r="R238" s="17"/>
      <c r="S238" s="17"/>
      <c r="T238" s="17"/>
      <c r="U238" s="17"/>
      <c r="V238" s="12"/>
      <c r="W238" s="12"/>
      <c r="X238" s="12"/>
      <c r="Y238" s="12"/>
      <c r="Z238" s="12"/>
    </row>
    <row r="239" spans="1:26" ht="15" customHeight="1" x14ac:dyDescent="0.3">
      <c r="A239" s="27"/>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 customHeight="1" x14ac:dyDescent="0.3">
      <c r="A240" s="27"/>
      <c r="B240" s="18"/>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 customHeight="1" x14ac:dyDescent="0.3">
      <c r="A241" s="27"/>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 customHeight="1" x14ac:dyDescent="0.3">
      <c r="A242" s="27"/>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 customHeight="1" x14ac:dyDescent="0.3">
      <c r="A243" s="27"/>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 customHeight="1" x14ac:dyDescent="0.3">
      <c r="A244" s="27"/>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 customHeight="1" x14ac:dyDescent="0.3">
      <c r="A245" s="27"/>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 customHeight="1" x14ac:dyDescent="0.3">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 customHeight="1" x14ac:dyDescent="0.3">
      <c r="A247" s="27"/>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 customHeight="1" x14ac:dyDescent="0.3">
      <c r="A248" s="27"/>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 customHeight="1" x14ac:dyDescent="0.3">
      <c r="A249" s="27"/>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 customHeight="1" x14ac:dyDescent="0.3">
      <c r="A250" s="27"/>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 customHeight="1" x14ac:dyDescent="0.3">
      <c r="A251" s="27"/>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 customHeight="1" x14ac:dyDescent="0.3">
      <c r="A252" s="27"/>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 customHeight="1" x14ac:dyDescent="0.3">
      <c r="A253" s="27"/>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 customHeight="1" x14ac:dyDescent="0.3">
      <c r="A254" s="27"/>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 customHeight="1" x14ac:dyDescent="0.3">
      <c r="A255" s="27"/>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 customHeight="1" x14ac:dyDescent="0.3">
      <c r="A256" s="27"/>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 customHeight="1" x14ac:dyDescent="0.3">
      <c r="A257" s="27"/>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 customHeight="1" x14ac:dyDescent="0.3">
      <c r="A258" s="27"/>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 customHeight="1" x14ac:dyDescent="0.3">
      <c r="A259" s="27"/>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 customHeight="1" x14ac:dyDescent="0.3">
      <c r="A260" s="27"/>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 customHeight="1" x14ac:dyDescent="0.3">
      <c r="A261" s="27"/>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 customHeight="1" x14ac:dyDescent="0.3">
      <c r="A262" s="27"/>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 customHeight="1" x14ac:dyDescent="0.3">
      <c r="A263" s="27"/>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 customHeight="1" x14ac:dyDescent="0.3">
      <c r="A264" s="27"/>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 customHeight="1" x14ac:dyDescent="0.3">
      <c r="A265" s="27"/>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 customHeight="1" x14ac:dyDescent="0.3">
      <c r="A266" s="27"/>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 customHeight="1" x14ac:dyDescent="0.3">
      <c r="A267" s="27"/>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 customHeight="1" x14ac:dyDescent="0.3">
      <c r="A268" s="27"/>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 customHeight="1" x14ac:dyDescent="0.3">
      <c r="A269" s="27"/>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 customHeight="1" x14ac:dyDescent="0.3">
      <c r="A270" s="27"/>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 customHeight="1" x14ac:dyDescent="0.3">
      <c r="A271" s="27"/>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 customHeight="1" x14ac:dyDescent="0.3">
      <c r="A272" s="27"/>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 customHeight="1" x14ac:dyDescent="0.3">
      <c r="A273" s="27"/>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 customHeight="1" x14ac:dyDescent="0.3">
      <c r="A274" s="27"/>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 customHeight="1" x14ac:dyDescent="0.3">
      <c r="A275" s="27"/>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 customHeight="1" x14ac:dyDescent="0.3">
      <c r="A276" s="27"/>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 customHeight="1" x14ac:dyDescent="0.3">
      <c r="A277" s="27"/>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 customHeight="1" x14ac:dyDescent="0.3">
      <c r="A278" s="27"/>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 customHeight="1" x14ac:dyDescent="0.3">
      <c r="A279" s="27"/>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 customHeight="1" x14ac:dyDescent="0.3">
      <c r="A280" s="27"/>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 customHeight="1" x14ac:dyDescent="0.3">
      <c r="A281" s="27"/>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 customHeight="1" x14ac:dyDescent="0.3">
      <c r="A282" s="27"/>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 customHeight="1" x14ac:dyDescent="0.3">
      <c r="A283" s="27"/>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 customHeight="1" x14ac:dyDescent="0.3">
      <c r="A284" s="27"/>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 customHeight="1" x14ac:dyDescent="0.3">
      <c r="A285" s="27"/>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 customHeight="1" x14ac:dyDescent="0.3">
      <c r="A286" s="27"/>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 customHeight="1" x14ac:dyDescent="0.3">
      <c r="A287" s="27"/>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 customHeight="1" x14ac:dyDescent="0.3">
      <c r="A288" s="27"/>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 customHeight="1" x14ac:dyDescent="0.3">
      <c r="A289" s="27"/>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 customHeight="1" x14ac:dyDescent="0.3">
      <c r="A290" s="27"/>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 customHeight="1" x14ac:dyDescent="0.3">
      <c r="A291" s="27"/>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 customHeight="1" x14ac:dyDescent="0.3">
      <c r="A292" s="27"/>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 customHeight="1" x14ac:dyDescent="0.3">
      <c r="A293" s="27"/>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 customHeight="1" x14ac:dyDescent="0.3">
      <c r="A294" s="27"/>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 customHeight="1" x14ac:dyDescent="0.3">
      <c r="A295" s="27"/>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 customHeight="1" x14ac:dyDescent="0.3">
      <c r="A296" s="27"/>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 customHeight="1" x14ac:dyDescent="0.3">
      <c r="A297" s="27"/>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 customHeight="1" x14ac:dyDescent="0.3">
      <c r="A298" s="27"/>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 customHeight="1" x14ac:dyDescent="0.3">
      <c r="A299" s="27"/>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 customHeight="1" x14ac:dyDescent="0.3">
      <c r="A300" s="27"/>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 customHeight="1" x14ac:dyDescent="0.3">
      <c r="A301" s="27"/>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 customHeight="1" x14ac:dyDescent="0.3">
      <c r="A302" s="27"/>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 customHeight="1" x14ac:dyDescent="0.3">
      <c r="A303" s="27"/>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 customHeight="1" x14ac:dyDescent="0.3">
      <c r="A304" s="27"/>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 customHeight="1" x14ac:dyDescent="0.3">
      <c r="A305" s="27"/>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 customHeight="1" x14ac:dyDescent="0.3">
      <c r="A306" s="27"/>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 customHeight="1" x14ac:dyDescent="0.3">
      <c r="A307" s="27"/>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 customHeight="1" x14ac:dyDescent="0.3">
      <c r="A308" s="27"/>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 customHeight="1" x14ac:dyDescent="0.3">
      <c r="A309" s="27"/>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 customHeight="1" x14ac:dyDescent="0.3">
      <c r="A310" s="27"/>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 customHeight="1" x14ac:dyDescent="0.3">
      <c r="A311" s="27"/>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 customHeight="1" x14ac:dyDescent="0.3">
      <c r="A312" s="27"/>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 customHeight="1" x14ac:dyDescent="0.3">
      <c r="A313" s="27"/>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 customHeight="1" x14ac:dyDescent="0.3">
      <c r="A314" s="27"/>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 customHeight="1" x14ac:dyDescent="0.3">
      <c r="A315" s="27"/>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 customHeight="1" x14ac:dyDescent="0.3">
      <c r="A316" s="27"/>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 customHeight="1" x14ac:dyDescent="0.3">
      <c r="A317" s="27"/>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 customHeight="1" x14ac:dyDescent="0.3">
      <c r="A318" s="27"/>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 customHeight="1" x14ac:dyDescent="0.3">
      <c r="A319" s="27"/>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 customHeight="1" x14ac:dyDescent="0.3">
      <c r="A320" s="27"/>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 customHeight="1" x14ac:dyDescent="0.3">
      <c r="A321" s="27"/>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 customHeight="1" x14ac:dyDescent="0.3">
      <c r="A322" s="27"/>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 customHeight="1" x14ac:dyDescent="0.3">
      <c r="A323" s="27"/>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 customHeight="1" x14ac:dyDescent="0.3">
      <c r="A324" s="27"/>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 customHeight="1" x14ac:dyDescent="0.3">
      <c r="A325" s="27"/>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 customHeight="1" x14ac:dyDescent="0.3">
      <c r="A326" s="27"/>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 customHeight="1" x14ac:dyDescent="0.3">
      <c r="A327" s="27"/>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 customHeight="1" x14ac:dyDescent="0.3">
      <c r="A328" s="27"/>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 customHeight="1" x14ac:dyDescent="0.3">
      <c r="A329" s="27"/>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 customHeight="1" x14ac:dyDescent="0.3">
      <c r="A330" s="27"/>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 customHeight="1" x14ac:dyDescent="0.3">
      <c r="A331" s="27"/>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 customHeight="1" x14ac:dyDescent="0.3">
      <c r="A332" s="27"/>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 customHeight="1" x14ac:dyDescent="0.3">
      <c r="A333" s="27"/>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 customHeight="1" x14ac:dyDescent="0.3">
      <c r="A334" s="27"/>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 customHeight="1" x14ac:dyDescent="0.3">
      <c r="A335" s="27"/>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 customHeight="1" x14ac:dyDescent="0.3">
      <c r="A336" s="27"/>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 customHeight="1" x14ac:dyDescent="0.3">
      <c r="A337" s="27"/>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 customHeight="1" x14ac:dyDescent="0.3">
      <c r="A338" s="27"/>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 customHeight="1" x14ac:dyDescent="0.3">
      <c r="A339" s="27"/>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 customHeight="1" x14ac:dyDescent="0.3">
      <c r="A340" s="27"/>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 customHeight="1" x14ac:dyDescent="0.3">
      <c r="A341" s="27"/>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 customHeight="1" x14ac:dyDescent="0.3">
      <c r="A342" s="27"/>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 customHeight="1" x14ac:dyDescent="0.3">
      <c r="A343" s="27"/>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 customHeight="1" x14ac:dyDescent="0.3">
      <c r="A344" s="27"/>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 customHeight="1" x14ac:dyDescent="0.3">
      <c r="A345" s="27"/>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 customHeight="1" x14ac:dyDescent="0.3">
      <c r="A346" s="27"/>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 customHeight="1" x14ac:dyDescent="0.3">
      <c r="A347" s="27"/>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 customHeight="1" x14ac:dyDescent="0.3">
      <c r="A348" s="27"/>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 customHeight="1" x14ac:dyDescent="0.3">
      <c r="A349" s="27"/>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 customHeight="1" x14ac:dyDescent="0.3">
      <c r="A350" s="27"/>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 customHeight="1" x14ac:dyDescent="0.3">
      <c r="A351" s="27"/>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 customHeight="1" x14ac:dyDescent="0.3">
      <c r="A352" s="27"/>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 customHeight="1" x14ac:dyDescent="0.3">
      <c r="A353" s="27"/>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 customHeight="1" x14ac:dyDescent="0.3">
      <c r="A354" s="27"/>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 customHeight="1" x14ac:dyDescent="0.3">
      <c r="A355" s="27"/>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 customHeight="1" x14ac:dyDescent="0.3">
      <c r="A356" s="27"/>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 customHeight="1" x14ac:dyDescent="0.3">
      <c r="A357" s="27"/>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 customHeight="1" x14ac:dyDescent="0.3">
      <c r="A358" s="27"/>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 customHeight="1" x14ac:dyDescent="0.3">
      <c r="A359" s="27"/>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 customHeight="1" x14ac:dyDescent="0.3">
      <c r="A360" s="27"/>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 customHeight="1" x14ac:dyDescent="0.3">
      <c r="A361" s="27"/>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 customHeight="1" x14ac:dyDescent="0.3">
      <c r="A362" s="27"/>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 customHeight="1" x14ac:dyDescent="0.3">
      <c r="A363" s="27"/>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 customHeight="1" x14ac:dyDescent="0.3">
      <c r="A364" s="27"/>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 customHeight="1" x14ac:dyDescent="0.3">
      <c r="A365" s="27"/>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 customHeight="1" x14ac:dyDescent="0.3">
      <c r="A366" s="27"/>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 customHeight="1" x14ac:dyDescent="0.3">
      <c r="A367" s="27"/>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 customHeight="1" x14ac:dyDescent="0.3">
      <c r="A368" s="27"/>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 customHeight="1" x14ac:dyDescent="0.3">
      <c r="A369" s="27"/>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 customHeight="1" x14ac:dyDescent="0.3">
      <c r="A370" s="27"/>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 customHeight="1" x14ac:dyDescent="0.3">
      <c r="A371" s="27"/>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 customHeight="1" x14ac:dyDescent="0.3">
      <c r="A372" s="27"/>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 customHeight="1" x14ac:dyDescent="0.3">
      <c r="A373" s="27"/>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 customHeight="1" x14ac:dyDescent="0.3">
      <c r="A374" s="27"/>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 customHeight="1" x14ac:dyDescent="0.3">
      <c r="A375" s="27"/>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 customHeight="1" x14ac:dyDescent="0.3">
      <c r="A376" s="27"/>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 customHeight="1" x14ac:dyDescent="0.3">
      <c r="A377" s="27"/>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 customHeight="1" x14ac:dyDescent="0.3">
      <c r="A378" s="27"/>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 customHeight="1" x14ac:dyDescent="0.3">
      <c r="A379" s="27"/>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 customHeight="1" x14ac:dyDescent="0.3">
      <c r="A380" s="27"/>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 customHeight="1" x14ac:dyDescent="0.3">
      <c r="A381" s="27"/>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 customHeight="1" x14ac:dyDescent="0.3">
      <c r="A382" s="27"/>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 customHeight="1" x14ac:dyDescent="0.3">
      <c r="A383" s="27"/>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 customHeight="1" x14ac:dyDescent="0.3">
      <c r="A384" s="27"/>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 customHeight="1" x14ac:dyDescent="0.3">
      <c r="A385" s="27"/>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 customHeight="1" x14ac:dyDescent="0.3">
      <c r="A386" s="27"/>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 customHeight="1" x14ac:dyDescent="0.3">
      <c r="A387" s="27"/>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 customHeight="1" x14ac:dyDescent="0.3">
      <c r="A388" s="27"/>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 customHeight="1" x14ac:dyDescent="0.3">
      <c r="A389" s="27"/>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 customHeight="1" x14ac:dyDescent="0.3">
      <c r="A390" s="27"/>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 customHeight="1" x14ac:dyDescent="0.3">
      <c r="A391" s="27"/>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 customHeight="1" x14ac:dyDescent="0.3">
      <c r="A392" s="27"/>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 customHeight="1" x14ac:dyDescent="0.3">
      <c r="A393" s="27"/>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 customHeight="1" x14ac:dyDescent="0.3">
      <c r="A394" s="27"/>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 customHeight="1" x14ac:dyDescent="0.3">
      <c r="A395" s="27"/>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 customHeight="1" x14ac:dyDescent="0.3">
      <c r="A396" s="27"/>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 customHeight="1" x14ac:dyDescent="0.3">
      <c r="A397" s="27"/>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 customHeight="1" x14ac:dyDescent="0.3">
      <c r="A398" s="27"/>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 customHeight="1" x14ac:dyDescent="0.3">
      <c r="A399" s="27"/>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 customHeight="1" x14ac:dyDescent="0.3">
      <c r="A400" s="27"/>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 customHeight="1" x14ac:dyDescent="0.3">
      <c r="A401" s="27"/>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 customHeight="1" x14ac:dyDescent="0.3">
      <c r="A402" s="27"/>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 customHeight="1" x14ac:dyDescent="0.3">
      <c r="A403" s="27"/>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 customHeight="1" x14ac:dyDescent="0.3">
      <c r="A404" s="27"/>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 customHeight="1" x14ac:dyDescent="0.3">
      <c r="A405" s="27"/>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 customHeight="1" x14ac:dyDescent="0.3">
      <c r="A406" s="27"/>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 customHeight="1" x14ac:dyDescent="0.3">
      <c r="A407" s="27"/>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 customHeight="1" x14ac:dyDescent="0.3">
      <c r="A408" s="27"/>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 customHeight="1" x14ac:dyDescent="0.3">
      <c r="A409" s="27"/>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 customHeight="1" x14ac:dyDescent="0.3">
      <c r="A410" s="27"/>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 customHeight="1" x14ac:dyDescent="0.3">
      <c r="A411" s="27"/>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 customHeight="1" x14ac:dyDescent="0.3">
      <c r="A412" s="27"/>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 customHeight="1" x14ac:dyDescent="0.3">
      <c r="A413" s="27"/>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 customHeight="1" x14ac:dyDescent="0.3">
      <c r="A414" s="27"/>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 customHeight="1" x14ac:dyDescent="0.3">
      <c r="A415" s="27"/>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 customHeight="1" x14ac:dyDescent="0.3">
      <c r="A416" s="27"/>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 customHeight="1" x14ac:dyDescent="0.3">
      <c r="A417" s="27"/>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 customHeight="1" x14ac:dyDescent="0.3">
      <c r="A418" s="27"/>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 customHeight="1" x14ac:dyDescent="0.3">
      <c r="A419" s="27"/>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 customHeight="1" x14ac:dyDescent="0.3">
      <c r="A420" s="27"/>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 customHeight="1" x14ac:dyDescent="0.3">
      <c r="A421" s="27"/>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 customHeight="1" x14ac:dyDescent="0.3">
      <c r="A422" s="27"/>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 customHeight="1" x14ac:dyDescent="0.3">
      <c r="A423" s="27"/>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 customHeight="1" x14ac:dyDescent="0.3">
      <c r="A424" s="27"/>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 customHeight="1" x14ac:dyDescent="0.3">
      <c r="A425" s="27"/>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 customHeight="1" x14ac:dyDescent="0.3">
      <c r="A426" s="27"/>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 customHeight="1" x14ac:dyDescent="0.3">
      <c r="A427" s="27"/>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 customHeight="1" x14ac:dyDescent="0.3">
      <c r="A428" s="27"/>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 customHeight="1" x14ac:dyDescent="0.3">
      <c r="A429" s="27"/>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 customHeight="1" x14ac:dyDescent="0.3">
      <c r="A430" s="27"/>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 customHeight="1" x14ac:dyDescent="0.3">
      <c r="A431" s="27"/>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 customHeight="1" x14ac:dyDescent="0.3">
      <c r="A432" s="27"/>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 customHeight="1" x14ac:dyDescent="0.3">
      <c r="A433" s="27"/>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 customHeight="1" x14ac:dyDescent="0.3">
      <c r="A434" s="27"/>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 customHeight="1" x14ac:dyDescent="0.3">
      <c r="A435" s="27"/>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 customHeight="1" x14ac:dyDescent="0.3">
      <c r="A436" s="27"/>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 customHeight="1" x14ac:dyDescent="0.3">
      <c r="A437" s="27"/>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 customHeight="1" x14ac:dyDescent="0.3">
      <c r="A438" s="27"/>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 customHeight="1" x14ac:dyDescent="0.3">
      <c r="A439" s="27"/>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 customHeight="1" x14ac:dyDescent="0.3">
      <c r="A440" s="27"/>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 customHeight="1" x14ac:dyDescent="0.3">
      <c r="A441" s="27"/>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 customHeight="1" x14ac:dyDescent="0.3">
      <c r="A442" s="27"/>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 customHeight="1" x14ac:dyDescent="0.3">
      <c r="A443" s="27"/>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 customHeight="1" x14ac:dyDescent="0.3">
      <c r="A444" s="27"/>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 customHeight="1" x14ac:dyDescent="0.3">
      <c r="A445" s="27"/>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 customHeight="1" x14ac:dyDescent="0.3">
      <c r="A446" s="27"/>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 customHeight="1" x14ac:dyDescent="0.3">
      <c r="A447" s="27"/>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 customHeight="1" x14ac:dyDescent="0.3">
      <c r="A448" s="27"/>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 customHeight="1" x14ac:dyDescent="0.3">
      <c r="A449" s="27"/>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 customHeight="1" x14ac:dyDescent="0.3">
      <c r="A450" s="27"/>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 customHeight="1" x14ac:dyDescent="0.3">
      <c r="A451" s="27"/>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 customHeight="1" x14ac:dyDescent="0.3">
      <c r="A452" s="27"/>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 customHeight="1" x14ac:dyDescent="0.3">
      <c r="A453" s="27"/>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 customHeight="1" x14ac:dyDescent="0.3">
      <c r="A454" s="27"/>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 customHeight="1" x14ac:dyDescent="0.3">
      <c r="A455" s="27"/>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 customHeight="1" x14ac:dyDescent="0.3">
      <c r="A456" s="27"/>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 customHeight="1" x14ac:dyDescent="0.3">
      <c r="A457" s="27"/>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 customHeight="1" x14ac:dyDescent="0.3">
      <c r="A458" s="27"/>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 customHeight="1" x14ac:dyDescent="0.3">
      <c r="A459" s="27"/>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 customHeight="1" x14ac:dyDescent="0.3">
      <c r="A460" s="27"/>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 customHeight="1" x14ac:dyDescent="0.3">
      <c r="A461" s="27"/>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 customHeight="1" x14ac:dyDescent="0.3">
      <c r="A462" s="27"/>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 customHeight="1" x14ac:dyDescent="0.3">
      <c r="A463" s="27"/>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 customHeight="1" x14ac:dyDescent="0.3">
      <c r="A464" s="27"/>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 customHeight="1" x14ac:dyDescent="0.3">
      <c r="A465" s="27"/>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 customHeight="1" x14ac:dyDescent="0.3">
      <c r="A466" s="27"/>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 customHeight="1" x14ac:dyDescent="0.3">
      <c r="A467" s="27"/>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 customHeight="1" x14ac:dyDescent="0.3">
      <c r="A468" s="27"/>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 customHeight="1" x14ac:dyDescent="0.3">
      <c r="A469" s="27"/>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 customHeight="1" x14ac:dyDescent="0.3">
      <c r="A470" s="27"/>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 customHeight="1" x14ac:dyDescent="0.3">
      <c r="A471" s="27"/>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 customHeight="1" x14ac:dyDescent="0.3">
      <c r="A472" s="27"/>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 customHeight="1" x14ac:dyDescent="0.3">
      <c r="A473" s="27"/>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 customHeight="1" x14ac:dyDescent="0.3">
      <c r="A474" s="27"/>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 customHeight="1" x14ac:dyDescent="0.3">
      <c r="A475" s="27"/>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 customHeight="1" x14ac:dyDescent="0.3">
      <c r="A476" s="27"/>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 customHeight="1" x14ac:dyDescent="0.3">
      <c r="A477" s="27"/>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 customHeight="1" x14ac:dyDescent="0.3">
      <c r="A478" s="27"/>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 customHeight="1" x14ac:dyDescent="0.3">
      <c r="A479" s="27"/>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 customHeight="1" x14ac:dyDescent="0.3">
      <c r="A480" s="27"/>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 customHeight="1" x14ac:dyDescent="0.3">
      <c r="A481" s="27"/>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 customHeight="1" x14ac:dyDescent="0.3">
      <c r="A482" s="27"/>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 customHeight="1" x14ac:dyDescent="0.3">
      <c r="A483" s="27"/>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 customHeight="1" x14ac:dyDescent="0.3">
      <c r="A484" s="27"/>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 customHeight="1" x14ac:dyDescent="0.3">
      <c r="A485" s="27"/>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 customHeight="1" x14ac:dyDescent="0.3">
      <c r="A486" s="27"/>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 customHeight="1" x14ac:dyDescent="0.3">
      <c r="A487" s="27"/>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 customHeight="1" x14ac:dyDescent="0.3">
      <c r="A488" s="27"/>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 customHeight="1" x14ac:dyDescent="0.3">
      <c r="A489" s="27"/>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 customHeight="1" x14ac:dyDescent="0.3">
      <c r="A490" s="27"/>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 customHeight="1" x14ac:dyDescent="0.3">
      <c r="A491" s="27"/>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 customHeight="1" x14ac:dyDescent="0.3">
      <c r="A492" s="27"/>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 customHeight="1" x14ac:dyDescent="0.3">
      <c r="A493" s="27"/>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 customHeight="1" x14ac:dyDescent="0.3">
      <c r="A494" s="27"/>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 customHeight="1" x14ac:dyDescent="0.3">
      <c r="A495" s="27"/>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 customHeight="1" x14ac:dyDescent="0.3">
      <c r="A496" s="27"/>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 customHeight="1" x14ac:dyDescent="0.3">
      <c r="A497" s="27"/>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 customHeight="1" x14ac:dyDescent="0.3">
      <c r="A498" s="27"/>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 customHeight="1" x14ac:dyDescent="0.3">
      <c r="A499" s="27"/>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 customHeight="1" x14ac:dyDescent="0.3">
      <c r="A500" s="27"/>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 customHeight="1" x14ac:dyDescent="0.3">
      <c r="A501" s="27"/>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 customHeight="1" x14ac:dyDescent="0.3">
      <c r="A502" s="27"/>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 customHeight="1" x14ac:dyDescent="0.3">
      <c r="A503" s="27"/>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 customHeight="1" x14ac:dyDescent="0.3">
      <c r="A504" s="27"/>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 customHeight="1" x14ac:dyDescent="0.3">
      <c r="A505" s="27"/>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 customHeight="1" x14ac:dyDescent="0.3">
      <c r="A506" s="27"/>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 customHeight="1" x14ac:dyDescent="0.3">
      <c r="A507" s="27"/>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 customHeight="1" x14ac:dyDescent="0.3">
      <c r="A508" s="27"/>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 customHeight="1" x14ac:dyDescent="0.3">
      <c r="A509" s="27"/>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 customHeight="1" x14ac:dyDescent="0.3">
      <c r="A510" s="27"/>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 customHeight="1" x14ac:dyDescent="0.3">
      <c r="A511" s="27"/>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 customHeight="1" x14ac:dyDescent="0.3">
      <c r="A512" s="27"/>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 customHeight="1" x14ac:dyDescent="0.3">
      <c r="A513" s="27"/>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 customHeight="1" x14ac:dyDescent="0.3">
      <c r="A514" s="27"/>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 customHeight="1" x14ac:dyDescent="0.3">
      <c r="A515" s="27"/>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 customHeight="1" x14ac:dyDescent="0.3">
      <c r="A516" s="27"/>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 customHeight="1" x14ac:dyDescent="0.3">
      <c r="A517" s="27"/>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 customHeight="1" x14ac:dyDescent="0.3">
      <c r="A518" s="27"/>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 customHeight="1" x14ac:dyDescent="0.3">
      <c r="A519" s="27"/>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 customHeight="1" x14ac:dyDescent="0.3">
      <c r="A520" s="27"/>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 customHeight="1" x14ac:dyDescent="0.3">
      <c r="A521" s="27"/>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 customHeight="1" x14ac:dyDescent="0.3">
      <c r="A522" s="27"/>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 customHeight="1" x14ac:dyDescent="0.3">
      <c r="A523" s="27"/>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 customHeight="1" x14ac:dyDescent="0.3">
      <c r="A524" s="27"/>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 customHeight="1" x14ac:dyDescent="0.3">
      <c r="A525" s="27"/>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 customHeight="1" x14ac:dyDescent="0.3">
      <c r="A526" s="27"/>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 customHeight="1" x14ac:dyDescent="0.3">
      <c r="A527" s="27"/>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 customHeight="1" x14ac:dyDescent="0.3">
      <c r="A528" s="27"/>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 customHeight="1" x14ac:dyDescent="0.3">
      <c r="A529" s="27"/>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 customHeight="1" x14ac:dyDescent="0.3">
      <c r="A530" s="27"/>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 customHeight="1" x14ac:dyDescent="0.3">
      <c r="A531" s="27"/>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 customHeight="1" x14ac:dyDescent="0.3">
      <c r="A532" s="27"/>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 customHeight="1" x14ac:dyDescent="0.3">
      <c r="A533" s="27"/>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 customHeight="1" x14ac:dyDescent="0.3">
      <c r="A534" s="27"/>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 customHeight="1" x14ac:dyDescent="0.3">
      <c r="A535" s="27"/>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 customHeight="1" x14ac:dyDescent="0.3">
      <c r="A536" s="27"/>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 customHeight="1" x14ac:dyDescent="0.3">
      <c r="A537" s="27"/>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 customHeight="1" x14ac:dyDescent="0.3">
      <c r="A538" s="27"/>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 customHeight="1" x14ac:dyDescent="0.3">
      <c r="A539" s="2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 customHeight="1" x14ac:dyDescent="0.3">
      <c r="A540" s="27"/>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customHeight="1" x14ac:dyDescent="0.3">
      <c r="A541" s="2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 customHeight="1" x14ac:dyDescent="0.3">
      <c r="A542" s="2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 customHeight="1" x14ac:dyDescent="0.3">
      <c r="A543" s="2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 customHeight="1" x14ac:dyDescent="0.3">
      <c r="A544" s="2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 customHeight="1" x14ac:dyDescent="0.3">
      <c r="A545" s="2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 customHeight="1" x14ac:dyDescent="0.3">
      <c r="A546" s="27"/>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 customHeight="1" x14ac:dyDescent="0.3">
      <c r="A547" s="2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 customHeight="1" x14ac:dyDescent="0.3">
      <c r="A548" s="2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 customHeight="1" x14ac:dyDescent="0.3">
      <c r="A549" s="2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 customHeight="1" x14ac:dyDescent="0.3">
      <c r="A550" s="2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 customHeight="1" x14ac:dyDescent="0.3">
      <c r="A551" s="2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 customHeight="1" x14ac:dyDescent="0.3">
      <c r="A552" s="2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 customHeight="1" x14ac:dyDescent="0.3">
      <c r="A553" s="2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 customHeight="1" x14ac:dyDescent="0.3">
      <c r="A554" s="2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 customHeight="1" x14ac:dyDescent="0.3">
      <c r="A555" s="2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 customHeight="1" x14ac:dyDescent="0.3">
      <c r="A556" s="2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 customHeight="1" x14ac:dyDescent="0.3">
      <c r="A557" s="2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 customHeight="1" x14ac:dyDescent="0.3">
      <c r="A558" s="2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 customHeight="1" x14ac:dyDescent="0.3">
      <c r="A559" s="2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 customHeight="1" x14ac:dyDescent="0.3">
      <c r="A560" s="2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 customHeight="1" x14ac:dyDescent="0.3">
      <c r="A561" s="2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 customHeight="1" x14ac:dyDescent="0.3">
      <c r="A562" s="2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 customHeight="1" x14ac:dyDescent="0.3">
      <c r="A563" s="2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 customHeight="1" x14ac:dyDescent="0.3">
      <c r="A564" s="2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 customHeight="1" x14ac:dyDescent="0.3">
      <c r="A565" s="2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 customHeight="1" x14ac:dyDescent="0.3">
      <c r="A566" s="2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 customHeight="1" x14ac:dyDescent="0.3">
      <c r="A567" s="2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 customHeight="1" x14ac:dyDescent="0.3">
      <c r="A568" s="2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 customHeight="1" x14ac:dyDescent="0.3">
      <c r="A569" s="2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 customHeight="1" x14ac:dyDescent="0.3">
      <c r="A570" s="2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 customHeight="1" x14ac:dyDescent="0.3">
      <c r="A571" s="2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 customHeight="1" x14ac:dyDescent="0.3">
      <c r="A572" s="2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 customHeight="1" x14ac:dyDescent="0.3">
      <c r="A573" s="2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 customHeight="1" x14ac:dyDescent="0.3">
      <c r="A574" s="2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 customHeight="1" x14ac:dyDescent="0.3">
      <c r="A575" s="2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 customHeight="1" x14ac:dyDescent="0.3">
      <c r="A576" s="2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 customHeight="1" x14ac:dyDescent="0.3">
      <c r="A577" s="2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 customHeight="1" x14ac:dyDescent="0.3">
      <c r="A578" s="2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 customHeight="1" x14ac:dyDescent="0.3">
      <c r="A579" s="2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 customHeight="1" x14ac:dyDescent="0.3">
      <c r="A580" s="2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 customHeight="1" x14ac:dyDescent="0.3">
      <c r="A581" s="2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 customHeight="1" x14ac:dyDescent="0.3">
      <c r="A582" s="2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 customHeight="1" x14ac:dyDescent="0.3">
      <c r="A583" s="2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 customHeight="1" x14ac:dyDescent="0.3">
      <c r="A584" s="2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 customHeight="1" x14ac:dyDescent="0.3">
      <c r="A585" s="2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 customHeight="1" x14ac:dyDescent="0.3">
      <c r="A586" s="2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 customHeight="1" x14ac:dyDescent="0.3">
      <c r="A587" s="2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 customHeight="1" x14ac:dyDescent="0.3">
      <c r="A588" s="2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 customHeight="1" x14ac:dyDescent="0.3">
      <c r="A589" s="2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 customHeight="1" x14ac:dyDescent="0.3">
      <c r="A590" s="2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 customHeight="1" x14ac:dyDescent="0.3">
      <c r="A591" s="2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 customHeight="1" x14ac:dyDescent="0.3">
      <c r="A592" s="2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 customHeight="1" x14ac:dyDescent="0.3">
      <c r="A593" s="2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 customHeight="1" x14ac:dyDescent="0.3">
      <c r="A594" s="2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 customHeight="1" x14ac:dyDescent="0.3">
      <c r="A595" s="2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 customHeight="1" x14ac:dyDescent="0.3">
      <c r="A596" s="2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 customHeight="1" x14ac:dyDescent="0.3">
      <c r="A597" s="2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 customHeight="1" x14ac:dyDescent="0.3">
      <c r="A598" s="2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 customHeight="1" x14ac:dyDescent="0.3">
      <c r="A599" s="2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 customHeight="1" x14ac:dyDescent="0.3">
      <c r="A600" s="2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 customHeight="1" x14ac:dyDescent="0.3">
      <c r="A601" s="2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 customHeight="1" x14ac:dyDescent="0.3">
      <c r="A602" s="2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 customHeight="1" x14ac:dyDescent="0.3">
      <c r="A603" s="2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 customHeight="1" x14ac:dyDescent="0.3">
      <c r="A604" s="2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 customHeight="1" x14ac:dyDescent="0.3">
      <c r="A605" s="2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 customHeight="1" x14ac:dyDescent="0.3">
      <c r="A606" s="2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 customHeight="1" x14ac:dyDescent="0.3">
      <c r="A607" s="2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 customHeight="1" x14ac:dyDescent="0.3">
      <c r="A608" s="2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 customHeight="1" x14ac:dyDescent="0.3">
      <c r="A609" s="2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 customHeight="1" x14ac:dyDescent="0.3">
      <c r="A610" s="2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 customHeight="1" x14ac:dyDescent="0.3">
      <c r="A611" s="2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 customHeight="1" x14ac:dyDescent="0.3">
      <c r="A612" s="2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 customHeight="1" x14ac:dyDescent="0.3">
      <c r="A613" s="2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 customHeight="1" x14ac:dyDescent="0.3">
      <c r="A614" s="2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 customHeight="1" x14ac:dyDescent="0.3">
      <c r="A615" s="2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 customHeight="1" x14ac:dyDescent="0.3">
      <c r="A616" s="2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 customHeight="1" x14ac:dyDescent="0.3">
      <c r="A617" s="2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 customHeight="1" x14ac:dyDescent="0.3">
      <c r="A618" s="2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 customHeight="1" x14ac:dyDescent="0.3">
      <c r="A619" s="2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 customHeight="1" x14ac:dyDescent="0.3">
      <c r="A620" s="2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 customHeight="1" x14ac:dyDescent="0.3">
      <c r="A621" s="2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 customHeight="1" x14ac:dyDescent="0.3">
      <c r="A622" s="2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 customHeight="1" x14ac:dyDescent="0.3">
      <c r="A623" s="2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 customHeight="1" x14ac:dyDescent="0.3">
      <c r="A624" s="2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 customHeight="1" x14ac:dyDescent="0.3">
      <c r="A625" s="2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 customHeight="1" x14ac:dyDescent="0.3">
      <c r="A626" s="2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 customHeight="1" x14ac:dyDescent="0.3">
      <c r="A627" s="2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 customHeight="1" x14ac:dyDescent="0.3">
      <c r="A628" s="2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 customHeight="1" x14ac:dyDescent="0.3">
      <c r="A629" s="2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 customHeight="1" x14ac:dyDescent="0.3">
      <c r="A630" s="2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 customHeight="1" x14ac:dyDescent="0.3">
      <c r="A631" s="2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 customHeight="1" x14ac:dyDescent="0.3">
      <c r="A632" s="2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 customHeight="1" x14ac:dyDescent="0.3">
      <c r="A633" s="2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 customHeight="1" x14ac:dyDescent="0.3">
      <c r="A634" s="2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 customHeight="1" x14ac:dyDescent="0.3">
      <c r="A635" s="2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 customHeight="1" x14ac:dyDescent="0.3">
      <c r="A636" s="2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 customHeight="1" x14ac:dyDescent="0.3">
      <c r="A637" s="2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 customHeight="1" x14ac:dyDescent="0.3">
      <c r="A638" s="2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 customHeight="1" x14ac:dyDescent="0.3">
      <c r="A639" s="2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 customHeight="1" x14ac:dyDescent="0.3">
      <c r="A640" s="2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 customHeight="1" x14ac:dyDescent="0.3">
      <c r="A641" s="2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 customHeight="1" x14ac:dyDescent="0.3">
      <c r="A642" s="2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 customHeight="1" x14ac:dyDescent="0.3">
      <c r="A643" s="2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 customHeight="1" x14ac:dyDescent="0.3">
      <c r="A644" s="2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 customHeight="1" x14ac:dyDescent="0.3">
      <c r="A645" s="2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 customHeight="1" x14ac:dyDescent="0.3">
      <c r="A646" s="2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 customHeight="1" x14ac:dyDescent="0.3">
      <c r="A647" s="2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 customHeight="1" x14ac:dyDescent="0.3">
      <c r="A648" s="2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 customHeight="1" x14ac:dyDescent="0.3">
      <c r="A649" s="2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 customHeight="1" x14ac:dyDescent="0.3">
      <c r="A650" s="2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 customHeight="1" x14ac:dyDescent="0.3">
      <c r="A651" s="2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 customHeight="1" x14ac:dyDescent="0.3">
      <c r="A652" s="2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 customHeight="1" x14ac:dyDescent="0.3">
      <c r="A653" s="2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 customHeight="1" x14ac:dyDescent="0.3">
      <c r="A654" s="2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 customHeight="1" x14ac:dyDescent="0.3">
      <c r="A655" s="2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 customHeight="1" x14ac:dyDescent="0.3">
      <c r="A656" s="2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 customHeight="1" x14ac:dyDescent="0.3">
      <c r="A657" s="2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 customHeight="1" x14ac:dyDescent="0.3">
      <c r="A658" s="2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 customHeight="1" x14ac:dyDescent="0.3">
      <c r="A659" s="2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 customHeight="1" x14ac:dyDescent="0.3">
      <c r="A660" s="2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 customHeight="1" x14ac:dyDescent="0.3">
      <c r="A661" s="2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 customHeight="1" x14ac:dyDescent="0.3">
      <c r="A662" s="2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 customHeight="1" x14ac:dyDescent="0.3">
      <c r="A663" s="2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 customHeight="1" x14ac:dyDescent="0.3">
      <c r="A664" s="2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 customHeight="1" x14ac:dyDescent="0.3">
      <c r="A665" s="2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 customHeight="1" x14ac:dyDescent="0.3">
      <c r="A666" s="2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 customHeight="1" x14ac:dyDescent="0.3">
      <c r="A667" s="2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 customHeight="1" x14ac:dyDescent="0.3">
      <c r="A668" s="2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 customHeight="1" x14ac:dyDescent="0.3">
      <c r="A669" s="2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 customHeight="1" x14ac:dyDescent="0.3">
      <c r="A670" s="2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 customHeight="1" x14ac:dyDescent="0.3">
      <c r="A671" s="2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 customHeight="1" x14ac:dyDescent="0.3">
      <c r="A672" s="2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 customHeight="1" x14ac:dyDescent="0.3">
      <c r="A673" s="2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 customHeight="1" x14ac:dyDescent="0.3">
      <c r="A674" s="2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 customHeight="1" x14ac:dyDescent="0.3">
      <c r="A675" s="2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 customHeight="1" x14ac:dyDescent="0.3">
      <c r="A676" s="2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 customHeight="1" x14ac:dyDescent="0.3">
      <c r="A677" s="2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 customHeight="1" x14ac:dyDescent="0.3">
      <c r="A678" s="2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 customHeight="1" x14ac:dyDescent="0.3">
      <c r="A679" s="2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 customHeight="1" x14ac:dyDescent="0.3">
      <c r="A680" s="2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 customHeight="1" x14ac:dyDescent="0.3">
      <c r="A681" s="2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 customHeight="1" x14ac:dyDescent="0.3">
      <c r="A682" s="2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 customHeight="1" x14ac:dyDescent="0.3">
      <c r="A683" s="2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 customHeight="1" x14ac:dyDescent="0.3">
      <c r="A684" s="2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 customHeight="1" x14ac:dyDescent="0.3">
      <c r="A685" s="2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 customHeight="1" x14ac:dyDescent="0.3">
      <c r="A686" s="2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 customHeight="1" x14ac:dyDescent="0.3">
      <c r="A687" s="2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 customHeight="1" x14ac:dyDescent="0.3">
      <c r="A688" s="2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 customHeight="1" x14ac:dyDescent="0.3">
      <c r="A689" s="2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 customHeight="1" x14ac:dyDescent="0.3">
      <c r="A690" s="2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 customHeight="1" x14ac:dyDescent="0.3">
      <c r="A691" s="2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 customHeight="1" x14ac:dyDescent="0.3">
      <c r="A692" s="2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 customHeight="1" x14ac:dyDescent="0.3">
      <c r="A693" s="2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 customHeight="1" x14ac:dyDescent="0.3">
      <c r="A694" s="2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 customHeight="1" x14ac:dyDescent="0.3">
      <c r="A695" s="2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 customHeight="1" x14ac:dyDescent="0.3">
      <c r="A696" s="2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 customHeight="1" x14ac:dyDescent="0.3">
      <c r="A697" s="2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 customHeight="1" x14ac:dyDescent="0.3">
      <c r="A698" s="2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 customHeight="1" x14ac:dyDescent="0.3">
      <c r="A699" s="2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 customHeight="1" x14ac:dyDescent="0.3">
      <c r="A700" s="2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 customHeight="1" x14ac:dyDescent="0.3">
      <c r="A701" s="2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 customHeight="1" x14ac:dyDescent="0.3">
      <c r="A702" s="2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 customHeight="1" x14ac:dyDescent="0.3">
      <c r="A703" s="2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 customHeight="1" x14ac:dyDescent="0.3">
      <c r="A704" s="2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 customHeight="1" x14ac:dyDescent="0.3">
      <c r="A705" s="2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 customHeight="1" x14ac:dyDescent="0.3">
      <c r="A706" s="2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 customHeight="1" x14ac:dyDescent="0.3">
      <c r="A707" s="2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 customHeight="1" x14ac:dyDescent="0.3">
      <c r="A708" s="2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 customHeight="1" x14ac:dyDescent="0.3">
      <c r="A709" s="2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 customHeight="1" x14ac:dyDescent="0.3">
      <c r="A710" s="2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 customHeight="1" x14ac:dyDescent="0.3">
      <c r="A711" s="2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 customHeight="1" x14ac:dyDescent="0.3">
      <c r="A712" s="2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 customHeight="1" x14ac:dyDescent="0.3">
      <c r="A713" s="2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 customHeight="1" x14ac:dyDescent="0.3">
      <c r="A714" s="2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 customHeight="1" x14ac:dyDescent="0.3">
      <c r="A715" s="2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 customHeight="1" x14ac:dyDescent="0.3">
      <c r="A716" s="2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 customHeight="1" x14ac:dyDescent="0.3">
      <c r="A717" s="2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 customHeight="1" x14ac:dyDescent="0.3">
      <c r="A718" s="2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 customHeight="1" x14ac:dyDescent="0.3">
      <c r="A719" s="2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 customHeight="1" x14ac:dyDescent="0.3">
      <c r="A720" s="2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 customHeight="1" x14ac:dyDescent="0.3">
      <c r="A721" s="2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 customHeight="1" x14ac:dyDescent="0.3">
      <c r="A722" s="2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 customHeight="1" x14ac:dyDescent="0.3">
      <c r="A723" s="2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 customHeight="1" x14ac:dyDescent="0.3">
      <c r="A724" s="2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 customHeight="1" x14ac:dyDescent="0.3">
      <c r="A725" s="2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 customHeight="1" x14ac:dyDescent="0.3">
      <c r="A726" s="2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 customHeight="1" x14ac:dyDescent="0.3">
      <c r="A727" s="2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 customHeight="1" x14ac:dyDescent="0.3">
      <c r="A728" s="2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 customHeight="1" x14ac:dyDescent="0.3">
      <c r="A729" s="2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 customHeight="1" x14ac:dyDescent="0.3">
      <c r="A730" s="2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 customHeight="1" x14ac:dyDescent="0.3">
      <c r="A731" s="2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 customHeight="1" x14ac:dyDescent="0.3">
      <c r="A732" s="2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 customHeight="1" x14ac:dyDescent="0.3">
      <c r="A733" s="2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 customHeight="1" x14ac:dyDescent="0.3">
      <c r="A734" s="2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 customHeight="1" x14ac:dyDescent="0.3">
      <c r="A735" s="2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 customHeight="1" x14ac:dyDescent="0.3">
      <c r="A736" s="2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 customHeight="1" x14ac:dyDescent="0.3">
      <c r="A737" s="2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 customHeight="1" x14ac:dyDescent="0.3">
      <c r="A738" s="2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 customHeight="1" x14ac:dyDescent="0.3">
      <c r="A739" s="2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 customHeight="1" x14ac:dyDescent="0.3">
      <c r="A740" s="2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 customHeight="1" x14ac:dyDescent="0.3">
      <c r="A741" s="2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 customHeight="1" x14ac:dyDescent="0.3">
      <c r="A742" s="2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 customHeight="1" x14ac:dyDescent="0.3">
      <c r="A743" s="2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 customHeight="1" x14ac:dyDescent="0.3">
      <c r="A744" s="2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 customHeight="1" x14ac:dyDescent="0.3">
      <c r="A745" s="2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 customHeight="1" x14ac:dyDescent="0.3">
      <c r="A746" s="2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 customHeight="1" x14ac:dyDescent="0.3">
      <c r="A747" s="2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 customHeight="1" x14ac:dyDescent="0.3">
      <c r="A748" s="2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 customHeight="1" x14ac:dyDescent="0.3">
      <c r="A749" s="2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 customHeight="1" x14ac:dyDescent="0.3">
      <c r="A750" s="2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 customHeight="1" x14ac:dyDescent="0.3">
      <c r="A751" s="2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 customHeight="1" x14ac:dyDescent="0.3">
      <c r="A752" s="2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 customHeight="1" x14ac:dyDescent="0.3">
      <c r="A753" s="2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 customHeight="1" x14ac:dyDescent="0.3">
      <c r="A754" s="2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 customHeight="1" x14ac:dyDescent="0.3">
      <c r="A755" s="2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 customHeight="1" x14ac:dyDescent="0.3">
      <c r="A756" s="2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 customHeight="1" x14ac:dyDescent="0.3">
      <c r="A757" s="2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 customHeight="1" x14ac:dyDescent="0.3">
      <c r="A758" s="2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 customHeight="1" x14ac:dyDescent="0.3">
      <c r="A759" s="2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 customHeight="1" x14ac:dyDescent="0.3">
      <c r="A760" s="2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 customHeight="1" x14ac:dyDescent="0.3">
      <c r="A761" s="2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 customHeight="1" x14ac:dyDescent="0.3">
      <c r="A762" s="2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 customHeight="1" x14ac:dyDescent="0.3">
      <c r="A763" s="2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 customHeight="1" x14ac:dyDescent="0.3">
      <c r="A764" s="2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 customHeight="1" x14ac:dyDescent="0.3">
      <c r="A765" s="2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 customHeight="1" x14ac:dyDescent="0.3">
      <c r="A766" s="2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 customHeight="1" x14ac:dyDescent="0.3">
      <c r="A767" s="2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 customHeight="1" x14ac:dyDescent="0.3">
      <c r="A768" s="2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 customHeight="1" x14ac:dyDescent="0.3">
      <c r="A769" s="2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 customHeight="1" x14ac:dyDescent="0.3">
      <c r="A770" s="2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 customHeight="1" x14ac:dyDescent="0.3">
      <c r="A771" s="2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 customHeight="1" x14ac:dyDescent="0.3">
      <c r="A772" s="2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 customHeight="1" x14ac:dyDescent="0.3">
      <c r="A773" s="2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 customHeight="1" x14ac:dyDescent="0.3">
      <c r="A774" s="2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 customHeight="1" x14ac:dyDescent="0.3">
      <c r="A775" s="2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 customHeight="1" x14ac:dyDescent="0.3">
      <c r="A776" s="2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 customHeight="1" x14ac:dyDescent="0.3">
      <c r="A777" s="2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 customHeight="1" x14ac:dyDescent="0.3">
      <c r="A778" s="2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 customHeight="1" x14ac:dyDescent="0.3">
      <c r="A779" s="2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 customHeight="1" x14ac:dyDescent="0.3">
      <c r="A780" s="2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 customHeight="1" x14ac:dyDescent="0.3">
      <c r="A781" s="2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 customHeight="1" x14ac:dyDescent="0.3">
      <c r="A782" s="2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 customHeight="1" x14ac:dyDescent="0.3">
      <c r="A783" s="2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 customHeight="1" x14ac:dyDescent="0.3">
      <c r="A784" s="2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 customHeight="1" x14ac:dyDescent="0.3">
      <c r="A785" s="2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 customHeight="1" x14ac:dyDescent="0.3">
      <c r="A786" s="2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 customHeight="1" x14ac:dyDescent="0.3">
      <c r="A787" s="2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 customHeight="1" x14ac:dyDescent="0.3">
      <c r="A788" s="2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 customHeight="1" x14ac:dyDescent="0.3">
      <c r="A789" s="2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 customHeight="1" x14ac:dyDescent="0.3">
      <c r="A790" s="2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 customHeight="1" x14ac:dyDescent="0.3">
      <c r="A791" s="2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 customHeight="1" x14ac:dyDescent="0.3">
      <c r="A792" s="2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 customHeight="1" x14ac:dyDescent="0.3">
      <c r="A793" s="2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 customHeight="1" x14ac:dyDescent="0.3">
      <c r="A794" s="2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 customHeight="1" x14ac:dyDescent="0.3">
      <c r="A795" s="2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 customHeight="1" x14ac:dyDescent="0.3">
      <c r="A796" s="2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 customHeight="1" x14ac:dyDescent="0.3">
      <c r="A797" s="2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 customHeight="1" x14ac:dyDescent="0.3">
      <c r="A798" s="2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 customHeight="1" x14ac:dyDescent="0.3">
      <c r="A799" s="2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 customHeight="1" x14ac:dyDescent="0.3">
      <c r="A800" s="2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 customHeight="1" x14ac:dyDescent="0.3">
      <c r="A801" s="2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 customHeight="1" x14ac:dyDescent="0.3">
      <c r="A802" s="2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 customHeight="1" x14ac:dyDescent="0.3">
      <c r="A803" s="2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 customHeight="1" x14ac:dyDescent="0.3">
      <c r="A804" s="2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 customHeight="1" x14ac:dyDescent="0.3">
      <c r="A805" s="2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 customHeight="1" x14ac:dyDescent="0.3">
      <c r="A806" s="2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 customHeight="1" x14ac:dyDescent="0.3">
      <c r="A807" s="2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 customHeight="1" x14ac:dyDescent="0.3">
      <c r="A808" s="2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 customHeight="1" x14ac:dyDescent="0.3">
      <c r="A809" s="2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 customHeight="1" x14ac:dyDescent="0.3">
      <c r="A810" s="2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 customHeight="1" x14ac:dyDescent="0.3">
      <c r="A811" s="2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 customHeight="1" x14ac:dyDescent="0.3">
      <c r="A812" s="2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 customHeight="1" x14ac:dyDescent="0.3">
      <c r="A813" s="2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 customHeight="1" x14ac:dyDescent="0.3">
      <c r="A814" s="2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 customHeight="1" x14ac:dyDescent="0.3">
      <c r="A815" s="2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 customHeight="1" x14ac:dyDescent="0.3">
      <c r="A816" s="2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 customHeight="1" x14ac:dyDescent="0.3">
      <c r="A817" s="2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 customHeight="1" x14ac:dyDescent="0.3">
      <c r="A818" s="2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 customHeight="1" x14ac:dyDescent="0.3">
      <c r="A819" s="2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 customHeight="1" x14ac:dyDescent="0.3">
      <c r="A820" s="2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 customHeight="1" x14ac:dyDescent="0.3">
      <c r="A821" s="2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 customHeight="1" x14ac:dyDescent="0.3">
      <c r="A822" s="2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 customHeight="1" x14ac:dyDescent="0.3">
      <c r="A823" s="2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 customHeight="1" x14ac:dyDescent="0.3">
      <c r="A824" s="2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 customHeight="1" x14ac:dyDescent="0.3">
      <c r="A825" s="2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 customHeight="1" x14ac:dyDescent="0.3">
      <c r="A826" s="2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 customHeight="1" x14ac:dyDescent="0.3">
      <c r="A827" s="2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 customHeight="1" x14ac:dyDescent="0.3">
      <c r="A828" s="2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 customHeight="1" x14ac:dyDescent="0.3">
      <c r="A829" s="2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 customHeight="1" x14ac:dyDescent="0.3">
      <c r="A830" s="2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 customHeight="1" x14ac:dyDescent="0.3">
      <c r="A831" s="2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 customHeight="1" x14ac:dyDescent="0.3">
      <c r="A832" s="2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 customHeight="1" x14ac:dyDescent="0.3">
      <c r="A833" s="2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 customHeight="1" x14ac:dyDescent="0.3">
      <c r="A834" s="2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 customHeight="1" x14ac:dyDescent="0.3">
      <c r="A835" s="2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 customHeight="1" x14ac:dyDescent="0.3">
      <c r="A836" s="2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 customHeight="1" x14ac:dyDescent="0.3">
      <c r="A837" s="2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 customHeight="1" x14ac:dyDescent="0.3">
      <c r="A838" s="2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 customHeight="1" x14ac:dyDescent="0.3">
      <c r="A839" s="2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 customHeight="1" x14ac:dyDescent="0.3">
      <c r="A840" s="2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 customHeight="1" x14ac:dyDescent="0.3">
      <c r="A841" s="2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 customHeight="1" x14ac:dyDescent="0.3">
      <c r="A842" s="2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 customHeight="1" x14ac:dyDescent="0.3">
      <c r="A843" s="2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 customHeight="1" x14ac:dyDescent="0.3">
      <c r="A844" s="2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 customHeight="1" x14ac:dyDescent="0.3">
      <c r="A845" s="2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 customHeight="1" x14ac:dyDescent="0.3">
      <c r="A846" s="2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 customHeight="1" x14ac:dyDescent="0.3">
      <c r="A847" s="2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 customHeight="1" x14ac:dyDescent="0.3">
      <c r="A848" s="2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 customHeight="1" x14ac:dyDescent="0.3">
      <c r="A849" s="2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 customHeight="1" x14ac:dyDescent="0.3">
      <c r="A850" s="2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 customHeight="1" x14ac:dyDescent="0.3">
      <c r="A851" s="2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 customHeight="1" x14ac:dyDescent="0.3">
      <c r="A852" s="2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 customHeight="1" x14ac:dyDescent="0.3">
      <c r="A853" s="2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 customHeight="1" x14ac:dyDescent="0.3">
      <c r="A854" s="2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 customHeight="1" x14ac:dyDescent="0.3">
      <c r="A855" s="2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 customHeight="1" x14ac:dyDescent="0.3">
      <c r="A856" s="2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 customHeight="1" x14ac:dyDescent="0.3">
      <c r="A857" s="2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 customHeight="1" x14ac:dyDescent="0.3">
      <c r="A858" s="2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 customHeight="1" x14ac:dyDescent="0.3">
      <c r="A859" s="2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 customHeight="1" x14ac:dyDescent="0.3">
      <c r="A860" s="2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 customHeight="1" x14ac:dyDescent="0.3">
      <c r="A861" s="2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 customHeight="1" x14ac:dyDescent="0.3">
      <c r="A862" s="2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 customHeight="1" x14ac:dyDescent="0.3">
      <c r="A863" s="2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 customHeight="1" x14ac:dyDescent="0.3">
      <c r="A864" s="2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 customHeight="1" x14ac:dyDescent="0.3">
      <c r="A865" s="2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 customHeight="1" x14ac:dyDescent="0.3">
      <c r="A866" s="2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 customHeight="1" x14ac:dyDescent="0.3">
      <c r="A867" s="2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 customHeight="1" x14ac:dyDescent="0.3">
      <c r="A868" s="2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 customHeight="1" x14ac:dyDescent="0.3">
      <c r="A869" s="2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 customHeight="1" x14ac:dyDescent="0.3">
      <c r="A870" s="2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 customHeight="1" x14ac:dyDescent="0.3">
      <c r="A871" s="2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 customHeight="1" x14ac:dyDescent="0.3">
      <c r="A872" s="2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 customHeight="1" x14ac:dyDescent="0.3">
      <c r="A873" s="2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 customHeight="1" x14ac:dyDescent="0.3">
      <c r="A874" s="2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 customHeight="1" x14ac:dyDescent="0.3">
      <c r="A875" s="2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 customHeight="1" x14ac:dyDescent="0.3">
      <c r="A876" s="2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 customHeight="1" x14ac:dyDescent="0.3">
      <c r="A877" s="2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 customHeight="1" x14ac:dyDescent="0.3">
      <c r="A878" s="2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 customHeight="1" x14ac:dyDescent="0.3">
      <c r="A879" s="2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 customHeight="1" x14ac:dyDescent="0.3">
      <c r="A880" s="2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 customHeight="1" x14ac:dyDescent="0.3">
      <c r="A881" s="2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 customHeight="1" x14ac:dyDescent="0.3">
      <c r="A882" s="2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 customHeight="1" x14ac:dyDescent="0.3">
      <c r="A883" s="2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 customHeight="1" x14ac:dyDescent="0.3">
      <c r="A884" s="2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 customHeight="1" x14ac:dyDescent="0.3">
      <c r="A885" s="2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 customHeight="1" x14ac:dyDescent="0.3">
      <c r="A886" s="2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 customHeight="1" x14ac:dyDescent="0.3">
      <c r="A887" s="2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 customHeight="1" x14ac:dyDescent="0.3">
      <c r="A888" s="2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 customHeight="1" x14ac:dyDescent="0.3">
      <c r="A889" s="2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 customHeight="1" x14ac:dyDescent="0.3">
      <c r="A890" s="2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 customHeight="1" x14ac:dyDescent="0.3">
      <c r="A891" s="2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 customHeight="1" x14ac:dyDescent="0.3">
      <c r="A892" s="2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 customHeight="1" x14ac:dyDescent="0.3">
      <c r="A893" s="2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 customHeight="1" x14ac:dyDescent="0.3">
      <c r="A894" s="2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 customHeight="1" x14ac:dyDescent="0.3">
      <c r="A895" s="2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 customHeight="1" x14ac:dyDescent="0.3">
      <c r="A896" s="2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 customHeight="1" x14ac:dyDescent="0.3">
      <c r="A897" s="2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 customHeight="1" x14ac:dyDescent="0.3">
      <c r="A898" s="2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 customHeight="1" x14ac:dyDescent="0.3">
      <c r="A899" s="2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 customHeight="1" x14ac:dyDescent="0.3">
      <c r="A900" s="2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 customHeight="1" x14ac:dyDescent="0.3">
      <c r="A901" s="2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 customHeight="1" x14ac:dyDescent="0.3">
      <c r="A902" s="2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 customHeight="1" x14ac:dyDescent="0.3">
      <c r="A903" s="2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 customHeight="1" x14ac:dyDescent="0.3">
      <c r="A904" s="2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 customHeight="1" x14ac:dyDescent="0.3">
      <c r="A905" s="2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 customHeight="1" x14ac:dyDescent="0.3">
      <c r="A906" s="2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 customHeight="1" x14ac:dyDescent="0.3">
      <c r="A907" s="2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 customHeight="1" x14ac:dyDescent="0.3">
      <c r="A908" s="2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 customHeight="1" x14ac:dyDescent="0.3">
      <c r="A909" s="2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 customHeight="1" x14ac:dyDescent="0.3">
      <c r="A910" s="2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 customHeight="1" x14ac:dyDescent="0.3">
      <c r="A911" s="2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 customHeight="1" x14ac:dyDescent="0.3">
      <c r="A912" s="2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 customHeight="1" x14ac:dyDescent="0.3">
      <c r="A913" s="2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 customHeight="1" x14ac:dyDescent="0.3">
      <c r="A914" s="2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 customHeight="1" x14ac:dyDescent="0.3">
      <c r="A915" s="2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 customHeight="1" x14ac:dyDescent="0.3">
      <c r="A916" s="2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 customHeight="1" x14ac:dyDescent="0.3">
      <c r="A917" s="2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 customHeight="1" x14ac:dyDescent="0.3">
      <c r="A918" s="2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 customHeight="1" x14ac:dyDescent="0.3">
      <c r="A919" s="2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 customHeight="1" x14ac:dyDescent="0.3">
      <c r="A920" s="2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 customHeight="1" x14ac:dyDescent="0.3">
      <c r="A921" s="2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 customHeight="1" x14ac:dyDescent="0.3">
      <c r="A922" s="2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 customHeight="1" x14ac:dyDescent="0.3">
      <c r="A923" s="2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 customHeight="1" x14ac:dyDescent="0.3">
      <c r="A924" s="2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 customHeight="1" x14ac:dyDescent="0.3">
      <c r="A925" s="2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 customHeight="1" x14ac:dyDescent="0.3">
      <c r="A926" s="2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 customHeight="1" x14ac:dyDescent="0.3">
      <c r="A927" s="2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 customHeight="1" x14ac:dyDescent="0.3">
      <c r="A928" s="2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 customHeight="1" x14ac:dyDescent="0.3">
      <c r="A929" s="2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 customHeight="1" x14ac:dyDescent="0.3">
      <c r="A930" s="2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 customHeight="1" x14ac:dyDescent="0.3">
      <c r="A931" s="2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 customHeight="1" x14ac:dyDescent="0.3">
      <c r="A932" s="2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 customHeight="1" x14ac:dyDescent="0.3">
      <c r="A933" s="2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 customHeight="1" x14ac:dyDescent="0.3">
      <c r="A934" s="2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 customHeight="1" x14ac:dyDescent="0.3">
      <c r="A935" s="2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 customHeight="1" x14ac:dyDescent="0.3">
      <c r="A936" s="2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 customHeight="1" x14ac:dyDescent="0.3">
      <c r="A937" s="2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 customHeight="1" x14ac:dyDescent="0.3">
      <c r="A938" s="2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 customHeight="1" x14ac:dyDescent="0.3">
      <c r="A939" s="2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 customHeight="1" x14ac:dyDescent="0.3">
      <c r="A940" s="2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 customHeight="1" x14ac:dyDescent="0.3">
      <c r="A941" s="2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 customHeight="1" x14ac:dyDescent="0.3">
      <c r="A942" s="2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 customHeight="1" x14ac:dyDescent="0.3">
      <c r="A943" s="2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 customHeight="1" x14ac:dyDescent="0.3">
      <c r="A944" s="2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 customHeight="1" x14ac:dyDescent="0.3">
      <c r="A945" s="2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 customHeight="1" x14ac:dyDescent="0.3">
      <c r="A946" s="2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 customHeight="1" x14ac:dyDescent="0.3">
      <c r="A947" s="2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 customHeight="1" x14ac:dyDescent="0.3">
      <c r="A948" s="2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 customHeight="1" x14ac:dyDescent="0.3">
      <c r="A949" s="2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 customHeight="1" x14ac:dyDescent="0.3">
      <c r="A950" s="2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 customHeight="1" x14ac:dyDescent="0.3">
      <c r="A951" s="2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 customHeight="1" x14ac:dyDescent="0.3">
      <c r="A952" s="2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 customHeight="1" x14ac:dyDescent="0.3">
      <c r="A953" s="2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 customHeight="1" x14ac:dyDescent="0.3">
      <c r="A954" s="2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 customHeight="1" x14ac:dyDescent="0.3">
      <c r="A955" s="2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 customHeight="1" x14ac:dyDescent="0.3">
      <c r="A956" s="2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 customHeight="1" x14ac:dyDescent="0.3">
      <c r="A957" s="2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 customHeight="1" x14ac:dyDescent="0.3">
      <c r="A958" s="2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 customHeight="1" x14ac:dyDescent="0.3">
      <c r="A959" s="2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 customHeight="1" x14ac:dyDescent="0.3">
      <c r="A960" s="2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 customHeight="1" x14ac:dyDescent="0.3">
      <c r="A961" s="2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 customHeight="1" x14ac:dyDescent="0.3">
      <c r="A962" s="2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 customHeight="1" x14ac:dyDescent="0.3">
      <c r="A963" s="2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 customHeight="1" x14ac:dyDescent="0.3">
      <c r="A964" s="2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 customHeight="1" x14ac:dyDescent="0.3">
      <c r="A965" s="2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 customHeight="1" x14ac:dyDescent="0.3">
      <c r="A966" s="2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 customHeight="1" x14ac:dyDescent="0.3">
      <c r="A967" s="2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 customHeight="1" x14ac:dyDescent="0.3">
      <c r="A968" s="2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 customHeight="1" x14ac:dyDescent="0.3">
      <c r="A969" s="2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 customHeight="1" x14ac:dyDescent="0.3">
      <c r="A970" s="2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 customHeight="1" x14ac:dyDescent="0.3">
      <c r="A971" s="2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 customHeight="1" x14ac:dyDescent="0.3">
      <c r="A972" s="2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 customHeight="1" x14ac:dyDescent="0.3">
      <c r="A973" s="2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 customHeight="1" x14ac:dyDescent="0.3">
      <c r="A974" s="2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 customHeight="1" x14ac:dyDescent="0.3">
      <c r="A975" s="2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 customHeight="1" x14ac:dyDescent="0.3">
      <c r="A976" s="2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 customHeight="1" x14ac:dyDescent="0.3">
      <c r="A977" s="2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 customHeight="1" x14ac:dyDescent="0.3">
      <c r="A978" s="2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 customHeight="1" x14ac:dyDescent="0.3">
      <c r="A979" s="2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 customHeight="1" x14ac:dyDescent="0.3">
      <c r="A980" s="2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 customHeight="1" x14ac:dyDescent="0.3">
      <c r="A981" s="2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 customHeight="1" x14ac:dyDescent="0.3">
      <c r="A982" s="2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 customHeight="1" x14ac:dyDescent="0.3">
      <c r="A983" s="2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 customHeight="1" x14ac:dyDescent="0.3">
      <c r="A984" s="2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 customHeight="1" x14ac:dyDescent="0.3">
      <c r="A985" s="2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 customHeight="1" x14ac:dyDescent="0.3">
      <c r="A986" s="2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 customHeight="1" x14ac:dyDescent="0.3">
      <c r="A987" s="2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 customHeight="1" x14ac:dyDescent="0.3">
      <c r="A988" s="2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 customHeight="1" x14ac:dyDescent="0.3">
      <c r="A989" s="2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 customHeight="1" x14ac:dyDescent="0.3">
      <c r="A990" s="2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 customHeight="1" x14ac:dyDescent="0.3">
      <c r="A991" s="2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 customHeight="1" x14ac:dyDescent="0.3">
      <c r="A992" s="2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 customHeight="1" x14ac:dyDescent="0.3">
      <c r="A993" s="2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 customHeight="1" x14ac:dyDescent="0.3">
      <c r="A994" s="2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 customHeight="1" x14ac:dyDescent="0.3">
      <c r="A995" s="2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 customHeight="1" x14ac:dyDescent="0.3">
      <c r="A996" s="2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 customHeight="1" x14ac:dyDescent="0.3">
      <c r="A997" s="2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 customHeight="1" x14ac:dyDescent="0.3">
      <c r="A998" s="2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 customHeight="1" x14ac:dyDescent="0.3">
      <c r="A999" s="2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 customHeight="1" x14ac:dyDescent="0.3">
      <c r="A1000" s="27"/>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7">
    <mergeCell ref="Q1:U1"/>
    <mergeCell ref="F1:F2"/>
    <mergeCell ref="A1:A2"/>
    <mergeCell ref="B1:D1"/>
    <mergeCell ref="E1:E2"/>
    <mergeCell ref="G1:K1"/>
    <mergeCell ref="L1:P1"/>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xSplit="1" ySplit="2" topLeftCell="B3" activePane="bottomRight" state="frozen"/>
      <selection pane="topRight" activeCell="B1" sqref="B1"/>
      <selection pane="bottomLeft" activeCell="A3" sqref="A3"/>
      <selection pane="bottomRight" sqref="A1:A2"/>
    </sheetView>
  </sheetViews>
  <sheetFormatPr defaultColWidth="12.6640625" defaultRowHeight="15" customHeight="1" x14ac:dyDescent="0.3"/>
  <cols>
    <col min="1" max="1" width="31.33203125" style="30" bestFit="1" customWidth="1"/>
    <col min="2" max="6" width="12.6640625" style="13" customWidth="1"/>
    <col min="7" max="7" width="13.1640625" style="13" customWidth="1"/>
    <col min="8" max="8" width="13.25" style="13" customWidth="1"/>
    <col min="9" max="11" width="10.5" style="13" customWidth="1"/>
    <col min="12" max="26" width="12.6640625" style="13" customWidth="1"/>
    <col min="27" max="16384" width="12.6640625" style="13"/>
  </cols>
  <sheetData>
    <row r="1" spans="1:26" ht="15" customHeight="1" x14ac:dyDescent="0.3">
      <c r="A1" s="37" t="s">
        <v>139</v>
      </c>
      <c r="B1" s="39" t="s">
        <v>24</v>
      </c>
      <c r="C1" s="35"/>
      <c r="D1" s="36"/>
      <c r="E1" s="34" t="s">
        <v>16</v>
      </c>
      <c r="F1" s="34" t="s">
        <v>25</v>
      </c>
      <c r="G1" s="34" t="s">
        <v>26</v>
      </c>
      <c r="H1" s="35"/>
      <c r="I1" s="35"/>
      <c r="J1" s="35"/>
      <c r="K1" s="36"/>
      <c r="L1" s="34" t="s">
        <v>140</v>
      </c>
      <c r="M1" s="35"/>
      <c r="N1" s="35"/>
      <c r="O1" s="35"/>
      <c r="P1" s="36"/>
      <c r="Q1" s="34" t="s">
        <v>28</v>
      </c>
      <c r="R1" s="35"/>
      <c r="S1" s="35"/>
      <c r="T1" s="35"/>
      <c r="U1" s="36"/>
      <c r="V1" s="12"/>
      <c r="W1" s="12"/>
      <c r="X1" s="12"/>
      <c r="Y1" s="12"/>
      <c r="Z1" s="12"/>
    </row>
    <row r="2" spans="1:26" ht="15" customHeight="1" x14ac:dyDescent="0.3">
      <c r="A2" s="38"/>
      <c r="B2" s="14" t="s">
        <v>29</v>
      </c>
      <c r="C2" s="15" t="s">
        <v>30</v>
      </c>
      <c r="D2" s="15" t="s">
        <v>31</v>
      </c>
      <c r="E2" s="36"/>
      <c r="F2" s="36"/>
      <c r="G2" s="15" t="s">
        <v>32</v>
      </c>
      <c r="H2" s="15" t="s">
        <v>33</v>
      </c>
      <c r="I2" s="15" t="s">
        <v>19</v>
      </c>
      <c r="J2" s="15" t="s">
        <v>20</v>
      </c>
      <c r="K2" s="15" t="s">
        <v>21</v>
      </c>
      <c r="L2" s="15" t="s">
        <v>32</v>
      </c>
      <c r="M2" s="15" t="s">
        <v>33</v>
      </c>
      <c r="N2" s="15" t="s">
        <v>19</v>
      </c>
      <c r="O2" s="15" t="s">
        <v>20</v>
      </c>
      <c r="P2" s="15" t="s">
        <v>21</v>
      </c>
      <c r="Q2" s="15" t="s">
        <v>32</v>
      </c>
      <c r="R2" s="15" t="s">
        <v>33</v>
      </c>
      <c r="S2" s="15" t="s">
        <v>19</v>
      </c>
      <c r="T2" s="15" t="s">
        <v>20</v>
      </c>
      <c r="U2" s="15" t="s">
        <v>21</v>
      </c>
      <c r="V2" s="12"/>
      <c r="W2" s="12"/>
      <c r="X2" s="12"/>
      <c r="Y2" s="12"/>
      <c r="Z2" s="12"/>
    </row>
    <row r="3" spans="1:26" ht="15" customHeight="1" x14ac:dyDescent="0.3">
      <c r="A3" s="26" t="s">
        <v>141</v>
      </c>
      <c r="B3" s="17">
        <v>16</v>
      </c>
      <c r="C3" s="17">
        <v>3.3</v>
      </c>
      <c r="D3" s="17">
        <v>7.6</v>
      </c>
      <c r="E3" s="17" t="s">
        <v>35</v>
      </c>
      <c r="F3" s="22">
        <v>317</v>
      </c>
      <c r="G3" s="17">
        <f>SQRT((4*(HSP!$B$2-$B3)^2+(HSP!$C$2-$C3)^2+(HSP!$D$2-$D3)^2))</f>
        <v>7.7129760793094659</v>
      </c>
      <c r="H3" s="17">
        <f>SQRT((4*(HSP!$B$3-$B3)^2+(HSP!$C$3-$C3)^2+(HSP!$D$3-$D3)^2))</f>
        <v>6.6334304850507024</v>
      </c>
      <c r="I3" s="17">
        <f>SQRT((4*(HSP!$B$4-$B3)^2+(HSP!$C$4-$C3)^2+(HSP!$D$4-$D3)^2))</f>
        <v>2.3021728866442674</v>
      </c>
      <c r="J3" s="17">
        <f>SQRT((4*(HSP!$B$5-$B3)^2+(HSP!$C$5-$C3)^2+(HSP!$D$5-$D3)^2))</f>
        <v>10.097370944953941</v>
      </c>
      <c r="K3" s="17">
        <f>SQRT((4*(HSP!$B$6-$B3)^2+(HSP!$C$6-$C3)^2+(HSP!$D$6-$D3)^2))</f>
        <v>5.0981369145992934</v>
      </c>
      <c r="L3" s="17" t="s">
        <v>35</v>
      </c>
      <c r="M3" s="17" t="s">
        <v>35</v>
      </c>
      <c r="N3" s="17" t="s">
        <v>35</v>
      </c>
      <c r="O3" s="17" t="s">
        <v>35</v>
      </c>
      <c r="P3" s="17" t="s">
        <v>35</v>
      </c>
      <c r="Q3" s="17">
        <f>$G3/HSP!$E$2</f>
        <v>0.47318871652205308</v>
      </c>
      <c r="R3" s="17">
        <f>$H3/HSP!$E$3</f>
        <v>0.49136522111486686</v>
      </c>
      <c r="S3" s="17">
        <f>$I3/HSP!$E$4</f>
        <v>0.14479074758768978</v>
      </c>
      <c r="T3" s="17">
        <f>$J3/HSP!$E$5</f>
        <v>0.73703437554408324</v>
      </c>
      <c r="U3" s="17">
        <f>$K3/HSP!$E$6</f>
        <v>0.34446871044589816</v>
      </c>
      <c r="V3" s="12"/>
      <c r="W3" s="12"/>
      <c r="X3" s="12"/>
      <c r="Y3" s="12"/>
      <c r="Z3" s="12"/>
    </row>
    <row r="4" spans="1:26" ht="15" customHeight="1" x14ac:dyDescent="0.3">
      <c r="A4" s="26" t="s">
        <v>142</v>
      </c>
      <c r="B4" s="17">
        <v>15.7</v>
      </c>
      <c r="C4" s="17">
        <v>6.4</v>
      </c>
      <c r="D4" s="17">
        <v>4.7</v>
      </c>
      <c r="E4" s="17" t="s">
        <v>35</v>
      </c>
      <c r="F4" s="22">
        <v>224.7</v>
      </c>
      <c r="G4" s="17">
        <f>SQRT((4*(HSP!$B$2-$B4)^2+(HSP!$C$2-$C4)^2+(HSP!$D$2-$D4)^2))</f>
        <v>5.149951456081892</v>
      </c>
      <c r="H4" s="17">
        <f>SQRT((4*(HSP!$B$3-$B4)^2+(HSP!$C$3-$C4)^2+(HSP!$D$3-$D4)^2))</f>
        <v>3.4470857256529031</v>
      </c>
      <c r="I4" s="17">
        <f>SQRT((4*(HSP!$B$4-$B4)^2+(HSP!$C$4-$C4)^2+(HSP!$D$4-$D4)^2))</f>
        <v>2.9141036357686385</v>
      </c>
      <c r="J4" s="17">
        <f>SQRT((4*(HSP!$B$5-$B4)^2+(HSP!$C$5-$C4)^2+(HSP!$D$5-$D4)^2))</f>
        <v>8.9159912516780775</v>
      </c>
      <c r="K4" s="17">
        <f>SQRT((4*(HSP!$B$6-$B4)^2+(HSP!$C$6-$C4)^2+(HSP!$D$6-$D4)^2))</f>
        <v>1.2095453691366849</v>
      </c>
      <c r="L4" s="17" t="s">
        <v>35</v>
      </c>
      <c r="M4" s="17" t="s">
        <v>35</v>
      </c>
      <c r="N4" s="17" t="s">
        <v>35</v>
      </c>
      <c r="O4" s="17" t="s">
        <v>35</v>
      </c>
      <c r="P4" s="17" t="s">
        <v>35</v>
      </c>
      <c r="Q4" s="17">
        <f>$G4/HSP!$E$2</f>
        <v>0.31594794209091359</v>
      </c>
      <c r="R4" s="17">
        <f>$H4/HSP!$E$3</f>
        <v>0.25533968338169655</v>
      </c>
      <c r="S4" s="17">
        <f>$I4/HSP!$E$4</f>
        <v>0.18327695822444268</v>
      </c>
      <c r="T4" s="17">
        <f>$J4/HSP!$E$5</f>
        <v>0.65080228114438521</v>
      </c>
      <c r="U4" s="17">
        <f>$K4/HSP!$E$6</f>
        <v>8.1726038455181407E-2</v>
      </c>
      <c r="V4" s="12"/>
      <c r="W4" s="12"/>
      <c r="X4" s="12"/>
      <c r="Y4" s="12"/>
      <c r="Z4" s="12"/>
    </row>
    <row r="5" spans="1:26" ht="15" customHeight="1" x14ac:dyDescent="0.3">
      <c r="A5" s="26" t="s">
        <v>143</v>
      </c>
      <c r="B5" s="17">
        <v>19.2</v>
      </c>
      <c r="C5" s="17">
        <v>3.6</v>
      </c>
      <c r="D5" s="17">
        <v>5.9</v>
      </c>
      <c r="E5" s="17" t="s">
        <v>35</v>
      </c>
      <c r="F5" s="22">
        <v>145.1</v>
      </c>
      <c r="G5" s="17">
        <f>SQRT((4*(HSP!$B$2-$B5)^2+(HSP!$C$2-$C5)^2+(HSP!$D$2-$D5)^2))</f>
        <v>11.526751493807785</v>
      </c>
      <c r="H5" s="17">
        <f>SQRT((4*(HSP!$B$3-$B5)^2+(HSP!$C$3-$C5)^2+(HSP!$D$3-$D5)^2))</f>
        <v>9.2741792089650712</v>
      </c>
      <c r="I5" s="17">
        <f>SQRT((4*(HSP!$B$4-$B5)^2+(HSP!$C$4-$C5)^2+(HSP!$D$4-$D5)^2))</f>
        <v>8.181686867633104</v>
      </c>
      <c r="J5" s="17">
        <f>SQRT((4*(HSP!$B$5-$B5)^2+(HSP!$C$5-$C5)^2+(HSP!$D$5-$D5)^2))</f>
        <v>13.04817611775684</v>
      </c>
      <c r="K5" s="17">
        <f>SQRT((4*(HSP!$B$6-$B5)^2+(HSP!$C$6-$C5)^2+(HSP!$D$6-$D5)^2))</f>
        <v>8.6018021367618065</v>
      </c>
      <c r="L5" s="17" t="s">
        <v>35</v>
      </c>
      <c r="M5" s="17" t="s">
        <v>35</v>
      </c>
      <c r="N5" s="17" t="s">
        <v>35</v>
      </c>
      <c r="O5" s="17" t="s">
        <v>35</v>
      </c>
      <c r="P5" s="17" t="s">
        <v>35</v>
      </c>
      <c r="Q5" s="17">
        <f>$G5/HSP!$E$2</f>
        <v>0.70716266833176589</v>
      </c>
      <c r="R5" s="17">
        <f>$H5/HSP!$E$3</f>
        <v>0.68697623770111638</v>
      </c>
      <c r="S5" s="17">
        <f>$I5/HSP!$E$4</f>
        <v>0.5145715011090003</v>
      </c>
      <c r="T5" s="17">
        <f>$J5/HSP!$E$5</f>
        <v>0.95242161443480589</v>
      </c>
      <c r="U5" s="17">
        <f>$K5/HSP!$E$6</f>
        <v>0.58120284707850045</v>
      </c>
      <c r="V5" s="12"/>
      <c r="W5" s="12"/>
      <c r="X5" s="12"/>
      <c r="Y5" s="12"/>
      <c r="Z5" s="12"/>
    </row>
    <row r="6" spans="1:26" ht="15" customHeight="1" x14ac:dyDescent="0.3">
      <c r="A6" s="26" t="s">
        <v>144</v>
      </c>
      <c r="B6" s="17">
        <v>15.6</v>
      </c>
      <c r="C6" s="17">
        <v>4</v>
      </c>
      <c r="D6" s="17">
        <v>7</v>
      </c>
      <c r="E6" s="17" t="s">
        <v>35</v>
      </c>
      <c r="F6" s="22">
        <v>138.19999999999999</v>
      </c>
      <c r="G6" s="17">
        <f>SQRT((4*(HSP!$B$2-$B6)^2+(HSP!$C$2-$C6)^2+(HSP!$D$2-$D6)^2))</f>
        <v>6.7625439000423508</v>
      </c>
      <c r="H6" s="17">
        <f>SQRT((4*(HSP!$B$3-$B6)^2+(HSP!$C$3-$C6)^2+(HSP!$D$3-$D6)^2))</f>
        <v>5.7844965208737058</v>
      </c>
      <c r="I6" s="17">
        <f>SQRT((4*(HSP!$B$4-$B6)^2+(HSP!$C$4-$C6)^2+(HSP!$D$4-$D6)^2))</f>
        <v>1.1144505372604021</v>
      </c>
      <c r="J6" s="17">
        <f>SQRT((4*(HSP!$B$5-$B6)^2+(HSP!$C$5-$C6)^2+(HSP!$D$5-$D6)^2))</f>
        <v>9.5874344847826727</v>
      </c>
      <c r="K6" s="17">
        <f>SQRT((4*(HSP!$B$6-$B6)^2+(HSP!$C$6-$C6)^2+(HSP!$D$6-$D6)^2))</f>
        <v>4.0327410033375557</v>
      </c>
      <c r="L6" s="17" t="s">
        <v>35</v>
      </c>
      <c r="M6" s="17" t="s">
        <v>35</v>
      </c>
      <c r="N6" s="17" t="s">
        <v>35</v>
      </c>
      <c r="O6" s="17" t="s">
        <v>35</v>
      </c>
      <c r="P6" s="17" t="s">
        <v>35</v>
      </c>
      <c r="Q6" s="17">
        <f>$G6/HSP!$E$2</f>
        <v>0.41487999386762886</v>
      </c>
      <c r="R6" s="17">
        <f>$H6/HSP!$E$3</f>
        <v>0.42848122376842263</v>
      </c>
      <c r="S6" s="17">
        <f>$I6/HSP!$E$4</f>
        <v>7.0091228758515853E-2</v>
      </c>
      <c r="T6" s="17">
        <f>$J6/HSP!$E$5</f>
        <v>0.69981273611552364</v>
      </c>
      <c r="U6" s="17">
        <f>$K6/HSP!$E$6</f>
        <v>0.27248250022551052</v>
      </c>
      <c r="V6" s="12"/>
      <c r="W6" s="12"/>
      <c r="X6" s="12"/>
      <c r="Y6" s="12"/>
      <c r="Z6" s="12"/>
    </row>
    <row r="7" spans="1:26" ht="15" customHeight="1" x14ac:dyDescent="0.3">
      <c r="A7" s="26" t="s">
        <v>145</v>
      </c>
      <c r="B7" s="17">
        <v>15.8</v>
      </c>
      <c r="C7" s="17">
        <v>2.9</v>
      </c>
      <c r="D7" s="17">
        <v>5.9</v>
      </c>
      <c r="E7" s="17" t="s">
        <v>35</v>
      </c>
      <c r="F7" s="22">
        <v>165</v>
      </c>
      <c r="G7" s="17">
        <f>SQRT((4*(HSP!$B$2-$B7)^2+(HSP!$C$2-$C7)^2+(HSP!$D$2-$D7)^2))</f>
        <v>8.0049984384758002</v>
      </c>
      <c r="H7" s="17">
        <f>SQRT((4*(HSP!$B$3-$B7)^2+(HSP!$C$3-$C7)^2+(HSP!$D$3-$D7)^2))</f>
        <v>6.764052040012702</v>
      </c>
      <c r="I7" s="17">
        <f>SQRT((4*(HSP!$B$4-$B7)^2+(HSP!$C$4-$C7)^2+(HSP!$D$4-$D7)^2))</f>
        <v>2.3592371648479942</v>
      </c>
      <c r="J7" s="17">
        <f>SQRT((4*(HSP!$B$5-$B7)^2+(HSP!$C$5-$C7)^2+(HSP!$D$5-$D7)^2))</f>
        <v>11.084083182654306</v>
      </c>
      <c r="K7" s="17">
        <f>SQRT((4*(HSP!$B$6-$B7)^2+(HSP!$C$6-$C7)^2+(HSP!$D$6-$D7)^2))</f>
        <v>4.2174636927897797</v>
      </c>
      <c r="L7" s="17" t="s">
        <v>35</v>
      </c>
      <c r="M7" s="17" t="s">
        <v>35</v>
      </c>
      <c r="N7" s="17" t="s">
        <v>35</v>
      </c>
      <c r="O7" s="17" t="s">
        <v>35</v>
      </c>
      <c r="P7" s="17" t="s">
        <v>35</v>
      </c>
      <c r="Q7" s="17">
        <f>$G7/HSP!$E$2</f>
        <v>0.49110419867949689</v>
      </c>
      <c r="R7" s="17">
        <f>$H7/HSP!$E$3</f>
        <v>0.50104089185279277</v>
      </c>
      <c r="S7" s="17">
        <f>$I7/HSP!$E$4</f>
        <v>0.14837969590238956</v>
      </c>
      <c r="T7" s="17">
        <f>$J7/HSP!$E$5</f>
        <v>0.80905716661710259</v>
      </c>
      <c r="U7" s="17">
        <f>$K7/HSP!$E$6</f>
        <v>0.28496376302633647</v>
      </c>
      <c r="V7" s="12"/>
      <c r="W7" s="12"/>
      <c r="X7" s="12"/>
      <c r="Y7" s="12"/>
      <c r="Z7" s="12"/>
    </row>
    <row r="8" spans="1:26" ht="15" customHeight="1" x14ac:dyDescent="0.3">
      <c r="A8" s="26" t="s">
        <v>146</v>
      </c>
      <c r="B8" s="17">
        <v>16</v>
      </c>
      <c r="C8" s="17">
        <v>6</v>
      </c>
      <c r="D8" s="17">
        <v>4.5</v>
      </c>
      <c r="E8" s="17" t="s">
        <v>35</v>
      </c>
      <c r="F8" s="22">
        <v>256.10000000000002</v>
      </c>
      <c r="G8" s="17">
        <f>SQRT((4*(HSP!$B$2-$B8)^2+(HSP!$C$2-$C8)^2+(HSP!$D$2-$D8)^2))</f>
        <v>5.8208246838399118</v>
      </c>
      <c r="H8" s="17">
        <f>SQRT((4*(HSP!$B$3-$B8)^2+(HSP!$C$3-$C8)^2+(HSP!$D$3-$D8)^2))</f>
        <v>3.9398477127929707</v>
      </c>
      <c r="I8" s="17">
        <f>SQRT((4*(HSP!$B$4-$B8)^2+(HSP!$C$4-$C8)^2+(HSP!$D$4-$D8)^2))</f>
        <v>3.1285779517218364</v>
      </c>
      <c r="J8" s="17">
        <f>SQRT((4*(HSP!$B$5-$B8)^2+(HSP!$C$5-$C8)^2+(HSP!$D$5-$D8)^2))</f>
        <v>9.4146109850593405</v>
      </c>
      <c r="K8" s="17">
        <f>SQRT((4*(HSP!$B$6-$B8)^2+(HSP!$C$6-$C8)^2+(HSP!$D$6-$D8)^2))</f>
        <v>1.6549924471126756</v>
      </c>
      <c r="L8" s="17" t="s">
        <v>35</v>
      </c>
      <c r="M8" s="17" t="s">
        <v>35</v>
      </c>
      <c r="N8" s="17" t="s">
        <v>35</v>
      </c>
      <c r="O8" s="17" t="s">
        <v>35</v>
      </c>
      <c r="P8" s="17" t="s">
        <v>35</v>
      </c>
      <c r="Q8" s="17">
        <f>$G8/HSP!$E$2</f>
        <v>0.35710580882453447</v>
      </c>
      <c r="R8" s="17">
        <f>$H8/HSP!$E$3</f>
        <v>0.29184057131799784</v>
      </c>
      <c r="S8" s="17">
        <f>$I8/HSP!$E$4</f>
        <v>0.19676590891332305</v>
      </c>
      <c r="T8" s="17">
        <f>$J8/HSP!$E$5</f>
        <v>0.68719788212111976</v>
      </c>
      <c r="U8" s="17">
        <f>$K8/HSP!$E$6</f>
        <v>0.1118238139940997</v>
      </c>
      <c r="V8" s="12"/>
      <c r="W8" s="12"/>
      <c r="X8" s="12"/>
      <c r="Y8" s="12"/>
      <c r="Z8" s="12"/>
    </row>
    <row r="9" spans="1:26" ht="15" customHeight="1" x14ac:dyDescent="0.3">
      <c r="A9" s="26" t="s">
        <v>147</v>
      </c>
      <c r="B9" s="17">
        <v>16</v>
      </c>
      <c r="C9" s="17">
        <v>6.8</v>
      </c>
      <c r="D9" s="17">
        <v>4.3</v>
      </c>
      <c r="E9" s="17" t="s">
        <v>35</v>
      </c>
      <c r="F9" s="22">
        <v>188.3</v>
      </c>
      <c r="G9" s="17">
        <f>SQRT((4*(HSP!$B$2-$B9)^2+(HSP!$C$2-$C9)^2+(HSP!$D$2-$D9)^2))</f>
        <v>5.3308535901860985</v>
      </c>
      <c r="H9" s="17">
        <f>SQRT((4*(HSP!$B$3-$B9)^2+(HSP!$C$3-$C9)^2+(HSP!$D$3-$D9)^2))</f>
        <v>3.2976355165481834</v>
      </c>
      <c r="I9" s="17">
        <f>SQRT((4*(HSP!$B$4-$B9)^2+(HSP!$C$4-$C9)^2+(HSP!$D$4-$D9)^2))</f>
        <v>3.6742346141747673</v>
      </c>
      <c r="J9" s="17">
        <f>SQRT((4*(HSP!$B$5-$B9)^2+(HSP!$C$5-$C9)^2+(HSP!$D$5-$D9)^2))</f>
        <v>9.0074913266680419</v>
      </c>
      <c r="K9" s="17">
        <f>SQRT((4*(HSP!$B$6-$B9)^2+(HSP!$C$6-$C9)^2+(HSP!$D$6-$D9)^2))</f>
        <v>1.5719414747375304</v>
      </c>
      <c r="L9" s="17" t="s">
        <v>35</v>
      </c>
      <c r="M9" s="17" t="s">
        <v>35</v>
      </c>
      <c r="N9" s="17" t="s">
        <v>35</v>
      </c>
      <c r="O9" s="17" t="s">
        <v>35</v>
      </c>
      <c r="P9" s="17" t="s">
        <v>35</v>
      </c>
      <c r="Q9" s="17">
        <f>$G9/HSP!$E$2</f>
        <v>0.32704623252675452</v>
      </c>
      <c r="R9" s="17">
        <f>$H9/HSP!$E$3</f>
        <v>0.24426929752208767</v>
      </c>
      <c r="S9" s="17">
        <f>$I9/HSP!$E$4</f>
        <v>0.23108393799841304</v>
      </c>
      <c r="T9" s="17">
        <f>$J9/HSP!$E$5</f>
        <v>0.65748111873489357</v>
      </c>
      <c r="U9" s="17">
        <f>$K9/HSP!$E$6</f>
        <v>0.10621226180658989</v>
      </c>
      <c r="V9" s="12"/>
      <c r="W9" s="12"/>
      <c r="X9" s="12"/>
      <c r="Y9" s="12"/>
      <c r="Z9" s="12"/>
    </row>
    <row r="10" spans="1:26" ht="15" customHeight="1" x14ac:dyDescent="0.3">
      <c r="A10" s="26" t="s">
        <v>148</v>
      </c>
      <c r="B10" s="17">
        <v>15.6</v>
      </c>
      <c r="C10" s="17">
        <v>1.2</v>
      </c>
      <c r="D10" s="17">
        <v>5.2</v>
      </c>
      <c r="E10" s="17" t="s">
        <v>35</v>
      </c>
      <c r="F10" s="22">
        <v>170.3</v>
      </c>
      <c r="G10" s="17">
        <f>SQRT((4*(HSP!$B$2-$B10)^2+(HSP!$C$2-$C10)^2+(HSP!$D$2-$D10)^2))</f>
        <v>9.6392945799991008</v>
      </c>
      <c r="H10" s="17">
        <f>SQRT((4*(HSP!$B$3-$B10)^2+(HSP!$C$3-$C10)^2+(HSP!$D$3-$D10)^2))</f>
        <v>8.4845978101498734</v>
      </c>
      <c r="I10" s="17">
        <f>SQRT((4*(HSP!$B$4-$B10)^2+(HSP!$C$4-$C10)^2+(HSP!$D$4-$D10)^2))</f>
        <v>3.9255572852781038</v>
      </c>
      <c r="J10" s="17">
        <f>SQRT((4*(HSP!$B$5-$B10)^2+(HSP!$C$5-$C10)^2+(HSP!$D$5-$D10)^2))</f>
        <v>12.883279861898522</v>
      </c>
      <c r="K10" s="17">
        <f>SQRT((4*(HSP!$B$6-$B10)^2+(HSP!$C$6-$C10)^2+(HSP!$D$6-$D10)^2))</f>
        <v>5.4415990296970609</v>
      </c>
      <c r="L10" s="17" t="s">
        <v>35</v>
      </c>
      <c r="M10" s="17" t="s">
        <v>35</v>
      </c>
      <c r="N10" s="17" t="s">
        <v>35</v>
      </c>
      <c r="O10" s="17" t="s">
        <v>35</v>
      </c>
      <c r="P10" s="17" t="s">
        <v>35</v>
      </c>
      <c r="Q10" s="17">
        <f>$G10/HSP!$E$2</f>
        <v>0.59136776564411664</v>
      </c>
      <c r="R10" s="17">
        <f>$H10/HSP!$E$3</f>
        <v>0.62848872667776845</v>
      </c>
      <c r="S10" s="17">
        <f>$I10/HSP!$E$4</f>
        <v>0.24689039530050966</v>
      </c>
      <c r="T10" s="17">
        <f>$J10/HSP!$E$5</f>
        <v>0.94038539137945421</v>
      </c>
      <c r="U10" s="17">
        <f>$K10/HSP!$E$6</f>
        <v>0.36767561011466626</v>
      </c>
      <c r="V10" s="12"/>
      <c r="W10" s="12"/>
      <c r="X10" s="12"/>
      <c r="Y10" s="12"/>
      <c r="Z10" s="12"/>
    </row>
    <row r="11" spans="1:26" ht="15" customHeight="1" x14ac:dyDescent="0.3">
      <c r="A11" s="26" t="s">
        <v>149</v>
      </c>
      <c r="B11" s="17">
        <v>16</v>
      </c>
      <c r="C11" s="17">
        <v>4.4000000000000004</v>
      </c>
      <c r="D11" s="17">
        <v>6.8</v>
      </c>
      <c r="E11" s="17" t="s">
        <v>35</v>
      </c>
      <c r="F11" s="22">
        <v>186</v>
      </c>
      <c r="G11" s="17">
        <f>SQRT((4*(HSP!$B$2-$B11)^2+(HSP!$C$2-$C11)^2+(HSP!$D$2-$D11)^2))</f>
        <v>6.6780236597364651</v>
      </c>
      <c r="H11" s="17">
        <f>SQRT((4*(HSP!$B$3-$B11)^2+(HSP!$C$3-$C11)^2+(HSP!$D$3-$D11)^2))</f>
        <v>5.3863159951863206</v>
      </c>
      <c r="I11" s="17">
        <f>SQRT((4*(HSP!$B$4-$B11)^2+(HSP!$C$4-$C11)^2+(HSP!$D$4-$D11)^2))</f>
        <v>1.6834488409215174</v>
      </c>
      <c r="J11" s="17">
        <f>SQRT((4*(HSP!$B$5-$B11)^2+(HSP!$C$5-$C11)^2+(HSP!$D$5-$D11)^2))</f>
        <v>9.4027070570128899</v>
      </c>
      <c r="K11" s="17">
        <f>SQRT((4*(HSP!$B$6-$B11)^2+(HSP!$C$6-$C11)^2+(HSP!$D$6-$D11)^2))</f>
        <v>3.8671695075339017</v>
      </c>
      <c r="L11" s="17" t="s">
        <v>35</v>
      </c>
      <c r="M11" s="17" t="s">
        <v>35</v>
      </c>
      <c r="N11" s="17" t="s">
        <v>35</v>
      </c>
      <c r="O11" s="17" t="s">
        <v>35</v>
      </c>
      <c r="P11" s="17" t="s">
        <v>35</v>
      </c>
      <c r="Q11" s="17">
        <f>$G11/HSP!$E$2</f>
        <v>0.40969470305131683</v>
      </c>
      <c r="R11" s="17">
        <f>$H11/HSP!$E$3</f>
        <v>0.39898637001380155</v>
      </c>
      <c r="S11" s="17">
        <f>$I11/HSP!$E$4</f>
        <v>0.10587728559254826</v>
      </c>
      <c r="T11" s="17">
        <f>$J11/HSP!$E$5</f>
        <v>0.68632898226371464</v>
      </c>
      <c r="U11" s="17">
        <f>$K11/HSP!$E$6</f>
        <v>0.26129523699553386</v>
      </c>
      <c r="V11" s="12"/>
      <c r="W11" s="12"/>
      <c r="X11" s="12"/>
      <c r="Y11" s="12"/>
      <c r="Z11" s="12"/>
    </row>
    <row r="12" spans="1:26" ht="15" customHeight="1" x14ac:dyDescent="0.3">
      <c r="A12" s="27" t="s">
        <v>150</v>
      </c>
      <c r="B12" s="19">
        <v>16</v>
      </c>
      <c r="C12" s="19">
        <v>2.4</v>
      </c>
      <c r="D12" s="19">
        <v>5.3</v>
      </c>
      <c r="E12" s="17" t="s">
        <v>35</v>
      </c>
      <c r="F12" s="23">
        <v>241.5</v>
      </c>
      <c r="G12" s="19">
        <f>SQRT((4*(HSP!$B$2-$B12)^2+(HSP!$C$2-$C12)^2+(HSP!$D$2-$D12)^2))</f>
        <v>8.6963210612304334</v>
      </c>
      <c r="H12" s="19">
        <f>SQRT((4*(HSP!$B$3-$B12)^2+(HSP!$C$3-$C12)^2+(HSP!$D$3-$D12)^2))</f>
        <v>7.304957220956191</v>
      </c>
      <c r="I12" s="19">
        <f>SQRT((4*(HSP!$B$4-$B12)^2+(HSP!$C$4-$C12)^2+(HSP!$D$4-$D12)^2))</f>
        <v>3.1943700474428445</v>
      </c>
      <c r="J12" s="19">
        <f>SQRT((4*(HSP!$B$5-$B12)^2+(HSP!$C$5-$C12)^2+(HSP!$D$5-$D12)^2))</f>
        <v>11.846134390593415</v>
      </c>
      <c r="K12" s="17">
        <f>SQRT((4*(HSP!$B$6-$B12)^2+(HSP!$C$6-$C12)^2+(HSP!$D$6-$D12)^2))</f>
        <v>4.5249309386995069</v>
      </c>
      <c r="L12" s="17" t="s">
        <v>35</v>
      </c>
      <c r="M12" s="17" t="s">
        <v>35</v>
      </c>
      <c r="N12" s="17" t="s">
        <v>35</v>
      </c>
      <c r="O12" s="17" t="s">
        <v>35</v>
      </c>
      <c r="P12" s="17" t="s">
        <v>35</v>
      </c>
      <c r="Q12" s="17">
        <f>$G12/HSP!$E$2</f>
        <v>0.53351662952333945</v>
      </c>
      <c r="R12" s="17">
        <f>$H12/HSP!$E$3</f>
        <v>0.54110794229305115</v>
      </c>
      <c r="S12" s="17">
        <f>$I12/HSP!$E$4</f>
        <v>0.20090377656873235</v>
      </c>
      <c r="T12" s="17">
        <f>$J12/HSP!$E$5</f>
        <v>0.86468134237908145</v>
      </c>
      <c r="U12" s="17">
        <f>$K12/HSP!$E$6</f>
        <v>0.30573857693915585</v>
      </c>
      <c r="V12" s="12"/>
      <c r="W12" s="12"/>
      <c r="X12" s="12"/>
      <c r="Y12" s="12"/>
      <c r="Z12" s="12"/>
    </row>
    <row r="13" spans="1:26" ht="15" customHeight="1" x14ac:dyDescent="0.3">
      <c r="A13" s="26" t="s">
        <v>151</v>
      </c>
      <c r="B13" s="17">
        <v>17</v>
      </c>
      <c r="C13" s="17">
        <v>2.6</v>
      </c>
      <c r="D13" s="17">
        <v>5.6</v>
      </c>
      <c r="E13" s="17" t="s">
        <v>35</v>
      </c>
      <c r="F13" s="22">
        <v>213</v>
      </c>
      <c r="G13" s="17">
        <f>SQRT((4*(HSP!$B$2-$B13)^2+(HSP!$C$2-$C13)^2+(HSP!$D$2-$D13)^2))</f>
        <v>9.3125721473715313</v>
      </c>
      <c r="H13" s="17">
        <f>SQRT((4*(HSP!$B$3-$B13)^2+(HSP!$C$3-$C13)^2+(HSP!$D$3-$D13)^2))</f>
        <v>7.5336843576035237</v>
      </c>
      <c r="I13" s="17">
        <f>SQRT((4*(HSP!$B$4-$B13)^2+(HSP!$C$4-$C13)^2+(HSP!$D$4-$D13)^2))</f>
        <v>4.3774421755175705</v>
      </c>
      <c r="J13" s="17">
        <f>SQRT((4*(HSP!$B$5-$B13)^2+(HSP!$C$5-$C13)^2+(HSP!$D$5-$D13)^2))</f>
        <v>11.949682004137182</v>
      </c>
      <c r="K13" s="17">
        <f>SQRT((4*(HSP!$B$6-$B13)^2+(HSP!$C$6-$C13)^2+(HSP!$D$6-$D13)^2))</f>
        <v>5.4500458713665889</v>
      </c>
      <c r="L13" s="17" t="s">
        <v>35</v>
      </c>
      <c r="M13" s="17" t="s">
        <v>35</v>
      </c>
      <c r="N13" s="17" t="s">
        <v>35</v>
      </c>
      <c r="O13" s="17" t="s">
        <v>35</v>
      </c>
      <c r="P13" s="17" t="s">
        <v>35</v>
      </c>
      <c r="Q13" s="17">
        <f>$G13/HSP!$E$2</f>
        <v>0.57132344462402029</v>
      </c>
      <c r="R13" s="17">
        <f>$H13/HSP!$E$3</f>
        <v>0.55805069315581657</v>
      </c>
      <c r="S13" s="17">
        <f>$I13/HSP!$E$4</f>
        <v>0.27531082864890383</v>
      </c>
      <c r="T13" s="17">
        <f>$J13/HSP!$E$5</f>
        <v>0.87223956234577982</v>
      </c>
      <c r="U13" s="17">
        <f>$K13/HSP!$E$6</f>
        <v>0.36824634265990464</v>
      </c>
      <c r="V13" s="12"/>
      <c r="W13" s="12"/>
      <c r="X13" s="12"/>
      <c r="Y13" s="12"/>
      <c r="Z13" s="12"/>
    </row>
    <row r="14" spans="1:26" ht="15" customHeight="1" x14ac:dyDescent="0.3">
      <c r="A14" s="26" t="s">
        <v>152</v>
      </c>
      <c r="B14" s="17">
        <v>16</v>
      </c>
      <c r="C14" s="17">
        <v>2.7</v>
      </c>
      <c r="D14" s="17">
        <v>5.9</v>
      </c>
      <c r="E14" s="17" t="s">
        <v>35</v>
      </c>
      <c r="F14" s="22">
        <v>192</v>
      </c>
      <c r="G14" s="17">
        <f>SQRT((4*(HSP!$B$2-$B14)^2+(HSP!$C$2-$C14)^2+(HSP!$D$2-$D14)^2))</f>
        <v>8.3200961532905389</v>
      </c>
      <c r="H14" s="17">
        <f>SQRT((4*(HSP!$B$3-$B14)^2+(HSP!$C$3-$C14)^2+(HSP!$D$3-$D14)^2))</f>
        <v>6.9880183170910479</v>
      </c>
      <c r="I14" s="17">
        <f>SQRT((4*(HSP!$B$4-$B14)^2+(HSP!$C$4-$C14)^2+(HSP!$D$4-$D14)^2))</f>
        <v>2.7360555549915277</v>
      </c>
      <c r="J14" s="17">
        <f>SQRT((4*(HSP!$B$5-$B14)^2+(HSP!$C$5-$C14)^2+(HSP!$D$5-$D14)^2))</f>
        <v>11.306321240792691</v>
      </c>
      <c r="K14" s="17">
        <f>SQRT((4*(HSP!$B$6-$B14)^2+(HSP!$C$6-$C14)^2+(HSP!$D$6-$D14)^2))</f>
        <v>4.4996666543200732</v>
      </c>
      <c r="L14" s="17" t="s">
        <v>35</v>
      </c>
      <c r="M14" s="17" t="s">
        <v>35</v>
      </c>
      <c r="N14" s="17" t="s">
        <v>35</v>
      </c>
      <c r="O14" s="17" t="s">
        <v>35</v>
      </c>
      <c r="P14" s="17" t="s">
        <v>35</v>
      </c>
      <c r="Q14" s="17">
        <f>$G14/HSP!$E$2</f>
        <v>0.51043534682764036</v>
      </c>
      <c r="R14" s="17">
        <f>$H14/HSP!$E$3</f>
        <v>0.51763098645118877</v>
      </c>
      <c r="S14" s="17">
        <f>$I14/HSP!$E$4</f>
        <v>0.17207896572273759</v>
      </c>
      <c r="T14" s="17">
        <f>$J14/HSP!$E$5</f>
        <v>0.82527892268559799</v>
      </c>
      <c r="U14" s="17">
        <f>$K14/HSP!$E$6</f>
        <v>0.30403153069730221</v>
      </c>
      <c r="V14" s="12"/>
      <c r="W14" s="12"/>
      <c r="X14" s="12"/>
      <c r="Y14" s="12"/>
      <c r="Z14" s="12"/>
    </row>
    <row r="15" spans="1:26" ht="15" customHeight="1" x14ac:dyDescent="0.3">
      <c r="A15" s="26" t="s">
        <v>153</v>
      </c>
      <c r="B15" s="17">
        <v>16.600000000000001</v>
      </c>
      <c r="C15" s="17">
        <v>7</v>
      </c>
      <c r="D15" s="17">
        <v>9.9</v>
      </c>
      <c r="E15" s="17" t="s">
        <v>35</v>
      </c>
      <c r="F15" s="22">
        <v>207.8</v>
      </c>
      <c r="G15" s="17">
        <f>SQRT((4*(HSP!$B$2-$B15)^2+(HSP!$C$2-$C15)^2+(HSP!$D$2-$D15)^2))</f>
        <v>6.0413574633520923</v>
      </c>
      <c r="H15" s="17">
        <f>SQRT((4*(HSP!$B$3-$B15)^2+(HSP!$C$3-$C15)^2+(HSP!$D$3-$D15)^2))</f>
        <v>5.1994615105797264</v>
      </c>
      <c r="I15" s="17">
        <f>SQRT((4*(HSP!$B$4-$B15)^2+(HSP!$C$4-$C15)^2+(HSP!$D$4-$D15)^2))</f>
        <v>4.8137303622035192</v>
      </c>
      <c r="J15" s="17">
        <f>SQRT((4*(HSP!$B$5-$B15)^2+(HSP!$C$5-$C15)^2+(HSP!$D$5-$D15)^2))</f>
        <v>6.3917837885835933</v>
      </c>
      <c r="K15" s="17">
        <f>SQRT((4*(HSP!$B$6-$B15)^2+(HSP!$C$6-$C15)^2+(HSP!$D$6-$D15)^2))</f>
        <v>6.6334757103648183</v>
      </c>
      <c r="L15" s="17" t="s">
        <v>35</v>
      </c>
      <c r="M15" s="17" t="s">
        <v>35</v>
      </c>
      <c r="N15" s="17" t="s">
        <v>35</v>
      </c>
      <c r="O15" s="17" t="s">
        <v>35</v>
      </c>
      <c r="P15" s="17" t="s">
        <v>35</v>
      </c>
      <c r="Q15" s="17">
        <f>$G15/HSP!$E$2</f>
        <v>0.37063542719951487</v>
      </c>
      <c r="R15" s="17">
        <f>$H15/HSP!$E$3</f>
        <v>0.38514529707997974</v>
      </c>
      <c r="S15" s="17">
        <f>$I15/HSP!$E$4</f>
        <v>0.30275033724550438</v>
      </c>
      <c r="T15" s="17">
        <f>$J15/HSP!$E$5</f>
        <v>0.4665535612104813</v>
      </c>
      <c r="U15" s="17">
        <f>$K15/HSP!$E$6</f>
        <v>0.44820781826789313</v>
      </c>
      <c r="V15" s="12"/>
      <c r="W15" s="12"/>
      <c r="X15" s="12"/>
      <c r="Y15" s="12"/>
      <c r="Z15" s="12"/>
    </row>
    <row r="16" spans="1:26" ht="15" customHeight="1" x14ac:dyDescent="0.3">
      <c r="A16" s="26" t="s">
        <v>154</v>
      </c>
      <c r="B16" s="17">
        <v>15.8</v>
      </c>
      <c r="C16" s="17">
        <v>3.3</v>
      </c>
      <c r="D16" s="17">
        <v>6.1</v>
      </c>
      <c r="E16" s="17" t="s">
        <v>35</v>
      </c>
      <c r="F16" s="22">
        <v>148</v>
      </c>
      <c r="G16" s="17">
        <f>SQRT((4*(HSP!$B$2-$B16)^2+(HSP!$C$2-$C16)^2+(HSP!$D$2-$D16)^2))</f>
        <v>7.6026311234992869</v>
      </c>
      <c r="H16" s="17">
        <f>SQRT((4*(HSP!$B$3-$B16)^2+(HSP!$C$3-$C16)^2+(HSP!$D$3-$D16)^2))</f>
        <v>6.3699607534112808</v>
      </c>
      <c r="I16" s="17">
        <f>SQRT((4*(HSP!$B$4-$B16)^2+(HSP!$C$4-$C16)^2+(HSP!$D$4-$D16)^2))</f>
        <v>1.9954949260772386</v>
      </c>
      <c r="J16" s="17">
        <f>SQRT((4*(HSP!$B$5-$B16)^2+(HSP!$C$5-$C16)^2+(HSP!$D$5-$D16)^2))</f>
        <v>10.639027211169264</v>
      </c>
      <c r="K16" s="17">
        <f>SQRT((4*(HSP!$B$6-$B16)^2+(HSP!$C$6-$C16)^2+(HSP!$D$6-$D16)^2))</f>
        <v>3.9978744352468101</v>
      </c>
      <c r="L16" s="17" t="s">
        <v>35</v>
      </c>
      <c r="M16" s="17" t="s">
        <v>35</v>
      </c>
      <c r="N16" s="17" t="s">
        <v>35</v>
      </c>
      <c r="O16" s="17" t="s">
        <v>35</v>
      </c>
      <c r="P16" s="17" t="s">
        <v>35</v>
      </c>
      <c r="Q16" s="17">
        <f>$G16/HSP!$E$2</f>
        <v>0.4664190873312446</v>
      </c>
      <c r="R16" s="17">
        <f>$H16/HSP!$E$3</f>
        <v>0.4718489446971319</v>
      </c>
      <c r="S16" s="17">
        <f>$I16/HSP!$E$4</f>
        <v>0.12550282553944897</v>
      </c>
      <c r="T16" s="17">
        <f>$J16/HSP!$E$5</f>
        <v>0.77657132928242811</v>
      </c>
      <c r="U16" s="17">
        <f>$K16/HSP!$E$6</f>
        <v>0.27012665103018985</v>
      </c>
      <c r="V16" s="12"/>
      <c r="W16" s="12"/>
      <c r="X16" s="12"/>
      <c r="Y16" s="12"/>
      <c r="Z16" s="12"/>
    </row>
    <row r="17" spans="1:26" ht="15" customHeight="1" x14ac:dyDescent="0.3">
      <c r="A17" s="26" t="s">
        <v>155</v>
      </c>
      <c r="B17" s="17">
        <v>18.100000000000001</v>
      </c>
      <c r="C17" s="17">
        <v>5.9</v>
      </c>
      <c r="D17" s="17">
        <v>5.2</v>
      </c>
      <c r="E17" s="17" t="s">
        <v>35</v>
      </c>
      <c r="F17" s="22">
        <v>196.2</v>
      </c>
      <c r="G17" s="17">
        <f>SQRT((4*(HSP!$B$2-$B17)^2+(HSP!$C$2-$C17)^2+(HSP!$D$2-$D17)^2))</f>
        <v>8.5417796740492005</v>
      </c>
      <c r="H17" s="17">
        <f>SQRT((4*(HSP!$B$3-$B17)^2+(HSP!$C$3-$C17)^2+(HSP!$D$3-$D17)^2))</f>
        <v>6.1444609202109852</v>
      </c>
      <c r="I17" s="17">
        <f>SQRT((4*(HSP!$B$4-$B17)^2+(HSP!$C$4-$C17)^2+(HSP!$D$4-$D17)^2))</f>
        <v>6.1958050324392904</v>
      </c>
      <c r="J17" s="17">
        <f>SQRT((4*(HSP!$B$5-$B17)^2+(HSP!$C$5-$C17)^2+(HSP!$D$5-$D17)^2))</f>
        <v>10.553714985728961</v>
      </c>
      <c r="K17" s="17">
        <f>SQRT((4*(HSP!$B$6-$B17)^2+(HSP!$C$6-$C17)^2+(HSP!$D$6-$D17)^2))</f>
        <v>5.8428588892767248</v>
      </c>
      <c r="L17" s="17" t="s">
        <v>35</v>
      </c>
      <c r="M17" s="17" t="s">
        <v>35</v>
      </c>
      <c r="N17" s="17" t="s">
        <v>35</v>
      </c>
      <c r="O17" s="17" t="s">
        <v>35</v>
      </c>
      <c r="P17" s="17" t="s">
        <v>35</v>
      </c>
      <c r="Q17" s="17">
        <f>$G17/HSP!$E$2</f>
        <v>0.52403556282510433</v>
      </c>
      <c r="R17" s="17">
        <f>$H17/HSP!$E$3</f>
        <v>0.45514525334896189</v>
      </c>
      <c r="S17" s="17">
        <f>$I17/HSP!$E$4</f>
        <v>0.38967327248045852</v>
      </c>
      <c r="T17" s="17">
        <f>$J17/HSP!$E$5</f>
        <v>0.77034415954225999</v>
      </c>
      <c r="U17" s="17">
        <f>$K17/HSP!$E$6</f>
        <v>0.39478776278896788</v>
      </c>
      <c r="V17" s="12"/>
      <c r="W17" s="12"/>
      <c r="X17" s="12"/>
      <c r="Y17" s="12"/>
      <c r="Z17" s="12"/>
    </row>
    <row r="18" spans="1:26" ht="15" customHeight="1" x14ac:dyDescent="0.3">
      <c r="A18" s="26" t="s">
        <v>156</v>
      </c>
      <c r="B18" s="17">
        <v>18</v>
      </c>
      <c r="C18" s="17">
        <v>5.8</v>
      </c>
      <c r="D18" s="17">
        <v>5.6</v>
      </c>
      <c r="E18" s="17" t="s">
        <v>35</v>
      </c>
      <c r="F18" s="22">
        <v>216</v>
      </c>
      <c r="G18" s="17">
        <f>SQRT((4*(HSP!$B$2-$B18)^2+(HSP!$C$2-$C18)^2+(HSP!$D$2-$D18)^2))</f>
        <v>8.3582294775867467</v>
      </c>
      <c r="H18" s="17">
        <f>SQRT((4*(HSP!$B$3-$B18)^2+(HSP!$C$3-$C18)^2+(HSP!$D$3-$D18)^2))</f>
        <v>6.0243173887171659</v>
      </c>
      <c r="I18" s="17">
        <f>SQRT((4*(HSP!$B$4-$B18)^2+(HSP!$C$4-$C18)^2+(HSP!$D$4-$D18)^2))</f>
        <v>5.8932164392630275</v>
      </c>
      <c r="J18" s="17">
        <f>SQRT((4*(HSP!$B$5-$B18)^2+(HSP!$C$5-$C18)^2+(HSP!$D$5-$D18)^2))</f>
        <v>10.300820355680417</v>
      </c>
      <c r="K18" s="17">
        <f>SQRT((4*(HSP!$B$6-$B18)^2+(HSP!$C$6-$C18)^2+(HSP!$D$6-$D18)^2))</f>
        <v>5.7681019408467469</v>
      </c>
      <c r="L18" s="17" t="s">
        <v>35</v>
      </c>
      <c r="M18" s="17" t="s">
        <v>35</v>
      </c>
      <c r="N18" s="17" t="s">
        <v>35</v>
      </c>
      <c r="O18" s="17" t="s">
        <v>35</v>
      </c>
      <c r="P18" s="17" t="s">
        <v>35</v>
      </c>
      <c r="Q18" s="17">
        <f>$G18/HSP!$E$2</f>
        <v>0.51277481457587404</v>
      </c>
      <c r="R18" s="17">
        <f>$H18/HSP!$E$3</f>
        <v>0.44624573249756783</v>
      </c>
      <c r="S18" s="17">
        <f>$I18/HSP!$E$4</f>
        <v>0.37064254334987595</v>
      </c>
      <c r="T18" s="17">
        <f>$J18/HSP!$E$5</f>
        <v>0.75188469749492093</v>
      </c>
      <c r="U18" s="17">
        <f>$K18/HSP!$E$6</f>
        <v>0.38973661762478018</v>
      </c>
      <c r="V18" s="12"/>
      <c r="W18" s="12"/>
      <c r="X18" s="12"/>
      <c r="Y18" s="12"/>
      <c r="Z18" s="12"/>
    </row>
    <row r="19" spans="1:26" ht="15" customHeight="1" x14ac:dyDescent="0.3">
      <c r="A19" s="26" t="s">
        <v>157</v>
      </c>
      <c r="B19" s="17">
        <v>18</v>
      </c>
      <c r="C19" s="17">
        <v>7.6</v>
      </c>
      <c r="D19" s="17">
        <v>5</v>
      </c>
      <c r="E19" s="17" t="s">
        <v>35</v>
      </c>
      <c r="F19" s="22">
        <v>202.3</v>
      </c>
      <c r="G19" s="17">
        <f>SQRT((4*(HSP!$B$2-$B19)^2+(HSP!$C$2-$C19)^2+(HSP!$D$2-$D19)^2))</f>
        <v>7.638062581571325</v>
      </c>
      <c r="H19" s="17">
        <f>SQRT((4*(HSP!$B$3-$B19)^2+(HSP!$C$3-$C19)^2+(HSP!$D$3-$D19)^2))</f>
        <v>5.1244902185485746</v>
      </c>
      <c r="I19" s="17">
        <f>SQRT((4*(HSP!$B$4-$B19)^2+(HSP!$C$4-$C19)^2+(HSP!$D$4-$D19)^2))</f>
        <v>6.618307940856182</v>
      </c>
      <c r="J19" s="17">
        <f>SQRT((4*(HSP!$B$5-$B19)^2+(HSP!$C$5-$C19)^2+(HSP!$D$5-$D19)^2))</f>
        <v>9.5493926508443465</v>
      </c>
      <c r="K19" s="17">
        <f>SQRT((4*(HSP!$B$6-$B19)^2+(HSP!$C$6-$C19)^2+(HSP!$D$6-$D19)^2))</f>
        <v>5.701140236829823</v>
      </c>
      <c r="L19" s="17" t="s">
        <v>35</v>
      </c>
      <c r="M19" s="17" t="s">
        <v>35</v>
      </c>
      <c r="N19" s="17" t="s">
        <v>35</v>
      </c>
      <c r="O19" s="17" t="s">
        <v>35</v>
      </c>
      <c r="P19" s="17" t="s">
        <v>35</v>
      </c>
      <c r="Q19" s="17">
        <f>$G19/HSP!$E$2</f>
        <v>0.46859279641541868</v>
      </c>
      <c r="R19" s="17">
        <f>$H19/HSP!$E$3</f>
        <v>0.37959186804063516</v>
      </c>
      <c r="S19" s="17">
        <f>$I19/HSP!$E$4</f>
        <v>0.41624578244378502</v>
      </c>
      <c r="T19" s="17">
        <f>$J19/HSP!$E$5</f>
        <v>0.69703595991564582</v>
      </c>
      <c r="U19" s="17">
        <f>$K19/HSP!$E$6</f>
        <v>0.38521217816417719</v>
      </c>
      <c r="V19" s="12"/>
      <c r="W19" s="12"/>
      <c r="X19" s="12"/>
      <c r="Y19" s="12"/>
      <c r="Z19" s="12"/>
    </row>
    <row r="20" spans="1:26" ht="15" customHeight="1" x14ac:dyDescent="0.3">
      <c r="A20" s="26" t="s">
        <v>158</v>
      </c>
      <c r="B20" s="17">
        <v>17</v>
      </c>
      <c r="C20" s="17">
        <v>4.0999999999999996</v>
      </c>
      <c r="D20" s="17">
        <v>7.8</v>
      </c>
      <c r="E20" s="17" t="s">
        <v>35</v>
      </c>
      <c r="F20" s="22">
        <v>252.3</v>
      </c>
      <c r="G20" s="17">
        <f>SQRT((4*(HSP!$B$2-$B20)^2+(HSP!$C$2-$C20)^2+(HSP!$D$2-$D20)^2))</f>
        <v>8.0101186008697791</v>
      </c>
      <c r="H20" s="17">
        <f>SQRT((4*(HSP!$B$3-$B20)^2+(HSP!$C$3-$C20)^2+(HSP!$D$3-$D20)^2))</f>
        <v>6.4574298292741839</v>
      </c>
      <c r="I20" s="17">
        <f>SQRT((4*(HSP!$B$4-$B20)^2+(HSP!$C$4-$C20)^2+(HSP!$D$4-$D20)^2))</f>
        <v>3.8382287581643699</v>
      </c>
      <c r="J20" s="17">
        <f>SQRT((4*(HSP!$B$5-$B20)^2+(HSP!$C$5-$C20)^2+(HSP!$D$5-$D20)^2))</f>
        <v>9.8016784276979845</v>
      </c>
      <c r="K20" s="17">
        <f>SQRT((4*(HSP!$B$6-$B20)^2+(HSP!$C$6-$C20)^2+(HSP!$D$6-$D20)^2))</f>
        <v>5.7448237570877669</v>
      </c>
      <c r="L20" s="17" t="s">
        <v>35</v>
      </c>
      <c r="M20" s="17" t="s">
        <v>35</v>
      </c>
      <c r="N20" s="17" t="s">
        <v>35</v>
      </c>
      <c r="O20" s="17" t="s">
        <v>35</v>
      </c>
      <c r="P20" s="17" t="s">
        <v>35</v>
      </c>
      <c r="Q20" s="17">
        <f>$G20/HSP!$E$2</f>
        <v>0.49141831907176559</v>
      </c>
      <c r="R20" s="17">
        <f>$H20/HSP!$E$3</f>
        <v>0.47832813550179137</v>
      </c>
      <c r="S20" s="17">
        <f>$I20/HSP!$E$4</f>
        <v>0.24139803510467736</v>
      </c>
      <c r="T20" s="17">
        <f>$J20/HSP!$E$5</f>
        <v>0.71545098012394048</v>
      </c>
      <c r="U20" s="17">
        <f>$K20/HSP!$E$6</f>
        <v>0.38816376737079505</v>
      </c>
      <c r="V20" s="12"/>
      <c r="W20" s="12"/>
      <c r="X20" s="12"/>
      <c r="Y20" s="12"/>
      <c r="Z20" s="12"/>
    </row>
    <row r="21" spans="1:26" ht="15" customHeight="1" x14ac:dyDescent="0.3">
      <c r="A21" s="26" t="s">
        <v>159</v>
      </c>
      <c r="B21" s="17">
        <v>15.8</v>
      </c>
      <c r="C21" s="17">
        <v>5.2</v>
      </c>
      <c r="D21" s="17">
        <v>5.7</v>
      </c>
      <c r="E21" s="17" t="s">
        <v>35</v>
      </c>
      <c r="F21" s="22">
        <v>165.3</v>
      </c>
      <c r="G21" s="17">
        <f>SQRT((4*(HSP!$B$2-$B21)^2+(HSP!$C$2-$C21)^2+(HSP!$D$2-$D21)^2))</f>
        <v>5.9216551740201844</v>
      </c>
      <c r="H21" s="17">
        <f>SQRT((4*(HSP!$B$3-$B21)^2+(HSP!$C$3-$C21)^2+(HSP!$D$3-$D21)^2))</f>
        <v>4.4670348106993751</v>
      </c>
      <c r="I21" s="17">
        <f>SQRT((4*(HSP!$B$4-$B21)^2+(HSP!$C$4-$C21)^2+(HSP!$D$4-$D21)^2))</f>
        <v>1.7515707236649063</v>
      </c>
      <c r="J21" s="17">
        <f>SQRT((4*(HSP!$B$5-$B21)^2+(HSP!$C$5-$C21)^2+(HSP!$D$5-$D21)^2))</f>
        <v>9.2210031992186199</v>
      </c>
      <c r="K21" s="17">
        <f>SQRT((4*(HSP!$B$6-$B21)^2+(HSP!$C$6-$C21)^2+(HSP!$D$6-$D21)^2))</f>
        <v>2.4615036055224464</v>
      </c>
      <c r="L21" s="17" t="s">
        <v>35</v>
      </c>
      <c r="M21" s="17" t="s">
        <v>35</v>
      </c>
      <c r="N21" s="17" t="s">
        <v>35</v>
      </c>
      <c r="O21" s="17" t="s">
        <v>35</v>
      </c>
      <c r="P21" s="17" t="s">
        <v>35</v>
      </c>
      <c r="Q21" s="17">
        <f>$G21/HSP!$E$2</f>
        <v>0.36329172846749597</v>
      </c>
      <c r="R21" s="17">
        <f>$H21/HSP!$E$3</f>
        <v>0.330891467459213</v>
      </c>
      <c r="S21" s="17">
        <f>$I21/HSP!$E$4</f>
        <v>0.11016168073364191</v>
      </c>
      <c r="T21" s="17">
        <f>$J21/HSP!$E$5</f>
        <v>0.67306592695026424</v>
      </c>
      <c r="U21" s="17">
        <f>$K21/HSP!$E$6</f>
        <v>0.16631781118394906</v>
      </c>
      <c r="V21" s="12"/>
      <c r="W21" s="12"/>
      <c r="X21" s="12"/>
      <c r="Y21" s="12"/>
      <c r="Z21" s="12"/>
    </row>
    <row r="22" spans="1:26" ht="15" customHeight="1" x14ac:dyDescent="0.3">
      <c r="A22" s="26" t="s">
        <v>160</v>
      </c>
      <c r="B22" s="17">
        <v>16.899999999999999</v>
      </c>
      <c r="C22" s="17">
        <v>7.2</v>
      </c>
      <c r="D22" s="17">
        <v>10.199999999999999</v>
      </c>
      <c r="E22" s="17" t="s">
        <v>35</v>
      </c>
      <c r="F22" s="22">
        <v>195.5</v>
      </c>
      <c r="G22" s="17">
        <f>SQRT((4*(HSP!$B$2-$B22)^2+(HSP!$C$2-$C22)^2+(HSP!$D$2-$D22)^2))</f>
        <v>6.4927652044410156</v>
      </c>
      <c r="H22" s="17">
        <f>SQRT((4*(HSP!$B$3-$B22)^2+(HSP!$C$3-$C22)^2+(HSP!$D$3-$D22)^2))</f>
        <v>5.5760559538082095</v>
      </c>
      <c r="I22" s="17">
        <f>SQRT((4*(HSP!$B$4-$B22)^2+(HSP!$C$4-$C22)^2+(HSP!$D$4-$D22)^2))</f>
        <v>5.466443084858744</v>
      </c>
      <c r="J22" s="17">
        <f>SQRT((4*(HSP!$B$5-$B22)^2+(HSP!$C$5-$C22)^2+(HSP!$D$5-$D22)^2))</f>
        <v>6.4522011747929859</v>
      </c>
      <c r="K22" s="17">
        <f>SQRT((4*(HSP!$B$6-$B22)^2+(HSP!$C$6-$C22)^2+(HSP!$D$6-$D22)^2))</f>
        <v>7.1793453740574416</v>
      </c>
      <c r="L22" s="17" t="s">
        <v>35</v>
      </c>
      <c r="M22" s="17" t="s">
        <v>35</v>
      </c>
      <c r="N22" s="17" t="s">
        <v>35</v>
      </c>
      <c r="O22" s="17" t="s">
        <v>35</v>
      </c>
      <c r="P22" s="17" t="s">
        <v>35</v>
      </c>
      <c r="Q22" s="17">
        <f>$G22/HSP!$E$2</f>
        <v>0.39832915364668803</v>
      </c>
      <c r="R22" s="17">
        <f>$H22/HSP!$E$3</f>
        <v>0.41304118176357107</v>
      </c>
      <c r="S22" s="17">
        <f>$I22/HSP!$E$4</f>
        <v>0.34380145187790839</v>
      </c>
      <c r="T22" s="17">
        <f>$J22/HSP!$E$5</f>
        <v>0.4709635894009479</v>
      </c>
      <c r="U22" s="17">
        <f>$K22/HSP!$E$6</f>
        <v>0.48509090365252983</v>
      </c>
      <c r="V22" s="12"/>
      <c r="W22" s="12"/>
      <c r="X22" s="12"/>
      <c r="Y22" s="12"/>
      <c r="Z22" s="12"/>
    </row>
    <row r="23" spans="1:26" ht="15" customHeight="1" x14ac:dyDescent="0.3">
      <c r="A23" s="26" t="s">
        <v>161</v>
      </c>
      <c r="B23" s="17">
        <v>19</v>
      </c>
      <c r="C23" s="17">
        <v>4.3</v>
      </c>
      <c r="D23" s="17">
        <v>8.6999999999999993</v>
      </c>
      <c r="E23" s="17" t="s">
        <v>35</v>
      </c>
      <c r="F23" s="22">
        <v>150</v>
      </c>
      <c r="G23" s="17">
        <f>SQRT((4*(HSP!$B$2-$B23)^2+(HSP!$C$2-$C23)^2+(HSP!$D$2-$D23)^2))</f>
        <v>10.878602851469486</v>
      </c>
      <c r="H23" s="17">
        <f>SQRT((4*(HSP!$B$3-$B23)^2+(HSP!$C$3-$C23)^2+(HSP!$D$3-$D23)^2))</f>
        <v>8.9915738333175028</v>
      </c>
      <c r="I23" s="17">
        <f>SQRT((4*(HSP!$B$4-$B23)^2+(HSP!$C$4-$C23)^2+(HSP!$D$4-$D23)^2))</f>
        <v>7.9012657213892004</v>
      </c>
      <c r="J23" s="17">
        <f>SQRT((4*(HSP!$B$5-$B23)^2+(HSP!$C$5-$C23)^2+(HSP!$D$5-$D23)^2))</f>
        <v>11.468256188279019</v>
      </c>
      <c r="K23" s="17">
        <f>SQRT((4*(HSP!$B$6-$B23)^2+(HSP!$C$6-$C23)^2+(HSP!$D$6-$D23)^2))</f>
        <v>9.1493715631184198</v>
      </c>
      <c r="L23" s="17" t="s">
        <v>35</v>
      </c>
      <c r="M23" s="17" t="s">
        <v>35</v>
      </c>
      <c r="N23" s="17" t="s">
        <v>35</v>
      </c>
      <c r="O23" s="17" t="s">
        <v>35</v>
      </c>
      <c r="P23" s="17" t="s">
        <v>35</v>
      </c>
      <c r="Q23" s="17">
        <f>$G23/HSP!$E$2</f>
        <v>0.66739894794291321</v>
      </c>
      <c r="R23" s="17">
        <f>$H23/HSP!$E$3</f>
        <v>0.66604250617166683</v>
      </c>
      <c r="S23" s="17">
        <f>$I23/HSP!$E$4</f>
        <v>0.49693495103076729</v>
      </c>
      <c r="T23" s="17">
        <f>$J23/HSP!$E$5</f>
        <v>0.83709899184518388</v>
      </c>
      <c r="U23" s="17">
        <f>$K23/HSP!$E$6</f>
        <v>0.61820078129178513</v>
      </c>
      <c r="V23" s="12"/>
      <c r="W23" s="12"/>
      <c r="X23" s="12"/>
      <c r="Y23" s="12"/>
      <c r="Z23" s="12"/>
    </row>
    <row r="24" spans="1:26" ht="15" customHeight="1" x14ac:dyDescent="0.3">
      <c r="A24" s="26" t="s">
        <v>162</v>
      </c>
      <c r="B24" s="17">
        <v>19.399999999999999</v>
      </c>
      <c r="C24" s="17">
        <v>11.9</v>
      </c>
      <c r="D24" s="17">
        <v>8.3000000000000007</v>
      </c>
      <c r="E24" s="17" t="s">
        <v>35</v>
      </c>
      <c r="F24" s="22">
        <v>120.8</v>
      </c>
      <c r="G24" s="17">
        <f>SQRT((4*(HSP!$B$2-$B24)^2+(HSP!$C$2-$C24)^2+(HSP!$D$2-$D24)^2))</f>
        <v>9.7967341497051947</v>
      </c>
      <c r="H24" s="17">
        <f>SQRT((4*(HSP!$B$3-$B24)^2+(HSP!$C$3-$C24)^2+(HSP!$D$3-$D24)^2))</f>
        <v>8.1378375506027378</v>
      </c>
      <c r="I24" s="17">
        <f>SQRT((4*(HSP!$B$4-$B24)^2+(HSP!$C$4-$C24)^2+(HSP!$D$4-$D24)^2))</f>
        <v>11.222744762311935</v>
      </c>
      <c r="J24" s="17">
        <f>SQRT((4*(HSP!$B$5-$B24)^2+(HSP!$C$5-$C24)^2+(HSP!$D$5-$D24)^2))</f>
        <v>8.7072900491484706</v>
      </c>
      <c r="K24" s="17">
        <f>SQRT((4*(HSP!$B$6-$B24)^2+(HSP!$C$6-$C24)^2+(HSP!$D$6-$D24)^2))</f>
        <v>10.860524849195825</v>
      </c>
      <c r="L24" s="17" t="s">
        <v>35</v>
      </c>
      <c r="M24" s="17" t="s">
        <v>35</v>
      </c>
      <c r="N24" s="17" t="s">
        <v>35</v>
      </c>
      <c r="O24" s="17" t="s">
        <v>35</v>
      </c>
      <c r="P24" s="17" t="s">
        <v>35</v>
      </c>
      <c r="Q24" s="17">
        <f>$G24/HSP!$E$2</f>
        <v>0.60102663495123887</v>
      </c>
      <c r="R24" s="17">
        <f>$H24/HSP!$E$3</f>
        <v>0.60280278152612876</v>
      </c>
      <c r="S24" s="17">
        <f>$I24/HSP!$E$4</f>
        <v>0.70583300391898962</v>
      </c>
      <c r="T24" s="17">
        <f>$J24/HSP!$E$5</f>
        <v>0.63556861672616582</v>
      </c>
      <c r="U24" s="17">
        <f>$K24/HSP!$E$6</f>
        <v>0.73381924656728537</v>
      </c>
      <c r="V24" s="12"/>
      <c r="W24" s="12"/>
      <c r="X24" s="12"/>
      <c r="Y24" s="12"/>
      <c r="Z24" s="12"/>
    </row>
    <row r="25" spans="1:26" ht="15" customHeight="1" x14ac:dyDescent="0.3">
      <c r="A25" s="26" t="s">
        <v>163</v>
      </c>
      <c r="B25" s="17">
        <v>17.8</v>
      </c>
      <c r="C25" s="17">
        <v>4.0999999999999996</v>
      </c>
      <c r="D25" s="17">
        <v>6.7</v>
      </c>
      <c r="E25" s="17" t="s">
        <v>35</v>
      </c>
      <c r="F25" s="22">
        <v>119.1</v>
      </c>
      <c r="G25" s="17">
        <f>SQRT((4*(HSP!$B$2-$B25)^2+(HSP!$C$2-$C25)^2+(HSP!$D$2-$D25)^2))</f>
        <v>9.0270703996368642</v>
      </c>
      <c r="H25" s="17">
        <f>SQRT((4*(HSP!$B$3-$B25)^2+(HSP!$C$3-$C25)^2+(HSP!$D$3-$D25)^2))</f>
        <v>7.0353677942236983</v>
      </c>
      <c r="I25" s="17">
        <f>SQRT((4*(HSP!$B$4-$B25)^2+(HSP!$C$4-$C25)^2+(HSP!$D$4-$D25)^2))</f>
        <v>5.2928253324665855</v>
      </c>
      <c r="J25" s="17">
        <f>SQRT((4*(HSP!$B$5-$B25)^2+(HSP!$C$5-$C25)^2+(HSP!$D$5-$D25)^2))</f>
        <v>10.853612301902075</v>
      </c>
      <c r="K25" s="17">
        <f>SQRT((4*(HSP!$B$6-$B25)^2+(HSP!$C$6-$C25)^2+(HSP!$D$6-$D25)^2))</f>
        <v>6.257395624379205</v>
      </c>
      <c r="L25" s="17" t="s">
        <v>35</v>
      </c>
      <c r="M25" s="17" t="s">
        <v>35</v>
      </c>
      <c r="N25" s="17" t="s">
        <v>35</v>
      </c>
      <c r="O25" s="17" t="s">
        <v>35</v>
      </c>
      <c r="P25" s="17" t="s">
        <v>35</v>
      </c>
      <c r="Q25" s="17">
        <f>$G25/HSP!$E$2</f>
        <v>0.55380799997772168</v>
      </c>
      <c r="R25" s="17">
        <f>$H25/HSP!$E$3</f>
        <v>0.52113835512768136</v>
      </c>
      <c r="S25" s="17">
        <f>$I25/HSP!$E$4</f>
        <v>0.33288209638154626</v>
      </c>
      <c r="T25" s="17">
        <f>$J25/HSP!$E$5</f>
        <v>0.7922344745913924</v>
      </c>
      <c r="U25" s="17">
        <f>$K25/HSP!$E$6</f>
        <v>0.42279700164724354</v>
      </c>
      <c r="V25" s="12"/>
      <c r="W25" s="12"/>
      <c r="X25" s="12"/>
      <c r="Y25" s="12"/>
      <c r="Z25" s="12"/>
    </row>
    <row r="26" spans="1:26" ht="15" customHeight="1" x14ac:dyDescent="0.3">
      <c r="A26" s="26" t="s">
        <v>164</v>
      </c>
      <c r="B26" s="17">
        <v>16</v>
      </c>
      <c r="C26" s="17">
        <v>8.4</v>
      </c>
      <c r="D26" s="17">
        <v>7.8</v>
      </c>
      <c r="E26" s="17" t="s">
        <v>35</v>
      </c>
      <c r="F26" s="22">
        <v>174</v>
      </c>
      <c r="G26" s="17">
        <f>SQRT((4*(HSP!$B$2-$B26)^2+(HSP!$C$2-$C26)^2+(HSP!$D$2-$D26)^2))</f>
        <v>3.571554283501793</v>
      </c>
      <c r="H26" s="17">
        <f>SQRT((4*(HSP!$B$3-$B26)^2+(HSP!$C$3-$C26)^2+(HSP!$D$3-$D26)^2))</f>
        <v>2.4274266209300741</v>
      </c>
      <c r="I26" s="17">
        <f>SQRT((4*(HSP!$B$4-$B26)^2+(HSP!$C$4-$C26)^2+(HSP!$D$4-$D26)^2))</f>
        <v>4.1945202347825195</v>
      </c>
      <c r="J26" s="17">
        <f>SQRT((4*(HSP!$B$5-$B26)^2+(HSP!$C$5-$C26)^2+(HSP!$D$5-$D26)^2))</f>
        <v>5.5309040852287437</v>
      </c>
      <c r="K26" s="17">
        <f>SQRT((4*(HSP!$B$6-$B26)^2+(HSP!$C$6-$C26)^2+(HSP!$D$6-$D26)^2))</f>
        <v>4.6491934784433315</v>
      </c>
      <c r="L26" s="17" t="s">
        <v>35</v>
      </c>
      <c r="M26" s="17" t="s">
        <v>35</v>
      </c>
      <c r="N26" s="17" t="s">
        <v>35</v>
      </c>
      <c r="O26" s="17" t="s">
        <v>35</v>
      </c>
      <c r="P26" s="17" t="s">
        <v>35</v>
      </c>
      <c r="Q26" s="17">
        <f>$G26/HSP!$E$2</f>
        <v>0.21911375972403638</v>
      </c>
      <c r="R26" s="17">
        <f>$H26/HSP!$E$3</f>
        <v>0.17980937932815363</v>
      </c>
      <c r="S26" s="17">
        <f>$I26/HSP!$E$4</f>
        <v>0.26380630407437228</v>
      </c>
      <c r="T26" s="17">
        <f>$J26/HSP!$E$5</f>
        <v>0.40371562665903238</v>
      </c>
      <c r="U26" s="17">
        <f>$K26/HSP!$E$6</f>
        <v>0.31413469448941428</v>
      </c>
      <c r="V26" s="12"/>
      <c r="W26" s="12"/>
      <c r="X26" s="12"/>
      <c r="Y26" s="12"/>
      <c r="Z26" s="12"/>
    </row>
    <row r="27" spans="1:26" ht="15" customHeight="1" x14ac:dyDescent="0.3">
      <c r="A27" s="26" t="s">
        <v>165</v>
      </c>
      <c r="B27" s="17">
        <v>17.7</v>
      </c>
      <c r="C27" s="17">
        <v>7.4</v>
      </c>
      <c r="D27" s="17">
        <v>6.4</v>
      </c>
      <c r="E27" s="17" t="s">
        <v>35</v>
      </c>
      <c r="F27" s="22">
        <v>324.39999999999998</v>
      </c>
      <c r="G27" s="17">
        <f>SQRT((4*(HSP!$B$2-$B27)^2+(HSP!$C$2-$C27)^2+(HSP!$D$2-$D27)^2))</f>
        <v>6.9382995034806614</v>
      </c>
      <c r="H27" s="17">
        <f>SQRT((4*(HSP!$B$3-$B27)^2+(HSP!$C$3-$C27)^2+(HSP!$D$3-$D27)^2))</f>
        <v>4.6480533559760255</v>
      </c>
      <c r="I27" s="17">
        <f>SQRT((4*(HSP!$B$4-$B27)^2+(HSP!$C$4-$C27)^2+(HSP!$D$4-$D27)^2))</f>
        <v>5.7586456741147032</v>
      </c>
      <c r="J27" s="17">
        <f>SQRT((4*(HSP!$B$5-$B27)^2+(HSP!$C$5-$C27)^2+(HSP!$D$5-$D27)^2))</f>
        <v>8.5113394950501178</v>
      </c>
      <c r="K27" s="17">
        <f>SQRT((4*(HSP!$B$6-$B27)^2+(HSP!$C$6-$C27)^2+(HSP!$D$6-$D27)^2))</f>
        <v>5.5734190583518837</v>
      </c>
      <c r="L27" s="17" t="s">
        <v>35</v>
      </c>
      <c r="M27" s="17" t="s">
        <v>35</v>
      </c>
      <c r="N27" s="17" t="s">
        <v>35</v>
      </c>
      <c r="O27" s="17" t="s">
        <v>35</v>
      </c>
      <c r="P27" s="17" t="s">
        <v>35</v>
      </c>
      <c r="Q27" s="17">
        <f>$G27/HSP!$E$2</f>
        <v>0.4256625462258074</v>
      </c>
      <c r="R27" s="17">
        <f>$H27/HSP!$E$3</f>
        <v>0.3443002485908167</v>
      </c>
      <c r="S27" s="17">
        <f>$I27/HSP!$E$4</f>
        <v>0.36217897321476122</v>
      </c>
      <c r="T27" s="17">
        <f>$J27/HSP!$E$5</f>
        <v>0.62126565657300137</v>
      </c>
      <c r="U27" s="17">
        <f>$K27/HSP!$E$6</f>
        <v>0.37658236880755969</v>
      </c>
      <c r="V27" s="12"/>
      <c r="W27" s="12"/>
      <c r="X27" s="12"/>
      <c r="Y27" s="12"/>
      <c r="Z27" s="12"/>
    </row>
    <row r="28" spans="1:26" ht="15" customHeight="1" x14ac:dyDescent="0.3">
      <c r="A28" s="26" t="s">
        <v>166</v>
      </c>
      <c r="B28" s="17">
        <v>16</v>
      </c>
      <c r="C28" s="17">
        <v>4.4000000000000004</v>
      </c>
      <c r="D28" s="17">
        <v>9.6999999999999993</v>
      </c>
      <c r="E28" s="17" t="s">
        <v>35</v>
      </c>
      <c r="F28" s="22">
        <v>236.4</v>
      </c>
      <c r="G28" s="17">
        <f>SQRT((4*(HSP!$B$2-$B28)^2+(HSP!$C$2-$C28)^2+(HSP!$D$2-$D28)^2))</f>
        <v>7.2084672434575161</v>
      </c>
      <c r="H28" s="17">
        <f>SQRT((4*(HSP!$B$3-$B28)^2+(HSP!$C$3-$C28)^2+(HSP!$D$3-$D28)^2))</f>
        <v>6.5655464357507967</v>
      </c>
      <c r="I28" s="17">
        <f>SQRT((4*(HSP!$B$4-$B28)^2+(HSP!$C$4-$C28)^2+(HSP!$D$4-$D28)^2))</f>
        <v>3.3532074197699129</v>
      </c>
      <c r="J28" s="17">
        <f>SQRT((4*(HSP!$B$5-$B28)^2+(HSP!$C$5-$C28)^2+(HSP!$D$5-$D28)^2))</f>
        <v>8.5362111032940149</v>
      </c>
      <c r="K28" s="17">
        <f>SQRT((4*(HSP!$B$6-$B28)^2+(HSP!$C$6-$C28)^2+(HSP!$D$6-$D28)^2))</f>
        <v>6.3619965419669944</v>
      </c>
      <c r="L28" s="17" t="s">
        <v>35</v>
      </c>
      <c r="M28" s="17" t="s">
        <v>35</v>
      </c>
      <c r="N28" s="17" t="s">
        <v>35</v>
      </c>
      <c r="O28" s="17" t="s">
        <v>35</v>
      </c>
      <c r="P28" s="17" t="s">
        <v>35</v>
      </c>
      <c r="Q28" s="17">
        <f>$G28/HSP!$E$2</f>
        <v>0.44223725419984761</v>
      </c>
      <c r="R28" s="17">
        <f>$H28/HSP!$E$3</f>
        <v>0.48633677301857753</v>
      </c>
      <c r="S28" s="17">
        <f>$I28/HSP!$E$4</f>
        <v>0.21089354841320207</v>
      </c>
      <c r="T28" s="17">
        <f>$J28/HSP!$E$5</f>
        <v>0.62308110243022008</v>
      </c>
      <c r="U28" s="17">
        <f>$K28/HSP!$E$6</f>
        <v>0.4298646312139861</v>
      </c>
      <c r="V28" s="12"/>
      <c r="W28" s="12"/>
      <c r="X28" s="12"/>
      <c r="Y28" s="12"/>
      <c r="Z28" s="12"/>
    </row>
    <row r="29" spans="1:26" ht="15" customHeight="1" x14ac:dyDescent="0.3">
      <c r="A29" s="26" t="s">
        <v>167</v>
      </c>
      <c r="B29" s="21">
        <v>19.399999999999999</v>
      </c>
      <c r="C29" s="17">
        <v>7.4</v>
      </c>
      <c r="D29" s="17">
        <v>5.3</v>
      </c>
      <c r="E29" s="17" t="s">
        <v>35</v>
      </c>
      <c r="F29" s="22">
        <v>101.5</v>
      </c>
      <c r="G29" s="17">
        <f>SQRT((4*(HSP!$B$2-$B29)^2+(HSP!$C$2-$C29)^2+(HSP!$D$2-$D29)^2))</f>
        <v>10.214988986778202</v>
      </c>
      <c r="H29" s="17">
        <f>SQRT((4*(HSP!$B$3-$B29)^2+(HSP!$C$3-$C29)^2+(HSP!$D$3-$D29)^2))</f>
        <v>7.7739565216175457</v>
      </c>
      <c r="I29" s="17">
        <f>SQRT((4*(HSP!$B$4-$B29)^2+(HSP!$C$4-$C29)^2+(HSP!$D$4-$D29)^2))</f>
        <v>9.012213934433646</v>
      </c>
      <c r="J29" s="17">
        <f>SQRT((4*(HSP!$B$5-$B29)^2+(HSP!$C$5-$C29)^2+(HSP!$D$5-$D29)^2))</f>
        <v>11.323731717062179</v>
      </c>
      <c r="K29" s="17">
        <f>SQRT((4*(HSP!$B$6-$B29)^2+(HSP!$C$6-$C29)^2+(HSP!$D$6-$D29)^2))</f>
        <v>8.442215349065668</v>
      </c>
      <c r="L29" s="17" t="s">
        <v>35</v>
      </c>
      <c r="M29" s="17" t="s">
        <v>35</v>
      </c>
      <c r="N29" s="17" t="s">
        <v>35</v>
      </c>
      <c r="O29" s="17" t="s">
        <v>35</v>
      </c>
      <c r="P29" s="17" t="s">
        <v>35</v>
      </c>
      <c r="Q29" s="17">
        <f>$G29/HSP!$E$2</f>
        <v>0.62668644090663816</v>
      </c>
      <c r="R29" s="17">
        <f>$H29/HSP!$E$3</f>
        <v>0.57584863123092933</v>
      </c>
      <c r="S29" s="17">
        <f>$I29/HSP!$E$4</f>
        <v>0.56680590782601548</v>
      </c>
      <c r="T29" s="17">
        <f>$J29/HSP!$E$5</f>
        <v>0.82654976036950212</v>
      </c>
      <c r="U29" s="17">
        <f>$K29/HSP!$E$6</f>
        <v>0.57041995601795048</v>
      </c>
      <c r="V29" s="12"/>
      <c r="W29" s="12"/>
      <c r="X29" s="12"/>
      <c r="Y29" s="12"/>
      <c r="Z29" s="12"/>
    </row>
    <row r="30" spans="1:26" ht="15" customHeight="1" x14ac:dyDescent="0.3">
      <c r="A30" s="28" t="s">
        <v>36</v>
      </c>
      <c r="B30" s="17">
        <v>19.600000000000001</v>
      </c>
      <c r="C30" s="17">
        <v>8.6</v>
      </c>
      <c r="D30" s="17">
        <v>5.7</v>
      </c>
      <c r="E30" s="17" t="s">
        <v>35</v>
      </c>
      <c r="F30" s="22">
        <v>164.2</v>
      </c>
      <c r="G30" s="17">
        <f>SQRT((4*(HSP!$B$2-$B30)^2+(HSP!$C$2-$C30)^2+(HSP!$D$2-$D30)^2))</f>
        <v>10.25173156105836</v>
      </c>
      <c r="H30" s="17">
        <f>SQRT((4*(HSP!$B$3-$B30)^2+(HSP!$C$3-$C30)^2+(HSP!$D$3-$D30)^2))</f>
        <v>7.8924267497392755</v>
      </c>
      <c r="I30" s="17">
        <f>SQRT((4*(HSP!$B$4-$B30)^2+(HSP!$C$4-$C30)^2+(HSP!$D$4-$D30)^2))</f>
        <v>9.7506922831150842</v>
      </c>
      <c r="J30" s="17">
        <f>SQRT((4*(HSP!$B$5-$B30)^2+(HSP!$C$5-$C30)^2+(HSP!$D$5-$D30)^2))</f>
        <v>10.923502185654566</v>
      </c>
      <c r="K30" s="17">
        <f>SQRT((4*(HSP!$B$6-$B30)^2+(HSP!$C$6-$C30)^2+(HSP!$D$6-$D30)^2))</f>
        <v>9.1174009454449276</v>
      </c>
      <c r="L30" s="17" t="s">
        <v>35</v>
      </c>
      <c r="M30" s="17" t="s">
        <v>35</v>
      </c>
      <c r="N30" s="17" t="s">
        <v>35</v>
      </c>
      <c r="O30" s="17" t="s">
        <v>35</v>
      </c>
      <c r="P30" s="17" t="s">
        <v>35</v>
      </c>
      <c r="Q30" s="17">
        <f>$G30/HSP!$E$2</f>
        <v>0.62894058656799756</v>
      </c>
      <c r="R30" s="17">
        <f>$H30/HSP!$E$3</f>
        <v>0.58462420368439083</v>
      </c>
      <c r="S30" s="17">
        <f>$I30/HSP!$E$4</f>
        <v>0.61325108698837005</v>
      </c>
      <c r="T30" s="17">
        <f>$J30/HSP!$E$5</f>
        <v>0.79733592596018732</v>
      </c>
      <c r="U30" s="17">
        <f>$K30/HSP!$E$6</f>
        <v>0.61604060442195452</v>
      </c>
      <c r="V30" s="12"/>
      <c r="W30" s="12"/>
      <c r="X30" s="12"/>
      <c r="Y30" s="12"/>
      <c r="Z30" s="12"/>
    </row>
    <row r="31" spans="1:26" ht="15" customHeight="1" x14ac:dyDescent="0.3">
      <c r="A31" s="26" t="s">
        <v>168</v>
      </c>
      <c r="B31" s="17">
        <v>18.3</v>
      </c>
      <c r="C31" s="17">
        <v>5.7</v>
      </c>
      <c r="D31" s="17">
        <v>6</v>
      </c>
      <c r="E31" s="17" t="s">
        <v>35</v>
      </c>
      <c r="F31" s="22">
        <v>142.80000000000001</v>
      </c>
      <c r="G31" s="17">
        <f>SQRT((4*(HSP!$B$2-$B31)^2+(HSP!$C$2-$C31)^2+(HSP!$D$2-$D31)^2))</f>
        <v>8.8531350379399516</v>
      </c>
      <c r="H31" s="17">
        <f>SQRT((4*(HSP!$B$3-$B31)^2+(HSP!$C$3-$C31)^2+(HSP!$D$3-$D31)^2))</f>
        <v>6.5545709241719265</v>
      </c>
      <c r="I31" s="17">
        <f>SQRT((4*(HSP!$B$4-$B31)^2+(HSP!$C$4-$C31)^2+(HSP!$D$4-$D31)^2))</f>
        <v>6.392808459511361</v>
      </c>
      <c r="J31" s="17">
        <f>SQRT((4*(HSP!$B$5-$B31)^2+(HSP!$C$5-$C31)^2+(HSP!$D$5-$D31)^2))</f>
        <v>10.502804387400539</v>
      </c>
      <c r="K31" s="17">
        <f>SQRT((4*(HSP!$B$6-$B31)^2+(HSP!$C$6-$C31)^2+(HSP!$D$6-$D31)^2))</f>
        <v>6.4713986123557579</v>
      </c>
      <c r="L31" s="17" t="s">
        <v>35</v>
      </c>
      <c r="M31" s="17" t="s">
        <v>35</v>
      </c>
      <c r="N31" s="17" t="s">
        <v>35</v>
      </c>
      <c r="O31" s="17" t="s">
        <v>35</v>
      </c>
      <c r="P31" s="17" t="s">
        <v>35</v>
      </c>
      <c r="Q31" s="17">
        <f>$G31/HSP!$E$2</f>
        <v>0.54313711889202154</v>
      </c>
      <c r="R31" s="17">
        <f>$H31/HSP!$E$3</f>
        <v>0.48552377216088344</v>
      </c>
      <c r="S31" s="17">
        <f>$I31/HSP!$E$4</f>
        <v>0.40206342512650067</v>
      </c>
      <c r="T31" s="17">
        <f>$J31/HSP!$E$5</f>
        <v>0.76662805747449192</v>
      </c>
      <c r="U31" s="17">
        <f>$K31/HSP!$E$6</f>
        <v>0.43725666299701066</v>
      </c>
      <c r="V31" s="12"/>
      <c r="W31" s="12"/>
      <c r="X31" s="12"/>
      <c r="Y31" s="12"/>
      <c r="Z31" s="12"/>
    </row>
    <row r="32" spans="1:26" ht="15" customHeight="1" x14ac:dyDescent="0.3">
      <c r="A32" s="26" t="s">
        <v>169</v>
      </c>
      <c r="B32" s="17">
        <v>18.399999999999999</v>
      </c>
      <c r="C32" s="17">
        <v>6.3</v>
      </c>
      <c r="D32" s="17">
        <v>13.7</v>
      </c>
      <c r="E32" s="17" t="s">
        <v>35</v>
      </c>
      <c r="F32" s="22">
        <v>103.6</v>
      </c>
      <c r="G32" s="17">
        <f>SQRT((4*(HSP!$B$2-$B32)^2+(HSP!$C$2-$C32)^2+(HSP!$D$2-$D32)^2))</f>
        <v>10.964670537686025</v>
      </c>
      <c r="H32" s="17">
        <f>SQRT((4*(HSP!$B$3-$B32)^2+(HSP!$C$3-$C32)^2+(HSP!$D$3-$D32)^2))</f>
        <v>10.137080447545042</v>
      </c>
      <c r="I32" s="17">
        <f>SQRT((4*(HSP!$B$4-$B32)^2+(HSP!$C$4-$C32)^2+(HSP!$D$4-$D32)^2))</f>
        <v>9.5898905103238778</v>
      </c>
      <c r="J32" s="17">
        <f>SQRT((4*(HSP!$B$5-$B32)^2+(HSP!$C$5-$C32)^2+(HSP!$D$5-$D32)^2))</f>
        <v>9.3849294083653056</v>
      </c>
      <c r="K32" s="17">
        <f>SQRT((4*(HSP!$B$6-$B32)^2+(HSP!$C$6-$C32)^2+(HSP!$D$6-$D32)^2))</f>
        <v>11.671632276592678</v>
      </c>
      <c r="L32" s="17" t="s">
        <v>35</v>
      </c>
      <c r="M32" s="17" t="s">
        <v>35</v>
      </c>
      <c r="N32" s="17" t="s">
        <v>35</v>
      </c>
      <c r="O32" s="17" t="s">
        <v>35</v>
      </c>
      <c r="P32" s="17" t="s">
        <v>35</v>
      </c>
      <c r="Q32" s="17">
        <f>$G32/HSP!$E$2</f>
        <v>0.67267917409116718</v>
      </c>
      <c r="R32" s="17">
        <f>$H32/HSP!$E$3</f>
        <v>0.75089484796629946</v>
      </c>
      <c r="S32" s="17">
        <f>$I32/HSP!$E$4</f>
        <v>0.60313776794489793</v>
      </c>
      <c r="T32" s="17">
        <f>$J32/HSP!$E$5</f>
        <v>0.6850313436762997</v>
      </c>
      <c r="U32" s="17">
        <f>$K32/HSP!$E$6</f>
        <v>0.78862380247247821</v>
      </c>
      <c r="V32" s="12"/>
      <c r="W32" s="12"/>
      <c r="X32" s="12"/>
      <c r="Y32" s="12"/>
      <c r="Z32" s="12"/>
    </row>
    <row r="33" spans="1:26" ht="15" customHeight="1" x14ac:dyDescent="0.3">
      <c r="A33" s="26" t="s">
        <v>170</v>
      </c>
      <c r="B33" s="17">
        <v>20</v>
      </c>
      <c r="C33" s="17">
        <v>5.0999999999999996</v>
      </c>
      <c r="D33" s="17">
        <v>5.2</v>
      </c>
      <c r="E33" s="17" t="s">
        <v>35</v>
      </c>
      <c r="F33" s="22">
        <v>191.2</v>
      </c>
      <c r="G33" s="17">
        <f>SQRT((4*(HSP!$B$2-$B33)^2+(HSP!$C$2-$C33)^2+(HSP!$D$2-$D33)^2))</f>
        <v>12.187616666108267</v>
      </c>
      <c r="H33" s="17">
        <f>SQRT((4*(HSP!$B$3-$B33)^2+(HSP!$C$3-$C33)^2+(HSP!$D$3-$D33)^2))</f>
        <v>9.7715096070156946</v>
      </c>
      <c r="I33" s="17">
        <f>SQRT((4*(HSP!$B$4-$B33)^2+(HSP!$C$4-$C33)^2+(HSP!$D$4-$D33)^2))</f>
        <v>9.8006122257744703</v>
      </c>
      <c r="J33" s="17">
        <f>SQRT((4*(HSP!$B$5-$B33)^2+(HSP!$C$5-$C33)^2+(HSP!$D$5-$D33)^2))</f>
        <v>13.430893492243918</v>
      </c>
      <c r="K33" s="17">
        <f>SQRT((4*(HSP!$B$6-$B33)^2+(HSP!$C$6-$C33)^2+(HSP!$D$6-$D33)^2))</f>
        <v>9.6479531507983616</v>
      </c>
      <c r="L33" s="17" t="s">
        <v>35</v>
      </c>
      <c r="M33" s="17" t="s">
        <v>35</v>
      </c>
      <c r="N33" s="17" t="s">
        <v>35</v>
      </c>
      <c r="O33" s="17" t="s">
        <v>35</v>
      </c>
      <c r="P33" s="17" t="s">
        <v>35</v>
      </c>
      <c r="Q33" s="17">
        <f>$G33/HSP!$E$2</f>
        <v>0.74770654393302249</v>
      </c>
      <c r="R33" s="17">
        <f>$H33/HSP!$E$3</f>
        <v>0.72381552644560698</v>
      </c>
      <c r="S33" s="17">
        <f>$I33/HSP!$E$4</f>
        <v>0.61639070602355162</v>
      </c>
      <c r="T33" s="17">
        <f>$J33/HSP!$E$5</f>
        <v>0.98035718921488457</v>
      </c>
      <c r="U33" s="17">
        <f>$K33/HSP!$E$6</f>
        <v>0.65188872640529472</v>
      </c>
      <c r="V33" s="12"/>
      <c r="W33" s="12"/>
      <c r="X33" s="12"/>
      <c r="Y33" s="12"/>
      <c r="Z33" s="12"/>
    </row>
    <row r="34" spans="1:26" ht="15" customHeight="1" x14ac:dyDescent="0.3">
      <c r="A34" s="26" t="s">
        <v>171</v>
      </c>
      <c r="B34" s="17">
        <v>18.3</v>
      </c>
      <c r="C34" s="17">
        <v>5.6</v>
      </c>
      <c r="D34" s="17">
        <v>5.5</v>
      </c>
      <c r="E34" s="17" t="s">
        <v>35</v>
      </c>
      <c r="F34" s="22">
        <v>178.2</v>
      </c>
      <c r="G34" s="17">
        <f>SQRT((4*(HSP!$B$2-$B34)^2+(HSP!$C$2-$C34)^2+(HSP!$D$2-$D34)^2))</f>
        <v>8.9760793222876565</v>
      </c>
      <c r="H34" s="17">
        <f>SQRT((4*(HSP!$B$3-$B34)^2+(HSP!$C$3-$C34)^2+(HSP!$D$3-$D34)^2))</f>
        <v>6.6207552439279942</v>
      </c>
      <c r="I34" s="17">
        <f>SQRT((4*(HSP!$B$4-$B34)^2+(HSP!$C$4-$C34)^2+(HSP!$D$4-$D34)^2))</f>
        <v>6.459411737921652</v>
      </c>
      <c r="J34" s="17">
        <f>SQRT((4*(HSP!$B$5-$B34)^2+(HSP!$C$5-$C34)^2+(HSP!$D$5-$D34)^2))</f>
        <v>10.812164445660269</v>
      </c>
      <c r="K34" s="17">
        <f>SQRT((4*(HSP!$B$6-$B34)^2+(HSP!$C$6-$C34)^2+(HSP!$D$6-$D34)^2))</f>
        <v>6.3352190175241789</v>
      </c>
      <c r="L34" s="17" t="s">
        <v>35</v>
      </c>
      <c r="M34" s="17" t="s">
        <v>35</v>
      </c>
      <c r="N34" s="17" t="s">
        <v>35</v>
      </c>
      <c r="O34" s="17" t="s">
        <v>35</v>
      </c>
      <c r="P34" s="17" t="s">
        <v>35</v>
      </c>
      <c r="Q34" s="17">
        <f>$G34/HSP!$E$2</f>
        <v>0.5506797130237826</v>
      </c>
      <c r="R34" s="17">
        <f>$H34/HSP!$E$3</f>
        <v>0.49042631436503659</v>
      </c>
      <c r="S34" s="17">
        <f>$I34/HSP!$E$4</f>
        <v>0.40625231056111016</v>
      </c>
      <c r="T34" s="17">
        <f>$J34/HSP!$E$5</f>
        <v>0.78920908362483722</v>
      </c>
      <c r="U34" s="17">
        <f>$K34/HSP!$E$6</f>
        <v>0.42805533902190396</v>
      </c>
      <c r="V34" s="12"/>
      <c r="W34" s="12"/>
      <c r="X34" s="12"/>
      <c r="Y34" s="12"/>
      <c r="Z34" s="12"/>
    </row>
    <row r="35" spans="1:26" ht="15" customHeight="1" x14ac:dyDescent="0.3">
      <c r="A35" s="26" t="s">
        <v>172</v>
      </c>
      <c r="B35" s="17">
        <v>17</v>
      </c>
      <c r="C35" s="17">
        <v>8.1999999999999993</v>
      </c>
      <c r="D35" s="17">
        <v>4.7</v>
      </c>
      <c r="E35" s="17" t="s">
        <v>35</v>
      </c>
      <c r="F35" s="22">
        <v>125.9</v>
      </c>
      <c r="G35" s="17">
        <f>SQRT((4*(HSP!$B$2-$B35)^2+(HSP!$C$2-$C35)^2+(HSP!$D$2-$D35)^2))</f>
        <v>5.7745995532157908</v>
      </c>
      <c r="H35" s="17">
        <f>SQRT((4*(HSP!$B$3-$B35)^2+(HSP!$C$3-$C35)^2+(HSP!$D$3-$D35)^2))</f>
        <v>3.2016245876117342</v>
      </c>
      <c r="I35" s="17">
        <f>SQRT((4*(HSP!$B$4-$B35)^2+(HSP!$C$4-$C35)^2+(HSP!$D$4-$D35)^2))</f>
        <v>5.4950887162993096</v>
      </c>
      <c r="J35" s="17">
        <f>SQRT((4*(HSP!$B$5-$B35)^2+(HSP!$C$5-$C35)^2+(HSP!$D$5-$D35)^2))</f>
        <v>8.4388921073799725</v>
      </c>
      <c r="K35" s="17">
        <f>SQRT((4*(HSP!$B$6-$B35)^2+(HSP!$C$6-$C35)^2+(HSP!$D$6-$D35)^2))</f>
        <v>3.9783162267471908</v>
      </c>
      <c r="L35" s="17" t="s">
        <v>35</v>
      </c>
      <c r="M35" s="17" t="s">
        <v>35</v>
      </c>
      <c r="N35" s="17" t="s">
        <v>35</v>
      </c>
      <c r="O35" s="17" t="s">
        <v>35</v>
      </c>
      <c r="P35" s="17" t="s">
        <v>35</v>
      </c>
      <c r="Q35" s="17">
        <f>$G35/HSP!$E$2</f>
        <v>0.35426991124023255</v>
      </c>
      <c r="R35" s="17">
        <f>$H35/HSP!$E$3</f>
        <v>0.23715737686012847</v>
      </c>
      <c r="S35" s="17">
        <f>$I35/HSP!$E$4</f>
        <v>0.34560306391819556</v>
      </c>
      <c r="T35" s="17">
        <f>$J35/HSP!$E$5</f>
        <v>0.61597752608612943</v>
      </c>
      <c r="U35" s="17">
        <f>$K35/HSP!$E$6</f>
        <v>0.26880515045589126</v>
      </c>
      <c r="V35" s="12"/>
      <c r="W35" s="12"/>
      <c r="X35" s="12"/>
      <c r="Y35" s="12"/>
      <c r="Z35" s="12"/>
    </row>
    <row r="36" spans="1:26" ht="15" customHeight="1" x14ac:dyDescent="0.3">
      <c r="A36" s="26" t="s">
        <v>173</v>
      </c>
      <c r="B36" s="17">
        <v>18.100000000000001</v>
      </c>
      <c r="C36" s="17">
        <v>5.4</v>
      </c>
      <c r="D36" s="17">
        <v>5.3</v>
      </c>
      <c r="E36" s="17" t="s">
        <v>35</v>
      </c>
      <c r="F36" s="22">
        <v>192.2</v>
      </c>
      <c r="G36" s="17">
        <f>SQRT((4*(HSP!$B$2-$B36)^2+(HSP!$C$2-$C36)^2+(HSP!$D$2-$D36)^2))</f>
        <v>8.7992045094997113</v>
      </c>
      <c r="H36" s="17">
        <f>SQRT((4*(HSP!$B$3-$B36)^2+(HSP!$C$3-$C36)^2+(HSP!$D$3-$D36)^2))</f>
        <v>6.4537121100960215</v>
      </c>
      <c r="I36" s="17">
        <f>SQRT((4*(HSP!$B$4-$B36)^2+(HSP!$C$4-$C36)^2+(HSP!$D$4-$D36)^2))</f>
        <v>6.0916336068414383</v>
      </c>
      <c r="J36" s="17">
        <f>SQRT((4*(HSP!$B$5-$B36)^2+(HSP!$C$5-$C36)^2+(HSP!$D$5-$D36)^2))</f>
        <v>10.831200302828863</v>
      </c>
      <c r="K36" s="17">
        <f>SQRT((4*(HSP!$B$6-$B36)^2+(HSP!$C$6-$C36)^2+(HSP!$D$6-$D36)^2))</f>
        <v>5.9328745140951735</v>
      </c>
      <c r="L36" s="17" t="s">
        <v>35</v>
      </c>
      <c r="M36" s="17" t="s">
        <v>35</v>
      </c>
      <c r="N36" s="17" t="s">
        <v>35</v>
      </c>
      <c r="O36" s="17" t="s">
        <v>35</v>
      </c>
      <c r="P36" s="17" t="s">
        <v>35</v>
      </c>
      <c r="Q36" s="17">
        <f>$G36/HSP!$E$2</f>
        <v>0.53982849751531969</v>
      </c>
      <c r="R36" s="17">
        <f>$H36/HSP!$E$3</f>
        <v>0.47805274889600158</v>
      </c>
      <c r="S36" s="17">
        <f>$I36/HSP!$E$4</f>
        <v>0.38312161049317223</v>
      </c>
      <c r="T36" s="17">
        <f>$J36/HSP!$E$5</f>
        <v>0.79059856225028202</v>
      </c>
      <c r="U36" s="17">
        <f>$K36/HSP!$E$6</f>
        <v>0.4008698996010252</v>
      </c>
      <c r="V36" s="12"/>
      <c r="W36" s="12"/>
      <c r="X36" s="12"/>
      <c r="Y36" s="12"/>
      <c r="Z36" s="12"/>
    </row>
    <row r="37" spans="1:26" ht="15" customHeight="1" x14ac:dyDescent="0.3">
      <c r="A37" s="26" t="s">
        <v>174</v>
      </c>
      <c r="B37" s="17">
        <v>17.8</v>
      </c>
      <c r="C37" s="17">
        <v>5.4</v>
      </c>
      <c r="D37" s="17">
        <v>5.7</v>
      </c>
      <c r="E37" s="17" t="s">
        <v>35</v>
      </c>
      <c r="F37" s="22">
        <v>160.5</v>
      </c>
      <c r="G37" s="17">
        <f>SQRT((4*(HSP!$B$2-$B37)^2+(HSP!$C$2-$C37)^2+(HSP!$D$2-$D37)^2))</f>
        <v>8.2584502178072157</v>
      </c>
      <c r="H37" s="17">
        <f>SQRT((4*(HSP!$B$3-$B37)^2+(HSP!$C$3-$C37)^2+(HSP!$D$3-$D37)^2))</f>
        <v>5.9975328260877419</v>
      </c>
      <c r="I37" s="17">
        <f>SQRT((4*(HSP!$B$4-$B37)^2+(HSP!$C$4-$C37)^2+(HSP!$D$4-$D37)^2))</f>
        <v>5.421807816586643</v>
      </c>
      <c r="J37" s="17">
        <f>SQRT((4*(HSP!$B$5-$B37)^2+(HSP!$C$5-$C37)^2+(HSP!$D$5-$D37)^2))</f>
        <v>10.321768259363317</v>
      </c>
      <c r="K37" s="17">
        <f>SQRT((4*(HSP!$B$6-$B37)^2+(HSP!$C$6-$C37)^2+(HSP!$D$6-$D37)^2))</f>
        <v>5.4851618025360036</v>
      </c>
      <c r="L37" s="17" t="s">
        <v>35</v>
      </c>
      <c r="M37" s="17" t="s">
        <v>35</v>
      </c>
      <c r="N37" s="17" t="s">
        <v>35</v>
      </c>
      <c r="O37" s="17" t="s">
        <v>35</v>
      </c>
      <c r="P37" s="17" t="s">
        <v>35</v>
      </c>
      <c r="Q37" s="17">
        <f>$G37/HSP!$E$2</f>
        <v>0.50665338759553469</v>
      </c>
      <c r="R37" s="17">
        <f>$H37/HSP!$E$3</f>
        <v>0.44426169082131423</v>
      </c>
      <c r="S37" s="17">
        <f>$I37/HSP!$E$4</f>
        <v>0.34099420230104671</v>
      </c>
      <c r="T37" s="17">
        <f>$J37/HSP!$E$5</f>
        <v>0.75341374155936625</v>
      </c>
      <c r="U37" s="17">
        <f>$K37/HSP!$E$6</f>
        <v>0.37061904071189211</v>
      </c>
      <c r="V37" s="12"/>
      <c r="W37" s="12"/>
      <c r="X37" s="12"/>
      <c r="Y37" s="12"/>
      <c r="Z37" s="12"/>
    </row>
    <row r="38" spans="1:26" ht="15" customHeight="1" x14ac:dyDescent="0.3">
      <c r="A38" s="26" t="s">
        <v>175</v>
      </c>
      <c r="B38" s="17">
        <v>19.8</v>
      </c>
      <c r="C38" s="17">
        <v>6.6</v>
      </c>
      <c r="D38" s="17">
        <v>11.3</v>
      </c>
      <c r="E38" s="17" t="s">
        <v>35</v>
      </c>
      <c r="F38" s="22">
        <v>193.4</v>
      </c>
      <c r="G38" s="17">
        <f>SQRT((4*(HSP!$B$2-$B38)^2+(HSP!$C$2-$C38)^2+(HSP!$D$2-$D38)^2))</f>
        <v>11.904704952244723</v>
      </c>
      <c r="H38" s="17">
        <f>SQRT((4*(HSP!$B$3-$B38)^2+(HSP!$C$3-$C38)^2+(HSP!$D$3-$D38)^2))</f>
        <v>10.342262808496024</v>
      </c>
      <c r="I38" s="17">
        <f>SQRT((4*(HSP!$B$4-$B38)^2+(HSP!$C$4-$C38)^2+(HSP!$D$4-$D38)^2))</f>
        <v>10.473012938023139</v>
      </c>
      <c r="J38" s="17">
        <f>SQRT((4*(HSP!$B$5-$B38)^2+(HSP!$C$5-$C38)^2+(HSP!$D$5-$D38)^2))</f>
        <v>10.939602369373398</v>
      </c>
      <c r="K38" s="17">
        <f>SQRT((4*(HSP!$B$6-$B38)^2+(HSP!$C$6-$C38)^2+(HSP!$D$6-$D38)^2))</f>
        <v>11.730941991161668</v>
      </c>
      <c r="L38" s="17" t="s">
        <v>35</v>
      </c>
      <c r="M38" s="17" t="s">
        <v>35</v>
      </c>
      <c r="N38" s="17" t="s">
        <v>35</v>
      </c>
      <c r="O38" s="17" t="s">
        <v>35</v>
      </c>
      <c r="P38" s="17" t="s">
        <v>35</v>
      </c>
      <c r="Q38" s="17">
        <f>$G38/HSP!$E$2</f>
        <v>0.73034999707022841</v>
      </c>
      <c r="R38" s="17">
        <f>$H38/HSP!$E$3</f>
        <v>0.76609354137007579</v>
      </c>
      <c r="S38" s="17">
        <f>$I38/HSP!$E$4</f>
        <v>0.65868005899516591</v>
      </c>
      <c r="T38" s="17">
        <f>$J38/HSP!$E$5</f>
        <v>0.79851112185207296</v>
      </c>
      <c r="U38" s="17">
        <f>$K38/HSP!$E$6</f>
        <v>0.7926312156190316</v>
      </c>
      <c r="V38" s="12"/>
      <c r="W38" s="12"/>
      <c r="X38" s="12"/>
      <c r="Y38" s="12"/>
      <c r="Z38" s="12"/>
    </row>
    <row r="39" spans="1:26" ht="15" customHeight="1" x14ac:dyDescent="0.3">
      <c r="A39" s="26" t="s">
        <v>176</v>
      </c>
      <c r="B39" s="17">
        <v>17.899999999999999</v>
      </c>
      <c r="C39" s="17">
        <v>4.8</v>
      </c>
      <c r="D39" s="17">
        <v>5.6</v>
      </c>
      <c r="E39" s="17" t="s">
        <v>35</v>
      </c>
      <c r="F39" s="22">
        <v>206.5</v>
      </c>
      <c r="G39" s="17">
        <f>SQRT((4*(HSP!$B$2-$B39)^2+(HSP!$C$2-$C39)^2+(HSP!$D$2-$D39)^2))</f>
        <v>8.8034084308295046</v>
      </c>
      <c r="H39" s="17">
        <f>SQRT((4*(HSP!$B$3-$B39)^2+(HSP!$C$3-$C39)^2+(HSP!$D$3-$D39)^2))</f>
        <v>6.5730054008801773</v>
      </c>
      <c r="I39" s="17">
        <f>SQRT((4*(HSP!$B$4-$B39)^2+(HSP!$C$4-$C39)^2+(HSP!$D$4-$D39)^2))</f>
        <v>5.5916008441232616</v>
      </c>
      <c r="J39" s="17">
        <f>SQRT((4*(HSP!$B$5-$B39)^2+(HSP!$C$5-$C39)^2+(HSP!$D$5-$D39)^2))</f>
        <v>10.899674307060739</v>
      </c>
      <c r="K39" s="17">
        <f>SQRT((4*(HSP!$B$6-$B39)^2+(HSP!$C$6-$C39)^2+(HSP!$D$6-$D39)^2))</f>
        <v>5.7781484923805806</v>
      </c>
      <c r="L39" s="17" t="s">
        <v>35</v>
      </c>
      <c r="M39" s="17" t="s">
        <v>35</v>
      </c>
      <c r="N39" s="17" t="s">
        <v>35</v>
      </c>
      <c r="O39" s="17" t="s">
        <v>35</v>
      </c>
      <c r="P39" s="17" t="s">
        <v>35</v>
      </c>
      <c r="Q39" s="17">
        <f>$G39/HSP!$E$2</f>
        <v>0.54008640679935604</v>
      </c>
      <c r="R39" s="17">
        <f>$H39/HSP!$E$3</f>
        <v>0.48688928895408723</v>
      </c>
      <c r="S39" s="17">
        <f>$I39/HSP!$E$4</f>
        <v>0.35167300906435606</v>
      </c>
      <c r="T39" s="17">
        <f>$J39/HSP!$E$5</f>
        <v>0.79559666474895907</v>
      </c>
      <c r="U39" s="17">
        <f>$K39/HSP!$E$6</f>
        <v>0.39041543867436351</v>
      </c>
      <c r="V39" s="12"/>
      <c r="W39" s="12"/>
      <c r="X39" s="12"/>
      <c r="Y39" s="12"/>
      <c r="Z39" s="12"/>
    </row>
    <row r="40" spans="1:26" ht="15" customHeight="1" x14ac:dyDescent="0.3">
      <c r="A40" s="26" t="s">
        <v>177</v>
      </c>
      <c r="B40" s="17">
        <v>15.9</v>
      </c>
      <c r="C40" s="17">
        <v>5.0999999999999996</v>
      </c>
      <c r="D40" s="17">
        <v>13.3</v>
      </c>
      <c r="E40" s="17" t="s">
        <v>35</v>
      </c>
      <c r="F40" s="22">
        <v>118.4</v>
      </c>
      <c r="G40" s="17">
        <f>SQRT((4*(HSP!$B$2-$B40)^2+(HSP!$C$2-$C40)^2+(HSP!$D$2-$D40)^2))</f>
        <v>8.6851597567344729</v>
      </c>
      <c r="H40" s="17">
        <f>SQRT((4*(HSP!$B$3-$B40)^2+(HSP!$C$3-$C40)^2+(HSP!$D$3-$D40)^2))</f>
        <v>8.7704275836472192</v>
      </c>
      <c r="I40" s="17">
        <f>SQRT((4*(HSP!$B$4-$B40)^2+(HSP!$C$4-$C40)^2+(HSP!$D$4-$D40)^2))</f>
        <v>6.6751779002510494</v>
      </c>
      <c r="J40" s="17">
        <f>SQRT((4*(HSP!$B$5-$B40)^2+(HSP!$C$5-$C40)^2+(HSP!$D$5-$D40)^2))</f>
        <v>8.0789170066290463</v>
      </c>
      <c r="K40" s="17">
        <f>SQRT((4*(HSP!$B$6-$B40)^2+(HSP!$C$6-$C40)^2+(HSP!$D$6-$D40)^2))</f>
        <v>9.6259544981264078</v>
      </c>
      <c r="L40" s="17" t="s">
        <v>35</v>
      </c>
      <c r="M40" s="17" t="s">
        <v>35</v>
      </c>
      <c r="N40" s="17" t="s">
        <v>35</v>
      </c>
      <c r="O40" s="17" t="s">
        <v>35</v>
      </c>
      <c r="P40" s="17" t="s">
        <v>35</v>
      </c>
      <c r="Q40" s="17">
        <f>$G40/HSP!$E$2</f>
        <v>0.53283188691622529</v>
      </c>
      <c r="R40" s="17">
        <f>$H40/HSP!$E$3</f>
        <v>0.64966130249238663</v>
      </c>
      <c r="S40" s="17">
        <f>$I40/HSP!$E$4</f>
        <v>0.41982250944975152</v>
      </c>
      <c r="T40" s="17">
        <f>$J40/HSP!$E$5</f>
        <v>0.58970197128679169</v>
      </c>
      <c r="U40" s="17">
        <f>$K40/HSP!$E$6</f>
        <v>0.65040233095448696</v>
      </c>
      <c r="V40" s="12"/>
      <c r="W40" s="12"/>
      <c r="X40" s="12"/>
      <c r="Y40" s="12"/>
      <c r="Z40" s="12"/>
    </row>
    <row r="41" spans="1:26" ht="15" customHeight="1" x14ac:dyDescent="0.3">
      <c r="A41" s="26" t="s">
        <v>178</v>
      </c>
      <c r="B41" s="17">
        <v>16.899999999999999</v>
      </c>
      <c r="C41" s="17">
        <v>6.7</v>
      </c>
      <c r="D41" s="17">
        <v>10.8</v>
      </c>
      <c r="E41" s="17" t="s">
        <v>35</v>
      </c>
      <c r="F41" s="22">
        <v>181.5</v>
      </c>
      <c r="G41" s="17">
        <f>SQRT((4*(HSP!$B$2-$B41)^2+(HSP!$C$2-$C41)^2+(HSP!$D$2-$D41)^2))</f>
        <v>7.0632853545641199</v>
      </c>
      <c r="H41" s="17">
        <f>SQRT((4*(HSP!$B$3-$B41)^2+(HSP!$C$3-$C41)^2+(HSP!$D$3-$D41)^2))</f>
        <v>6.2784074413819297</v>
      </c>
      <c r="I41" s="17">
        <f>SQRT((4*(HSP!$B$4-$B41)^2+(HSP!$C$4-$C41)^2+(HSP!$D$4-$D41)^2))</f>
        <v>5.6614485778818118</v>
      </c>
      <c r="J41" s="17">
        <f>SQRT((4*(HSP!$B$5-$B41)^2+(HSP!$C$5-$C41)^2+(HSP!$D$5-$D41)^2))</f>
        <v>6.8472549244204419</v>
      </c>
      <c r="K41" s="17">
        <f>SQRT((4*(HSP!$B$6-$B41)^2+(HSP!$C$6-$C41)^2+(HSP!$D$6-$D41)^2))</f>
        <v>7.6813410287527271</v>
      </c>
      <c r="L41" s="17" t="s">
        <v>35</v>
      </c>
      <c r="M41" s="17" t="s">
        <v>35</v>
      </c>
      <c r="N41" s="17" t="s">
        <v>35</v>
      </c>
      <c r="O41" s="17" t="s">
        <v>35</v>
      </c>
      <c r="P41" s="17" t="s">
        <v>35</v>
      </c>
      <c r="Q41" s="17">
        <f>$G41/HSP!$E$2</f>
        <v>0.43333038985055949</v>
      </c>
      <c r="R41" s="17">
        <f>$H41/HSP!$E$3</f>
        <v>0.46506721788014294</v>
      </c>
      <c r="S41" s="17">
        <f>$I41/HSP!$E$4</f>
        <v>0.35606594829445354</v>
      </c>
      <c r="T41" s="17">
        <f>$J41/HSP!$E$5</f>
        <v>0.49979962951974033</v>
      </c>
      <c r="U41" s="17">
        <f>$K41/HSP!$E$6</f>
        <v>0.51900952896977881</v>
      </c>
      <c r="V41" s="12"/>
      <c r="W41" s="12"/>
      <c r="X41" s="12"/>
      <c r="Y41" s="12"/>
      <c r="Z41" s="12"/>
    </row>
    <row r="42" spans="1:26" ht="15" customHeight="1" x14ac:dyDescent="0.3">
      <c r="A42" s="26" t="s">
        <v>179</v>
      </c>
      <c r="B42" s="17">
        <v>18.3</v>
      </c>
      <c r="C42" s="17">
        <v>5.6</v>
      </c>
      <c r="D42" s="17">
        <v>5.5</v>
      </c>
      <c r="E42" s="17" t="s">
        <v>35</v>
      </c>
      <c r="F42" s="22">
        <v>178.2</v>
      </c>
      <c r="G42" s="17">
        <f>SQRT((4*(HSP!$B$2-$B42)^2+(HSP!$C$2-$C42)^2+(HSP!$D$2-$D42)^2))</f>
        <v>8.9760793222876565</v>
      </c>
      <c r="H42" s="17">
        <f>SQRT((4*(HSP!$B$3-$B42)^2+(HSP!$C$3-$C42)^2+(HSP!$D$3-$D42)^2))</f>
        <v>6.6207552439279942</v>
      </c>
      <c r="I42" s="17">
        <f>SQRT((4*(HSP!$B$4-$B42)^2+(HSP!$C$4-$C42)^2+(HSP!$D$4-$D42)^2))</f>
        <v>6.459411737921652</v>
      </c>
      <c r="J42" s="17">
        <f>SQRT((4*(HSP!$B$5-$B42)^2+(HSP!$C$5-$C42)^2+(HSP!$D$5-$D42)^2))</f>
        <v>10.812164445660269</v>
      </c>
      <c r="K42" s="17">
        <f>SQRT((4*(HSP!$B$6-$B42)^2+(HSP!$C$6-$C42)^2+(HSP!$D$6-$D42)^2))</f>
        <v>6.3352190175241789</v>
      </c>
      <c r="L42" s="17" t="s">
        <v>35</v>
      </c>
      <c r="M42" s="17" t="s">
        <v>35</v>
      </c>
      <c r="N42" s="17" t="s">
        <v>35</v>
      </c>
      <c r="O42" s="17" t="s">
        <v>35</v>
      </c>
      <c r="P42" s="17" t="s">
        <v>35</v>
      </c>
      <c r="Q42" s="17">
        <f>$G42/HSP!$E$2</f>
        <v>0.5506797130237826</v>
      </c>
      <c r="R42" s="17">
        <f>$H42/HSP!$E$3</f>
        <v>0.49042631436503659</v>
      </c>
      <c r="S42" s="17">
        <f>$I42/HSP!$E$4</f>
        <v>0.40625231056111016</v>
      </c>
      <c r="T42" s="17">
        <f>$J42/HSP!$E$5</f>
        <v>0.78920908362483722</v>
      </c>
      <c r="U42" s="17">
        <f>$K42/HSP!$E$6</f>
        <v>0.42805533902190396</v>
      </c>
      <c r="V42" s="12"/>
      <c r="W42" s="12"/>
      <c r="X42" s="12"/>
      <c r="Y42" s="12"/>
      <c r="Z42" s="12"/>
    </row>
    <row r="43" spans="1:26" ht="15" customHeight="1" x14ac:dyDescent="0.3">
      <c r="A43" s="26" t="s">
        <v>180</v>
      </c>
      <c r="B43" s="17">
        <v>19.3</v>
      </c>
      <c r="C43" s="17">
        <v>2.1</v>
      </c>
      <c r="D43" s="17">
        <v>3.7</v>
      </c>
      <c r="E43" s="17" t="s">
        <v>35</v>
      </c>
      <c r="F43" s="22">
        <v>221.4</v>
      </c>
      <c r="G43" s="17">
        <f>SQRT((4*(HSP!$B$2-$B43)^2+(HSP!$C$2-$C43)^2+(HSP!$D$2-$D43)^2))</f>
        <v>13.000307688666451</v>
      </c>
      <c r="H43" s="17">
        <f>SQRT((4*(HSP!$B$3-$B43)^2+(HSP!$C$3-$C43)^2+(HSP!$D$3-$D43)^2))</f>
        <v>10.666602083137818</v>
      </c>
      <c r="I43" s="17">
        <f>SQRT((4*(HSP!$B$4-$B43)^2+(HSP!$C$4-$C43)^2+(HSP!$D$4-$D43)^2))</f>
        <v>9.1920617926556609</v>
      </c>
      <c r="J43" s="17">
        <f>SQRT((4*(HSP!$B$5-$B43)^2+(HSP!$C$5-$C43)^2+(HSP!$D$5-$D43)^2))</f>
        <v>15.166439925045035</v>
      </c>
      <c r="K43" s="17">
        <f>SQRT((4*(HSP!$B$6-$B43)^2+(HSP!$C$6-$C43)^2+(HSP!$D$6-$D43)^2))</f>
        <v>9.1506830346155041</v>
      </c>
      <c r="L43" s="17" t="s">
        <v>35</v>
      </c>
      <c r="M43" s="17" t="s">
        <v>35</v>
      </c>
      <c r="N43" s="17" t="s">
        <v>35</v>
      </c>
      <c r="O43" s="17" t="s">
        <v>35</v>
      </c>
      <c r="P43" s="17" t="s">
        <v>35</v>
      </c>
      <c r="Q43" s="17">
        <f>$G43/HSP!$E$2</f>
        <v>0.79756488887524235</v>
      </c>
      <c r="R43" s="17">
        <f>$H43/HSP!$E$3</f>
        <v>0.79011867282502357</v>
      </c>
      <c r="S43" s="17">
        <f>$I43/HSP!$E$4</f>
        <v>0.57811709387771448</v>
      </c>
      <c r="T43" s="17">
        <f>$J43/HSP!$E$5</f>
        <v>1.1070394105872288</v>
      </c>
      <c r="U43" s="17">
        <f>$K43/HSP!$E$6</f>
        <v>0.61828939423077722</v>
      </c>
      <c r="V43" s="12"/>
      <c r="W43" s="12"/>
      <c r="X43" s="12"/>
      <c r="Y43" s="12"/>
      <c r="Z43" s="12"/>
    </row>
    <row r="44" spans="1:26" ht="15" customHeight="1" x14ac:dyDescent="0.3">
      <c r="A44" s="26" t="s">
        <v>181</v>
      </c>
      <c r="B44" s="17">
        <v>16.899999999999999</v>
      </c>
      <c r="C44" s="17">
        <v>1.8</v>
      </c>
      <c r="D44" s="17">
        <v>3.1</v>
      </c>
      <c r="E44" s="17" t="s">
        <v>35</v>
      </c>
      <c r="F44" s="22">
        <v>161.69999999999999</v>
      </c>
      <c r="G44" s="17">
        <f>SQRT((4*(HSP!$B$2-$B44)^2+(HSP!$C$2-$C44)^2+(HSP!$D$2-$D44)^2))</f>
        <v>10.545615202537972</v>
      </c>
      <c r="H44" s="17">
        <f>SQRT((4*(HSP!$B$3-$B44)^2+(HSP!$C$3-$C44)^2+(HSP!$D$3-$D44)^2))</f>
        <v>8.6622398950848734</v>
      </c>
      <c r="I44" s="17">
        <f>SQRT((4*(HSP!$B$4-$B44)^2+(HSP!$C$4-$C44)^2+(HSP!$D$4-$D44)^2))</f>
        <v>5.8271777045152806</v>
      </c>
      <c r="J44" s="17">
        <f>SQRT((4*(HSP!$B$5-$B44)^2+(HSP!$C$5-$C44)^2+(HSP!$D$5-$D44)^2))</f>
        <v>13.826890467491234</v>
      </c>
      <c r="K44" s="17">
        <f>SQRT((4*(HSP!$B$6-$B44)^2+(HSP!$C$6-$C44)^2+(HSP!$D$6-$D44)^2))</f>
        <v>5.7120049019586796</v>
      </c>
      <c r="L44" s="17" t="s">
        <v>35</v>
      </c>
      <c r="M44" s="17" t="s">
        <v>35</v>
      </c>
      <c r="N44" s="17" t="s">
        <v>35</v>
      </c>
      <c r="O44" s="17" t="s">
        <v>35</v>
      </c>
      <c r="P44" s="17" t="s">
        <v>35</v>
      </c>
      <c r="Q44" s="17">
        <f>$G44/HSP!$E$2</f>
        <v>0.64697025782441542</v>
      </c>
      <c r="R44" s="17">
        <f>$H44/HSP!$E$3</f>
        <v>0.64164739963591655</v>
      </c>
      <c r="S44" s="17">
        <f>$I44/HSP!$E$4</f>
        <v>0.3664891638059925</v>
      </c>
      <c r="T44" s="17">
        <f>$J44/HSP!$E$5</f>
        <v>1.0092620779190682</v>
      </c>
      <c r="U44" s="17">
        <f>$K44/HSP!$E$6</f>
        <v>0.38594627715937024</v>
      </c>
      <c r="V44" s="12"/>
      <c r="W44" s="12"/>
      <c r="X44" s="12"/>
      <c r="Y44" s="12"/>
      <c r="Z44" s="12"/>
    </row>
    <row r="45" spans="1:26" ht="15" customHeight="1" x14ac:dyDescent="0.3">
      <c r="A45" s="26" t="s">
        <v>182</v>
      </c>
      <c r="B45" s="17">
        <v>16.899999999999999</v>
      </c>
      <c r="C45" s="17">
        <v>8.8000000000000007</v>
      </c>
      <c r="D45" s="17">
        <v>4.7</v>
      </c>
      <c r="E45" s="17" t="s">
        <v>35</v>
      </c>
      <c r="F45" s="22">
        <v>153.5</v>
      </c>
      <c r="G45" s="17">
        <f>SQRT((4*(HSP!$B$2-$B45)^2+(HSP!$C$2-$C45)^2+(HSP!$D$2-$D45)^2))</f>
        <v>5.3957390596655044</v>
      </c>
      <c r="H45" s="17">
        <f>SQRT((4*(HSP!$B$3-$B45)^2+(HSP!$C$3-$C45)^2+(HSP!$D$3-$D45)^2))</f>
        <v>2.801856527376088</v>
      </c>
      <c r="I45" s="17">
        <f>SQRT((4*(HSP!$B$4-$B45)^2+(HSP!$C$4-$C45)^2+(HSP!$D$4-$D45)^2))</f>
        <v>5.775465349216458</v>
      </c>
      <c r="J45" s="17">
        <f>SQRT((4*(HSP!$B$5-$B45)^2+(HSP!$C$5-$C45)^2+(HSP!$D$5-$D45)^2))</f>
        <v>8.0502732872865863</v>
      </c>
      <c r="K45" s="17">
        <f>SQRT((4*(HSP!$B$6-$B45)^2+(HSP!$C$6-$C45)^2+(HSP!$D$6-$D45)^2))</f>
        <v>4.1191018438489708</v>
      </c>
      <c r="L45" s="17" t="s">
        <v>35</v>
      </c>
      <c r="M45" s="17" t="s">
        <v>35</v>
      </c>
      <c r="N45" s="17" t="s">
        <v>35</v>
      </c>
      <c r="O45" s="17" t="s">
        <v>35</v>
      </c>
      <c r="P45" s="17" t="s">
        <v>35</v>
      </c>
      <c r="Q45" s="17">
        <f>$G45/HSP!$E$2</f>
        <v>0.33102693617579781</v>
      </c>
      <c r="R45" s="17">
        <f>$H45/HSP!$E$3</f>
        <v>0.20754492795378429</v>
      </c>
      <c r="S45" s="17">
        <f>$I45/HSP!$E$4</f>
        <v>0.36323681441612943</v>
      </c>
      <c r="T45" s="17">
        <f>$J45/HSP!$E$5</f>
        <v>0.58761118885303554</v>
      </c>
      <c r="U45" s="17">
        <f>$K45/HSP!$E$6</f>
        <v>0.27831769215195745</v>
      </c>
      <c r="V45" s="12"/>
      <c r="W45" s="12"/>
      <c r="X45" s="12"/>
      <c r="Y45" s="12"/>
      <c r="Z45" s="12"/>
    </row>
    <row r="46" spans="1:26" ht="15" customHeight="1" x14ac:dyDescent="0.3">
      <c r="A46" s="26" t="s">
        <v>183</v>
      </c>
      <c r="B46" s="17">
        <v>16.100000000000001</v>
      </c>
      <c r="C46" s="17">
        <v>9.1999999999999993</v>
      </c>
      <c r="D46" s="17">
        <v>12.2</v>
      </c>
      <c r="E46" s="17" t="s">
        <v>35</v>
      </c>
      <c r="F46" s="22">
        <v>130.9</v>
      </c>
      <c r="G46" s="17">
        <f>SQRT((4*(HSP!$B$2-$B46)^2+(HSP!$C$2-$C46)^2+(HSP!$D$2-$D46)^2))</f>
        <v>6.1510974630548665</v>
      </c>
      <c r="H46" s="17">
        <f>SQRT((4*(HSP!$B$3-$B46)^2+(HSP!$C$3-$C46)^2+(HSP!$D$3-$D46)^2))</f>
        <v>6.4489068841160977</v>
      </c>
      <c r="I46" s="17">
        <f>SQRT((4*(HSP!$B$4-$B46)^2+(HSP!$C$4-$C46)^2+(HSP!$D$4-$D46)^2))</f>
        <v>7.2835430938520576</v>
      </c>
      <c r="J46" s="17">
        <f>SQRT((4*(HSP!$B$5-$B46)^2+(HSP!$C$5-$C46)^2+(HSP!$D$5-$D46)^2))</f>
        <v>4.0937635495958995</v>
      </c>
      <c r="K46" s="17">
        <f>SQRT((4*(HSP!$B$6-$B46)^2+(HSP!$C$6-$C46)^2+(HSP!$D$6-$D46)^2))</f>
        <v>8.9527090871981319</v>
      </c>
      <c r="L46" s="17" t="s">
        <v>35</v>
      </c>
      <c r="M46" s="17" t="s">
        <v>35</v>
      </c>
      <c r="N46" s="17" t="s">
        <v>35</v>
      </c>
      <c r="O46" s="17" t="s">
        <v>35</v>
      </c>
      <c r="P46" s="17" t="s">
        <v>35</v>
      </c>
      <c r="Q46" s="17">
        <f>$G46/HSP!$E$2</f>
        <v>0.37736794251870343</v>
      </c>
      <c r="R46" s="17">
        <f>$H46/HSP!$E$3</f>
        <v>0.47769680623082206</v>
      </c>
      <c r="S46" s="17">
        <f>$I46/HSP!$E$4</f>
        <v>0.45808447131145014</v>
      </c>
      <c r="T46" s="17">
        <f>$J46/HSP!$E$5</f>
        <v>0.2988148576347372</v>
      </c>
      <c r="U46" s="17">
        <f>$K46/HSP!$E$6</f>
        <v>0.60491277616203587</v>
      </c>
      <c r="V46" s="12"/>
      <c r="W46" s="12"/>
      <c r="X46" s="12"/>
      <c r="Y46" s="12"/>
      <c r="Z46" s="12"/>
    </row>
    <row r="47" spans="1:26" ht="15" customHeight="1" x14ac:dyDescent="0.3">
      <c r="A47" s="26" t="s">
        <v>184</v>
      </c>
      <c r="B47" s="17">
        <v>17.899999999999999</v>
      </c>
      <c r="C47" s="17">
        <v>5.9</v>
      </c>
      <c r="D47" s="17">
        <v>12.1</v>
      </c>
      <c r="E47" s="17" t="s">
        <v>35</v>
      </c>
      <c r="F47" s="22">
        <v>153.80000000000001</v>
      </c>
      <c r="G47" s="17">
        <f>SQRT((4*(HSP!$B$2-$B47)^2+(HSP!$C$2-$C47)^2+(HSP!$D$2-$D47)^2))</f>
        <v>9.5167221247654368</v>
      </c>
      <c r="H47" s="17">
        <f>SQRT((4*(HSP!$B$3-$B47)^2+(HSP!$C$3-$C47)^2+(HSP!$D$3-$D47)^2))</f>
        <v>8.5505789277685746</v>
      </c>
      <c r="I47" s="17">
        <f>SQRT((4*(HSP!$B$4-$B47)^2+(HSP!$C$4-$C47)^2+(HSP!$D$4-$D47)^2))</f>
        <v>7.7064907707723869</v>
      </c>
      <c r="J47" s="17">
        <f>SQRT((4*(HSP!$B$5-$B47)^2+(HSP!$C$5-$C47)^2+(HSP!$D$5-$D47)^2))</f>
        <v>8.6918870218152264</v>
      </c>
      <c r="K47" s="17">
        <f>SQRT((4*(HSP!$B$6-$B47)^2+(HSP!$C$6-$C47)^2+(HSP!$D$6-$D47)^2))</f>
        <v>9.7985202964529279</v>
      </c>
      <c r="L47" s="17" t="s">
        <v>35</v>
      </c>
      <c r="M47" s="17" t="s">
        <v>35</v>
      </c>
      <c r="N47" s="17" t="s">
        <v>35</v>
      </c>
      <c r="O47" s="17" t="s">
        <v>35</v>
      </c>
      <c r="P47" s="17" t="s">
        <v>35</v>
      </c>
      <c r="Q47" s="17">
        <f>$G47/HSP!$E$2</f>
        <v>0.58384798311444397</v>
      </c>
      <c r="R47" s="17">
        <f>$H47/HSP!$E$3</f>
        <v>0.63337621687174628</v>
      </c>
      <c r="S47" s="17">
        <f>$I47/HSP!$E$4</f>
        <v>0.4846849541366281</v>
      </c>
      <c r="T47" s="17">
        <f>$J47/HSP!$E$5</f>
        <v>0.63444430816169539</v>
      </c>
      <c r="U47" s="17">
        <f>$K47/HSP!$E$6</f>
        <v>0.66206218219276536</v>
      </c>
      <c r="V47" s="12"/>
      <c r="W47" s="12"/>
      <c r="X47" s="12"/>
      <c r="Y47" s="12"/>
      <c r="Z47" s="12"/>
    </row>
    <row r="48" spans="1:26" ht="15" customHeight="1" x14ac:dyDescent="0.3">
      <c r="A48" s="26" t="s">
        <v>185</v>
      </c>
      <c r="B48" s="17">
        <v>18</v>
      </c>
      <c r="C48" s="17">
        <v>4.4000000000000004</v>
      </c>
      <c r="D48" s="17">
        <v>9.1</v>
      </c>
      <c r="E48" s="17" t="s">
        <v>35</v>
      </c>
      <c r="F48" s="22">
        <v>234.2</v>
      </c>
      <c r="G48" s="17">
        <f>SQRT((4*(HSP!$B$2-$B48)^2+(HSP!$C$2-$C48)^2+(HSP!$D$2-$D48)^2))</f>
        <v>9.3518982030387825</v>
      </c>
      <c r="H48" s="17">
        <f>SQRT((4*(HSP!$B$3-$B48)^2+(HSP!$C$3-$C48)^2+(HSP!$D$3-$D48)^2))</f>
        <v>7.7311318705607395</v>
      </c>
      <c r="I48" s="17">
        <f>SQRT((4*(HSP!$B$4-$B48)^2+(HSP!$C$4-$C48)^2+(HSP!$D$4-$D48)^2))</f>
        <v>6.1158809667945633</v>
      </c>
      <c r="J48" s="17">
        <f>SQRT((4*(HSP!$B$5-$B48)^2+(HSP!$C$5-$C48)^2+(HSP!$D$5-$D48)^2))</f>
        <v>10.11844355619974</v>
      </c>
      <c r="K48" s="17">
        <f>SQRT((4*(HSP!$B$6-$B48)^2+(HSP!$C$6-$C48)^2+(HSP!$D$6-$D48)^2))</f>
        <v>7.841874775842828</v>
      </c>
      <c r="L48" s="17" t="s">
        <v>35</v>
      </c>
      <c r="M48" s="17" t="s">
        <v>35</v>
      </c>
      <c r="N48" s="17" t="s">
        <v>35</v>
      </c>
      <c r="O48" s="17" t="s">
        <v>35</v>
      </c>
      <c r="P48" s="17" t="s">
        <v>35</v>
      </c>
      <c r="Q48" s="17">
        <f>$G48/HSP!$E$2</f>
        <v>0.57373608607599891</v>
      </c>
      <c r="R48" s="17">
        <f>$H48/HSP!$E$3</f>
        <v>0.57267643485635111</v>
      </c>
      <c r="S48" s="17">
        <f>$I48/HSP!$E$4</f>
        <v>0.38464660168519266</v>
      </c>
      <c r="T48" s="17">
        <f>$J48/HSP!$E$5</f>
        <v>0.73857252235034598</v>
      </c>
      <c r="U48" s="17">
        <f>$K48/HSP!$E$6</f>
        <v>0.52985640377316401</v>
      </c>
      <c r="V48" s="12"/>
      <c r="W48" s="12"/>
      <c r="X48" s="12"/>
      <c r="Y48" s="12"/>
      <c r="Z48" s="12"/>
    </row>
    <row r="49" spans="1:26" ht="15" customHeight="1" x14ac:dyDescent="0.3">
      <c r="A49" s="26" t="s">
        <v>186</v>
      </c>
      <c r="B49" s="17">
        <v>18</v>
      </c>
      <c r="C49" s="17">
        <v>1.9</v>
      </c>
      <c r="D49" s="17">
        <v>4.2</v>
      </c>
      <c r="E49" s="17" t="s">
        <v>35</v>
      </c>
      <c r="F49" s="22">
        <v>295.2</v>
      </c>
      <c r="G49" s="17">
        <f>SQRT((4*(HSP!$B$2-$B49)^2+(HSP!$C$2-$C49)^2+(HSP!$D$2-$D49)^2))</f>
        <v>11.280159573339377</v>
      </c>
      <c r="H49" s="17">
        <f>SQRT((4*(HSP!$B$3-$B49)^2+(HSP!$C$3-$C49)^2+(HSP!$D$3-$D49)^2))</f>
        <v>9.1753147084991049</v>
      </c>
      <c r="I49" s="17">
        <f>SQRT((4*(HSP!$B$4-$B49)^2+(HSP!$C$4-$C49)^2+(HSP!$D$4-$D49)^2))</f>
        <v>6.8208503868652626</v>
      </c>
      <c r="J49" s="17">
        <f>SQRT((4*(HSP!$B$5-$B49)^2+(HSP!$C$5-$C49)^2+(HSP!$D$5-$D49)^2))</f>
        <v>13.86278831981503</v>
      </c>
      <c r="K49" s="17">
        <f>SQRT((4*(HSP!$B$6-$B49)^2+(HSP!$C$6-$C49)^2+(HSP!$D$6-$D49)^2))</f>
        <v>7.1031683071711038</v>
      </c>
      <c r="L49" s="17" t="s">
        <v>35</v>
      </c>
      <c r="M49" s="17" t="s">
        <v>35</v>
      </c>
      <c r="N49" s="17" t="s">
        <v>35</v>
      </c>
      <c r="O49" s="17" t="s">
        <v>35</v>
      </c>
      <c r="P49" s="17" t="s">
        <v>35</v>
      </c>
      <c r="Q49" s="17">
        <f>$G49/HSP!$E$2</f>
        <v>0.69203432965272249</v>
      </c>
      <c r="R49" s="17">
        <f>$H49/HSP!$E$3</f>
        <v>0.67965294137030408</v>
      </c>
      <c r="S49" s="17">
        <f>$I49/HSP!$E$4</f>
        <v>0.42898430106070834</v>
      </c>
      <c r="T49" s="17">
        <f>$J49/HSP!$E$5</f>
        <v>1.0118823591105861</v>
      </c>
      <c r="U49" s="17">
        <f>$K49/HSP!$E$6</f>
        <v>0.47994380453858809</v>
      </c>
      <c r="V49" s="12"/>
      <c r="W49" s="12"/>
      <c r="X49" s="12"/>
      <c r="Y49" s="12"/>
      <c r="Z49" s="12"/>
    </row>
    <row r="50" spans="1:26" ht="15" customHeight="1" x14ac:dyDescent="0.3">
      <c r="A50" s="26" t="s">
        <v>187</v>
      </c>
      <c r="B50" s="17">
        <v>19.3</v>
      </c>
      <c r="C50" s="17">
        <v>3.2</v>
      </c>
      <c r="D50" s="17">
        <v>2.8</v>
      </c>
      <c r="E50" s="17" t="s">
        <v>35</v>
      </c>
      <c r="F50" s="22">
        <v>248.2</v>
      </c>
      <c r="G50" s="17">
        <f>SQRT((4*(HSP!$B$2-$B50)^2+(HSP!$C$2-$C50)^2+(HSP!$D$2-$D50)^2))</f>
        <v>12.591266814741083</v>
      </c>
      <c r="H50" s="17">
        <f>SQRT((4*(HSP!$B$3-$B50)^2+(HSP!$C$3-$C50)^2+(HSP!$D$3-$D50)^2))</f>
        <v>10.14792589645786</v>
      </c>
      <c r="I50" s="17">
        <f>SQRT((4*(HSP!$B$4-$B50)^2+(HSP!$C$4-$C50)^2+(HSP!$D$4-$D50)^2))</f>
        <v>9.2961282263101346</v>
      </c>
      <c r="J50" s="17">
        <f>SQRT((4*(HSP!$B$5-$B50)^2+(HSP!$C$5-$C50)^2+(HSP!$D$5-$D50)^2))</f>
        <v>14.889288095809015</v>
      </c>
      <c r="K50" s="17">
        <f>SQRT((4*(HSP!$B$6-$B50)^2+(HSP!$C$6-$C50)^2+(HSP!$D$6-$D50)^2))</f>
        <v>8.7463706758860873</v>
      </c>
      <c r="L50" s="17" t="s">
        <v>35</v>
      </c>
      <c r="M50" s="17" t="s">
        <v>35</v>
      </c>
      <c r="N50" s="17" t="s">
        <v>35</v>
      </c>
      <c r="O50" s="17" t="s">
        <v>35</v>
      </c>
      <c r="P50" s="17" t="s">
        <v>35</v>
      </c>
      <c r="Q50" s="17">
        <f>$G50/HSP!$E$2</f>
        <v>0.77247035673258169</v>
      </c>
      <c r="R50" s="17">
        <f>$H50/HSP!$E$3</f>
        <v>0.75169821455243402</v>
      </c>
      <c r="S50" s="17">
        <f>$I50/HSP!$E$4</f>
        <v>0.58466215259812171</v>
      </c>
      <c r="T50" s="17">
        <f>$J50/HSP!$E$5</f>
        <v>1.0868093500590523</v>
      </c>
      <c r="U50" s="17">
        <f>$K50/HSP!$E$6</f>
        <v>0.59097099161392475</v>
      </c>
      <c r="V50" s="12"/>
      <c r="W50" s="12"/>
      <c r="X50" s="12"/>
      <c r="Y50" s="12"/>
      <c r="Z50" s="12"/>
    </row>
    <row r="51" spans="1:26" ht="15" customHeight="1" x14ac:dyDescent="0.3">
      <c r="A51" s="26" t="s">
        <v>188</v>
      </c>
      <c r="B51" s="17">
        <v>16.899999999999999</v>
      </c>
      <c r="C51" s="17">
        <v>5.3</v>
      </c>
      <c r="D51" s="17">
        <v>2.6</v>
      </c>
      <c r="E51" s="17" t="s">
        <v>35</v>
      </c>
      <c r="F51" s="22">
        <v>167.5</v>
      </c>
      <c r="G51" s="17">
        <f>SQRT((4*(HSP!$B$2-$B51)^2+(HSP!$C$2-$C51)^2+(HSP!$D$2-$D51)^2))</f>
        <v>8.1835200250259064</v>
      </c>
      <c r="H51" s="17">
        <f>SQRT((4*(HSP!$B$3-$B51)^2+(HSP!$C$3-$C51)^2+(HSP!$D$3-$D51)^2))</f>
        <v>5.9358571411380847</v>
      </c>
      <c r="I51" s="17">
        <f>SQRT((4*(HSP!$B$4-$B51)^2+(HSP!$C$4-$C51)^2+(HSP!$D$4-$D51)^2))</f>
        <v>5.4768604145075646</v>
      </c>
      <c r="J51" s="17">
        <f>SQRT((4*(HSP!$B$5-$B51)^2+(HSP!$C$5-$C51)^2+(HSP!$D$5-$D51)^2))</f>
        <v>11.622086731736259</v>
      </c>
      <c r="K51" s="17">
        <f>SQRT((4*(HSP!$B$6-$B51)^2+(HSP!$C$6-$C51)^2+(HSP!$D$6-$D51)^2))</f>
        <v>3.6697411352846112</v>
      </c>
      <c r="L51" s="17" t="s">
        <v>35</v>
      </c>
      <c r="M51" s="17" t="s">
        <v>35</v>
      </c>
      <c r="N51" s="17" t="s">
        <v>35</v>
      </c>
      <c r="O51" s="17" t="s">
        <v>35</v>
      </c>
      <c r="P51" s="17" t="s">
        <v>35</v>
      </c>
      <c r="Q51" s="17">
        <f>$G51/HSP!$E$2</f>
        <v>0.50205644325312304</v>
      </c>
      <c r="R51" s="17">
        <f>$H51/HSP!$E$3</f>
        <v>0.43969312156578405</v>
      </c>
      <c r="S51" s="17">
        <f>$I51/HSP!$E$4</f>
        <v>0.34445662984324305</v>
      </c>
      <c r="T51" s="17">
        <f>$J51/HSP!$E$5</f>
        <v>0.84832749866688029</v>
      </c>
      <c r="U51" s="17">
        <f>$K51/HSP!$E$6</f>
        <v>0.24795548211382507</v>
      </c>
      <c r="V51" s="12"/>
      <c r="W51" s="12"/>
      <c r="X51" s="12"/>
      <c r="Y51" s="12"/>
      <c r="Z51" s="12"/>
    </row>
    <row r="52" spans="1:26" ht="15" customHeight="1" x14ac:dyDescent="0.3">
      <c r="A52" s="26" t="s">
        <v>189</v>
      </c>
      <c r="B52" s="17">
        <v>19.399999999999999</v>
      </c>
      <c r="C52" s="17">
        <v>12.4</v>
      </c>
      <c r="D52" s="17">
        <v>6.2</v>
      </c>
      <c r="E52" s="17" t="s">
        <v>35</v>
      </c>
      <c r="F52" s="22">
        <v>125.9</v>
      </c>
      <c r="G52" s="17">
        <f>SQRT((4*(HSP!$B$2-$B52)^2+(HSP!$C$2-$C52)^2+(HSP!$D$2-$D52)^2))</f>
        <v>9.8250699743055243</v>
      </c>
      <c r="H52" s="17">
        <f>SQRT((4*(HSP!$B$3-$B52)^2+(HSP!$C$3-$C52)^2+(HSP!$D$3-$D52)^2))</f>
        <v>7.9188635548290627</v>
      </c>
      <c r="I52" s="17">
        <f>SQRT((4*(HSP!$B$4-$B52)^2+(HSP!$C$4-$C52)^2+(HSP!$D$4-$D52)^2))</f>
        <v>11.468652928744508</v>
      </c>
      <c r="J52" s="17">
        <f>SQRT((4*(HSP!$B$5-$B52)^2+(HSP!$C$5-$C52)^2+(HSP!$D$5-$D52)^2))</f>
        <v>9.5238070119044291</v>
      </c>
      <c r="K52" s="17">
        <f>SQRT((4*(HSP!$B$6-$B52)^2+(HSP!$C$6-$C52)^2+(HSP!$D$6-$D52)^2))</f>
        <v>10.459015250012785</v>
      </c>
      <c r="L52" s="17" t="s">
        <v>35</v>
      </c>
      <c r="M52" s="17" t="s">
        <v>35</v>
      </c>
      <c r="N52" s="17" t="s">
        <v>35</v>
      </c>
      <c r="O52" s="17" t="s">
        <v>35</v>
      </c>
      <c r="P52" s="17" t="s">
        <v>35</v>
      </c>
      <c r="Q52" s="17">
        <f>$G52/HSP!$E$2</f>
        <v>0.60276502909849838</v>
      </c>
      <c r="R52" s="17">
        <f>$H52/HSP!$E$3</f>
        <v>0.58658248554289349</v>
      </c>
      <c r="S52" s="17">
        <f>$I52/HSP!$E$4</f>
        <v>0.72129892633613257</v>
      </c>
      <c r="T52" s="17">
        <f>$J52/HSP!$E$5</f>
        <v>0.69516839502952044</v>
      </c>
      <c r="U52" s="17">
        <f>$K52/HSP!$E$6</f>
        <v>0.70669021959545841</v>
      </c>
      <c r="V52" s="12"/>
      <c r="W52" s="12"/>
      <c r="X52" s="12"/>
      <c r="Y52" s="12"/>
      <c r="Z52" s="12"/>
    </row>
    <row r="53" spans="1:26" ht="15" customHeight="1" x14ac:dyDescent="0.3">
      <c r="A53" s="26" t="s">
        <v>190</v>
      </c>
      <c r="B53" s="17">
        <v>19.100000000000001</v>
      </c>
      <c r="C53" s="17">
        <v>3.1</v>
      </c>
      <c r="D53" s="17">
        <v>6.7</v>
      </c>
      <c r="E53" s="17" t="s">
        <v>35</v>
      </c>
      <c r="F53" s="22">
        <v>195.6</v>
      </c>
      <c r="G53" s="17">
        <f>SQRT((4*(HSP!$B$2-$B53)^2+(HSP!$C$2-$C53)^2+(HSP!$D$2-$D53)^2))</f>
        <v>11.629617362579047</v>
      </c>
      <c r="H53" s="17">
        <f>SQRT((4*(HSP!$B$3-$B53)^2+(HSP!$C$3-$C53)^2+(HSP!$D$3-$D53)^2))</f>
        <v>9.5037045408619498</v>
      </c>
      <c r="I53" s="17">
        <f>SQRT((4*(HSP!$B$4-$B53)^2+(HSP!$C$4-$C53)^2+(HSP!$D$4-$D53)^2))</f>
        <v>8.0178550747690647</v>
      </c>
      <c r="J53" s="17">
        <f>SQRT((4*(HSP!$B$5-$B53)^2+(HSP!$C$5-$C53)^2+(HSP!$D$5-$D53)^2))</f>
        <v>13.004341582717677</v>
      </c>
      <c r="K53" s="17">
        <f>SQRT((4*(HSP!$B$6-$B53)^2+(HSP!$C$6-$C53)^2+(HSP!$D$6-$D53)^2))</f>
        <v>8.8253611824106137</v>
      </c>
      <c r="L53" s="17" t="s">
        <v>35</v>
      </c>
      <c r="M53" s="17" t="s">
        <v>35</v>
      </c>
      <c r="N53" s="17" t="s">
        <v>35</v>
      </c>
      <c r="O53" s="17" t="s">
        <v>35</v>
      </c>
      <c r="P53" s="17" t="s">
        <v>35</v>
      </c>
      <c r="Q53" s="17">
        <f>$G53/HSP!$E$2</f>
        <v>0.71347345782693539</v>
      </c>
      <c r="R53" s="17">
        <f>$H53/HSP!$E$3</f>
        <v>0.70397811413792222</v>
      </c>
      <c r="S53" s="17">
        <f>$I53/HSP!$E$4</f>
        <v>0.50426761476534998</v>
      </c>
      <c r="T53" s="17">
        <f>$J53/HSP!$E$5</f>
        <v>0.9492220133370568</v>
      </c>
      <c r="U53" s="17">
        <f>$K53/HSP!$E$6</f>
        <v>0.59630818800071717</v>
      </c>
      <c r="V53" s="12"/>
      <c r="W53" s="12"/>
      <c r="X53" s="12"/>
      <c r="Y53" s="12"/>
      <c r="Z53" s="12"/>
    </row>
    <row r="54" spans="1:26" ht="15" customHeight="1" x14ac:dyDescent="0.3">
      <c r="A54" s="26" t="s">
        <v>191</v>
      </c>
      <c r="B54" s="17">
        <v>17.100000000000001</v>
      </c>
      <c r="C54" s="17">
        <v>2.7</v>
      </c>
      <c r="D54" s="17">
        <v>5.6</v>
      </c>
      <c r="E54" s="17" t="s">
        <v>35</v>
      </c>
      <c r="F54" s="22">
        <v>218.4</v>
      </c>
      <c r="G54" s="17">
        <f>SQRT((4*(HSP!$B$2-$B54)^2+(HSP!$C$2-$C54)^2+(HSP!$D$2-$D54)^2))</f>
        <v>9.3339166484386418</v>
      </c>
      <c r="H54" s="17">
        <f>SQRT((4*(HSP!$B$3-$B54)^2+(HSP!$C$3-$C54)^2+(HSP!$D$3-$D54)^2))</f>
        <v>7.5128157171595804</v>
      </c>
      <c r="I54" s="17">
        <f>SQRT((4*(HSP!$B$4-$B54)^2+(HSP!$C$4-$C54)^2+(HSP!$D$4-$D54)^2))</f>
        <v>4.5011109739707624</v>
      </c>
      <c r="J54" s="17">
        <f>SQRT((4*(HSP!$B$5-$B54)^2+(HSP!$C$5-$C54)^2+(HSP!$D$5-$D54)^2))</f>
        <v>11.924969601638404</v>
      </c>
      <c r="K54" s="17">
        <f>SQRT((4*(HSP!$B$6-$B54)^2+(HSP!$C$6-$C54)^2+(HSP!$D$6-$D54)^2))</f>
        <v>5.5109890219451554</v>
      </c>
      <c r="L54" s="17" t="s">
        <v>35</v>
      </c>
      <c r="M54" s="17" t="s">
        <v>35</v>
      </c>
      <c r="N54" s="17" t="s">
        <v>35</v>
      </c>
      <c r="O54" s="17" t="s">
        <v>35</v>
      </c>
      <c r="P54" s="17" t="s">
        <v>35</v>
      </c>
      <c r="Q54" s="17">
        <f>$G54/HSP!$E$2</f>
        <v>0.57263292321709458</v>
      </c>
      <c r="R54" s="17">
        <f>$H54/HSP!$E$3</f>
        <v>0.55650486793774667</v>
      </c>
      <c r="S54" s="17">
        <f>$I54/HSP!$E$4</f>
        <v>0.28308874050130578</v>
      </c>
      <c r="T54" s="17">
        <f>$J54/HSP!$E$5</f>
        <v>0.87043573734586899</v>
      </c>
      <c r="U54" s="17">
        <f>$K54/HSP!$E$6</f>
        <v>0.37236412310440237</v>
      </c>
      <c r="V54" s="12"/>
      <c r="W54" s="12"/>
      <c r="X54" s="12"/>
      <c r="Y54" s="12"/>
      <c r="Z54" s="12"/>
    </row>
    <row r="55" spans="1:26" ht="15" customHeight="1" x14ac:dyDescent="0.3">
      <c r="A55" s="26" t="s">
        <v>192</v>
      </c>
      <c r="B55" s="17">
        <v>15.8</v>
      </c>
      <c r="C55" s="17">
        <v>3.1</v>
      </c>
      <c r="D55" s="17">
        <v>6.4</v>
      </c>
      <c r="E55" s="17" t="s">
        <v>35</v>
      </c>
      <c r="F55" s="22">
        <v>165.3</v>
      </c>
      <c r="G55" s="17">
        <f>SQRT((4*(HSP!$B$2-$B55)^2+(HSP!$C$2-$C55)^2+(HSP!$D$2-$D55)^2))</f>
        <v>7.7631179303164028</v>
      </c>
      <c r="H55" s="17">
        <f>SQRT((4*(HSP!$B$3-$B55)^2+(HSP!$C$3-$C55)^2+(HSP!$D$3-$D55)^2))</f>
        <v>6.5892639953184453</v>
      </c>
      <c r="I55" s="17">
        <f>SQRT((4*(HSP!$B$4-$B55)^2+(HSP!$C$4-$C55)^2+(HSP!$D$4-$D55)^2))</f>
        <v>2.0600970850908946</v>
      </c>
      <c r="J55" s="17">
        <f>SQRT((4*(HSP!$B$5-$B55)^2+(HSP!$C$5-$C55)^2+(HSP!$D$5-$D55)^2))</f>
        <v>10.685920643538395</v>
      </c>
      <c r="K55" s="17">
        <f>SQRT((4*(HSP!$B$6-$B55)^2+(HSP!$C$6-$C55)^2+(HSP!$D$6-$D55)^2))</f>
        <v>4.326083679264654</v>
      </c>
      <c r="L55" s="17" t="s">
        <v>35</v>
      </c>
      <c r="M55" s="17" t="s">
        <v>35</v>
      </c>
      <c r="N55" s="17" t="s">
        <v>35</v>
      </c>
      <c r="O55" s="17" t="s">
        <v>35</v>
      </c>
      <c r="P55" s="17" t="s">
        <v>35</v>
      </c>
      <c r="Q55" s="17">
        <f>$G55/HSP!$E$2</f>
        <v>0.47626490370039282</v>
      </c>
      <c r="R55" s="17">
        <f>$H55/HSP!$E$3</f>
        <v>0.48809362928284777</v>
      </c>
      <c r="S55" s="17">
        <f>$I55/HSP!$E$4</f>
        <v>0.12956585440823237</v>
      </c>
      <c r="T55" s="17">
        <f>$J55/HSP!$E$5</f>
        <v>0.77999420755754711</v>
      </c>
      <c r="U55" s="17">
        <f>$K55/HSP!$E$6</f>
        <v>0.29230295130166578</v>
      </c>
      <c r="V55" s="12"/>
      <c r="W55" s="12"/>
      <c r="X55" s="12"/>
      <c r="Y55" s="12"/>
      <c r="Z55" s="12"/>
    </row>
    <row r="56" spans="1:26" ht="15" customHeight="1" x14ac:dyDescent="0.3">
      <c r="A56" s="26" t="s">
        <v>193</v>
      </c>
      <c r="B56" s="17">
        <v>16.600000000000001</v>
      </c>
      <c r="C56" s="17">
        <v>7</v>
      </c>
      <c r="D56" s="17">
        <v>9.9</v>
      </c>
      <c r="E56" s="17" t="s">
        <v>35</v>
      </c>
      <c r="F56" s="22">
        <v>207.8</v>
      </c>
      <c r="G56" s="17">
        <f>SQRT((4*(HSP!$B$2-$B56)^2+(HSP!$C$2-$C56)^2+(HSP!$D$2-$D56)^2))</f>
        <v>6.0413574633520923</v>
      </c>
      <c r="H56" s="17">
        <f>SQRT((4*(HSP!$B$3-$B56)^2+(HSP!$C$3-$C56)^2+(HSP!$D$3-$D56)^2))</f>
        <v>5.1994615105797264</v>
      </c>
      <c r="I56" s="17">
        <f>SQRT((4*(HSP!$B$4-$B56)^2+(HSP!$C$4-$C56)^2+(HSP!$D$4-$D56)^2))</f>
        <v>4.8137303622035192</v>
      </c>
      <c r="J56" s="17">
        <f>SQRT((4*(HSP!$B$5-$B56)^2+(HSP!$C$5-$C56)^2+(HSP!$D$5-$D56)^2))</f>
        <v>6.3917837885835933</v>
      </c>
      <c r="K56" s="17">
        <f>SQRT((4*(HSP!$B$6-$B56)^2+(HSP!$C$6-$C56)^2+(HSP!$D$6-$D56)^2))</f>
        <v>6.6334757103648183</v>
      </c>
      <c r="L56" s="17" t="s">
        <v>35</v>
      </c>
      <c r="M56" s="17" t="s">
        <v>35</v>
      </c>
      <c r="N56" s="17" t="s">
        <v>35</v>
      </c>
      <c r="O56" s="17" t="s">
        <v>35</v>
      </c>
      <c r="P56" s="17" t="s">
        <v>35</v>
      </c>
      <c r="Q56" s="17">
        <f>$G56/HSP!$E$2</f>
        <v>0.37063542719951487</v>
      </c>
      <c r="R56" s="17">
        <f>$H56/HSP!$E$3</f>
        <v>0.38514529707997974</v>
      </c>
      <c r="S56" s="17">
        <f>$I56/HSP!$E$4</f>
        <v>0.30275033724550438</v>
      </c>
      <c r="T56" s="17">
        <f>$J56/HSP!$E$5</f>
        <v>0.4665535612104813</v>
      </c>
      <c r="U56" s="17">
        <f>$K56/HSP!$E$6</f>
        <v>0.44820781826789313</v>
      </c>
      <c r="V56" s="12"/>
      <c r="W56" s="12"/>
      <c r="X56" s="12"/>
      <c r="Y56" s="12"/>
      <c r="Z56" s="12"/>
    </row>
    <row r="57" spans="1:26" ht="15" customHeight="1" x14ac:dyDescent="0.3">
      <c r="A57" s="26" t="s">
        <v>194</v>
      </c>
      <c r="B57" s="17">
        <v>17</v>
      </c>
      <c r="C57" s="17">
        <v>5</v>
      </c>
      <c r="D57" s="17">
        <v>6</v>
      </c>
      <c r="E57" s="17" t="s">
        <v>35</v>
      </c>
      <c r="F57" s="22">
        <v>174</v>
      </c>
      <c r="G57" s="17">
        <f>SQRT((4*(HSP!$B$2-$B57)^2+(HSP!$C$2-$C57)^2+(HSP!$D$2-$D57)^2))</f>
        <v>7.3356662955726124</v>
      </c>
      <c r="H57" s="17">
        <f>SQRT((4*(HSP!$B$3-$B57)^2+(HSP!$C$3-$C57)^2+(HSP!$D$3-$D57)^2))</f>
        <v>5.349055991481114</v>
      </c>
      <c r="I57" s="17">
        <f>SQRT((4*(HSP!$B$4-$B57)^2+(HSP!$C$4-$C57)^2+(HSP!$D$4-$D57)^2))</f>
        <v>3.7600531911131259</v>
      </c>
      <c r="J57" s="17">
        <f>SQRT((4*(HSP!$B$5-$B57)^2+(HSP!$C$5-$C57)^2+(HSP!$D$5-$D57)^2))</f>
        <v>9.7915729073525277</v>
      </c>
      <c r="K57" s="17">
        <f>SQRT((4*(HSP!$B$6-$B57)^2+(HSP!$C$6-$C57)^2+(HSP!$D$6-$D57)^2))</f>
        <v>4.3172908171676374</v>
      </c>
      <c r="L57" s="17" t="s">
        <v>35</v>
      </c>
      <c r="M57" s="17" t="s">
        <v>35</v>
      </c>
      <c r="N57" s="17" t="s">
        <v>35</v>
      </c>
      <c r="O57" s="17" t="s">
        <v>35</v>
      </c>
      <c r="P57" s="17" t="s">
        <v>35</v>
      </c>
      <c r="Q57" s="17">
        <f>$G57/HSP!$E$2</f>
        <v>0.45004087702899459</v>
      </c>
      <c r="R57" s="17">
        <f>$H57/HSP!$E$3</f>
        <v>0.39622636973934178</v>
      </c>
      <c r="S57" s="17">
        <f>$I57/HSP!$E$4</f>
        <v>0.23648133277441041</v>
      </c>
      <c r="T57" s="17">
        <f>$J57/HSP!$E$5</f>
        <v>0.71471335090164445</v>
      </c>
      <c r="U57" s="17">
        <f>$K57/HSP!$E$6</f>
        <v>0.2917088389978133</v>
      </c>
      <c r="V57" s="12"/>
      <c r="W57" s="12"/>
      <c r="X57" s="12"/>
      <c r="Y57" s="12"/>
      <c r="Z57" s="12"/>
    </row>
    <row r="58" spans="1:26" ht="15" customHeight="1" x14ac:dyDescent="0.3">
      <c r="A58" s="26" t="s">
        <v>195</v>
      </c>
      <c r="B58" s="17">
        <v>16.7</v>
      </c>
      <c r="C58" s="17">
        <v>7.4</v>
      </c>
      <c r="D58" s="17">
        <v>6.2</v>
      </c>
      <c r="E58" s="17" t="s">
        <v>35</v>
      </c>
      <c r="F58" s="22">
        <v>171.3</v>
      </c>
      <c r="G58" s="17">
        <f>SQRT((4*(HSP!$B$2-$B58)^2+(HSP!$C$2-$C58)^2+(HSP!$D$2-$D58)^2))</f>
        <v>5.2547121709947158</v>
      </c>
      <c r="H58" s="17">
        <f>SQRT((4*(HSP!$B$3-$B58)^2+(HSP!$C$3-$C58)^2+(HSP!$D$3-$D58)^2))</f>
        <v>3.0548977069617234</v>
      </c>
      <c r="I58" s="17">
        <f>SQRT((4*(HSP!$B$4-$B58)^2+(HSP!$C$4-$C58)^2+(HSP!$D$4-$D58)^2))</f>
        <v>4.1378738501795818</v>
      </c>
      <c r="J58" s="17">
        <f>SQRT((4*(HSP!$B$5-$B58)^2+(HSP!$C$5-$C58)^2+(HSP!$D$5-$D58)^2))</f>
        <v>7.6716947280245709</v>
      </c>
      <c r="K58" s="17">
        <f>SQRT((4*(HSP!$B$6-$B58)^2+(HSP!$C$6-$C58)^2+(HSP!$D$6-$D58)^2))</f>
        <v>3.8266173051404029</v>
      </c>
      <c r="L58" s="17" t="s">
        <v>35</v>
      </c>
      <c r="M58" s="17" t="s">
        <v>35</v>
      </c>
      <c r="N58" s="17" t="s">
        <v>35</v>
      </c>
      <c r="O58" s="17" t="s">
        <v>35</v>
      </c>
      <c r="P58" s="17" t="s">
        <v>35</v>
      </c>
      <c r="Q58" s="17">
        <f>$G58/HSP!$E$2</f>
        <v>0.32237497981562674</v>
      </c>
      <c r="R58" s="17">
        <f>$H58/HSP!$E$3</f>
        <v>0.22628871903420172</v>
      </c>
      <c r="S58" s="17">
        <f>$I58/HSP!$E$4</f>
        <v>0.26024363837607434</v>
      </c>
      <c r="T58" s="17">
        <f>$J58/HSP!$E$5</f>
        <v>0.55997771737405633</v>
      </c>
      <c r="U58" s="17">
        <f>$K58/HSP!$E$6</f>
        <v>0.25855522332029746</v>
      </c>
      <c r="V58" s="12"/>
      <c r="W58" s="12"/>
      <c r="X58" s="12"/>
      <c r="Y58" s="12"/>
      <c r="Z58" s="12"/>
    </row>
    <row r="59" spans="1:26" ht="15" customHeight="1" x14ac:dyDescent="0.3">
      <c r="A59" s="26" t="s">
        <v>196</v>
      </c>
      <c r="B59" s="17">
        <v>16</v>
      </c>
      <c r="C59" s="17">
        <v>4.7</v>
      </c>
      <c r="D59" s="17">
        <v>10.7</v>
      </c>
      <c r="E59" s="17" t="s">
        <v>35</v>
      </c>
      <c r="F59" s="22">
        <v>182.3</v>
      </c>
      <c r="G59" s="17">
        <f>SQRT((4*(HSP!$B$2-$B59)^2+(HSP!$C$2-$C59)^2+(HSP!$D$2-$D59)^2))</f>
        <v>7.4064836461035952</v>
      </c>
      <c r="H59" s="17">
        <f>SQRT((4*(HSP!$B$3-$B59)^2+(HSP!$C$3-$C59)^2+(HSP!$D$3-$D59)^2))</f>
        <v>6.9857283084872401</v>
      </c>
      <c r="I59" s="17">
        <f>SQRT((4*(HSP!$B$4-$B59)^2+(HSP!$C$4-$C59)^2+(HSP!$D$4-$D59)^2))</f>
        <v>4.2386318547380348</v>
      </c>
      <c r="J59" s="17">
        <f>SQRT((4*(HSP!$B$5-$B59)^2+(HSP!$C$5-$C59)^2+(HSP!$D$5-$D59)^2))</f>
        <v>8.1550536478922062</v>
      </c>
      <c r="K59" s="17">
        <f>SQRT((4*(HSP!$B$6-$B59)^2+(HSP!$C$6-$C59)^2+(HSP!$D$6-$D59)^2))</f>
        <v>7.214360678535555</v>
      </c>
      <c r="L59" s="17" t="s">
        <v>35</v>
      </c>
      <c r="M59" s="17" t="s">
        <v>35</v>
      </c>
      <c r="N59" s="17" t="s">
        <v>35</v>
      </c>
      <c r="O59" s="17" t="s">
        <v>35</v>
      </c>
      <c r="P59" s="17" t="s">
        <v>35</v>
      </c>
      <c r="Q59" s="17">
        <f>$G59/HSP!$E$2</f>
        <v>0.45438549976095677</v>
      </c>
      <c r="R59" s="17">
        <f>$H59/HSP!$E$3</f>
        <v>0.51746135618424005</v>
      </c>
      <c r="S59" s="17">
        <f>$I59/HSP!$E$4</f>
        <v>0.26658061979484493</v>
      </c>
      <c r="T59" s="17">
        <f>$J59/HSP!$E$5</f>
        <v>0.59525939035709541</v>
      </c>
      <c r="U59" s="17">
        <f>$K59/HSP!$E$6</f>
        <v>0.48745680260375368</v>
      </c>
      <c r="V59" s="12"/>
      <c r="W59" s="12"/>
      <c r="X59" s="12"/>
      <c r="Y59" s="12"/>
      <c r="Z59" s="12"/>
    </row>
    <row r="60" spans="1:26" ht="15" customHeight="1" x14ac:dyDescent="0.3">
      <c r="A60" s="26" t="s">
        <v>197</v>
      </c>
      <c r="B60" s="17">
        <v>16.100000000000001</v>
      </c>
      <c r="C60" s="17">
        <v>2.6</v>
      </c>
      <c r="D60" s="17">
        <v>5.4</v>
      </c>
      <c r="E60" s="17" t="s">
        <v>35</v>
      </c>
      <c r="F60" s="22">
        <v>231.4</v>
      </c>
      <c r="G60" s="17">
        <f>SQRT((4*(HSP!$B$2-$B60)^2+(HSP!$C$2-$C60)^2+(HSP!$D$2-$D60)^2))</f>
        <v>8.56014018576799</v>
      </c>
      <c r="H60" s="17">
        <f>SQRT((4*(HSP!$B$3-$B60)^2+(HSP!$C$3-$C60)^2+(HSP!$D$3-$D60)^2))</f>
        <v>7.1198595491765158</v>
      </c>
      <c r="I60" s="17">
        <f>SQRT((4*(HSP!$B$4-$B60)^2+(HSP!$C$4-$C60)^2+(HSP!$D$4-$D60)^2))</f>
        <v>3.1218584208768996</v>
      </c>
      <c r="J60" s="17">
        <f>SQRT((4*(HSP!$B$5-$B60)^2+(HSP!$C$5-$C60)^2+(HSP!$D$5-$D60)^2))</f>
        <v>11.651218820363818</v>
      </c>
      <c r="K60" s="17">
        <f>SQRT((4*(HSP!$B$6-$B60)^2+(HSP!$C$6-$C60)^2+(HSP!$D$6-$D60)^2))</f>
        <v>4.4527519580591965</v>
      </c>
      <c r="L60" s="17" t="s">
        <v>35</v>
      </c>
      <c r="M60" s="17" t="s">
        <v>35</v>
      </c>
      <c r="N60" s="17" t="s">
        <v>35</v>
      </c>
      <c r="O60" s="17" t="s">
        <v>35</v>
      </c>
      <c r="P60" s="17" t="s">
        <v>35</v>
      </c>
      <c r="Q60" s="17">
        <f>$G60/HSP!$E$2</f>
        <v>0.52516197458699321</v>
      </c>
      <c r="R60" s="17">
        <f>$H60/HSP!$E$3</f>
        <v>0.52739700364270492</v>
      </c>
      <c r="S60" s="17">
        <f>$I60/HSP!$E$4</f>
        <v>0.19634329691049682</v>
      </c>
      <c r="T60" s="17">
        <f>$J60/HSP!$E$5</f>
        <v>0.85045392849370938</v>
      </c>
      <c r="U60" s="17">
        <f>$K60/HSP!$E$6</f>
        <v>0.30086161878778356</v>
      </c>
      <c r="V60" s="12"/>
      <c r="W60" s="12"/>
      <c r="X60" s="12"/>
      <c r="Y60" s="12"/>
      <c r="Z60" s="12"/>
    </row>
    <row r="61" spans="1:26" ht="15" customHeight="1" x14ac:dyDescent="0.3">
      <c r="A61" s="26" t="s">
        <v>198</v>
      </c>
      <c r="B61" s="17">
        <v>16.100000000000001</v>
      </c>
      <c r="C61" s="17">
        <v>2.7</v>
      </c>
      <c r="D61" s="17">
        <v>5.6</v>
      </c>
      <c r="E61" s="17" t="s">
        <v>35</v>
      </c>
      <c r="F61" s="22">
        <v>214.3</v>
      </c>
      <c r="G61" s="17">
        <f>SQRT((4*(HSP!$B$2-$B61)^2+(HSP!$C$2-$C61)^2+(HSP!$D$2-$D61)^2))</f>
        <v>8.433386034090935</v>
      </c>
      <c r="H61" s="17">
        <f>SQRT((4*(HSP!$B$3-$B61)^2+(HSP!$C$3-$C61)^2+(HSP!$D$3-$D61)^2))</f>
        <v>7.0115904044660224</v>
      </c>
      <c r="I61" s="17">
        <f>SQRT((4*(HSP!$B$4-$B61)^2+(HSP!$C$4-$C61)^2+(HSP!$D$4-$D61)^2))</f>
        <v>2.9698484809835013</v>
      </c>
      <c r="J61" s="17">
        <f>SQRT((4*(HSP!$B$5-$B61)^2+(HSP!$C$5-$C61)^2+(HSP!$D$5-$D61)^2))</f>
        <v>11.470174366590946</v>
      </c>
      <c r="K61" s="17">
        <f>SQRT((4*(HSP!$B$6-$B61)^2+(HSP!$C$6-$C61)^2+(HSP!$D$6-$D61)^2))</f>
        <v>4.441959027276142</v>
      </c>
      <c r="L61" s="17" t="s">
        <v>35</v>
      </c>
      <c r="M61" s="17" t="s">
        <v>35</v>
      </c>
      <c r="N61" s="17" t="s">
        <v>35</v>
      </c>
      <c r="O61" s="17" t="s">
        <v>35</v>
      </c>
      <c r="P61" s="17" t="s">
        <v>35</v>
      </c>
      <c r="Q61" s="17">
        <f>$G61/HSP!$E$2</f>
        <v>0.51738564626324757</v>
      </c>
      <c r="R61" s="17">
        <f>$H61/HSP!$E$3</f>
        <v>0.51937706699748309</v>
      </c>
      <c r="S61" s="17">
        <f>$I61/HSP!$E$4</f>
        <v>0.18678292333229568</v>
      </c>
      <c r="T61" s="17">
        <f>$J61/HSP!$E$5</f>
        <v>0.83723900486065306</v>
      </c>
      <c r="U61" s="17">
        <f>$K61/HSP!$E$6</f>
        <v>0.30013236670784743</v>
      </c>
      <c r="V61" s="12"/>
      <c r="W61" s="12"/>
      <c r="X61" s="12"/>
      <c r="Y61" s="12"/>
      <c r="Z61" s="12"/>
    </row>
    <row r="62" spans="1:26" ht="15" customHeight="1" x14ac:dyDescent="0.3">
      <c r="A62" s="26" t="s">
        <v>199</v>
      </c>
      <c r="B62" s="17">
        <v>16</v>
      </c>
      <c r="C62" s="17">
        <v>2.4</v>
      </c>
      <c r="D62" s="17">
        <v>5</v>
      </c>
      <c r="E62" s="17" t="s">
        <v>35</v>
      </c>
      <c r="F62" s="22">
        <v>266.2</v>
      </c>
      <c r="G62" s="17">
        <f>SQRT((4*(HSP!$B$2-$B62)^2+(HSP!$C$2-$C62)^2+(HSP!$D$2-$D62)^2))</f>
        <v>8.7592237098957586</v>
      </c>
      <c r="H62" s="17">
        <f>SQRT((4*(HSP!$B$3-$B62)^2+(HSP!$C$3-$C62)^2+(HSP!$D$3-$D62)^2))</f>
        <v>7.3324211553892624</v>
      </c>
      <c r="I62" s="17">
        <f>SQRT((4*(HSP!$B$4-$B62)^2+(HSP!$C$4-$C62)^2+(HSP!$D$4-$D62)^2))</f>
        <v>3.3457435645906872</v>
      </c>
      <c r="J62" s="17">
        <f>SQRT((4*(HSP!$B$5-$B62)^2+(HSP!$C$5-$C62)^2+(HSP!$D$5-$D62)^2))</f>
        <v>11.991617905854072</v>
      </c>
      <c r="K62" s="17">
        <f>SQRT((4*(HSP!$B$6-$B62)^2+(HSP!$C$6-$C62)^2+(HSP!$D$6-$D62)^2))</f>
        <v>4.4379049111038871</v>
      </c>
      <c r="L62" s="17" t="s">
        <v>35</v>
      </c>
      <c r="M62" s="17" t="s">
        <v>35</v>
      </c>
      <c r="N62" s="17" t="s">
        <v>35</v>
      </c>
      <c r="O62" s="17" t="s">
        <v>35</v>
      </c>
      <c r="P62" s="17" t="s">
        <v>35</v>
      </c>
      <c r="Q62" s="17">
        <f>$G62/HSP!$E$2</f>
        <v>0.53737568772366617</v>
      </c>
      <c r="R62" s="17">
        <f>$H62/HSP!$E$3</f>
        <v>0.54314230780661199</v>
      </c>
      <c r="S62" s="17">
        <f>$I62/HSP!$E$4</f>
        <v>0.21042412355916271</v>
      </c>
      <c r="T62" s="17">
        <f>$J62/HSP!$E$5</f>
        <v>0.87530057706964037</v>
      </c>
      <c r="U62" s="17">
        <f>$K62/HSP!$E$6</f>
        <v>0.29985843993945183</v>
      </c>
      <c r="V62" s="12"/>
      <c r="W62" s="12"/>
      <c r="X62" s="12"/>
      <c r="Y62" s="12"/>
      <c r="Z62" s="12"/>
    </row>
    <row r="63" spans="1:26" ht="15" customHeight="1" x14ac:dyDescent="0.3">
      <c r="A63" s="26" t="s">
        <v>200</v>
      </c>
      <c r="B63" s="17">
        <v>16.100000000000001</v>
      </c>
      <c r="C63" s="17">
        <v>9</v>
      </c>
      <c r="D63" s="17">
        <v>4.0999999999999996</v>
      </c>
      <c r="E63" s="17" t="s">
        <v>35</v>
      </c>
      <c r="F63" s="22">
        <v>210.8</v>
      </c>
      <c r="G63" s="17">
        <f>SQRT((4*(HSP!$B$2-$B63)^2+(HSP!$C$2-$C63)^2+(HSP!$D$2-$D63)^2))</f>
        <v>4.4074936188269209</v>
      </c>
      <c r="H63" s="17">
        <f>SQRT((4*(HSP!$B$3-$B63)^2+(HSP!$C$3-$C63)^2+(HSP!$D$3-$D63)^2))</f>
        <v>2.0165316759227983</v>
      </c>
      <c r="I63" s="17">
        <f>SQRT((4*(HSP!$B$4-$B63)^2+(HSP!$C$4-$C63)^2+(HSP!$D$4-$D63)^2))</f>
        <v>5.4232831384688014</v>
      </c>
      <c r="J63" s="17">
        <f>SQRT((4*(HSP!$B$5-$B63)^2+(HSP!$C$5-$C63)^2+(HSP!$D$5-$D63)^2))</f>
        <v>7.9525404745904957</v>
      </c>
      <c r="K63" s="17">
        <f>SQRT((4*(HSP!$B$6-$B63)^2+(HSP!$C$6-$C63)^2+(HSP!$D$6-$D63)^2))</f>
        <v>3.0696905381487585</v>
      </c>
      <c r="L63" s="17" t="s">
        <v>35</v>
      </c>
      <c r="M63" s="17" t="s">
        <v>35</v>
      </c>
      <c r="N63" s="17" t="s">
        <v>35</v>
      </c>
      <c r="O63" s="17" t="s">
        <v>35</v>
      </c>
      <c r="P63" s="17" t="s">
        <v>35</v>
      </c>
      <c r="Q63" s="17">
        <f>$G63/HSP!$E$2</f>
        <v>0.27039838152312395</v>
      </c>
      <c r="R63" s="17">
        <f>$H63/HSP!$E$3</f>
        <v>0.14937271673502209</v>
      </c>
      <c r="S63" s="17">
        <f>$I63/HSP!$E$4</f>
        <v>0.3410869898408051</v>
      </c>
      <c r="T63" s="17">
        <f>$J63/HSP!$E$5</f>
        <v>0.58047740690441574</v>
      </c>
      <c r="U63" s="17">
        <f>$K63/HSP!$E$6</f>
        <v>0.20741152284788908</v>
      </c>
      <c r="V63" s="12"/>
      <c r="W63" s="12"/>
      <c r="X63" s="12"/>
      <c r="Y63" s="12"/>
      <c r="Z63" s="12"/>
    </row>
    <row r="64" spans="1:26" ht="15" customHeight="1" x14ac:dyDescent="0.3">
      <c r="A64" s="26" t="s">
        <v>201</v>
      </c>
      <c r="B64" s="17">
        <v>16.100000000000001</v>
      </c>
      <c r="C64" s="17">
        <v>2.5</v>
      </c>
      <c r="D64" s="17">
        <v>5.2</v>
      </c>
      <c r="E64" s="17" t="s">
        <v>35</v>
      </c>
      <c r="F64" s="22">
        <v>249.8</v>
      </c>
      <c r="G64" s="17">
        <f>SQRT((4*(HSP!$B$2-$B64)^2+(HSP!$C$2-$C64)^2+(HSP!$D$2-$D64)^2))</f>
        <v>8.6907997330510405</v>
      </c>
      <c r="H64" s="17">
        <f>SQRT((4*(HSP!$B$3-$B64)^2+(HSP!$C$3-$C64)^2+(HSP!$D$3-$D64)^2))</f>
        <v>7.2334224264866487</v>
      </c>
      <c r="I64" s="17">
        <f>SQRT((4*(HSP!$B$4-$B64)^2+(HSP!$C$4-$C64)^2+(HSP!$D$4-$D64)^2))</f>
        <v>3.2820725159569539</v>
      </c>
      <c r="J64" s="17">
        <f>SQRT((4*(HSP!$B$5-$B64)^2+(HSP!$C$5-$C64)^2+(HSP!$D$5-$D64)^2))</f>
        <v>11.83371877306538</v>
      </c>
      <c r="K64" s="17">
        <f>SQRT((4*(HSP!$B$6-$B64)^2+(HSP!$C$6-$C64)^2+(HSP!$D$6-$D64)^2))</f>
        <v>4.4747066942985221</v>
      </c>
      <c r="L64" s="17" t="s">
        <v>35</v>
      </c>
      <c r="M64" s="17" t="s">
        <v>35</v>
      </c>
      <c r="N64" s="17" t="s">
        <v>35</v>
      </c>
      <c r="O64" s="17" t="s">
        <v>35</v>
      </c>
      <c r="P64" s="17" t="s">
        <v>35</v>
      </c>
      <c r="Q64" s="17">
        <f>$G64/HSP!$E$2</f>
        <v>0.53317789773319268</v>
      </c>
      <c r="R64" s="17">
        <f>$H64/HSP!$E$3</f>
        <v>0.53580906862864064</v>
      </c>
      <c r="S64" s="17">
        <f>$I64/HSP!$E$4</f>
        <v>0.20641965509163232</v>
      </c>
      <c r="T64" s="17">
        <f>$J64/HSP!$E$5</f>
        <v>0.86377509292448029</v>
      </c>
      <c r="U64" s="17">
        <f>$K64/HSP!$E$6</f>
        <v>0.30234504691206227</v>
      </c>
      <c r="V64" s="12"/>
      <c r="W64" s="12"/>
      <c r="X64" s="12"/>
      <c r="Y64" s="12"/>
      <c r="Z64" s="12"/>
    </row>
    <row r="65" spans="1:26" ht="15" customHeight="1" x14ac:dyDescent="0.3">
      <c r="A65" s="26" t="s">
        <v>202</v>
      </c>
      <c r="B65" s="17">
        <v>19</v>
      </c>
      <c r="C65" s="17">
        <v>7.5</v>
      </c>
      <c r="D65" s="17">
        <v>13</v>
      </c>
      <c r="E65" s="17" t="s">
        <v>35</v>
      </c>
      <c r="F65" s="22">
        <v>154</v>
      </c>
      <c r="G65" s="17">
        <f>SQRT((4*(HSP!$B$2-$B65)^2+(HSP!$C$2-$C65)^2+(HSP!$D$2-$D65)^2))</f>
        <v>11.065351327454543</v>
      </c>
      <c r="H65" s="17">
        <f>SQRT((4*(HSP!$B$3-$B65)^2+(HSP!$C$3-$C65)^2+(HSP!$D$3-$D65)^2))</f>
        <v>10.002119775327628</v>
      </c>
      <c r="I65" s="17">
        <f>SQRT((4*(HSP!$B$4-$B65)^2+(HSP!$C$4-$C65)^2+(HSP!$D$4-$D65)^2))</f>
        <v>10.250268289171753</v>
      </c>
      <c r="J65" s="17">
        <f>SQRT((4*(HSP!$B$5-$B65)^2+(HSP!$C$5-$C65)^2+(HSP!$D$5-$D65)^2))</f>
        <v>9.3372854727699117</v>
      </c>
      <c r="K65" s="17">
        <f>SQRT((4*(HSP!$B$6-$B65)^2+(HSP!$C$6-$C65)^2+(HSP!$D$6-$D65)^2))</f>
        <v>11.854071030662842</v>
      </c>
      <c r="L65" s="17" t="s">
        <v>35</v>
      </c>
      <c r="M65" s="17" t="s">
        <v>35</v>
      </c>
      <c r="N65" s="17" t="s">
        <v>35</v>
      </c>
      <c r="O65" s="17" t="s">
        <v>35</v>
      </c>
      <c r="P65" s="17" t="s">
        <v>35</v>
      </c>
      <c r="Q65" s="17">
        <f>$G65/HSP!$E$2</f>
        <v>0.67885590965978793</v>
      </c>
      <c r="R65" s="17">
        <f>$H65/HSP!$E$3</f>
        <v>0.74089776113537986</v>
      </c>
      <c r="S65" s="17">
        <f>$I65/HSP!$E$4</f>
        <v>0.64467096158312909</v>
      </c>
      <c r="T65" s="17">
        <f>$J65/HSP!$E$5</f>
        <v>0.68155368414378925</v>
      </c>
      <c r="U65" s="17">
        <f>$K65/HSP!$E$6</f>
        <v>0.80095074531505683</v>
      </c>
      <c r="V65" s="12"/>
      <c r="W65" s="12"/>
      <c r="X65" s="12"/>
      <c r="Y65" s="12"/>
      <c r="Z65" s="12"/>
    </row>
    <row r="66" spans="1:26" ht="15" customHeight="1" x14ac:dyDescent="0.3">
      <c r="A66" s="26" t="s">
        <v>203</v>
      </c>
      <c r="B66" s="17">
        <v>20</v>
      </c>
      <c r="C66" s="17">
        <v>6.7</v>
      </c>
      <c r="D66" s="17">
        <v>6.7</v>
      </c>
      <c r="E66" s="17" t="s">
        <v>35</v>
      </c>
      <c r="F66" s="22">
        <v>156.30000000000001</v>
      </c>
      <c r="G66" s="17">
        <f>SQRT((4*(HSP!$B$2-$B66)^2+(HSP!$C$2-$C66)^2+(HSP!$D$2-$D66)^2))</f>
        <v>11.439230743367318</v>
      </c>
      <c r="H66" s="17">
        <f>SQRT((4*(HSP!$B$3-$B66)^2+(HSP!$C$3-$C66)^2+(HSP!$D$3-$D66)^2))</f>
        <v>9.1564403563830421</v>
      </c>
      <c r="I66" s="17">
        <f>SQRT((4*(HSP!$B$4-$B66)^2+(HSP!$C$4-$C66)^2+(HSP!$D$4-$D66)^2))</f>
        <v>9.8694478062351596</v>
      </c>
      <c r="J66" s="17">
        <f>SQRT((4*(HSP!$B$5-$B66)^2+(HSP!$C$5-$C66)^2+(HSP!$D$5-$D66)^2))</f>
        <v>11.984360642103525</v>
      </c>
      <c r="K66" s="17">
        <f>SQRT((4*(HSP!$B$6-$B66)^2+(HSP!$C$6-$C66)^2+(HSP!$D$6-$D66)^2))</f>
        <v>9.8836734061784952</v>
      </c>
      <c r="L66" s="17" t="s">
        <v>35</v>
      </c>
      <c r="M66" s="17" t="s">
        <v>35</v>
      </c>
      <c r="N66" s="17" t="s">
        <v>35</v>
      </c>
      <c r="O66" s="17" t="s">
        <v>35</v>
      </c>
      <c r="P66" s="17" t="s">
        <v>35</v>
      </c>
      <c r="Q66" s="17">
        <f>$G66/HSP!$E$2</f>
        <v>0.70179329713909921</v>
      </c>
      <c r="R66" s="17">
        <f>$H66/HSP!$E$3</f>
        <v>0.67825484121355872</v>
      </c>
      <c r="S66" s="17">
        <f>$I66/HSP!$E$4</f>
        <v>0.62071998781353199</v>
      </c>
      <c r="T66" s="17">
        <f>$J66/HSP!$E$5</f>
        <v>0.87477084978857844</v>
      </c>
      <c r="U66" s="17">
        <f>$K66/HSP!$E$6</f>
        <v>0.66781577068773612</v>
      </c>
      <c r="V66" s="12"/>
      <c r="W66" s="12"/>
      <c r="X66" s="12"/>
      <c r="Y66" s="12"/>
      <c r="Z66" s="12"/>
    </row>
    <row r="67" spans="1:26" ht="15" customHeight="1" x14ac:dyDescent="0.3">
      <c r="A67" s="26" t="s">
        <v>204</v>
      </c>
      <c r="B67" s="17">
        <v>18</v>
      </c>
      <c r="C67" s="17">
        <v>5.0999999999999996</v>
      </c>
      <c r="D67" s="17">
        <v>12.9</v>
      </c>
      <c r="E67" s="17" t="s">
        <v>35</v>
      </c>
      <c r="F67" s="22">
        <v>104.7</v>
      </c>
      <c r="G67" s="17">
        <f>SQRT((4*(HSP!$B$2-$B67)^2+(HSP!$C$2-$C67)^2+(HSP!$D$2-$D67)^2))</f>
        <v>10.488851224037836</v>
      </c>
      <c r="H67" s="17">
        <f>SQRT((4*(HSP!$B$3-$B67)^2+(HSP!$C$3-$C67)^2+(HSP!$D$3-$D67)^2))</f>
        <v>9.6054359609546101</v>
      </c>
      <c r="I67" s="17">
        <f>SQRT((4*(HSP!$B$4-$B67)^2+(HSP!$C$4-$C67)^2+(HSP!$D$4-$D67)^2))</f>
        <v>8.3319865578384125</v>
      </c>
      <c r="J67" s="17">
        <f>SQRT((4*(HSP!$B$5-$B67)^2+(HSP!$C$5-$C67)^2+(HSP!$D$5-$D67)^2))</f>
        <v>9.5789822006307137</v>
      </c>
      <c r="K67" s="17">
        <f>SQRT((4*(HSP!$B$6-$B67)^2+(HSP!$C$6-$C67)^2+(HSP!$D$6-$D67)^2))</f>
        <v>10.65283999692101</v>
      </c>
      <c r="L67" s="17" t="s">
        <v>35</v>
      </c>
      <c r="M67" s="17" t="s">
        <v>35</v>
      </c>
      <c r="N67" s="17" t="s">
        <v>35</v>
      </c>
      <c r="O67" s="17" t="s">
        <v>35</v>
      </c>
      <c r="P67" s="17" t="s">
        <v>35</v>
      </c>
      <c r="Q67" s="17">
        <f>$G67/HSP!$E$2</f>
        <v>0.64348780515569537</v>
      </c>
      <c r="R67" s="17">
        <f>$H67/HSP!$E$3</f>
        <v>0.7115137748855267</v>
      </c>
      <c r="S67" s="17">
        <f>$I67/HSP!$E$4</f>
        <v>0.52402431181373665</v>
      </c>
      <c r="T67" s="17">
        <f>$J67/HSP!$E$5</f>
        <v>0.69919578106793534</v>
      </c>
      <c r="U67" s="17">
        <f>$K67/HSP!$E$6</f>
        <v>0.71978648627844655</v>
      </c>
      <c r="V67" s="12"/>
      <c r="W67" s="12"/>
      <c r="X67" s="12"/>
      <c r="Y67" s="12"/>
      <c r="Z67" s="12"/>
    </row>
    <row r="68" spans="1:26" ht="15" customHeight="1" x14ac:dyDescent="0.3">
      <c r="A68" s="26" t="s">
        <v>205</v>
      </c>
      <c r="B68" s="17">
        <v>18.7</v>
      </c>
      <c r="C68" s="17">
        <v>5.0999999999999996</v>
      </c>
      <c r="D68" s="17">
        <v>12.1</v>
      </c>
      <c r="E68" s="17" t="s">
        <v>35</v>
      </c>
      <c r="F68" s="22">
        <v>135</v>
      </c>
      <c r="G68" s="17">
        <f>SQRT((4*(HSP!$B$2-$B68)^2+(HSP!$C$2-$C68)^2+(HSP!$D$2-$D68)^2))</f>
        <v>11.053687167637774</v>
      </c>
      <c r="H68" s="17">
        <f>SQRT((4*(HSP!$B$3-$B68)^2+(HSP!$C$3-$C68)^2+(HSP!$D$3-$D68)^2))</f>
        <v>9.8220364487208052</v>
      </c>
      <c r="I68" s="17">
        <f>SQRT((4*(HSP!$B$4-$B68)^2+(HSP!$C$4-$C68)^2+(HSP!$D$4-$D68)^2))</f>
        <v>8.8379861959611574</v>
      </c>
      <c r="J68" s="17">
        <f>SQRT((4*(HSP!$B$5-$B68)^2+(HSP!$C$5-$C68)^2+(HSP!$D$5-$D68)^2))</f>
        <v>10.319539718417678</v>
      </c>
      <c r="K68" s="17">
        <f>SQRT((4*(HSP!$B$6-$B68)^2+(HSP!$C$6-$C68)^2+(HSP!$D$6-$D68)^2))</f>
        <v>10.811614125559606</v>
      </c>
      <c r="L68" s="17" t="s">
        <v>35</v>
      </c>
      <c r="M68" s="17" t="s">
        <v>35</v>
      </c>
      <c r="N68" s="17" t="s">
        <v>35</v>
      </c>
      <c r="O68" s="17" t="s">
        <v>35</v>
      </c>
      <c r="P68" s="17" t="s">
        <v>35</v>
      </c>
      <c r="Q68" s="17">
        <f>$G68/HSP!$E$2</f>
        <v>0.67814031703299227</v>
      </c>
      <c r="R68" s="17">
        <f>$H68/HSP!$E$3</f>
        <v>0.72755825546080033</v>
      </c>
      <c r="S68" s="17">
        <f>$I68/HSP!$E$4</f>
        <v>0.55584818842522998</v>
      </c>
      <c r="T68" s="17">
        <f>$J68/HSP!$E$5</f>
        <v>0.75325107433705685</v>
      </c>
      <c r="U68" s="17">
        <f>$K68/HSP!$E$6</f>
        <v>0.73051446794321662</v>
      </c>
      <c r="V68" s="12"/>
      <c r="W68" s="12"/>
      <c r="X68" s="12"/>
      <c r="Y68" s="12"/>
      <c r="Z68" s="12"/>
    </row>
    <row r="69" spans="1:26" ht="15" customHeight="1" x14ac:dyDescent="0.3">
      <c r="A69" s="26" t="s">
        <v>206</v>
      </c>
      <c r="B69" s="17">
        <v>19.2</v>
      </c>
      <c r="C69" s="17">
        <v>9</v>
      </c>
      <c r="D69" s="17">
        <v>4.8</v>
      </c>
      <c r="E69" s="17" t="s">
        <v>35</v>
      </c>
      <c r="F69" s="22">
        <v>145.1</v>
      </c>
      <c r="G69" s="17">
        <f>SQRT((4*(HSP!$B$2-$B69)^2+(HSP!$C$2-$C69)^2+(HSP!$D$2-$D69)^2))</f>
        <v>9.5668176526993545</v>
      </c>
      <c r="H69" s="17">
        <f>SQRT((4*(HSP!$B$3-$B69)^2+(HSP!$C$3-$C69)^2+(HSP!$D$3-$D69)^2))</f>
        <v>7.1243526021667396</v>
      </c>
      <c r="I69" s="17">
        <f>SQRT((4*(HSP!$B$4-$B69)^2+(HSP!$C$4-$C69)^2+(HSP!$D$4-$D69)^2))</f>
        <v>9.3608760273811971</v>
      </c>
      <c r="J69" s="17">
        <f>SQRT((4*(HSP!$B$5-$B69)^2+(HSP!$C$5-$C69)^2+(HSP!$D$5-$D69)^2))</f>
        <v>10.639309188100512</v>
      </c>
      <c r="K69" s="17">
        <f>SQRT((4*(HSP!$B$6-$B69)^2+(HSP!$C$6-$C69)^2+(HSP!$D$6-$D69)^2))</f>
        <v>8.32388130621767</v>
      </c>
      <c r="L69" s="17" t="s">
        <v>35</v>
      </c>
      <c r="M69" s="17" t="s">
        <v>35</v>
      </c>
      <c r="N69" s="17" t="s">
        <v>35</v>
      </c>
      <c r="O69" s="17" t="s">
        <v>35</v>
      </c>
      <c r="P69" s="17" t="s">
        <v>35</v>
      </c>
      <c r="Q69" s="17">
        <f>$G69/HSP!$E$2</f>
        <v>0.58692132838646349</v>
      </c>
      <c r="R69" s="17">
        <f>$H69/HSP!$E$3</f>
        <v>0.52772982238272148</v>
      </c>
      <c r="S69" s="17">
        <f>$I69/HSP!$E$4</f>
        <v>0.58873434134472935</v>
      </c>
      <c r="T69" s="17">
        <f>$J69/HSP!$E$5</f>
        <v>0.77659191154018337</v>
      </c>
      <c r="U69" s="17">
        <f>$K69/HSP!$E$6</f>
        <v>0.56242441258227494</v>
      </c>
      <c r="V69" s="12"/>
      <c r="W69" s="12"/>
      <c r="X69" s="12"/>
      <c r="Y69" s="12"/>
      <c r="Z69" s="12"/>
    </row>
    <row r="70" spans="1:26" ht="15" customHeight="1" x14ac:dyDescent="0.3">
      <c r="A70" s="26" t="s">
        <v>207</v>
      </c>
      <c r="B70" s="17">
        <v>17.600000000000001</v>
      </c>
      <c r="C70" s="17">
        <v>6.9</v>
      </c>
      <c r="D70" s="17">
        <v>4.0999999999999996</v>
      </c>
      <c r="E70" s="17" t="s">
        <v>35</v>
      </c>
      <c r="F70" s="22">
        <v>200.1</v>
      </c>
      <c r="G70" s="17">
        <f>SQRT((4*(HSP!$B$2-$B70)^2+(HSP!$C$2-$C70)^2+(HSP!$D$2-$D70)^2))</f>
        <v>7.5477148859770828</v>
      </c>
      <c r="H70" s="17">
        <f>SQRT((4*(HSP!$B$3-$B70)^2+(HSP!$C$3-$C70)^2+(HSP!$D$3-$D70)^2))</f>
        <v>5.016811736551416</v>
      </c>
      <c r="I70" s="17">
        <f>SQRT((4*(HSP!$B$4-$B70)^2+(HSP!$C$4-$C70)^2+(HSP!$D$4-$D70)^2))</f>
        <v>5.9864847782317163</v>
      </c>
      <c r="J70" s="17">
        <f>SQRT((4*(HSP!$B$5-$B70)^2+(HSP!$C$5-$C70)^2+(HSP!$D$5-$D70)^2))</f>
        <v>10.111226434018775</v>
      </c>
      <c r="K70" s="17">
        <f>SQRT((4*(HSP!$B$6-$B70)^2+(HSP!$C$6-$C70)^2+(HSP!$D$6-$D70)^2))</f>
        <v>4.6903091582538599</v>
      </c>
      <c r="L70" s="17" t="s">
        <v>35</v>
      </c>
      <c r="M70" s="17" t="s">
        <v>35</v>
      </c>
      <c r="N70" s="17" t="s">
        <v>35</v>
      </c>
      <c r="O70" s="17" t="s">
        <v>35</v>
      </c>
      <c r="P70" s="17" t="s">
        <v>35</v>
      </c>
      <c r="Q70" s="17">
        <f>$G70/HSP!$E$2</f>
        <v>0.46304999300472899</v>
      </c>
      <c r="R70" s="17">
        <f>$H70/HSP!$E$3</f>
        <v>0.37161568418899377</v>
      </c>
      <c r="S70" s="17">
        <f>$I70/HSP!$E$4</f>
        <v>0.37650847661834691</v>
      </c>
      <c r="T70" s="17">
        <f>$J70/HSP!$E$5</f>
        <v>0.73804572511085953</v>
      </c>
      <c r="U70" s="17">
        <f>$K70/HSP!$E$6</f>
        <v>0.31691278096309861</v>
      </c>
      <c r="V70" s="12"/>
      <c r="W70" s="12"/>
      <c r="X70" s="12"/>
      <c r="Y70" s="12"/>
      <c r="Z70" s="12"/>
    </row>
    <row r="71" spans="1:26" ht="15" customHeight="1" x14ac:dyDescent="0.3">
      <c r="A71" s="26" t="s">
        <v>208</v>
      </c>
      <c r="B71" s="17">
        <v>16.399999999999999</v>
      </c>
      <c r="C71" s="17">
        <v>2.4</v>
      </c>
      <c r="D71" s="17">
        <v>5.4</v>
      </c>
      <c r="E71" s="17" t="s">
        <v>35</v>
      </c>
      <c r="F71" s="22">
        <v>177.2</v>
      </c>
      <c r="G71" s="17">
        <f>SQRT((4*(HSP!$B$2-$B71)^2+(HSP!$C$2-$C71)^2+(HSP!$D$2-$D71)^2))</f>
        <v>8.9677198885781433</v>
      </c>
      <c r="H71" s="17">
        <f>SQRT((4*(HSP!$B$3-$B71)^2+(HSP!$C$3-$C71)^2+(HSP!$D$3-$D71)^2))</f>
        <v>7.4094804136322541</v>
      </c>
      <c r="I71" s="17">
        <f>SQRT((4*(HSP!$B$4-$B71)^2+(HSP!$C$4-$C71)^2+(HSP!$D$4-$D71)^2))</f>
        <v>3.6345563690772473</v>
      </c>
      <c r="J71" s="17">
        <f>SQRT((4*(HSP!$B$5-$B71)^2+(HSP!$C$5-$C71)^2+(HSP!$D$5-$D71)^2))</f>
        <v>11.924382583597358</v>
      </c>
      <c r="K71" s="17">
        <f>SQRT((4*(HSP!$B$6-$B71)^2+(HSP!$C$6-$C71)^2+(HSP!$D$6-$D71)^2))</f>
        <v>4.8734997691597348</v>
      </c>
      <c r="L71" s="17" t="s">
        <v>35</v>
      </c>
      <c r="M71" s="17" t="s">
        <v>35</v>
      </c>
      <c r="N71" s="17" t="s">
        <v>35</v>
      </c>
      <c r="O71" s="17" t="s">
        <v>35</v>
      </c>
      <c r="P71" s="17" t="s">
        <v>35</v>
      </c>
      <c r="Q71" s="17">
        <f>$G71/HSP!$E$2</f>
        <v>0.55016686432994744</v>
      </c>
      <c r="R71" s="17">
        <f>$H71/HSP!$E$3</f>
        <v>0.54885040100979665</v>
      </c>
      <c r="S71" s="17">
        <f>$I71/HSP!$E$4</f>
        <v>0.22858845088536145</v>
      </c>
      <c r="T71" s="17">
        <f>$J71/HSP!$E$5</f>
        <v>0.87039288931367587</v>
      </c>
      <c r="U71" s="17">
        <f>$K71/HSP!$E$6</f>
        <v>0.3292905249432253</v>
      </c>
      <c r="V71" s="12"/>
      <c r="W71" s="12"/>
      <c r="X71" s="12"/>
      <c r="Y71" s="12"/>
      <c r="Z71" s="12"/>
    </row>
    <row r="72" spans="1:26" ht="15" customHeight="1" x14ac:dyDescent="0.3">
      <c r="A72" s="26" t="s">
        <v>209</v>
      </c>
      <c r="B72" s="17">
        <v>17.600000000000001</v>
      </c>
      <c r="C72" s="17">
        <v>4.8</v>
      </c>
      <c r="D72" s="17">
        <v>10.4</v>
      </c>
      <c r="E72" s="17" t="s">
        <v>35</v>
      </c>
      <c r="F72" s="22">
        <v>202</v>
      </c>
      <c r="G72" s="17">
        <f>SQRT((4*(HSP!$B$2-$B72)^2+(HSP!$C$2-$C72)^2+(HSP!$D$2-$D72)^2))</f>
        <v>8.9292776863529131</v>
      </c>
      <c r="H72" s="17">
        <f>SQRT((4*(HSP!$B$3-$B72)^2+(HSP!$C$3-$C72)^2+(HSP!$D$3-$D72)^2))</f>
        <v>7.6933997686328528</v>
      </c>
      <c r="I72" s="17">
        <f>SQRT((4*(HSP!$B$4-$B72)^2+(HSP!$C$4-$C72)^2+(HSP!$D$4-$D72)^2))</f>
        <v>6.0492974798731822</v>
      </c>
      <c r="J72" s="17">
        <f>SQRT((4*(HSP!$B$5-$B72)^2+(HSP!$C$5-$C72)^2+(HSP!$D$5-$D72)^2))</f>
        <v>9.2045043321191429</v>
      </c>
      <c r="K72" s="17">
        <f>SQRT((4*(HSP!$B$6-$B72)^2+(HSP!$C$6-$C72)^2+(HSP!$D$6-$D72)^2))</f>
        <v>8.2021338686953928</v>
      </c>
      <c r="L72" s="17" t="s">
        <v>35</v>
      </c>
      <c r="M72" s="17" t="s">
        <v>35</v>
      </c>
      <c r="N72" s="17" t="s">
        <v>35</v>
      </c>
      <c r="O72" s="17" t="s">
        <v>35</v>
      </c>
      <c r="P72" s="17" t="s">
        <v>35</v>
      </c>
      <c r="Q72" s="17">
        <f>$G72/HSP!$E$2</f>
        <v>0.54780844701551612</v>
      </c>
      <c r="R72" s="17">
        <f>$H72/HSP!$E$3</f>
        <v>0.56988146434317433</v>
      </c>
      <c r="S72" s="17">
        <f>$I72/HSP!$E$4</f>
        <v>0.38045896099831333</v>
      </c>
      <c r="T72" s="17">
        <f>$J72/HSP!$E$5</f>
        <v>0.67186163008168931</v>
      </c>
      <c r="U72" s="17">
        <f>$K72/HSP!$E$6</f>
        <v>0.55419823437131033</v>
      </c>
      <c r="V72" s="12"/>
      <c r="W72" s="12"/>
      <c r="X72" s="12"/>
      <c r="Y72" s="12"/>
      <c r="Z72" s="12"/>
    </row>
    <row r="73" spans="1:26" ht="15" customHeight="1" x14ac:dyDescent="0.3">
      <c r="A73" s="26" t="s">
        <v>210</v>
      </c>
      <c r="B73" s="17">
        <v>17.5</v>
      </c>
      <c r="C73" s="17">
        <v>6.7</v>
      </c>
      <c r="D73" s="17">
        <v>4.0999999999999996</v>
      </c>
      <c r="E73" s="17" t="s">
        <v>35</v>
      </c>
      <c r="F73" s="22">
        <v>200</v>
      </c>
      <c r="G73" s="17">
        <f>SQRT((4*(HSP!$B$2-$B73)^2+(HSP!$C$2-$C73)^2+(HSP!$D$2-$D73)^2))</f>
        <v>7.4881239305983724</v>
      </c>
      <c r="H73" s="17">
        <f>SQRT((4*(HSP!$B$3-$B73)^2+(HSP!$C$3-$C73)^2+(HSP!$D$3-$D73)^2))</f>
        <v>4.9824090558684571</v>
      </c>
      <c r="I73" s="17">
        <f>SQRT((4*(HSP!$B$4-$B73)^2+(HSP!$C$4-$C73)^2+(HSP!$D$4-$D73)^2))</f>
        <v>5.7520431152765195</v>
      </c>
      <c r="J73" s="17">
        <f>SQRT((4*(HSP!$B$5-$B73)^2+(HSP!$C$5-$C73)^2+(HSP!$D$5-$D73)^2))</f>
        <v>10.138091536379024</v>
      </c>
      <c r="K73" s="17">
        <f>SQRT((4*(HSP!$B$6-$B73)^2+(HSP!$C$6-$C73)^2+(HSP!$D$6-$D73)^2))</f>
        <v>4.475153628647849</v>
      </c>
      <c r="L73" s="17" t="s">
        <v>35</v>
      </c>
      <c r="M73" s="17" t="s">
        <v>35</v>
      </c>
      <c r="N73" s="17" t="s">
        <v>35</v>
      </c>
      <c r="O73" s="17" t="s">
        <v>35</v>
      </c>
      <c r="P73" s="17" t="s">
        <v>35</v>
      </c>
      <c r="Q73" s="17">
        <f>$G73/HSP!$E$2</f>
        <v>0.45939410617167925</v>
      </c>
      <c r="R73" s="17">
        <f>$H73/HSP!$E$3</f>
        <v>0.36906733747173753</v>
      </c>
      <c r="S73" s="17">
        <f>$I73/HSP!$E$4</f>
        <v>0.36176371794191947</v>
      </c>
      <c r="T73" s="17">
        <f>$J73/HSP!$E$5</f>
        <v>0.74000668148752002</v>
      </c>
      <c r="U73" s="17">
        <f>$K73/HSP!$E$6</f>
        <v>0.30237524517890868</v>
      </c>
      <c r="V73" s="12"/>
      <c r="W73" s="12"/>
      <c r="X73" s="12"/>
      <c r="Y73" s="12"/>
      <c r="Z73" s="12"/>
    </row>
    <row r="74" spans="1:26" ht="15" customHeight="1" x14ac:dyDescent="0.3">
      <c r="A74" s="26" t="s">
        <v>211</v>
      </c>
      <c r="B74" s="17">
        <v>18</v>
      </c>
      <c r="C74" s="17">
        <v>0</v>
      </c>
      <c r="D74" s="17">
        <v>1</v>
      </c>
      <c r="E74" s="17" t="s">
        <v>35</v>
      </c>
      <c r="F74" s="22">
        <v>156.6</v>
      </c>
      <c r="G74" s="17">
        <f>SQRT((4*(HSP!$B$2-$B74)^2+(HSP!$C$2-$C74)^2+(HSP!$D$2-$D74)^2))</f>
        <v>13.835172568493681</v>
      </c>
      <c r="H74" s="17">
        <f>SQRT((4*(HSP!$B$3-$B74)^2+(HSP!$C$3-$C74)^2+(HSP!$D$3-$D74)^2))</f>
        <v>11.742759471265687</v>
      </c>
      <c r="I74" s="17">
        <f>SQRT((4*(HSP!$B$4-$B74)^2+(HSP!$C$4-$C74)^2+(HSP!$D$4-$D74)^2))</f>
        <v>9.3583118135697951</v>
      </c>
      <c r="J74" s="17">
        <f>SQRT((4*(HSP!$B$5-$B74)^2+(HSP!$C$5-$C74)^2+(HSP!$D$5-$D74)^2))</f>
        <v>17.035694878695146</v>
      </c>
      <c r="K74" s="17">
        <f>SQRT((4*(HSP!$B$6-$B74)^2+(HSP!$C$6-$C74)^2+(HSP!$D$6-$D74)^2))</f>
        <v>8.9038755606758127</v>
      </c>
      <c r="L74" s="17" t="s">
        <v>35</v>
      </c>
      <c r="M74" s="17" t="s">
        <v>35</v>
      </c>
      <c r="N74" s="17" t="s">
        <v>35</v>
      </c>
      <c r="O74" s="17" t="s">
        <v>35</v>
      </c>
      <c r="P74" s="17" t="s">
        <v>35</v>
      </c>
      <c r="Q74" s="17">
        <f>$G74/HSP!$E$2</f>
        <v>0.84878359315912144</v>
      </c>
      <c r="R74" s="17">
        <f>$H74/HSP!$E$3</f>
        <v>0.86983403490856948</v>
      </c>
      <c r="S74" s="17">
        <f>$I74/HSP!$E$4</f>
        <v>0.58857307003583614</v>
      </c>
      <c r="T74" s="17">
        <f>$J74/HSP!$E$5</f>
        <v>1.2434813780069451</v>
      </c>
      <c r="U74" s="17">
        <f>$K74/HSP!$E$6</f>
        <v>0.60161321355917652</v>
      </c>
      <c r="V74" s="12"/>
      <c r="W74" s="12"/>
      <c r="X74" s="12"/>
      <c r="Y74" s="12"/>
      <c r="Z74" s="12"/>
    </row>
    <row r="75" spans="1:26" ht="15" customHeight="1" x14ac:dyDescent="0.3">
      <c r="A75" s="26" t="s">
        <v>212</v>
      </c>
      <c r="B75" s="17">
        <v>18</v>
      </c>
      <c r="C75" s="17">
        <v>5.6</v>
      </c>
      <c r="D75" s="17">
        <v>6.4</v>
      </c>
      <c r="E75" s="17" t="s">
        <v>35</v>
      </c>
      <c r="F75" s="22">
        <v>155.69999999999999</v>
      </c>
      <c r="G75" s="17">
        <f>SQRT((4*(HSP!$B$2-$B75)^2+(HSP!$C$2-$C75)^2+(HSP!$D$2-$D75)^2))</f>
        <v>8.3783053179029015</v>
      </c>
      <c r="H75" s="17">
        <f>SQRT((4*(HSP!$B$3-$B75)^2+(HSP!$C$3-$C75)^2+(HSP!$D$3-$D75)^2))</f>
        <v>6.1777342124762873</v>
      </c>
      <c r="I75" s="17">
        <f>SQRT((4*(HSP!$B$4-$B75)^2+(HSP!$C$4-$C75)^2+(HSP!$D$4-$D75)^2))</f>
        <v>5.7482171148974537</v>
      </c>
      <c r="J75" s="17">
        <f>SQRT((4*(HSP!$B$5-$B75)^2+(HSP!$C$5-$C75)^2+(HSP!$D$5-$D75)^2))</f>
        <v>10.051213857042343</v>
      </c>
      <c r="K75" s="17">
        <f>SQRT((4*(HSP!$B$6-$B75)^2+(HSP!$C$6-$C75)^2+(HSP!$D$6-$D75)^2))</f>
        <v>6.083009123780764</v>
      </c>
      <c r="L75" s="17" t="s">
        <v>35</v>
      </c>
      <c r="M75" s="17" t="s">
        <v>35</v>
      </c>
      <c r="N75" s="17" t="s">
        <v>35</v>
      </c>
      <c r="O75" s="17" t="s">
        <v>35</v>
      </c>
      <c r="P75" s="17" t="s">
        <v>35</v>
      </c>
      <c r="Q75" s="17">
        <f>$G75/HSP!$E$2</f>
        <v>0.51400646122103688</v>
      </c>
      <c r="R75" s="17">
        <f>$H75/HSP!$E$3</f>
        <v>0.45760994166491015</v>
      </c>
      <c r="S75" s="17">
        <f>$I75/HSP!$E$4</f>
        <v>0.36152308898726121</v>
      </c>
      <c r="T75" s="17">
        <f>$J75/HSP!$E$5</f>
        <v>0.73366524503958719</v>
      </c>
      <c r="U75" s="17">
        <f>$K75/HSP!$E$6</f>
        <v>0.41101412998518672</v>
      </c>
      <c r="V75" s="12"/>
      <c r="W75" s="12"/>
      <c r="X75" s="12"/>
      <c r="Y75" s="12"/>
      <c r="Z75" s="12"/>
    </row>
    <row r="76" spans="1:26" ht="15" customHeight="1" x14ac:dyDescent="0.3">
      <c r="A76" s="26" t="s">
        <v>213</v>
      </c>
      <c r="B76" s="17">
        <v>16</v>
      </c>
      <c r="C76" s="17">
        <v>6.8</v>
      </c>
      <c r="D76" s="17">
        <v>4.3</v>
      </c>
      <c r="E76" s="17" t="s">
        <v>35</v>
      </c>
      <c r="F76" s="22">
        <v>188.3</v>
      </c>
      <c r="G76" s="17">
        <f>SQRT((4*(HSP!$B$2-$B76)^2+(HSP!$C$2-$C76)^2+(HSP!$D$2-$D76)^2))</f>
        <v>5.3308535901860985</v>
      </c>
      <c r="H76" s="17">
        <f>SQRT((4*(HSP!$B$3-$B76)^2+(HSP!$C$3-$C76)^2+(HSP!$D$3-$D76)^2))</f>
        <v>3.2976355165481834</v>
      </c>
      <c r="I76" s="17">
        <f>SQRT((4*(HSP!$B$4-$B76)^2+(HSP!$C$4-$C76)^2+(HSP!$D$4-$D76)^2))</f>
        <v>3.6742346141747673</v>
      </c>
      <c r="J76" s="17">
        <f>SQRT((4*(HSP!$B$5-$B76)^2+(HSP!$C$5-$C76)^2+(HSP!$D$5-$D76)^2))</f>
        <v>9.0074913266680419</v>
      </c>
      <c r="K76" s="17">
        <f>SQRT((4*(HSP!$B$6-$B76)^2+(HSP!$C$6-$C76)^2+(HSP!$D$6-$D76)^2))</f>
        <v>1.5719414747375304</v>
      </c>
      <c r="L76" s="17" t="s">
        <v>35</v>
      </c>
      <c r="M76" s="17" t="s">
        <v>35</v>
      </c>
      <c r="N76" s="17" t="s">
        <v>35</v>
      </c>
      <c r="O76" s="17" t="s">
        <v>35</v>
      </c>
      <c r="P76" s="17" t="s">
        <v>35</v>
      </c>
      <c r="Q76" s="17">
        <f>$G76/HSP!$E$2</f>
        <v>0.32704623252675452</v>
      </c>
      <c r="R76" s="17">
        <f>$H76/HSP!$E$3</f>
        <v>0.24426929752208767</v>
      </c>
      <c r="S76" s="17">
        <f>$I76/HSP!$E$4</f>
        <v>0.23108393799841304</v>
      </c>
      <c r="T76" s="17">
        <f>$J76/HSP!$E$5</f>
        <v>0.65748111873489357</v>
      </c>
      <c r="U76" s="17">
        <f>$K76/HSP!$E$6</f>
        <v>0.10621226180658989</v>
      </c>
      <c r="V76" s="12"/>
      <c r="W76" s="12"/>
      <c r="X76" s="12"/>
      <c r="Y76" s="12"/>
      <c r="Z76" s="12"/>
    </row>
    <row r="77" spans="1:26" ht="15" customHeight="1" x14ac:dyDescent="0.3">
      <c r="A77" s="26" t="s">
        <v>214</v>
      </c>
      <c r="B77" s="17">
        <v>17.8</v>
      </c>
      <c r="C77" s="17">
        <v>4.7</v>
      </c>
      <c r="D77" s="17">
        <v>5.6</v>
      </c>
      <c r="E77" s="17" t="s">
        <v>35</v>
      </c>
      <c r="F77" s="22">
        <v>202.1</v>
      </c>
      <c r="G77" s="17">
        <f>SQRT((4*(HSP!$B$2-$B77)^2+(HSP!$C$2-$C77)^2+(HSP!$D$2-$D77)^2))</f>
        <v>8.7202064195751721</v>
      </c>
      <c r="H77" s="17">
        <f>SQRT((4*(HSP!$B$3-$B77)^2+(HSP!$C$3-$C77)^2+(HSP!$D$3-$D77)^2))</f>
        <v>6.5160110497143897</v>
      </c>
      <c r="I77" s="17">
        <f>SQRT((4*(HSP!$B$4-$B77)^2+(HSP!$C$4-$C77)^2+(HSP!$D$4-$D77)^2))</f>
        <v>5.3951830367467624</v>
      </c>
      <c r="J77" s="17">
        <f>SQRT((4*(HSP!$B$5-$B77)^2+(HSP!$C$5-$C77)^2+(HSP!$D$5-$D77)^2))</f>
        <v>10.87809266369799</v>
      </c>
      <c r="K77" s="17">
        <f>SQRT((4*(HSP!$B$6-$B77)^2+(HSP!$C$6-$C77)^2+(HSP!$D$6-$D77)^2))</f>
        <v>5.6266330962663647</v>
      </c>
      <c r="L77" s="17" t="s">
        <v>35</v>
      </c>
      <c r="M77" s="17" t="s">
        <v>35</v>
      </c>
      <c r="N77" s="17" t="s">
        <v>35</v>
      </c>
      <c r="O77" s="17" t="s">
        <v>35</v>
      </c>
      <c r="P77" s="17" t="s">
        <v>35</v>
      </c>
      <c r="Q77" s="17">
        <f>$G77/HSP!$E$2</f>
        <v>0.53498198893099214</v>
      </c>
      <c r="R77" s="17">
        <f>$H77/HSP!$E$3</f>
        <v>0.48266748516402885</v>
      </c>
      <c r="S77" s="17">
        <f>$I77/HSP!$E$4</f>
        <v>0.33931968784570832</v>
      </c>
      <c r="T77" s="17">
        <f>$J77/HSP!$E$5</f>
        <v>0.79402136231372189</v>
      </c>
      <c r="U77" s="17">
        <f>$K77/HSP!$E$6</f>
        <v>0.38017791190988948</v>
      </c>
      <c r="V77" s="12"/>
      <c r="W77" s="12"/>
      <c r="X77" s="12"/>
      <c r="Y77" s="12"/>
      <c r="Z77" s="12"/>
    </row>
    <row r="78" spans="1:26" ht="15" customHeight="1" x14ac:dyDescent="0.3">
      <c r="A78" s="26" t="s">
        <v>215</v>
      </c>
      <c r="B78" s="17">
        <v>17.2</v>
      </c>
      <c r="C78" s="17">
        <v>11.4</v>
      </c>
      <c r="D78" s="17">
        <v>5.0999999999999996</v>
      </c>
      <c r="E78" s="17" t="s">
        <v>35</v>
      </c>
      <c r="F78" s="22">
        <v>164.2</v>
      </c>
      <c r="G78" s="17">
        <f>SQRT((4*(HSP!$B$2-$B78)^2+(HSP!$C$2-$C78)^2+(HSP!$D$2-$D78)^2))</f>
        <v>5.6087431747228358</v>
      </c>
      <c r="H78" s="17">
        <f>SQRT((4*(HSP!$B$3-$B78)^2+(HSP!$C$3-$C78)^2+(HSP!$D$3-$D78)^2))</f>
        <v>3.5589886203807959</v>
      </c>
      <c r="I78" s="17">
        <f>SQRT((4*(HSP!$B$4-$B78)^2+(HSP!$C$4-$C78)^2+(HSP!$D$4-$D78)^2))</f>
        <v>8.0331811880474842</v>
      </c>
      <c r="J78" s="17">
        <f>SQRT((4*(HSP!$B$5-$B78)^2+(HSP!$C$5-$C78)^2+(HSP!$D$5-$D78)^2))</f>
        <v>7.1155393330372361</v>
      </c>
      <c r="K78" s="17">
        <f>SQRT((4*(HSP!$B$6-$B78)^2+(HSP!$C$6-$C78)^2+(HSP!$D$6-$D78)^2))</f>
        <v>6.4158397735604344</v>
      </c>
      <c r="L78" s="17" t="s">
        <v>35</v>
      </c>
      <c r="M78" s="17" t="s">
        <v>35</v>
      </c>
      <c r="N78" s="17" t="s">
        <v>35</v>
      </c>
      <c r="O78" s="17" t="s">
        <v>35</v>
      </c>
      <c r="P78" s="17" t="s">
        <v>35</v>
      </c>
      <c r="Q78" s="17">
        <f>$G78/HSP!$E$2</f>
        <v>0.34409467329587951</v>
      </c>
      <c r="R78" s="17">
        <f>$H78/HSP!$E$3</f>
        <v>0.26362878669487377</v>
      </c>
      <c r="S78" s="17">
        <f>$I78/HSP!$E$4</f>
        <v>0.50523152126084803</v>
      </c>
      <c r="T78" s="17">
        <f>$J78/HSP!$E$5</f>
        <v>0.51938243306841136</v>
      </c>
      <c r="U78" s="17">
        <f>$K78/HSP!$E$6</f>
        <v>0.43350268740273201</v>
      </c>
      <c r="V78" s="12"/>
      <c r="W78" s="12"/>
      <c r="X78" s="12"/>
      <c r="Y78" s="12"/>
      <c r="Z78" s="12"/>
    </row>
    <row r="79" spans="1:26" ht="15" customHeight="1" x14ac:dyDescent="0.3">
      <c r="A79" s="26" t="s">
        <v>216</v>
      </c>
      <c r="B79" s="17">
        <v>17.399999999999999</v>
      </c>
      <c r="C79" s="17">
        <v>10.199999999999999</v>
      </c>
      <c r="D79" s="17">
        <v>4.5</v>
      </c>
      <c r="E79" s="17" t="s">
        <v>35</v>
      </c>
      <c r="F79" s="22">
        <v>204.8</v>
      </c>
      <c r="G79" s="17">
        <f>SQRT((4*(HSP!$B$2-$B79)^2+(HSP!$C$2-$C79)^2+(HSP!$D$2-$D79)^2))</f>
        <v>6.1300897220187558</v>
      </c>
      <c r="H79" s="17">
        <f>SQRT((4*(HSP!$B$3-$B79)^2+(HSP!$C$3-$C79)^2+(HSP!$D$3-$D79)^2))</f>
        <v>3.7054554375946811</v>
      </c>
      <c r="I79" s="17">
        <f>SQRT((4*(HSP!$B$4-$B79)^2+(HSP!$C$4-$C79)^2+(HSP!$D$4-$D79)^2))</f>
        <v>7.4600268096032982</v>
      </c>
      <c r="J79" s="17">
        <f>SQRT((4*(HSP!$B$5-$B79)^2+(HSP!$C$5-$C79)^2+(HSP!$D$5-$D79)^2))</f>
        <v>8.1143638074712907</v>
      </c>
      <c r="K79" s="17">
        <f>SQRT((4*(HSP!$B$6-$B79)^2+(HSP!$C$6-$C79)^2+(HSP!$D$6-$D79)^2))</f>
        <v>5.7256440685742929</v>
      </c>
      <c r="L79" s="17" t="s">
        <v>35</v>
      </c>
      <c r="M79" s="17" t="s">
        <v>35</v>
      </c>
      <c r="N79" s="17" t="s">
        <v>35</v>
      </c>
      <c r="O79" s="17" t="s">
        <v>35</v>
      </c>
      <c r="P79" s="17" t="s">
        <v>35</v>
      </c>
      <c r="Q79" s="17">
        <f>$G79/HSP!$E$2</f>
        <v>0.37607912405023042</v>
      </c>
      <c r="R79" s="17">
        <f>$H79/HSP!$E$3</f>
        <v>0.27447818056256895</v>
      </c>
      <c r="S79" s="17">
        <f>$I79/HSP!$E$4</f>
        <v>0.46918407607567914</v>
      </c>
      <c r="T79" s="17">
        <f>$J79/HSP!$E$5</f>
        <v>0.59228932901250297</v>
      </c>
      <c r="U79" s="17">
        <f>$K79/HSP!$E$6</f>
        <v>0.38686784247123601</v>
      </c>
      <c r="V79" s="12"/>
      <c r="W79" s="12"/>
      <c r="X79" s="12"/>
      <c r="Y79" s="12"/>
      <c r="Z79" s="12"/>
    </row>
    <row r="80" spans="1:26" ht="15" customHeight="1" x14ac:dyDescent="0.3">
      <c r="A80" s="26" t="s">
        <v>217</v>
      </c>
      <c r="B80" s="17">
        <v>16.100000000000001</v>
      </c>
      <c r="C80" s="17">
        <v>7.7</v>
      </c>
      <c r="D80" s="17">
        <v>8.3000000000000007</v>
      </c>
      <c r="E80" s="17" t="s">
        <v>35</v>
      </c>
      <c r="F80" s="22">
        <v>152.5</v>
      </c>
      <c r="G80" s="17">
        <f>SQRT((4*(HSP!$B$2-$B80)^2+(HSP!$C$2-$C80)^2+(HSP!$D$2-$D80)^2))</f>
        <v>4.2848570571257127</v>
      </c>
      <c r="H80" s="17">
        <f>SQRT((4*(HSP!$B$3-$B80)^2+(HSP!$C$3-$C80)^2+(HSP!$D$3-$D80)^2))</f>
        <v>3.26563929422709</v>
      </c>
      <c r="I80" s="17">
        <f>SQRT((4*(HSP!$B$4-$B80)^2+(HSP!$C$4-$C80)^2+(HSP!$D$4-$D80)^2))</f>
        <v>3.8509739027939434</v>
      </c>
      <c r="J80" s="17">
        <f>SQRT((4*(HSP!$B$5-$B80)^2+(HSP!$C$5-$C80)^2+(HSP!$D$5-$D80)^2))</f>
        <v>5.9053281026544173</v>
      </c>
      <c r="K80" s="17">
        <f>SQRT((4*(HSP!$B$6-$B80)^2+(HSP!$C$6-$C80)^2+(HSP!$D$6-$D80)^2))</f>
        <v>4.9164011227726343</v>
      </c>
      <c r="L80" s="17" t="s">
        <v>35</v>
      </c>
      <c r="M80" s="17" t="s">
        <v>35</v>
      </c>
      <c r="N80" s="17" t="s">
        <v>35</v>
      </c>
      <c r="O80" s="17" t="s">
        <v>35</v>
      </c>
      <c r="P80" s="17" t="s">
        <v>35</v>
      </c>
      <c r="Q80" s="17">
        <f>$G80/HSP!$E$2</f>
        <v>0.26287466608133203</v>
      </c>
      <c r="R80" s="17">
        <f>$H80/HSP!$E$3</f>
        <v>0.24189920697978445</v>
      </c>
      <c r="S80" s="17">
        <f>$I80/HSP!$E$4</f>
        <v>0.24219961652792096</v>
      </c>
      <c r="T80" s="17">
        <f>$J80/HSP!$E$5</f>
        <v>0.4310458469090816</v>
      </c>
      <c r="U80" s="17">
        <f>$K80/HSP!$E$6</f>
        <v>0.33218926505220503</v>
      </c>
      <c r="V80" s="12"/>
      <c r="W80" s="12"/>
      <c r="X80" s="12"/>
      <c r="Y80" s="12"/>
      <c r="Z80" s="12"/>
    </row>
    <row r="81" spans="1:26" ht="15" customHeight="1" x14ac:dyDescent="0.3">
      <c r="A81" s="26" t="s">
        <v>218</v>
      </c>
      <c r="B81" s="17">
        <v>16</v>
      </c>
      <c r="C81" s="17">
        <v>2.7</v>
      </c>
      <c r="D81" s="17">
        <v>5.6</v>
      </c>
      <c r="E81" s="17" t="s">
        <v>35</v>
      </c>
      <c r="F81" s="22">
        <v>215.5</v>
      </c>
      <c r="G81" s="17">
        <f>SQRT((4*(HSP!$B$2-$B81)^2+(HSP!$C$2-$C81)^2+(HSP!$D$2-$D81)^2))</f>
        <v>8.3643290227011047</v>
      </c>
      <c r="H81" s="17">
        <f>SQRT((4*(HSP!$B$3-$B81)^2+(HSP!$C$3-$C81)^2+(HSP!$D$3-$D81)^2))</f>
        <v>6.991022815010691</v>
      </c>
      <c r="I81" s="17">
        <f>SQRT((4*(HSP!$B$4-$B81)^2+(HSP!$C$4-$C81)^2+(HSP!$D$4-$D81)^2))</f>
        <v>2.8488594208911047</v>
      </c>
      <c r="J81" s="17">
        <f>SQRT((4*(HSP!$B$5-$B81)^2+(HSP!$C$5-$C81)^2+(HSP!$D$5-$D81)^2))</f>
        <v>11.442941055515405</v>
      </c>
      <c r="K81" s="17">
        <f>SQRT((4*(HSP!$B$6-$B81)^2+(HSP!$C$6-$C81)^2+(HSP!$D$6-$D81)^2))</f>
        <v>4.3711554536529587</v>
      </c>
      <c r="L81" s="17" t="s">
        <v>35</v>
      </c>
      <c r="M81" s="17" t="s">
        <v>35</v>
      </c>
      <c r="N81" s="17" t="s">
        <v>35</v>
      </c>
      <c r="O81" s="17" t="s">
        <v>35</v>
      </c>
      <c r="P81" s="17" t="s">
        <v>35</v>
      </c>
      <c r="Q81" s="17">
        <f>$G81/HSP!$E$2</f>
        <v>0.51314901979761374</v>
      </c>
      <c r="R81" s="17">
        <f>$H81/HSP!$E$3</f>
        <v>0.51785354185264376</v>
      </c>
      <c r="S81" s="17">
        <f>$I81/HSP!$E$4</f>
        <v>0.17917354848371728</v>
      </c>
      <c r="T81" s="17">
        <f>$J81/HSP!$E$5</f>
        <v>0.83525117193543108</v>
      </c>
      <c r="U81" s="17">
        <f>$K81/HSP!$E$6</f>
        <v>0.29534834146303773</v>
      </c>
      <c r="V81" s="12"/>
      <c r="W81" s="12"/>
      <c r="X81" s="12"/>
      <c r="Y81" s="12"/>
      <c r="Z81" s="12"/>
    </row>
    <row r="82" spans="1:26" ht="15" customHeight="1" x14ac:dyDescent="0.3">
      <c r="A82" s="26" t="s">
        <v>219</v>
      </c>
      <c r="B82" s="17">
        <v>16</v>
      </c>
      <c r="C82" s="17">
        <v>4.2</v>
      </c>
      <c r="D82" s="17">
        <v>10.7</v>
      </c>
      <c r="E82" s="17" t="s">
        <v>35</v>
      </c>
      <c r="F82" s="22">
        <v>181.7</v>
      </c>
      <c r="G82" s="17">
        <f>SQRT((4*(HSP!$B$2-$B82)^2+(HSP!$C$2-$C82)^2+(HSP!$D$2-$D82)^2))</f>
        <v>7.8016664886420264</v>
      </c>
      <c r="H82" s="17">
        <f>SQRT((4*(HSP!$B$3-$B82)^2+(HSP!$C$3-$C82)^2+(HSP!$D$3-$D82)^2))</f>
        <v>7.3491768246518596</v>
      </c>
      <c r="I82" s="17">
        <f>SQRT((4*(HSP!$B$4-$B82)^2+(HSP!$C$4-$C82)^2+(HSP!$D$4-$D82)^2))</f>
        <v>4.2656769685478988</v>
      </c>
      <c r="J82" s="17">
        <f>SQRT((4*(HSP!$B$5-$B82)^2+(HSP!$C$5-$C82)^2+(HSP!$D$5-$D82)^2))</f>
        <v>8.647248117175776</v>
      </c>
      <c r="K82" s="17">
        <f>SQRT((4*(HSP!$B$6-$B82)^2+(HSP!$C$6-$C82)^2+(HSP!$D$6-$D82)^2))</f>
        <v>7.3503061160743499</v>
      </c>
      <c r="L82" s="17" t="s">
        <v>35</v>
      </c>
      <c r="M82" s="17" t="s">
        <v>35</v>
      </c>
      <c r="N82" s="17" t="s">
        <v>35</v>
      </c>
      <c r="O82" s="17" t="s">
        <v>35</v>
      </c>
      <c r="P82" s="17" t="s">
        <v>35</v>
      </c>
      <c r="Q82" s="17">
        <f>$G82/HSP!$E$2</f>
        <v>0.47862984592895863</v>
      </c>
      <c r="R82" s="17">
        <f>$H82/HSP!$E$3</f>
        <v>0.54438346849273034</v>
      </c>
      <c r="S82" s="17">
        <f>$I82/HSP!$E$4</f>
        <v>0.26828157034892447</v>
      </c>
      <c r="T82" s="17">
        <f>$J82/HSP!$E$5</f>
        <v>0.6311859939544362</v>
      </c>
      <c r="U82" s="17">
        <f>$K82/HSP!$E$6</f>
        <v>0.49664230514015878</v>
      </c>
      <c r="V82" s="12"/>
      <c r="W82" s="12"/>
      <c r="X82" s="12"/>
      <c r="Y82" s="12"/>
      <c r="Z82" s="12"/>
    </row>
    <row r="83" spans="1:26" ht="15" customHeight="1" x14ac:dyDescent="0.3">
      <c r="A83" s="26" t="s">
        <v>220</v>
      </c>
      <c r="B83" s="17">
        <v>16</v>
      </c>
      <c r="C83" s="17">
        <v>4.7</v>
      </c>
      <c r="D83" s="17">
        <v>10.3</v>
      </c>
      <c r="E83" s="17" t="s">
        <v>35</v>
      </c>
      <c r="F83" s="22">
        <v>199.5</v>
      </c>
      <c r="G83" s="17">
        <f>SQRT((4*(HSP!$B$2-$B83)^2+(HSP!$C$2-$C83)^2+(HSP!$D$2-$D83)^2))</f>
        <v>7.2138755187485737</v>
      </c>
      <c r="H83" s="17">
        <f>SQRT((4*(HSP!$B$3-$B83)^2+(HSP!$C$3-$C83)^2+(HSP!$D$3-$D83)^2))</f>
        <v>6.7124064239287549</v>
      </c>
      <c r="I83" s="17">
        <f>SQRT((4*(HSP!$B$4-$B83)^2+(HSP!$C$4-$C83)^2+(HSP!$D$4-$D83)^2))</f>
        <v>3.8737578654324802</v>
      </c>
      <c r="J83" s="17">
        <f>SQRT((4*(HSP!$B$5-$B83)^2+(HSP!$C$5-$C83)^2+(HSP!$D$5-$D83)^2))</f>
        <v>8.1761176606015162</v>
      </c>
      <c r="K83" s="17">
        <f>SQRT((4*(HSP!$B$6-$B83)^2+(HSP!$C$6-$C83)^2+(HSP!$D$6-$D83)^2))</f>
        <v>6.8357150320943028</v>
      </c>
      <c r="L83" s="17" t="s">
        <v>35</v>
      </c>
      <c r="M83" s="17" t="s">
        <v>35</v>
      </c>
      <c r="N83" s="17" t="s">
        <v>35</v>
      </c>
      <c r="O83" s="17" t="s">
        <v>35</v>
      </c>
      <c r="P83" s="17" t="s">
        <v>35</v>
      </c>
      <c r="Q83" s="17">
        <f>$G83/HSP!$E$2</f>
        <v>0.44256905022997384</v>
      </c>
      <c r="R83" s="17">
        <f>$H83/HSP!$E$3</f>
        <v>0.49721529066138925</v>
      </c>
      <c r="S83" s="17">
        <f>$I83/HSP!$E$4</f>
        <v>0.24363257015298617</v>
      </c>
      <c r="T83" s="17">
        <f>$J83/HSP!$E$5</f>
        <v>0.59679690953295739</v>
      </c>
      <c r="U83" s="17">
        <f>$K83/HSP!$E$6</f>
        <v>0.46187263730366906</v>
      </c>
      <c r="V83" s="12"/>
      <c r="W83" s="12"/>
      <c r="X83" s="12"/>
      <c r="Y83" s="12"/>
      <c r="Z83" s="12"/>
    </row>
    <row r="84" spans="1:26" ht="15" customHeight="1" x14ac:dyDescent="0.3">
      <c r="A84" s="26" t="s">
        <v>221</v>
      </c>
      <c r="B84" s="17">
        <v>16.100000000000001</v>
      </c>
      <c r="C84" s="17">
        <v>2.9</v>
      </c>
      <c r="D84" s="17">
        <v>6.1</v>
      </c>
      <c r="E84" s="17" t="s">
        <v>35</v>
      </c>
      <c r="F84" s="22">
        <v>221.6</v>
      </c>
      <c r="G84" s="17">
        <f>SQRT((4*(HSP!$B$2-$B84)^2+(HSP!$C$2-$C84)^2+(HSP!$D$2-$D84)^2))</f>
        <v>8.1809534896612153</v>
      </c>
      <c r="H84" s="17">
        <f>SQRT((4*(HSP!$B$3-$B84)^2+(HSP!$C$3-$C84)^2+(HSP!$D$3-$D84)^2))</f>
        <v>6.8153063027277065</v>
      </c>
      <c r="I84" s="17">
        <f>SQRT((4*(HSP!$B$4-$B84)^2+(HSP!$C$4-$C84)^2+(HSP!$D$4-$D84)^2))</f>
        <v>2.6679580206592477</v>
      </c>
      <c r="J84" s="17">
        <f>SQRT((4*(HSP!$B$5-$B84)^2+(HSP!$C$5-$C84)^2+(HSP!$D$5-$D84)^2))</f>
        <v>11.068735248437376</v>
      </c>
      <c r="K84" s="17">
        <f>SQRT((4*(HSP!$B$6-$B84)^2+(HSP!$C$6-$C84)^2+(HSP!$D$6-$D84)^2))</f>
        <v>4.5032210694124277</v>
      </c>
      <c r="L84" s="17" t="s">
        <v>35</v>
      </c>
      <c r="M84" s="17" t="s">
        <v>35</v>
      </c>
      <c r="N84" s="17" t="s">
        <v>35</v>
      </c>
      <c r="O84" s="17" t="s">
        <v>35</v>
      </c>
      <c r="P84" s="17" t="s">
        <v>35</v>
      </c>
      <c r="Q84" s="17">
        <f>$G84/HSP!$E$2</f>
        <v>0.50189898709578007</v>
      </c>
      <c r="R84" s="17">
        <f>$H84/HSP!$E$3</f>
        <v>0.50483750390575599</v>
      </c>
      <c r="S84" s="17">
        <f>$I84/HSP!$E$4</f>
        <v>0.16779610192825456</v>
      </c>
      <c r="T84" s="17">
        <f>$J84/HSP!$E$5</f>
        <v>0.80793687944798365</v>
      </c>
      <c r="U84" s="17">
        <f>$K84/HSP!$E$6</f>
        <v>0.3042716938792181</v>
      </c>
      <c r="V84" s="12"/>
      <c r="W84" s="12"/>
      <c r="X84" s="12"/>
      <c r="Y84" s="12"/>
      <c r="Z84" s="12"/>
    </row>
    <row r="85" spans="1:26" ht="15" customHeight="1" x14ac:dyDescent="0.3">
      <c r="A85" s="26" t="s">
        <v>222</v>
      </c>
      <c r="B85" s="17">
        <v>18.7</v>
      </c>
      <c r="C85" s="17">
        <v>4.9000000000000004</v>
      </c>
      <c r="D85" s="17">
        <v>11.4</v>
      </c>
      <c r="E85" s="17" t="s">
        <v>35</v>
      </c>
      <c r="F85" s="22">
        <v>150.19999999999999</v>
      </c>
      <c r="G85" s="17">
        <f>SQRT((4*(HSP!$B$2-$B85)^2+(HSP!$C$2-$C85)^2+(HSP!$D$2-$D85)^2))</f>
        <v>10.848502200764859</v>
      </c>
      <c r="H85" s="17">
        <f>SQRT((4*(HSP!$B$3-$B85)^2+(HSP!$C$3-$C85)^2+(HSP!$D$3-$D85)^2))</f>
        <v>9.4886458464841024</v>
      </c>
      <c r="I85" s="17">
        <f>SQRT((4*(HSP!$B$4-$B85)^2+(HSP!$C$4-$C85)^2+(HSP!$D$4-$D85)^2))</f>
        <v>8.4292348407195288</v>
      </c>
      <c r="J85" s="17">
        <f>SQRT((4*(HSP!$B$5-$B85)^2+(HSP!$C$5-$C85)^2+(HSP!$D$5-$D85)^2))</f>
        <v>10.413111926796907</v>
      </c>
      <c r="K85" s="17">
        <f>SQRT((4*(HSP!$B$6-$B85)^2+(HSP!$C$6-$C85)^2+(HSP!$D$6-$D85)^2))</f>
        <v>10.315182984319764</v>
      </c>
      <c r="L85" s="17" t="s">
        <v>35</v>
      </c>
      <c r="M85" s="17" t="s">
        <v>35</v>
      </c>
      <c r="N85" s="17" t="s">
        <v>35</v>
      </c>
      <c r="O85" s="17" t="s">
        <v>35</v>
      </c>
      <c r="P85" s="17" t="s">
        <v>35</v>
      </c>
      <c r="Q85" s="17">
        <f>$G85/HSP!$E$2</f>
        <v>0.66555228225551277</v>
      </c>
      <c r="R85" s="17">
        <f>$H85/HSP!$E$3</f>
        <v>0.70286265529511871</v>
      </c>
      <c r="S85" s="17">
        <f>$I85/HSP!$E$4</f>
        <v>0.53014055602009613</v>
      </c>
      <c r="T85" s="17">
        <f>$J85/HSP!$E$5</f>
        <v>0.7600811625399202</v>
      </c>
      <c r="U85" s="17">
        <f>$K85/HSP!$E$6</f>
        <v>0.69697182326484886</v>
      </c>
      <c r="V85" s="12"/>
      <c r="W85" s="12"/>
      <c r="X85" s="12"/>
      <c r="Y85" s="12"/>
      <c r="Z85" s="12"/>
    </row>
    <row r="86" spans="1:26" ht="15" customHeight="1" x14ac:dyDescent="0.3">
      <c r="A86" s="26" t="s">
        <v>223</v>
      </c>
      <c r="B86" s="17">
        <v>18.3</v>
      </c>
      <c r="C86" s="17">
        <v>5.4</v>
      </c>
      <c r="D86" s="17">
        <v>3.4</v>
      </c>
      <c r="E86" s="17" t="s">
        <v>35</v>
      </c>
      <c r="F86" s="22">
        <v>194.2</v>
      </c>
      <c r="G86" s="17">
        <f>SQRT((4*(HSP!$B$2-$B86)^2+(HSP!$C$2-$C86)^2+(HSP!$D$2-$D86)^2))</f>
        <v>9.6529788148529594</v>
      </c>
      <c r="H86" s="17">
        <f>SQRT((4*(HSP!$B$3-$B86)^2+(HSP!$C$3-$C86)^2+(HSP!$D$3-$D86)^2))</f>
        <v>7.1590781529467904</v>
      </c>
      <c r="I86" s="17">
        <f>SQRT((4*(HSP!$B$4-$B86)^2+(HSP!$C$4-$C86)^2+(HSP!$D$4-$D86)^2))</f>
        <v>7.1600279329064085</v>
      </c>
      <c r="J86" s="17">
        <f>SQRT((4*(HSP!$B$5-$B86)^2+(HSP!$C$5-$C86)^2+(HSP!$D$5-$D86)^2))</f>
        <v>12.1246402008472</v>
      </c>
      <c r="K86" s="17">
        <f>SQRT((4*(HSP!$B$6-$B86)^2+(HSP!$C$6-$C86)^2+(HSP!$D$6-$D86)^2))</f>
        <v>6.1633594735338963</v>
      </c>
      <c r="L86" s="17" t="s">
        <v>35</v>
      </c>
      <c r="M86" s="17" t="s">
        <v>35</v>
      </c>
      <c r="N86" s="17" t="s">
        <v>35</v>
      </c>
      <c r="O86" s="17" t="s">
        <v>35</v>
      </c>
      <c r="P86" s="17" t="s">
        <v>35</v>
      </c>
      <c r="Q86" s="17">
        <f>$G86/HSP!$E$2</f>
        <v>0.59220728925478272</v>
      </c>
      <c r="R86" s="17">
        <f>$H86/HSP!$E$3</f>
        <v>0.53030208540346591</v>
      </c>
      <c r="S86" s="17">
        <f>$I86/HSP!$E$4</f>
        <v>0.4503162221953716</v>
      </c>
      <c r="T86" s="17">
        <f>$J86/HSP!$E$5</f>
        <v>0.88501023363848175</v>
      </c>
      <c r="U86" s="17">
        <f>$K86/HSP!$E$6</f>
        <v>0.41644320767120918</v>
      </c>
      <c r="V86" s="12"/>
      <c r="W86" s="12"/>
      <c r="X86" s="12"/>
      <c r="Y86" s="12"/>
      <c r="Z86" s="12"/>
    </row>
    <row r="87" spans="1:26" ht="15" customHeight="1" x14ac:dyDescent="0.3">
      <c r="A87" s="26" t="s">
        <v>224</v>
      </c>
      <c r="B87" s="17">
        <v>15.8</v>
      </c>
      <c r="C87" s="17">
        <v>3.9</v>
      </c>
      <c r="D87" s="17">
        <v>10</v>
      </c>
      <c r="E87" s="17" t="s">
        <v>35</v>
      </c>
      <c r="F87" s="22">
        <v>191.2</v>
      </c>
      <c r="G87" s="17">
        <f>SQRT((4*(HSP!$B$2-$B87)^2+(HSP!$C$2-$C87)^2+(HSP!$D$2-$D87)^2))</f>
        <v>7.6101248347185484</v>
      </c>
      <c r="H87" s="17">
        <f>SQRT((4*(HSP!$B$3-$B87)^2+(HSP!$C$3-$C87)^2+(HSP!$D$3-$D87)^2))</f>
        <v>7.1202808933355985</v>
      </c>
      <c r="I87" s="17">
        <f>SQRT((4*(HSP!$B$4-$B87)^2+(HSP!$C$4-$C87)^2+(HSP!$D$4-$D87)^2))</f>
        <v>3.5264713241425918</v>
      </c>
      <c r="J87" s="17">
        <f>SQRT((4*(HSP!$B$5-$B87)^2+(HSP!$C$5-$C87)^2+(HSP!$D$5-$D87)^2))</f>
        <v>8.9320154500538127</v>
      </c>
      <c r="K87" s="17">
        <f>SQRT((4*(HSP!$B$6-$B87)^2+(HSP!$C$6-$C87)^2+(HSP!$D$6-$D87)^2))</f>
        <v>6.734018116993747</v>
      </c>
      <c r="L87" s="17" t="s">
        <v>35</v>
      </c>
      <c r="M87" s="17" t="s">
        <v>35</v>
      </c>
      <c r="N87" s="17" t="s">
        <v>35</v>
      </c>
      <c r="O87" s="17" t="s">
        <v>35</v>
      </c>
      <c r="P87" s="17" t="s">
        <v>35</v>
      </c>
      <c r="Q87" s="17">
        <f>$G87/HSP!$E$2</f>
        <v>0.46687882421586185</v>
      </c>
      <c r="R87" s="17">
        <f>$H87/HSP!$E$3</f>
        <v>0.5274282143211555</v>
      </c>
      <c r="S87" s="17">
        <f>$I87/HSP!$E$4</f>
        <v>0.22179064931714412</v>
      </c>
      <c r="T87" s="17">
        <f>$J87/HSP!$E$5</f>
        <v>0.65197193066086223</v>
      </c>
      <c r="U87" s="17">
        <f>$K87/HSP!$E$6</f>
        <v>0.45500122412119909</v>
      </c>
      <c r="V87" s="12"/>
      <c r="W87" s="12"/>
      <c r="X87" s="12"/>
      <c r="Y87" s="12"/>
      <c r="Z87" s="12"/>
    </row>
    <row r="88" spans="1:26" ht="15" customHeight="1" x14ac:dyDescent="0.3">
      <c r="A88" s="26" t="s">
        <v>225</v>
      </c>
      <c r="B88" s="17">
        <v>19.5</v>
      </c>
      <c r="C88" s="17">
        <v>1</v>
      </c>
      <c r="D88" s="17">
        <v>1</v>
      </c>
      <c r="E88" s="17" t="s">
        <v>35</v>
      </c>
      <c r="F88" s="22">
        <v>168.2</v>
      </c>
      <c r="G88" s="17">
        <f>SQRT((4*(HSP!$B$2-$B88)^2+(HSP!$C$2-$C88)^2+(HSP!$D$2-$D88)^2))</f>
        <v>14.875886528203958</v>
      </c>
      <c r="H88" s="17">
        <f>SQRT((4*(HSP!$B$3-$B88)^2+(HSP!$C$3-$C88)^2+(HSP!$D$3-$D88)^2))</f>
        <v>12.501695884958968</v>
      </c>
      <c r="I88" s="17">
        <f>SQRT((4*(HSP!$B$4-$B88)^2+(HSP!$C$4-$C88)^2+(HSP!$D$4-$D88)^2))</f>
        <v>11.053415761654856</v>
      </c>
      <c r="J88" s="17">
        <f>SQRT((4*(HSP!$B$5-$B88)^2+(HSP!$C$5-$C88)^2+(HSP!$D$5-$D88)^2))</f>
        <v>17.53667300259659</v>
      </c>
      <c r="K88" s="17">
        <f>SQRT((4*(HSP!$B$6-$B88)^2+(HSP!$C$6-$C88)^2+(HSP!$D$6-$D88)^2))</f>
        <v>10.448875537587766</v>
      </c>
      <c r="L88" s="17" t="s">
        <v>35</v>
      </c>
      <c r="M88" s="17" t="s">
        <v>35</v>
      </c>
      <c r="N88" s="17" t="s">
        <v>35</v>
      </c>
      <c r="O88" s="17" t="s">
        <v>35</v>
      </c>
      <c r="P88" s="17" t="s">
        <v>35</v>
      </c>
      <c r="Q88" s="17">
        <f>$G88/HSP!$E$2</f>
        <v>0.91263107534993604</v>
      </c>
      <c r="R88" s="17">
        <f>$H88/HSP!$E$3</f>
        <v>0.92605154703399761</v>
      </c>
      <c r="S88" s="17">
        <f>$I88/HSP!$E$4</f>
        <v>0.69518338123615442</v>
      </c>
      <c r="T88" s="17">
        <f>$J88/HSP!$E$5</f>
        <v>1.2800491242771235</v>
      </c>
      <c r="U88" s="17">
        <f>$K88/HSP!$E$6</f>
        <v>0.70600510389106519</v>
      </c>
      <c r="V88" s="12"/>
      <c r="W88" s="12"/>
      <c r="X88" s="12"/>
      <c r="Y88" s="12"/>
      <c r="Z88" s="12"/>
    </row>
    <row r="89" spans="1:26" ht="15" customHeight="1" x14ac:dyDescent="0.3">
      <c r="A89" s="26" t="s">
        <v>226</v>
      </c>
      <c r="B89" s="17">
        <v>17.2</v>
      </c>
      <c r="C89" s="17">
        <v>1.8</v>
      </c>
      <c r="D89" s="17">
        <v>4.3</v>
      </c>
      <c r="E89" s="17" t="s">
        <v>35</v>
      </c>
      <c r="F89" s="22">
        <v>162.9</v>
      </c>
      <c r="G89" s="17">
        <f>SQRT((4*(HSP!$B$2-$B89)^2+(HSP!$C$2-$C89)^2+(HSP!$D$2-$D89)^2))</f>
        <v>10.450741600479843</v>
      </c>
      <c r="H89" s="17">
        <f>SQRT((4*(HSP!$B$3-$B89)^2+(HSP!$C$3-$C89)^2+(HSP!$D$3-$D89)^2))</f>
        <v>8.5563076148535018</v>
      </c>
      <c r="I89" s="17">
        <f>SQRT((4*(HSP!$B$4-$B89)^2+(HSP!$C$4-$C89)^2+(HSP!$D$4-$D89)^2))</f>
        <v>5.5702782695301662</v>
      </c>
      <c r="J89" s="17">
        <f>SQRT((4*(HSP!$B$5-$B89)^2+(HSP!$C$5-$C89)^2+(HSP!$D$5-$D89)^2))</f>
        <v>13.345519847499384</v>
      </c>
      <c r="K89" s="17">
        <f>SQRT((4*(HSP!$B$6-$B89)^2+(HSP!$C$6-$C89)^2+(HSP!$D$6-$D89)^2))</f>
        <v>6.0447497880392032</v>
      </c>
      <c r="L89" s="17" t="s">
        <v>35</v>
      </c>
      <c r="M89" s="17" t="s">
        <v>35</v>
      </c>
      <c r="N89" s="17" t="s">
        <v>35</v>
      </c>
      <c r="O89" s="17" t="s">
        <v>35</v>
      </c>
      <c r="P89" s="17" t="s">
        <v>35</v>
      </c>
      <c r="Q89" s="17">
        <f>$G89/HSP!$E$2</f>
        <v>0.64114979144048112</v>
      </c>
      <c r="R89" s="17">
        <f>$H89/HSP!$E$3</f>
        <v>0.63380056406322238</v>
      </c>
      <c r="S89" s="17">
        <f>$I89/HSP!$E$4</f>
        <v>0.35033196663711735</v>
      </c>
      <c r="T89" s="17">
        <f>$J89/HSP!$E$5</f>
        <v>0.9741255363138237</v>
      </c>
      <c r="U89" s="17">
        <f>$K89/HSP!$E$6</f>
        <v>0.4084290397323786</v>
      </c>
      <c r="V89" s="12"/>
      <c r="W89" s="12"/>
      <c r="X89" s="12"/>
      <c r="Y89" s="12"/>
      <c r="Z89" s="12"/>
    </row>
    <row r="90" spans="1:26" ht="15" customHeight="1" x14ac:dyDescent="0.3">
      <c r="A90" s="26" t="s">
        <v>227</v>
      </c>
      <c r="B90" s="17">
        <v>15.5</v>
      </c>
      <c r="C90" s="17">
        <v>5.7</v>
      </c>
      <c r="D90" s="17">
        <v>11.2</v>
      </c>
      <c r="E90" s="17" t="s">
        <v>35</v>
      </c>
      <c r="F90" s="22">
        <v>157.4</v>
      </c>
      <c r="G90" s="17">
        <f>SQRT((4*(HSP!$B$2-$B90)^2+(HSP!$C$2-$C90)^2+(HSP!$D$2-$D90)^2))</f>
        <v>6.611051353604811</v>
      </c>
      <c r="H90" s="17">
        <f>SQRT((4*(HSP!$B$3-$B90)^2+(HSP!$C$3-$C90)^2+(HSP!$D$3-$D90)^2))</f>
        <v>6.6910686739862406</v>
      </c>
      <c r="I90" s="17">
        <f>SQRT((4*(HSP!$B$4-$B90)^2+(HSP!$C$4-$C90)^2+(HSP!$D$4-$D90)^2))</f>
        <v>4.5646467552265202</v>
      </c>
      <c r="J90" s="17">
        <f>SQRT((4*(HSP!$B$5-$B90)^2+(HSP!$C$5-$C90)^2+(HSP!$D$5-$D90)^2))</f>
        <v>7.0402343710987356</v>
      </c>
      <c r="K90" s="17">
        <f>SQRT((4*(HSP!$B$6-$B90)^2+(HSP!$C$6-$C90)^2+(HSP!$D$6-$D90)^2))</f>
        <v>7.4004729578588417</v>
      </c>
      <c r="L90" s="17" t="s">
        <v>35</v>
      </c>
      <c r="M90" s="17" t="s">
        <v>35</v>
      </c>
      <c r="N90" s="17" t="s">
        <v>35</v>
      </c>
      <c r="O90" s="17" t="s">
        <v>35</v>
      </c>
      <c r="P90" s="17" t="s">
        <v>35</v>
      </c>
      <c r="Q90" s="17">
        <f>$G90/HSP!$E$2</f>
        <v>0.40558597261379209</v>
      </c>
      <c r="R90" s="17">
        <f>$H90/HSP!$E$3</f>
        <v>0.49563471659157338</v>
      </c>
      <c r="S90" s="17">
        <f>$I90/HSP!$E$4</f>
        <v>0.28708470158657357</v>
      </c>
      <c r="T90" s="17">
        <f>$J90/HSP!$E$5</f>
        <v>0.51388572051815595</v>
      </c>
      <c r="U90" s="17">
        <f>$K90/HSP!$E$6</f>
        <v>0.50003195661208388</v>
      </c>
      <c r="V90" s="12"/>
      <c r="W90" s="12"/>
      <c r="X90" s="12"/>
      <c r="Y90" s="12"/>
      <c r="Z90" s="12"/>
    </row>
    <row r="91" spans="1:26" ht="15" customHeight="1" x14ac:dyDescent="0.3">
      <c r="A91" s="26" t="s">
        <v>228</v>
      </c>
      <c r="B91" s="17">
        <v>15.8</v>
      </c>
      <c r="C91" s="17">
        <v>5.3</v>
      </c>
      <c r="D91" s="17">
        <v>7.2</v>
      </c>
      <c r="E91" s="17" t="s">
        <v>35</v>
      </c>
      <c r="F91" s="22">
        <v>98.5</v>
      </c>
      <c r="G91" s="17">
        <f>SQRT((4*(HSP!$B$2-$B91)^2+(HSP!$C$2-$C91)^2+(HSP!$D$2-$D91)^2))</f>
        <v>5.6950856007614163</v>
      </c>
      <c r="H91" s="17">
        <f>SQRT((4*(HSP!$B$3-$B91)^2+(HSP!$C$3-$C91)^2+(HSP!$D$3-$D91)^2))</f>
        <v>4.5784713606180834</v>
      </c>
      <c r="I91" s="17">
        <f>SQRT((4*(HSP!$B$4-$B91)^2+(HSP!$C$4-$C91)^2+(HSP!$D$4-$D91)^2))</f>
        <v>1.4601369798755197</v>
      </c>
      <c r="J91" s="17">
        <f>SQRT((4*(HSP!$B$5-$B91)^2+(HSP!$C$5-$C91)^2+(HSP!$D$5-$D91)^2))</f>
        <v>8.3721502614322461</v>
      </c>
      <c r="K91" s="17">
        <f>SQRT((4*(HSP!$B$6-$B91)^2+(HSP!$C$6-$C91)^2+(HSP!$D$6-$D91)^2))</f>
        <v>3.6909348409312246</v>
      </c>
      <c r="L91" s="17" t="s">
        <v>35</v>
      </c>
      <c r="M91" s="17" t="s">
        <v>35</v>
      </c>
      <c r="N91" s="17" t="s">
        <v>35</v>
      </c>
      <c r="O91" s="17" t="s">
        <v>35</v>
      </c>
      <c r="P91" s="17" t="s">
        <v>35</v>
      </c>
      <c r="Q91" s="17">
        <f>$G91/HSP!$E$2</f>
        <v>0.34939175464793965</v>
      </c>
      <c r="R91" s="17">
        <f>$H91/HSP!$E$3</f>
        <v>0.33914602671245064</v>
      </c>
      <c r="S91" s="17">
        <f>$I91/HSP!$E$4</f>
        <v>9.1832514457579853E-2</v>
      </c>
      <c r="T91" s="17">
        <f>$J91/HSP!$E$5</f>
        <v>0.61110585849870414</v>
      </c>
      <c r="U91" s="17">
        <f>$K91/HSP!$E$6</f>
        <v>0.24938748925210977</v>
      </c>
      <c r="V91" s="12"/>
      <c r="W91" s="12"/>
      <c r="X91" s="12"/>
      <c r="Y91" s="12"/>
      <c r="Z91" s="12"/>
    </row>
    <row r="92" spans="1:26" ht="15" customHeight="1" x14ac:dyDescent="0.3">
      <c r="A92" s="26" t="s">
        <v>229</v>
      </c>
      <c r="B92" s="17">
        <v>16.5</v>
      </c>
      <c r="C92" s="17">
        <v>10.8</v>
      </c>
      <c r="D92" s="17">
        <v>8.3000000000000007</v>
      </c>
      <c r="E92" s="17" t="s">
        <v>35</v>
      </c>
      <c r="F92" s="22">
        <v>125.6</v>
      </c>
      <c r="G92" s="17">
        <f>SQRT((4*(HSP!$B$2-$B92)^2+(HSP!$C$2-$C92)^2+(HSP!$D$2-$D92)^2))</f>
        <v>4.037078151336682</v>
      </c>
      <c r="H92" s="17">
        <f>SQRT((4*(HSP!$B$3-$B92)^2+(HSP!$C$3-$C92)^2+(HSP!$D$3-$D92)^2))</f>
        <v>3.1740195336512986</v>
      </c>
      <c r="I92" s="17">
        <f>SQRT((4*(HSP!$B$4-$B92)^2+(HSP!$C$4-$C92)^2+(HSP!$D$4-$D92)^2))</f>
        <v>6.839590631024639</v>
      </c>
      <c r="J92" s="17">
        <f>SQRT((4*(HSP!$B$5-$B92)^2+(HSP!$C$5-$C92)^2+(HSP!$D$5-$D92)^2))</f>
        <v>4.0810415337264088</v>
      </c>
      <c r="K92" s="17">
        <f>SQRT((4*(HSP!$B$6-$B92)^2+(HSP!$C$6-$C92)^2+(HSP!$D$6-$D92)^2))</f>
        <v>6.7045506933723766</v>
      </c>
      <c r="L92" s="17" t="s">
        <v>35</v>
      </c>
      <c r="M92" s="17" t="s">
        <v>35</v>
      </c>
      <c r="N92" s="17" t="s">
        <v>35</v>
      </c>
      <c r="O92" s="17" t="s">
        <v>35</v>
      </c>
      <c r="P92" s="17" t="s">
        <v>35</v>
      </c>
      <c r="Q92" s="17">
        <f>$G92/HSP!$E$2</f>
        <v>0.24767350621697434</v>
      </c>
      <c r="R92" s="17">
        <f>$H92/HSP!$E$3</f>
        <v>0.23511255804824435</v>
      </c>
      <c r="S92" s="17">
        <f>$I92/HSP!$E$4</f>
        <v>0.43016293276884521</v>
      </c>
      <c r="T92" s="17">
        <f>$J92/HSP!$E$5</f>
        <v>0.29788624333769409</v>
      </c>
      <c r="U92" s="17">
        <f>$K92/HSP!$E$6</f>
        <v>0.45301018198462001</v>
      </c>
      <c r="V92" s="12"/>
      <c r="W92" s="12"/>
      <c r="X92" s="12"/>
      <c r="Y92" s="12"/>
      <c r="Z92" s="12"/>
    </row>
    <row r="93" spans="1:26" ht="15" customHeight="1" x14ac:dyDescent="0.3">
      <c r="A93" s="26" t="s">
        <v>230</v>
      </c>
      <c r="B93" s="17">
        <v>16.2</v>
      </c>
      <c r="C93" s="17">
        <v>4.5</v>
      </c>
      <c r="D93" s="17">
        <v>4.0999999999999996</v>
      </c>
      <c r="E93" s="17" t="s">
        <v>35</v>
      </c>
      <c r="F93" s="22">
        <v>156</v>
      </c>
      <c r="G93" s="17">
        <f>SQRT((4*(HSP!$B$2-$B93)^2+(HSP!$C$2-$C93)^2+(HSP!$D$2-$D93)^2))</f>
        <v>7.3522785583790293</v>
      </c>
      <c r="H93" s="17">
        <f>SQRT((4*(HSP!$B$3-$B93)^2+(HSP!$C$3-$C93)^2+(HSP!$D$3-$D93)^2))</f>
        <v>5.5339316945549664</v>
      </c>
      <c r="I93" s="17">
        <f>SQRT((4*(HSP!$B$4-$B93)^2+(HSP!$C$4-$C93)^2+(HSP!$D$4-$D93)^2))</f>
        <v>3.4008822384787152</v>
      </c>
      <c r="J93" s="17">
        <f>SQRT((4*(HSP!$B$5-$B93)^2+(HSP!$C$5-$C93)^2+(HSP!$D$5-$D93)^2))</f>
        <v>10.847898413978626</v>
      </c>
      <c r="K93" s="17">
        <f>SQRT((4*(HSP!$B$6-$B93)^2+(HSP!$C$6-$C93)^2+(HSP!$D$6-$D93)^2))</f>
        <v>2.692025259911206</v>
      </c>
      <c r="L93" s="17" t="s">
        <v>35</v>
      </c>
      <c r="M93" s="17" t="s">
        <v>35</v>
      </c>
      <c r="N93" s="17" t="s">
        <v>35</v>
      </c>
      <c r="O93" s="17" t="s">
        <v>35</v>
      </c>
      <c r="P93" s="17" t="s">
        <v>35</v>
      </c>
      <c r="Q93" s="17">
        <f>$G93/HSP!$E$2</f>
        <v>0.45106003425638214</v>
      </c>
      <c r="R93" s="17">
        <f>$H93/HSP!$E$3</f>
        <v>0.40992086626333085</v>
      </c>
      <c r="S93" s="17">
        <f>$I93/HSP!$E$4</f>
        <v>0.21389196468419591</v>
      </c>
      <c r="T93" s="17">
        <f>$J93/HSP!$E$5</f>
        <v>0.79181740248019172</v>
      </c>
      <c r="U93" s="17">
        <f>$K93/HSP!$E$6</f>
        <v>0.18189359864264903</v>
      </c>
      <c r="V93" s="12"/>
      <c r="W93" s="12"/>
      <c r="X93" s="12"/>
      <c r="Y93" s="12"/>
      <c r="Z93" s="12"/>
    </row>
    <row r="94" spans="1:26" ht="15" customHeight="1" x14ac:dyDescent="0.3">
      <c r="A94" s="26" t="s">
        <v>231</v>
      </c>
      <c r="B94" s="17">
        <v>17.899999999999999</v>
      </c>
      <c r="C94" s="17">
        <v>6.2</v>
      </c>
      <c r="D94" s="17">
        <v>6</v>
      </c>
      <c r="E94" s="17" t="s">
        <v>35</v>
      </c>
      <c r="F94" s="22">
        <v>144.30000000000001</v>
      </c>
      <c r="G94" s="17">
        <f>SQRT((4*(HSP!$B$2-$B94)^2+(HSP!$C$2-$C94)^2+(HSP!$D$2-$D94)^2))</f>
        <v>7.9163122727694351</v>
      </c>
      <c r="H94" s="17">
        <f>SQRT((4*(HSP!$B$3-$B94)^2+(HSP!$C$3-$C94)^2+(HSP!$D$3-$D94)^2))</f>
        <v>5.6160840449551666</v>
      </c>
      <c r="I94" s="17">
        <f>SQRT((4*(HSP!$B$4-$B94)^2+(HSP!$C$4-$C94)^2+(HSP!$D$4-$D94)^2))</f>
        <v>5.7238099199746291</v>
      </c>
      <c r="J94" s="17">
        <f>SQRT((4*(HSP!$B$5-$B94)^2+(HSP!$C$5-$C94)^2+(HSP!$D$5-$D94)^2))</f>
        <v>9.720231478725184</v>
      </c>
      <c r="K94" s="17">
        <f>SQRT((4*(HSP!$B$6-$B94)^2+(HSP!$C$6-$C94)^2+(HSP!$D$6-$D94)^2))</f>
        <v>5.6870906446090679</v>
      </c>
      <c r="L94" s="17" t="s">
        <v>35</v>
      </c>
      <c r="M94" s="17" t="s">
        <v>35</v>
      </c>
      <c r="N94" s="17" t="s">
        <v>35</v>
      </c>
      <c r="O94" s="17" t="s">
        <v>35</v>
      </c>
      <c r="P94" s="17" t="s">
        <v>35</v>
      </c>
      <c r="Q94" s="17">
        <f>$G94/HSP!$E$2</f>
        <v>0.48566332961775671</v>
      </c>
      <c r="R94" s="17">
        <f>$H94/HSP!$E$3</f>
        <v>0.41600622555223454</v>
      </c>
      <c r="S94" s="17">
        <f>$I94/HSP!$E$4</f>
        <v>0.3599880452814232</v>
      </c>
      <c r="T94" s="17">
        <f>$J94/HSP!$E$5</f>
        <v>0.70950594735220329</v>
      </c>
      <c r="U94" s="17">
        <f>$K94/HSP!$E$6</f>
        <v>0.38426288139250458</v>
      </c>
      <c r="V94" s="12"/>
      <c r="W94" s="12"/>
      <c r="X94" s="12"/>
      <c r="Y94" s="12"/>
      <c r="Z94" s="12"/>
    </row>
    <row r="95" spans="1:26" ht="15" customHeight="1" x14ac:dyDescent="0.3">
      <c r="A95" s="26" t="s">
        <v>232</v>
      </c>
      <c r="B95" s="17">
        <v>15.5</v>
      </c>
      <c r="C95" s="17">
        <v>5.6</v>
      </c>
      <c r="D95" s="17">
        <v>5</v>
      </c>
      <c r="E95" s="17" t="s">
        <v>35</v>
      </c>
      <c r="F95" s="22">
        <v>132.9</v>
      </c>
      <c r="G95" s="17">
        <f>SQRT((4*(HSP!$B$2-$B95)^2+(HSP!$C$2-$C95)^2+(HSP!$D$2-$D95)^2))</f>
        <v>5.5479726026720799</v>
      </c>
      <c r="H95" s="17">
        <f>SQRT((4*(HSP!$B$3-$B95)^2+(HSP!$C$3-$C95)^2+(HSP!$D$3-$D95)^2))</f>
        <v>4.1593749530428248</v>
      </c>
      <c r="I95" s="17">
        <f>SQRT((4*(HSP!$B$4-$B95)^2+(HSP!$C$4-$C95)^2+(HSP!$D$4-$D95)^2))</f>
        <v>2.1264994709616083</v>
      </c>
      <c r="J95" s="17">
        <f>SQRT((4*(HSP!$B$5-$B95)^2+(HSP!$C$5-$C95)^2+(HSP!$D$5-$D95)^2))</f>
        <v>9.277440379759927</v>
      </c>
      <c r="K95" s="17">
        <f>SQRT((4*(HSP!$B$6-$B95)^2+(HSP!$C$6-$C95)^2+(HSP!$D$6-$D95)^2))</f>
        <v>1.4909728367747015</v>
      </c>
      <c r="L95" s="17" t="s">
        <v>35</v>
      </c>
      <c r="M95" s="17" t="s">
        <v>35</v>
      </c>
      <c r="N95" s="17" t="s">
        <v>35</v>
      </c>
      <c r="O95" s="17" t="s">
        <v>35</v>
      </c>
      <c r="P95" s="17" t="s">
        <v>35</v>
      </c>
      <c r="Q95" s="17">
        <f>$G95/HSP!$E$2</f>
        <v>0.34036641734184536</v>
      </c>
      <c r="R95" s="17">
        <f>$H95/HSP!$E$3</f>
        <v>0.3081018483735426</v>
      </c>
      <c r="S95" s="17">
        <f>$I95/HSP!$E$4</f>
        <v>0.13374210509192505</v>
      </c>
      <c r="T95" s="17">
        <f>$J95/HSP!$E$5</f>
        <v>0.67718542917955671</v>
      </c>
      <c r="U95" s="17">
        <f>$K95/HSP!$E$6</f>
        <v>0.10074140789018253</v>
      </c>
      <c r="V95" s="12"/>
      <c r="W95" s="12"/>
      <c r="X95" s="12"/>
      <c r="Y95" s="12"/>
      <c r="Z95" s="12"/>
    </row>
    <row r="96" spans="1:26" ht="15" customHeight="1" x14ac:dyDescent="0.3">
      <c r="A96" s="26" t="s">
        <v>233</v>
      </c>
      <c r="B96" s="17">
        <v>15.8</v>
      </c>
      <c r="C96" s="17">
        <v>2.9</v>
      </c>
      <c r="D96" s="17">
        <v>5.5</v>
      </c>
      <c r="E96" s="17" t="s">
        <v>35</v>
      </c>
      <c r="F96" s="22">
        <v>182.2</v>
      </c>
      <c r="G96" s="17">
        <f>SQRT((4*(HSP!$B$2-$B96)^2+(HSP!$C$2-$C96)^2+(HSP!$D$2-$D96)^2))</f>
        <v>8.068704976636587</v>
      </c>
      <c r="H96" s="17">
        <f>SQRT((4*(HSP!$B$3-$B96)^2+(HSP!$C$3-$C96)^2+(HSP!$D$3-$D96)^2))</f>
        <v>6.7711446595092024</v>
      </c>
      <c r="I96" s="17">
        <f>SQRT((4*(HSP!$B$4-$B96)^2+(HSP!$C$4-$C96)^2+(HSP!$D$4-$D96)^2))</f>
        <v>2.5388973984783241</v>
      </c>
      <c r="J96" s="17">
        <f>SQRT((4*(HSP!$B$5-$B96)^2+(HSP!$C$5-$C96)^2+(HSP!$D$5-$D96)^2))</f>
        <v>11.271242167569643</v>
      </c>
      <c r="K96" s="17">
        <f>SQRT((4*(HSP!$B$6-$B96)^2+(HSP!$C$6-$C96)^2+(HSP!$D$6-$D96)^2))</f>
        <v>4.0381926650421232</v>
      </c>
      <c r="L96" s="17" t="s">
        <v>35</v>
      </c>
      <c r="M96" s="17" t="s">
        <v>35</v>
      </c>
      <c r="N96" s="17" t="s">
        <v>35</v>
      </c>
      <c r="O96" s="17" t="s">
        <v>35</v>
      </c>
      <c r="P96" s="17" t="s">
        <v>35</v>
      </c>
      <c r="Q96" s="17">
        <f>$G96/HSP!$E$2</f>
        <v>0.49501257525377834</v>
      </c>
      <c r="R96" s="17">
        <f>$H96/HSP!$E$3</f>
        <v>0.50156627107475571</v>
      </c>
      <c r="S96" s="17">
        <f>$I96/HSP!$E$4</f>
        <v>0.1596790816653034</v>
      </c>
      <c r="T96" s="17">
        <f>$J96/HSP!$E$5</f>
        <v>0.82271840639194471</v>
      </c>
      <c r="U96" s="17">
        <f>$K96/HSP!$E$6</f>
        <v>0.27285085574608942</v>
      </c>
      <c r="V96" s="12"/>
      <c r="W96" s="12"/>
      <c r="X96" s="12"/>
      <c r="Y96" s="12"/>
      <c r="Z96" s="12"/>
    </row>
    <row r="97" spans="1:26" ht="15" customHeight="1" x14ac:dyDescent="0.3">
      <c r="A97" s="26" t="s">
        <v>234</v>
      </c>
      <c r="B97" s="17">
        <v>15.8</v>
      </c>
      <c r="C97" s="17">
        <v>2.9</v>
      </c>
      <c r="D97" s="17">
        <v>5.9</v>
      </c>
      <c r="E97" s="17" t="s">
        <v>35</v>
      </c>
      <c r="F97" s="22">
        <v>165.6</v>
      </c>
      <c r="G97" s="17">
        <f>SQRT((4*(HSP!$B$2-$B97)^2+(HSP!$C$2-$C97)^2+(HSP!$D$2-$D97)^2))</f>
        <v>8.0049984384758002</v>
      </c>
      <c r="H97" s="17">
        <f>SQRT((4*(HSP!$B$3-$B97)^2+(HSP!$C$3-$C97)^2+(HSP!$D$3-$D97)^2))</f>
        <v>6.764052040012702</v>
      </c>
      <c r="I97" s="17">
        <f>SQRT((4*(HSP!$B$4-$B97)^2+(HSP!$C$4-$C97)^2+(HSP!$D$4-$D97)^2))</f>
        <v>2.3592371648479942</v>
      </c>
      <c r="J97" s="17">
        <f>SQRT((4*(HSP!$B$5-$B97)^2+(HSP!$C$5-$C97)^2+(HSP!$D$5-$D97)^2))</f>
        <v>11.084083182654306</v>
      </c>
      <c r="K97" s="17">
        <f>SQRT((4*(HSP!$B$6-$B97)^2+(HSP!$C$6-$C97)^2+(HSP!$D$6-$D97)^2))</f>
        <v>4.2174636927897797</v>
      </c>
      <c r="L97" s="17" t="s">
        <v>35</v>
      </c>
      <c r="M97" s="17" t="s">
        <v>35</v>
      </c>
      <c r="N97" s="17" t="s">
        <v>35</v>
      </c>
      <c r="O97" s="17" t="s">
        <v>35</v>
      </c>
      <c r="P97" s="17" t="s">
        <v>35</v>
      </c>
      <c r="Q97" s="17">
        <f>$G97/HSP!$E$2</f>
        <v>0.49110419867949689</v>
      </c>
      <c r="R97" s="17">
        <f>$H97/HSP!$E$3</f>
        <v>0.50104089185279277</v>
      </c>
      <c r="S97" s="17">
        <f>$I97/HSP!$E$4</f>
        <v>0.14837969590238956</v>
      </c>
      <c r="T97" s="17">
        <f>$J97/HSP!$E$5</f>
        <v>0.80905716661710259</v>
      </c>
      <c r="U97" s="17">
        <f>$K97/HSP!$E$6</f>
        <v>0.28496376302633647</v>
      </c>
      <c r="V97" s="12"/>
      <c r="W97" s="12"/>
      <c r="X97" s="12"/>
      <c r="Y97" s="12"/>
      <c r="Z97" s="12"/>
    </row>
    <row r="98" spans="1:26" ht="15" customHeight="1" x14ac:dyDescent="0.3">
      <c r="A98" s="26" t="s">
        <v>235</v>
      </c>
      <c r="B98" s="17">
        <v>16.2</v>
      </c>
      <c r="C98" s="17">
        <v>4.7</v>
      </c>
      <c r="D98" s="17">
        <v>4.4000000000000004</v>
      </c>
      <c r="E98" s="17" t="s">
        <v>35</v>
      </c>
      <c r="F98" s="22">
        <v>171</v>
      </c>
      <c r="G98" s="17">
        <f>SQRT((4*(HSP!$B$2-$B98)^2+(HSP!$C$2-$C98)^2+(HSP!$D$2-$D98)^2))</f>
        <v>7.0762984674192477</v>
      </c>
      <c r="H98" s="17">
        <f>SQRT((4*(HSP!$B$3-$B98)^2+(HSP!$C$3-$C98)^2+(HSP!$D$3-$D98)^2))</f>
        <v>5.2591254025740817</v>
      </c>
      <c r="I98" s="17">
        <f>SQRT((4*(HSP!$B$4-$B98)^2+(HSP!$C$4-$C98)^2+(HSP!$D$4-$D98)^2))</f>
        <v>3.1629100524675042</v>
      </c>
      <c r="J98" s="17">
        <f>SQRT((4*(HSP!$B$5-$B98)^2+(HSP!$C$5-$C98)^2+(HSP!$D$5-$D98)^2))</f>
        <v>10.508134943937483</v>
      </c>
      <c r="K98" s="17">
        <f>SQRT((4*(HSP!$B$6-$B98)^2+(HSP!$C$6-$C98)^2+(HSP!$D$6-$D98)^2))</f>
        <v>2.5990382836734045</v>
      </c>
      <c r="L98" s="17" t="s">
        <v>35</v>
      </c>
      <c r="M98" s="17" t="s">
        <v>35</v>
      </c>
      <c r="N98" s="17" t="s">
        <v>35</v>
      </c>
      <c r="O98" s="17" t="s">
        <v>35</v>
      </c>
      <c r="P98" s="17" t="s">
        <v>35</v>
      </c>
      <c r="Q98" s="17">
        <f>$G98/HSP!$E$2</f>
        <v>0.43412874033246918</v>
      </c>
      <c r="R98" s="17">
        <f>$H98/HSP!$E$3</f>
        <v>0.38956484463511715</v>
      </c>
      <c r="S98" s="17">
        <f>$I98/HSP!$E$4</f>
        <v>0.19892516053254744</v>
      </c>
      <c r="T98" s="17">
        <f>$J98/HSP!$E$5</f>
        <v>0.76701714919251707</v>
      </c>
      <c r="U98" s="17">
        <f>$K98/HSP!$E$6</f>
        <v>0.17561069484279759</v>
      </c>
      <c r="V98" s="12"/>
      <c r="W98" s="12"/>
      <c r="X98" s="12"/>
      <c r="Y98" s="12"/>
      <c r="Z98" s="12"/>
    </row>
    <row r="99" spans="1:26" ht="15" customHeight="1" x14ac:dyDescent="0.3">
      <c r="A99" s="26" t="s">
        <v>236</v>
      </c>
      <c r="B99" s="17">
        <v>17.8</v>
      </c>
      <c r="C99" s="17">
        <v>5.6</v>
      </c>
      <c r="D99" s="17">
        <v>8.3000000000000007</v>
      </c>
      <c r="E99" s="17" t="s">
        <v>35</v>
      </c>
      <c r="F99" s="22">
        <v>128.1</v>
      </c>
      <c r="G99" s="17">
        <f>SQRT((4*(HSP!$B$2-$B99)^2+(HSP!$C$2-$C99)^2+(HSP!$D$2-$D99)^2))</f>
        <v>8.1438320218432825</v>
      </c>
      <c r="H99" s="17">
        <f>SQRT((4*(HSP!$B$3-$B99)^2+(HSP!$C$3-$C99)^2+(HSP!$D$3-$D99)^2))</f>
        <v>6.3594339370733328</v>
      </c>
      <c r="I99" s="17">
        <f>SQRT((4*(HSP!$B$4-$B99)^2+(HSP!$C$4-$C99)^2+(HSP!$D$4-$D99)^2))</f>
        <v>5.5465304470452539</v>
      </c>
      <c r="J99" s="17">
        <f>SQRT((4*(HSP!$B$5-$B99)^2+(HSP!$C$5-$C99)^2+(HSP!$D$5-$D99)^2))</f>
        <v>9.1222201245091661</v>
      </c>
      <c r="K99" s="17">
        <f>SQRT((4*(HSP!$B$6-$B99)^2+(HSP!$C$6-$C99)^2+(HSP!$D$6-$D99)^2))</f>
        <v>6.7893298638378168</v>
      </c>
      <c r="L99" s="17" t="s">
        <v>35</v>
      </c>
      <c r="M99" s="17" t="s">
        <v>35</v>
      </c>
      <c r="N99" s="17" t="s">
        <v>35</v>
      </c>
      <c r="O99" s="17" t="s">
        <v>35</v>
      </c>
      <c r="P99" s="17" t="s">
        <v>35</v>
      </c>
      <c r="Q99" s="17">
        <f>$G99/HSP!$E$2</f>
        <v>0.49962159643210319</v>
      </c>
      <c r="R99" s="17">
        <f>$H99/HSP!$E$3</f>
        <v>0.47106918052395058</v>
      </c>
      <c r="S99" s="17">
        <f>$I99/HSP!$E$4</f>
        <v>0.34883839289592788</v>
      </c>
      <c r="T99" s="17">
        <f>$J99/HSP!$E$5</f>
        <v>0.66585548354081503</v>
      </c>
      <c r="U99" s="17">
        <f>$K99/HSP!$E$6</f>
        <v>0.45873850431336599</v>
      </c>
      <c r="V99" s="12"/>
      <c r="W99" s="12"/>
      <c r="X99" s="12"/>
      <c r="Y99" s="12"/>
      <c r="Z99" s="12"/>
    </row>
    <row r="100" spans="1:26" ht="15" customHeight="1" x14ac:dyDescent="0.3">
      <c r="A100" s="26" t="s">
        <v>237</v>
      </c>
      <c r="B100" s="17">
        <v>17.8</v>
      </c>
      <c r="C100" s="17">
        <v>5.4</v>
      </c>
      <c r="D100" s="17">
        <v>5.6</v>
      </c>
      <c r="E100" s="17" t="s">
        <v>35</v>
      </c>
      <c r="F100" s="22">
        <v>158.9</v>
      </c>
      <c r="G100" s="17">
        <f>SQRT((4*(HSP!$B$2-$B100)^2+(HSP!$C$2-$C100)^2+(HSP!$D$2-$D100)^2))</f>
        <v>8.2745392620979228</v>
      </c>
      <c r="H100" s="17">
        <f>SQRT((4*(HSP!$B$3-$B100)^2+(HSP!$C$3-$C100)^2+(HSP!$D$3-$D100)^2))</f>
        <v>6.0003666554636492</v>
      </c>
      <c r="I100" s="17">
        <f>SQRT((4*(HSP!$B$4-$B100)^2+(HSP!$C$4-$C100)^2+(HSP!$D$4-$D100)^2))</f>
        <v>5.4429771265365448</v>
      </c>
      <c r="J100" s="17">
        <f>SQRT((4*(HSP!$B$5-$B100)^2+(HSP!$C$5-$C100)^2+(HSP!$D$5-$D100)^2))</f>
        <v>10.372796151472372</v>
      </c>
      <c r="K100" s="17">
        <f>SQRT((4*(HSP!$B$6-$B100)^2+(HSP!$C$6-$C100)^2+(HSP!$D$6-$D100)^2))</f>
        <v>5.4522472431099471</v>
      </c>
      <c r="L100" s="17" t="s">
        <v>35</v>
      </c>
      <c r="M100" s="17" t="s">
        <v>35</v>
      </c>
      <c r="N100" s="17" t="s">
        <v>35</v>
      </c>
      <c r="O100" s="17" t="s">
        <v>35</v>
      </c>
      <c r="P100" s="17" t="s">
        <v>35</v>
      </c>
      <c r="Q100" s="17">
        <f>$G100/HSP!$E$2</f>
        <v>0.50764044552747989</v>
      </c>
      <c r="R100" s="17">
        <f>$H100/HSP!$E$3</f>
        <v>0.44447160410841846</v>
      </c>
      <c r="S100" s="17">
        <f>$I100/HSP!$E$4</f>
        <v>0.34232560544254997</v>
      </c>
      <c r="T100" s="17">
        <f>$J100/HSP!$E$5</f>
        <v>0.75713840521696152</v>
      </c>
      <c r="U100" s="17">
        <f>$K100/HSP!$E$6</f>
        <v>0.36839508399391535</v>
      </c>
      <c r="V100" s="12"/>
      <c r="W100" s="12"/>
      <c r="X100" s="12"/>
      <c r="Y100" s="12"/>
      <c r="Z100" s="12"/>
    </row>
    <row r="101" spans="1:26" ht="15" customHeight="1" x14ac:dyDescent="0.3">
      <c r="A101" s="26" t="s">
        <v>238</v>
      </c>
      <c r="B101" s="17">
        <v>16</v>
      </c>
      <c r="C101" s="17">
        <v>2.2999999999999998</v>
      </c>
      <c r="D101" s="17">
        <v>4.7</v>
      </c>
      <c r="E101" s="17" t="s">
        <v>35</v>
      </c>
      <c r="F101" s="22">
        <v>236.6</v>
      </c>
      <c r="G101" s="17">
        <f>SQRT((4*(HSP!$B$2-$B101)^2+(HSP!$C$2-$C101)^2+(HSP!$D$2-$D101)^2))</f>
        <v>8.9232281154299766</v>
      </c>
      <c r="H101" s="17">
        <f>SQRT((4*(HSP!$B$3-$B101)^2+(HSP!$C$3-$C101)^2+(HSP!$D$3-$D101)^2))</f>
        <v>7.4705019911649844</v>
      </c>
      <c r="I101" s="17">
        <f>SQRT((4*(HSP!$B$4-$B101)^2+(HSP!$C$4-$C101)^2+(HSP!$D$4-$D101)^2))</f>
        <v>3.5818989377144628</v>
      </c>
      <c r="J101" s="17">
        <f>SQRT((4*(HSP!$B$5-$B101)^2+(HSP!$C$5-$C101)^2+(HSP!$D$5-$D101)^2))</f>
        <v>12.227873895326205</v>
      </c>
      <c r="K101" s="17">
        <f>SQRT((4*(HSP!$B$6-$B101)^2+(HSP!$C$6-$C101)^2+(HSP!$D$6-$D101)^2))</f>
        <v>4.4621743578663535</v>
      </c>
      <c r="L101" s="17" t="s">
        <v>35</v>
      </c>
      <c r="M101" s="17" t="s">
        <v>35</v>
      </c>
      <c r="N101" s="17" t="s">
        <v>35</v>
      </c>
      <c r="O101" s="17" t="s">
        <v>35</v>
      </c>
      <c r="P101" s="17" t="s">
        <v>35</v>
      </c>
      <c r="Q101" s="17">
        <f>$G101/HSP!$E$2</f>
        <v>0.54743730769509058</v>
      </c>
      <c r="R101" s="17">
        <f>$H101/HSP!$E$3</f>
        <v>0.55337051786407288</v>
      </c>
      <c r="S101" s="17">
        <f>$I101/HSP!$E$4</f>
        <v>0.22527666274933728</v>
      </c>
      <c r="T101" s="17">
        <f>$J101/HSP!$E$5</f>
        <v>0.89254553980483253</v>
      </c>
      <c r="U101" s="17">
        <f>$K101/HSP!$E$6</f>
        <v>0.30149826742340224</v>
      </c>
      <c r="V101" s="12"/>
      <c r="W101" s="12"/>
      <c r="X101" s="12"/>
      <c r="Y101" s="12"/>
      <c r="Z101" s="12"/>
    </row>
    <row r="102" spans="1:26" ht="15" customHeight="1" x14ac:dyDescent="0.3">
      <c r="A102" s="26" t="s">
        <v>239</v>
      </c>
      <c r="B102" s="17">
        <v>19.2</v>
      </c>
      <c r="C102" s="17">
        <v>9.6</v>
      </c>
      <c r="D102" s="17">
        <v>10.9</v>
      </c>
      <c r="E102" s="17" t="s">
        <v>35</v>
      </c>
      <c r="F102" s="22">
        <v>158.30000000000001</v>
      </c>
      <c r="G102" s="17">
        <f>SQRT((4*(HSP!$B$2-$B102)^2+(HSP!$C$2-$C102)^2+(HSP!$D$2-$D102)^2))</f>
        <v>10.037230693772061</v>
      </c>
      <c r="H102" s="17">
        <f>SQRT((4*(HSP!$B$3-$B102)^2+(HSP!$C$3-$C102)^2+(HSP!$D$3-$D102)^2))</f>
        <v>8.6654717124920548</v>
      </c>
      <c r="I102" s="17">
        <f>SQRT((4*(HSP!$B$4-$B102)^2+(HSP!$C$4-$C102)^2+(HSP!$D$4-$D102)^2))</f>
        <v>10.294658809304948</v>
      </c>
      <c r="J102" s="17">
        <f>SQRT((4*(HSP!$B$5-$B102)^2+(HSP!$C$5-$C102)^2+(HSP!$D$5-$D102)^2))</f>
        <v>8.4566482722175458</v>
      </c>
      <c r="K102" s="17">
        <f>SQRT((4*(HSP!$B$6-$B102)^2+(HSP!$C$6-$C102)^2+(HSP!$D$6-$D102)^2))</f>
        <v>11.024109941396629</v>
      </c>
      <c r="L102" s="17" t="s">
        <v>35</v>
      </c>
      <c r="M102" s="17" t="s">
        <v>35</v>
      </c>
      <c r="N102" s="17" t="s">
        <v>35</v>
      </c>
      <c r="O102" s="17" t="s">
        <v>35</v>
      </c>
      <c r="P102" s="17" t="s">
        <v>35</v>
      </c>
      <c r="Q102" s="17">
        <f>$G102/HSP!$E$2</f>
        <v>0.61578102415779512</v>
      </c>
      <c r="R102" s="17">
        <f>$H102/HSP!$E$3</f>
        <v>0.64188679351792999</v>
      </c>
      <c r="S102" s="17">
        <f>$I102/HSP!$E$4</f>
        <v>0.64746281819527973</v>
      </c>
      <c r="T102" s="17">
        <f>$J102/HSP!$E$5</f>
        <v>0.61727359651222968</v>
      </c>
      <c r="U102" s="17">
        <f>$K102/HSP!$E$6</f>
        <v>0.74487229333761007</v>
      </c>
      <c r="V102" s="12"/>
      <c r="W102" s="12"/>
      <c r="X102" s="12"/>
      <c r="Y102" s="12"/>
      <c r="Z102" s="12"/>
    </row>
    <row r="103" spans="1:26" ht="15" customHeight="1" x14ac:dyDescent="0.3">
      <c r="A103" s="26" t="s">
        <v>240</v>
      </c>
      <c r="B103" s="17">
        <v>15.7</v>
      </c>
      <c r="C103" s="17">
        <v>3.3</v>
      </c>
      <c r="D103" s="17">
        <v>5.9</v>
      </c>
      <c r="E103" s="17" t="s">
        <v>35</v>
      </c>
      <c r="F103" s="22">
        <v>148.5</v>
      </c>
      <c r="G103" s="17">
        <f>SQRT((4*(HSP!$B$2-$B103)^2+(HSP!$C$2-$C103)^2+(HSP!$D$2-$D103)^2))</f>
        <v>7.5678266364921454</v>
      </c>
      <c r="H103" s="17">
        <f>SQRT((4*(HSP!$B$3-$B103)^2+(HSP!$C$3-$C103)^2+(HSP!$D$3-$D103)^2))</f>
        <v>6.3605345687292667</v>
      </c>
      <c r="I103" s="17">
        <f>SQRT((4*(HSP!$B$4-$B103)^2+(HSP!$C$4-$C103)^2+(HSP!$D$4-$D103)^2))</f>
        <v>1.9590814173994904</v>
      </c>
      <c r="J103" s="17">
        <f>SQRT((4*(HSP!$B$5-$B103)^2+(HSP!$C$5-$C103)^2+(HSP!$D$5-$D103)^2))</f>
        <v>10.713398153713882</v>
      </c>
      <c r="K103" s="17">
        <f>SQRT((4*(HSP!$B$6-$B103)^2+(HSP!$C$6-$C103)^2+(HSP!$D$6-$D103)^2))</f>
        <v>3.839140528816313</v>
      </c>
      <c r="L103" s="17" t="s">
        <v>35</v>
      </c>
      <c r="M103" s="17" t="s">
        <v>35</v>
      </c>
      <c r="N103" s="17" t="s">
        <v>35</v>
      </c>
      <c r="O103" s="17" t="s">
        <v>35</v>
      </c>
      <c r="P103" s="17" t="s">
        <v>35</v>
      </c>
      <c r="Q103" s="17">
        <f>$G103/HSP!$E$2</f>
        <v>0.46428384272957945</v>
      </c>
      <c r="R103" s="17">
        <f>$H103/HSP!$E$3</f>
        <v>0.47115070879476051</v>
      </c>
      <c r="S103" s="17">
        <f>$I103/HSP!$E$4</f>
        <v>0.12321266776097424</v>
      </c>
      <c r="T103" s="17">
        <f>$J103/HSP!$E$5</f>
        <v>0.78199986523458997</v>
      </c>
      <c r="U103" s="17">
        <f>$K103/HSP!$E$6</f>
        <v>0.2594013870821833</v>
      </c>
      <c r="V103" s="12"/>
      <c r="W103" s="12"/>
      <c r="X103" s="12"/>
      <c r="Y103" s="12"/>
      <c r="Z103" s="12"/>
    </row>
    <row r="104" spans="1:26" ht="15" customHeight="1" x14ac:dyDescent="0.3">
      <c r="A104" s="26" t="s">
        <v>241</v>
      </c>
      <c r="B104" s="17">
        <v>15.7</v>
      </c>
      <c r="C104" s="17">
        <v>2.9</v>
      </c>
      <c r="D104" s="17">
        <v>5.9</v>
      </c>
      <c r="E104" s="17" t="s">
        <v>35</v>
      </c>
      <c r="F104" s="22">
        <v>165.6</v>
      </c>
      <c r="G104" s="17">
        <f>SQRT((4*(HSP!$B$2-$B104)^2+(HSP!$C$2-$C104)^2+(HSP!$D$2-$D104)^2))</f>
        <v>7.9473265945222114</v>
      </c>
      <c r="H104" s="17">
        <f>SQRT((4*(HSP!$B$3-$B104)^2+(HSP!$C$3-$C104)^2+(HSP!$D$3-$D104)^2))</f>
        <v>6.7605029398706717</v>
      </c>
      <c r="I104" s="17">
        <f>SQRT((4*(HSP!$B$4-$B104)^2+(HSP!$C$4-$C104)^2+(HSP!$D$4-$D104)^2))</f>
        <v>2.2587607221660275</v>
      </c>
      <c r="J104" s="17">
        <f>SQRT((4*(HSP!$B$5-$B104)^2+(HSP!$C$5-$C104)^2+(HSP!$D$5-$D104)^2))</f>
        <v>11.066747489664703</v>
      </c>
      <c r="K104" s="17">
        <f>SQRT((4*(HSP!$B$6-$B104)^2+(HSP!$C$6-$C104)^2+(HSP!$D$6-$D104)^2))</f>
        <v>4.1716903049004008</v>
      </c>
      <c r="L104" s="17" t="s">
        <v>35</v>
      </c>
      <c r="M104" s="17" t="s">
        <v>35</v>
      </c>
      <c r="N104" s="17" t="s">
        <v>35</v>
      </c>
      <c r="O104" s="17" t="s">
        <v>35</v>
      </c>
      <c r="P104" s="17" t="s">
        <v>35</v>
      </c>
      <c r="Q104" s="17">
        <f>$G104/HSP!$E$2</f>
        <v>0.48756604874369391</v>
      </c>
      <c r="R104" s="17">
        <f>$H104/HSP!$E$3</f>
        <v>0.50077799554597568</v>
      </c>
      <c r="S104" s="17">
        <f>$I104/HSP!$E$4</f>
        <v>0.14206042277773759</v>
      </c>
      <c r="T104" s="17">
        <f>$J104/HSP!$E$5</f>
        <v>0.80779178756676673</v>
      </c>
      <c r="U104" s="17">
        <f>$K104/HSP!$E$6</f>
        <v>0.28187096654732435</v>
      </c>
      <c r="V104" s="12"/>
      <c r="W104" s="12"/>
      <c r="X104" s="12"/>
      <c r="Y104" s="12"/>
      <c r="Z104" s="12"/>
    </row>
    <row r="105" spans="1:26" ht="15" customHeight="1" x14ac:dyDescent="0.3">
      <c r="A105" s="26" t="s">
        <v>242</v>
      </c>
      <c r="B105" s="17">
        <v>16.2</v>
      </c>
      <c r="C105" s="17">
        <v>2.9</v>
      </c>
      <c r="D105" s="17">
        <v>6.2</v>
      </c>
      <c r="E105" s="17" t="s">
        <v>35</v>
      </c>
      <c r="F105" s="22">
        <v>314</v>
      </c>
      <c r="G105" s="17">
        <f>SQRT((4*(HSP!$B$2-$B105)^2+(HSP!$C$2-$C105)^2+(HSP!$D$2-$D105)^2))</f>
        <v>8.2463325181561764</v>
      </c>
      <c r="H105" s="17">
        <f>SQRT((4*(HSP!$B$3-$B105)^2+(HSP!$C$3-$C105)^2+(HSP!$D$3-$D105)^2))</f>
        <v>6.8470723670777707</v>
      </c>
      <c r="I105" s="17">
        <f>SQRT((4*(HSP!$B$4-$B105)^2+(HSP!$C$4-$C105)^2+(HSP!$D$4-$D105)^2))</f>
        <v>2.7878306978724501</v>
      </c>
      <c r="J105" s="17">
        <f>SQRT((4*(HSP!$B$5-$B105)^2+(HSP!$C$5-$C105)^2+(HSP!$D$5-$D105)^2))</f>
        <v>11.057345974509435</v>
      </c>
      <c r="K105" s="17">
        <f>SQRT((4*(HSP!$B$6-$B105)^2+(HSP!$C$6-$C105)^2+(HSP!$D$6-$D105)^2))</f>
        <v>4.6306587004442461</v>
      </c>
      <c r="L105" s="17" t="s">
        <v>35</v>
      </c>
      <c r="M105" s="17" t="s">
        <v>35</v>
      </c>
      <c r="N105" s="17" t="s">
        <v>35</v>
      </c>
      <c r="O105" s="17" t="s">
        <v>35</v>
      </c>
      <c r="P105" s="17" t="s">
        <v>35</v>
      </c>
      <c r="Q105" s="17">
        <f>$G105/HSP!$E$2</f>
        <v>0.50590997043902919</v>
      </c>
      <c r="R105" s="17">
        <f>$H105/HSP!$E$3</f>
        <v>0.50719054570946454</v>
      </c>
      <c r="S105" s="17">
        <f>$I105/HSP!$E$4</f>
        <v>0.17533526401713523</v>
      </c>
      <c r="T105" s="17">
        <f>$J105/HSP!$E$5</f>
        <v>0.80710554558463032</v>
      </c>
      <c r="U105" s="17">
        <f>$K105/HSP!$E$6</f>
        <v>0.31288234462461123</v>
      </c>
      <c r="V105" s="12"/>
      <c r="W105" s="12"/>
      <c r="X105" s="12"/>
      <c r="Y105" s="12"/>
      <c r="Z105" s="12"/>
    </row>
    <row r="106" spans="1:26" ht="15" customHeight="1" x14ac:dyDescent="0.3">
      <c r="A106" s="26" t="s">
        <v>243</v>
      </c>
      <c r="B106" s="17">
        <v>16.899999999999999</v>
      </c>
      <c r="C106" s="17">
        <v>4.5999999999999996</v>
      </c>
      <c r="D106" s="17">
        <v>3.4</v>
      </c>
      <c r="E106" s="17" t="s">
        <v>35</v>
      </c>
      <c r="F106" s="22">
        <v>167.5</v>
      </c>
      <c r="G106" s="17">
        <f>SQRT((4*(HSP!$B$2-$B106)^2+(HSP!$C$2-$C106)^2+(HSP!$D$2-$D106)^2))</f>
        <v>8.2653493574077057</v>
      </c>
      <c r="H106" s="17">
        <f>SQRT((4*(HSP!$B$3-$B106)^2+(HSP!$C$3-$C106)^2+(HSP!$D$3-$D106)^2))</f>
        <v>6.1087150858425208</v>
      </c>
      <c r="I106" s="17">
        <f>SQRT((4*(HSP!$B$4-$B106)^2+(HSP!$C$4-$C106)^2+(HSP!$D$4-$D106)^2))</f>
        <v>4.8515976749932568</v>
      </c>
      <c r="J106" s="17">
        <f>SQRT((4*(HSP!$B$5-$B106)^2+(HSP!$C$5-$C106)^2+(HSP!$D$5-$D106)^2))</f>
        <v>11.543955128117918</v>
      </c>
      <c r="K106" s="17">
        <f>SQRT((4*(HSP!$B$6-$B106)^2+(HSP!$C$6-$C106)^2+(HSP!$D$6-$D106)^2))</f>
        <v>3.7655012946485606</v>
      </c>
      <c r="L106" s="17" t="s">
        <v>35</v>
      </c>
      <c r="M106" s="17" t="s">
        <v>35</v>
      </c>
      <c r="N106" s="17" t="s">
        <v>35</v>
      </c>
      <c r="O106" s="17" t="s">
        <v>35</v>
      </c>
      <c r="P106" s="17" t="s">
        <v>35</v>
      </c>
      <c r="Q106" s="17">
        <f>$G106/HSP!$E$2</f>
        <v>0.50707664769372429</v>
      </c>
      <c r="R106" s="17">
        <f>$H106/HSP!$E$3</f>
        <v>0.45249741376611263</v>
      </c>
      <c r="S106" s="17">
        <f>$I106/HSP!$E$4</f>
        <v>0.30513192924485893</v>
      </c>
      <c r="T106" s="17">
        <f>$J106/HSP!$E$5</f>
        <v>0.84262446190641749</v>
      </c>
      <c r="U106" s="17">
        <f>$K106/HSP!$E$6</f>
        <v>0.25442576315192977</v>
      </c>
      <c r="V106" s="12"/>
      <c r="W106" s="12"/>
      <c r="X106" s="12"/>
      <c r="Y106" s="12"/>
      <c r="Z106" s="12"/>
    </row>
    <row r="107" spans="1:26" ht="15" customHeight="1" x14ac:dyDescent="0.3">
      <c r="A107" s="26" t="s">
        <v>244</v>
      </c>
      <c r="B107" s="17">
        <v>16.899999999999999</v>
      </c>
      <c r="C107" s="17">
        <v>4.5999999999999996</v>
      </c>
      <c r="D107" s="17">
        <v>3.4</v>
      </c>
      <c r="E107" s="17" t="s">
        <v>35</v>
      </c>
      <c r="F107" s="22">
        <v>167.5</v>
      </c>
      <c r="G107" s="17">
        <f>SQRT((4*(HSP!$B$2-$B107)^2+(HSP!$C$2-$C107)^2+(HSP!$D$2-$D107)^2))</f>
        <v>8.2653493574077057</v>
      </c>
      <c r="H107" s="17">
        <f>SQRT((4*(HSP!$B$3-$B107)^2+(HSP!$C$3-$C107)^2+(HSP!$D$3-$D107)^2))</f>
        <v>6.1087150858425208</v>
      </c>
      <c r="I107" s="17">
        <f>SQRT((4*(HSP!$B$4-$B107)^2+(HSP!$C$4-$C107)^2+(HSP!$D$4-$D107)^2))</f>
        <v>4.8515976749932568</v>
      </c>
      <c r="J107" s="17">
        <f>SQRT((4*(HSP!$B$5-$B107)^2+(HSP!$C$5-$C107)^2+(HSP!$D$5-$D107)^2))</f>
        <v>11.543955128117918</v>
      </c>
      <c r="K107" s="17">
        <f>SQRT((4*(HSP!$B$6-$B107)^2+(HSP!$C$6-$C107)^2+(HSP!$D$6-$D107)^2))</f>
        <v>3.7655012946485606</v>
      </c>
      <c r="L107" s="17" t="s">
        <v>35</v>
      </c>
      <c r="M107" s="17" t="s">
        <v>35</v>
      </c>
      <c r="N107" s="17" t="s">
        <v>35</v>
      </c>
      <c r="O107" s="17" t="s">
        <v>35</v>
      </c>
      <c r="P107" s="17" t="s">
        <v>35</v>
      </c>
      <c r="Q107" s="17">
        <f>$G107/HSP!$E$2</f>
        <v>0.50707664769372429</v>
      </c>
      <c r="R107" s="17">
        <f>$H107/HSP!$E$3</f>
        <v>0.45249741376611263</v>
      </c>
      <c r="S107" s="17">
        <f>$I107/HSP!$E$4</f>
        <v>0.30513192924485893</v>
      </c>
      <c r="T107" s="17">
        <f>$J107/HSP!$E$5</f>
        <v>0.84262446190641749</v>
      </c>
      <c r="U107" s="17">
        <f>$K107/HSP!$E$6</f>
        <v>0.25442576315192977</v>
      </c>
      <c r="V107" s="12"/>
      <c r="W107" s="12"/>
      <c r="X107" s="12"/>
      <c r="Y107" s="12"/>
      <c r="Z107" s="12"/>
    </row>
    <row r="108" spans="1:26" ht="15" customHeight="1" x14ac:dyDescent="0.3">
      <c r="A108" s="26" t="s">
        <v>245</v>
      </c>
      <c r="B108" s="17">
        <v>19</v>
      </c>
      <c r="C108" s="17">
        <v>7.5</v>
      </c>
      <c r="D108" s="17">
        <v>13</v>
      </c>
      <c r="E108" s="17" t="s">
        <v>35</v>
      </c>
      <c r="F108" s="22">
        <v>154</v>
      </c>
      <c r="G108" s="17">
        <f>SQRT((4*(HSP!$B$2-$B108)^2+(HSP!$C$2-$C108)^2+(HSP!$D$2-$D108)^2))</f>
        <v>11.065351327454543</v>
      </c>
      <c r="H108" s="17">
        <f>SQRT((4*(HSP!$B$3-$B108)^2+(HSP!$C$3-$C108)^2+(HSP!$D$3-$D108)^2))</f>
        <v>10.002119775327628</v>
      </c>
      <c r="I108" s="17">
        <f>SQRT((4*(HSP!$B$4-$B108)^2+(HSP!$C$4-$C108)^2+(HSP!$D$4-$D108)^2))</f>
        <v>10.250268289171753</v>
      </c>
      <c r="J108" s="17">
        <f>SQRT((4*(HSP!$B$5-$B108)^2+(HSP!$C$5-$C108)^2+(HSP!$D$5-$D108)^2))</f>
        <v>9.3372854727699117</v>
      </c>
      <c r="K108" s="17">
        <f>SQRT((4*(HSP!$B$6-$B108)^2+(HSP!$C$6-$C108)^2+(HSP!$D$6-$D108)^2))</f>
        <v>11.854071030662842</v>
      </c>
      <c r="L108" s="17" t="s">
        <v>35</v>
      </c>
      <c r="M108" s="17" t="s">
        <v>35</v>
      </c>
      <c r="N108" s="17" t="s">
        <v>35</v>
      </c>
      <c r="O108" s="17" t="s">
        <v>35</v>
      </c>
      <c r="P108" s="17" t="s">
        <v>35</v>
      </c>
      <c r="Q108" s="17">
        <f>$G108/HSP!$E$2</f>
        <v>0.67885590965978793</v>
      </c>
      <c r="R108" s="17">
        <f>$H108/HSP!$E$3</f>
        <v>0.74089776113537986</v>
      </c>
      <c r="S108" s="17">
        <f>$I108/HSP!$E$4</f>
        <v>0.64467096158312909</v>
      </c>
      <c r="T108" s="17">
        <f>$J108/HSP!$E$5</f>
        <v>0.68155368414378925</v>
      </c>
      <c r="U108" s="17">
        <f>$K108/HSP!$E$6</f>
        <v>0.80095074531505683</v>
      </c>
      <c r="V108" s="12"/>
      <c r="W108" s="12"/>
      <c r="X108" s="12"/>
      <c r="Y108" s="12"/>
      <c r="Z108" s="12"/>
    </row>
    <row r="109" spans="1:26" ht="15" customHeight="1" x14ac:dyDescent="0.3">
      <c r="A109" s="26" t="s">
        <v>246</v>
      </c>
      <c r="B109" s="17">
        <v>16.399999999999999</v>
      </c>
      <c r="C109" s="17">
        <v>3.7</v>
      </c>
      <c r="D109" s="17">
        <v>3.5</v>
      </c>
      <c r="E109" s="17" t="s">
        <v>35</v>
      </c>
      <c r="F109" s="22">
        <v>260.8</v>
      </c>
      <c r="G109" s="17">
        <f>SQRT((4*(HSP!$B$2-$B109)^2+(HSP!$C$2-$C109)^2+(HSP!$D$2-$D109)^2))</f>
        <v>8.4123718415200841</v>
      </c>
      <c r="H109" s="17">
        <f>SQRT((4*(HSP!$B$3-$B109)^2+(HSP!$C$3-$C109)^2+(HSP!$D$3-$D109)^2))</f>
        <v>6.5513662697180957</v>
      </c>
      <c r="I109" s="17">
        <f>SQRT((4*(HSP!$B$4-$B109)^2+(HSP!$C$4-$C109)^2+(HSP!$D$4-$D109)^2))</f>
        <v>4.2310755133889995</v>
      </c>
      <c r="J109" s="17">
        <f>SQRT((4*(HSP!$B$5-$B109)^2+(HSP!$C$5-$C109)^2+(HSP!$D$5-$D109)^2))</f>
        <v>11.902642563733483</v>
      </c>
      <c r="K109" s="17">
        <f>SQRT((4*(HSP!$B$6-$B109)^2+(HSP!$C$6-$C109)^2+(HSP!$D$6-$D109)^2))</f>
        <v>3.5613199800074113</v>
      </c>
      <c r="L109" s="17" t="s">
        <v>35</v>
      </c>
      <c r="M109" s="17" t="s">
        <v>35</v>
      </c>
      <c r="N109" s="17" t="s">
        <v>35</v>
      </c>
      <c r="O109" s="17" t="s">
        <v>35</v>
      </c>
      <c r="P109" s="17" t="s">
        <v>35</v>
      </c>
      <c r="Q109" s="17">
        <f>$G109/HSP!$E$2</f>
        <v>0.51609643199509714</v>
      </c>
      <c r="R109" s="17">
        <f>$H109/HSP!$E$3</f>
        <v>0.48528639034948856</v>
      </c>
      <c r="S109" s="17">
        <f>$I109/HSP!$E$4</f>
        <v>0.26610537820056601</v>
      </c>
      <c r="T109" s="17">
        <f>$J109/HSP!$E$5</f>
        <v>0.86880602654988937</v>
      </c>
      <c r="U109" s="17">
        <f>$K109/HSP!$E$6</f>
        <v>0.24062972837887914</v>
      </c>
      <c r="V109" s="12"/>
      <c r="W109" s="12"/>
      <c r="X109" s="12"/>
      <c r="Y109" s="12"/>
      <c r="Z109" s="12"/>
    </row>
    <row r="110" spans="1:26" ht="15" customHeight="1" x14ac:dyDescent="0.3">
      <c r="A110" s="26" t="s">
        <v>247</v>
      </c>
      <c r="B110" s="17">
        <v>16.899999999999999</v>
      </c>
      <c r="C110" s="17">
        <v>2.2000000000000002</v>
      </c>
      <c r="D110" s="17">
        <v>5</v>
      </c>
      <c r="E110" s="17" t="s">
        <v>35</v>
      </c>
      <c r="F110" s="22">
        <v>206.6</v>
      </c>
      <c r="G110" s="17">
        <f>SQRT((4*(HSP!$B$2-$B110)^2+(HSP!$C$2-$C110)^2+(HSP!$D$2-$D110)^2))</f>
        <v>9.659606617248965</v>
      </c>
      <c r="H110" s="17">
        <f>SQRT((4*(HSP!$B$3-$B110)^2+(HSP!$C$3-$C110)^2+(HSP!$D$3-$D110)^2))</f>
        <v>7.8854549646802248</v>
      </c>
      <c r="I110" s="17">
        <f>SQRT((4*(HSP!$B$4-$B110)^2+(HSP!$C$4-$C110)^2+(HSP!$D$4-$D110)^2))</f>
        <v>4.6219043694131079</v>
      </c>
      <c r="J110" s="17">
        <f>SQRT((4*(HSP!$B$5-$B110)^2+(HSP!$C$5-$C110)^2+(HSP!$D$5-$D110)^2))</f>
        <v>12.508513101084395</v>
      </c>
      <c r="K110" s="17">
        <f>SQRT((4*(HSP!$B$6-$B110)^2+(HSP!$C$6-$C110)^2+(HSP!$D$6-$D110)^2))</f>
        <v>5.4628747011074656</v>
      </c>
      <c r="L110" s="17" t="s">
        <v>35</v>
      </c>
      <c r="M110" s="17" t="s">
        <v>35</v>
      </c>
      <c r="N110" s="17" t="s">
        <v>35</v>
      </c>
      <c r="O110" s="17" t="s">
        <v>35</v>
      </c>
      <c r="P110" s="17" t="s">
        <v>35</v>
      </c>
      <c r="Q110" s="17">
        <f>$G110/HSP!$E$2</f>
        <v>0.59261390289870952</v>
      </c>
      <c r="R110" s="17">
        <f>$H110/HSP!$E$3</f>
        <v>0.58410777516149814</v>
      </c>
      <c r="S110" s="17">
        <f>$I110/HSP!$E$4</f>
        <v>0.2906858093970508</v>
      </c>
      <c r="T110" s="17">
        <f>$J110/HSP!$E$5</f>
        <v>0.91303015336382454</v>
      </c>
      <c r="U110" s="17">
        <f>$K110/HSP!$E$6</f>
        <v>0.36911315548023416</v>
      </c>
      <c r="V110" s="12"/>
      <c r="W110" s="12"/>
      <c r="X110" s="12"/>
      <c r="Y110" s="12"/>
      <c r="Z110" s="12"/>
    </row>
    <row r="111" spans="1:26" ht="15" customHeight="1" x14ac:dyDescent="0.3">
      <c r="A111" s="26" t="s">
        <v>248</v>
      </c>
      <c r="B111" s="17">
        <v>16.899999999999999</v>
      </c>
      <c r="C111" s="17">
        <v>6.8</v>
      </c>
      <c r="D111" s="17">
        <v>10.9</v>
      </c>
      <c r="E111" s="17" t="s">
        <v>35</v>
      </c>
      <c r="F111" s="22">
        <v>162.4</v>
      </c>
      <c r="G111" s="17">
        <f>SQRT((4*(HSP!$B$2-$B111)^2+(HSP!$C$2-$C111)^2+(HSP!$D$2-$D111)^2))</f>
        <v>7.0655502262739587</v>
      </c>
      <c r="H111" s="17">
        <f>SQRT((4*(HSP!$B$3-$B111)^2+(HSP!$C$3-$C111)^2+(HSP!$D$3-$D111)^2))</f>
        <v>6.3120836496358317</v>
      </c>
      <c r="I111" s="17">
        <f>SQRT((4*(HSP!$B$4-$B111)^2+(HSP!$C$4-$C111)^2+(HSP!$D$4-$D111)^2))</f>
        <v>5.768535342701818</v>
      </c>
      <c r="J111" s="17">
        <f>SQRT((4*(HSP!$B$5-$B111)^2+(HSP!$C$5-$C111)^2+(HSP!$D$5-$D111)^2))</f>
        <v>6.7583207973578761</v>
      </c>
      <c r="K111" s="17">
        <f>SQRT((4*(HSP!$B$6-$B111)^2+(HSP!$C$6-$C111)^2+(HSP!$D$6-$D111)^2))</f>
        <v>7.7760529833585883</v>
      </c>
      <c r="L111" s="17" t="s">
        <v>35</v>
      </c>
      <c r="M111" s="17" t="s">
        <v>35</v>
      </c>
      <c r="N111" s="17" t="s">
        <v>35</v>
      </c>
      <c r="O111" s="17" t="s">
        <v>35</v>
      </c>
      <c r="P111" s="17" t="s">
        <v>35</v>
      </c>
      <c r="Q111" s="17">
        <f>$G111/HSP!$E$2</f>
        <v>0.43346933903521218</v>
      </c>
      <c r="R111" s="17">
        <f>$H111/HSP!$E$3</f>
        <v>0.46756175182487641</v>
      </c>
      <c r="S111" s="17">
        <f>$I111/HSP!$E$4</f>
        <v>0.36280096494979985</v>
      </c>
      <c r="T111" s="17">
        <f>$J111/HSP!$E$5</f>
        <v>0.49330808739838516</v>
      </c>
      <c r="U111" s="17">
        <f>$K111/HSP!$E$6</f>
        <v>0.5254089853620667</v>
      </c>
      <c r="V111" s="12"/>
      <c r="W111" s="12"/>
      <c r="X111" s="12"/>
      <c r="Y111" s="12"/>
      <c r="Z111" s="12"/>
    </row>
    <row r="112" spans="1:26" ht="15" customHeight="1" x14ac:dyDescent="0.3">
      <c r="A112" s="26" t="s">
        <v>249</v>
      </c>
      <c r="B112" s="17">
        <v>18</v>
      </c>
      <c r="C112" s="17">
        <v>7.4</v>
      </c>
      <c r="D112" s="17">
        <v>4.3</v>
      </c>
      <c r="E112" s="17" t="s">
        <v>35</v>
      </c>
      <c r="F112" s="22">
        <v>190</v>
      </c>
      <c r="G112" s="17">
        <f>SQRT((4*(HSP!$B$2-$B112)^2+(HSP!$C$2-$C112)^2+(HSP!$D$2-$D112)^2))</f>
        <v>7.923761732914488</v>
      </c>
      <c r="H112" s="17">
        <f>SQRT((4*(HSP!$B$3-$B112)^2+(HSP!$C$3-$C112)^2+(HSP!$D$3-$D112)^2))</f>
        <v>5.3630588286909564</v>
      </c>
      <c r="I112" s="17">
        <f>SQRT((4*(HSP!$B$4-$B112)^2+(HSP!$C$4-$C112)^2+(HSP!$D$4-$D112)^2))</f>
        <v>6.7589940079866917</v>
      </c>
      <c r="J112" s="17">
        <f>SQRT((4*(HSP!$B$5-$B112)^2+(HSP!$C$5-$C112)^2+(HSP!$D$5-$D112)^2))</f>
        <v>10.103014401652608</v>
      </c>
      <c r="K112" s="17">
        <f>SQRT((4*(HSP!$B$6-$B112)^2+(HSP!$C$6-$C112)^2+(HSP!$D$6-$D112)^2))</f>
        <v>5.5637217759338053</v>
      </c>
      <c r="L112" s="17" t="s">
        <v>35</v>
      </c>
      <c r="M112" s="17" t="s">
        <v>35</v>
      </c>
      <c r="N112" s="17" t="s">
        <v>35</v>
      </c>
      <c r="O112" s="17" t="s">
        <v>35</v>
      </c>
      <c r="P112" s="17" t="s">
        <v>35</v>
      </c>
      <c r="Q112" s="17">
        <f>$G112/HSP!$E$2</f>
        <v>0.48612035171254525</v>
      </c>
      <c r="R112" s="17">
        <f>$H112/HSP!$E$3</f>
        <v>0.39726361694007084</v>
      </c>
      <c r="S112" s="17">
        <f>$I112/HSP!$E$4</f>
        <v>0.42509396276645861</v>
      </c>
      <c r="T112" s="17">
        <f>$J112/HSP!$E$5</f>
        <v>0.73744630668997146</v>
      </c>
      <c r="U112" s="17">
        <f>$K112/HSP!$E$6</f>
        <v>0.37592714702255442</v>
      </c>
      <c r="V112" s="12"/>
      <c r="W112" s="12"/>
      <c r="X112" s="12"/>
      <c r="Y112" s="12"/>
      <c r="Z112" s="12"/>
    </row>
    <row r="113" spans="1:26" ht="15" customHeight="1" x14ac:dyDescent="0.3">
      <c r="A113" s="26" t="s">
        <v>250</v>
      </c>
      <c r="B113" s="17">
        <v>17.8</v>
      </c>
      <c r="C113" s="17">
        <v>2.6</v>
      </c>
      <c r="D113" s="17">
        <v>5.7</v>
      </c>
      <c r="E113" s="17" t="s">
        <v>35</v>
      </c>
      <c r="F113" s="22">
        <v>210</v>
      </c>
      <c r="G113" s="17">
        <f>SQRT((4*(HSP!$B$2-$B113)^2+(HSP!$C$2-$C113)^2+(HSP!$D$2-$D113)^2))</f>
        <v>10.216555192431549</v>
      </c>
      <c r="H113" s="17">
        <f>SQRT((4*(HSP!$B$3-$B113)^2+(HSP!$C$3-$C113)^2+(HSP!$D$3-$D113)^2))</f>
        <v>8.2259589106681066</v>
      </c>
      <c r="I113" s="17">
        <f>SQRT((4*(HSP!$B$4-$B113)^2+(HSP!$C$4-$C113)^2+(HSP!$D$4-$D113)^2))</f>
        <v>5.7622912109680833</v>
      </c>
      <c r="J113" s="17">
        <f>SQRT((4*(HSP!$B$5-$B113)^2+(HSP!$C$5-$C113)^2+(HSP!$D$5-$D113)^2))</f>
        <v>12.464786400095271</v>
      </c>
      <c r="K113" s="17">
        <f>SQRT((4*(HSP!$B$6-$B113)^2+(HSP!$C$6-$C113)^2+(HSP!$D$6-$D113)^2))</f>
        <v>6.6102193609592126</v>
      </c>
      <c r="L113" s="17" t="s">
        <v>35</v>
      </c>
      <c r="M113" s="17" t="s">
        <v>35</v>
      </c>
      <c r="N113" s="17" t="s">
        <v>35</v>
      </c>
      <c r="O113" s="17" t="s">
        <v>35</v>
      </c>
      <c r="P113" s="17" t="s">
        <v>35</v>
      </c>
      <c r="Q113" s="17">
        <f>$G113/HSP!$E$2</f>
        <v>0.62678252714303984</v>
      </c>
      <c r="R113" s="17">
        <f>$H113/HSP!$E$3</f>
        <v>0.60933028967911895</v>
      </c>
      <c r="S113" s="17">
        <f>$I113/HSP!$E$4</f>
        <v>0.36240825226214357</v>
      </c>
      <c r="T113" s="17">
        <f>$J113/HSP!$E$5</f>
        <v>0.9098384233646184</v>
      </c>
      <c r="U113" s="17">
        <f>$K113/HSP!$E$6</f>
        <v>0.44663644330805491</v>
      </c>
      <c r="V113" s="12"/>
      <c r="W113" s="12"/>
      <c r="X113" s="12"/>
      <c r="Y113" s="12"/>
      <c r="Z113" s="12"/>
    </row>
    <row r="114" spans="1:26" ht="15" customHeight="1" x14ac:dyDescent="0.3">
      <c r="A114" s="26" t="s">
        <v>251</v>
      </c>
      <c r="B114" s="17">
        <v>17.5</v>
      </c>
      <c r="C114" s="17">
        <v>10.8</v>
      </c>
      <c r="D114" s="17">
        <v>4.8</v>
      </c>
      <c r="E114" s="17" t="s">
        <v>35</v>
      </c>
      <c r="F114" s="22">
        <v>181.2</v>
      </c>
      <c r="G114" s="17">
        <f>SQRT((4*(HSP!$B$2-$B114)^2+(HSP!$C$2-$C114)^2+(HSP!$D$2-$D114)^2))</f>
        <v>6.2054814478813816</v>
      </c>
      <c r="H114" s="17">
        <f>SQRT((4*(HSP!$B$3-$B114)^2+(HSP!$C$3-$C114)^2+(HSP!$D$3-$D114)^2))</f>
        <v>3.9299363862536003</v>
      </c>
      <c r="I114" s="17">
        <f>SQRT((4*(HSP!$B$4-$B114)^2+(HSP!$C$4-$C114)^2+(HSP!$D$4-$D114)^2))</f>
        <v>7.9479557120054469</v>
      </c>
      <c r="J114" s="17">
        <f>SQRT((4*(HSP!$B$5-$B114)^2+(HSP!$C$5-$C114)^2+(HSP!$D$5-$D114)^2))</f>
        <v>7.8201598449136585</v>
      </c>
      <c r="K114" s="17">
        <f>SQRT((4*(HSP!$B$6-$B114)^2+(HSP!$C$6-$C114)^2+(HSP!$D$6-$D114)^2))</f>
        <v>6.3159322352286216</v>
      </c>
      <c r="L114" s="17" t="s">
        <v>35</v>
      </c>
      <c r="M114" s="17" t="s">
        <v>35</v>
      </c>
      <c r="N114" s="17" t="s">
        <v>35</v>
      </c>
      <c r="O114" s="17" t="s">
        <v>35</v>
      </c>
      <c r="P114" s="17" t="s">
        <v>35</v>
      </c>
      <c r="Q114" s="17">
        <f>$G114/HSP!$E$2</f>
        <v>0.38070438330560619</v>
      </c>
      <c r="R114" s="17">
        <f>$H114/HSP!$E$3</f>
        <v>0.29110639898174817</v>
      </c>
      <c r="S114" s="17">
        <f>$I114/HSP!$E$4</f>
        <v>0.49987142842801552</v>
      </c>
      <c r="T114" s="17">
        <f>$J114/HSP!$E$5</f>
        <v>0.57081458721997513</v>
      </c>
      <c r="U114" s="17">
        <f>$K114/HSP!$E$6</f>
        <v>0.42675217805598792</v>
      </c>
      <c r="V114" s="12"/>
      <c r="W114" s="12"/>
      <c r="X114" s="12"/>
      <c r="Y114" s="12"/>
      <c r="Z114" s="12"/>
    </row>
    <row r="115" spans="1:26" ht="15" customHeight="1" x14ac:dyDescent="0.3">
      <c r="A115" s="26" t="s">
        <v>252</v>
      </c>
      <c r="B115" s="17">
        <v>17.3</v>
      </c>
      <c r="C115" s="17">
        <v>5.9</v>
      </c>
      <c r="D115" s="17">
        <v>2.6</v>
      </c>
      <c r="E115" s="17" t="s">
        <v>35</v>
      </c>
      <c r="F115" s="22">
        <v>215.2</v>
      </c>
      <c r="G115" s="17">
        <f>SQRT((4*(HSP!$B$2-$B115)^2+(HSP!$C$2-$C115)^2+(HSP!$D$2-$D115)^2))</f>
        <v>8.3149263376171909</v>
      </c>
      <c r="H115" s="17">
        <f>SQRT((4*(HSP!$B$3-$B115)^2+(HSP!$C$3-$C115)^2+(HSP!$D$3-$D115)^2))</f>
        <v>5.9054551052395627</v>
      </c>
      <c r="I115" s="17">
        <f>SQRT((4*(HSP!$B$4-$B115)^2+(HSP!$C$4-$C115)^2+(HSP!$D$4-$D115)^2))</f>
        <v>6.1054074393114837</v>
      </c>
      <c r="J115" s="17">
        <f>SQRT((4*(HSP!$B$5-$B115)^2+(HSP!$C$5-$C115)^2+(HSP!$D$5-$D115)^2))</f>
        <v>11.505863722467776</v>
      </c>
      <c r="K115" s="17">
        <f>SQRT((4*(HSP!$B$6-$B115)^2+(HSP!$C$6-$C115)^2+(HSP!$D$6-$D115)^2))</f>
        <v>4.2810045550080904</v>
      </c>
      <c r="L115" s="17" t="s">
        <v>35</v>
      </c>
      <c r="M115" s="17" t="s">
        <v>35</v>
      </c>
      <c r="N115" s="17" t="s">
        <v>35</v>
      </c>
      <c r="O115" s="17" t="s">
        <v>35</v>
      </c>
      <c r="P115" s="17" t="s">
        <v>35</v>
      </c>
      <c r="Q115" s="17">
        <f>$G115/HSP!$E$2</f>
        <v>0.51011818022191358</v>
      </c>
      <c r="R115" s="17">
        <f>$H115/HSP!$E$3</f>
        <v>0.43744111890663429</v>
      </c>
      <c r="S115" s="17">
        <f>$I115/HSP!$E$4</f>
        <v>0.38398788926487315</v>
      </c>
      <c r="T115" s="17">
        <f>$J115/HSP!$E$5</f>
        <v>0.83984406733341432</v>
      </c>
      <c r="U115" s="17">
        <f>$K115/HSP!$E$6</f>
        <v>0.28925706452757366</v>
      </c>
      <c r="V115" s="12"/>
      <c r="W115" s="12"/>
      <c r="X115" s="12"/>
      <c r="Y115" s="12"/>
      <c r="Z115" s="12"/>
    </row>
    <row r="116" spans="1:26" ht="15" customHeight="1" x14ac:dyDescent="0.3">
      <c r="A116" s="26" t="s">
        <v>253</v>
      </c>
      <c r="B116" s="17">
        <v>19</v>
      </c>
      <c r="C116" s="17">
        <v>3.2</v>
      </c>
      <c r="D116" s="17">
        <v>2.8</v>
      </c>
      <c r="E116" s="17" t="s">
        <v>35</v>
      </c>
      <c r="F116" s="22">
        <v>238.9</v>
      </c>
      <c r="G116" s="17">
        <f>SQRT((4*(HSP!$B$2-$B116)^2+(HSP!$C$2-$C116)^2+(HSP!$D$2-$D116)^2))</f>
        <v>12.149897118905987</v>
      </c>
      <c r="H116" s="17">
        <f>SQRT((4*(HSP!$B$3-$B116)^2+(HSP!$C$3-$C116)^2+(HSP!$D$3-$D116)^2))</f>
        <v>9.7301798544528459</v>
      </c>
      <c r="I116" s="17">
        <f>SQRT((4*(HSP!$B$4-$B116)^2+(HSP!$C$4-$C116)^2+(HSP!$D$4-$D116)^2))</f>
        <v>8.7673257039989103</v>
      </c>
      <c r="J116" s="17">
        <f>SQRT((4*(HSP!$B$5-$B116)^2+(HSP!$C$5-$C116)^2+(HSP!$D$5-$D116)^2))</f>
        <v>14.573225449432943</v>
      </c>
      <c r="K116" s="17">
        <f>SQRT((4*(HSP!$B$6-$B116)^2+(HSP!$C$6-$C116)^2+(HSP!$D$6-$D116)^2))</f>
        <v>8.196767655606692</v>
      </c>
      <c r="L116" s="17" t="s">
        <v>35</v>
      </c>
      <c r="M116" s="17" t="s">
        <v>35</v>
      </c>
      <c r="N116" s="17" t="s">
        <v>35</v>
      </c>
      <c r="O116" s="17" t="s">
        <v>35</v>
      </c>
      <c r="P116" s="17" t="s">
        <v>35</v>
      </c>
      <c r="Q116" s="17">
        <f>$G116/HSP!$E$2</f>
        <v>0.74539246128257586</v>
      </c>
      <c r="R116" s="17">
        <f>$H116/HSP!$E$3</f>
        <v>0.72075406329280345</v>
      </c>
      <c r="S116" s="17">
        <f>$I116/HSP!$E$4</f>
        <v>0.55140413232697549</v>
      </c>
      <c r="T116" s="17">
        <f>$J116/HSP!$E$5</f>
        <v>1.063739083900215</v>
      </c>
      <c r="U116" s="17">
        <f>$K116/HSP!$E$6</f>
        <v>0.55383565240585753</v>
      </c>
      <c r="V116" s="12"/>
      <c r="W116" s="12"/>
      <c r="X116" s="12"/>
      <c r="Y116" s="12"/>
      <c r="Z116" s="12"/>
    </row>
    <row r="117" spans="1:26" ht="15" customHeight="1" x14ac:dyDescent="0.3">
      <c r="A117" s="26" t="s">
        <v>254</v>
      </c>
      <c r="B117" s="17">
        <v>16.3</v>
      </c>
      <c r="C117" s="17">
        <v>2.2999999999999998</v>
      </c>
      <c r="D117" s="17">
        <v>6.2</v>
      </c>
      <c r="E117" s="17" t="s">
        <v>35</v>
      </c>
      <c r="F117" s="22">
        <v>171.3</v>
      </c>
      <c r="G117" s="17">
        <f>SQRT((4*(HSP!$B$2-$B117)^2+(HSP!$C$2-$C117)^2+(HSP!$D$2-$D117)^2))</f>
        <v>8.8743450462555273</v>
      </c>
      <c r="H117" s="17">
        <f>SQRT((4*(HSP!$B$3-$B117)^2+(HSP!$C$3-$C117)^2+(HSP!$D$3-$D117)^2))</f>
        <v>7.4701004009317042</v>
      </c>
      <c r="I117" s="17">
        <f>SQRT((4*(HSP!$B$4-$B117)^2+(HSP!$C$4-$C117)^2+(HSP!$D$4-$D117)^2))</f>
        <v>3.3364651953826829</v>
      </c>
      <c r="J117" s="17">
        <f>SQRT((4*(HSP!$B$5-$B117)^2+(HSP!$C$5-$C117)^2+(HSP!$D$5-$D117)^2))</f>
        <v>11.627248169708945</v>
      </c>
      <c r="K117" s="17">
        <f>SQRT((4*(HSP!$B$6-$B117)^2+(HSP!$C$6-$C117)^2+(HSP!$D$6-$D117)^2))</f>
        <v>5.1790925846136417</v>
      </c>
      <c r="L117" s="17" t="s">
        <v>35</v>
      </c>
      <c r="M117" s="17" t="s">
        <v>35</v>
      </c>
      <c r="N117" s="17" t="s">
        <v>35</v>
      </c>
      <c r="O117" s="17" t="s">
        <v>35</v>
      </c>
      <c r="P117" s="17" t="s">
        <v>35</v>
      </c>
      <c r="Q117" s="17">
        <f>$G117/HSP!$E$2</f>
        <v>0.5444383463960446</v>
      </c>
      <c r="R117" s="17">
        <f>$H117/HSP!$E$3</f>
        <v>0.55334077043938545</v>
      </c>
      <c r="S117" s="17">
        <f>$I117/HSP!$E$4</f>
        <v>0.2098405783259549</v>
      </c>
      <c r="T117" s="17">
        <f>$J117/HSP!$E$5</f>
        <v>0.84870424596415661</v>
      </c>
      <c r="U117" s="17">
        <f>$K117/HSP!$E$6</f>
        <v>0.34993868814957035</v>
      </c>
      <c r="V117" s="12"/>
      <c r="W117" s="12"/>
      <c r="X117" s="12"/>
      <c r="Y117" s="12"/>
      <c r="Z117" s="12"/>
    </row>
    <row r="118" spans="1:26" ht="15" customHeight="1" x14ac:dyDescent="0.3">
      <c r="A118" s="26" t="s">
        <v>255</v>
      </c>
      <c r="B118" s="17">
        <v>16</v>
      </c>
      <c r="C118" s="17">
        <v>4.7</v>
      </c>
      <c r="D118" s="17">
        <v>11</v>
      </c>
      <c r="E118" s="17" t="s">
        <v>35</v>
      </c>
      <c r="F118" s="22">
        <v>173.4</v>
      </c>
      <c r="G118" s="17">
        <f>SQRT((4*(HSP!$B$2-$B118)^2+(HSP!$C$2-$C118)^2+(HSP!$D$2-$D118)^2))</f>
        <v>7.5616135844143741</v>
      </c>
      <c r="H118" s="17">
        <f>SQRT((4*(HSP!$B$3-$B118)^2+(HSP!$C$3-$C118)^2+(HSP!$D$3-$D118)^2))</f>
        <v>7.198499843717439</v>
      </c>
      <c r="I118" s="17">
        <f>SQRT((4*(HSP!$B$4-$B118)^2+(HSP!$C$4-$C118)^2+(HSP!$D$4-$D118)^2))</f>
        <v>4.5161930871033409</v>
      </c>
      <c r="J118" s="17">
        <f>SQRT((4*(HSP!$B$5-$B118)^2+(HSP!$C$5-$C118)^2+(HSP!$D$5-$D118)^2))</f>
        <v>8.1521101562724247</v>
      </c>
      <c r="K118" s="17">
        <f>SQRT((4*(HSP!$B$6-$B118)^2+(HSP!$C$6-$C118)^2+(HSP!$D$6-$D118)^2))</f>
        <v>7.4997999973332625</v>
      </c>
      <c r="L118" s="17" t="s">
        <v>35</v>
      </c>
      <c r="M118" s="17" t="s">
        <v>35</v>
      </c>
      <c r="N118" s="17" t="s">
        <v>35</v>
      </c>
      <c r="O118" s="17" t="s">
        <v>35</v>
      </c>
      <c r="P118" s="17" t="s">
        <v>35</v>
      </c>
      <c r="Q118" s="17">
        <f>$G118/HSP!$E$2</f>
        <v>0.46390267389045237</v>
      </c>
      <c r="R118" s="17">
        <f>$H118/HSP!$E$3</f>
        <v>0.53322221064573627</v>
      </c>
      <c r="S118" s="17">
        <f>$I118/HSP!$E$4</f>
        <v>0.28403730107568181</v>
      </c>
      <c r="T118" s="17">
        <f>$J118/HSP!$E$5</f>
        <v>0.59504453695419157</v>
      </c>
      <c r="U118" s="17">
        <f>$K118/HSP!$E$6</f>
        <v>0.50674324306305829</v>
      </c>
      <c r="V118" s="12"/>
      <c r="W118" s="12"/>
      <c r="X118" s="12"/>
      <c r="Y118" s="12"/>
      <c r="Z118" s="12"/>
    </row>
    <row r="119" spans="1:26" ht="15" customHeight="1" x14ac:dyDescent="0.3">
      <c r="A119" s="26" t="s">
        <v>256</v>
      </c>
      <c r="B119" s="17">
        <v>16.899999999999999</v>
      </c>
      <c r="C119" s="17">
        <v>3</v>
      </c>
      <c r="D119" s="17">
        <v>6.2</v>
      </c>
      <c r="E119" s="17" t="s">
        <v>35</v>
      </c>
      <c r="F119" s="22">
        <v>216.1</v>
      </c>
      <c r="G119" s="17">
        <f>SQRT((4*(HSP!$B$2-$B119)^2+(HSP!$C$2-$C119)^2+(HSP!$D$2-$D119)^2))</f>
        <v>8.7988635629835752</v>
      </c>
      <c r="H119" s="17">
        <f>SQRT((4*(HSP!$B$3-$B119)^2+(HSP!$C$3-$C119)^2+(HSP!$D$3-$D119)^2))</f>
        <v>7.0962243482009493</v>
      </c>
      <c r="I119" s="17">
        <f>SQRT((4*(HSP!$B$4-$B119)^2+(HSP!$C$4-$C119)^2+(HSP!$D$4-$D119)^2))</f>
        <v>3.8928138922892241</v>
      </c>
      <c r="J119" s="17">
        <f>SQRT((4*(HSP!$B$5-$B119)^2+(HSP!$C$5-$C119)^2+(HSP!$D$5-$D119)^2))</f>
        <v>11.290655428273418</v>
      </c>
      <c r="K119" s="17">
        <f>SQRT((4*(HSP!$B$6-$B119)^2+(HSP!$C$6-$C119)^2+(HSP!$D$6-$D119)^2))</f>
        <v>5.2834647722872141</v>
      </c>
      <c r="L119" s="17" t="s">
        <v>35</v>
      </c>
      <c r="M119" s="17" t="s">
        <v>35</v>
      </c>
      <c r="N119" s="17" t="s">
        <v>35</v>
      </c>
      <c r="O119" s="17" t="s">
        <v>35</v>
      </c>
      <c r="P119" s="17" t="s">
        <v>35</v>
      </c>
      <c r="Q119" s="17">
        <f>$G119/HSP!$E$2</f>
        <v>0.53980758055113953</v>
      </c>
      <c r="R119" s="17">
        <f>$H119/HSP!$E$3</f>
        <v>0.52564624801488513</v>
      </c>
      <c r="S119" s="17">
        <f>$I119/HSP!$E$4</f>
        <v>0.2448310624081273</v>
      </c>
      <c r="T119" s="17">
        <f>$J119/HSP!$E$5</f>
        <v>0.82413543272068746</v>
      </c>
      <c r="U119" s="17">
        <f>$K119/HSP!$E$6</f>
        <v>0.35699086299237931</v>
      </c>
      <c r="V119" s="12"/>
      <c r="W119" s="12"/>
      <c r="X119" s="12"/>
      <c r="Y119" s="12"/>
      <c r="Z119" s="12"/>
    </row>
    <row r="120" spans="1:26" ht="15" customHeight="1" x14ac:dyDescent="0.3">
      <c r="A120" s="26" t="s">
        <v>257</v>
      </c>
      <c r="B120" s="17">
        <v>18</v>
      </c>
      <c r="C120" s="17">
        <v>6</v>
      </c>
      <c r="D120" s="17">
        <v>7.3</v>
      </c>
      <c r="E120" s="17" t="s">
        <v>35</v>
      </c>
      <c r="F120" s="22">
        <v>265.39999999999998</v>
      </c>
      <c r="G120" s="17">
        <f>SQRT((4*(HSP!$B$2-$B120)^2+(HSP!$C$2-$C120)^2+(HSP!$D$2-$D120)^2))</f>
        <v>8.1384273665125271</v>
      </c>
      <c r="H120" s="17">
        <f>SQRT((4*(HSP!$B$3-$B120)^2+(HSP!$C$3-$C120)^2+(HSP!$D$3-$D120)^2))</f>
        <v>6.0770387525504566</v>
      </c>
      <c r="I120" s="17">
        <f>SQRT((4*(HSP!$B$4-$B120)^2+(HSP!$C$4-$C120)^2+(HSP!$D$4-$D120)^2))</f>
        <v>5.8333523809212835</v>
      </c>
      <c r="J120" s="17">
        <f>SQRT((4*(HSP!$B$5-$B120)^2+(HSP!$C$5-$C120)^2+(HSP!$D$5-$D120)^2))</f>
        <v>9.3886580510741791</v>
      </c>
      <c r="K120" s="17">
        <f>SQRT((4*(HSP!$B$6-$B120)^2+(HSP!$C$6-$C120)^2+(HSP!$D$6-$D120)^2))</f>
        <v>6.472943688925465</v>
      </c>
      <c r="L120" s="17" t="s">
        <v>35</v>
      </c>
      <c r="M120" s="17" t="s">
        <v>35</v>
      </c>
      <c r="N120" s="17" t="s">
        <v>35</v>
      </c>
      <c r="O120" s="17" t="s">
        <v>35</v>
      </c>
      <c r="P120" s="17" t="s">
        <v>35</v>
      </c>
      <c r="Q120" s="17">
        <f>$G120/HSP!$E$2</f>
        <v>0.49929002248543108</v>
      </c>
      <c r="R120" s="17">
        <f>$H120/HSP!$E$3</f>
        <v>0.45015101870744123</v>
      </c>
      <c r="S120" s="17">
        <f>$I120/HSP!$E$4</f>
        <v>0.36687750823404297</v>
      </c>
      <c r="T120" s="17">
        <f>$J120/HSP!$E$5</f>
        <v>0.68530350737767731</v>
      </c>
      <c r="U120" s="17">
        <f>$K120/HSP!$E$6</f>
        <v>0.43736106006253139</v>
      </c>
      <c r="V120" s="12"/>
      <c r="W120" s="12"/>
      <c r="X120" s="12"/>
      <c r="Y120" s="12"/>
      <c r="Z120" s="12"/>
    </row>
    <row r="121" spans="1:26" ht="15" customHeight="1" x14ac:dyDescent="0.3">
      <c r="A121" s="26" t="s">
        <v>258</v>
      </c>
      <c r="B121" s="17">
        <v>16.3</v>
      </c>
      <c r="C121" s="17">
        <v>3.1</v>
      </c>
      <c r="D121" s="17">
        <v>6.4</v>
      </c>
      <c r="E121" s="17" t="s">
        <v>35</v>
      </c>
      <c r="F121" s="22">
        <v>200.6</v>
      </c>
      <c r="G121" s="17">
        <f>SQRT((4*(HSP!$B$2-$B121)^2+(HSP!$C$2-$C121)^2+(HSP!$D$2-$D121)^2))</f>
        <v>8.1280994088409155</v>
      </c>
      <c r="H121" s="17">
        <f>SQRT((4*(HSP!$B$3-$B121)^2+(HSP!$C$3-$C121)^2+(HSP!$D$3-$D121)^2))</f>
        <v>6.6976413758874855</v>
      </c>
      <c r="I121" s="17">
        <f>SQRT((4*(HSP!$B$4-$B121)^2+(HSP!$C$4-$C121)^2+(HSP!$D$4-$D121)^2))</f>
        <v>2.7863955210988989</v>
      </c>
      <c r="J121" s="17">
        <f>SQRT((4*(HSP!$B$5-$B121)^2+(HSP!$C$5-$C121)^2+(HSP!$D$5-$D121)^2))</f>
        <v>10.830923321674844</v>
      </c>
      <c r="K121" s="17">
        <f>SQRT((4*(HSP!$B$6-$B121)^2+(HSP!$C$6-$C121)^2+(HSP!$D$6-$D121)^2))</f>
        <v>4.672793596982431</v>
      </c>
      <c r="L121" s="17" t="s">
        <v>35</v>
      </c>
      <c r="M121" s="17" t="s">
        <v>35</v>
      </c>
      <c r="N121" s="17" t="s">
        <v>35</v>
      </c>
      <c r="O121" s="17" t="s">
        <v>35</v>
      </c>
      <c r="P121" s="17" t="s">
        <v>35</v>
      </c>
      <c r="Q121" s="17">
        <f>$G121/HSP!$E$2</f>
        <v>0.49865640545036288</v>
      </c>
      <c r="R121" s="17">
        <f>$H121/HSP!$E$3</f>
        <v>0.49612158339907303</v>
      </c>
      <c r="S121" s="17">
        <f>$I121/HSP!$E$4</f>
        <v>0.17524500132697476</v>
      </c>
      <c r="T121" s="17">
        <f>$J121/HSP!$E$5</f>
        <v>0.79057834464779886</v>
      </c>
      <c r="U121" s="17">
        <f>$K121/HSP!$E$6</f>
        <v>0.31572929709340747</v>
      </c>
      <c r="V121" s="12"/>
      <c r="W121" s="12"/>
      <c r="X121" s="12"/>
      <c r="Y121" s="12"/>
      <c r="Z121" s="12"/>
    </row>
    <row r="122" spans="1:26" ht="15" customHeight="1" x14ac:dyDescent="0.3">
      <c r="A122" s="26" t="s">
        <v>259</v>
      </c>
      <c r="B122" s="17">
        <v>16.7</v>
      </c>
      <c r="C122" s="17">
        <v>2.8</v>
      </c>
      <c r="D122" s="17">
        <v>5.8</v>
      </c>
      <c r="E122" s="17" t="s">
        <v>35</v>
      </c>
      <c r="F122" s="22">
        <v>249.2</v>
      </c>
      <c r="G122" s="17">
        <f>SQRT((4*(HSP!$B$2-$B122)^2+(HSP!$C$2-$C122)^2+(HSP!$D$2-$D122)^2))</f>
        <v>8.8152141210523087</v>
      </c>
      <c r="H122" s="17">
        <f>SQRT((4*(HSP!$B$3-$B122)^2+(HSP!$C$3-$C122)^2+(HSP!$D$3-$D122)^2))</f>
        <v>7.1512516386993399</v>
      </c>
      <c r="I122" s="17">
        <f>SQRT((4*(HSP!$B$4-$B122)^2+(HSP!$C$4-$C122)^2+(HSP!$D$4-$D122)^2))</f>
        <v>3.7280021459221282</v>
      </c>
      <c r="J122" s="17">
        <f>SQRT((4*(HSP!$B$5-$B122)^2+(HSP!$C$5-$C122)^2+(HSP!$D$5-$D122)^2))</f>
        <v>11.528352007117062</v>
      </c>
      <c r="K122" s="17">
        <f>SQRT((4*(HSP!$B$6-$B122)^2+(HSP!$C$6-$C122)^2+(HSP!$D$6-$D122)^2))</f>
        <v>5.0158747990754309</v>
      </c>
      <c r="L122" s="17" t="s">
        <v>35</v>
      </c>
      <c r="M122" s="17" t="s">
        <v>35</v>
      </c>
      <c r="N122" s="17" t="s">
        <v>35</v>
      </c>
      <c r="O122" s="17" t="s">
        <v>35</v>
      </c>
      <c r="P122" s="17" t="s">
        <v>35</v>
      </c>
      <c r="Q122" s="17">
        <f>$G122/HSP!$E$2</f>
        <v>0.54081068227314777</v>
      </c>
      <c r="R122" s="17">
        <f>$H122/HSP!$E$3</f>
        <v>0.52972234360735848</v>
      </c>
      <c r="S122" s="17">
        <f>$I122/HSP!$E$4</f>
        <v>0.23446554376868731</v>
      </c>
      <c r="T122" s="17">
        <f>$J122/HSP!$E$5</f>
        <v>0.84148554796474917</v>
      </c>
      <c r="U122" s="17">
        <f>$K122/HSP!$E$6</f>
        <v>0.33891045939698855</v>
      </c>
      <c r="V122" s="12"/>
      <c r="W122" s="12"/>
      <c r="X122" s="12"/>
      <c r="Y122" s="12"/>
      <c r="Z122" s="12"/>
    </row>
    <row r="123" spans="1:26" ht="15" customHeight="1" x14ac:dyDescent="0.3">
      <c r="A123" s="26" t="s">
        <v>260</v>
      </c>
      <c r="B123" s="17">
        <v>16.3</v>
      </c>
      <c r="C123" s="17">
        <v>10.1</v>
      </c>
      <c r="D123" s="17">
        <v>5.5</v>
      </c>
      <c r="E123" s="17" t="s">
        <v>35</v>
      </c>
      <c r="F123" s="22">
        <v>169.3</v>
      </c>
      <c r="G123" s="17">
        <f>SQRT((4*(HSP!$B$2-$B123)^2+(HSP!$C$2-$C123)^2+(HSP!$D$2-$D123)^2))</f>
        <v>3.7255872020394336</v>
      </c>
      <c r="H123" s="17">
        <f>SQRT((4*(HSP!$B$3-$B123)^2+(HSP!$C$3-$C123)^2+(HSP!$D$3-$D123)^2))</f>
        <v>1.3358143583597257</v>
      </c>
      <c r="I123" s="17">
        <f>SQRT((4*(HSP!$B$4-$B123)^2+(HSP!$C$4-$C123)^2+(HSP!$D$4-$D123)^2))</f>
        <v>6.0144825213812041</v>
      </c>
      <c r="J123" s="17">
        <f>SQRT((4*(HSP!$B$5-$B123)^2+(HSP!$C$5-$C123)^2+(HSP!$D$5-$D123)^2))</f>
        <v>6.3712557631914306</v>
      </c>
      <c r="K123" s="17">
        <f>SQRT((4*(HSP!$B$6-$B123)^2+(HSP!$C$6-$C123)^2+(HSP!$D$6-$D123)^2))</f>
        <v>4.5205088209182831</v>
      </c>
      <c r="L123" s="17" t="s">
        <v>35</v>
      </c>
      <c r="M123" s="17" t="s">
        <v>35</v>
      </c>
      <c r="N123" s="17" t="s">
        <v>35</v>
      </c>
      <c r="O123" s="17" t="s">
        <v>35</v>
      </c>
      <c r="P123" s="17" t="s">
        <v>35</v>
      </c>
      <c r="Q123" s="17">
        <f>$G123/HSP!$E$2</f>
        <v>0.22856363202695912</v>
      </c>
      <c r="R123" s="17">
        <f>$H123/HSP!$E$3</f>
        <v>9.8949211730350053E-2</v>
      </c>
      <c r="S123" s="17">
        <f>$I123/HSP!$E$4</f>
        <v>0.3782693409673713</v>
      </c>
      <c r="T123" s="17">
        <f>$J123/HSP!$E$5</f>
        <v>0.46505516519645479</v>
      </c>
      <c r="U123" s="17">
        <f>$K123/HSP!$E$6</f>
        <v>0.30543978519718129</v>
      </c>
      <c r="V123" s="12"/>
      <c r="W123" s="12"/>
      <c r="X123" s="12"/>
      <c r="Y123" s="12"/>
      <c r="Z123" s="12"/>
    </row>
    <row r="124" spans="1:26" ht="15" customHeight="1" x14ac:dyDescent="0.3">
      <c r="A124" s="26" t="s">
        <v>261</v>
      </c>
      <c r="B124" s="17">
        <v>17.2</v>
      </c>
      <c r="C124" s="17">
        <v>1.8</v>
      </c>
      <c r="D124" s="17">
        <v>4.3</v>
      </c>
      <c r="E124" s="17" t="s">
        <v>35</v>
      </c>
      <c r="F124" s="22">
        <v>162.9</v>
      </c>
      <c r="G124" s="17">
        <f>SQRT((4*(HSP!$B$2-$B124)^2+(HSP!$C$2-$C124)^2+(HSP!$D$2-$D124)^2))</f>
        <v>10.450741600479843</v>
      </c>
      <c r="H124" s="17">
        <f>SQRT((4*(HSP!$B$3-$B124)^2+(HSP!$C$3-$C124)^2+(HSP!$D$3-$D124)^2))</f>
        <v>8.5563076148535018</v>
      </c>
      <c r="I124" s="17">
        <f>SQRT((4*(HSP!$B$4-$B124)^2+(HSP!$C$4-$C124)^2+(HSP!$D$4-$D124)^2))</f>
        <v>5.5702782695301662</v>
      </c>
      <c r="J124" s="17">
        <f>SQRT((4*(HSP!$B$5-$B124)^2+(HSP!$C$5-$C124)^2+(HSP!$D$5-$D124)^2))</f>
        <v>13.345519847499384</v>
      </c>
      <c r="K124" s="17">
        <f>SQRT((4*(HSP!$B$6-$B124)^2+(HSP!$C$6-$C124)^2+(HSP!$D$6-$D124)^2))</f>
        <v>6.0447497880392032</v>
      </c>
      <c r="L124" s="17" t="s">
        <v>35</v>
      </c>
      <c r="M124" s="17" t="s">
        <v>35</v>
      </c>
      <c r="N124" s="17" t="s">
        <v>35</v>
      </c>
      <c r="O124" s="17" t="s">
        <v>35</v>
      </c>
      <c r="P124" s="17" t="s">
        <v>35</v>
      </c>
      <c r="Q124" s="17">
        <f>$G124/HSP!$E$2</f>
        <v>0.64114979144048112</v>
      </c>
      <c r="R124" s="17">
        <f>$H124/HSP!$E$3</f>
        <v>0.63380056406322238</v>
      </c>
      <c r="S124" s="17">
        <f>$I124/HSP!$E$4</f>
        <v>0.35033196663711735</v>
      </c>
      <c r="T124" s="17">
        <f>$J124/HSP!$E$5</f>
        <v>0.9741255363138237</v>
      </c>
      <c r="U124" s="17">
        <f>$K124/HSP!$E$6</f>
        <v>0.4084290397323786</v>
      </c>
      <c r="V124" s="12"/>
      <c r="W124" s="12"/>
      <c r="X124" s="12"/>
      <c r="Y124" s="12"/>
      <c r="Z124" s="12"/>
    </row>
    <row r="125" spans="1:26" ht="15" customHeight="1" x14ac:dyDescent="0.3">
      <c r="A125" s="26" t="s">
        <v>262</v>
      </c>
      <c r="B125" s="17">
        <v>18.899999999999999</v>
      </c>
      <c r="C125" s="17">
        <v>8.6999999999999993</v>
      </c>
      <c r="D125" s="17">
        <v>8.6999999999999993</v>
      </c>
      <c r="E125" s="17" t="s">
        <v>35</v>
      </c>
      <c r="F125" s="22">
        <v>179.4</v>
      </c>
      <c r="G125" s="17">
        <f>SQRT((4*(HSP!$B$2-$B125)^2+(HSP!$C$2-$C125)^2+(HSP!$D$2-$D125)^2))</f>
        <v>8.9451662924732691</v>
      </c>
      <c r="H125" s="17">
        <f>SQRT((4*(HSP!$B$3-$B125)^2+(HSP!$C$3-$C125)^2+(HSP!$D$3-$D125)^2))</f>
        <v>7.1015772895885583</v>
      </c>
      <c r="I125" s="17">
        <f>SQRT((4*(HSP!$B$4-$B125)^2+(HSP!$C$4-$C125)^2+(HSP!$D$4-$D125)^2))</f>
        <v>8.6845840430040138</v>
      </c>
      <c r="J125" s="17">
        <f>SQRT((4*(HSP!$B$5-$B125)^2+(HSP!$C$5-$C125)^2+(HSP!$D$5-$D125)^2))</f>
        <v>8.5930727914989742</v>
      </c>
      <c r="K125" s="17">
        <f>SQRT((4*(HSP!$B$6-$B125)^2+(HSP!$C$6-$C125)^2+(HSP!$D$6-$D125)^2))</f>
        <v>9.0212526846331027</v>
      </c>
      <c r="L125" s="17" t="s">
        <v>35</v>
      </c>
      <c r="M125" s="17" t="s">
        <v>35</v>
      </c>
      <c r="N125" s="17" t="s">
        <v>35</v>
      </c>
      <c r="O125" s="17" t="s">
        <v>35</v>
      </c>
      <c r="P125" s="17" t="s">
        <v>35</v>
      </c>
      <c r="Q125" s="17">
        <f>$G125/HSP!$E$2</f>
        <v>0.54878320812719439</v>
      </c>
      <c r="R125" s="17">
        <f>$H125/HSP!$E$3</f>
        <v>0.52604276219174506</v>
      </c>
      <c r="S125" s="17">
        <f>$I125/HSP!$E$4</f>
        <v>0.54620025427698193</v>
      </c>
      <c r="T125" s="17">
        <f>$J125/HSP!$E$5</f>
        <v>0.62723159062036316</v>
      </c>
      <c r="U125" s="17">
        <f>$K125/HSP!$E$6</f>
        <v>0.6095441003130474</v>
      </c>
      <c r="V125" s="12"/>
      <c r="W125" s="12"/>
      <c r="X125" s="12"/>
      <c r="Y125" s="12"/>
      <c r="Z125" s="12"/>
    </row>
    <row r="126" spans="1:26" ht="15" customHeight="1" x14ac:dyDescent="0.3">
      <c r="A126" s="26" t="s">
        <v>263</v>
      </c>
      <c r="B126" s="17">
        <v>19.3</v>
      </c>
      <c r="C126" s="17">
        <v>10.6</v>
      </c>
      <c r="D126" s="17">
        <v>9.9</v>
      </c>
      <c r="E126" s="17" t="s">
        <v>35</v>
      </c>
      <c r="F126" s="22">
        <v>136.5</v>
      </c>
      <c r="G126" s="17">
        <f>SQRT((4*(HSP!$B$2-$B126)^2+(HSP!$C$2-$C126)^2+(HSP!$D$2-$D126)^2))</f>
        <v>9.8440845181255945</v>
      </c>
      <c r="H126" s="17">
        <f>SQRT((4*(HSP!$B$3-$B126)^2+(HSP!$C$3-$C126)^2+(HSP!$D$3-$D126)^2))</f>
        <v>8.3461607940417739</v>
      </c>
      <c r="I126" s="17">
        <f>SQRT((4*(HSP!$B$4-$B126)^2+(HSP!$C$4-$C126)^2+(HSP!$D$4-$D126)^2))</f>
        <v>10.624688230719997</v>
      </c>
      <c r="J126" s="17">
        <f>SQRT((4*(HSP!$B$5-$B126)^2+(HSP!$C$5-$C126)^2+(HSP!$D$5-$D126)^2))</f>
        <v>8.3975532150740229</v>
      </c>
      <c r="K126" s="17">
        <f>SQRT((4*(HSP!$B$6-$B126)^2+(HSP!$C$6-$C126)^2+(HSP!$D$6-$D126)^2))</f>
        <v>10.906649347989513</v>
      </c>
      <c r="L126" s="17" t="s">
        <v>35</v>
      </c>
      <c r="M126" s="17" t="s">
        <v>35</v>
      </c>
      <c r="N126" s="17" t="s">
        <v>35</v>
      </c>
      <c r="O126" s="17" t="s">
        <v>35</v>
      </c>
      <c r="P126" s="17" t="s">
        <v>35</v>
      </c>
      <c r="Q126" s="17">
        <f>$G126/HSP!$E$2</f>
        <v>0.60393156552917759</v>
      </c>
      <c r="R126" s="17">
        <f>$H126/HSP!$E$3</f>
        <v>0.61823413289198326</v>
      </c>
      <c r="S126" s="17">
        <f>$I126/HSP!$E$4</f>
        <v>0.66821938557987404</v>
      </c>
      <c r="T126" s="17">
        <f>$J126/HSP!$E$5</f>
        <v>0.61296008869153451</v>
      </c>
      <c r="U126" s="17">
        <f>$K126/HSP!$E$6</f>
        <v>0.73693576675604811</v>
      </c>
      <c r="V126" s="12"/>
      <c r="W126" s="12"/>
      <c r="X126" s="12"/>
      <c r="Y126" s="12"/>
      <c r="Z126" s="12"/>
    </row>
    <row r="127" spans="1:26" ht="15" customHeight="1" x14ac:dyDescent="0.3">
      <c r="A127" s="26" t="s">
        <v>264</v>
      </c>
      <c r="B127" s="17">
        <v>16.399999999999999</v>
      </c>
      <c r="C127" s="17">
        <v>2.1</v>
      </c>
      <c r="D127" s="17">
        <v>5</v>
      </c>
      <c r="E127" s="17" t="s">
        <v>35</v>
      </c>
      <c r="F127" s="22">
        <v>273.89999999999998</v>
      </c>
      <c r="G127" s="17">
        <f>SQRT((4*(HSP!$B$2-$B127)^2+(HSP!$C$2-$C127)^2+(HSP!$D$2-$D127)^2))</f>
        <v>9.3150415994776967</v>
      </c>
      <c r="H127" s="17">
        <f>SQRT((4*(HSP!$B$3-$B127)^2+(HSP!$C$3-$C127)^2+(HSP!$D$3-$D127)^2))</f>
        <v>7.7357869670771056</v>
      </c>
      <c r="I127" s="17">
        <f>SQRT((4*(HSP!$B$4-$B127)^2+(HSP!$C$4-$C127)^2+(HSP!$D$4-$D127)^2))</f>
        <v>3.9934947101504945</v>
      </c>
      <c r="J127" s="17">
        <f>SQRT((4*(HSP!$B$5-$B127)^2+(HSP!$C$5-$C127)^2+(HSP!$D$5-$D127)^2))</f>
        <v>12.371616709226002</v>
      </c>
      <c r="K127" s="17">
        <f>SQRT((4*(HSP!$B$6-$B127)^2+(HSP!$C$6-$C127)^2+(HSP!$D$6-$D127)^2))</f>
        <v>5.0178680731960252</v>
      </c>
      <c r="L127" s="17" t="s">
        <v>35</v>
      </c>
      <c r="M127" s="17" t="s">
        <v>35</v>
      </c>
      <c r="N127" s="17" t="s">
        <v>35</v>
      </c>
      <c r="O127" s="17" t="s">
        <v>35</v>
      </c>
      <c r="P127" s="17" t="s">
        <v>35</v>
      </c>
      <c r="Q127" s="17">
        <f>$G127/HSP!$E$2</f>
        <v>0.57147494475323291</v>
      </c>
      <c r="R127" s="17">
        <f>$H127/HSP!$E$3</f>
        <v>0.57302125682052629</v>
      </c>
      <c r="S127" s="17">
        <f>$I127/HSP!$E$4</f>
        <v>0.25116318931764114</v>
      </c>
      <c r="T127" s="17">
        <f>$J127/HSP!$E$5</f>
        <v>0.90303771600189797</v>
      </c>
      <c r="U127" s="17">
        <f>$K127/HSP!$E$6</f>
        <v>0.33904514008081249</v>
      </c>
      <c r="V127" s="12"/>
      <c r="W127" s="12"/>
      <c r="X127" s="12"/>
      <c r="Y127" s="12"/>
      <c r="Z127" s="12"/>
    </row>
    <row r="128" spans="1:26" ht="15" customHeight="1" x14ac:dyDescent="0.3">
      <c r="A128" s="26" t="s">
        <v>265</v>
      </c>
      <c r="B128" s="17">
        <v>16.100000000000001</v>
      </c>
      <c r="C128" s="17">
        <v>5.6</v>
      </c>
      <c r="D128" s="17">
        <v>13.4</v>
      </c>
      <c r="E128" s="17" t="s">
        <v>35</v>
      </c>
      <c r="F128" s="22">
        <v>118</v>
      </c>
      <c r="G128" s="17">
        <f>SQRT((4*(HSP!$B$2-$B128)^2+(HSP!$C$2-$C128)^2+(HSP!$D$2-$D128)^2))</f>
        <v>8.5927876733921487</v>
      </c>
      <c r="H128" s="17">
        <f>SQRT((4*(HSP!$B$3-$B128)^2+(HSP!$C$3-$C128)^2+(HSP!$D$3-$D128)^2))</f>
        <v>8.6378469539579132</v>
      </c>
      <c r="I128" s="17">
        <f>SQRT((4*(HSP!$B$4-$B128)^2+(HSP!$C$4-$C128)^2+(HSP!$D$4-$D128)^2))</f>
        <v>6.918525854544451</v>
      </c>
      <c r="J128" s="17">
        <f>SQRT((4*(HSP!$B$5-$B128)^2+(HSP!$C$5-$C128)^2+(HSP!$D$5-$D128)^2))</f>
        <v>7.7169229619065156</v>
      </c>
      <c r="K128" s="17">
        <f>SQRT((4*(HSP!$B$6-$B128)^2+(HSP!$C$6-$C128)^2+(HSP!$D$6-$D128)^2))</f>
        <v>9.728668973708583</v>
      </c>
      <c r="L128" s="17" t="s">
        <v>35</v>
      </c>
      <c r="M128" s="17" t="s">
        <v>35</v>
      </c>
      <c r="N128" s="17" t="s">
        <v>35</v>
      </c>
      <c r="O128" s="17" t="s">
        <v>35</v>
      </c>
      <c r="P128" s="17" t="s">
        <v>35</v>
      </c>
      <c r="Q128" s="17">
        <f>$G128/HSP!$E$2</f>
        <v>0.52716488793816862</v>
      </c>
      <c r="R128" s="17">
        <f>$H128/HSP!$E$3</f>
        <v>0.63984051510799356</v>
      </c>
      <c r="S128" s="17">
        <f>$I128/HSP!$E$4</f>
        <v>0.43512741223550006</v>
      </c>
      <c r="T128" s="17">
        <f>$J128/HSP!$E$5</f>
        <v>0.56327904831434428</v>
      </c>
      <c r="U128" s="17">
        <f>$K128/HSP!$E$6</f>
        <v>0.65734249822355284</v>
      </c>
      <c r="V128" s="12"/>
      <c r="W128" s="12"/>
      <c r="X128" s="12"/>
      <c r="Y128" s="12"/>
      <c r="Z128" s="12"/>
    </row>
    <row r="129" spans="1:26" ht="15" customHeight="1" x14ac:dyDescent="0.3">
      <c r="A129" s="26" t="s">
        <v>266</v>
      </c>
      <c r="B129" s="17">
        <v>15.9</v>
      </c>
      <c r="C129" s="17">
        <v>3.1</v>
      </c>
      <c r="D129" s="17">
        <v>6.4</v>
      </c>
      <c r="E129" s="17" t="s">
        <v>35</v>
      </c>
      <c r="F129" s="22">
        <v>165.3</v>
      </c>
      <c r="G129" s="17">
        <f>SQRT((4*(HSP!$B$2-$B129)^2+(HSP!$C$2-$C129)^2+(HSP!$D$2-$D129)^2))</f>
        <v>7.8272600570059012</v>
      </c>
      <c r="H129" s="17">
        <f>SQRT((4*(HSP!$B$3-$B129)^2+(HSP!$C$3-$C129)^2+(HSP!$D$3-$D129)^2))</f>
        <v>6.5989696165386311</v>
      </c>
      <c r="I129" s="17">
        <f>SQRT((4*(HSP!$B$4-$B129)^2+(HSP!$C$4-$C129)^2+(HSP!$D$4-$D129)^2))</f>
        <v>2.1881499034572562</v>
      </c>
      <c r="J129" s="17">
        <f>SQRT((4*(HSP!$B$5-$B129)^2+(HSP!$C$5-$C129)^2+(HSP!$D$5-$D129)^2))</f>
        <v>10.707609443755409</v>
      </c>
      <c r="K129" s="17">
        <f>SQRT((4*(HSP!$B$6-$B129)^2+(HSP!$C$6-$C129)^2+(HSP!$D$6-$D129)^2))</f>
        <v>4.3793835182591625</v>
      </c>
      <c r="L129" s="17" t="s">
        <v>35</v>
      </c>
      <c r="M129" s="17" t="s">
        <v>35</v>
      </c>
      <c r="N129" s="17" t="s">
        <v>35</v>
      </c>
      <c r="O129" s="17" t="s">
        <v>35</v>
      </c>
      <c r="P129" s="17" t="s">
        <v>35</v>
      </c>
      <c r="Q129" s="17">
        <f>$G129/HSP!$E$2</f>
        <v>0.48020000349729453</v>
      </c>
      <c r="R129" s="17">
        <f>$H129/HSP!$E$3</f>
        <v>0.48881256418804675</v>
      </c>
      <c r="S129" s="17">
        <f>$I129/HSP!$E$4</f>
        <v>0.13761949078347524</v>
      </c>
      <c r="T129" s="17">
        <f>$J129/HSP!$E$5</f>
        <v>0.78157733166097876</v>
      </c>
      <c r="U129" s="17">
        <f>$K129/HSP!$E$6</f>
        <v>0.29590429177426775</v>
      </c>
      <c r="V129" s="12"/>
      <c r="W129" s="12"/>
      <c r="X129" s="12"/>
      <c r="Y129" s="12"/>
      <c r="Z129" s="12"/>
    </row>
    <row r="130" spans="1:26" ht="15" customHeight="1" x14ac:dyDescent="0.3">
      <c r="A130" s="26" t="s">
        <v>267</v>
      </c>
      <c r="B130" s="17">
        <v>15.8</v>
      </c>
      <c r="C130" s="17">
        <v>2.6</v>
      </c>
      <c r="D130" s="17">
        <v>5.8</v>
      </c>
      <c r="E130" s="17" t="s">
        <v>35</v>
      </c>
      <c r="F130" s="22">
        <v>200.2</v>
      </c>
      <c r="G130" s="17">
        <f>SQRT((4*(HSP!$B$2-$B130)^2+(HSP!$C$2-$C130)^2+(HSP!$D$2-$D130)^2))</f>
        <v>8.3025297349663258</v>
      </c>
      <c r="H130" s="17">
        <f>SQRT((4*(HSP!$B$3-$B130)^2+(HSP!$C$3-$C130)^2+(HSP!$D$3-$D130)^2))</f>
        <v>7.0634552451332207</v>
      </c>
      <c r="I130" s="17">
        <f>SQRT((4*(HSP!$B$4-$B130)^2+(HSP!$C$4-$C130)^2+(HSP!$D$4-$D130)^2))</f>
        <v>2.6294486114012576</v>
      </c>
      <c r="J130" s="17">
        <f>SQRT((4*(HSP!$B$5-$B130)^2+(HSP!$C$5-$C130)^2+(HSP!$D$5-$D130)^2))</f>
        <v>11.395389418532393</v>
      </c>
      <c r="K130" s="17">
        <f>SQRT((4*(HSP!$B$6-$B130)^2+(HSP!$C$6-$C130)^2+(HSP!$D$6-$D130)^2))</f>
        <v>4.4266239957782725</v>
      </c>
      <c r="L130" s="17" t="s">
        <v>35</v>
      </c>
      <c r="M130" s="17" t="s">
        <v>35</v>
      </c>
      <c r="N130" s="17" t="s">
        <v>35</v>
      </c>
      <c r="O130" s="17" t="s">
        <v>35</v>
      </c>
      <c r="P130" s="17" t="s">
        <v>35</v>
      </c>
      <c r="Q130" s="17">
        <f>$G130/HSP!$E$2</f>
        <v>0.50935765245192177</v>
      </c>
      <c r="R130" s="17">
        <f>$H130/HSP!$E$3</f>
        <v>0.52321890704690521</v>
      </c>
      <c r="S130" s="17">
        <f>$I130/HSP!$E$4</f>
        <v>0.16537412650322375</v>
      </c>
      <c r="T130" s="17">
        <f>$J130/HSP!$E$5</f>
        <v>0.83178024952791185</v>
      </c>
      <c r="U130" s="17">
        <f>$K130/HSP!$E$6</f>
        <v>0.29909621593096436</v>
      </c>
      <c r="V130" s="12"/>
      <c r="W130" s="12"/>
      <c r="X130" s="12"/>
      <c r="Y130" s="12"/>
      <c r="Z130" s="12"/>
    </row>
    <row r="131" spans="1:26" ht="15" customHeight="1" x14ac:dyDescent="0.3">
      <c r="A131" s="26" t="s">
        <v>268</v>
      </c>
      <c r="B131" s="17">
        <v>16.600000000000001</v>
      </c>
      <c r="C131" s="17">
        <v>7</v>
      </c>
      <c r="D131" s="17">
        <v>9.9</v>
      </c>
      <c r="E131" s="17" t="s">
        <v>35</v>
      </c>
      <c r="F131" s="22">
        <v>207.8</v>
      </c>
      <c r="G131" s="17">
        <f>SQRT((4*(HSP!$B$2-$B131)^2+(HSP!$C$2-$C131)^2+(HSP!$D$2-$D131)^2))</f>
        <v>6.0413574633520923</v>
      </c>
      <c r="H131" s="17">
        <f>SQRT((4*(HSP!$B$3-$B131)^2+(HSP!$C$3-$C131)^2+(HSP!$D$3-$D131)^2))</f>
        <v>5.1994615105797264</v>
      </c>
      <c r="I131" s="17">
        <f>SQRT((4*(HSP!$B$4-$B131)^2+(HSP!$C$4-$C131)^2+(HSP!$D$4-$D131)^2))</f>
        <v>4.8137303622035192</v>
      </c>
      <c r="J131" s="17">
        <f>SQRT((4*(HSP!$B$5-$B131)^2+(HSP!$C$5-$C131)^2+(HSP!$D$5-$D131)^2))</f>
        <v>6.3917837885835933</v>
      </c>
      <c r="K131" s="17">
        <f>SQRT((4*(HSP!$B$6-$B131)^2+(HSP!$C$6-$C131)^2+(HSP!$D$6-$D131)^2))</f>
        <v>6.6334757103648183</v>
      </c>
      <c r="L131" s="17" t="s">
        <v>35</v>
      </c>
      <c r="M131" s="17" t="s">
        <v>35</v>
      </c>
      <c r="N131" s="17" t="s">
        <v>35</v>
      </c>
      <c r="O131" s="17" t="s">
        <v>35</v>
      </c>
      <c r="P131" s="17" t="s">
        <v>35</v>
      </c>
      <c r="Q131" s="17">
        <f>$G131/HSP!$E$2</f>
        <v>0.37063542719951487</v>
      </c>
      <c r="R131" s="17">
        <f>$H131/HSP!$E$3</f>
        <v>0.38514529707997974</v>
      </c>
      <c r="S131" s="17">
        <f>$I131/HSP!$E$4</f>
        <v>0.30275033724550438</v>
      </c>
      <c r="T131" s="17">
        <f>$J131/HSP!$E$5</f>
        <v>0.4665535612104813</v>
      </c>
      <c r="U131" s="17">
        <f>$K131/HSP!$E$6</f>
        <v>0.44820781826789313</v>
      </c>
      <c r="V131" s="12"/>
      <c r="W131" s="12"/>
      <c r="X131" s="12"/>
      <c r="Y131" s="12"/>
      <c r="Z131" s="12"/>
    </row>
    <row r="132" spans="1:26" ht="15" customHeight="1" x14ac:dyDescent="0.3">
      <c r="A132" s="26" t="s">
        <v>269</v>
      </c>
      <c r="B132" s="17">
        <v>15.8</v>
      </c>
      <c r="C132" s="17">
        <v>2.9</v>
      </c>
      <c r="D132" s="17">
        <v>5.9</v>
      </c>
      <c r="E132" s="17" t="s">
        <v>35</v>
      </c>
      <c r="F132" s="22">
        <v>165</v>
      </c>
      <c r="G132" s="17">
        <f>SQRT((4*(HSP!$B$2-$B132)^2+(HSP!$C$2-$C132)^2+(HSP!$D$2-$D132)^2))</f>
        <v>8.0049984384758002</v>
      </c>
      <c r="H132" s="17">
        <f>SQRT((4*(HSP!$B$3-$B132)^2+(HSP!$C$3-$C132)^2+(HSP!$D$3-$D132)^2))</f>
        <v>6.764052040012702</v>
      </c>
      <c r="I132" s="17">
        <f>SQRT((4*(HSP!$B$4-$B132)^2+(HSP!$C$4-$C132)^2+(HSP!$D$4-$D132)^2))</f>
        <v>2.3592371648479942</v>
      </c>
      <c r="J132" s="17">
        <f>SQRT((4*(HSP!$B$5-$B132)^2+(HSP!$C$5-$C132)^2+(HSP!$D$5-$D132)^2))</f>
        <v>11.084083182654306</v>
      </c>
      <c r="K132" s="17">
        <f>SQRT((4*(HSP!$B$6-$B132)^2+(HSP!$C$6-$C132)^2+(HSP!$D$6-$D132)^2))</f>
        <v>4.2174636927897797</v>
      </c>
      <c r="L132" s="17" t="s">
        <v>35</v>
      </c>
      <c r="M132" s="17" t="s">
        <v>35</v>
      </c>
      <c r="N132" s="17" t="s">
        <v>35</v>
      </c>
      <c r="O132" s="17" t="s">
        <v>35</v>
      </c>
      <c r="P132" s="17" t="s">
        <v>35</v>
      </c>
      <c r="Q132" s="17">
        <f>$G132/HSP!$E$2</f>
        <v>0.49110419867949689</v>
      </c>
      <c r="R132" s="17">
        <f>$H132/HSP!$E$3</f>
        <v>0.50104089185279277</v>
      </c>
      <c r="S132" s="17">
        <f>$I132/HSP!$E$4</f>
        <v>0.14837969590238956</v>
      </c>
      <c r="T132" s="17">
        <f>$J132/HSP!$E$5</f>
        <v>0.80905716661710259</v>
      </c>
      <c r="U132" s="17">
        <f>$K132/HSP!$E$6</f>
        <v>0.28496376302633647</v>
      </c>
      <c r="V132" s="12"/>
      <c r="W132" s="12"/>
      <c r="X132" s="12"/>
      <c r="Y132" s="12"/>
      <c r="Z132" s="12"/>
    </row>
    <row r="133" spans="1:26" ht="15" customHeight="1" x14ac:dyDescent="0.3">
      <c r="A133" s="26" t="s">
        <v>270</v>
      </c>
      <c r="B133" s="17">
        <v>17.100000000000001</v>
      </c>
      <c r="C133" s="17">
        <v>9.5</v>
      </c>
      <c r="D133" s="17">
        <v>4.7</v>
      </c>
      <c r="E133" s="17" t="s">
        <v>35</v>
      </c>
      <c r="F133" s="22">
        <v>216.3</v>
      </c>
      <c r="G133" s="17">
        <f>SQRT((4*(HSP!$B$2-$B133)^2+(HSP!$C$2-$C133)^2+(HSP!$D$2-$D133)^2))</f>
        <v>5.5785302723925447</v>
      </c>
      <c r="H133" s="17">
        <f>SQRT((4*(HSP!$B$3-$B133)^2+(HSP!$C$3-$C133)^2+(HSP!$D$3-$D133)^2))</f>
        <v>3.038486465331057</v>
      </c>
      <c r="I133" s="17">
        <f>SQRT((4*(HSP!$B$4-$B133)^2+(HSP!$C$4-$C133)^2+(HSP!$D$4-$D133)^2))</f>
        <v>6.5224228627098402</v>
      </c>
      <c r="J133" s="17">
        <f>SQRT((4*(HSP!$B$5-$B133)^2+(HSP!$C$5-$C133)^2+(HSP!$D$5-$D133)^2))</f>
        <v>7.9105562383438004</v>
      </c>
      <c r="K133" s="17">
        <f>SQRT((4*(HSP!$B$6-$B133)^2+(HSP!$C$6-$C133)^2+(HSP!$D$6-$D133)^2))</f>
        <v>4.8521129418017495</v>
      </c>
      <c r="L133" s="17" t="s">
        <v>35</v>
      </c>
      <c r="M133" s="17" t="s">
        <v>35</v>
      </c>
      <c r="N133" s="17" t="s">
        <v>35</v>
      </c>
      <c r="O133" s="17" t="s">
        <v>35</v>
      </c>
      <c r="P133" s="17" t="s">
        <v>35</v>
      </c>
      <c r="Q133" s="17">
        <f>$G133/HSP!$E$2</f>
        <v>0.34224112100567755</v>
      </c>
      <c r="R133" s="17">
        <f>$H133/HSP!$E$3</f>
        <v>0.22507307150600422</v>
      </c>
      <c r="S133" s="17">
        <f>$I133/HSP!$E$4</f>
        <v>0.41021527438426669</v>
      </c>
      <c r="T133" s="17">
        <f>$J133/HSP!$E$5</f>
        <v>0.57741286411268622</v>
      </c>
      <c r="U133" s="17">
        <f>$K133/HSP!$E$6</f>
        <v>0.32784546904065875</v>
      </c>
      <c r="V133" s="12"/>
      <c r="W133" s="12"/>
      <c r="X133" s="12"/>
      <c r="Y133" s="12"/>
      <c r="Z133" s="12"/>
    </row>
    <row r="134" spans="1:26" ht="15" customHeight="1" x14ac:dyDescent="0.3">
      <c r="A134" s="26" t="s">
        <v>271</v>
      </c>
      <c r="B134" s="17">
        <v>15.8</v>
      </c>
      <c r="C134" s="17">
        <v>5.2</v>
      </c>
      <c r="D134" s="17">
        <v>6</v>
      </c>
      <c r="E134" s="17" t="s">
        <v>35</v>
      </c>
      <c r="F134" s="22">
        <v>147.69999999999999</v>
      </c>
      <c r="G134" s="17">
        <f>SQRT((4*(HSP!$B$2-$B134)^2+(HSP!$C$2-$C134)^2+(HSP!$D$2-$D134)^2))</f>
        <v>5.864128238706928</v>
      </c>
      <c r="H134" s="17">
        <f>SQRT((4*(HSP!$B$3-$B134)^2+(HSP!$C$3-$C134)^2+(HSP!$D$3-$D134)^2))</f>
        <v>4.4690491158634629</v>
      </c>
      <c r="I134" s="17">
        <f>SQRT((4*(HSP!$B$4-$B134)^2+(HSP!$C$4-$C134)^2+(HSP!$D$4-$D134)^2))</f>
        <v>1.580506248010429</v>
      </c>
      <c r="J134" s="17">
        <f>SQRT((4*(HSP!$B$5-$B134)^2+(HSP!$C$5-$C134)^2+(HSP!$D$5-$D134)^2))</f>
        <v>9.0542200105807016</v>
      </c>
      <c r="K134" s="17">
        <f>SQRT((4*(HSP!$B$6-$B134)^2+(HSP!$C$6-$C134)^2+(HSP!$D$6-$D134)^2))</f>
        <v>2.6942531432662378</v>
      </c>
      <c r="L134" s="17" t="s">
        <v>35</v>
      </c>
      <c r="M134" s="17" t="s">
        <v>35</v>
      </c>
      <c r="N134" s="17" t="s">
        <v>35</v>
      </c>
      <c r="O134" s="17" t="s">
        <v>35</v>
      </c>
      <c r="P134" s="17" t="s">
        <v>35</v>
      </c>
      <c r="Q134" s="17">
        <f>$G134/HSP!$E$2</f>
        <v>0.35976246863232686</v>
      </c>
      <c r="R134" s="17">
        <f>$H134/HSP!$E$3</f>
        <v>0.33104067524914538</v>
      </c>
      <c r="S134" s="17">
        <f>$I134/HSP!$E$4</f>
        <v>9.9402908679901189E-2</v>
      </c>
      <c r="T134" s="17">
        <f>$J134/HSP!$E$5</f>
        <v>0.66089197157523372</v>
      </c>
      <c r="U134" s="17">
        <f>$K134/HSP!$E$6</f>
        <v>0.18204413130177283</v>
      </c>
      <c r="V134" s="12"/>
      <c r="W134" s="12"/>
      <c r="X134" s="12"/>
      <c r="Y134" s="12"/>
      <c r="Z134" s="12"/>
    </row>
    <row r="135" spans="1:26" ht="15" customHeight="1" x14ac:dyDescent="0.3">
      <c r="A135" s="26" t="s">
        <v>272</v>
      </c>
      <c r="B135" s="17">
        <v>16</v>
      </c>
      <c r="C135" s="17">
        <v>2.5</v>
      </c>
      <c r="D135" s="17">
        <v>5</v>
      </c>
      <c r="E135" s="17" t="s">
        <v>35</v>
      </c>
      <c r="F135" s="22">
        <v>209.3</v>
      </c>
      <c r="G135" s="17">
        <f>SQRT((4*(HSP!$B$2-$B135)^2+(HSP!$C$2-$C135)^2+(HSP!$D$2-$D135)^2))</f>
        <v>8.6672948490287336</v>
      </c>
      <c r="H135" s="17">
        <f>SQRT((4*(HSP!$B$3-$B135)^2+(HSP!$C$3-$C135)^2+(HSP!$D$3-$D135)^2))</f>
        <v>7.2334224264866487</v>
      </c>
      <c r="I135" s="17">
        <f>SQRT((4*(HSP!$B$4-$B135)^2+(HSP!$C$4-$C135)^2+(HSP!$D$4-$D135)^2))</f>
        <v>3.2784142508231016</v>
      </c>
      <c r="J135" s="17">
        <f>SQRT((4*(HSP!$B$5-$B135)^2+(HSP!$C$5-$C135)^2+(HSP!$D$5-$D135)^2))</f>
        <v>11.905666717996098</v>
      </c>
      <c r="K135" s="17">
        <f>SQRT((4*(HSP!$B$6-$B135)^2+(HSP!$C$6-$C135)^2+(HSP!$D$6-$D135)^2))</f>
        <v>4.3472980114089257</v>
      </c>
      <c r="L135" s="17" t="s">
        <v>35</v>
      </c>
      <c r="M135" s="17" t="s">
        <v>35</v>
      </c>
      <c r="N135" s="17" t="s">
        <v>35</v>
      </c>
      <c r="O135" s="17" t="s">
        <v>35</v>
      </c>
      <c r="P135" s="17" t="s">
        <v>35</v>
      </c>
      <c r="Q135" s="17">
        <f>$G135/HSP!$E$2</f>
        <v>0.53173588030851127</v>
      </c>
      <c r="R135" s="17">
        <f>$H135/HSP!$E$3</f>
        <v>0.53580906862864064</v>
      </c>
      <c r="S135" s="17">
        <f>$I135/HSP!$E$4</f>
        <v>0.20618957552346551</v>
      </c>
      <c r="T135" s="17">
        <f>$J135/HSP!$E$5</f>
        <v>0.86902676773694154</v>
      </c>
      <c r="U135" s="17">
        <f>$K135/HSP!$E$6</f>
        <v>0.29373635212222471</v>
      </c>
      <c r="V135" s="12"/>
      <c r="W135" s="12"/>
      <c r="X135" s="12"/>
      <c r="Y135" s="12"/>
      <c r="Z135" s="12"/>
    </row>
    <row r="136" spans="1:26" ht="15" customHeight="1" x14ac:dyDescent="0.3">
      <c r="A136" s="26" t="s">
        <v>273</v>
      </c>
      <c r="B136" s="17">
        <v>16.600000000000001</v>
      </c>
      <c r="C136" s="17">
        <v>7.2</v>
      </c>
      <c r="D136" s="17">
        <v>10.1</v>
      </c>
      <c r="E136" s="17" t="s">
        <v>35</v>
      </c>
      <c r="F136" s="22">
        <v>209.7</v>
      </c>
      <c r="G136" s="17">
        <f>SQRT((4*(HSP!$B$2-$B136)^2+(HSP!$C$2-$C136)^2+(HSP!$D$2-$D136)^2))</f>
        <v>6.0300912099237793</v>
      </c>
      <c r="H136" s="17">
        <f>SQRT((4*(HSP!$B$3-$B136)^2+(HSP!$C$3-$C136)^2+(HSP!$D$3-$D136)^2))</f>
        <v>5.2614066560189023</v>
      </c>
      <c r="I136" s="17">
        <f>SQRT((4*(HSP!$B$4-$B136)^2+(HSP!$C$4-$C136)^2+(HSP!$D$4-$D136)^2))</f>
        <v>5.0418250663822137</v>
      </c>
      <c r="J136" s="17">
        <f>SQRT((4*(HSP!$B$5-$B136)^2+(HSP!$C$5-$C136)^2+(HSP!$D$5-$D136)^2))</f>
        <v>6.1834375552761935</v>
      </c>
      <c r="K136" s="17">
        <f>SQRT((4*(HSP!$B$6-$B136)^2+(HSP!$C$6-$C136)^2+(HSP!$D$6-$D136)^2))</f>
        <v>6.8360076067833644</v>
      </c>
      <c r="L136" s="17" t="s">
        <v>35</v>
      </c>
      <c r="M136" s="17" t="s">
        <v>35</v>
      </c>
      <c r="N136" s="17" t="s">
        <v>35</v>
      </c>
      <c r="O136" s="17" t="s">
        <v>35</v>
      </c>
      <c r="P136" s="17" t="s">
        <v>35</v>
      </c>
      <c r="Q136" s="17">
        <f>$G136/HSP!$E$2</f>
        <v>0.36994424600759379</v>
      </c>
      <c r="R136" s="17">
        <f>$H136/HSP!$E$3</f>
        <v>0.38973382637177056</v>
      </c>
      <c r="S136" s="17">
        <f>$I136/HSP!$E$4</f>
        <v>0.31709591612466753</v>
      </c>
      <c r="T136" s="17">
        <f>$J136/HSP!$E$5</f>
        <v>0.45134580695446669</v>
      </c>
      <c r="U136" s="17">
        <f>$K136/HSP!$E$6</f>
        <v>0.46189240586374081</v>
      </c>
      <c r="V136" s="12"/>
      <c r="W136" s="12"/>
      <c r="X136" s="12"/>
      <c r="Y136" s="12"/>
      <c r="Z136" s="12"/>
    </row>
    <row r="137" spans="1:26" ht="15" customHeight="1" x14ac:dyDescent="0.3">
      <c r="A137" s="26" t="s">
        <v>274</v>
      </c>
      <c r="B137" s="17">
        <v>15.9</v>
      </c>
      <c r="C137" s="17">
        <v>2.7</v>
      </c>
      <c r="D137" s="17">
        <v>5.6</v>
      </c>
      <c r="E137" s="17" t="s">
        <v>35</v>
      </c>
      <c r="F137" s="22">
        <v>216.8</v>
      </c>
      <c r="G137" s="17">
        <f>SQRT((4*(HSP!$B$2-$B137)^2+(HSP!$C$2-$C137)^2+(HSP!$D$2-$D137)^2))</f>
        <v>8.2995180582971209</v>
      </c>
      <c r="H137" s="17">
        <f>SQRT((4*(HSP!$B$3-$B137)^2+(HSP!$C$3-$C137)^2+(HSP!$D$3-$D137)^2))</f>
        <v>6.9761307327199651</v>
      </c>
      <c r="I137" s="17">
        <f>SQRT((4*(HSP!$B$4-$B137)^2+(HSP!$C$4-$C137)^2+(HSP!$D$4-$D137)^2))</f>
        <v>2.7371518043396863</v>
      </c>
      <c r="J137" s="17">
        <f>SQRT((4*(HSP!$B$5-$B137)^2+(HSP!$C$5-$C137)^2+(HSP!$D$5-$D137)^2))</f>
        <v>11.419146202759643</v>
      </c>
      <c r="K137" s="17">
        <f>SQRT((4*(HSP!$B$6-$B137)^2+(HSP!$C$6-$C137)^2+(HSP!$D$6-$D137)^2))</f>
        <v>4.3084800103980987</v>
      </c>
      <c r="L137" s="17" t="s">
        <v>35</v>
      </c>
      <c r="M137" s="17" t="s">
        <v>35</v>
      </c>
      <c r="N137" s="17" t="s">
        <v>35</v>
      </c>
      <c r="O137" s="17" t="s">
        <v>35</v>
      </c>
      <c r="P137" s="17" t="s">
        <v>35</v>
      </c>
      <c r="Q137" s="17">
        <f>$G137/HSP!$E$2</f>
        <v>0.50917288701209329</v>
      </c>
      <c r="R137" s="17">
        <f>$H137/HSP!$E$3</f>
        <v>0.51675042464592336</v>
      </c>
      <c r="S137" s="17">
        <f>$I137/HSP!$E$4</f>
        <v>0.17214791222262177</v>
      </c>
      <c r="T137" s="17">
        <f>$J137/HSP!$E$5</f>
        <v>0.83351432136931702</v>
      </c>
      <c r="U137" s="17">
        <f>$K137/HSP!$E$6</f>
        <v>0.29111351421608772</v>
      </c>
      <c r="V137" s="12"/>
      <c r="W137" s="12"/>
      <c r="X137" s="12"/>
      <c r="Y137" s="12"/>
      <c r="Z137" s="12"/>
    </row>
    <row r="138" spans="1:26" ht="15" customHeight="1" x14ac:dyDescent="0.3">
      <c r="A138" s="26" t="s">
        <v>275</v>
      </c>
      <c r="B138" s="17">
        <v>16.8</v>
      </c>
      <c r="C138" s="17">
        <v>3.4</v>
      </c>
      <c r="D138" s="17">
        <v>8.8000000000000007</v>
      </c>
      <c r="E138" s="17" t="s">
        <v>35</v>
      </c>
      <c r="F138" s="22">
        <v>251.4</v>
      </c>
      <c r="G138" s="17">
        <f>SQRT((4*(HSP!$B$2-$B138)^2+(HSP!$C$2-$C138)^2+(HSP!$D$2-$D138)^2))</f>
        <v>8.5156326834827727</v>
      </c>
      <c r="H138" s="17">
        <f>SQRT((4*(HSP!$B$3-$B138)^2+(HSP!$C$3-$C138)^2+(HSP!$D$3-$D138)^2))</f>
        <v>7.2798626360667003</v>
      </c>
      <c r="I138" s="17">
        <f>SQRT((4*(HSP!$B$4-$B138)^2+(HSP!$C$4-$C138)^2+(HSP!$D$4-$D138)^2))</f>
        <v>4.0331129416370191</v>
      </c>
      <c r="J138" s="17">
        <f>SQRT((4*(HSP!$B$5-$B138)^2+(HSP!$C$5-$C138)^2+(HSP!$D$5-$D138)^2))</f>
        <v>10.038072524145262</v>
      </c>
      <c r="K138" s="17">
        <f>SQRT((4*(HSP!$B$6-$B138)^2+(HSP!$C$6-$C138)^2+(HSP!$D$6-$D138)^2))</f>
        <v>6.5610212619682944</v>
      </c>
      <c r="L138" s="17" t="s">
        <v>35</v>
      </c>
      <c r="M138" s="17" t="s">
        <v>35</v>
      </c>
      <c r="N138" s="17" t="s">
        <v>35</v>
      </c>
      <c r="O138" s="17" t="s">
        <v>35</v>
      </c>
      <c r="P138" s="17" t="s">
        <v>35</v>
      </c>
      <c r="Q138" s="17">
        <f>$G138/HSP!$E$2</f>
        <v>0.52243145297440319</v>
      </c>
      <c r="R138" s="17">
        <f>$H138/HSP!$E$3</f>
        <v>0.53924908415308892</v>
      </c>
      <c r="S138" s="17">
        <f>$I138/HSP!$E$4</f>
        <v>0.2536549019897496</v>
      </c>
      <c r="T138" s="17">
        <f>$J138/HSP!$E$5</f>
        <v>0.73270602366023818</v>
      </c>
      <c r="U138" s="17">
        <f>$K138/HSP!$E$6</f>
        <v>0.44331224743029013</v>
      </c>
      <c r="V138" s="12"/>
      <c r="W138" s="12"/>
      <c r="X138" s="12"/>
      <c r="Y138" s="12"/>
      <c r="Z138" s="12"/>
    </row>
    <row r="139" spans="1:26" ht="15" customHeight="1" x14ac:dyDescent="0.3">
      <c r="A139" s="26" t="s">
        <v>276</v>
      </c>
      <c r="B139" s="17">
        <v>16</v>
      </c>
      <c r="C139" s="17">
        <v>8.9</v>
      </c>
      <c r="D139" s="17">
        <v>12.5</v>
      </c>
      <c r="E139" s="17" t="s">
        <v>35</v>
      </c>
      <c r="F139" s="22">
        <v>148.19999999999999</v>
      </c>
      <c r="G139" s="17">
        <f>SQRT((4*(HSP!$B$2-$B139)^2+(HSP!$C$2-$C139)^2+(HSP!$D$2-$D139)^2))</f>
        <v>6.3831026938315825</v>
      </c>
      <c r="H139" s="17">
        <f>SQRT((4*(HSP!$B$3-$B139)^2+(HSP!$C$3-$C139)^2+(HSP!$D$3-$D139)^2))</f>
        <v>6.7516220273353573</v>
      </c>
      <c r="I139" s="17">
        <f>SQRT((4*(HSP!$B$4-$B139)^2+(HSP!$C$4-$C139)^2+(HSP!$D$4-$D139)^2))</f>
        <v>7.2838176803102375</v>
      </c>
      <c r="J139" s="17">
        <f>SQRT((4*(HSP!$B$5-$B139)^2+(HSP!$C$5-$C139)^2+(HSP!$D$5-$D139)^2))</f>
        <v>4.3805136685096651</v>
      </c>
      <c r="K139" s="17">
        <f>SQRT((4*(HSP!$B$6-$B139)^2+(HSP!$C$6-$C139)^2+(HSP!$D$6-$D139)^2))</f>
        <v>9.1134515964040759</v>
      </c>
      <c r="L139" s="17" t="s">
        <v>35</v>
      </c>
      <c r="M139" s="17" t="s">
        <v>35</v>
      </c>
      <c r="N139" s="17" t="s">
        <v>35</v>
      </c>
      <c r="O139" s="17" t="s">
        <v>35</v>
      </c>
      <c r="P139" s="17" t="s">
        <v>35</v>
      </c>
      <c r="Q139" s="17">
        <f>$G139/HSP!$E$2</f>
        <v>0.39160139225960627</v>
      </c>
      <c r="R139" s="17">
        <f>$H139/HSP!$E$3</f>
        <v>0.50012015017298939</v>
      </c>
      <c r="S139" s="17">
        <f>$I139/HSP!$E$4</f>
        <v>0.45810174090001493</v>
      </c>
      <c r="T139" s="17">
        <f>$J139/HSP!$E$5</f>
        <v>0.31974552324888067</v>
      </c>
      <c r="U139" s="17">
        <f>$K139/HSP!$E$6</f>
        <v>0.61577375651378885</v>
      </c>
      <c r="V139" s="12"/>
      <c r="W139" s="12"/>
      <c r="X139" s="12"/>
      <c r="Y139" s="12"/>
      <c r="Z139" s="12"/>
    </row>
    <row r="140" spans="1:26" ht="15" customHeight="1" x14ac:dyDescent="0.3">
      <c r="A140" s="26" t="s">
        <v>277</v>
      </c>
      <c r="B140" s="17">
        <v>17</v>
      </c>
      <c r="C140" s="17">
        <v>4.3</v>
      </c>
      <c r="D140" s="17">
        <v>5.6</v>
      </c>
      <c r="E140" s="17" t="s">
        <v>35</v>
      </c>
      <c r="F140" s="22">
        <v>206</v>
      </c>
      <c r="G140" s="17">
        <f>SQRT((4*(HSP!$B$2-$B140)^2+(HSP!$C$2-$C140)^2+(HSP!$D$2-$D140)^2))</f>
        <v>7.9303215571627375</v>
      </c>
      <c r="H140" s="17">
        <f>SQRT((4*(HSP!$B$3-$B140)^2+(HSP!$C$3-$C140)^2+(HSP!$D$3-$D140)^2))</f>
        <v>5.9701256268189207</v>
      </c>
      <c r="I140" s="17">
        <f>SQRT((4*(HSP!$B$4-$B140)^2+(HSP!$C$4-$C140)^2+(HSP!$D$4-$D140)^2))</f>
        <v>3.8704004960727256</v>
      </c>
      <c r="J140" s="17">
        <f>SQRT((4*(HSP!$B$5-$B140)^2+(HSP!$C$5-$C140)^2+(HSP!$D$5-$D140)^2))</f>
        <v>10.548786660085606</v>
      </c>
      <c r="K140" s="17">
        <f>SQRT((4*(HSP!$B$6-$B140)^2+(HSP!$C$6-$C140)^2+(HSP!$D$6-$D140)^2))</f>
        <v>4.4239122956948416</v>
      </c>
      <c r="L140" s="17" t="s">
        <v>35</v>
      </c>
      <c r="M140" s="17" t="s">
        <v>35</v>
      </c>
      <c r="N140" s="17" t="s">
        <v>35</v>
      </c>
      <c r="O140" s="17" t="s">
        <v>35</v>
      </c>
      <c r="P140" s="17" t="s">
        <v>35</v>
      </c>
      <c r="Q140" s="17">
        <f>$G140/HSP!$E$2</f>
        <v>0.48652279491795936</v>
      </c>
      <c r="R140" s="17">
        <f>$H140/HSP!$E$3</f>
        <v>0.44223152791251263</v>
      </c>
      <c r="S140" s="17">
        <f>$I140/HSP!$E$4</f>
        <v>0.24342141484734123</v>
      </c>
      <c r="T140" s="17">
        <f>$J140/HSP!$E$5</f>
        <v>0.76998442774347486</v>
      </c>
      <c r="U140" s="17">
        <f>$K140/HSP!$E$6</f>
        <v>0.29891299295235413</v>
      </c>
      <c r="V140" s="12"/>
      <c r="W140" s="12"/>
      <c r="X140" s="12"/>
      <c r="Y140" s="12"/>
      <c r="Z140" s="12"/>
    </row>
    <row r="141" spans="1:26" ht="15" customHeight="1" x14ac:dyDescent="0.3">
      <c r="A141" s="26" t="s">
        <v>278</v>
      </c>
      <c r="B141" s="17">
        <v>16.5</v>
      </c>
      <c r="C141" s="17">
        <v>4.0999999999999996</v>
      </c>
      <c r="D141" s="17">
        <v>5.4</v>
      </c>
      <c r="E141" s="17" t="s">
        <v>35</v>
      </c>
      <c r="F141" s="22">
        <v>221.5</v>
      </c>
      <c r="G141" s="17">
        <f>SQRT((4*(HSP!$B$2-$B141)^2+(HSP!$C$2-$C141)^2+(HSP!$D$2-$D141)^2))</f>
        <v>7.5753547771705074</v>
      </c>
      <c r="H141" s="17">
        <f>SQRT((4*(HSP!$B$3-$B141)^2+(HSP!$C$3-$C141)^2+(HSP!$D$3-$D141)^2))</f>
        <v>5.806410250748737</v>
      </c>
      <c r="I141" s="17">
        <f>SQRT((4*(HSP!$B$4-$B141)^2+(HSP!$C$4-$C141)^2+(HSP!$D$4-$D141)^2))</f>
        <v>3.0613722413323083</v>
      </c>
      <c r="J141" s="17">
        <f>SQRT((4*(HSP!$B$5-$B141)^2+(HSP!$C$5-$C141)^2+(HSP!$D$5-$D141)^2))</f>
        <v>10.53265873367214</v>
      </c>
      <c r="K141" s="17">
        <f>SQRT((4*(HSP!$B$6-$B141)^2+(HSP!$C$6-$C141)^2+(HSP!$D$6-$D141)^2))</f>
        <v>3.7259898013816417</v>
      </c>
      <c r="L141" s="17" t="s">
        <v>35</v>
      </c>
      <c r="M141" s="17" t="s">
        <v>35</v>
      </c>
      <c r="N141" s="17" t="s">
        <v>35</v>
      </c>
      <c r="O141" s="17" t="s">
        <v>35</v>
      </c>
      <c r="P141" s="17" t="s">
        <v>35</v>
      </c>
      <c r="Q141" s="17">
        <f>$G141/HSP!$E$2</f>
        <v>0.46474569185095138</v>
      </c>
      <c r="R141" s="17">
        <f>$H141/HSP!$E$3</f>
        <v>0.43010446301842498</v>
      </c>
      <c r="S141" s="17">
        <f>$I141/HSP!$E$4</f>
        <v>0.19253913467498796</v>
      </c>
      <c r="T141" s="17">
        <f>$J141/HSP!$E$5</f>
        <v>0.76880720683738246</v>
      </c>
      <c r="U141" s="17">
        <f>$K141/HSP!$E$6</f>
        <v>0.25175606766092173</v>
      </c>
      <c r="V141" s="12"/>
      <c r="W141" s="12"/>
      <c r="X141" s="12"/>
      <c r="Y141" s="12"/>
      <c r="Z141" s="12"/>
    </row>
    <row r="142" spans="1:26" ht="15" customHeight="1" x14ac:dyDescent="0.3">
      <c r="A142" s="26" t="s">
        <v>279</v>
      </c>
      <c r="B142" s="17">
        <v>19</v>
      </c>
      <c r="C142" s="17">
        <v>9</v>
      </c>
      <c r="D142" s="17">
        <v>16.5</v>
      </c>
      <c r="E142" s="17" t="s">
        <v>35</v>
      </c>
      <c r="F142" s="22">
        <v>150.80000000000001</v>
      </c>
      <c r="G142" s="17">
        <f>SQRT((4*(HSP!$B$2-$B142)^2+(HSP!$C$2-$C142)^2+(HSP!$D$2-$D142)^2))</f>
        <v>13.046148857038233</v>
      </c>
      <c r="H142" s="17">
        <f>SQRT((4*(HSP!$B$3-$B142)^2+(HSP!$C$3-$C142)^2+(HSP!$D$3-$D142)^2))</f>
        <v>12.58262293800462</v>
      </c>
      <c r="I142" s="17">
        <f>SQRT((4*(HSP!$B$4-$B142)^2+(HSP!$C$4-$C142)^2+(HSP!$D$4-$D142)^2))</f>
        <v>13.093051592352335</v>
      </c>
      <c r="J142" s="17">
        <f>SQRT((4*(HSP!$B$5-$B142)^2+(HSP!$C$5-$C142)^2+(HSP!$D$5-$D142)^2))</f>
        <v>10.025711944794745</v>
      </c>
      <c r="K142" s="17">
        <f>SQRT((4*(HSP!$B$6-$B142)^2+(HSP!$C$6-$C142)^2+(HSP!$D$6-$D142)^2))</f>
        <v>14.909024112932409</v>
      </c>
      <c r="L142" s="17" t="s">
        <v>35</v>
      </c>
      <c r="M142" s="17" t="s">
        <v>35</v>
      </c>
      <c r="N142" s="17" t="s">
        <v>35</v>
      </c>
      <c r="O142" s="17" t="s">
        <v>35</v>
      </c>
      <c r="P142" s="17" t="s">
        <v>35</v>
      </c>
      <c r="Q142" s="17">
        <f>$G142/HSP!$E$2</f>
        <v>0.80037723049314313</v>
      </c>
      <c r="R142" s="17">
        <f>$H142/HSP!$E$3</f>
        <v>0.93204614355589777</v>
      </c>
      <c r="S142" s="17">
        <f>$I142/HSP!$E$4</f>
        <v>0.82346236429888897</v>
      </c>
      <c r="T142" s="17">
        <f>$J142/HSP!$E$5</f>
        <v>0.73180379159085729</v>
      </c>
      <c r="U142" s="17">
        <f>$K142/HSP!$E$6</f>
        <v>1.0073664941170546</v>
      </c>
      <c r="V142" s="12"/>
      <c r="W142" s="12"/>
      <c r="X142" s="12"/>
      <c r="Y142" s="12"/>
      <c r="Z142" s="12"/>
    </row>
    <row r="143" spans="1:26" ht="15" customHeight="1" x14ac:dyDescent="0.3">
      <c r="A143" s="26" t="s">
        <v>280</v>
      </c>
      <c r="B143" s="17">
        <v>19.3</v>
      </c>
      <c r="C143" s="17">
        <v>4.5999999999999996</v>
      </c>
      <c r="D143" s="17">
        <v>4.5</v>
      </c>
      <c r="E143" s="17" t="s">
        <v>35</v>
      </c>
      <c r="F143" s="22">
        <v>260</v>
      </c>
      <c r="G143" s="17">
        <f>SQRT((4*(HSP!$B$2-$B143)^2+(HSP!$C$2-$C143)^2+(HSP!$D$2-$D143)^2))</f>
        <v>11.351211389098525</v>
      </c>
      <c r="H143" s="17">
        <f>SQRT((4*(HSP!$B$3-$B143)^2+(HSP!$C$3-$C143)^2+(HSP!$D$3-$D143)^2))</f>
        <v>8.9148415577619797</v>
      </c>
      <c r="I143" s="17">
        <f>SQRT((4*(HSP!$B$4-$B143)^2+(HSP!$C$4-$C143)^2+(HSP!$D$4-$D143)^2))</f>
        <v>8.574613693922311</v>
      </c>
      <c r="J143" s="17">
        <f>SQRT((4*(HSP!$B$5-$B143)^2+(HSP!$C$5-$C143)^2+(HSP!$D$5-$D143)^2))</f>
        <v>13.124134257161501</v>
      </c>
      <c r="K143" s="17">
        <f>SQRT((4*(HSP!$B$6-$B143)^2+(HSP!$C$6-$C143)^2+(HSP!$D$6-$D143)^2))</f>
        <v>8.2906573925111662</v>
      </c>
      <c r="L143" s="17" t="s">
        <v>35</v>
      </c>
      <c r="M143" s="17" t="s">
        <v>35</v>
      </c>
      <c r="N143" s="17" t="s">
        <v>35</v>
      </c>
      <c r="O143" s="17" t="s">
        <v>35</v>
      </c>
      <c r="P143" s="17" t="s">
        <v>35</v>
      </c>
      <c r="Q143" s="17">
        <f>$G143/HSP!$E$2</f>
        <v>0.69639333675451076</v>
      </c>
      <c r="R143" s="17">
        <f>$H143/HSP!$E$3</f>
        <v>0.66035863390829475</v>
      </c>
      <c r="S143" s="17">
        <f>$I143/HSP!$E$4</f>
        <v>0.53928388012090001</v>
      </c>
      <c r="T143" s="17">
        <f>$J143/HSP!$E$5</f>
        <v>0.95796600417237232</v>
      </c>
      <c r="U143" s="17">
        <f>$K143/HSP!$E$6</f>
        <v>0.56017955354805171</v>
      </c>
      <c r="V143" s="12"/>
      <c r="W143" s="12"/>
      <c r="X143" s="12"/>
      <c r="Y143" s="12"/>
      <c r="Z143" s="12"/>
    </row>
    <row r="144" spans="1:26" ht="15" customHeight="1" x14ac:dyDescent="0.3">
      <c r="A144" s="26" t="s">
        <v>281</v>
      </c>
      <c r="B144" s="17">
        <v>19</v>
      </c>
      <c r="C144" s="17">
        <v>7.5</v>
      </c>
      <c r="D144" s="17">
        <v>13</v>
      </c>
      <c r="E144" s="17" t="s">
        <v>35</v>
      </c>
      <c r="F144" s="22">
        <v>154</v>
      </c>
      <c r="G144" s="17">
        <f>SQRT((4*(HSP!$B$2-$B144)^2+(HSP!$C$2-$C144)^2+(HSP!$D$2-$D144)^2))</f>
        <v>11.065351327454543</v>
      </c>
      <c r="H144" s="17">
        <f>SQRT((4*(HSP!$B$3-$B144)^2+(HSP!$C$3-$C144)^2+(HSP!$D$3-$D144)^2))</f>
        <v>10.002119775327628</v>
      </c>
      <c r="I144" s="17">
        <f>SQRT((4*(HSP!$B$4-$B144)^2+(HSP!$C$4-$C144)^2+(HSP!$D$4-$D144)^2))</f>
        <v>10.250268289171753</v>
      </c>
      <c r="J144" s="17">
        <f>SQRT((4*(HSP!$B$5-$B144)^2+(HSP!$C$5-$C144)^2+(HSP!$D$5-$D144)^2))</f>
        <v>9.3372854727699117</v>
      </c>
      <c r="K144" s="17">
        <f>SQRT((4*(HSP!$B$6-$B144)^2+(HSP!$C$6-$C144)^2+(HSP!$D$6-$D144)^2))</f>
        <v>11.854071030662842</v>
      </c>
      <c r="L144" s="17" t="s">
        <v>35</v>
      </c>
      <c r="M144" s="17" t="s">
        <v>35</v>
      </c>
      <c r="N144" s="17" t="s">
        <v>35</v>
      </c>
      <c r="O144" s="17" t="s">
        <v>35</v>
      </c>
      <c r="P144" s="17" t="s">
        <v>35</v>
      </c>
      <c r="Q144" s="17">
        <f>$G144/HSP!$E$2</f>
        <v>0.67885590965978793</v>
      </c>
      <c r="R144" s="17">
        <f>$H144/HSP!$E$3</f>
        <v>0.74089776113537986</v>
      </c>
      <c r="S144" s="17">
        <f>$I144/HSP!$E$4</f>
        <v>0.64467096158312909</v>
      </c>
      <c r="T144" s="17">
        <f>$J144/HSP!$E$5</f>
        <v>0.68155368414378925</v>
      </c>
      <c r="U144" s="17">
        <f>$K144/HSP!$E$6</f>
        <v>0.80095074531505683</v>
      </c>
      <c r="V144" s="12"/>
      <c r="W144" s="12"/>
      <c r="X144" s="12"/>
      <c r="Y144" s="12"/>
      <c r="Z144" s="12"/>
    </row>
    <row r="145" spans="1:26" ht="15" customHeight="1" x14ac:dyDescent="0.3">
      <c r="A145" s="26" t="s">
        <v>282</v>
      </c>
      <c r="B145" s="17">
        <v>17</v>
      </c>
      <c r="C145" s="17">
        <v>4.8</v>
      </c>
      <c r="D145" s="17">
        <v>6</v>
      </c>
      <c r="E145" s="17" t="s">
        <v>35</v>
      </c>
      <c r="F145" s="22">
        <v>176.9</v>
      </c>
      <c r="G145" s="17">
        <f>SQRT((4*(HSP!$B$2-$B145)^2+(HSP!$C$2-$C145)^2+(HSP!$D$2-$D145)^2))</f>
        <v>7.4857197382750051</v>
      </c>
      <c r="H145" s="17">
        <f>SQRT((4*(HSP!$B$3-$B145)^2+(HSP!$C$3-$C145)^2+(HSP!$D$3-$D145)^2))</f>
        <v>5.5241650952881569</v>
      </c>
      <c r="I145" s="17">
        <f>SQRT((4*(HSP!$B$4-$B145)^2+(HSP!$C$4-$C145)^2+(HSP!$D$4-$D145)^2))</f>
        <v>3.7483329627982624</v>
      </c>
      <c r="J145" s="17">
        <f>SQRT((4*(HSP!$B$5-$B145)^2+(HSP!$C$5-$C145)^2+(HSP!$D$5-$D145)^2))</f>
        <v>9.9500201004822095</v>
      </c>
      <c r="K145" s="17">
        <f>SQRT((4*(HSP!$B$6-$B145)^2+(HSP!$C$6-$C145)^2+(HSP!$D$6-$D145)^2))</f>
        <v>4.3875961527925522</v>
      </c>
      <c r="L145" s="17" t="s">
        <v>35</v>
      </c>
      <c r="M145" s="17" t="s">
        <v>35</v>
      </c>
      <c r="N145" s="17" t="s">
        <v>35</v>
      </c>
      <c r="O145" s="17" t="s">
        <v>35</v>
      </c>
      <c r="P145" s="17" t="s">
        <v>35</v>
      </c>
      <c r="Q145" s="17">
        <f>$G145/HSP!$E$2</f>
        <v>0.45924660971012299</v>
      </c>
      <c r="R145" s="17">
        <f>$H145/HSP!$E$3</f>
        <v>0.40919741446578939</v>
      </c>
      <c r="S145" s="17">
        <f>$I145/HSP!$E$4</f>
        <v>0.23574421149674607</v>
      </c>
      <c r="T145" s="17">
        <f>$J145/HSP!$E$5</f>
        <v>0.72627883945125615</v>
      </c>
      <c r="U145" s="17">
        <f>$K145/HSP!$E$6</f>
        <v>0.29645919951301025</v>
      </c>
      <c r="V145" s="12"/>
      <c r="W145" s="12"/>
      <c r="X145" s="12"/>
      <c r="Y145" s="12"/>
      <c r="Z145" s="12"/>
    </row>
    <row r="146" spans="1:26" ht="15" customHeight="1" x14ac:dyDescent="0.3">
      <c r="A146" s="26" t="s">
        <v>283</v>
      </c>
      <c r="B146" s="17">
        <v>15.8</v>
      </c>
      <c r="C146" s="17">
        <v>5.2</v>
      </c>
      <c r="D146" s="17">
        <v>13.3</v>
      </c>
      <c r="E146" s="17" t="s">
        <v>35</v>
      </c>
      <c r="F146" s="22">
        <v>109.4</v>
      </c>
      <c r="G146" s="17">
        <f>SQRT((4*(HSP!$B$2-$B146)^2+(HSP!$C$2-$C146)^2+(HSP!$D$2-$D146)^2))</f>
        <v>8.5656289903310689</v>
      </c>
      <c r="H146" s="17">
        <f>SQRT((4*(HSP!$B$3-$B146)^2+(HSP!$C$3-$C146)^2+(HSP!$D$3-$D146)^2))</f>
        <v>8.7115096280725091</v>
      </c>
      <c r="I146" s="17">
        <f>SQRT((4*(HSP!$B$4-$B146)^2+(HSP!$C$4-$C146)^2+(HSP!$D$4-$D146)^2))</f>
        <v>6.6413853976410691</v>
      </c>
      <c r="J146" s="17">
        <f>SQRT((4*(HSP!$B$5-$B146)^2+(HSP!$C$5-$C146)^2+(HSP!$D$5-$D146)^2))</f>
        <v>7.9555578057104217</v>
      </c>
      <c r="K146" s="17">
        <f>SQRT((4*(HSP!$B$6-$B146)^2+(HSP!$C$6-$C146)^2+(HSP!$D$6-$D146)^2))</f>
        <v>9.5884826745424121</v>
      </c>
      <c r="L146" s="17" t="s">
        <v>35</v>
      </c>
      <c r="M146" s="17" t="s">
        <v>35</v>
      </c>
      <c r="N146" s="17" t="s">
        <v>35</v>
      </c>
      <c r="O146" s="17" t="s">
        <v>35</v>
      </c>
      <c r="P146" s="17" t="s">
        <v>35</v>
      </c>
      <c r="Q146" s="17">
        <f>$G146/HSP!$E$2</f>
        <v>0.52549871106325574</v>
      </c>
      <c r="R146" s="17">
        <f>$H146/HSP!$E$3</f>
        <v>0.64529700948685254</v>
      </c>
      <c r="S146" s="17">
        <f>$I146/HSP!$E$4</f>
        <v>0.41769719482019302</v>
      </c>
      <c r="T146" s="17">
        <f>$J146/HSP!$E$5</f>
        <v>0.58069765005185559</v>
      </c>
      <c r="U146" s="17">
        <f>$K146/HSP!$E$6</f>
        <v>0.64787045098259544</v>
      </c>
      <c r="V146" s="12"/>
      <c r="W146" s="12"/>
      <c r="X146" s="12"/>
      <c r="Y146" s="12"/>
      <c r="Z146" s="12"/>
    </row>
    <row r="147" spans="1:26" ht="15" customHeight="1" x14ac:dyDescent="0.3">
      <c r="A147" s="26" t="s">
        <v>284</v>
      </c>
      <c r="B147" s="17">
        <v>17.399999999999999</v>
      </c>
      <c r="C147" s="17">
        <v>4.0999999999999996</v>
      </c>
      <c r="D147" s="17">
        <v>5</v>
      </c>
      <c r="E147" s="17" t="s">
        <v>35</v>
      </c>
      <c r="F147" s="22">
        <v>206.2</v>
      </c>
      <c r="G147" s="17">
        <f>SQRT((4*(HSP!$B$2-$B147)^2+(HSP!$C$2-$C147)^2+(HSP!$D$2-$D147)^2))</f>
        <v>8.7022985469357454</v>
      </c>
      <c r="H147" s="17">
        <f>SQRT((4*(HSP!$B$3-$B147)^2+(HSP!$C$3-$C147)^2+(HSP!$D$3-$D147)^2))</f>
        <v>6.5789360842008486</v>
      </c>
      <c r="I147" s="17">
        <f>SQRT((4*(HSP!$B$4-$B147)^2+(HSP!$C$4-$C147)^2+(HSP!$D$4-$D147)^2))</f>
        <v>4.8443781850718439</v>
      </c>
      <c r="J147" s="17">
        <f>SQRT((4*(HSP!$B$5-$B147)^2+(HSP!$C$5-$C147)^2+(HSP!$D$5-$D147)^2))</f>
        <v>11.296765023669385</v>
      </c>
      <c r="K147" s="17">
        <f>SQRT((4*(HSP!$B$6-$B147)^2+(HSP!$C$6-$C147)^2+(HSP!$D$6-$D147)^2))</f>
        <v>4.9898897783418006</v>
      </c>
      <c r="L147" s="17" t="s">
        <v>35</v>
      </c>
      <c r="M147" s="17" t="s">
        <v>35</v>
      </c>
      <c r="N147" s="17" t="s">
        <v>35</v>
      </c>
      <c r="O147" s="17" t="s">
        <v>35</v>
      </c>
      <c r="P147" s="17" t="s">
        <v>35</v>
      </c>
      <c r="Q147" s="17">
        <f>$G147/HSP!$E$2</f>
        <v>0.5338833464377758</v>
      </c>
      <c r="R147" s="17">
        <f>$H147/HSP!$E$3</f>
        <v>0.48732859882969248</v>
      </c>
      <c r="S147" s="17">
        <f>$I147/HSP!$E$4</f>
        <v>0.30467787327495871</v>
      </c>
      <c r="T147" s="17">
        <f>$J147/HSP!$E$5</f>
        <v>0.82458138858900631</v>
      </c>
      <c r="U147" s="17">
        <f>$K147/HSP!$E$6</f>
        <v>0.33715471475282432</v>
      </c>
      <c r="V147" s="12"/>
      <c r="W147" s="12"/>
      <c r="X147" s="12"/>
      <c r="Y147" s="12"/>
      <c r="Z147" s="12"/>
    </row>
    <row r="148" spans="1:26" ht="15" customHeight="1" x14ac:dyDescent="0.3">
      <c r="A148" s="26" t="s">
        <v>285</v>
      </c>
      <c r="B148" s="17">
        <v>16.8</v>
      </c>
      <c r="C148" s="17">
        <v>7.2</v>
      </c>
      <c r="D148" s="17">
        <v>10.199999999999999</v>
      </c>
      <c r="E148" s="17" t="s">
        <v>35</v>
      </c>
      <c r="F148" s="22">
        <v>195.5</v>
      </c>
      <c r="G148" s="17">
        <f>SQRT((4*(HSP!$B$2-$B148)^2+(HSP!$C$2-$C148)^2+(HSP!$D$2-$D148)^2))</f>
        <v>6.3526372476318853</v>
      </c>
      <c r="H148" s="17">
        <f>SQRT((4*(HSP!$B$3-$B148)^2+(HSP!$C$3-$C148)^2+(HSP!$D$3-$D148)^2))</f>
        <v>5.4922126688612494</v>
      </c>
      <c r="I148" s="17">
        <f>SQRT((4*(HSP!$B$4-$B148)^2+(HSP!$C$4-$C148)^2+(HSP!$D$4-$D148)^2))</f>
        <v>5.3420969665478752</v>
      </c>
      <c r="J148" s="17">
        <f>SQRT((4*(HSP!$B$5-$B148)^2+(HSP!$C$5-$C148)^2+(HSP!$D$5-$D148)^2))</f>
        <v>6.3534951011234764</v>
      </c>
      <c r="K148" s="17">
        <f>SQRT((4*(HSP!$B$6-$B148)^2+(HSP!$C$6-$C148)^2+(HSP!$D$6-$D148)^2))</f>
        <v>7.0907686466278115</v>
      </c>
      <c r="L148" s="17" t="s">
        <v>35</v>
      </c>
      <c r="M148" s="17" t="s">
        <v>35</v>
      </c>
      <c r="N148" s="17" t="s">
        <v>35</v>
      </c>
      <c r="O148" s="17" t="s">
        <v>35</v>
      </c>
      <c r="P148" s="17" t="s">
        <v>35</v>
      </c>
      <c r="Q148" s="17">
        <f>$G148/HSP!$E$2</f>
        <v>0.38973234648048377</v>
      </c>
      <c r="R148" s="17">
        <f>$H148/HSP!$E$3</f>
        <v>0.40683056806379625</v>
      </c>
      <c r="S148" s="17">
        <f>$I148/HSP!$E$4</f>
        <v>0.3359809412923192</v>
      </c>
      <c r="T148" s="17">
        <f>$J148/HSP!$E$5</f>
        <v>0.46375876650536324</v>
      </c>
      <c r="U148" s="17">
        <f>$K148/HSP!$E$6</f>
        <v>0.47910598963701428</v>
      </c>
      <c r="V148" s="12"/>
      <c r="W148" s="12"/>
      <c r="X148" s="12"/>
      <c r="Y148" s="12"/>
      <c r="Z148" s="12"/>
    </row>
    <row r="149" spans="1:26" ht="15" customHeight="1" x14ac:dyDescent="0.3">
      <c r="A149" s="26" t="s">
        <v>286</v>
      </c>
      <c r="B149" s="17">
        <v>16.600000000000001</v>
      </c>
      <c r="C149" s="17">
        <v>5</v>
      </c>
      <c r="D149" s="17">
        <v>5.2</v>
      </c>
      <c r="E149" s="17" t="s">
        <v>35</v>
      </c>
      <c r="F149" s="22">
        <v>195.9</v>
      </c>
      <c r="G149" s="17">
        <f>SQRT((4*(HSP!$B$2-$B149)^2+(HSP!$C$2-$C149)^2+(HSP!$D$2-$D149)^2))</f>
        <v>6.9985712827690794</v>
      </c>
      <c r="H149" s="17">
        <f>SQRT((4*(HSP!$B$3-$B149)^2+(HSP!$C$3-$C149)^2+(HSP!$D$3-$D149)^2))</f>
        <v>5.0410713147107939</v>
      </c>
      <c r="I149" s="17">
        <f>SQRT((4*(HSP!$B$4-$B149)^2+(HSP!$C$4-$C149)^2+(HSP!$D$4-$D149)^2))</f>
        <v>3.2927192409921644</v>
      </c>
      <c r="J149" s="17">
        <f>SQRT((4*(HSP!$B$5-$B149)^2+(HSP!$C$5-$C149)^2+(HSP!$D$5-$D149)^2))</f>
        <v>9.9753145313819562</v>
      </c>
      <c r="K149" s="17">
        <f>SQRT((4*(HSP!$B$6-$B149)^2+(HSP!$C$6-$C149)^2+(HSP!$D$6-$D149)^2))</f>
        <v>3.3080205561634619</v>
      </c>
      <c r="L149" s="17" t="s">
        <v>35</v>
      </c>
      <c r="M149" s="17" t="s">
        <v>35</v>
      </c>
      <c r="N149" s="17" t="s">
        <v>35</v>
      </c>
      <c r="O149" s="17" t="s">
        <v>35</v>
      </c>
      <c r="P149" s="17" t="s">
        <v>35</v>
      </c>
      <c r="Q149" s="17">
        <f>$G149/HSP!$E$2</f>
        <v>0.42936020139687603</v>
      </c>
      <c r="R149" s="17">
        <f>$H149/HSP!$E$3</f>
        <v>0.37341268997857735</v>
      </c>
      <c r="S149" s="17">
        <f>$I149/HSP!$E$4</f>
        <v>0.20708926043975875</v>
      </c>
      <c r="T149" s="17">
        <f>$J149/HSP!$E$5</f>
        <v>0.72812514827605523</v>
      </c>
      <c r="U149" s="17">
        <f>$K149/HSP!$E$6</f>
        <v>0.22351490244347716</v>
      </c>
      <c r="V149" s="12"/>
      <c r="W149" s="12"/>
      <c r="X149" s="12"/>
      <c r="Y149" s="12"/>
      <c r="Z149" s="12"/>
    </row>
    <row r="150" spans="1:26" ht="15" customHeight="1" x14ac:dyDescent="0.3">
      <c r="A150" s="26" t="s">
        <v>287</v>
      </c>
      <c r="B150" s="17">
        <v>16.7</v>
      </c>
      <c r="C150" s="17">
        <v>5.2</v>
      </c>
      <c r="D150" s="17">
        <v>5.4</v>
      </c>
      <c r="E150" s="17" t="s">
        <v>35</v>
      </c>
      <c r="F150" s="22">
        <v>182.3</v>
      </c>
      <c r="G150" s="17">
        <f>SQRT((4*(HSP!$B$2-$B150)^2+(HSP!$C$2-$C150)^2+(HSP!$D$2-$D150)^2))</f>
        <v>6.9140436793529156</v>
      </c>
      <c r="H150" s="17">
        <f>SQRT((4*(HSP!$B$3-$B150)^2+(HSP!$C$3-$C150)^2+(HSP!$D$3-$D150)^2))</f>
        <v>4.9141021560403075</v>
      </c>
      <c r="I150" s="17">
        <f>SQRT((4*(HSP!$B$4-$B150)^2+(HSP!$C$4-$C150)^2+(HSP!$D$4-$D150)^2))</f>
        <v>3.404996328926067</v>
      </c>
      <c r="J150" s="17">
        <f>SQRT((4*(HSP!$B$5-$B150)^2+(HSP!$C$5-$C150)^2+(HSP!$D$5-$D150)^2))</f>
        <v>9.7627301509362638</v>
      </c>
      <c r="K150" s="17">
        <f>SQRT((4*(HSP!$B$6-$B150)^2+(HSP!$C$6-$C150)^2+(HSP!$D$6-$D150)^2))</f>
        <v>3.4777866524558396</v>
      </c>
      <c r="L150" s="17" t="s">
        <v>35</v>
      </c>
      <c r="M150" s="17" t="s">
        <v>35</v>
      </c>
      <c r="N150" s="17" t="s">
        <v>35</v>
      </c>
      <c r="O150" s="17" t="s">
        <v>35</v>
      </c>
      <c r="P150" s="17" t="s">
        <v>35</v>
      </c>
      <c r="Q150" s="17">
        <f>$G150/HSP!$E$2</f>
        <v>0.42417445885600708</v>
      </c>
      <c r="R150" s="17">
        <f>$H150/HSP!$E$3</f>
        <v>0.36400756711409687</v>
      </c>
      <c r="S150" s="17">
        <f>$I150/HSP!$E$4</f>
        <v>0.2141507125110734</v>
      </c>
      <c r="T150" s="17">
        <f>$J150/HSP!$E$5</f>
        <v>0.71260804021432589</v>
      </c>
      <c r="U150" s="17">
        <f>$K150/HSP!$E$6</f>
        <v>0.23498558462539457</v>
      </c>
      <c r="V150" s="12"/>
      <c r="W150" s="12"/>
      <c r="X150" s="12"/>
      <c r="Y150" s="12"/>
      <c r="Z150" s="12"/>
    </row>
    <row r="151" spans="1:26" ht="15" customHeight="1" x14ac:dyDescent="0.3">
      <c r="A151" s="26" t="s">
        <v>288</v>
      </c>
      <c r="B151" s="17">
        <v>18.2</v>
      </c>
      <c r="C151" s="17">
        <v>5.6</v>
      </c>
      <c r="D151" s="17">
        <v>5.5</v>
      </c>
      <c r="E151" s="17" t="s">
        <v>35</v>
      </c>
      <c r="F151" s="22">
        <v>178</v>
      </c>
      <c r="G151" s="17">
        <f>SQRT((4*(HSP!$B$2-$B151)^2+(HSP!$C$2-$C151)^2+(HSP!$D$2-$D151)^2))</f>
        <v>8.8119237400240813</v>
      </c>
      <c r="H151" s="17">
        <f>SQRT((4*(HSP!$B$3-$B151)^2+(HSP!$C$3-$C151)^2+(HSP!$D$3-$D151)^2))</f>
        <v>6.4642400945509442</v>
      </c>
      <c r="I151" s="17">
        <f>SQRT((4*(HSP!$B$4-$B151)^2+(HSP!$C$4-$C151)^2+(HSP!$D$4-$D151)^2))</f>
        <v>6.2657800791282154</v>
      </c>
      <c r="J151" s="17">
        <f>SQRT((4*(HSP!$B$5-$B151)^2+(HSP!$C$5-$C151)^2+(HSP!$D$5-$D151)^2))</f>
        <v>10.701350382077955</v>
      </c>
      <c r="K151" s="17">
        <f>SQRT((4*(HSP!$B$6-$B151)^2+(HSP!$C$6-$C151)^2+(HSP!$D$6-$D151)^2))</f>
        <v>6.1441842420292039</v>
      </c>
      <c r="L151" s="17" t="s">
        <v>35</v>
      </c>
      <c r="M151" s="17" t="s">
        <v>35</v>
      </c>
      <c r="N151" s="17" t="s">
        <v>35</v>
      </c>
      <c r="O151" s="17" t="s">
        <v>35</v>
      </c>
      <c r="P151" s="17" t="s">
        <v>35</v>
      </c>
      <c r="Q151" s="17">
        <f>$G151/HSP!$E$2</f>
        <v>0.54060881840638531</v>
      </c>
      <c r="R151" s="17">
        <f>$H151/HSP!$E$3</f>
        <v>0.47883259959636626</v>
      </c>
      <c r="S151" s="17">
        <f>$I151/HSP!$E$4</f>
        <v>0.39407421881309529</v>
      </c>
      <c r="T151" s="17">
        <f>$J151/HSP!$E$5</f>
        <v>0.78112046584510619</v>
      </c>
      <c r="U151" s="17">
        <f>$K151/HSP!$E$6</f>
        <v>0.41514758392089213</v>
      </c>
      <c r="V151" s="12"/>
      <c r="W151" s="12"/>
      <c r="X151" s="12"/>
      <c r="Y151" s="12"/>
      <c r="Z151" s="12"/>
    </row>
    <row r="152" spans="1:26" ht="15" customHeight="1" x14ac:dyDescent="0.3">
      <c r="A152" s="26" t="s">
        <v>289</v>
      </c>
      <c r="B152" s="17">
        <v>16</v>
      </c>
      <c r="C152" s="17">
        <v>2.4</v>
      </c>
      <c r="D152" s="17">
        <v>5</v>
      </c>
      <c r="E152" s="17" t="s">
        <v>35</v>
      </c>
      <c r="F152" s="22">
        <v>209.3</v>
      </c>
      <c r="G152" s="17">
        <f>SQRT((4*(HSP!$B$2-$B152)^2+(HSP!$C$2-$C152)^2+(HSP!$D$2-$D152)^2))</f>
        <v>8.7592237098957586</v>
      </c>
      <c r="H152" s="17">
        <f>SQRT((4*(HSP!$B$3-$B152)^2+(HSP!$C$3-$C152)^2+(HSP!$D$3-$D152)^2))</f>
        <v>7.3324211553892624</v>
      </c>
      <c r="I152" s="17">
        <f>SQRT((4*(HSP!$B$4-$B152)^2+(HSP!$C$4-$C152)^2+(HSP!$D$4-$D152)^2))</f>
        <v>3.3457435645906872</v>
      </c>
      <c r="J152" s="17">
        <f>SQRT((4*(HSP!$B$5-$B152)^2+(HSP!$C$5-$C152)^2+(HSP!$D$5-$D152)^2))</f>
        <v>11.991617905854072</v>
      </c>
      <c r="K152" s="17">
        <f>SQRT((4*(HSP!$B$6-$B152)^2+(HSP!$C$6-$C152)^2+(HSP!$D$6-$D152)^2))</f>
        <v>4.4379049111038871</v>
      </c>
      <c r="L152" s="17" t="s">
        <v>35</v>
      </c>
      <c r="M152" s="17" t="s">
        <v>35</v>
      </c>
      <c r="N152" s="17" t="s">
        <v>35</v>
      </c>
      <c r="O152" s="17" t="s">
        <v>35</v>
      </c>
      <c r="P152" s="17" t="s">
        <v>35</v>
      </c>
      <c r="Q152" s="17">
        <f>$G152/HSP!$E$2</f>
        <v>0.53737568772366617</v>
      </c>
      <c r="R152" s="17">
        <f>$H152/HSP!$E$3</f>
        <v>0.54314230780661199</v>
      </c>
      <c r="S152" s="17">
        <f>$I152/HSP!$E$4</f>
        <v>0.21042412355916271</v>
      </c>
      <c r="T152" s="17">
        <f>$J152/HSP!$E$5</f>
        <v>0.87530057706964037</v>
      </c>
      <c r="U152" s="17">
        <f>$K152/HSP!$E$6</f>
        <v>0.29985843993945183</v>
      </c>
      <c r="V152" s="12"/>
      <c r="W152" s="12"/>
      <c r="X152" s="12"/>
      <c r="Y152" s="12"/>
      <c r="Z152" s="12"/>
    </row>
    <row r="153" spans="1:26" ht="15" customHeight="1" x14ac:dyDescent="0.3">
      <c r="A153" s="26" t="s">
        <v>290</v>
      </c>
      <c r="B153" s="17">
        <v>16</v>
      </c>
      <c r="C153" s="17">
        <v>2.5</v>
      </c>
      <c r="D153" s="17">
        <v>5</v>
      </c>
      <c r="E153" s="17" t="s">
        <v>35</v>
      </c>
      <c r="F153" s="22">
        <v>209.3</v>
      </c>
      <c r="G153" s="17">
        <f>SQRT((4*(HSP!$B$2-$B153)^2+(HSP!$C$2-$C153)^2+(HSP!$D$2-$D153)^2))</f>
        <v>8.6672948490287336</v>
      </c>
      <c r="H153" s="17">
        <f>SQRT((4*(HSP!$B$3-$B153)^2+(HSP!$C$3-$C153)^2+(HSP!$D$3-$D153)^2))</f>
        <v>7.2334224264866487</v>
      </c>
      <c r="I153" s="17">
        <f>SQRT((4*(HSP!$B$4-$B153)^2+(HSP!$C$4-$C153)^2+(HSP!$D$4-$D153)^2))</f>
        <v>3.2784142508231016</v>
      </c>
      <c r="J153" s="17">
        <f>SQRT((4*(HSP!$B$5-$B153)^2+(HSP!$C$5-$C153)^2+(HSP!$D$5-$D153)^2))</f>
        <v>11.905666717996098</v>
      </c>
      <c r="K153" s="17">
        <f>SQRT((4*(HSP!$B$6-$B153)^2+(HSP!$C$6-$C153)^2+(HSP!$D$6-$D153)^2))</f>
        <v>4.3472980114089257</v>
      </c>
      <c r="L153" s="17" t="s">
        <v>35</v>
      </c>
      <c r="M153" s="17" t="s">
        <v>35</v>
      </c>
      <c r="N153" s="17" t="s">
        <v>35</v>
      </c>
      <c r="O153" s="17" t="s">
        <v>35</v>
      </c>
      <c r="P153" s="17" t="s">
        <v>35</v>
      </c>
      <c r="Q153" s="17">
        <f>$G153/HSP!$E$2</f>
        <v>0.53173588030851127</v>
      </c>
      <c r="R153" s="17">
        <f>$H153/HSP!$E$3</f>
        <v>0.53580906862864064</v>
      </c>
      <c r="S153" s="17">
        <f>$I153/HSP!$E$4</f>
        <v>0.20618957552346551</v>
      </c>
      <c r="T153" s="17">
        <f>$J153/HSP!$E$5</f>
        <v>0.86902676773694154</v>
      </c>
      <c r="U153" s="17">
        <f>$K153/HSP!$E$6</f>
        <v>0.29373635212222471</v>
      </c>
      <c r="V153" s="12"/>
      <c r="W153" s="12"/>
      <c r="X153" s="12"/>
      <c r="Y153" s="12"/>
      <c r="Z153" s="12"/>
    </row>
    <row r="154" spans="1:26" ht="15" customHeight="1" x14ac:dyDescent="0.3">
      <c r="A154" s="26" t="s">
        <v>291</v>
      </c>
      <c r="B154" s="17">
        <v>15.9</v>
      </c>
      <c r="C154" s="17">
        <v>4.8</v>
      </c>
      <c r="D154" s="17">
        <v>10.6</v>
      </c>
      <c r="E154" s="17" t="s">
        <v>35</v>
      </c>
      <c r="F154" s="22">
        <v>175.9</v>
      </c>
      <c r="G154" s="17">
        <f>SQRT((4*(HSP!$B$2-$B154)^2+(HSP!$C$2-$C154)^2+(HSP!$D$2-$D154)^2))</f>
        <v>7.2041654617311508</v>
      </c>
      <c r="H154" s="17">
        <f>SQRT((4*(HSP!$B$3-$B154)^2+(HSP!$C$3-$C154)^2+(HSP!$D$3-$D154)^2))</f>
        <v>6.8296705630652488</v>
      </c>
      <c r="I154" s="17">
        <f>SQRT((4*(HSP!$B$4-$B154)^2+(HSP!$C$4-$C154)^2+(HSP!$D$4-$D154)^2))</f>
        <v>4.0725913126656845</v>
      </c>
      <c r="J154" s="17">
        <f>SQRT((4*(HSP!$B$5-$B154)^2+(HSP!$C$5-$C154)^2+(HSP!$D$5-$D154)^2))</f>
        <v>8.0263877304800086</v>
      </c>
      <c r="K154" s="17">
        <f>SQRT((4*(HSP!$B$6-$B154)^2+(HSP!$C$6-$C154)^2+(HSP!$D$6-$D154)^2))</f>
        <v>7.0574074559996891</v>
      </c>
      <c r="L154" s="17" t="s">
        <v>35</v>
      </c>
      <c r="M154" s="17" t="s">
        <v>35</v>
      </c>
      <c r="N154" s="17" t="s">
        <v>35</v>
      </c>
      <c r="O154" s="17" t="s">
        <v>35</v>
      </c>
      <c r="P154" s="17" t="s">
        <v>35</v>
      </c>
      <c r="Q154" s="17">
        <f>$G154/HSP!$E$2</f>
        <v>0.44197334121050003</v>
      </c>
      <c r="R154" s="17">
        <f>$H154/HSP!$E$3</f>
        <v>0.50590152319001847</v>
      </c>
      <c r="S154" s="17">
        <f>$I154/HSP!$E$4</f>
        <v>0.25613781840664684</v>
      </c>
      <c r="T154" s="17">
        <f>$J154/HSP!$E$5</f>
        <v>0.58586771755328537</v>
      </c>
      <c r="U154" s="17">
        <f>$K154/HSP!$E$6</f>
        <v>0.47685185513511413</v>
      </c>
      <c r="V154" s="12"/>
      <c r="W154" s="12"/>
      <c r="X154" s="12"/>
      <c r="Y154" s="12"/>
      <c r="Z154" s="12"/>
    </row>
    <row r="155" spans="1:26" ht="15" customHeight="1" x14ac:dyDescent="0.3">
      <c r="A155" s="26" t="s">
        <v>292</v>
      </c>
      <c r="B155" s="17">
        <v>15.8</v>
      </c>
      <c r="C155" s="17">
        <v>2.9</v>
      </c>
      <c r="D155" s="17">
        <v>5.0999999999999996</v>
      </c>
      <c r="E155" s="17" t="s">
        <v>35</v>
      </c>
      <c r="F155" s="22">
        <v>193.3</v>
      </c>
      <c r="G155" s="17">
        <f>SQRT((4*(HSP!$B$2-$B155)^2+(HSP!$C$2-$C155)^2+(HSP!$D$2-$D155)^2))</f>
        <v>8.1515642670594222</v>
      </c>
      <c r="H155" s="17">
        <f>SQRT((4*(HSP!$B$3-$B155)^2+(HSP!$C$3-$C155)^2+(HSP!$D$3-$D155)^2))</f>
        <v>6.8017938810287388</v>
      </c>
      <c r="I155" s="17">
        <f>SQRT((4*(HSP!$B$4-$B155)^2+(HSP!$C$4-$C155)^2+(HSP!$D$4-$D155)^2))</f>
        <v>2.7651401411140095</v>
      </c>
      <c r="J155" s="17">
        <f>SQRT((4*(HSP!$B$5-$B155)^2+(HSP!$C$5-$C155)^2+(HSP!$D$5-$D155)^2))</f>
        <v>11.46930250712745</v>
      </c>
      <c r="K155" s="17">
        <f>SQRT((4*(HSP!$B$6-$B155)^2+(HSP!$C$6-$C155)^2+(HSP!$D$6-$D155)^2))</f>
        <v>3.8919146958791377</v>
      </c>
      <c r="L155" s="17" t="s">
        <v>35</v>
      </c>
      <c r="M155" s="17" t="s">
        <v>35</v>
      </c>
      <c r="N155" s="17" t="s">
        <v>35</v>
      </c>
      <c r="O155" s="17" t="s">
        <v>35</v>
      </c>
      <c r="P155" s="17" t="s">
        <v>35</v>
      </c>
      <c r="Q155" s="17">
        <f>$G155/HSP!$E$2</f>
        <v>0.50009596730425898</v>
      </c>
      <c r="R155" s="17">
        <f>$H155/HSP!$E$3</f>
        <v>0.50383658377990659</v>
      </c>
      <c r="S155" s="17">
        <f>$I155/HSP!$E$4</f>
        <v>0.17390818497572386</v>
      </c>
      <c r="T155" s="17">
        <f>$J155/HSP!$E$5</f>
        <v>0.83717536548375548</v>
      </c>
      <c r="U155" s="17">
        <f>$K155/HSP!$E$6</f>
        <v>0.26296720918102279</v>
      </c>
      <c r="V155" s="12"/>
      <c r="W155" s="12"/>
      <c r="X155" s="12"/>
      <c r="Y155" s="12"/>
      <c r="Z155" s="12"/>
    </row>
    <row r="156" spans="1:26" ht="15" customHeight="1" x14ac:dyDescent="0.3">
      <c r="A156" s="26" t="s">
        <v>293</v>
      </c>
      <c r="B156" s="17">
        <v>17</v>
      </c>
      <c r="C156" s="17">
        <v>5.4</v>
      </c>
      <c r="D156" s="17">
        <v>11.1</v>
      </c>
      <c r="E156" s="17" t="s">
        <v>35</v>
      </c>
      <c r="F156" s="22">
        <v>169.3</v>
      </c>
      <c r="G156" s="17">
        <f>SQRT((4*(HSP!$B$2-$B156)^2+(HSP!$C$2-$C156)^2+(HSP!$D$2-$D156)^2))</f>
        <v>8.1004938121080006</v>
      </c>
      <c r="H156" s="17">
        <f>SQRT((4*(HSP!$B$3-$B156)^2+(HSP!$C$3-$C156)^2+(HSP!$D$3-$D156)^2))</f>
        <v>7.2725786348447272</v>
      </c>
      <c r="I156" s="17">
        <f>SQRT((4*(HSP!$B$4-$B156)^2+(HSP!$C$4-$C156)^2+(HSP!$D$4-$D156)^2))</f>
        <v>5.6924511416436419</v>
      </c>
      <c r="J156" s="17">
        <f>SQRT((4*(HSP!$B$5-$B156)^2+(HSP!$C$5-$C156)^2+(HSP!$D$5-$D156)^2))</f>
        <v>8.0983269877178952</v>
      </c>
      <c r="K156" s="17">
        <f>SQRT((4*(HSP!$B$6-$B156)^2+(HSP!$C$6-$C156)^2+(HSP!$D$6-$D156)^2))</f>
        <v>8.0990740211458743</v>
      </c>
      <c r="L156" s="17" t="s">
        <v>35</v>
      </c>
      <c r="M156" s="17" t="s">
        <v>35</v>
      </c>
      <c r="N156" s="17" t="s">
        <v>35</v>
      </c>
      <c r="O156" s="17" t="s">
        <v>35</v>
      </c>
      <c r="P156" s="17" t="s">
        <v>35</v>
      </c>
      <c r="Q156" s="17">
        <f>$G156/HSP!$E$2</f>
        <v>0.496962810558773</v>
      </c>
      <c r="R156" s="17">
        <f>$H156/HSP!$E$3</f>
        <v>0.53870952850701681</v>
      </c>
      <c r="S156" s="17">
        <f>$I156/HSP!$E$4</f>
        <v>0.35801579507192716</v>
      </c>
      <c r="T156" s="17">
        <f>$J156/HSP!$E$5</f>
        <v>0.59111875822758364</v>
      </c>
      <c r="U156" s="17">
        <f>$K156/HSP!$E$6</f>
        <v>0.54723473115850496</v>
      </c>
      <c r="V156" s="12"/>
      <c r="W156" s="12"/>
      <c r="X156" s="12"/>
      <c r="Y156" s="12"/>
      <c r="Z156" s="12"/>
    </row>
    <row r="157" spans="1:26" ht="15" customHeight="1" x14ac:dyDescent="0.3">
      <c r="A157" s="26" t="s">
        <v>294</v>
      </c>
      <c r="B157" s="17">
        <v>17</v>
      </c>
      <c r="C157" s="17">
        <v>5.2</v>
      </c>
      <c r="D157" s="17">
        <v>4.0999999999999996</v>
      </c>
      <c r="E157" s="17" t="s">
        <v>35</v>
      </c>
      <c r="F157" s="22">
        <v>212.2</v>
      </c>
      <c r="G157" s="17">
        <f>SQRT((4*(HSP!$B$2-$B157)^2+(HSP!$C$2-$C157)^2+(HSP!$D$2-$D157)^2))</f>
        <v>7.6812759356763127</v>
      </c>
      <c r="H157" s="17">
        <f>SQRT((4*(HSP!$B$3-$B157)^2+(HSP!$C$3-$C157)^2+(HSP!$D$3-$D157)^2))</f>
        <v>5.4510916337922639</v>
      </c>
      <c r="I157" s="17">
        <f>SQRT((4*(HSP!$B$4-$B157)^2+(HSP!$C$4-$C157)^2+(HSP!$D$4-$D157)^2))</f>
        <v>4.5777723840313431</v>
      </c>
      <c r="J157" s="17">
        <f>SQRT((4*(HSP!$B$5-$B157)^2+(HSP!$C$5-$C157)^2+(HSP!$D$5-$D157)^2))</f>
        <v>10.731770590168242</v>
      </c>
      <c r="K157" s="17">
        <f>SQRT((4*(HSP!$B$6-$B157)^2+(HSP!$C$6-$C157)^2+(HSP!$D$6-$D157)^2))</f>
        <v>3.6806249469349637</v>
      </c>
      <c r="L157" s="17" t="s">
        <v>35</v>
      </c>
      <c r="M157" s="17" t="s">
        <v>35</v>
      </c>
      <c r="N157" s="17" t="s">
        <v>35</v>
      </c>
      <c r="O157" s="17" t="s">
        <v>35</v>
      </c>
      <c r="P157" s="17" t="s">
        <v>35</v>
      </c>
      <c r="Q157" s="17">
        <f>$G157/HSP!$E$2</f>
        <v>0.4712439224341296</v>
      </c>
      <c r="R157" s="17">
        <f>$H157/HSP!$E$3</f>
        <v>0.40378456546609365</v>
      </c>
      <c r="S157" s="17">
        <f>$I157/HSP!$E$4</f>
        <v>0.28791021283215995</v>
      </c>
      <c r="T157" s="17">
        <f>$J157/HSP!$E$5</f>
        <v>0.78334091899038272</v>
      </c>
      <c r="U157" s="17">
        <f>$K157/HSP!$E$6</f>
        <v>0.24869087479290294</v>
      </c>
      <c r="V157" s="12"/>
      <c r="W157" s="12"/>
      <c r="X157" s="12"/>
      <c r="Y157" s="12"/>
      <c r="Z157" s="12"/>
    </row>
    <row r="158" spans="1:26" ht="15" customHeight="1" x14ac:dyDescent="0.3">
      <c r="A158" s="26" t="s">
        <v>295</v>
      </c>
      <c r="B158" s="17">
        <v>19.8</v>
      </c>
      <c r="C158" s="17">
        <v>5.6</v>
      </c>
      <c r="D158" s="17">
        <v>5.7</v>
      </c>
      <c r="E158" s="17" t="s">
        <v>35</v>
      </c>
      <c r="F158" s="22">
        <v>118.4</v>
      </c>
      <c r="G158" s="17">
        <f>SQRT((4*(HSP!$B$2-$B158)^2+(HSP!$C$2-$C158)^2+(HSP!$D$2-$D158)^2))</f>
        <v>11.550670976181429</v>
      </c>
      <c r="H158" s="17">
        <f>SQRT((4*(HSP!$B$3-$B158)^2+(HSP!$C$3-$C158)^2+(HSP!$D$3-$D158)^2))</f>
        <v>9.1687730913138008</v>
      </c>
      <c r="I158" s="17">
        <f>SQRT((4*(HSP!$B$4-$B158)^2+(HSP!$C$4-$C158)^2+(HSP!$D$4-$D158)^2))</f>
        <v>9.3703788610706678</v>
      </c>
      <c r="J158" s="17">
        <f>SQRT((4*(HSP!$B$5-$B158)^2+(HSP!$C$5-$C158)^2+(HSP!$D$5-$D158)^2))</f>
        <v>12.654283859626355</v>
      </c>
      <c r="K158" s="17">
        <f>SQRT((4*(HSP!$B$6-$B158)^2+(HSP!$C$6-$C158)^2+(HSP!$D$6-$D158)^2))</f>
        <v>9.2841262378319716</v>
      </c>
      <c r="L158" s="17" t="s">
        <v>35</v>
      </c>
      <c r="M158" s="17" t="s">
        <v>35</v>
      </c>
      <c r="N158" s="17" t="s">
        <v>35</v>
      </c>
      <c r="O158" s="17" t="s">
        <v>35</v>
      </c>
      <c r="P158" s="17" t="s">
        <v>35</v>
      </c>
      <c r="Q158" s="17">
        <f>$G158/HSP!$E$2</f>
        <v>0.70863012123812441</v>
      </c>
      <c r="R158" s="17">
        <f>$H158/HSP!$E$3</f>
        <v>0.67916837713435563</v>
      </c>
      <c r="S158" s="17">
        <f>$I158/HSP!$E$4</f>
        <v>0.58933200384092244</v>
      </c>
      <c r="T158" s="17">
        <f>$J158/HSP!$E$5</f>
        <v>0.92367035471725223</v>
      </c>
      <c r="U158" s="17">
        <f>$K158/HSP!$E$6</f>
        <v>0.6273058268805386</v>
      </c>
      <c r="V158" s="12"/>
      <c r="W158" s="12"/>
      <c r="X158" s="12"/>
      <c r="Y158" s="12"/>
      <c r="Z158" s="12"/>
    </row>
    <row r="159" spans="1:26" ht="15" customHeight="1" x14ac:dyDescent="0.3">
      <c r="A159" s="26" t="s">
        <v>296</v>
      </c>
      <c r="B159" s="17">
        <v>17.100000000000001</v>
      </c>
      <c r="C159" s="17">
        <v>9.1</v>
      </c>
      <c r="D159" s="17">
        <v>10.7</v>
      </c>
      <c r="E159" s="17" t="s">
        <v>35</v>
      </c>
      <c r="F159" s="22">
        <v>210</v>
      </c>
      <c r="G159" s="17">
        <f>SQRT((4*(HSP!$B$2-$B159)^2+(HSP!$C$2-$C159)^2+(HSP!$D$2-$D159)^2))</f>
        <v>6.3787146040562144</v>
      </c>
      <c r="H159" s="17">
        <f>SQRT((4*(HSP!$B$3-$B159)^2+(HSP!$C$3-$C159)^2+(HSP!$D$3-$D159)^2))</f>
        <v>5.6639562145200246</v>
      </c>
      <c r="I159" s="17">
        <f>SQRT((4*(HSP!$B$4-$B159)^2+(HSP!$C$4-$C159)^2+(HSP!$D$4-$D159)^2))</f>
        <v>7.0459917683744147</v>
      </c>
      <c r="J159" s="17">
        <f>SQRT((4*(HSP!$B$5-$B159)^2+(HSP!$C$5-$C159)^2+(HSP!$D$5-$D159)^2))</f>
        <v>5.1529506110577108</v>
      </c>
      <c r="K159" s="17">
        <f>SQRT((4*(HSP!$B$6-$B159)^2+(HSP!$C$6-$C159)^2+(HSP!$D$6-$D159)^2))</f>
        <v>8.2126122518964699</v>
      </c>
      <c r="L159" s="17" t="s">
        <v>35</v>
      </c>
      <c r="M159" s="17" t="s">
        <v>35</v>
      </c>
      <c r="N159" s="17" t="s">
        <v>35</v>
      </c>
      <c r="O159" s="17" t="s">
        <v>35</v>
      </c>
      <c r="P159" s="17" t="s">
        <v>35</v>
      </c>
      <c r="Q159" s="17">
        <f>$G159/HSP!$E$2</f>
        <v>0.39133218429792727</v>
      </c>
      <c r="R159" s="17">
        <f>$H159/HSP!$E$3</f>
        <v>0.4195523121866685</v>
      </c>
      <c r="S159" s="17">
        <f>$I159/HSP!$E$4</f>
        <v>0.44314413637574934</v>
      </c>
      <c r="T159" s="17">
        <f>$J159/HSP!$E$5</f>
        <v>0.37612778182903001</v>
      </c>
      <c r="U159" s="17">
        <f>$K159/HSP!$E$6</f>
        <v>0.55490623323624799</v>
      </c>
      <c r="V159" s="12"/>
      <c r="W159" s="12"/>
      <c r="X159" s="12"/>
      <c r="Y159" s="12"/>
      <c r="Z159" s="12"/>
    </row>
    <row r="160" spans="1:26" ht="15" customHeight="1" x14ac:dyDescent="0.3">
      <c r="A160" s="27" t="s">
        <v>297</v>
      </c>
      <c r="B160" s="19">
        <v>17</v>
      </c>
      <c r="C160" s="19">
        <v>5</v>
      </c>
      <c r="D160" s="19">
        <v>6</v>
      </c>
      <c r="E160" s="17" t="s">
        <v>35</v>
      </c>
      <c r="F160" s="23">
        <v>174</v>
      </c>
      <c r="G160" s="17">
        <f>SQRT((4*(HSP!$B$2-$B160)^2+(HSP!$C$2-$C160)^2+(HSP!$D$2-$D160)^2))</f>
        <v>7.3356662955726124</v>
      </c>
      <c r="H160" s="17">
        <f>SQRT((4*(HSP!$B$3-$B160)^2+(HSP!$C$3-$C160)^2+(HSP!$D$3-$D160)^2))</f>
        <v>5.349055991481114</v>
      </c>
      <c r="I160" s="17">
        <f>SQRT((4*(HSP!$B$4-$B160)^2+(HSP!$C$4-$C160)^2+(HSP!$D$4-$D160)^2))</f>
        <v>3.7600531911131259</v>
      </c>
      <c r="J160" s="17">
        <f>SQRT((4*(HSP!$B$5-$B160)^2+(HSP!$C$5-$C160)^2+(HSP!$D$5-$D160)^2))</f>
        <v>9.7915729073525277</v>
      </c>
      <c r="K160" s="17">
        <f>SQRT((4*(HSP!$B$6-$B160)^2+(HSP!$C$6-$C160)^2+(HSP!$D$6-$D160)^2))</f>
        <v>4.3172908171676374</v>
      </c>
      <c r="L160" s="17" t="s">
        <v>35</v>
      </c>
      <c r="M160" s="17" t="s">
        <v>35</v>
      </c>
      <c r="N160" s="17" t="s">
        <v>35</v>
      </c>
      <c r="O160" s="17" t="s">
        <v>35</v>
      </c>
      <c r="P160" s="17" t="s">
        <v>35</v>
      </c>
      <c r="Q160" s="17">
        <f>$G160/HSP!$E$2</f>
        <v>0.45004087702899459</v>
      </c>
      <c r="R160" s="17">
        <f>$H160/HSP!$E$3</f>
        <v>0.39622636973934178</v>
      </c>
      <c r="S160" s="17">
        <f>$I160/HSP!$E$4</f>
        <v>0.23648133277441041</v>
      </c>
      <c r="T160" s="17">
        <f>$J160/HSP!$E$5</f>
        <v>0.71471335090164445</v>
      </c>
      <c r="U160" s="17">
        <f>$K160/HSP!$E$6</f>
        <v>0.2917088389978133</v>
      </c>
      <c r="V160" s="12"/>
      <c r="W160" s="12"/>
      <c r="X160" s="12"/>
      <c r="Y160" s="12"/>
      <c r="Z160" s="12"/>
    </row>
    <row r="161" spans="1:26" ht="15" customHeight="1" x14ac:dyDescent="0.3">
      <c r="A161" s="26" t="s">
        <v>298</v>
      </c>
      <c r="B161" s="17">
        <v>16</v>
      </c>
      <c r="C161" s="17">
        <v>6.3</v>
      </c>
      <c r="D161" s="17">
        <v>4.7</v>
      </c>
      <c r="E161" s="17" t="s">
        <v>35</v>
      </c>
      <c r="F161" s="22">
        <v>225.1</v>
      </c>
      <c r="G161" s="17">
        <f>SQRT((4*(HSP!$B$2-$B161)^2+(HSP!$C$2-$C161)^2+(HSP!$D$2-$D161)^2))</f>
        <v>5.5085388262224324</v>
      </c>
      <c r="H161" s="17">
        <f>SQRT((4*(HSP!$B$3-$B161)^2+(HSP!$C$3-$C161)^2+(HSP!$D$3-$D161)^2))</f>
        <v>3.5956084325187585</v>
      </c>
      <c r="I161" s="17">
        <f>SQRT((4*(HSP!$B$4-$B161)^2+(HSP!$C$4-$C161)^2+(HSP!$D$4-$D161)^2))</f>
        <v>3.1288975694324028</v>
      </c>
      <c r="J161" s="17">
        <f>SQRT((4*(HSP!$B$5-$B161)^2+(HSP!$C$5-$C161)^2+(HSP!$D$5-$D161)^2))</f>
        <v>9.0642650005392049</v>
      </c>
      <c r="K161" s="17">
        <f>SQRT((4*(HSP!$B$6-$B161)^2+(HSP!$C$6-$C161)^2+(HSP!$D$6-$D161)^2))</f>
        <v>1.6944025495731534</v>
      </c>
      <c r="L161" s="17" t="s">
        <v>35</v>
      </c>
      <c r="M161" s="17" t="s">
        <v>35</v>
      </c>
      <c r="N161" s="17" t="s">
        <v>35</v>
      </c>
      <c r="O161" s="17" t="s">
        <v>35</v>
      </c>
      <c r="P161" s="17" t="s">
        <v>35</v>
      </c>
      <c r="Q161" s="17">
        <f>$G161/HSP!$E$2</f>
        <v>0.33794716725290996</v>
      </c>
      <c r="R161" s="17">
        <f>$H161/HSP!$E$3</f>
        <v>0.2663413653717599</v>
      </c>
      <c r="S161" s="17">
        <f>$I161/HSP!$E$4</f>
        <v>0.19678601065612597</v>
      </c>
      <c r="T161" s="17">
        <f>$J161/HSP!$E$5</f>
        <v>0.66162518252110991</v>
      </c>
      <c r="U161" s="17">
        <f>$K161/HSP!$E$6</f>
        <v>0.11448665875494279</v>
      </c>
      <c r="V161" s="12"/>
      <c r="W161" s="12"/>
      <c r="X161" s="12"/>
      <c r="Y161" s="12"/>
      <c r="Z161" s="12"/>
    </row>
    <row r="162" spans="1:26" ht="15" customHeight="1" x14ac:dyDescent="0.3">
      <c r="A162" s="26" t="s">
        <v>299</v>
      </c>
      <c r="B162" s="17">
        <v>16</v>
      </c>
      <c r="C162" s="17">
        <v>6.3</v>
      </c>
      <c r="D162" s="17">
        <v>4</v>
      </c>
      <c r="E162" s="17" t="s">
        <v>35</v>
      </c>
      <c r="F162" s="22">
        <v>220.7</v>
      </c>
      <c r="G162" s="17">
        <f>SQRT((4*(HSP!$B$2-$B162)^2+(HSP!$C$2-$C162)^2+(HSP!$D$2-$D162)^2))</f>
        <v>5.83318095039062</v>
      </c>
      <c r="H162" s="17">
        <f>SQRT((4*(HSP!$B$3-$B162)^2+(HSP!$C$3-$C162)^2+(HSP!$D$3-$D162)^2))</f>
        <v>3.8712271956060658</v>
      </c>
      <c r="I162" s="17">
        <f>SQRT((4*(HSP!$B$4-$B162)^2+(HSP!$C$4-$C162)^2+(HSP!$D$4-$D162)^2))</f>
        <v>3.6359317925395684</v>
      </c>
      <c r="J162" s="17">
        <f>SQRT((4*(HSP!$B$5-$B162)^2+(HSP!$C$5-$C162)^2+(HSP!$D$5-$D162)^2))</f>
        <v>9.5589173027074583</v>
      </c>
      <c r="K162" s="17">
        <f>SQRT((4*(HSP!$B$6-$B162)^2+(HSP!$C$6-$C162)^2+(HSP!$D$6-$D162)^2))</f>
        <v>1.4734313692873524</v>
      </c>
      <c r="L162" s="17" t="s">
        <v>35</v>
      </c>
      <c r="M162" s="17" t="s">
        <v>35</v>
      </c>
      <c r="N162" s="17" t="s">
        <v>35</v>
      </c>
      <c r="O162" s="17" t="s">
        <v>35</v>
      </c>
      <c r="P162" s="17" t="s">
        <v>35</v>
      </c>
      <c r="Q162" s="17">
        <f>$G162/HSP!$E$2</f>
        <v>0.35786386198715459</v>
      </c>
      <c r="R162" s="17">
        <f>$H162/HSP!$E$3</f>
        <v>0.28675757004489377</v>
      </c>
      <c r="S162" s="17">
        <f>$I162/HSP!$E$4</f>
        <v>0.22867495550563324</v>
      </c>
      <c r="T162" s="17">
        <f>$J162/HSP!$E$5</f>
        <v>0.69773118997864658</v>
      </c>
      <c r="U162" s="17">
        <f>$K162/HSP!$E$6</f>
        <v>9.9556173600496775E-2</v>
      </c>
      <c r="V162" s="12"/>
      <c r="W162" s="12"/>
      <c r="X162" s="12"/>
      <c r="Y162" s="12"/>
      <c r="Z162" s="12"/>
    </row>
    <row r="163" spans="1:26" ht="15" customHeight="1" x14ac:dyDescent="0.3">
      <c r="A163" s="26" t="s">
        <v>300</v>
      </c>
      <c r="B163" s="17">
        <v>16</v>
      </c>
      <c r="C163" s="17">
        <v>4.4000000000000004</v>
      </c>
      <c r="D163" s="17">
        <v>7.4</v>
      </c>
      <c r="E163" s="17" t="s">
        <v>35</v>
      </c>
      <c r="F163" s="22">
        <v>200</v>
      </c>
      <c r="G163" s="17">
        <f>SQRT((4*(HSP!$B$2-$B163)^2+(HSP!$C$2-$C163)^2+(HSP!$D$2-$D163)^2))</f>
        <v>6.6887966032762582</v>
      </c>
      <c r="H163" s="17">
        <f>SQRT((4*(HSP!$B$3-$B163)^2+(HSP!$C$3-$C163)^2+(HSP!$D$3-$D163)^2))</f>
        <v>5.5270607016749871</v>
      </c>
      <c r="I163" s="17">
        <f>SQRT((4*(HSP!$B$4-$B163)^2+(HSP!$C$4-$C163)^2+(HSP!$D$4-$D163)^2))</f>
        <v>1.7871765441612086</v>
      </c>
      <c r="J163" s="17">
        <f>SQRT((4*(HSP!$B$5-$B163)^2+(HSP!$C$5-$C163)^2+(HSP!$D$5-$D163)^2))</f>
        <v>9.1550477879692149</v>
      </c>
      <c r="K163" s="17">
        <f>SQRT((4*(HSP!$B$6-$B163)^2+(HSP!$C$6-$C163)^2+(HSP!$D$6-$D163)^2))</f>
        <v>4.3422344478390391</v>
      </c>
      <c r="L163" s="17" t="s">
        <v>35</v>
      </c>
      <c r="M163" s="17" t="s">
        <v>35</v>
      </c>
      <c r="N163" s="17" t="s">
        <v>35</v>
      </c>
      <c r="O163" s="17" t="s">
        <v>35</v>
      </c>
      <c r="P163" s="17" t="s">
        <v>35</v>
      </c>
      <c r="Q163" s="17">
        <f>$G163/HSP!$E$2</f>
        <v>0.41035561983289925</v>
      </c>
      <c r="R163" s="17">
        <f>$H163/HSP!$E$3</f>
        <v>0.40941190382777681</v>
      </c>
      <c r="S163" s="17">
        <f>$I163/HSP!$E$4</f>
        <v>0.11240104051328356</v>
      </c>
      <c r="T163" s="17">
        <f>$J163/HSP!$E$5</f>
        <v>0.66825166335541719</v>
      </c>
      <c r="U163" s="17">
        <f>$K163/HSP!$E$6</f>
        <v>0.29339421944858374</v>
      </c>
      <c r="V163" s="12"/>
      <c r="W163" s="12"/>
      <c r="X163" s="12"/>
      <c r="Y163" s="12"/>
      <c r="Z163" s="12"/>
    </row>
    <row r="164" spans="1:26" ht="15" customHeight="1" x14ac:dyDescent="0.3">
      <c r="A164" s="26" t="s">
        <v>301</v>
      </c>
      <c r="B164" s="17">
        <v>16</v>
      </c>
      <c r="C164" s="17">
        <v>4.4000000000000004</v>
      </c>
      <c r="D164" s="17">
        <v>7.4</v>
      </c>
      <c r="E164" s="17" t="s">
        <v>35</v>
      </c>
      <c r="F164" s="22">
        <v>200</v>
      </c>
      <c r="G164" s="17">
        <f>SQRT((4*(HSP!$B$2-$B164)^2+(HSP!$C$2-$C164)^2+(HSP!$D$2-$D164)^2))</f>
        <v>6.6887966032762582</v>
      </c>
      <c r="H164" s="17">
        <f>SQRT((4*(HSP!$B$3-$B164)^2+(HSP!$C$3-$C164)^2+(HSP!$D$3-$D164)^2))</f>
        <v>5.5270607016749871</v>
      </c>
      <c r="I164" s="17">
        <f>SQRT((4*(HSP!$B$4-$B164)^2+(HSP!$C$4-$C164)^2+(HSP!$D$4-$D164)^2))</f>
        <v>1.7871765441612086</v>
      </c>
      <c r="J164" s="17">
        <f>SQRT((4*(HSP!$B$5-$B164)^2+(HSP!$C$5-$C164)^2+(HSP!$D$5-$D164)^2))</f>
        <v>9.1550477879692149</v>
      </c>
      <c r="K164" s="17">
        <f>SQRT((4*(HSP!$B$6-$B164)^2+(HSP!$C$6-$C164)^2+(HSP!$D$6-$D164)^2))</f>
        <v>4.3422344478390391</v>
      </c>
      <c r="L164" s="17" t="s">
        <v>35</v>
      </c>
      <c r="M164" s="17" t="s">
        <v>35</v>
      </c>
      <c r="N164" s="17" t="s">
        <v>35</v>
      </c>
      <c r="O164" s="17" t="s">
        <v>35</v>
      </c>
      <c r="P164" s="17" t="s">
        <v>35</v>
      </c>
      <c r="Q164" s="17">
        <f>$G164/HSP!$E$2</f>
        <v>0.41035561983289925</v>
      </c>
      <c r="R164" s="17">
        <f>$H164/HSP!$E$3</f>
        <v>0.40941190382777681</v>
      </c>
      <c r="S164" s="17">
        <f>$I164/HSP!$E$4</f>
        <v>0.11240104051328356</v>
      </c>
      <c r="T164" s="17">
        <f>$J164/HSP!$E$5</f>
        <v>0.66825166335541719</v>
      </c>
      <c r="U164" s="17">
        <f>$K164/HSP!$E$6</f>
        <v>0.29339421944858374</v>
      </c>
      <c r="V164" s="12"/>
      <c r="W164" s="12"/>
      <c r="X164" s="12"/>
      <c r="Y164" s="12"/>
      <c r="Z164" s="12"/>
    </row>
    <row r="165" spans="1:26" ht="15" customHeight="1" x14ac:dyDescent="0.3">
      <c r="A165" s="26" t="s">
        <v>302</v>
      </c>
      <c r="B165" s="17">
        <v>16.2</v>
      </c>
      <c r="C165" s="17">
        <v>3</v>
      </c>
      <c r="D165" s="17">
        <v>6</v>
      </c>
      <c r="E165" s="17" t="s">
        <v>35</v>
      </c>
      <c r="F165" s="22">
        <v>190</v>
      </c>
      <c r="G165" s="17">
        <f>SQRT((4*(HSP!$B$2-$B165)^2+(HSP!$C$2-$C165)^2+(HSP!$D$2-$D165)^2))</f>
        <v>8.176307234931917</v>
      </c>
      <c r="H165" s="17">
        <f>SQRT((4*(HSP!$B$3-$B165)^2+(HSP!$C$3-$C165)^2+(HSP!$D$3-$D165)^2))</f>
        <v>6.740059346919729</v>
      </c>
      <c r="I165" s="17">
        <f>SQRT((4*(HSP!$B$4-$B165)^2+(HSP!$C$4-$C165)^2+(HSP!$D$4-$D165)^2))</f>
        <v>2.7759682995308128</v>
      </c>
      <c r="J165" s="17">
        <f>SQRT((4*(HSP!$B$5-$B165)^2+(HSP!$C$5-$C165)^2+(HSP!$D$5-$D165)^2))</f>
        <v>11.056351115987589</v>
      </c>
      <c r="K165" s="17">
        <f>SQRT((4*(HSP!$B$6-$B165)^2+(HSP!$C$6-$C165)^2+(HSP!$D$6-$D165)^2))</f>
        <v>4.4549971941629769</v>
      </c>
      <c r="L165" s="17" t="s">
        <v>35</v>
      </c>
      <c r="M165" s="17" t="s">
        <v>35</v>
      </c>
      <c r="N165" s="17" t="s">
        <v>35</v>
      </c>
      <c r="O165" s="17" t="s">
        <v>35</v>
      </c>
      <c r="P165" s="17" t="s">
        <v>35</v>
      </c>
      <c r="Q165" s="17">
        <f>$G165/HSP!$E$2</f>
        <v>0.50161394079336907</v>
      </c>
      <c r="R165" s="17">
        <f>$H165/HSP!$E$3</f>
        <v>0.49926365532738731</v>
      </c>
      <c r="S165" s="17">
        <f>$I165/HSP!$E$4</f>
        <v>0.174589201228353</v>
      </c>
      <c r="T165" s="17">
        <f>$J165/HSP!$E$5</f>
        <v>0.80703292817427663</v>
      </c>
      <c r="U165" s="17">
        <f>$K165/HSP!$E$6</f>
        <v>0.30101332392993085</v>
      </c>
      <c r="V165" s="12"/>
      <c r="W165" s="12"/>
      <c r="X165" s="12"/>
      <c r="Y165" s="12"/>
      <c r="Z165" s="12"/>
    </row>
    <row r="166" spans="1:26" ht="15" customHeight="1" x14ac:dyDescent="0.3">
      <c r="A166" s="26" t="s">
        <v>303</v>
      </c>
      <c r="B166" s="17">
        <v>16.2</v>
      </c>
      <c r="C166" s="17">
        <v>3</v>
      </c>
      <c r="D166" s="17">
        <v>6</v>
      </c>
      <c r="E166" s="17" t="s">
        <v>35</v>
      </c>
      <c r="F166" s="22">
        <v>190</v>
      </c>
      <c r="G166" s="17">
        <f>SQRT((4*(HSP!$B$2-$B166)^2+(HSP!$C$2-$C166)^2+(HSP!$D$2-$D166)^2))</f>
        <v>8.176307234931917</v>
      </c>
      <c r="H166" s="17">
        <f>SQRT((4*(HSP!$B$3-$B166)^2+(HSP!$C$3-$C166)^2+(HSP!$D$3-$D166)^2))</f>
        <v>6.740059346919729</v>
      </c>
      <c r="I166" s="17">
        <f>SQRT((4*(HSP!$B$4-$B166)^2+(HSP!$C$4-$C166)^2+(HSP!$D$4-$D166)^2))</f>
        <v>2.7759682995308128</v>
      </c>
      <c r="J166" s="17">
        <f>SQRT((4*(HSP!$B$5-$B166)^2+(HSP!$C$5-$C166)^2+(HSP!$D$5-$D166)^2))</f>
        <v>11.056351115987589</v>
      </c>
      <c r="K166" s="17">
        <f>SQRT((4*(HSP!$B$6-$B166)^2+(HSP!$C$6-$C166)^2+(HSP!$D$6-$D166)^2))</f>
        <v>4.4549971941629769</v>
      </c>
      <c r="L166" s="17" t="s">
        <v>35</v>
      </c>
      <c r="M166" s="17" t="s">
        <v>35</v>
      </c>
      <c r="N166" s="17" t="s">
        <v>35</v>
      </c>
      <c r="O166" s="17" t="s">
        <v>35</v>
      </c>
      <c r="P166" s="17" t="s">
        <v>35</v>
      </c>
      <c r="Q166" s="17">
        <f>$G166/HSP!$E$2</f>
        <v>0.50161394079336907</v>
      </c>
      <c r="R166" s="17">
        <f>$H166/HSP!$E$3</f>
        <v>0.49926365532738731</v>
      </c>
      <c r="S166" s="17">
        <f>$I166/HSP!$E$4</f>
        <v>0.174589201228353</v>
      </c>
      <c r="T166" s="17">
        <f>$J166/HSP!$E$5</f>
        <v>0.80703292817427663</v>
      </c>
      <c r="U166" s="17">
        <f>$K166/HSP!$E$6</f>
        <v>0.30101332392993085</v>
      </c>
      <c r="V166" s="12"/>
      <c r="W166" s="12"/>
      <c r="X166" s="12"/>
      <c r="Y166" s="12"/>
      <c r="Z166" s="12"/>
    </row>
    <row r="167" spans="1:26" ht="15" customHeight="1" x14ac:dyDescent="0.3">
      <c r="A167" s="26" t="s">
        <v>304</v>
      </c>
      <c r="B167" s="17">
        <v>17</v>
      </c>
      <c r="C167" s="17">
        <v>5.4</v>
      </c>
      <c r="D167" s="17">
        <v>11.1</v>
      </c>
      <c r="E167" s="17" t="s">
        <v>35</v>
      </c>
      <c r="F167" s="22">
        <v>163</v>
      </c>
      <c r="G167" s="17">
        <f>SQRT((4*(HSP!$B$2-$B167)^2+(HSP!$C$2-$C167)^2+(HSP!$D$2-$D167)^2))</f>
        <v>8.1004938121080006</v>
      </c>
      <c r="H167" s="17">
        <f>SQRT((4*(HSP!$B$3-$B167)^2+(HSP!$C$3-$C167)^2+(HSP!$D$3-$D167)^2))</f>
        <v>7.2725786348447272</v>
      </c>
      <c r="I167" s="17">
        <f>SQRT((4*(HSP!$B$4-$B167)^2+(HSP!$C$4-$C167)^2+(HSP!$D$4-$D167)^2))</f>
        <v>5.6924511416436419</v>
      </c>
      <c r="J167" s="17">
        <f>SQRT((4*(HSP!$B$5-$B167)^2+(HSP!$C$5-$C167)^2+(HSP!$D$5-$D167)^2))</f>
        <v>8.0983269877178952</v>
      </c>
      <c r="K167" s="17">
        <f>SQRT((4*(HSP!$B$6-$B167)^2+(HSP!$C$6-$C167)^2+(HSP!$D$6-$D167)^2))</f>
        <v>8.0990740211458743</v>
      </c>
      <c r="L167" s="17" t="s">
        <v>35</v>
      </c>
      <c r="M167" s="17" t="s">
        <v>35</v>
      </c>
      <c r="N167" s="17" t="s">
        <v>35</v>
      </c>
      <c r="O167" s="17" t="s">
        <v>35</v>
      </c>
      <c r="P167" s="17" t="s">
        <v>35</v>
      </c>
      <c r="Q167" s="17">
        <f>$G167/HSP!$E$2</f>
        <v>0.496962810558773</v>
      </c>
      <c r="R167" s="17">
        <f>$H167/HSP!$E$3</f>
        <v>0.53870952850701681</v>
      </c>
      <c r="S167" s="17">
        <f>$I167/HSP!$E$4</f>
        <v>0.35801579507192716</v>
      </c>
      <c r="T167" s="17">
        <f>$J167/HSP!$E$5</f>
        <v>0.59111875822758364</v>
      </c>
      <c r="U167" s="17">
        <f>$K167/HSP!$E$6</f>
        <v>0.54723473115850496</v>
      </c>
      <c r="V167" s="12"/>
      <c r="W167" s="12"/>
      <c r="X167" s="12"/>
      <c r="Y167" s="12"/>
      <c r="Z167" s="12"/>
    </row>
    <row r="168" spans="1:26" ht="15" customHeight="1" x14ac:dyDescent="0.3">
      <c r="A168" s="26" t="s">
        <v>305</v>
      </c>
      <c r="B168" s="17">
        <v>17.2</v>
      </c>
      <c r="C168" s="17">
        <v>8.6</v>
      </c>
      <c r="D168" s="17">
        <v>5.4</v>
      </c>
      <c r="E168" s="17" t="s">
        <v>35</v>
      </c>
      <c r="F168" s="22">
        <v>170.3</v>
      </c>
      <c r="G168" s="17">
        <f>SQRT((4*(HSP!$B$2-$B168)^2+(HSP!$C$2-$C168)^2+(HSP!$D$2-$D168)^2))</f>
        <v>5.7442144806753168</v>
      </c>
      <c r="H168" s="17">
        <f>SQRT((4*(HSP!$B$3-$B168)^2+(HSP!$C$3-$C168)^2+(HSP!$D$3-$D168)^2))</f>
        <v>3.2280644355402819</v>
      </c>
      <c r="I168" s="17">
        <f>SQRT((4*(HSP!$B$4-$B168)^2+(HSP!$C$4-$C168)^2+(HSP!$D$4-$D168)^2))</f>
        <v>5.814636704042651</v>
      </c>
      <c r="J168" s="17">
        <f>SQRT((4*(HSP!$B$5-$B168)^2+(HSP!$C$5-$C168)^2+(HSP!$D$5-$D168)^2))</f>
        <v>7.9028412612173851</v>
      </c>
      <c r="K168" s="17">
        <f>SQRT((4*(HSP!$B$6-$B168)^2+(HSP!$C$6-$C168)^2+(HSP!$D$6-$D168)^2))</f>
        <v>4.6915882172245249</v>
      </c>
      <c r="L168" s="17" t="s">
        <v>35</v>
      </c>
      <c r="M168" s="17" t="s">
        <v>35</v>
      </c>
      <c r="N168" s="17" t="s">
        <v>35</v>
      </c>
      <c r="O168" s="17" t="s">
        <v>35</v>
      </c>
      <c r="P168" s="17" t="s">
        <v>35</v>
      </c>
      <c r="Q168" s="17">
        <f>$G168/HSP!$E$2</f>
        <v>0.35240579636044889</v>
      </c>
      <c r="R168" s="17">
        <f>$H168/HSP!$E$3</f>
        <v>0.23911588411409496</v>
      </c>
      <c r="S168" s="17">
        <f>$I168/HSP!$E$4</f>
        <v>0.36570042163790256</v>
      </c>
      <c r="T168" s="17">
        <f>$J168/HSP!$E$5</f>
        <v>0.57684972709615956</v>
      </c>
      <c r="U168" s="17">
        <f>$K168/HSP!$E$6</f>
        <v>0.31699920386652192</v>
      </c>
      <c r="V168" s="12"/>
      <c r="W168" s="12"/>
      <c r="X168" s="12"/>
      <c r="Y168" s="12"/>
      <c r="Z168" s="12"/>
    </row>
    <row r="169" spans="1:26" ht="15" customHeight="1" x14ac:dyDescent="0.3">
      <c r="A169" s="26" t="s">
        <v>306</v>
      </c>
      <c r="B169" s="17">
        <v>17.399999999999999</v>
      </c>
      <c r="C169" s="17">
        <v>6.1</v>
      </c>
      <c r="D169" s="17">
        <v>3.9</v>
      </c>
      <c r="E169" s="17" t="s">
        <v>35</v>
      </c>
      <c r="F169" s="22">
        <v>237</v>
      </c>
      <c r="G169" s="17">
        <f>SQRT((4*(HSP!$B$2-$B169)^2+(HSP!$C$2-$C169)^2+(HSP!$D$2-$D169)^2))</f>
        <v>7.7366659485853457</v>
      </c>
      <c r="H169" s="17">
        <f>SQRT((4*(HSP!$B$3-$B169)^2+(HSP!$C$3-$C169)^2+(HSP!$D$3-$D169)^2))</f>
        <v>5.2968292402153185</v>
      </c>
      <c r="I169" s="17">
        <f>SQRT((4*(HSP!$B$4-$B169)^2+(HSP!$C$4-$C169)^2+(HSP!$D$4-$D169)^2))</f>
        <v>5.5061783480014501</v>
      </c>
      <c r="J169" s="17">
        <f>SQRT((4*(HSP!$B$5-$B169)^2+(HSP!$C$5-$C169)^2+(HSP!$D$5-$D169)^2))</f>
        <v>10.554283490602286</v>
      </c>
      <c r="K169" s="17">
        <f>SQRT((4*(HSP!$B$6-$B169)^2+(HSP!$C$6-$C169)^2+(HSP!$D$6-$D169)^2))</f>
        <v>4.2730551131479668</v>
      </c>
      <c r="L169" s="17" t="s">
        <v>35</v>
      </c>
      <c r="M169" s="17" t="s">
        <v>35</v>
      </c>
      <c r="N169" s="17" t="s">
        <v>35</v>
      </c>
      <c r="O169" s="17" t="s">
        <v>35</v>
      </c>
      <c r="P169" s="17" t="s">
        <v>35</v>
      </c>
      <c r="Q169" s="17">
        <f>$G169/HSP!$E$2</f>
        <v>0.47464208273529729</v>
      </c>
      <c r="R169" s="17">
        <f>$H169/HSP!$E$3</f>
        <v>0.39235772149743098</v>
      </c>
      <c r="S169" s="17">
        <f>$I169/HSP!$E$4</f>
        <v>0.34630052503153774</v>
      </c>
      <c r="T169" s="17">
        <f>$J169/HSP!$E$5</f>
        <v>0.7703856562483421</v>
      </c>
      <c r="U169" s="17">
        <f>$K169/HSP!$E$6</f>
        <v>0.2887199400775653</v>
      </c>
      <c r="V169" s="12"/>
      <c r="W169" s="12"/>
      <c r="X169" s="12"/>
      <c r="Y169" s="12"/>
      <c r="Z169" s="12"/>
    </row>
    <row r="170" spans="1:26" ht="15" customHeight="1" x14ac:dyDescent="0.3">
      <c r="A170" s="26" t="s">
        <v>307</v>
      </c>
      <c r="B170" s="17">
        <v>16</v>
      </c>
      <c r="C170" s="17">
        <v>4.7</v>
      </c>
      <c r="D170" s="17">
        <v>11.2</v>
      </c>
      <c r="E170" s="17" t="s">
        <v>35</v>
      </c>
      <c r="F170" s="22">
        <v>178.3</v>
      </c>
      <c r="G170" s="17">
        <f>SQRT((4*(HSP!$B$2-$B170)^2+(HSP!$C$2-$C170)^2+(HSP!$D$2-$D170)^2))</f>
        <v>7.6698109494302402</v>
      </c>
      <c r="H170" s="17">
        <f>SQRT((4*(HSP!$B$3-$B170)^2+(HSP!$C$3-$C170)^2+(HSP!$D$3-$D170)^2))</f>
        <v>7.3437320212545876</v>
      </c>
      <c r="I170" s="17">
        <f>SQRT((4*(HSP!$B$4-$B170)^2+(HSP!$C$4-$C170)^2+(HSP!$D$4-$D170)^2))</f>
        <v>4.7027651440402591</v>
      </c>
      <c r="J170" s="17">
        <f>SQRT((4*(HSP!$B$5-$B170)^2+(HSP!$C$5-$C170)^2+(HSP!$D$5-$D170)^2))</f>
        <v>8.1562797892176313</v>
      </c>
      <c r="K170" s="17">
        <f>SQRT((4*(HSP!$B$6-$B170)^2+(HSP!$C$6-$C170)^2+(HSP!$D$6-$D170)^2))</f>
        <v>7.6907086799592141</v>
      </c>
      <c r="L170" s="17" t="s">
        <v>35</v>
      </c>
      <c r="M170" s="17" t="s">
        <v>35</v>
      </c>
      <c r="N170" s="17" t="s">
        <v>35</v>
      </c>
      <c r="O170" s="17" t="s">
        <v>35</v>
      </c>
      <c r="P170" s="17" t="s">
        <v>35</v>
      </c>
      <c r="Q170" s="17">
        <f>$G170/HSP!$E$2</f>
        <v>0.47054054904479997</v>
      </c>
      <c r="R170" s="17">
        <f>$H170/HSP!$E$3</f>
        <v>0.54398014972256203</v>
      </c>
      <c r="S170" s="17">
        <f>$I170/HSP!$E$4</f>
        <v>0.29577139270693453</v>
      </c>
      <c r="T170" s="17">
        <f>$J170/HSP!$E$5</f>
        <v>0.59534888972391475</v>
      </c>
      <c r="U170" s="17">
        <f>$K170/HSP!$E$6</f>
        <v>0.51964247837562261</v>
      </c>
      <c r="V170" s="12"/>
      <c r="W170" s="12"/>
      <c r="X170" s="12"/>
      <c r="Y170" s="12"/>
      <c r="Z170" s="12"/>
    </row>
    <row r="171" spans="1:26" ht="15" customHeight="1" x14ac:dyDescent="0.3">
      <c r="A171" s="26" t="s">
        <v>308</v>
      </c>
      <c r="B171" s="17">
        <v>16</v>
      </c>
      <c r="C171" s="17">
        <v>2.8</v>
      </c>
      <c r="D171" s="17">
        <v>5.5</v>
      </c>
      <c r="E171" s="17" t="s">
        <v>35</v>
      </c>
      <c r="F171" s="22">
        <v>219.3</v>
      </c>
      <c r="G171" s="17">
        <f>SQRT((4*(HSP!$B$2-$B171)^2+(HSP!$C$2-$C171)^2+(HSP!$D$2-$D171)^2))</f>
        <v>8.2889082513923391</v>
      </c>
      <c r="H171" s="17">
        <f>SQRT((4*(HSP!$B$3-$B171)^2+(HSP!$C$3-$C171)^2+(HSP!$D$3-$D171)^2))</f>
        <v>6.8953897641830233</v>
      </c>
      <c r="I171" s="17">
        <f>SQRT((4*(HSP!$B$4-$B171)^2+(HSP!$C$4-$C171)^2+(HSP!$D$4-$D171)^2))</f>
        <v>2.824889378365107</v>
      </c>
      <c r="J171" s="17">
        <f>SQRT((4*(HSP!$B$5-$B171)^2+(HSP!$C$5-$C171)^2+(HSP!$D$5-$D171)^2))</f>
        <v>11.402758438202577</v>
      </c>
      <c r="K171" s="17">
        <f>SQRT((4*(HSP!$B$6-$B171)^2+(HSP!$C$6-$C171)^2+(HSP!$D$6-$D171)^2))</f>
        <v>4.2462925005232508</v>
      </c>
      <c r="L171" s="17" t="s">
        <v>35</v>
      </c>
      <c r="M171" s="17" t="s">
        <v>35</v>
      </c>
      <c r="N171" s="17" t="s">
        <v>35</v>
      </c>
      <c r="O171" s="17" t="s">
        <v>35</v>
      </c>
      <c r="P171" s="17" t="s">
        <v>35</v>
      </c>
      <c r="Q171" s="17">
        <f>$G171/HSP!$E$2</f>
        <v>0.50852197861302695</v>
      </c>
      <c r="R171" s="17">
        <f>$H171/HSP!$E$3</f>
        <v>0.51076961216170547</v>
      </c>
      <c r="S171" s="17">
        <f>$I171/HSP!$E$4</f>
        <v>0.1776659986393149</v>
      </c>
      <c r="T171" s="17">
        <f>$J171/HSP!$E$5</f>
        <v>0.83231813417537059</v>
      </c>
      <c r="U171" s="17">
        <f>$K171/HSP!$E$6</f>
        <v>0.28691165544076019</v>
      </c>
      <c r="V171" s="12"/>
      <c r="W171" s="12"/>
      <c r="X171" s="12"/>
      <c r="Y171" s="12"/>
      <c r="Z171" s="12"/>
    </row>
    <row r="172" spans="1:26" ht="15" customHeight="1" x14ac:dyDescent="0.3">
      <c r="A172" s="26" t="s">
        <v>309</v>
      </c>
      <c r="B172" s="17">
        <v>16.8</v>
      </c>
      <c r="C172" s="17">
        <v>4.5</v>
      </c>
      <c r="D172" s="17">
        <v>4.2</v>
      </c>
      <c r="E172" s="17" t="s">
        <v>35</v>
      </c>
      <c r="F172" s="22">
        <v>301.5</v>
      </c>
      <c r="G172" s="17">
        <f>SQRT((4*(HSP!$B$2-$B172)^2+(HSP!$C$2-$C172)^2+(HSP!$D$2-$D172)^2))</f>
        <v>7.9126481028793414</v>
      </c>
      <c r="H172" s="17">
        <f>SQRT((4*(HSP!$B$3-$B172)^2+(HSP!$C$3-$C172)^2+(HSP!$D$3-$D172)^2))</f>
        <v>5.8462295541656601</v>
      </c>
      <c r="I172" s="17">
        <f>SQRT((4*(HSP!$B$4-$B172)^2+(HSP!$C$4-$C172)^2+(HSP!$D$4-$D172)^2))</f>
        <v>4.1737273509418422</v>
      </c>
      <c r="J172" s="17">
        <f>SQRT((4*(HSP!$B$5-$B172)^2+(HSP!$C$5-$C172)^2+(HSP!$D$5-$D172)^2))</f>
        <v>11.055537074244743</v>
      </c>
      <c r="K172" s="17">
        <f>SQRT((4*(HSP!$B$6-$B172)^2+(HSP!$C$6-$C172)^2+(HSP!$D$6-$D172)^2))</f>
        <v>3.6346939348451355</v>
      </c>
      <c r="L172" s="17" t="s">
        <v>35</v>
      </c>
      <c r="M172" s="17" t="s">
        <v>35</v>
      </c>
      <c r="N172" s="17" t="s">
        <v>35</v>
      </c>
      <c r="O172" s="17" t="s">
        <v>35</v>
      </c>
      <c r="P172" s="17" t="s">
        <v>35</v>
      </c>
      <c r="Q172" s="17">
        <f>$G172/HSP!$E$2</f>
        <v>0.48543853391897795</v>
      </c>
      <c r="R172" s="17">
        <f>$H172/HSP!$E$3</f>
        <v>0.43305404104930817</v>
      </c>
      <c r="S172" s="17">
        <f>$I172/HSP!$E$4</f>
        <v>0.26249857553093348</v>
      </c>
      <c r="T172" s="17">
        <f>$J172/HSP!$E$5</f>
        <v>0.80697350906895937</v>
      </c>
      <c r="U172" s="17">
        <f>$K172/HSP!$E$6</f>
        <v>0.24558742803007672</v>
      </c>
      <c r="V172" s="12"/>
      <c r="W172" s="12"/>
      <c r="X172" s="12"/>
      <c r="Y172" s="12"/>
      <c r="Z172" s="12"/>
    </row>
    <row r="173" spans="1:26" ht="15" customHeight="1" x14ac:dyDescent="0.3">
      <c r="A173" s="26" t="s">
        <v>310</v>
      </c>
      <c r="B173" s="17">
        <v>16</v>
      </c>
      <c r="C173" s="17">
        <v>2.8</v>
      </c>
      <c r="D173" s="17">
        <v>6.1</v>
      </c>
      <c r="E173" s="17" t="s">
        <v>35</v>
      </c>
      <c r="F173" s="22">
        <v>220.3</v>
      </c>
      <c r="G173" s="17">
        <f>SQRT((4*(HSP!$B$2-$B173)^2+(HSP!$C$2-$C173)^2+(HSP!$D$2-$D173)^2))</f>
        <v>8.2030482139263334</v>
      </c>
      <c r="H173" s="17">
        <f>SQRT((4*(HSP!$B$3-$B173)^2+(HSP!$C$3-$C173)^2+(HSP!$D$3-$D173)^2))</f>
        <v>6.893649251303696</v>
      </c>
      <c r="I173" s="17">
        <f>SQRT((4*(HSP!$B$4-$B173)^2+(HSP!$C$4-$C173)^2+(HSP!$D$4-$D173)^2))</f>
        <v>2.6038433132583076</v>
      </c>
      <c r="J173" s="17">
        <f>SQRT((4*(HSP!$B$5-$B173)^2+(HSP!$C$5-$C173)^2+(HSP!$D$5-$D173)^2))</f>
        <v>11.12955075463516</v>
      </c>
      <c r="K173" s="17">
        <f>SQRT((4*(HSP!$B$6-$B173)^2+(HSP!$C$6-$C173)^2+(HSP!$D$6-$D173)^2))</f>
        <v>4.5134244205481053</v>
      </c>
      <c r="L173" s="17" t="s">
        <v>35</v>
      </c>
      <c r="M173" s="17" t="s">
        <v>35</v>
      </c>
      <c r="N173" s="17" t="s">
        <v>35</v>
      </c>
      <c r="O173" s="17" t="s">
        <v>35</v>
      </c>
      <c r="P173" s="17" t="s">
        <v>35</v>
      </c>
      <c r="Q173" s="17">
        <f>$G173/HSP!$E$2</f>
        <v>0.50325449165192226</v>
      </c>
      <c r="R173" s="17">
        <f>$H173/HSP!$E$3</f>
        <v>0.51064068528175521</v>
      </c>
      <c r="S173" s="17">
        <f>$I173/HSP!$E$4</f>
        <v>0.16376373039360426</v>
      </c>
      <c r="T173" s="17">
        <f>$J173/HSP!$E$5</f>
        <v>0.81237596749161756</v>
      </c>
      <c r="U173" s="17">
        <f>$K173/HSP!$E$6</f>
        <v>0.30496110949649358</v>
      </c>
      <c r="V173" s="12"/>
      <c r="W173" s="12"/>
      <c r="X173" s="12"/>
      <c r="Y173" s="12"/>
      <c r="Z173" s="12"/>
    </row>
    <row r="174" spans="1:26" ht="15" customHeight="1" x14ac:dyDescent="0.3">
      <c r="A174" s="27" t="s">
        <v>311</v>
      </c>
      <c r="B174" s="19">
        <v>17</v>
      </c>
      <c r="C174" s="19">
        <v>8.1</v>
      </c>
      <c r="D174" s="19">
        <v>4.4000000000000004</v>
      </c>
      <c r="E174" s="17" t="s">
        <v>35</v>
      </c>
      <c r="F174" s="23">
        <v>172.3</v>
      </c>
      <c r="G174" s="17">
        <f>SQRT((4*(HSP!$B$2-$B174)^2+(HSP!$C$2-$C174)^2+(HSP!$D$2-$D174)^2))</f>
        <v>5.9385183337260159</v>
      </c>
      <c r="H174" s="17">
        <f>SQRT((4*(HSP!$B$3-$B174)^2+(HSP!$C$3-$C174)^2+(HSP!$D$3-$D174)^2))</f>
        <v>3.3636884516851446</v>
      </c>
      <c r="I174" s="17">
        <f>SQRT((4*(HSP!$B$4-$B174)^2+(HSP!$C$4-$C174)^2+(HSP!$D$4-$D174)^2))</f>
        <v>5.5544576692958962</v>
      </c>
      <c r="J174" s="17">
        <f>SQRT((4*(HSP!$B$5-$B174)^2+(HSP!$C$5-$C174)^2+(HSP!$D$5-$D174)^2))</f>
        <v>8.7153255819848763</v>
      </c>
      <c r="K174" s="17">
        <f>SQRT((4*(HSP!$B$6-$B174)^2+(HSP!$C$6-$C174)^2+(HSP!$D$6-$D174)^2))</f>
        <v>3.881108089193086</v>
      </c>
      <c r="L174" s="17" t="s">
        <v>35</v>
      </c>
      <c r="M174" s="17" t="s">
        <v>35</v>
      </c>
      <c r="N174" s="17" t="s">
        <v>35</v>
      </c>
      <c r="O174" s="17" t="s">
        <v>35</v>
      </c>
      <c r="P174" s="17" t="s">
        <v>35</v>
      </c>
      <c r="Q174" s="17">
        <f>$G174/HSP!$E$2</f>
        <v>0.36432627814270035</v>
      </c>
      <c r="R174" s="17">
        <f>$H174/HSP!$E$3</f>
        <v>0.24916210753223295</v>
      </c>
      <c r="S174" s="17">
        <f>$I174/HSP!$E$4</f>
        <v>0.34933696033307521</v>
      </c>
      <c r="T174" s="17">
        <f>$J174/HSP!$E$5</f>
        <v>0.63615515196969907</v>
      </c>
      <c r="U174" s="17">
        <f>$K174/HSP!$E$6</f>
        <v>0.26223703305358687</v>
      </c>
      <c r="V174" s="12"/>
      <c r="W174" s="12"/>
      <c r="X174" s="12"/>
      <c r="Y174" s="12"/>
      <c r="Z174" s="12"/>
    </row>
    <row r="175" spans="1:26" ht="15" customHeight="1" x14ac:dyDescent="0.3">
      <c r="A175" s="26" t="s">
        <v>312</v>
      </c>
      <c r="B175" s="17">
        <v>18.600000000000001</v>
      </c>
      <c r="C175" s="17">
        <v>4.0999999999999996</v>
      </c>
      <c r="D175" s="17">
        <v>10.4</v>
      </c>
      <c r="E175" s="17" t="s">
        <v>35</v>
      </c>
      <c r="F175" s="22">
        <v>183.5</v>
      </c>
      <c r="G175" s="17">
        <f>SQRT((4*(HSP!$B$2-$B175)^2+(HSP!$C$2-$C175)^2+(HSP!$D$2-$D175)^2))</f>
        <v>10.777105362758595</v>
      </c>
      <c r="H175" s="17">
        <f>SQRT((4*(HSP!$B$3-$B175)^2+(HSP!$C$3-$C175)^2+(HSP!$D$3-$D175)^2))</f>
        <v>9.2607991015894537</v>
      </c>
      <c r="I175" s="17">
        <f>SQRT((4*(HSP!$B$4-$B175)^2+(HSP!$C$4-$C175)^2+(HSP!$D$4-$D175)^2))</f>
        <v>7.7689124077955753</v>
      </c>
      <c r="J175" s="17">
        <f>SQRT((4*(HSP!$B$5-$B175)^2+(HSP!$C$5-$C175)^2+(HSP!$D$5-$D175)^2))</f>
        <v>10.906002934164288</v>
      </c>
      <c r="K175" s="17">
        <f>SQRT((4*(HSP!$B$6-$B175)^2+(HSP!$C$6-$C175)^2+(HSP!$D$6-$D175)^2))</f>
        <v>9.6274087894926357</v>
      </c>
      <c r="L175" s="17" t="s">
        <v>35</v>
      </c>
      <c r="M175" s="17" t="s">
        <v>35</v>
      </c>
      <c r="N175" s="17" t="s">
        <v>35</v>
      </c>
      <c r="O175" s="17" t="s">
        <v>35</v>
      </c>
      <c r="P175" s="17" t="s">
        <v>35</v>
      </c>
      <c r="Q175" s="17">
        <f>$G175/HSP!$E$2</f>
        <v>0.66117210814469907</v>
      </c>
      <c r="R175" s="17">
        <f>$H175/HSP!$E$3</f>
        <v>0.68598511863625589</v>
      </c>
      <c r="S175" s="17">
        <f>$I175/HSP!$E$4</f>
        <v>0.48861084325758336</v>
      </c>
      <c r="T175" s="17">
        <f>$J175/HSP!$E$5</f>
        <v>0.79605860833315978</v>
      </c>
      <c r="U175" s="17">
        <f>$K175/HSP!$E$6</f>
        <v>0.65050059388463755</v>
      </c>
      <c r="V175" s="12"/>
      <c r="W175" s="12"/>
      <c r="X175" s="12"/>
      <c r="Y175" s="12"/>
      <c r="Z175" s="12"/>
    </row>
    <row r="176" spans="1:26" ht="15" customHeight="1" x14ac:dyDescent="0.3">
      <c r="A176" s="26" t="s">
        <v>313</v>
      </c>
      <c r="B176" s="17">
        <v>17</v>
      </c>
      <c r="C176" s="17">
        <v>5.2</v>
      </c>
      <c r="D176" s="17">
        <v>10.7</v>
      </c>
      <c r="E176" s="17" t="s">
        <v>35</v>
      </c>
      <c r="F176" s="22">
        <v>169.6</v>
      </c>
      <c r="G176" s="17">
        <f>SQRT((4*(HSP!$B$2-$B176)^2+(HSP!$C$2-$C176)^2+(HSP!$D$2-$D176)^2))</f>
        <v>8.034052526589555</v>
      </c>
      <c r="H176" s="17">
        <f>SQRT((4*(HSP!$B$3-$B176)^2+(HSP!$C$3-$C176)^2+(HSP!$D$3-$D176)^2))</f>
        <v>7.1112868033851653</v>
      </c>
      <c r="I176" s="17">
        <f>SQRT((4*(HSP!$B$4-$B176)^2+(HSP!$C$4-$C176)^2+(HSP!$D$4-$D176)^2))</f>
        <v>5.3736393626666086</v>
      </c>
      <c r="J176" s="17">
        <f>SQRT((4*(HSP!$B$5-$B176)^2+(HSP!$C$5-$C176)^2+(HSP!$D$5-$D176)^2))</f>
        <v>8.2809963168691247</v>
      </c>
      <c r="K176" s="17">
        <f>SQRT((4*(HSP!$B$6-$B176)^2+(HSP!$C$6-$C176)^2+(HSP!$D$6-$D176)^2))</f>
        <v>7.7721940274288057</v>
      </c>
      <c r="L176" s="17" t="s">
        <v>35</v>
      </c>
      <c r="M176" s="17" t="s">
        <v>35</v>
      </c>
      <c r="N176" s="17" t="s">
        <v>35</v>
      </c>
      <c r="O176" s="17" t="s">
        <v>35</v>
      </c>
      <c r="P176" s="17" t="s">
        <v>35</v>
      </c>
      <c r="Q176" s="17">
        <f>$G176/HSP!$E$2</f>
        <v>0.49288665807297882</v>
      </c>
      <c r="R176" s="17">
        <f>$H176/HSP!$E$3</f>
        <v>0.52676198543593822</v>
      </c>
      <c r="S176" s="17">
        <f>$I176/HSP!$E$4</f>
        <v>0.33796473979035274</v>
      </c>
      <c r="T176" s="17">
        <f>$J176/HSP!$E$5</f>
        <v>0.60445228590285582</v>
      </c>
      <c r="U176" s="17">
        <f>$K176/HSP!$E$6</f>
        <v>0.5251482450965409</v>
      </c>
      <c r="V176" s="12"/>
      <c r="W176" s="12"/>
      <c r="X176" s="12"/>
      <c r="Y176" s="12"/>
      <c r="Z176" s="12"/>
    </row>
    <row r="177" spans="1:26" ht="15" customHeight="1" x14ac:dyDescent="0.3">
      <c r="A177" s="26" t="s">
        <v>314</v>
      </c>
      <c r="B177" s="17">
        <v>17.2</v>
      </c>
      <c r="C177" s="17">
        <v>4.5999999999999996</v>
      </c>
      <c r="D177" s="17">
        <v>5.6</v>
      </c>
      <c r="E177" s="17" t="s">
        <v>35</v>
      </c>
      <c r="F177" s="22">
        <v>158</v>
      </c>
      <c r="G177" s="17">
        <f>SQRT((4*(HSP!$B$2-$B177)^2+(HSP!$C$2-$C177)^2+(HSP!$D$2-$D177)^2))</f>
        <v>7.9551241347951329</v>
      </c>
      <c r="H177" s="17">
        <f>SQRT((4*(HSP!$B$3-$B177)^2+(HSP!$C$3-$C177)^2+(HSP!$D$3-$D177)^2))</f>
        <v>5.8968126983990263</v>
      </c>
      <c r="I177" s="17">
        <f>SQRT((4*(HSP!$B$4-$B177)^2+(HSP!$C$4-$C177)^2+(HSP!$D$4-$D177)^2))</f>
        <v>4.2343830719480247</v>
      </c>
      <c r="J177" s="17">
        <f>SQRT((4*(HSP!$B$5-$B177)^2+(HSP!$C$5-$C177)^2+(HSP!$D$5-$D177)^2))</f>
        <v>10.451932835605097</v>
      </c>
      <c r="K177" s="17">
        <f>SQRT((4*(HSP!$B$6-$B177)^2+(HSP!$C$6-$C177)^2+(HSP!$D$6-$D177)^2))</f>
        <v>4.6163838661879053</v>
      </c>
      <c r="L177" s="17" t="s">
        <v>35</v>
      </c>
      <c r="M177" s="17" t="s">
        <v>35</v>
      </c>
      <c r="N177" s="17" t="s">
        <v>35</v>
      </c>
      <c r="O177" s="17" t="s">
        <v>35</v>
      </c>
      <c r="P177" s="17" t="s">
        <v>35</v>
      </c>
      <c r="Q177" s="17">
        <f>$G177/HSP!$E$2</f>
        <v>0.48804442544755416</v>
      </c>
      <c r="R177" s="17">
        <f>$H177/HSP!$E$3</f>
        <v>0.43680094062215008</v>
      </c>
      <c r="S177" s="17">
        <f>$I177/HSP!$E$4</f>
        <v>0.2663134007514481</v>
      </c>
      <c r="T177" s="17">
        <f>$J177/HSP!$E$5</f>
        <v>0.76291480551862023</v>
      </c>
      <c r="U177" s="17">
        <f>$K177/HSP!$E$6</f>
        <v>0.31191782879648006</v>
      </c>
      <c r="V177" s="12"/>
      <c r="W177" s="12"/>
      <c r="X177" s="12"/>
      <c r="Y177" s="12"/>
      <c r="Z177" s="12"/>
    </row>
    <row r="178" spans="1:26" ht="15" customHeight="1" x14ac:dyDescent="0.3">
      <c r="A178" s="26" t="s">
        <v>315</v>
      </c>
      <c r="B178" s="17">
        <v>17</v>
      </c>
      <c r="C178" s="17">
        <v>8.1</v>
      </c>
      <c r="D178" s="17">
        <v>4.4000000000000004</v>
      </c>
      <c r="E178" s="17" t="s">
        <v>35</v>
      </c>
      <c r="F178" s="22">
        <v>172.3</v>
      </c>
      <c r="G178" s="17">
        <f>SQRT((4*(HSP!$B$2-$B178)^2+(HSP!$C$2-$C178)^2+(HSP!$D$2-$D178)^2))</f>
        <v>5.9385183337260159</v>
      </c>
      <c r="H178" s="17">
        <f>SQRT((4*(HSP!$B$3-$B178)^2+(HSP!$C$3-$C178)^2+(HSP!$D$3-$D178)^2))</f>
        <v>3.3636884516851446</v>
      </c>
      <c r="I178" s="17">
        <f>SQRT((4*(HSP!$B$4-$B178)^2+(HSP!$C$4-$C178)^2+(HSP!$D$4-$D178)^2))</f>
        <v>5.5544576692958962</v>
      </c>
      <c r="J178" s="17">
        <f>SQRT((4*(HSP!$B$5-$B178)^2+(HSP!$C$5-$C178)^2+(HSP!$D$5-$D178)^2))</f>
        <v>8.7153255819848763</v>
      </c>
      <c r="K178" s="17">
        <f>SQRT((4*(HSP!$B$6-$B178)^2+(HSP!$C$6-$C178)^2+(HSP!$D$6-$D178)^2))</f>
        <v>3.881108089193086</v>
      </c>
      <c r="L178" s="17" t="s">
        <v>35</v>
      </c>
      <c r="M178" s="17" t="s">
        <v>35</v>
      </c>
      <c r="N178" s="17" t="s">
        <v>35</v>
      </c>
      <c r="O178" s="17" t="s">
        <v>35</v>
      </c>
      <c r="P178" s="17" t="s">
        <v>35</v>
      </c>
      <c r="Q178" s="17">
        <f>$G178/HSP!$E$2</f>
        <v>0.36432627814270035</v>
      </c>
      <c r="R178" s="17">
        <f>$H178/HSP!$E$3</f>
        <v>0.24916210753223295</v>
      </c>
      <c r="S178" s="17">
        <f>$I178/HSP!$E$4</f>
        <v>0.34933696033307521</v>
      </c>
      <c r="T178" s="17">
        <f>$J178/HSP!$E$5</f>
        <v>0.63615515196969907</v>
      </c>
      <c r="U178" s="17">
        <f>$K178/HSP!$E$6</f>
        <v>0.26223703305358687</v>
      </c>
      <c r="V178" s="12"/>
      <c r="W178" s="12"/>
      <c r="X178" s="12"/>
      <c r="Y178" s="12"/>
      <c r="Z178" s="12"/>
    </row>
    <row r="179" spans="1:26" ht="15" customHeight="1" x14ac:dyDescent="0.3">
      <c r="A179" s="26" t="s">
        <v>316</v>
      </c>
      <c r="B179" s="17">
        <v>17</v>
      </c>
      <c r="C179" s="17">
        <v>5</v>
      </c>
      <c r="D179" s="17">
        <v>3</v>
      </c>
      <c r="E179" s="17" t="s">
        <v>35</v>
      </c>
      <c r="F179" s="22">
        <v>215.8</v>
      </c>
      <c r="G179" s="17">
        <f>SQRT((4*(HSP!$B$2-$B179)^2+(HSP!$C$2-$C179)^2+(HSP!$D$2-$D179)^2))</f>
        <v>8.2880637063188658</v>
      </c>
      <c r="H179" s="17">
        <f>SQRT((4*(HSP!$B$3-$B179)^2+(HSP!$C$3-$C179)^2+(HSP!$D$3-$D179)^2))</f>
        <v>6.0442038350803502</v>
      </c>
      <c r="I179" s="17">
        <f>SQRT((4*(HSP!$B$4-$B179)^2+(HSP!$C$4-$C179)^2+(HSP!$D$4-$D179)^2))</f>
        <v>5.2856409261318538</v>
      </c>
      <c r="J179" s="17">
        <f>SQRT((4*(HSP!$B$5-$B179)^2+(HSP!$C$5-$C179)^2+(HSP!$D$5-$D179)^2))</f>
        <v>11.595468942651694</v>
      </c>
      <c r="K179" s="17">
        <f>SQRT((4*(HSP!$B$6-$B179)^2+(HSP!$C$6-$C179)^2+(HSP!$D$6-$D179)^2))</f>
        <v>3.8391405288163138</v>
      </c>
      <c r="L179" s="17" t="s">
        <v>35</v>
      </c>
      <c r="M179" s="17" t="s">
        <v>35</v>
      </c>
      <c r="N179" s="17" t="s">
        <v>35</v>
      </c>
      <c r="O179" s="17" t="s">
        <v>35</v>
      </c>
      <c r="P179" s="17" t="s">
        <v>35</v>
      </c>
      <c r="Q179" s="17">
        <f>$G179/HSP!$E$2</f>
        <v>0.50847016603183226</v>
      </c>
      <c r="R179" s="17">
        <f>$H179/HSP!$E$3</f>
        <v>0.44771880259854446</v>
      </c>
      <c r="S179" s="17">
        <f>$I179/HSP!$E$4</f>
        <v>0.33243024692653167</v>
      </c>
      <c r="T179" s="17">
        <f>$J179/HSP!$E$5</f>
        <v>0.84638459435413826</v>
      </c>
      <c r="U179" s="17">
        <f>$K179/HSP!$E$6</f>
        <v>0.25940138708218335</v>
      </c>
      <c r="V179" s="12"/>
      <c r="W179" s="12"/>
      <c r="X179" s="12"/>
      <c r="Y179" s="12"/>
      <c r="Z179" s="12"/>
    </row>
    <row r="180" spans="1:26" ht="15" customHeight="1" x14ac:dyDescent="0.3">
      <c r="A180" s="26" t="s">
        <v>317</v>
      </c>
      <c r="B180" s="17">
        <v>19.2</v>
      </c>
      <c r="C180" s="17">
        <v>8.1</v>
      </c>
      <c r="D180" s="17">
        <v>3.5</v>
      </c>
      <c r="E180" s="17" t="s">
        <v>35</v>
      </c>
      <c r="F180" s="22">
        <v>132.9</v>
      </c>
      <c r="G180" s="17">
        <f>SQRT((4*(HSP!$B$2-$B180)^2+(HSP!$C$2-$C180)^2+(HSP!$D$2-$D180)^2))</f>
        <v>10.115334893121434</v>
      </c>
      <c r="H180" s="17">
        <f>SQRT((4*(HSP!$B$3-$B180)^2+(HSP!$C$3-$C180)^2+(HSP!$D$3-$D180)^2))</f>
        <v>7.5562159842079684</v>
      </c>
      <c r="I180" s="17">
        <f>SQRT((4*(HSP!$B$4-$B180)^2+(HSP!$C$4-$C180)^2+(HSP!$D$4-$D180)^2))</f>
        <v>9.3568156976612507</v>
      </c>
      <c r="J180" s="17">
        <f>SQRT((4*(HSP!$B$5-$B180)^2+(HSP!$C$5-$C180)^2+(HSP!$D$5-$D180)^2))</f>
        <v>11.761330707024609</v>
      </c>
      <c r="K180" s="17">
        <f>SQRT((4*(HSP!$B$6-$B180)^2+(HSP!$C$6-$C180)^2+(HSP!$D$6-$D180)^2))</f>
        <v>8.0430715525848697</v>
      </c>
      <c r="L180" s="17" t="s">
        <v>35</v>
      </c>
      <c r="M180" s="17" t="s">
        <v>35</v>
      </c>
      <c r="N180" s="17" t="s">
        <v>35</v>
      </c>
      <c r="O180" s="17" t="s">
        <v>35</v>
      </c>
      <c r="P180" s="17" t="s">
        <v>35</v>
      </c>
      <c r="Q180" s="17">
        <f>$G180/HSP!$E$2</f>
        <v>0.62057269282953575</v>
      </c>
      <c r="R180" s="17">
        <f>$H180/HSP!$E$3</f>
        <v>0.55971970253392356</v>
      </c>
      <c r="S180" s="17">
        <f>$I180/HSP!$E$4</f>
        <v>0.58847897469567612</v>
      </c>
      <c r="T180" s="17">
        <f>$J180/HSP!$E$5</f>
        <v>0.85849129248354816</v>
      </c>
      <c r="U180" s="17">
        <f>$K180/HSP!$E$6</f>
        <v>0.54345078058005869</v>
      </c>
      <c r="V180" s="12"/>
      <c r="W180" s="12"/>
      <c r="X180" s="12"/>
      <c r="Y180" s="12"/>
      <c r="Z180" s="12"/>
    </row>
    <row r="181" spans="1:26" ht="15" customHeight="1" x14ac:dyDescent="0.3">
      <c r="A181" s="26" t="s">
        <v>318</v>
      </c>
      <c r="B181" s="17">
        <v>16.2</v>
      </c>
      <c r="C181" s="17">
        <v>5.7</v>
      </c>
      <c r="D181" s="17">
        <v>4.0999999999999996</v>
      </c>
      <c r="E181" s="17" t="s">
        <v>35</v>
      </c>
      <c r="F181" s="22">
        <v>139.80000000000001</v>
      </c>
      <c r="G181" s="17">
        <f>SQRT((4*(HSP!$B$2-$B181)^2+(HSP!$C$2-$C181)^2+(HSP!$D$2-$D181)^2))</f>
        <v>6.4180994071453892</v>
      </c>
      <c r="H181" s="17">
        <f>SQRT((4*(HSP!$B$3-$B181)^2+(HSP!$C$3-$C181)^2+(HSP!$D$3-$D181)^2))</f>
        <v>4.4362596858164194</v>
      </c>
      <c r="I181" s="17">
        <f>SQRT((4*(HSP!$B$4-$B181)^2+(HSP!$C$4-$C181)^2+(HSP!$D$4-$D181)^2))</f>
        <v>3.5459836435042953</v>
      </c>
      <c r="J181" s="17">
        <f>SQRT((4*(HSP!$B$5-$B181)^2+(HSP!$C$5-$C181)^2+(HSP!$D$5-$D181)^2))</f>
        <v>9.9693981764196788</v>
      </c>
      <c r="K181" s="17">
        <f>SQRT((4*(HSP!$B$6-$B181)^2+(HSP!$C$6-$C181)^2+(HSP!$D$6-$D181)^2))</f>
        <v>2.0137030565602259</v>
      </c>
      <c r="L181" s="17" t="s">
        <v>35</v>
      </c>
      <c r="M181" s="17" t="s">
        <v>35</v>
      </c>
      <c r="N181" s="17" t="s">
        <v>35</v>
      </c>
      <c r="O181" s="17" t="s">
        <v>35</v>
      </c>
      <c r="P181" s="17" t="s">
        <v>35</v>
      </c>
      <c r="Q181" s="17">
        <f>$G181/HSP!$E$2</f>
        <v>0.39374842988622016</v>
      </c>
      <c r="R181" s="17">
        <f>$H181/HSP!$E$3</f>
        <v>0.32861182857899401</v>
      </c>
      <c r="S181" s="17">
        <f>$I181/HSP!$E$4</f>
        <v>0.22301783921410662</v>
      </c>
      <c r="T181" s="17">
        <f>$J181/HSP!$E$5</f>
        <v>0.72769329754888168</v>
      </c>
      <c r="U181" s="17">
        <f>$K181/HSP!$E$6</f>
        <v>0.13606101733515039</v>
      </c>
      <c r="V181" s="12"/>
      <c r="W181" s="12"/>
      <c r="X181" s="12"/>
      <c r="Y181" s="12"/>
      <c r="Z181" s="12"/>
    </row>
    <row r="182" spans="1:26" ht="15" customHeight="1" x14ac:dyDescent="0.3">
      <c r="A182" s="26" t="s">
        <v>319</v>
      </c>
      <c r="B182" s="17">
        <v>19.7</v>
      </c>
      <c r="C182" s="17">
        <v>8.3000000000000007</v>
      </c>
      <c r="D182" s="17">
        <v>9.5</v>
      </c>
      <c r="E182" s="17" t="s">
        <v>35</v>
      </c>
      <c r="F182" s="22">
        <v>129.4</v>
      </c>
      <c r="G182" s="17">
        <f>SQRT((4*(HSP!$B$2-$B182)^2+(HSP!$C$2-$C182)^2+(HSP!$D$2-$D182)^2))</f>
        <v>10.726415990441541</v>
      </c>
      <c r="H182" s="17">
        <f>SQRT((4*(HSP!$B$3-$B182)^2+(HSP!$C$3-$C182)^2+(HSP!$D$3-$D182)^2))</f>
        <v>8.9281801057102328</v>
      </c>
      <c r="I182" s="17">
        <f>SQRT((4*(HSP!$B$4-$B182)^2+(HSP!$C$4-$C182)^2+(HSP!$D$4-$D182)^2))</f>
        <v>10.123141804795583</v>
      </c>
      <c r="J182" s="17">
        <f>SQRT((4*(HSP!$B$5-$B182)^2+(HSP!$C$5-$C182)^2+(HSP!$D$5-$D182)^2))</f>
        <v>10.004044182229505</v>
      </c>
      <c r="K182" s="17">
        <f>SQRT((4*(HSP!$B$6-$B182)^2+(HSP!$C$6-$C182)^2+(HSP!$D$6-$D182)^2))</f>
        <v>10.673284405467701</v>
      </c>
      <c r="L182" s="17" t="s">
        <v>35</v>
      </c>
      <c r="M182" s="17" t="s">
        <v>35</v>
      </c>
      <c r="N182" s="17" t="s">
        <v>35</v>
      </c>
      <c r="O182" s="17" t="s">
        <v>35</v>
      </c>
      <c r="P182" s="17" t="s">
        <v>35</v>
      </c>
      <c r="Q182" s="17">
        <f>$G182/HSP!$E$2</f>
        <v>0.65806233070193498</v>
      </c>
      <c r="R182" s="17">
        <f>$H182/HSP!$E$3</f>
        <v>0.66134667449705431</v>
      </c>
      <c r="S182" s="17">
        <f>$I182/HSP!$E$4</f>
        <v>0.63667558520726941</v>
      </c>
      <c r="T182" s="17">
        <f>$J182/HSP!$E$5</f>
        <v>0.73022220308244568</v>
      </c>
      <c r="U182" s="17">
        <f>$K182/HSP!$E$6</f>
        <v>0.7211678652343041</v>
      </c>
      <c r="V182" s="12"/>
      <c r="W182" s="12"/>
      <c r="X182" s="12"/>
      <c r="Y182" s="12"/>
      <c r="Z182" s="12"/>
    </row>
    <row r="183" spans="1:26" ht="15" customHeight="1" x14ac:dyDescent="0.3">
      <c r="A183" s="26" t="s">
        <v>320</v>
      </c>
      <c r="B183" s="17">
        <v>18.899999999999999</v>
      </c>
      <c r="C183" s="17">
        <v>8.1999999999999993</v>
      </c>
      <c r="D183" s="17">
        <v>4.7</v>
      </c>
      <c r="E183" s="17" t="s">
        <v>35</v>
      </c>
      <c r="F183" s="22">
        <v>124.9</v>
      </c>
      <c r="G183" s="17">
        <f>SQRT((4*(HSP!$B$2-$B183)^2+(HSP!$C$2-$C183)^2+(HSP!$D$2-$D183)^2))</f>
        <v>9.1796514095035207</v>
      </c>
      <c r="H183" s="17">
        <f>SQRT((4*(HSP!$B$3-$B183)^2+(HSP!$C$3-$C183)^2+(HSP!$D$3-$D183)^2))</f>
        <v>6.6785028262328359</v>
      </c>
      <c r="I183" s="17">
        <f>SQRT((4*(HSP!$B$4-$B183)^2+(HSP!$C$4-$C183)^2+(HSP!$D$4-$D183)^2))</f>
        <v>8.5118740592186839</v>
      </c>
      <c r="J183" s="17">
        <f>SQRT((4*(HSP!$B$5-$B183)^2+(HSP!$C$5-$C183)^2+(HSP!$D$5-$D183)^2))</f>
        <v>10.580685233008303</v>
      </c>
      <c r="K183" s="17">
        <f>SQRT((4*(HSP!$B$6-$B183)^2+(HSP!$C$6-$C183)^2+(HSP!$D$6-$D183)^2))</f>
        <v>7.5208377192969653</v>
      </c>
      <c r="L183" s="17" t="s">
        <v>35</v>
      </c>
      <c r="M183" s="17" t="s">
        <v>35</v>
      </c>
      <c r="N183" s="17" t="s">
        <v>35</v>
      </c>
      <c r="O183" s="17" t="s">
        <v>35</v>
      </c>
      <c r="P183" s="17" t="s">
        <v>35</v>
      </c>
      <c r="Q183" s="17">
        <f>$G183/HSP!$E$2</f>
        <v>0.5631687981290503</v>
      </c>
      <c r="R183" s="17">
        <f>$H183/HSP!$E$3</f>
        <v>0.49470391305428413</v>
      </c>
      <c r="S183" s="17">
        <f>$I183/HSP!$E$4</f>
        <v>0.53533799114582914</v>
      </c>
      <c r="T183" s="17">
        <f>$J183/HSP!$E$5</f>
        <v>0.77231279073053316</v>
      </c>
      <c r="U183" s="17">
        <f>$K183/HSP!$E$6</f>
        <v>0.50816471076330849</v>
      </c>
      <c r="V183" s="12"/>
      <c r="W183" s="12"/>
      <c r="X183" s="12"/>
      <c r="Y183" s="12"/>
      <c r="Z183" s="12"/>
    </row>
    <row r="184" spans="1:26" ht="15" customHeight="1" x14ac:dyDescent="0.3">
      <c r="A184" s="26" t="s">
        <v>321</v>
      </c>
      <c r="B184" s="17">
        <v>18.100000000000001</v>
      </c>
      <c r="C184" s="17">
        <v>5.5</v>
      </c>
      <c r="D184" s="17">
        <v>5.7</v>
      </c>
      <c r="E184" s="17" t="s">
        <v>35</v>
      </c>
      <c r="F184" s="22">
        <v>155.9</v>
      </c>
      <c r="G184" s="17">
        <f>SQRT((4*(HSP!$B$2-$B184)^2+(HSP!$C$2-$C184)^2+(HSP!$D$2-$D184)^2))</f>
        <v>8.6740993768805801</v>
      </c>
      <c r="H184" s="17">
        <f>SQRT((4*(HSP!$B$3-$B184)^2+(HSP!$C$3-$C184)^2+(HSP!$D$3-$D184)^2))</f>
        <v>6.3680766327047325</v>
      </c>
      <c r="I184" s="17">
        <f>SQRT((4*(HSP!$B$4-$B184)^2+(HSP!$C$4-$C184)^2+(HSP!$D$4-$D184)^2))</f>
        <v>6.0184715667684294</v>
      </c>
      <c r="J184" s="17">
        <f>SQRT((4*(HSP!$B$5-$B184)^2+(HSP!$C$5-$C184)^2+(HSP!$D$5-$D184)^2))</f>
        <v>10.56015624884405</v>
      </c>
      <c r="K184" s="17">
        <f>SQRT((4*(HSP!$B$6-$B184)^2+(HSP!$C$6-$C184)^2+(HSP!$D$6-$D184)^2))</f>
        <v>6.0268565604301587</v>
      </c>
      <c r="L184" s="17" t="s">
        <v>35</v>
      </c>
      <c r="M184" s="17" t="s">
        <v>35</v>
      </c>
      <c r="N184" s="17" t="s">
        <v>35</v>
      </c>
      <c r="O184" s="17" t="s">
        <v>35</v>
      </c>
      <c r="P184" s="17" t="s">
        <v>35</v>
      </c>
      <c r="Q184" s="17">
        <f>$G184/HSP!$E$2</f>
        <v>0.53215333600494352</v>
      </c>
      <c r="R184" s="17">
        <f>$H184/HSP!$E$3</f>
        <v>0.47170938020035053</v>
      </c>
      <c r="S184" s="17">
        <f>$I184/HSP!$E$4</f>
        <v>0.37852022432505844</v>
      </c>
      <c r="T184" s="17">
        <f>$J184/HSP!$E$5</f>
        <v>0.77081432473314238</v>
      </c>
      <c r="U184" s="17">
        <f>$K184/HSP!$E$6</f>
        <v>0.40722003786690258</v>
      </c>
      <c r="V184" s="12"/>
      <c r="W184" s="12"/>
      <c r="X184" s="12"/>
      <c r="Y184" s="12"/>
      <c r="Z184" s="12"/>
    </row>
    <row r="185" spans="1:26" ht="15" customHeight="1" x14ac:dyDescent="0.3">
      <c r="A185" s="26" t="s">
        <v>322</v>
      </c>
      <c r="B185" s="17">
        <v>21.9</v>
      </c>
      <c r="C185" s="17">
        <v>5.4</v>
      </c>
      <c r="D185" s="17">
        <v>3.7</v>
      </c>
      <c r="E185" s="17" t="s">
        <v>35</v>
      </c>
      <c r="F185" s="22">
        <v>149.30000000000001</v>
      </c>
      <c r="G185" s="17">
        <f>SQRT((4*(HSP!$B$2-$B185)^2+(HSP!$C$2-$C185)^2+(HSP!$D$2-$D185)^2))</f>
        <v>15.79626538141215</v>
      </c>
      <c r="H185" s="17">
        <f>SQRT((4*(HSP!$B$3-$B185)^2+(HSP!$C$3-$C185)^2+(HSP!$D$3-$D185)^2))</f>
        <v>13.300315785724786</v>
      </c>
      <c r="I185" s="17">
        <f>SQRT((4*(HSP!$B$4-$B185)^2+(HSP!$C$4-$C185)^2+(HSP!$D$4-$D185)^2))</f>
        <v>13.831124321616082</v>
      </c>
      <c r="J185" s="17">
        <f>SQRT((4*(HSP!$B$5-$B185)^2+(HSP!$C$5-$C185)^2+(HSP!$D$5-$D185)^2))</f>
        <v>16.783411452979397</v>
      </c>
      <c r="K185" s="17">
        <f>SQRT((4*(HSP!$B$6-$B185)^2+(HSP!$C$6-$C185)^2+(HSP!$D$6-$D185)^2))</f>
        <v>13.300789450254447</v>
      </c>
      <c r="L185" s="17" t="s">
        <v>35</v>
      </c>
      <c r="M185" s="17" t="s">
        <v>35</v>
      </c>
      <c r="N185" s="17" t="s">
        <v>35</v>
      </c>
      <c r="O185" s="17" t="s">
        <v>35</v>
      </c>
      <c r="P185" s="17" t="s">
        <v>35</v>
      </c>
      <c r="Q185" s="17">
        <f>$G185/HSP!$E$2</f>
        <v>0.96909603566945701</v>
      </c>
      <c r="R185" s="17">
        <f>$H185/HSP!$E$3</f>
        <v>0.98520857672035456</v>
      </c>
      <c r="S185" s="17">
        <f>$I185/HSP!$E$4</f>
        <v>0.86988203280604293</v>
      </c>
      <c r="T185" s="17">
        <f>$J185/HSP!$E$5</f>
        <v>1.2250665294145546</v>
      </c>
      <c r="U185" s="17">
        <f>$K185/HSP!$E$6</f>
        <v>0.89870198988205718</v>
      </c>
      <c r="V185" s="12"/>
      <c r="W185" s="12"/>
      <c r="X185" s="12"/>
      <c r="Y185" s="12"/>
      <c r="Z185" s="12"/>
    </row>
    <row r="186" spans="1:26" ht="15" customHeight="1" x14ac:dyDescent="0.3">
      <c r="A186" s="26" t="s">
        <v>323</v>
      </c>
      <c r="B186" s="17">
        <v>18</v>
      </c>
      <c r="C186" s="17">
        <v>4.0999999999999996</v>
      </c>
      <c r="D186" s="17">
        <v>8.5</v>
      </c>
      <c r="E186" s="17" t="s">
        <v>35</v>
      </c>
      <c r="F186" s="22">
        <v>268.5</v>
      </c>
      <c r="G186" s="17">
        <f>SQRT((4*(HSP!$B$2-$B186)^2+(HSP!$C$2-$C186)^2+(HSP!$D$2-$D186)^2))</f>
        <v>9.4339811320566049</v>
      </c>
      <c r="H186" s="17">
        <f>SQRT((4*(HSP!$B$3-$B186)^2+(HSP!$C$3-$C186)^2+(HSP!$D$3-$D186)^2))</f>
        <v>7.7097600481467659</v>
      </c>
      <c r="I186" s="17">
        <f>SQRT((4*(HSP!$B$4-$B186)^2+(HSP!$C$4-$C186)^2+(HSP!$D$4-$D186)^2))</f>
        <v>5.93818153983187</v>
      </c>
      <c r="J186" s="17">
        <f>SQRT((4*(HSP!$B$5-$B186)^2+(HSP!$C$5-$C186)^2+(HSP!$D$5-$D186)^2))</f>
        <v>10.489084802784275</v>
      </c>
      <c r="K186" s="17">
        <f>SQRT((4*(HSP!$B$6-$B186)^2+(HSP!$C$6-$C186)^2+(HSP!$D$6-$D186)^2))</f>
        <v>7.5407559302764877</v>
      </c>
      <c r="L186" s="17" t="s">
        <v>35</v>
      </c>
      <c r="M186" s="17" t="s">
        <v>35</v>
      </c>
      <c r="N186" s="17" t="s">
        <v>35</v>
      </c>
      <c r="O186" s="17" t="s">
        <v>35</v>
      </c>
      <c r="P186" s="17" t="s">
        <v>35</v>
      </c>
      <c r="Q186" s="17">
        <f>$G186/HSP!$E$2</f>
        <v>0.57877184859242969</v>
      </c>
      <c r="R186" s="17">
        <f>$H186/HSP!$E$3</f>
        <v>0.57109333689976038</v>
      </c>
      <c r="S186" s="17">
        <f>$I186/HSP!$E$4</f>
        <v>0.37347053709634404</v>
      </c>
      <c r="T186" s="17">
        <f>$J186/HSP!$E$5</f>
        <v>0.76562662794045799</v>
      </c>
      <c r="U186" s="17">
        <f>$K186/HSP!$E$6</f>
        <v>0.50951053582949235</v>
      </c>
      <c r="V186" s="12"/>
      <c r="W186" s="12"/>
      <c r="X186" s="12"/>
      <c r="Y186" s="12"/>
      <c r="Z186" s="12"/>
    </row>
    <row r="187" spans="1:26" ht="15" customHeight="1" x14ac:dyDescent="0.3">
      <c r="A187" s="26" t="s">
        <v>324</v>
      </c>
      <c r="B187" s="17">
        <v>17</v>
      </c>
      <c r="C187" s="17">
        <v>3.9</v>
      </c>
      <c r="D187" s="17">
        <v>6.4</v>
      </c>
      <c r="E187" s="17" t="s">
        <v>35</v>
      </c>
      <c r="F187" s="22">
        <v>161.19999999999999</v>
      </c>
      <c r="G187" s="17">
        <f>SQRT((4*(HSP!$B$2-$B187)^2+(HSP!$C$2-$C187)^2+(HSP!$D$2-$D187)^2))</f>
        <v>8.1492330927517358</v>
      </c>
      <c r="H187" s="17">
        <f>SQRT((4*(HSP!$B$3-$B187)^2+(HSP!$C$3-$C187)^2+(HSP!$D$3-$D187)^2))</f>
        <v>6.3544000503588061</v>
      </c>
      <c r="I187" s="17">
        <f>SQRT((4*(HSP!$B$4-$B187)^2+(HSP!$C$4-$C187)^2+(HSP!$D$4-$D187)^2))</f>
        <v>3.763509000919222</v>
      </c>
      <c r="J187" s="17">
        <f>SQRT((4*(HSP!$B$5-$B187)^2+(HSP!$C$5-$C187)^2+(HSP!$D$5-$D187)^2))</f>
        <v>10.501661773262363</v>
      </c>
      <c r="K187" s="17">
        <f>SQRT((4*(HSP!$B$6-$B187)^2+(HSP!$C$6-$C187)^2+(HSP!$D$6-$D187)^2))</f>
        <v>4.9874843358150018</v>
      </c>
      <c r="L187" s="17" t="s">
        <v>35</v>
      </c>
      <c r="M187" s="17" t="s">
        <v>35</v>
      </c>
      <c r="N187" s="17" t="s">
        <v>35</v>
      </c>
      <c r="O187" s="17" t="s">
        <v>35</v>
      </c>
      <c r="P187" s="17" t="s">
        <v>35</v>
      </c>
      <c r="Q187" s="17">
        <f>$G187/HSP!$E$2</f>
        <v>0.49995295047556659</v>
      </c>
      <c r="R187" s="17">
        <f>$H187/HSP!$E$3</f>
        <v>0.47069630002657825</v>
      </c>
      <c r="S187" s="17">
        <f>$I187/HSP!$E$4</f>
        <v>0.23669867930309571</v>
      </c>
      <c r="T187" s="17">
        <f>$J187/HSP!$E$5</f>
        <v>0.76654465498265423</v>
      </c>
      <c r="U187" s="17">
        <f>$K187/HSP!$E$6</f>
        <v>0.33699218485236498</v>
      </c>
      <c r="V187" s="12"/>
      <c r="W187" s="12"/>
      <c r="X187" s="12"/>
      <c r="Y187" s="12"/>
      <c r="Z187" s="12"/>
    </row>
    <row r="188" spans="1:26" ht="15" customHeight="1" x14ac:dyDescent="0.3">
      <c r="A188" s="26" t="s">
        <v>325</v>
      </c>
      <c r="B188" s="17">
        <v>19.100000000000001</v>
      </c>
      <c r="C188" s="17">
        <v>3.2</v>
      </c>
      <c r="D188" s="17">
        <v>4.5999999999999996</v>
      </c>
      <c r="E188" s="17" t="s">
        <v>35</v>
      </c>
      <c r="F188" s="22">
        <v>161.69999999999999</v>
      </c>
      <c r="G188" s="17">
        <f>SQRT((4*(HSP!$B$2-$B188)^2+(HSP!$C$2-$C188)^2+(HSP!$D$2-$D188)^2))</f>
        <v>11.805591895368909</v>
      </c>
      <c r="H188" s="17">
        <f>SQRT((4*(HSP!$B$3-$B188)^2+(HSP!$C$3-$C188)^2+(HSP!$D$3-$D188)^2))</f>
        <v>9.4727187227321412</v>
      </c>
      <c r="I188" s="17">
        <f>SQRT((4*(HSP!$B$4-$B188)^2+(HSP!$C$4-$C188)^2+(HSP!$D$4-$D188)^2))</f>
        <v>8.2951793229561979</v>
      </c>
      <c r="J188" s="17">
        <f>SQRT((4*(HSP!$B$5-$B188)^2+(HSP!$C$5-$C188)^2+(HSP!$D$5-$D188)^2))</f>
        <v>13.761355311160308</v>
      </c>
      <c r="K188" s="17">
        <f>SQRT((4*(HSP!$B$6-$B188)^2+(HSP!$C$6-$C188)^2+(HSP!$D$6-$D188)^2))</f>
        <v>8.3469155979918739</v>
      </c>
      <c r="L188" s="17" t="s">
        <v>35</v>
      </c>
      <c r="M188" s="17" t="s">
        <v>35</v>
      </c>
      <c r="N188" s="17" t="s">
        <v>35</v>
      </c>
      <c r="O188" s="17" t="s">
        <v>35</v>
      </c>
      <c r="P188" s="17" t="s">
        <v>35</v>
      </c>
      <c r="Q188" s="17">
        <f>$G188/HSP!$E$2</f>
        <v>0.72426944143367544</v>
      </c>
      <c r="R188" s="17">
        <f>$H188/HSP!$E$3</f>
        <v>0.70168286835052895</v>
      </c>
      <c r="S188" s="17">
        <f>$I188/HSP!$E$4</f>
        <v>0.5217093913808929</v>
      </c>
      <c r="T188" s="17">
        <f>$J188/HSP!$E$5</f>
        <v>1.004478489865716</v>
      </c>
      <c r="U188" s="17">
        <f>$K188/HSP!$E$6</f>
        <v>0.56398078364809956</v>
      </c>
      <c r="V188" s="12"/>
      <c r="W188" s="12"/>
      <c r="X188" s="12"/>
      <c r="Y188" s="12"/>
      <c r="Z188" s="12"/>
    </row>
    <row r="189" spans="1:26" ht="15" customHeight="1" x14ac:dyDescent="0.3">
      <c r="A189" s="26" t="s">
        <v>326</v>
      </c>
      <c r="B189" s="17">
        <v>16.899999999999999</v>
      </c>
      <c r="C189" s="17">
        <v>4.9000000000000004</v>
      </c>
      <c r="D189" s="17">
        <v>6.5</v>
      </c>
      <c r="E189" s="17" t="s">
        <v>35</v>
      </c>
      <c r="F189" s="22">
        <v>235.4</v>
      </c>
      <c r="G189" s="17">
        <f>SQRT((4*(HSP!$B$2-$B189)^2+(HSP!$C$2-$C189)^2+(HSP!$D$2-$D189)^2))</f>
        <v>7.2321504409131308</v>
      </c>
      <c r="H189" s="17">
        <f>SQRT((4*(HSP!$B$3-$B189)^2+(HSP!$C$3-$C189)^2+(HSP!$D$3-$D189)^2))</f>
        <v>5.3829731561656509</v>
      </c>
      <c r="I189" s="17">
        <f>SQRT((4*(HSP!$B$4-$B189)^2+(HSP!$C$4-$C189)^2+(HSP!$D$4-$D189)^2))</f>
        <v>3.4799425282610605</v>
      </c>
      <c r="J189" s="17">
        <f>SQRT((4*(HSP!$B$5-$B189)^2+(HSP!$C$5-$C189)^2+(HSP!$D$5-$D189)^2))</f>
        <v>9.5605909859171359</v>
      </c>
      <c r="K189" s="17">
        <f>SQRT((4*(HSP!$B$6-$B189)^2+(HSP!$C$6-$C189)^2+(HSP!$D$6-$D189)^2))</f>
        <v>4.4711296111832839</v>
      </c>
      <c r="L189" s="17" t="s">
        <v>35</v>
      </c>
      <c r="M189" s="17" t="s">
        <v>35</v>
      </c>
      <c r="N189" s="17" t="s">
        <v>35</v>
      </c>
      <c r="O189" s="17" t="s">
        <v>35</v>
      </c>
      <c r="P189" s="17" t="s">
        <v>35</v>
      </c>
      <c r="Q189" s="17">
        <f>$G189/HSP!$E$2</f>
        <v>0.44369021109896506</v>
      </c>
      <c r="R189" s="17">
        <f>$H189/HSP!$E$3</f>
        <v>0.39873875230856676</v>
      </c>
      <c r="S189" s="17">
        <f>$I189/HSP!$E$4</f>
        <v>0.21886430995352582</v>
      </c>
      <c r="T189" s="17">
        <f>$J189/HSP!$E$5</f>
        <v>0.69785335663628734</v>
      </c>
      <c r="U189" s="17">
        <f>$K189/HSP!$E$6</f>
        <v>0.30210335210697864</v>
      </c>
      <c r="V189" s="12"/>
      <c r="W189" s="12"/>
      <c r="X189" s="12"/>
      <c r="Y189" s="12"/>
      <c r="Z189" s="12"/>
    </row>
    <row r="190" spans="1:26" ht="15" customHeight="1" x14ac:dyDescent="0.3">
      <c r="A190" s="26" t="s">
        <v>327</v>
      </c>
      <c r="B190" s="17">
        <v>18.8</v>
      </c>
      <c r="C190" s="17">
        <v>7.1</v>
      </c>
      <c r="D190" s="17">
        <v>12.4</v>
      </c>
      <c r="E190" s="17" t="s">
        <v>35</v>
      </c>
      <c r="F190" s="22">
        <v>169.7</v>
      </c>
      <c r="G190" s="17">
        <f>SQRT((4*(HSP!$B$2-$B190)^2+(HSP!$C$2-$C190)^2+(HSP!$D$2-$D190)^2))</f>
        <v>10.546373784386747</v>
      </c>
      <c r="H190" s="17">
        <f>SQRT((4*(HSP!$B$3-$B190)^2+(HSP!$C$3-$C190)^2+(HSP!$D$3-$D190)^2))</f>
        <v>9.4094845767448927</v>
      </c>
      <c r="I190" s="17">
        <f>SQRT((4*(HSP!$B$4-$B190)^2+(HSP!$C$4-$C190)^2+(HSP!$D$4-$D190)^2))</f>
        <v>9.4828265828285634</v>
      </c>
      <c r="J190" s="17">
        <f>SQRT((4*(HSP!$B$5-$B190)^2+(HSP!$C$5-$C190)^2+(HSP!$D$5-$D190)^2))</f>
        <v>9.1426965387679822</v>
      </c>
      <c r="K190" s="17">
        <f>SQRT((4*(HSP!$B$6-$B190)^2+(HSP!$C$6-$C190)^2+(HSP!$D$6-$D190)^2))</f>
        <v>11.10833020755145</v>
      </c>
      <c r="L190" s="17" t="s">
        <v>35</v>
      </c>
      <c r="M190" s="17" t="s">
        <v>35</v>
      </c>
      <c r="N190" s="17" t="s">
        <v>35</v>
      </c>
      <c r="O190" s="17" t="s">
        <v>35</v>
      </c>
      <c r="P190" s="17" t="s">
        <v>35</v>
      </c>
      <c r="Q190" s="17">
        <f>$G190/HSP!$E$2</f>
        <v>0.64701679658814393</v>
      </c>
      <c r="R190" s="17">
        <f>$H190/HSP!$E$3</f>
        <v>0.69699885753665869</v>
      </c>
      <c r="S190" s="17">
        <f>$I190/HSP!$E$4</f>
        <v>0.59640418759928071</v>
      </c>
      <c r="T190" s="17">
        <f>$J190/HSP!$E$5</f>
        <v>0.6673501123188309</v>
      </c>
      <c r="U190" s="17">
        <f>$K190/HSP!$E$6</f>
        <v>0.75056285186158445</v>
      </c>
      <c r="V190" s="12"/>
      <c r="W190" s="12"/>
      <c r="X190" s="12"/>
      <c r="Y190" s="12"/>
      <c r="Z190" s="12"/>
    </row>
    <row r="191" spans="1:26" ht="15" customHeight="1" x14ac:dyDescent="0.3">
      <c r="A191" s="26" t="s">
        <v>328</v>
      </c>
      <c r="B191" s="17">
        <v>15.9</v>
      </c>
      <c r="C191" s="17">
        <v>5</v>
      </c>
      <c r="D191" s="17">
        <v>5.4</v>
      </c>
      <c r="E191" s="17" t="s">
        <v>35</v>
      </c>
      <c r="F191" s="22">
        <v>164</v>
      </c>
      <c r="G191" s="17">
        <f>SQRT((4*(HSP!$B$2-$B191)^2+(HSP!$C$2-$C191)^2+(HSP!$D$2-$D191)^2))</f>
        <v>6.2504399845130916</v>
      </c>
      <c r="H191" s="17">
        <f>SQRT((4*(HSP!$B$3-$B191)^2+(HSP!$C$3-$C191)^2+(HSP!$D$3-$D191)^2))</f>
        <v>4.6977015656595302</v>
      </c>
      <c r="I191" s="17">
        <f>SQRT((4*(HSP!$B$4-$B191)^2+(HSP!$C$4-$C191)^2+(HSP!$D$4-$D191)^2))</f>
        <v>2.0479257799051216</v>
      </c>
      <c r="J191" s="17">
        <f>SQRT((4*(HSP!$B$5-$B191)^2+(HSP!$C$5-$C191)^2+(HSP!$D$5-$D191)^2))</f>
        <v>9.5795041625336754</v>
      </c>
      <c r="K191" s="17">
        <f>SQRT((4*(HSP!$B$6-$B191)^2+(HSP!$C$6-$C191)^2+(HSP!$D$6-$D191)^2))</f>
        <v>2.45662369930765</v>
      </c>
      <c r="L191" s="17" t="s">
        <v>35</v>
      </c>
      <c r="M191" s="17" t="s">
        <v>35</v>
      </c>
      <c r="N191" s="17" t="s">
        <v>35</v>
      </c>
      <c r="O191" s="17" t="s">
        <v>35</v>
      </c>
      <c r="P191" s="17" t="s">
        <v>35</v>
      </c>
      <c r="Q191" s="17">
        <f>$G191/HSP!$E$2</f>
        <v>0.38346257573699949</v>
      </c>
      <c r="R191" s="17">
        <f>$H191/HSP!$E$3</f>
        <v>0.34797789375255778</v>
      </c>
      <c r="S191" s="17">
        <f>$I191/HSP!$E$4</f>
        <v>0.12880036351604537</v>
      </c>
      <c r="T191" s="17">
        <f>$J191/HSP!$E$5</f>
        <v>0.6992338804769106</v>
      </c>
      <c r="U191" s="17">
        <f>$K191/HSP!$E$6</f>
        <v>0.16598808779105742</v>
      </c>
      <c r="V191" s="12"/>
      <c r="W191" s="12"/>
      <c r="X191" s="12"/>
      <c r="Y191" s="12"/>
      <c r="Z191" s="12"/>
    </row>
    <row r="192" spans="1:26" ht="15" customHeight="1" x14ac:dyDescent="0.3">
      <c r="A192" s="26" t="s">
        <v>329</v>
      </c>
      <c r="B192" s="17">
        <v>15.9</v>
      </c>
      <c r="C192" s="17">
        <v>4.7</v>
      </c>
      <c r="D192" s="17">
        <v>4.4000000000000004</v>
      </c>
      <c r="E192" s="17" t="s">
        <v>35</v>
      </c>
      <c r="F192" s="22">
        <v>171</v>
      </c>
      <c r="G192" s="17">
        <f>SQRT((4*(HSP!$B$2-$B192)^2+(HSP!$C$2-$C192)^2+(HSP!$D$2-$D192)^2))</f>
        <v>6.8259797831520137</v>
      </c>
      <c r="H192" s="17">
        <f>SQRT((4*(HSP!$B$3-$B192)^2+(HSP!$C$3-$C192)^2+(HSP!$D$3-$D192)^2))</f>
        <v>5.1763307467742052</v>
      </c>
      <c r="I192" s="17">
        <f>SQRT((4*(HSP!$B$4-$B192)^2+(HSP!$C$4-$C192)^2+(HSP!$D$4-$D192)^2))</f>
        <v>2.8092703679069411</v>
      </c>
      <c r="J192" s="17">
        <f>SQRT((4*(HSP!$B$5-$B192)^2+(HSP!$C$5-$C192)^2+(HSP!$D$5-$D192)^2))</f>
        <v>10.41868033869933</v>
      </c>
      <c r="K192" s="17">
        <f>SQRT((4*(HSP!$B$6-$B192)^2+(HSP!$C$6-$C192)^2+(HSP!$D$6-$D192)^2))</f>
        <v>2.209751117207547</v>
      </c>
      <c r="L192" s="17" t="s">
        <v>35</v>
      </c>
      <c r="M192" s="17" t="s">
        <v>35</v>
      </c>
      <c r="N192" s="17" t="s">
        <v>35</v>
      </c>
      <c r="O192" s="17" t="s">
        <v>35</v>
      </c>
      <c r="P192" s="17" t="s">
        <v>35</v>
      </c>
      <c r="Q192" s="17">
        <f>$G192/HSP!$E$2</f>
        <v>0.41877176583754683</v>
      </c>
      <c r="R192" s="17">
        <f>$H192/HSP!$E$3</f>
        <v>0.38343190716845965</v>
      </c>
      <c r="S192" s="17">
        <f>$I192/HSP!$E$4</f>
        <v>0.17668367093754345</v>
      </c>
      <c r="T192" s="17">
        <f>$J192/HSP!$E$5</f>
        <v>0.76048761596345482</v>
      </c>
      <c r="U192" s="17">
        <f>$K192/HSP!$E$6</f>
        <v>0.14930750791942884</v>
      </c>
      <c r="V192" s="12"/>
      <c r="W192" s="12"/>
      <c r="X192" s="12"/>
      <c r="Y192" s="12"/>
      <c r="Z192" s="12"/>
    </row>
    <row r="193" spans="1:26" ht="15" customHeight="1" x14ac:dyDescent="0.3">
      <c r="A193" s="26" t="s">
        <v>330</v>
      </c>
      <c r="B193" s="17">
        <v>15.8</v>
      </c>
      <c r="C193" s="17">
        <v>5.0999999999999996</v>
      </c>
      <c r="D193" s="17">
        <v>4.5999999999999996</v>
      </c>
      <c r="E193" s="17" t="s">
        <v>35</v>
      </c>
      <c r="F193" s="22">
        <v>156.6</v>
      </c>
      <c r="G193" s="17">
        <f>SQRT((4*(HSP!$B$2-$B193)^2+(HSP!$C$2-$C193)^2+(HSP!$D$2-$D193)^2))</f>
        <v>6.3367183936166853</v>
      </c>
      <c r="H193" s="17">
        <f>SQRT((4*(HSP!$B$3-$B193)^2+(HSP!$C$3-$C193)^2+(HSP!$D$3-$D193)^2))</f>
        <v>4.7255052639902972</v>
      </c>
      <c r="I193" s="17">
        <f>SQRT((4*(HSP!$B$4-$B193)^2+(HSP!$C$4-$C193)^2+(HSP!$D$4-$D193)^2))</f>
        <v>2.5698248967585329</v>
      </c>
      <c r="J193" s="17">
        <f>SQRT((4*(HSP!$B$5-$B193)^2+(HSP!$C$5-$C193)^2+(HSP!$D$5-$D193)^2))</f>
        <v>9.9627757176401399</v>
      </c>
      <c r="K193" s="17">
        <f>SQRT((4*(HSP!$B$6-$B193)^2+(HSP!$C$6-$C193)^2+(HSP!$D$6-$D193)^2))</f>
        <v>1.8587630295441118</v>
      </c>
      <c r="L193" s="17" t="s">
        <v>35</v>
      </c>
      <c r="M193" s="17" t="s">
        <v>35</v>
      </c>
      <c r="N193" s="17" t="s">
        <v>35</v>
      </c>
      <c r="O193" s="17" t="s">
        <v>35</v>
      </c>
      <c r="P193" s="17" t="s">
        <v>35</v>
      </c>
      <c r="Q193" s="17">
        <f>$G193/HSP!$E$2</f>
        <v>0.38875572966973526</v>
      </c>
      <c r="R193" s="17">
        <f>$H193/HSP!$E$3</f>
        <v>0.35003742696224421</v>
      </c>
      <c r="S193" s="17">
        <f>$I193/HSP!$E$4</f>
        <v>0.16162420734330396</v>
      </c>
      <c r="T193" s="17">
        <f>$J193/HSP!$E$5</f>
        <v>0.72720990639709049</v>
      </c>
      <c r="U193" s="17">
        <f>$K193/HSP!$E$6</f>
        <v>0.12559209659081835</v>
      </c>
      <c r="V193" s="12"/>
      <c r="W193" s="12"/>
      <c r="X193" s="12"/>
      <c r="Y193" s="12"/>
      <c r="Z193" s="12"/>
    </row>
    <row r="194" spans="1:26" ht="15" customHeight="1" x14ac:dyDescent="0.3">
      <c r="A194" s="26" t="s">
        <v>331</v>
      </c>
      <c r="B194" s="17">
        <v>16.2</v>
      </c>
      <c r="C194" s="17">
        <v>9.4</v>
      </c>
      <c r="D194" s="17">
        <v>4</v>
      </c>
      <c r="E194" s="17" t="s">
        <v>35</v>
      </c>
      <c r="F194" s="22">
        <v>222.5</v>
      </c>
      <c r="G194" s="17">
        <f>SQRT((4*(HSP!$B$2-$B194)^2+(HSP!$C$2-$C194)^2+(HSP!$D$2-$D194)^2))</f>
        <v>4.4993332839433</v>
      </c>
      <c r="H194" s="17">
        <f>SQRT((4*(HSP!$B$3-$B194)^2+(HSP!$C$3-$C194)^2+(HSP!$D$3-$D194)^2))</f>
        <v>2.1024747323095228</v>
      </c>
      <c r="I194" s="17">
        <f>SQRT((4*(HSP!$B$4-$B194)^2+(HSP!$C$4-$C194)^2+(HSP!$D$4-$D194)^2))</f>
        <v>5.8619109512171876</v>
      </c>
      <c r="J194" s="17">
        <f>SQRT((4*(HSP!$B$5-$B194)^2+(HSP!$C$5-$C194)^2+(HSP!$D$5-$D194)^2))</f>
        <v>7.9061305326942328</v>
      </c>
      <c r="K194" s="17">
        <f>SQRT((4*(HSP!$B$6-$B194)^2+(HSP!$C$6-$C194)^2+(HSP!$D$6-$D194)^2))</f>
        <v>3.5075632567353652</v>
      </c>
      <c r="L194" s="17" t="s">
        <v>35</v>
      </c>
      <c r="M194" s="17" t="s">
        <v>35</v>
      </c>
      <c r="N194" s="17" t="s">
        <v>35</v>
      </c>
      <c r="O194" s="17" t="s">
        <v>35</v>
      </c>
      <c r="P194" s="17" t="s">
        <v>35</v>
      </c>
      <c r="Q194" s="17">
        <f>$G194/HSP!$E$2</f>
        <v>0.2760327168063374</v>
      </c>
      <c r="R194" s="17">
        <f>$H194/HSP!$E$3</f>
        <v>0.15573886905996465</v>
      </c>
      <c r="S194" s="17">
        <f>$I194/HSP!$E$4</f>
        <v>0.36867364473064074</v>
      </c>
      <c r="T194" s="17">
        <f>$J194/HSP!$E$5</f>
        <v>0.57708981990468855</v>
      </c>
      <c r="U194" s="17">
        <f>$K194/HSP!$E$6</f>
        <v>0.23699751734698413</v>
      </c>
      <c r="V194" s="12"/>
      <c r="W194" s="12"/>
      <c r="X194" s="12"/>
      <c r="Y194" s="12"/>
      <c r="Z194" s="12"/>
    </row>
    <row r="195" spans="1:26" ht="15" customHeight="1" x14ac:dyDescent="0.3">
      <c r="A195" s="26" t="s">
        <v>332</v>
      </c>
      <c r="B195" s="17">
        <v>16.100000000000001</v>
      </c>
      <c r="C195" s="17">
        <v>6.5</v>
      </c>
      <c r="D195" s="17">
        <v>4.0999999999999996</v>
      </c>
      <c r="E195" s="17" t="s">
        <v>35</v>
      </c>
      <c r="F195" s="22">
        <v>209.8</v>
      </c>
      <c r="G195" s="17">
        <f>SQRT((4*(HSP!$B$2-$B195)^2+(HSP!$C$2-$C195)^2+(HSP!$D$2-$D195)^2))</f>
        <v>5.7424733347225949</v>
      </c>
      <c r="H195" s="17">
        <f>SQRT((4*(HSP!$B$3-$B195)^2+(HSP!$C$3-$C195)^2+(HSP!$D$3-$D195)^2))</f>
        <v>3.6900406501825982</v>
      </c>
      <c r="I195" s="17">
        <f>SQRT((4*(HSP!$B$4-$B195)^2+(HSP!$C$4-$C195)^2+(HSP!$D$4-$D195)^2))</f>
        <v>3.7499333327407318</v>
      </c>
      <c r="J195" s="17">
        <f>SQRT((4*(HSP!$B$5-$B195)^2+(HSP!$C$5-$C195)^2+(HSP!$D$5-$D195)^2))</f>
        <v>9.385781800148564</v>
      </c>
      <c r="K195" s="17">
        <f>SQRT((4*(HSP!$B$6-$B195)^2+(HSP!$C$6-$C195)^2+(HSP!$D$6-$D195)^2))</f>
        <v>1.6801785619391802</v>
      </c>
      <c r="L195" s="17" t="s">
        <v>35</v>
      </c>
      <c r="M195" s="17" t="s">
        <v>35</v>
      </c>
      <c r="N195" s="17" t="s">
        <v>35</v>
      </c>
      <c r="O195" s="17" t="s">
        <v>35</v>
      </c>
      <c r="P195" s="17" t="s">
        <v>35</v>
      </c>
      <c r="Q195" s="17">
        <f>$G195/HSP!$E$2</f>
        <v>0.35229897759034323</v>
      </c>
      <c r="R195" s="17">
        <f>$H195/HSP!$E$3</f>
        <v>0.27333634445797023</v>
      </c>
      <c r="S195" s="17">
        <f>$I195/HSP!$E$4</f>
        <v>0.23584486369438565</v>
      </c>
      <c r="T195" s="17">
        <f>$J195/HSP!$E$5</f>
        <v>0.68509356205463978</v>
      </c>
      <c r="U195" s="17">
        <f>$K195/HSP!$E$6</f>
        <v>0.11352557850940406</v>
      </c>
      <c r="V195" s="12"/>
      <c r="W195" s="12"/>
      <c r="X195" s="12"/>
      <c r="Y195" s="12"/>
      <c r="Z195" s="12"/>
    </row>
    <row r="196" spans="1:26" ht="15" customHeight="1" x14ac:dyDescent="0.3">
      <c r="A196" s="26" t="s">
        <v>333</v>
      </c>
      <c r="B196" s="17">
        <v>19.3</v>
      </c>
      <c r="C196" s="17">
        <v>7.5</v>
      </c>
      <c r="D196" s="17">
        <v>7.3</v>
      </c>
      <c r="E196" s="17" t="s">
        <v>35</v>
      </c>
      <c r="F196" s="22">
        <v>134.6</v>
      </c>
      <c r="G196" s="17">
        <f>SQRT((4*(HSP!$B$2-$B196)^2+(HSP!$C$2-$C196)^2+(HSP!$D$2-$D196)^2))</f>
        <v>9.860223121207758</v>
      </c>
      <c r="H196" s="17">
        <f>SQRT((4*(HSP!$B$3-$B196)^2+(HSP!$C$3-$C196)^2+(HSP!$D$3-$D196)^2))</f>
        <v>7.6801302072295643</v>
      </c>
      <c r="I196" s="17">
        <f>SQRT((4*(HSP!$B$4-$B196)^2+(HSP!$C$4-$C196)^2+(HSP!$D$4-$D196)^2))</f>
        <v>8.7424252927891821</v>
      </c>
      <c r="J196" s="17">
        <f>SQRT((4*(HSP!$B$5-$B196)^2+(HSP!$C$5-$C196)^2+(HSP!$D$5-$D196)^2))</f>
        <v>10.265909604121791</v>
      </c>
      <c r="K196" s="17">
        <f>SQRT((4*(HSP!$B$6-$B196)^2+(HSP!$C$6-$C196)^2+(HSP!$D$6-$D196)^2))</f>
        <v>8.8323835967421651</v>
      </c>
      <c r="L196" s="17" t="s">
        <v>35</v>
      </c>
      <c r="M196" s="17" t="s">
        <v>35</v>
      </c>
      <c r="N196" s="17" t="s">
        <v>35</v>
      </c>
      <c r="O196" s="17" t="s">
        <v>35</v>
      </c>
      <c r="P196" s="17" t="s">
        <v>35</v>
      </c>
      <c r="Q196" s="17">
        <f>$G196/HSP!$E$2</f>
        <v>0.60492166387777657</v>
      </c>
      <c r="R196" s="17">
        <f>$H196/HSP!$E$3</f>
        <v>0.56889853386885658</v>
      </c>
      <c r="S196" s="17">
        <f>$I196/HSP!$E$4</f>
        <v>0.54983806872887941</v>
      </c>
      <c r="T196" s="17">
        <f>$J196/HSP!$E$5</f>
        <v>0.74933646745414539</v>
      </c>
      <c r="U196" s="17">
        <f>$K196/HSP!$E$6</f>
        <v>0.59678267545555164</v>
      </c>
      <c r="V196" s="12"/>
      <c r="W196" s="12"/>
      <c r="X196" s="12"/>
      <c r="Y196" s="12"/>
      <c r="Z196" s="12"/>
    </row>
    <row r="197" spans="1:26" ht="15" customHeight="1" x14ac:dyDescent="0.3">
      <c r="A197" s="26" t="s">
        <v>334</v>
      </c>
      <c r="B197" s="17">
        <v>18.899999999999999</v>
      </c>
      <c r="C197" s="17">
        <v>5.6</v>
      </c>
      <c r="D197" s="17">
        <v>3.9</v>
      </c>
      <c r="E197" s="17" t="s">
        <v>35</v>
      </c>
      <c r="F197" s="22">
        <v>147</v>
      </c>
      <c r="G197" s="17">
        <f>SQRT((4*(HSP!$B$2-$B197)^2+(HSP!$C$2-$C197)^2+(HSP!$D$2-$D197)^2))</f>
        <v>10.347270171402696</v>
      </c>
      <c r="H197" s="17">
        <f>SQRT((4*(HSP!$B$3-$B197)^2+(HSP!$C$3-$C197)^2+(HSP!$D$3-$D197)^2))</f>
        <v>7.8349473514504222</v>
      </c>
      <c r="I197" s="17">
        <f>SQRT((4*(HSP!$B$4-$B197)^2+(HSP!$C$4-$C197)^2+(HSP!$D$4-$D197)^2))</f>
        <v>8.0565501301735818</v>
      </c>
      <c r="J197" s="17">
        <f>SQRT((4*(HSP!$B$5-$B197)^2+(HSP!$C$5-$C197)^2+(HSP!$D$5-$D197)^2))</f>
        <v>12.362155960834663</v>
      </c>
      <c r="K197" s="17">
        <f>SQRT((4*(HSP!$B$6-$B197)^2+(HSP!$C$6-$C197)^2+(HSP!$D$6-$D197)^2))</f>
        <v>7.3074619396887703</v>
      </c>
      <c r="L197" s="17" t="s">
        <v>35</v>
      </c>
      <c r="M197" s="17" t="s">
        <v>35</v>
      </c>
      <c r="N197" s="17" t="s">
        <v>35</v>
      </c>
      <c r="O197" s="17" t="s">
        <v>35</v>
      </c>
      <c r="P197" s="17" t="s">
        <v>35</v>
      </c>
      <c r="Q197" s="17">
        <f>$G197/HSP!$E$2</f>
        <v>0.63480185100630038</v>
      </c>
      <c r="R197" s="17">
        <f>$H197/HSP!$E$3</f>
        <v>0.58036647047780909</v>
      </c>
      <c r="S197" s="17">
        <f>$I197/HSP!$E$4</f>
        <v>0.50670126604865295</v>
      </c>
      <c r="T197" s="17">
        <f>$J197/HSP!$E$5</f>
        <v>0.90234715042588787</v>
      </c>
      <c r="U197" s="17">
        <f>$K197/HSP!$E$6</f>
        <v>0.49374742835734931</v>
      </c>
      <c r="V197" s="12"/>
      <c r="W197" s="12"/>
      <c r="X197" s="12"/>
      <c r="Y197" s="12"/>
      <c r="Z197" s="12"/>
    </row>
    <row r="198" spans="1:26" ht="15" customHeight="1" x14ac:dyDescent="0.3">
      <c r="A198" s="26" t="s">
        <v>335</v>
      </c>
      <c r="B198" s="17">
        <v>18.100000000000001</v>
      </c>
      <c r="C198" s="17">
        <v>8</v>
      </c>
      <c r="D198" s="17">
        <v>13.9</v>
      </c>
      <c r="E198" s="17" t="s">
        <v>35</v>
      </c>
      <c r="F198" s="22">
        <v>129.6</v>
      </c>
      <c r="G198" s="17">
        <f>SQRT((4*(HSP!$B$2-$B198)^2+(HSP!$C$2-$C198)^2+(HSP!$D$2-$D198)^2))</f>
        <v>10.145836584530624</v>
      </c>
      <c r="H198" s="17">
        <f>SQRT((4*(HSP!$B$3-$B198)^2+(HSP!$C$3-$C198)^2+(HSP!$D$3-$D198)^2))</f>
        <v>9.5537636562770398</v>
      </c>
      <c r="I198" s="17">
        <f>SQRT((4*(HSP!$B$4-$B198)^2+(HSP!$C$4-$C198)^2+(HSP!$D$4-$D198)^2))</f>
        <v>9.7863169783121187</v>
      </c>
      <c r="J198" s="17">
        <f>SQRT((4*(HSP!$B$5-$B198)^2+(HSP!$C$5-$C198)^2+(HSP!$D$5-$D198)^2))</f>
        <v>7.9457472902175823</v>
      </c>
      <c r="K198" s="17">
        <f>SQRT((4*(HSP!$B$6-$B198)^2+(HSP!$C$6-$C198)^2+(HSP!$D$6-$D198)^2))</f>
        <v>11.640575587143449</v>
      </c>
      <c r="L198" s="17" t="s">
        <v>35</v>
      </c>
      <c r="M198" s="17" t="s">
        <v>35</v>
      </c>
      <c r="N198" s="17" t="s">
        <v>35</v>
      </c>
      <c r="O198" s="17" t="s">
        <v>35</v>
      </c>
      <c r="P198" s="17" t="s">
        <v>35</v>
      </c>
      <c r="Q198" s="17">
        <f>$G198/HSP!$E$2</f>
        <v>0.62244396224114251</v>
      </c>
      <c r="R198" s="17">
        <f>$H198/HSP!$E$3</f>
        <v>0.70768619676126221</v>
      </c>
      <c r="S198" s="17">
        <f>$I198/HSP!$E$4</f>
        <v>0.61549163385610806</v>
      </c>
      <c r="T198" s="17">
        <f>$J198/HSP!$E$5</f>
        <v>0.57998155403048046</v>
      </c>
      <c r="U198" s="17">
        <f>$K198/HSP!$E$6</f>
        <v>0.78652537750969242</v>
      </c>
      <c r="V198" s="12"/>
      <c r="W198" s="12"/>
      <c r="X198" s="12"/>
      <c r="Y198" s="12"/>
      <c r="Z198" s="12"/>
    </row>
    <row r="199" spans="1:26" ht="15" customHeight="1" x14ac:dyDescent="0.3">
      <c r="A199" s="26" t="s">
        <v>336</v>
      </c>
      <c r="B199" s="17">
        <v>18.8</v>
      </c>
      <c r="C199" s="17">
        <v>7.8</v>
      </c>
      <c r="D199" s="17">
        <v>7.3</v>
      </c>
      <c r="E199" s="17" t="s">
        <v>35</v>
      </c>
      <c r="F199" s="22">
        <v>147.30000000000001</v>
      </c>
      <c r="G199" s="17">
        <f>SQRT((4*(HSP!$B$2-$B199)^2+(HSP!$C$2-$C199)^2+(HSP!$D$2-$D199)^2))</f>
        <v>8.8169155604440288</v>
      </c>
      <c r="H199" s="17">
        <f>SQRT((4*(HSP!$B$3-$B199)^2+(HSP!$C$3-$C199)^2+(HSP!$D$3-$D199)^2))</f>
        <v>6.6587085835017614</v>
      </c>
      <c r="I199" s="17">
        <f>SQRT((4*(HSP!$B$4-$B199)^2+(HSP!$C$4-$C199)^2+(HSP!$D$4-$D199)^2))</f>
        <v>7.9178279849968973</v>
      </c>
      <c r="J199" s="17">
        <f>SQRT((4*(HSP!$B$5-$B199)^2+(HSP!$C$5-$C199)^2+(HSP!$D$5-$D199)^2))</f>
        <v>9.3395342496293701</v>
      </c>
      <c r="K199" s="17">
        <f>SQRT((4*(HSP!$B$6-$B199)^2+(HSP!$C$6-$C199)^2+(HSP!$D$6-$D199)^2))</f>
        <v>7.9764026979585241</v>
      </c>
      <c r="L199" s="17" t="s">
        <v>35</v>
      </c>
      <c r="M199" s="17" t="s">
        <v>35</v>
      </c>
      <c r="N199" s="17" t="s">
        <v>35</v>
      </c>
      <c r="O199" s="17" t="s">
        <v>35</v>
      </c>
      <c r="P199" s="17" t="s">
        <v>35</v>
      </c>
      <c r="Q199" s="17">
        <f>$G199/HSP!$E$2</f>
        <v>0.54091506505791587</v>
      </c>
      <c r="R199" s="17">
        <f>$H199/HSP!$E$3</f>
        <v>0.49323767285198233</v>
      </c>
      <c r="S199" s="17">
        <f>$I199/HSP!$E$4</f>
        <v>0.49797660282999351</v>
      </c>
      <c r="T199" s="17">
        <f>$J199/HSP!$E$5</f>
        <v>0.68171782844010009</v>
      </c>
      <c r="U199" s="17">
        <f>$K199/HSP!$E$6</f>
        <v>0.53894612824044075</v>
      </c>
      <c r="V199" s="12"/>
      <c r="W199" s="12"/>
      <c r="X199" s="12"/>
      <c r="Y199" s="12"/>
      <c r="Z199" s="12"/>
    </row>
    <row r="200" spans="1:26" ht="15" customHeight="1" x14ac:dyDescent="0.3">
      <c r="A200" s="26" t="s">
        <v>337</v>
      </c>
      <c r="B200" s="17">
        <v>18.7</v>
      </c>
      <c r="C200" s="17">
        <v>8.5</v>
      </c>
      <c r="D200" s="17">
        <v>4.5</v>
      </c>
      <c r="E200" s="17" t="s">
        <v>35</v>
      </c>
      <c r="F200" s="22">
        <v>163.1</v>
      </c>
      <c r="G200" s="17">
        <f>SQRT((4*(HSP!$B$2-$B200)^2+(HSP!$C$2-$C200)^2+(HSP!$D$2-$D200)^2))</f>
        <v>8.7881738717437763</v>
      </c>
      <c r="H200" s="17">
        <f>SQRT((4*(HSP!$B$3-$B200)^2+(HSP!$C$3-$C200)^2+(HSP!$D$3-$D200)^2))</f>
        <v>6.2712359228464685</v>
      </c>
      <c r="I200" s="17">
        <f>SQRT((4*(HSP!$B$4-$B200)^2+(HSP!$C$4-$C200)^2+(HSP!$D$4-$D200)^2))</f>
        <v>8.3502095782082009</v>
      </c>
      <c r="J200" s="17">
        <f>SQRT((4*(HSP!$B$5-$B200)^2+(HSP!$C$5-$C200)^2+(HSP!$D$5-$D200)^2))</f>
        <v>10.305964292583203</v>
      </c>
      <c r="K200" s="17">
        <f>SQRT((4*(HSP!$B$6-$B200)^2+(HSP!$C$6-$C200)^2+(HSP!$D$6-$D200)^2))</f>
        <v>7.1949287696265616</v>
      </c>
      <c r="L200" s="17" t="s">
        <v>35</v>
      </c>
      <c r="M200" s="17" t="s">
        <v>35</v>
      </c>
      <c r="N200" s="17" t="s">
        <v>35</v>
      </c>
      <c r="O200" s="17" t="s">
        <v>35</v>
      </c>
      <c r="P200" s="17" t="s">
        <v>35</v>
      </c>
      <c r="Q200" s="17">
        <f>$G200/HSP!$E$2</f>
        <v>0.53915177127262426</v>
      </c>
      <c r="R200" s="17">
        <f>$H200/HSP!$E$3</f>
        <v>0.46453599428492359</v>
      </c>
      <c r="S200" s="17">
        <f>$I200/HSP!$E$4</f>
        <v>0.52517041372378626</v>
      </c>
      <c r="T200" s="17">
        <f>$J200/HSP!$E$5</f>
        <v>0.75226016734183965</v>
      </c>
      <c r="U200" s="17">
        <f>$K200/HSP!$E$6</f>
        <v>0.48614383578557846</v>
      </c>
      <c r="V200" s="12"/>
      <c r="W200" s="12"/>
      <c r="X200" s="12"/>
      <c r="Y200" s="12"/>
      <c r="Z200" s="12"/>
    </row>
    <row r="201" spans="1:26" ht="15" customHeight="1" x14ac:dyDescent="0.3">
      <c r="A201" s="26" t="s">
        <v>338</v>
      </c>
      <c r="B201" s="17">
        <v>18.8</v>
      </c>
      <c r="C201" s="17">
        <v>6</v>
      </c>
      <c r="D201" s="17">
        <v>3.7</v>
      </c>
      <c r="E201" s="17" t="s">
        <v>35</v>
      </c>
      <c r="F201" s="22">
        <v>156.5</v>
      </c>
      <c r="G201" s="17">
        <f>SQRT((4*(HSP!$B$2-$B201)^2+(HSP!$C$2-$C201)^2+(HSP!$D$2-$D201)^2))</f>
        <v>10.060318086422518</v>
      </c>
      <c r="H201" s="17">
        <f>SQRT((4*(HSP!$B$3-$B201)^2+(HSP!$C$3-$C201)^2+(HSP!$D$3-$D201)^2))</f>
        <v>7.5218614717369014</v>
      </c>
      <c r="I201" s="17">
        <f>SQRT((4*(HSP!$B$4-$B201)^2+(HSP!$C$4-$C201)^2+(HSP!$D$4-$D201)^2))</f>
        <v>8.0037491215054963</v>
      </c>
      <c r="J201" s="17">
        <f>SQRT((4*(HSP!$B$5-$B201)^2+(HSP!$C$5-$C201)^2+(HSP!$D$5-$D201)^2))</f>
        <v>12.135687042767708</v>
      </c>
      <c r="K201" s="17">
        <f>SQRT((4*(HSP!$B$6-$B201)^2+(HSP!$C$6-$C201)^2+(HSP!$D$6-$D201)^2))</f>
        <v>7.0746731373258536</v>
      </c>
      <c r="L201" s="17" t="s">
        <v>35</v>
      </c>
      <c r="M201" s="17" t="s">
        <v>35</v>
      </c>
      <c r="N201" s="17" t="s">
        <v>35</v>
      </c>
      <c r="O201" s="17" t="s">
        <v>35</v>
      </c>
      <c r="P201" s="17" t="s">
        <v>35</v>
      </c>
      <c r="Q201" s="17">
        <f>$G201/HSP!$E$2</f>
        <v>0.61719742861487836</v>
      </c>
      <c r="R201" s="17">
        <f>$H201/HSP!$E$3</f>
        <v>0.55717492383236311</v>
      </c>
      <c r="S201" s="17">
        <f>$I201/HSP!$E$4</f>
        <v>0.5033804478934274</v>
      </c>
      <c r="T201" s="17">
        <f>$J201/HSP!$E$5</f>
        <v>0.88581657246479628</v>
      </c>
      <c r="U201" s="17">
        <f>$K201/HSP!$E$6</f>
        <v>0.47801845522471981</v>
      </c>
      <c r="V201" s="12"/>
      <c r="W201" s="12"/>
      <c r="X201" s="12"/>
      <c r="Y201" s="12"/>
      <c r="Z201" s="12"/>
    </row>
    <row r="202" spans="1:26" ht="15" customHeight="1" x14ac:dyDescent="0.3">
      <c r="A202" s="26" t="s">
        <v>339</v>
      </c>
      <c r="B202" s="17">
        <v>18.8</v>
      </c>
      <c r="C202" s="17">
        <v>4.8</v>
      </c>
      <c r="D202" s="17">
        <v>3</v>
      </c>
      <c r="E202" s="17" t="s">
        <v>35</v>
      </c>
      <c r="F202" s="22">
        <v>244</v>
      </c>
      <c r="G202" s="17">
        <f>SQRT((4*(HSP!$B$2-$B202)^2+(HSP!$C$2-$C202)^2+(HSP!$D$2-$D202)^2))</f>
        <v>10.882830514163127</v>
      </c>
      <c r="H202" s="17">
        <f>SQRT((4*(HSP!$B$3-$B202)^2+(HSP!$C$3-$C202)^2+(HSP!$D$3-$D202)^2))</f>
        <v>8.3821476961456618</v>
      </c>
      <c r="I202" s="17">
        <f>SQRT((4*(HSP!$B$4-$B202)^2+(HSP!$C$4-$C202)^2+(HSP!$D$4-$D202)^2))</f>
        <v>8.1952425223418501</v>
      </c>
      <c r="J202" s="17">
        <f>SQRT((4*(HSP!$B$5-$B202)^2+(HSP!$C$5-$C202)^2+(HSP!$D$5-$D202)^2))</f>
        <v>13.245939000312513</v>
      </c>
      <c r="K202" s="17">
        <f>SQRT((4*(HSP!$B$6-$B202)^2+(HSP!$C$6-$C202)^2+(HSP!$D$6-$D202)^2))</f>
        <v>7.2954095155789593</v>
      </c>
      <c r="L202" s="17" t="s">
        <v>35</v>
      </c>
      <c r="M202" s="17" t="s">
        <v>35</v>
      </c>
      <c r="N202" s="17" t="s">
        <v>35</v>
      </c>
      <c r="O202" s="17" t="s">
        <v>35</v>
      </c>
      <c r="P202" s="17" t="s">
        <v>35</v>
      </c>
      <c r="Q202" s="17">
        <f>$G202/HSP!$E$2</f>
        <v>0.66765831375233897</v>
      </c>
      <c r="R202" s="17">
        <f>$H202/HSP!$E$3</f>
        <v>0.62089982934412313</v>
      </c>
      <c r="S202" s="17">
        <f>$I202/HSP!$E$4</f>
        <v>0.51542405800892133</v>
      </c>
      <c r="T202" s="17">
        <f>$J202/HSP!$E$5</f>
        <v>0.96685686133667981</v>
      </c>
      <c r="U202" s="17">
        <f>$K202/HSP!$E$6</f>
        <v>0.49293307537695669</v>
      </c>
      <c r="V202" s="12"/>
      <c r="W202" s="12"/>
      <c r="X202" s="12"/>
      <c r="Y202" s="12"/>
      <c r="Z202" s="12"/>
    </row>
    <row r="203" spans="1:26" ht="15" customHeight="1" x14ac:dyDescent="0.3">
      <c r="A203" s="26" t="s">
        <v>340</v>
      </c>
      <c r="B203" s="17">
        <v>16</v>
      </c>
      <c r="C203" s="17">
        <v>2.2000000000000002</v>
      </c>
      <c r="D203" s="17">
        <v>5.0999999999999996</v>
      </c>
      <c r="E203" s="17" t="s">
        <v>35</v>
      </c>
      <c r="F203" s="22">
        <v>171.6</v>
      </c>
      <c r="G203" s="17">
        <f>SQRT((4*(HSP!$B$2-$B203)^2+(HSP!$C$2-$C203)^2+(HSP!$D$2-$D203)^2))</f>
        <v>8.9219952925340653</v>
      </c>
      <c r="H203" s="17">
        <f>SQRT((4*(HSP!$B$3-$B203)^2+(HSP!$C$3-$C203)^2+(HSP!$D$3-$D203)^2))</f>
        <v>7.5202659527439586</v>
      </c>
      <c r="I203" s="17">
        <f>SQRT((4*(HSP!$B$4-$B203)^2+(HSP!$C$4-$C203)^2+(HSP!$D$4-$D203)^2))</f>
        <v>3.4345305356045386</v>
      </c>
      <c r="J203" s="17">
        <f>SQRT((4*(HSP!$B$5-$B203)^2+(HSP!$C$5-$C203)^2+(HSP!$D$5-$D203)^2))</f>
        <v>12.11572944564214</v>
      </c>
      <c r="K203" s="17">
        <f>SQRT((4*(HSP!$B$6-$B203)^2+(HSP!$C$6-$C203)^2+(HSP!$D$6-$D203)^2))</f>
        <v>4.6461812276319998</v>
      </c>
      <c r="L203" s="17" t="s">
        <v>35</v>
      </c>
      <c r="M203" s="17" t="s">
        <v>35</v>
      </c>
      <c r="N203" s="17" t="s">
        <v>35</v>
      </c>
      <c r="O203" s="17" t="s">
        <v>35</v>
      </c>
      <c r="P203" s="17" t="s">
        <v>35</v>
      </c>
      <c r="Q203" s="17">
        <f>$G203/HSP!$E$2</f>
        <v>0.54736167438859296</v>
      </c>
      <c r="R203" s="17">
        <f>$H203/HSP!$E$3</f>
        <v>0.55705673724029325</v>
      </c>
      <c r="S203" s="17">
        <f>$I203/HSP!$E$4</f>
        <v>0.21600820978644897</v>
      </c>
      <c r="T203" s="17">
        <f>$J203/HSP!$E$5</f>
        <v>0.88435981355052118</v>
      </c>
      <c r="U203" s="17">
        <f>$K203/HSP!$E$6</f>
        <v>0.31393116402918914</v>
      </c>
      <c r="V203" s="12"/>
      <c r="W203" s="12"/>
      <c r="X203" s="12"/>
      <c r="Y203" s="12"/>
      <c r="Z203" s="12"/>
    </row>
    <row r="204" spans="1:26" ht="15" customHeight="1" x14ac:dyDescent="0.3">
      <c r="A204" s="26" t="s">
        <v>341</v>
      </c>
      <c r="B204" s="17">
        <v>16.2</v>
      </c>
      <c r="C204" s="17">
        <v>3.3</v>
      </c>
      <c r="D204" s="17">
        <v>8.6</v>
      </c>
      <c r="E204" s="17" t="s">
        <v>35</v>
      </c>
      <c r="F204" s="22">
        <v>263</v>
      </c>
      <c r="G204" s="17">
        <f>SQRT((4*(HSP!$B$2-$B204)^2+(HSP!$C$2-$C204)^2+(HSP!$D$2-$D204)^2))</f>
        <v>8.0081208782085707</v>
      </c>
      <c r="H204" s="17">
        <f>SQRT((4*(HSP!$B$3-$B204)^2+(HSP!$C$3-$C204)^2+(HSP!$D$3-$D204)^2))</f>
        <v>7.0155826557742156</v>
      </c>
      <c r="I204" s="17">
        <f>SQRT((4*(HSP!$B$4-$B204)^2+(HSP!$C$4-$C204)^2+(HSP!$D$4-$D204)^2))</f>
        <v>3.0639843341636057</v>
      </c>
      <c r="J204" s="17">
        <f>SQRT((4*(HSP!$B$5-$B204)^2+(HSP!$C$5-$C204)^2+(HSP!$D$5-$D204)^2))</f>
        <v>9.8805313622294637</v>
      </c>
      <c r="K204" s="17">
        <f>SQRT((4*(HSP!$B$6-$B204)^2+(HSP!$C$6-$C204)^2+(HSP!$D$6-$D204)^2))</f>
        <v>5.9848976599437353</v>
      </c>
      <c r="L204" s="17" t="s">
        <v>35</v>
      </c>
      <c r="M204" s="17" t="s">
        <v>35</v>
      </c>
      <c r="N204" s="17" t="s">
        <v>35</v>
      </c>
      <c r="O204" s="17" t="s">
        <v>35</v>
      </c>
      <c r="P204" s="17" t="s">
        <v>35</v>
      </c>
      <c r="Q204" s="17">
        <f>$G204/HSP!$E$2</f>
        <v>0.49129575939929881</v>
      </c>
      <c r="R204" s="17">
        <f>$H204/HSP!$E$3</f>
        <v>0.51967278931660854</v>
      </c>
      <c r="S204" s="17">
        <f>$I204/HSP!$E$4</f>
        <v>0.19270341724299406</v>
      </c>
      <c r="T204" s="17">
        <f>$J204/HSP!$E$5</f>
        <v>0.72120666877587325</v>
      </c>
      <c r="U204" s="17">
        <f>$K204/HSP!$E$6</f>
        <v>0.40438497702322534</v>
      </c>
      <c r="V204" s="12"/>
      <c r="W204" s="12"/>
      <c r="X204" s="12"/>
      <c r="Y204" s="12"/>
      <c r="Z204" s="12"/>
    </row>
    <row r="205" spans="1:26" ht="15" customHeight="1" x14ac:dyDescent="0.3">
      <c r="A205" s="26" t="s">
        <v>342</v>
      </c>
      <c r="B205" s="17">
        <v>15.8</v>
      </c>
      <c r="C205" s="17">
        <v>2.7</v>
      </c>
      <c r="D205" s="17">
        <v>5.4</v>
      </c>
      <c r="E205" s="17" t="s">
        <v>35</v>
      </c>
      <c r="F205" s="22">
        <v>181.6</v>
      </c>
      <c r="G205" s="17">
        <f>SQRT((4*(HSP!$B$2-$B205)^2+(HSP!$C$2-$C205)^2+(HSP!$D$2-$D205)^2))</f>
        <v>8.2749018121062932</v>
      </c>
      <c r="H205" s="17">
        <f>SQRT((4*(HSP!$B$3-$B205)^2+(HSP!$C$3-$C205)^2+(HSP!$D$3-$D205)^2))</f>
        <v>6.9761307327199651</v>
      </c>
      <c r="I205" s="17">
        <f>SQRT((4*(HSP!$B$4-$B205)^2+(HSP!$C$4-$C205)^2+(HSP!$D$4-$D205)^2))</f>
        <v>2.7327641683833606</v>
      </c>
      <c r="J205" s="17">
        <f>SQRT((4*(HSP!$B$5-$B205)^2+(HSP!$C$5-$C205)^2+(HSP!$D$5-$D205)^2))</f>
        <v>11.493689572978731</v>
      </c>
      <c r="K205" s="17">
        <f>SQRT((4*(HSP!$B$6-$B205)^2+(HSP!$C$6-$C205)^2+(HSP!$D$6-$D205)^2))</f>
        <v>4.1760028735622301</v>
      </c>
      <c r="L205" s="17" t="s">
        <v>35</v>
      </c>
      <c r="M205" s="17" t="s">
        <v>35</v>
      </c>
      <c r="N205" s="17" t="s">
        <v>35</v>
      </c>
      <c r="O205" s="17" t="s">
        <v>35</v>
      </c>
      <c r="P205" s="17" t="s">
        <v>35</v>
      </c>
      <c r="Q205" s="17">
        <f>$G205/HSP!$E$2</f>
        <v>0.50766268785928181</v>
      </c>
      <c r="R205" s="17">
        <f>$H205/HSP!$E$3</f>
        <v>0.51675042464592336</v>
      </c>
      <c r="S205" s="17">
        <f>$I205/HSP!$E$4</f>
        <v>0.17187196027568305</v>
      </c>
      <c r="T205" s="17">
        <f>$J205/HSP!$E$5</f>
        <v>0.83895544328311911</v>
      </c>
      <c r="U205" s="17">
        <f>$K205/HSP!$E$6</f>
        <v>0.28216235632177228</v>
      </c>
      <c r="V205" s="12"/>
      <c r="W205" s="12"/>
      <c r="X205" s="12"/>
      <c r="Y205" s="12"/>
      <c r="Z205" s="12"/>
    </row>
    <row r="206" spans="1:26" ht="15" customHeight="1" x14ac:dyDescent="0.3">
      <c r="A206" s="26" t="s">
        <v>343</v>
      </c>
      <c r="B206" s="17">
        <v>16.7</v>
      </c>
      <c r="C206" s="17">
        <v>7.4</v>
      </c>
      <c r="D206" s="17">
        <v>6.2</v>
      </c>
      <c r="E206" s="17" t="s">
        <v>35</v>
      </c>
      <c r="F206" s="22">
        <v>171.3</v>
      </c>
      <c r="G206" s="17">
        <f>SQRT((4*(HSP!$B$2-$B206)^2+(HSP!$C$2-$C206)^2+(HSP!$D$2-$D206)^2))</f>
        <v>5.2547121709947158</v>
      </c>
      <c r="H206" s="17">
        <f>SQRT((4*(HSP!$B$3-$B206)^2+(HSP!$C$3-$C206)^2+(HSP!$D$3-$D206)^2))</f>
        <v>3.0548977069617234</v>
      </c>
      <c r="I206" s="17">
        <f>SQRT((4*(HSP!$B$4-$B206)^2+(HSP!$C$4-$C206)^2+(HSP!$D$4-$D206)^2))</f>
        <v>4.1378738501795818</v>
      </c>
      <c r="J206" s="17">
        <f>SQRT((4*(HSP!$B$5-$B206)^2+(HSP!$C$5-$C206)^2+(HSP!$D$5-$D206)^2))</f>
        <v>7.6716947280245709</v>
      </c>
      <c r="K206" s="17">
        <f>SQRT((4*(HSP!$B$6-$B206)^2+(HSP!$C$6-$C206)^2+(HSP!$D$6-$D206)^2))</f>
        <v>3.8266173051404029</v>
      </c>
      <c r="L206" s="17" t="s">
        <v>35</v>
      </c>
      <c r="M206" s="17" t="s">
        <v>35</v>
      </c>
      <c r="N206" s="17" t="s">
        <v>35</v>
      </c>
      <c r="O206" s="17" t="s">
        <v>35</v>
      </c>
      <c r="P206" s="17" t="s">
        <v>35</v>
      </c>
      <c r="Q206" s="17">
        <f>$G206/HSP!$E$2</f>
        <v>0.32237497981562674</v>
      </c>
      <c r="R206" s="17">
        <f>$H206/HSP!$E$3</f>
        <v>0.22628871903420172</v>
      </c>
      <c r="S206" s="17">
        <f>$I206/HSP!$E$4</f>
        <v>0.26024363837607434</v>
      </c>
      <c r="T206" s="17">
        <f>$J206/HSP!$E$5</f>
        <v>0.55997771737405633</v>
      </c>
      <c r="U206" s="17">
        <f>$K206/HSP!$E$6</f>
        <v>0.25855522332029746</v>
      </c>
      <c r="V206" s="12"/>
      <c r="W206" s="12"/>
      <c r="X206" s="12"/>
      <c r="Y206" s="12"/>
      <c r="Z206" s="12"/>
    </row>
    <row r="207" spans="1:26" ht="15" customHeight="1" x14ac:dyDescent="0.3">
      <c r="A207" s="26" t="s">
        <v>344</v>
      </c>
      <c r="B207" s="17">
        <v>16.7</v>
      </c>
      <c r="C207" s="17">
        <v>4.5</v>
      </c>
      <c r="D207" s="17">
        <v>11.3</v>
      </c>
      <c r="E207" s="17" t="s">
        <v>35</v>
      </c>
      <c r="F207" s="22">
        <v>175.8</v>
      </c>
      <c r="G207" s="17">
        <f>SQRT((4*(HSP!$B$2-$B207)^2+(HSP!$C$2-$C207)^2+(HSP!$D$2-$D207)^2))</f>
        <v>8.4749041292512572</v>
      </c>
      <c r="H207" s="17">
        <f>SQRT((4*(HSP!$B$3-$B207)^2+(HSP!$C$3-$C207)^2+(HSP!$D$3-$D207)^2))</f>
        <v>7.7933561448197661</v>
      </c>
      <c r="I207" s="17">
        <f>SQRT((4*(HSP!$B$4-$B207)^2+(HSP!$C$4-$C207)^2+(HSP!$D$4-$D207)^2))</f>
        <v>5.4448140464115022</v>
      </c>
      <c r="J207" s="17">
        <f>SQRT((4*(HSP!$B$5-$B207)^2+(HSP!$C$5-$C207)^2+(HSP!$D$5-$D207)^2))</f>
        <v>8.7111939480188365</v>
      </c>
      <c r="K207" s="17">
        <f>SQRT((4*(HSP!$B$6-$B207)^2+(HSP!$C$6-$C207)^2+(HSP!$D$6-$D207)^2))</f>
        <v>8.2101766119858848</v>
      </c>
      <c r="L207" s="17" t="s">
        <v>35</v>
      </c>
      <c r="M207" s="17" t="s">
        <v>35</v>
      </c>
      <c r="N207" s="17" t="s">
        <v>35</v>
      </c>
      <c r="O207" s="17" t="s">
        <v>35</v>
      </c>
      <c r="P207" s="17" t="s">
        <v>35</v>
      </c>
      <c r="Q207" s="17">
        <f>$G207/HSP!$E$2</f>
        <v>0.51993276866572125</v>
      </c>
      <c r="R207" s="17">
        <f>$H207/HSP!$E$3</f>
        <v>0.57728564035701968</v>
      </c>
      <c r="S207" s="17">
        <f>$I207/HSP!$E$4</f>
        <v>0.34244113499443407</v>
      </c>
      <c r="T207" s="17">
        <f>$J207/HSP!$E$5</f>
        <v>0.6358535728480903</v>
      </c>
      <c r="U207" s="17">
        <f>$K207/HSP!$E$6</f>
        <v>0.55474166297201921</v>
      </c>
      <c r="V207" s="12"/>
      <c r="W207" s="12"/>
      <c r="X207" s="12"/>
      <c r="Y207" s="12"/>
      <c r="Z207" s="12"/>
    </row>
    <row r="208" spans="1:26" ht="15" customHeight="1" x14ac:dyDescent="0.3">
      <c r="A208" s="26" t="s">
        <v>345</v>
      </c>
      <c r="B208" s="17">
        <v>16.7</v>
      </c>
      <c r="C208" s="17">
        <v>3</v>
      </c>
      <c r="D208" s="17">
        <v>4.9000000000000004</v>
      </c>
      <c r="E208" s="17" t="s">
        <v>35</v>
      </c>
      <c r="F208" s="22">
        <v>209.5</v>
      </c>
      <c r="G208" s="17">
        <f>SQRT((4*(HSP!$B$2-$B208)^2+(HSP!$C$2-$C208)^2+(HSP!$D$2-$D208)^2))</f>
        <v>8.810107831349173</v>
      </c>
      <c r="H208" s="17">
        <f>SQRT((4*(HSP!$B$3-$B208)^2+(HSP!$C$3-$C208)^2+(HSP!$D$3-$D208)^2))</f>
        <v>7.0201424486971771</v>
      </c>
      <c r="I208" s="17">
        <f>SQRT((4*(HSP!$B$4-$B208)^2+(HSP!$C$4-$C208)^2+(HSP!$D$4-$D208)^2))</f>
        <v>3.9744181964156704</v>
      </c>
      <c r="J208" s="17">
        <f>SQRT((4*(HSP!$B$5-$B208)^2+(HSP!$C$5-$C208)^2+(HSP!$D$5-$D208)^2))</f>
        <v>11.790627633845451</v>
      </c>
      <c r="K208" s="17">
        <f>SQRT((4*(HSP!$B$6-$B208)^2+(HSP!$C$6-$C208)^2+(HSP!$D$6-$D208)^2))</f>
        <v>4.5877009492773171</v>
      </c>
      <c r="L208" s="17" t="s">
        <v>35</v>
      </c>
      <c r="M208" s="17" t="s">
        <v>35</v>
      </c>
      <c r="N208" s="17" t="s">
        <v>35</v>
      </c>
      <c r="O208" s="17" t="s">
        <v>35</v>
      </c>
      <c r="P208" s="17" t="s">
        <v>35</v>
      </c>
      <c r="Q208" s="17">
        <f>$G208/HSP!$E$2</f>
        <v>0.5404974129662069</v>
      </c>
      <c r="R208" s="17">
        <f>$H208/HSP!$E$3</f>
        <v>0.5200105517553465</v>
      </c>
      <c r="S208" s="17">
        <f>$I208/HSP!$E$4</f>
        <v>0.24996340857960192</v>
      </c>
      <c r="T208" s="17">
        <f>$J208/HSP!$E$5</f>
        <v>0.86062975429528843</v>
      </c>
      <c r="U208" s="17">
        <f>$K208/HSP!$E$6</f>
        <v>0.309979793870089</v>
      </c>
      <c r="V208" s="12"/>
      <c r="W208" s="12"/>
      <c r="X208" s="12"/>
      <c r="Y208" s="12"/>
      <c r="Z208" s="12"/>
    </row>
    <row r="209" spans="1:26" ht="15" customHeight="1" x14ac:dyDescent="0.3">
      <c r="A209" s="26" t="s">
        <v>346</v>
      </c>
      <c r="B209" s="17">
        <v>17.2</v>
      </c>
      <c r="C209" s="17">
        <v>11.4</v>
      </c>
      <c r="D209" s="17">
        <v>5.0999999999999996</v>
      </c>
      <c r="E209" s="17" t="s">
        <v>35</v>
      </c>
      <c r="F209" s="22">
        <v>164.2</v>
      </c>
      <c r="G209" s="17">
        <f>SQRT((4*(HSP!$B$2-$B209)^2+(HSP!$C$2-$C209)^2+(HSP!$D$2-$D209)^2))</f>
        <v>5.6087431747228358</v>
      </c>
      <c r="H209" s="17">
        <f>SQRT((4*(HSP!$B$3-$B209)^2+(HSP!$C$3-$C209)^2+(HSP!$D$3-$D209)^2))</f>
        <v>3.5589886203807959</v>
      </c>
      <c r="I209" s="17">
        <f>SQRT((4*(HSP!$B$4-$B209)^2+(HSP!$C$4-$C209)^2+(HSP!$D$4-$D209)^2))</f>
        <v>8.0331811880474842</v>
      </c>
      <c r="J209" s="17">
        <f>SQRT((4*(HSP!$B$5-$B209)^2+(HSP!$C$5-$C209)^2+(HSP!$D$5-$D209)^2))</f>
        <v>7.1155393330372361</v>
      </c>
      <c r="K209" s="17">
        <f>SQRT((4*(HSP!$B$6-$B209)^2+(HSP!$C$6-$C209)^2+(HSP!$D$6-$D209)^2))</f>
        <v>6.4158397735604344</v>
      </c>
      <c r="L209" s="17" t="s">
        <v>35</v>
      </c>
      <c r="M209" s="17" t="s">
        <v>35</v>
      </c>
      <c r="N209" s="17" t="s">
        <v>35</v>
      </c>
      <c r="O209" s="17" t="s">
        <v>35</v>
      </c>
      <c r="P209" s="17" t="s">
        <v>35</v>
      </c>
      <c r="Q209" s="17">
        <f>$G209/HSP!$E$2</f>
        <v>0.34409467329587951</v>
      </c>
      <c r="R209" s="17">
        <f>$H209/HSP!$E$3</f>
        <v>0.26362878669487377</v>
      </c>
      <c r="S209" s="17">
        <f>$I209/HSP!$E$4</f>
        <v>0.50523152126084803</v>
      </c>
      <c r="T209" s="17">
        <f>$J209/HSP!$E$5</f>
        <v>0.51938243306841136</v>
      </c>
      <c r="U209" s="17">
        <f>$K209/HSP!$E$6</f>
        <v>0.43350268740273201</v>
      </c>
      <c r="V209" s="12"/>
      <c r="W209" s="12"/>
      <c r="X209" s="12"/>
      <c r="Y209" s="12"/>
      <c r="Z209" s="12"/>
    </row>
    <row r="210" spans="1:26" ht="15" customHeight="1" x14ac:dyDescent="0.3">
      <c r="A210" s="26" t="s">
        <v>347</v>
      </c>
      <c r="B210" s="17">
        <v>15.8</v>
      </c>
      <c r="C210" s="17">
        <v>2.7</v>
      </c>
      <c r="D210" s="17">
        <v>5.3</v>
      </c>
      <c r="E210" s="17" t="s">
        <v>35</v>
      </c>
      <c r="F210" s="22">
        <v>185.2</v>
      </c>
      <c r="G210" s="17">
        <f>SQRT((4*(HSP!$B$2-$B210)^2+(HSP!$C$2-$C210)^2+(HSP!$D$2-$D210)^2))</f>
        <v>8.2945765413310895</v>
      </c>
      <c r="H210" s="17">
        <f>SQRT((4*(HSP!$B$3-$B210)^2+(HSP!$C$3-$C210)^2+(HSP!$D$3-$D210)^2))</f>
        <v>6.9828647416372034</v>
      </c>
      <c r="I210" s="17">
        <f>SQRT((4*(HSP!$B$4-$B210)^2+(HSP!$C$4-$C210)^2+(HSP!$D$4-$D210)^2))</f>
        <v>2.7853186532244387</v>
      </c>
      <c r="J210" s="17">
        <f>SQRT((4*(HSP!$B$5-$B210)^2+(HSP!$C$5-$C210)^2+(HSP!$D$5-$D210)^2))</f>
        <v>11.542135850872663</v>
      </c>
      <c r="K210" s="17">
        <f>SQRT((4*(HSP!$B$6-$B210)^2+(HSP!$C$6-$C210)^2+(HSP!$D$6-$D210)^2))</f>
        <v>4.1399275355976952</v>
      </c>
      <c r="L210" s="17" t="s">
        <v>35</v>
      </c>
      <c r="M210" s="17" t="s">
        <v>35</v>
      </c>
      <c r="N210" s="17" t="s">
        <v>35</v>
      </c>
      <c r="O210" s="17" t="s">
        <v>35</v>
      </c>
      <c r="P210" s="17" t="s">
        <v>35</v>
      </c>
      <c r="Q210" s="17">
        <f>$G210/HSP!$E$2</f>
        <v>0.50886972646202999</v>
      </c>
      <c r="R210" s="17">
        <f>$H210/HSP!$E$3</f>
        <v>0.51724924012127438</v>
      </c>
      <c r="S210" s="17">
        <f>$I210/HSP!$E$4</f>
        <v>0.17517727378770054</v>
      </c>
      <c r="T210" s="17">
        <f>$J210/HSP!$E$5</f>
        <v>0.84249166794690977</v>
      </c>
      <c r="U210" s="17">
        <f>$K210/HSP!$E$6</f>
        <v>0.27972483348633076</v>
      </c>
      <c r="V210" s="12"/>
      <c r="W210" s="12"/>
      <c r="X210" s="12"/>
      <c r="Y210" s="12"/>
      <c r="Z210" s="12"/>
    </row>
    <row r="211" spans="1:26" ht="15" customHeight="1" x14ac:dyDescent="0.3">
      <c r="A211" s="26" t="s">
        <v>348</v>
      </c>
      <c r="B211" s="17">
        <v>15.8</v>
      </c>
      <c r="C211" s="17">
        <v>7.1</v>
      </c>
      <c r="D211" s="17">
        <v>4.5</v>
      </c>
      <c r="E211" s="17" t="s">
        <v>35</v>
      </c>
      <c r="F211" s="22">
        <v>172</v>
      </c>
      <c r="G211" s="17">
        <f>SQRT((4*(HSP!$B$2-$B211)^2+(HSP!$C$2-$C211)^2+(HSP!$D$2-$D211)^2))</f>
        <v>4.8166378315169203</v>
      </c>
      <c r="H211" s="17">
        <f>SQRT((4*(HSP!$B$3-$B211)^2+(HSP!$C$3-$C211)^2+(HSP!$D$3-$D211)^2))</f>
        <v>2.8886675128854833</v>
      </c>
      <c r="I211" s="17">
        <f>SQRT((4*(HSP!$B$4-$B211)^2+(HSP!$C$4-$C211)^2+(HSP!$D$4-$D211)^2))</f>
        <v>3.5684730628099186</v>
      </c>
      <c r="J211" s="17">
        <f>SQRT((4*(HSP!$B$5-$B211)^2+(HSP!$C$5-$C211)^2+(HSP!$D$5-$D211)^2))</f>
        <v>8.6053994677760333</v>
      </c>
      <c r="K211" s="17">
        <f>SQRT((4*(HSP!$B$6-$B211)^2+(HSP!$C$6-$C211)^2+(HSP!$D$6-$D211)^2))</f>
        <v>1.4124446891825551</v>
      </c>
      <c r="L211" s="17" t="s">
        <v>35</v>
      </c>
      <c r="M211" s="17" t="s">
        <v>35</v>
      </c>
      <c r="N211" s="17" t="s">
        <v>35</v>
      </c>
      <c r="O211" s="17" t="s">
        <v>35</v>
      </c>
      <c r="P211" s="17" t="s">
        <v>35</v>
      </c>
      <c r="Q211" s="17">
        <f>$G211/HSP!$E$2</f>
        <v>0.29549925346729572</v>
      </c>
      <c r="R211" s="17">
        <f>$H211/HSP!$E$3</f>
        <v>0.21397537132485062</v>
      </c>
      <c r="S211" s="17">
        <f>$I211/HSP!$E$4</f>
        <v>0.22443226810125275</v>
      </c>
      <c r="T211" s="17">
        <f>$J211/HSP!$E$5</f>
        <v>0.6281313480128492</v>
      </c>
      <c r="U211" s="17">
        <f>$K211/HSP!$E$6</f>
        <v>9.5435451971794261E-2</v>
      </c>
      <c r="V211" s="12"/>
      <c r="W211" s="12"/>
      <c r="X211" s="12"/>
      <c r="Y211" s="12"/>
      <c r="Z211" s="12"/>
    </row>
    <row r="212" spans="1:26" ht="15" customHeight="1" x14ac:dyDescent="0.3">
      <c r="A212" s="26" t="s">
        <v>349</v>
      </c>
      <c r="B212" s="17">
        <v>16.3</v>
      </c>
      <c r="C212" s="17">
        <v>2.5</v>
      </c>
      <c r="D212" s="17">
        <v>8.3000000000000007</v>
      </c>
      <c r="E212" s="17" t="s">
        <v>35</v>
      </c>
      <c r="F212" s="22">
        <v>282.5</v>
      </c>
      <c r="G212" s="17">
        <f>SQRT((4*(HSP!$B$2-$B212)^2+(HSP!$C$2-$C212)^2+(HSP!$D$2-$D212)^2))</f>
        <v>8.7557980789874339</v>
      </c>
      <c r="H212" s="17">
        <f>SQRT((4*(HSP!$B$3-$B212)^2+(HSP!$C$3-$C212)^2+(HSP!$D$3-$D212)^2))</f>
        <v>7.674920195024832</v>
      </c>
      <c r="I212" s="17">
        <f>SQRT((4*(HSP!$B$4-$B212)^2+(HSP!$C$4-$C212)^2+(HSP!$D$4-$D212)^2))</f>
        <v>3.4799425282610645</v>
      </c>
      <c r="J212" s="17">
        <f>SQRT((4*(HSP!$B$5-$B212)^2+(HSP!$C$5-$C212)^2+(HSP!$D$5-$D212)^2))</f>
        <v>10.752157922947376</v>
      </c>
      <c r="K212" s="17">
        <f>SQRT((4*(HSP!$B$6-$B212)^2+(HSP!$C$6-$C212)^2+(HSP!$D$6-$D212)^2))</f>
        <v>6.2841865026429646</v>
      </c>
      <c r="L212" s="17" t="s">
        <v>35</v>
      </c>
      <c r="M212" s="17" t="s">
        <v>35</v>
      </c>
      <c r="N212" s="17" t="s">
        <v>35</v>
      </c>
      <c r="O212" s="17" t="s">
        <v>35</v>
      </c>
      <c r="P212" s="17" t="s">
        <v>35</v>
      </c>
      <c r="Q212" s="17">
        <f>$G212/HSP!$E$2</f>
        <v>0.53716552631824743</v>
      </c>
      <c r="R212" s="17">
        <f>$H212/HSP!$E$3</f>
        <v>0.56851260703887641</v>
      </c>
      <c r="S212" s="17">
        <f>$I212/HSP!$E$4</f>
        <v>0.21886430995352607</v>
      </c>
      <c r="T212" s="17">
        <f>$J212/HSP!$E$5</f>
        <v>0.78482904547061139</v>
      </c>
      <c r="U212" s="17">
        <f>$K212/HSP!$E$6</f>
        <v>0.42460719612452463</v>
      </c>
      <c r="V212" s="12"/>
      <c r="W212" s="12"/>
      <c r="X212" s="12"/>
      <c r="Y212" s="12"/>
      <c r="Z212" s="12"/>
    </row>
    <row r="213" spans="1:26" ht="15" customHeight="1" x14ac:dyDescent="0.3">
      <c r="A213" s="26" t="s">
        <v>350</v>
      </c>
      <c r="B213" s="17">
        <v>17.100000000000001</v>
      </c>
      <c r="C213" s="17">
        <v>12.1</v>
      </c>
      <c r="D213" s="17">
        <v>5.4</v>
      </c>
      <c r="E213" s="17" t="s">
        <v>35</v>
      </c>
      <c r="F213" s="22">
        <v>145</v>
      </c>
      <c r="G213" s="17">
        <f>SQRT((4*(HSP!$B$2-$B213)^2+(HSP!$C$2-$C213)^2+(HSP!$D$2-$D213)^2))</f>
        <v>5.4941787375366697</v>
      </c>
      <c r="H213" s="17">
        <f>SQRT((4*(HSP!$B$3-$B213)^2+(HSP!$C$3-$C213)^2+(HSP!$D$3-$D213)^2))</f>
        <v>3.7526523953065545</v>
      </c>
      <c r="I213" s="17">
        <f>SQRT((4*(HSP!$B$4-$B213)^2+(HSP!$C$4-$C213)^2+(HSP!$D$4-$D213)^2))</f>
        <v>8.4803301822511603</v>
      </c>
      <c r="J213" s="17">
        <f>SQRT((4*(HSP!$B$5-$B213)^2+(HSP!$C$5-$C213)^2+(HSP!$D$5-$D213)^2))</f>
        <v>6.6603978860125181</v>
      </c>
      <c r="K213" s="17">
        <f>SQRT((4*(HSP!$B$6-$B213)^2+(HSP!$C$6-$C213)^2+(HSP!$D$6-$D213)^2))</f>
        <v>6.9243772283144738</v>
      </c>
      <c r="L213" s="17" t="s">
        <v>35</v>
      </c>
      <c r="M213" s="17" t="s">
        <v>35</v>
      </c>
      <c r="N213" s="17" t="s">
        <v>35</v>
      </c>
      <c r="O213" s="17" t="s">
        <v>35</v>
      </c>
      <c r="P213" s="17" t="s">
        <v>35</v>
      </c>
      <c r="Q213" s="17">
        <f>$G213/HSP!$E$2</f>
        <v>0.3370661802169736</v>
      </c>
      <c r="R213" s="17">
        <f>$H213/HSP!$E$3</f>
        <v>0.2779742515041892</v>
      </c>
      <c r="S213" s="17">
        <f>$I213/HSP!$E$4</f>
        <v>0.53335409951265156</v>
      </c>
      <c r="T213" s="17">
        <f>$J213/HSP!$E$5</f>
        <v>0.48616042963595024</v>
      </c>
      <c r="U213" s="17">
        <f>$K213/HSP!$E$6</f>
        <v>0.46786332623746441</v>
      </c>
      <c r="V213" s="12"/>
      <c r="W213" s="12"/>
      <c r="X213" s="12"/>
      <c r="Y213" s="12"/>
      <c r="Z213" s="12"/>
    </row>
    <row r="214" spans="1:26" ht="15" customHeight="1" x14ac:dyDescent="0.3">
      <c r="A214" s="26" t="s">
        <v>351</v>
      </c>
      <c r="B214" s="17">
        <v>16.100000000000001</v>
      </c>
      <c r="C214" s="17">
        <v>4.9000000000000004</v>
      </c>
      <c r="D214" s="17">
        <v>11</v>
      </c>
      <c r="E214" s="17" t="s">
        <v>35</v>
      </c>
      <c r="F214" s="22">
        <v>159.1</v>
      </c>
      <c r="G214" s="17">
        <f>SQRT((4*(HSP!$B$2-$B214)^2+(HSP!$C$2-$C214)^2+(HSP!$D$2-$D214)^2))</f>
        <v>7.4882574742058665</v>
      </c>
      <c r="H214" s="17">
        <f>SQRT((4*(HSP!$B$3-$B214)^2+(HSP!$C$3-$C214)^2+(HSP!$D$3-$D214)^2))</f>
        <v>7.082541916572044</v>
      </c>
      <c r="I214" s="17">
        <f>SQRT((4*(HSP!$B$4-$B214)^2+(HSP!$C$4-$C214)^2+(HSP!$D$4-$D214)^2))</f>
        <v>4.5986954671950189</v>
      </c>
      <c r="J214" s="17">
        <f>SQRT((4*(HSP!$B$5-$B214)^2+(HSP!$C$5-$C214)^2+(HSP!$D$5-$D214)^2))</f>
        <v>7.994554396587719</v>
      </c>
      <c r="K214" s="17">
        <f>SQRT((4*(HSP!$B$6-$B214)^2+(HSP!$C$6-$C214)^2+(HSP!$D$6-$D214)^2))</f>
        <v>7.4979330485141045</v>
      </c>
      <c r="L214" s="17" t="s">
        <v>35</v>
      </c>
      <c r="M214" s="17" t="s">
        <v>35</v>
      </c>
      <c r="N214" s="17" t="s">
        <v>35</v>
      </c>
      <c r="O214" s="17" t="s">
        <v>35</v>
      </c>
      <c r="P214" s="17" t="s">
        <v>35</v>
      </c>
      <c r="Q214" s="17">
        <f>$G214/HSP!$E$2</f>
        <v>0.45940229903103474</v>
      </c>
      <c r="R214" s="17">
        <f>$H214/HSP!$E$3</f>
        <v>0.5246327345608921</v>
      </c>
      <c r="S214" s="17">
        <f>$I214/HSP!$E$4</f>
        <v>0.28922613001226533</v>
      </c>
      <c r="T214" s="17">
        <f>$J214/HSP!$E$5</f>
        <v>0.58354411653924965</v>
      </c>
      <c r="U214" s="17">
        <f>$K214/HSP!$E$6</f>
        <v>0.50661709787257458</v>
      </c>
      <c r="V214" s="12"/>
      <c r="W214" s="12"/>
      <c r="X214" s="12"/>
      <c r="Y214" s="12"/>
      <c r="Z214" s="12"/>
    </row>
    <row r="215" spans="1:26" ht="15" customHeight="1" x14ac:dyDescent="0.3">
      <c r="A215" s="26" t="s">
        <v>352</v>
      </c>
      <c r="B215" s="17">
        <v>17.2</v>
      </c>
      <c r="C215" s="17">
        <v>1.8</v>
      </c>
      <c r="D215" s="17">
        <v>4.3</v>
      </c>
      <c r="E215" s="17" t="s">
        <v>35</v>
      </c>
      <c r="F215" s="22">
        <v>161.30000000000001</v>
      </c>
      <c r="G215" s="17">
        <f>SQRT((4*(HSP!$B$2-$B215)^2+(HSP!$C$2-$C215)^2+(HSP!$D$2-$D215)^2))</f>
        <v>10.450741600479843</v>
      </c>
      <c r="H215" s="17">
        <f>SQRT((4*(HSP!$B$3-$B215)^2+(HSP!$C$3-$C215)^2+(HSP!$D$3-$D215)^2))</f>
        <v>8.5563076148535018</v>
      </c>
      <c r="I215" s="17">
        <f>SQRT((4*(HSP!$B$4-$B215)^2+(HSP!$C$4-$C215)^2+(HSP!$D$4-$D215)^2))</f>
        <v>5.5702782695301662</v>
      </c>
      <c r="J215" s="17">
        <f>SQRT((4*(HSP!$B$5-$B215)^2+(HSP!$C$5-$C215)^2+(HSP!$D$5-$D215)^2))</f>
        <v>13.345519847499384</v>
      </c>
      <c r="K215" s="17">
        <f>SQRT((4*(HSP!$B$6-$B215)^2+(HSP!$C$6-$C215)^2+(HSP!$D$6-$D215)^2))</f>
        <v>6.0447497880392032</v>
      </c>
      <c r="L215" s="17" t="s">
        <v>35</v>
      </c>
      <c r="M215" s="17" t="s">
        <v>35</v>
      </c>
      <c r="N215" s="17" t="s">
        <v>35</v>
      </c>
      <c r="O215" s="17" t="s">
        <v>35</v>
      </c>
      <c r="P215" s="17" t="s">
        <v>35</v>
      </c>
      <c r="Q215" s="17">
        <f>$G215/HSP!$E$2</f>
        <v>0.64114979144048112</v>
      </c>
      <c r="R215" s="17">
        <f>$H215/HSP!$E$3</f>
        <v>0.63380056406322238</v>
      </c>
      <c r="S215" s="17">
        <f>$I215/HSP!$E$4</f>
        <v>0.35033196663711735</v>
      </c>
      <c r="T215" s="17">
        <f>$J215/HSP!$E$5</f>
        <v>0.9741255363138237</v>
      </c>
      <c r="U215" s="17">
        <f>$K215/HSP!$E$6</f>
        <v>0.4084290397323786</v>
      </c>
      <c r="V215" s="12"/>
      <c r="W215" s="12"/>
      <c r="X215" s="12"/>
      <c r="Y215" s="12"/>
      <c r="Z215" s="12"/>
    </row>
    <row r="216" spans="1:26" ht="15" customHeight="1" x14ac:dyDescent="0.3">
      <c r="A216" s="26" t="s">
        <v>353</v>
      </c>
      <c r="B216" s="17">
        <v>17.2</v>
      </c>
      <c r="C216" s="17">
        <v>1.8</v>
      </c>
      <c r="D216" s="17">
        <v>4.3</v>
      </c>
      <c r="E216" s="17" t="s">
        <v>35</v>
      </c>
      <c r="F216" s="22">
        <v>161.30000000000001</v>
      </c>
      <c r="G216" s="17">
        <f>SQRT((4*(HSP!$B$2-$B216)^2+(HSP!$C$2-$C216)^2+(HSP!$D$2-$D216)^2))</f>
        <v>10.450741600479843</v>
      </c>
      <c r="H216" s="17">
        <f>SQRT((4*(HSP!$B$3-$B216)^2+(HSP!$C$3-$C216)^2+(HSP!$D$3-$D216)^2))</f>
        <v>8.5563076148535018</v>
      </c>
      <c r="I216" s="17">
        <f>SQRT((4*(HSP!$B$4-$B216)^2+(HSP!$C$4-$C216)^2+(HSP!$D$4-$D216)^2))</f>
        <v>5.5702782695301662</v>
      </c>
      <c r="J216" s="17">
        <f>SQRT((4*(HSP!$B$5-$B216)^2+(HSP!$C$5-$C216)^2+(HSP!$D$5-$D216)^2))</f>
        <v>13.345519847499384</v>
      </c>
      <c r="K216" s="17">
        <f>SQRT((4*(HSP!$B$6-$B216)^2+(HSP!$C$6-$C216)^2+(HSP!$D$6-$D216)^2))</f>
        <v>6.0447497880392032</v>
      </c>
      <c r="L216" s="17" t="s">
        <v>35</v>
      </c>
      <c r="M216" s="17" t="s">
        <v>35</v>
      </c>
      <c r="N216" s="17" t="s">
        <v>35</v>
      </c>
      <c r="O216" s="17" t="s">
        <v>35</v>
      </c>
      <c r="P216" s="17" t="s">
        <v>35</v>
      </c>
      <c r="Q216" s="17">
        <f>$G216/HSP!$E$2</f>
        <v>0.64114979144048112</v>
      </c>
      <c r="R216" s="17">
        <f>$H216/HSP!$E$3</f>
        <v>0.63380056406322238</v>
      </c>
      <c r="S216" s="17">
        <f>$I216/HSP!$E$4</f>
        <v>0.35033196663711735</v>
      </c>
      <c r="T216" s="17">
        <f>$J216/HSP!$E$5</f>
        <v>0.9741255363138237</v>
      </c>
      <c r="U216" s="17">
        <f>$K216/HSP!$E$6</f>
        <v>0.4084290397323786</v>
      </c>
      <c r="V216" s="12"/>
      <c r="W216" s="12"/>
      <c r="X216" s="12"/>
      <c r="Y216" s="12"/>
      <c r="Z216" s="12"/>
    </row>
    <row r="217" spans="1:26" ht="15" customHeight="1" x14ac:dyDescent="0.3">
      <c r="A217" s="26" t="s">
        <v>354</v>
      </c>
      <c r="B217" s="17">
        <v>17.2</v>
      </c>
      <c r="C217" s="17">
        <v>1.8</v>
      </c>
      <c r="D217" s="17">
        <v>4.3</v>
      </c>
      <c r="E217" s="17" t="s">
        <v>35</v>
      </c>
      <c r="F217" s="22">
        <v>161.30000000000001</v>
      </c>
      <c r="G217" s="17">
        <f>SQRT((4*(HSP!$B$2-$B217)^2+(HSP!$C$2-$C217)^2+(HSP!$D$2-$D217)^2))</f>
        <v>10.450741600479843</v>
      </c>
      <c r="H217" s="17">
        <f>SQRT((4*(HSP!$B$3-$B217)^2+(HSP!$C$3-$C217)^2+(HSP!$D$3-$D217)^2))</f>
        <v>8.5563076148535018</v>
      </c>
      <c r="I217" s="17">
        <f>SQRT((4*(HSP!$B$4-$B217)^2+(HSP!$C$4-$C217)^2+(HSP!$D$4-$D217)^2))</f>
        <v>5.5702782695301662</v>
      </c>
      <c r="J217" s="17">
        <f>SQRT((4*(HSP!$B$5-$B217)^2+(HSP!$C$5-$C217)^2+(HSP!$D$5-$D217)^2))</f>
        <v>13.345519847499384</v>
      </c>
      <c r="K217" s="17">
        <f>SQRT((4*(HSP!$B$6-$B217)^2+(HSP!$C$6-$C217)^2+(HSP!$D$6-$D217)^2))</f>
        <v>6.0447497880392032</v>
      </c>
      <c r="L217" s="17" t="s">
        <v>35</v>
      </c>
      <c r="M217" s="17" t="s">
        <v>35</v>
      </c>
      <c r="N217" s="17" t="s">
        <v>35</v>
      </c>
      <c r="O217" s="17" t="s">
        <v>35</v>
      </c>
      <c r="P217" s="17" t="s">
        <v>35</v>
      </c>
      <c r="Q217" s="17">
        <f>$G217/HSP!$E$2</f>
        <v>0.64114979144048112</v>
      </c>
      <c r="R217" s="17">
        <f>$H217/HSP!$E$3</f>
        <v>0.63380056406322238</v>
      </c>
      <c r="S217" s="17">
        <f>$I217/HSP!$E$4</f>
        <v>0.35033196663711735</v>
      </c>
      <c r="T217" s="17">
        <f>$J217/HSP!$E$5</f>
        <v>0.9741255363138237</v>
      </c>
      <c r="U217" s="17">
        <f>$K217/HSP!$E$6</f>
        <v>0.4084290397323786</v>
      </c>
      <c r="V217" s="12"/>
      <c r="W217" s="12"/>
      <c r="X217" s="12"/>
      <c r="Y217" s="12"/>
      <c r="Z217" s="12"/>
    </row>
    <row r="218" spans="1:26" ht="15" customHeight="1" x14ac:dyDescent="0.3">
      <c r="A218" s="26" t="s">
        <v>355</v>
      </c>
      <c r="B218" s="17">
        <v>16</v>
      </c>
      <c r="C218" s="17">
        <v>2.2000000000000002</v>
      </c>
      <c r="D218" s="17">
        <v>4.9000000000000004</v>
      </c>
      <c r="E218" s="17" t="s">
        <v>35</v>
      </c>
      <c r="F218" s="22">
        <v>215.2</v>
      </c>
      <c r="G218" s="17">
        <f>SQRT((4*(HSP!$B$2-$B218)^2+(HSP!$C$2-$C218)^2+(HSP!$D$2-$D218)^2))</f>
        <v>8.9662701275391008</v>
      </c>
      <c r="H218" s="17">
        <f>SQRT((4*(HSP!$B$3-$B218)^2+(HSP!$C$3-$C218)^2+(HSP!$D$3-$D218)^2))</f>
        <v>7.5420421637644006</v>
      </c>
      <c r="I218" s="17">
        <f>SQRT((4*(HSP!$B$4-$B218)^2+(HSP!$C$4-$C218)^2+(HSP!$D$4-$D218)^2))</f>
        <v>3.5377959240182291</v>
      </c>
      <c r="J218" s="17">
        <f>SQRT((4*(HSP!$B$5-$B218)^2+(HSP!$C$5-$C218)^2+(HSP!$D$5-$D218)^2))</f>
        <v>12.213226436941222</v>
      </c>
      <c r="K218" s="17">
        <f>SQRT((4*(HSP!$B$6-$B218)^2+(HSP!$C$6-$C218)^2+(HSP!$D$6-$D218)^2))</f>
        <v>4.5964116438804741</v>
      </c>
      <c r="L218" s="17" t="s">
        <v>35</v>
      </c>
      <c r="M218" s="17" t="s">
        <v>35</v>
      </c>
      <c r="N218" s="17" t="s">
        <v>35</v>
      </c>
      <c r="O218" s="17" t="s">
        <v>35</v>
      </c>
      <c r="P218" s="17" t="s">
        <v>35</v>
      </c>
      <c r="Q218" s="17">
        <f>$G218/HSP!$E$2</f>
        <v>0.55007792193491412</v>
      </c>
      <c r="R218" s="17">
        <f>$H218/HSP!$E$3</f>
        <v>0.55866978990847416</v>
      </c>
      <c r="S218" s="17">
        <f>$I218/HSP!$E$4</f>
        <v>0.22250288830303327</v>
      </c>
      <c r="T218" s="17">
        <f>$J218/HSP!$E$5</f>
        <v>0.89147638225848336</v>
      </c>
      <c r="U218" s="17">
        <f>$K218/HSP!$E$6</f>
        <v>0.31056835431624824</v>
      </c>
      <c r="V218" s="12"/>
      <c r="W218" s="12"/>
      <c r="X218" s="12"/>
      <c r="Y218" s="12"/>
      <c r="Z218" s="12"/>
    </row>
    <row r="219" spans="1:26" ht="15" customHeight="1" x14ac:dyDescent="0.3">
      <c r="A219" s="26" t="s">
        <v>356</v>
      </c>
      <c r="B219" s="17">
        <v>16.399999999999999</v>
      </c>
      <c r="C219" s="17">
        <v>3.5</v>
      </c>
      <c r="D219" s="17">
        <v>5</v>
      </c>
      <c r="E219" s="17" t="s">
        <v>35</v>
      </c>
      <c r="F219" s="22">
        <v>291.3</v>
      </c>
      <c r="G219" s="17">
        <f>SQRT((4*(HSP!$B$2-$B219)^2+(HSP!$C$2-$C219)^2+(HSP!$D$2-$D219)^2))</f>
        <v>8.0822026700646408</v>
      </c>
      <c r="H219" s="17">
        <f>SQRT((4*(HSP!$B$3-$B219)^2+(HSP!$C$3-$C219)^2+(HSP!$D$3-$D219)^2))</f>
        <v>6.3745117460084737</v>
      </c>
      <c r="I219" s="17">
        <f>SQRT((4*(HSP!$B$4-$B219)^2+(HSP!$C$4-$C219)^2+(HSP!$D$4-$D219)^2))</f>
        <v>3.2686388604432861</v>
      </c>
      <c r="J219" s="17">
        <f>SQRT((4*(HSP!$B$5-$B219)^2+(HSP!$C$5-$C219)^2+(HSP!$D$5-$D219)^2))</f>
        <v>11.19289506785443</v>
      </c>
      <c r="K219" s="17">
        <f>SQRT((4*(HSP!$B$6-$B219)^2+(HSP!$C$6-$C219)^2+(HSP!$D$6-$D219)^2))</f>
        <v>3.8749193539995113</v>
      </c>
      <c r="L219" s="17" t="s">
        <v>35</v>
      </c>
      <c r="M219" s="17" t="s">
        <v>35</v>
      </c>
      <c r="N219" s="17" t="s">
        <v>35</v>
      </c>
      <c r="O219" s="17" t="s">
        <v>35</v>
      </c>
      <c r="P219" s="17" t="s">
        <v>35</v>
      </c>
      <c r="Q219" s="17">
        <f>$G219/HSP!$E$2</f>
        <v>0.49584065460519267</v>
      </c>
      <c r="R219" s="17">
        <f>$H219/HSP!$E$3</f>
        <v>0.47218605525988694</v>
      </c>
      <c r="S219" s="17">
        <f>$I219/HSP!$E$4</f>
        <v>0.20557477109706201</v>
      </c>
      <c r="T219" s="17">
        <f>$J219/HSP!$E$5</f>
        <v>0.81699963998937442</v>
      </c>
      <c r="U219" s="17">
        <f>$K219/HSP!$E$6</f>
        <v>0.26181887527023723</v>
      </c>
      <c r="V219" s="12"/>
      <c r="W219" s="12"/>
      <c r="X219" s="12"/>
      <c r="Y219" s="12"/>
      <c r="Z219" s="12"/>
    </row>
    <row r="220" spans="1:26" ht="15" customHeight="1" x14ac:dyDescent="0.3">
      <c r="A220" s="26" t="s">
        <v>357</v>
      </c>
      <c r="B220" s="17">
        <v>16.399999999999999</v>
      </c>
      <c r="C220" s="17">
        <v>3.5</v>
      </c>
      <c r="D220" s="17">
        <v>5</v>
      </c>
      <c r="E220" s="17" t="s">
        <v>35</v>
      </c>
      <c r="F220" s="22">
        <v>291.3</v>
      </c>
      <c r="G220" s="17">
        <f>SQRT((4*(HSP!$B$2-$B220)^2+(HSP!$C$2-$C220)^2+(HSP!$D$2-$D220)^2))</f>
        <v>8.0822026700646408</v>
      </c>
      <c r="H220" s="17">
        <f>SQRT((4*(HSP!$B$3-$B220)^2+(HSP!$C$3-$C220)^2+(HSP!$D$3-$D220)^2))</f>
        <v>6.3745117460084737</v>
      </c>
      <c r="I220" s="17">
        <f>SQRT((4*(HSP!$B$4-$B220)^2+(HSP!$C$4-$C220)^2+(HSP!$D$4-$D220)^2))</f>
        <v>3.2686388604432861</v>
      </c>
      <c r="J220" s="17">
        <f>SQRT((4*(HSP!$B$5-$B220)^2+(HSP!$C$5-$C220)^2+(HSP!$D$5-$D220)^2))</f>
        <v>11.19289506785443</v>
      </c>
      <c r="K220" s="17">
        <f>SQRT((4*(HSP!$B$6-$B220)^2+(HSP!$C$6-$C220)^2+(HSP!$D$6-$D220)^2))</f>
        <v>3.8749193539995113</v>
      </c>
      <c r="L220" s="17" t="s">
        <v>35</v>
      </c>
      <c r="M220" s="17" t="s">
        <v>35</v>
      </c>
      <c r="N220" s="17" t="s">
        <v>35</v>
      </c>
      <c r="O220" s="17" t="s">
        <v>35</v>
      </c>
      <c r="P220" s="17" t="s">
        <v>35</v>
      </c>
      <c r="Q220" s="17">
        <f>$G220/HSP!$E$2</f>
        <v>0.49584065460519267</v>
      </c>
      <c r="R220" s="17">
        <f>$H220/HSP!$E$3</f>
        <v>0.47218605525988694</v>
      </c>
      <c r="S220" s="17">
        <f>$I220/HSP!$E$4</f>
        <v>0.20557477109706201</v>
      </c>
      <c r="T220" s="17">
        <f>$J220/HSP!$E$5</f>
        <v>0.81699963998937442</v>
      </c>
      <c r="U220" s="17">
        <f>$K220/HSP!$E$6</f>
        <v>0.26181887527023723</v>
      </c>
      <c r="V220" s="12"/>
      <c r="W220" s="12"/>
      <c r="X220" s="12"/>
      <c r="Y220" s="12"/>
      <c r="Z220" s="12"/>
    </row>
    <row r="221" spans="1:26" ht="15" customHeight="1" x14ac:dyDescent="0.3">
      <c r="A221" s="26" t="s">
        <v>358</v>
      </c>
      <c r="B221" s="17">
        <v>17.399999999999999</v>
      </c>
      <c r="C221" s="17">
        <v>6.1</v>
      </c>
      <c r="D221" s="17">
        <v>3.9</v>
      </c>
      <c r="E221" s="17" t="s">
        <v>35</v>
      </c>
      <c r="F221" s="22">
        <v>237</v>
      </c>
      <c r="G221" s="17">
        <f>SQRT((4*(HSP!$B$2-$B221)^2+(HSP!$C$2-$C221)^2+(HSP!$D$2-$D221)^2))</f>
        <v>7.7366659485853457</v>
      </c>
      <c r="H221" s="17">
        <f>SQRT((4*(HSP!$B$3-$B221)^2+(HSP!$C$3-$C221)^2+(HSP!$D$3-$D221)^2))</f>
        <v>5.2968292402153185</v>
      </c>
      <c r="I221" s="17">
        <f>SQRT((4*(HSP!$B$4-$B221)^2+(HSP!$C$4-$C221)^2+(HSP!$D$4-$D221)^2))</f>
        <v>5.5061783480014501</v>
      </c>
      <c r="J221" s="17">
        <f>SQRT((4*(HSP!$B$5-$B221)^2+(HSP!$C$5-$C221)^2+(HSP!$D$5-$D221)^2))</f>
        <v>10.554283490602286</v>
      </c>
      <c r="K221" s="17">
        <f>SQRT((4*(HSP!$B$6-$B221)^2+(HSP!$C$6-$C221)^2+(HSP!$D$6-$D221)^2))</f>
        <v>4.2730551131479668</v>
      </c>
      <c r="L221" s="17" t="s">
        <v>35</v>
      </c>
      <c r="M221" s="17" t="s">
        <v>35</v>
      </c>
      <c r="N221" s="17" t="s">
        <v>35</v>
      </c>
      <c r="O221" s="17" t="s">
        <v>35</v>
      </c>
      <c r="P221" s="17" t="s">
        <v>35</v>
      </c>
      <c r="Q221" s="17">
        <f>$G221/HSP!$E$2</f>
        <v>0.47464208273529729</v>
      </c>
      <c r="R221" s="17">
        <f>$H221/HSP!$E$3</f>
        <v>0.39235772149743098</v>
      </c>
      <c r="S221" s="17">
        <f>$I221/HSP!$E$4</f>
        <v>0.34630052503153774</v>
      </c>
      <c r="T221" s="17">
        <f>$J221/HSP!$E$5</f>
        <v>0.7703856562483421</v>
      </c>
      <c r="U221" s="17">
        <f>$K221/HSP!$E$6</f>
        <v>0.2887199400775653</v>
      </c>
      <c r="V221" s="12"/>
      <c r="W221" s="12"/>
      <c r="X221" s="12"/>
      <c r="Y221" s="12"/>
      <c r="Z221" s="12"/>
    </row>
    <row r="222" spans="1:26" ht="15" customHeight="1" x14ac:dyDescent="0.3">
      <c r="A222" s="26" t="s">
        <v>359</v>
      </c>
      <c r="B222" s="17">
        <v>19.2</v>
      </c>
      <c r="C222" s="17">
        <v>6.8</v>
      </c>
      <c r="D222" s="17">
        <v>11.4</v>
      </c>
      <c r="E222" s="17" t="s">
        <v>35</v>
      </c>
      <c r="F222" s="22">
        <v>164.2</v>
      </c>
      <c r="G222" s="17">
        <f>SQRT((4*(HSP!$B$2-$B222)^2+(HSP!$C$2-$C222)^2+(HSP!$D$2-$D222)^2))</f>
        <v>10.843062298077975</v>
      </c>
      <c r="H222" s="17">
        <f>SQRT((4*(HSP!$B$3-$B222)^2+(HSP!$C$3-$C222)^2+(HSP!$D$3-$D222)^2))</f>
        <v>9.4125660688252264</v>
      </c>
      <c r="I222" s="17">
        <f>SQRT((4*(HSP!$B$4-$B222)^2+(HSP!$C$4-$C222)^2+(HSP!$D$4-$D222)^2))</f>
        <v>9.5193487172180014</v>
      </c>
      <c r="J222" s="17">
        <f>SQRT((4*(HSP!$B$5-$B222)^2+(HSP!$C$5-$C222)^2+(HSP!$D$5-$D222)^2))</f>
        <v>9.8512385008180559</v>
      </c>
      <c r="K222" s="17">
        <f>SQRT((4*(HSP!$B$6-$B222)^2+(HSP!$C$6-$C222)^2+(HSP!$D$6-$D222)^2))</f>
        <v>10.904998853736757</v>
      </c>
      <c r="L222" s="17" t="s">
        <v>35</v>
      </c>
      <c r="M222" s="17" t="s">
        <v>35</v>
      </c>
      <c r="N222" s="17" t="s">
        <v>35</v>
      </c>
      <c r="O222" s="17" t="s">
        <v>35</v>
      </c>
      <c r="P222" s="17" t="s">
        <v>35</v>
      </c>
      <c r="Q222" s="17">
        <f>$G222/HSP!$E$2</f>
        <v>0.66521854589435425</v>
      </c>
      <c r="R222" s="17">
        <f>$H222/HSP!$E$3</f>
        <v>0.69722711620927602</v>
      </c>
      <c r="S222" s="17">
        <f>$I222/HSP!$E$4</f>
        <v>0.59870117718352212</v>
      </c>
      <c r="T222" s="17">
        <f>$J222/HSP!$E$5</f>
        <v>0.71906850370934716</v>
      </c>
      <c r="U222" s="17">
        <f>$K222/HSP!$E$6</f>
        <v>0.73682424687410519</v>
      </c>
      <c r="V222" s="12"/>
      <c r="W222" s="12"/>
      <c r="X222" s="12"/>
      <c r="Y222" s="12"/>
      <c r="Z222" s="12"/>
    </row>
    <row r="223" spans="1:26" ht="15" customHeight="1" x14ac:dyDescent="0.3">
      <c r="A223" s="26" t="s">
        <v>360</v>
      </c>
      <c r="B223" s="17">
        <v>18</v>
      </c>
      <c r="C223" s="17">
        <v>5.0999999999999996</v>
      </c>
      <c r="D223" s="17">
        <v>12.9</v>
      </c>
      <c r="E223" s="17" t="s">
        <v>35</v>
      </c>
      <c r="F223" s="22">
        <v>104.6</v>
      </c>
      <c r="G223" s="17">
        <f>SQRT((4*(HSP!$B$2-$B223)^2+(HSP!$C$2-$C223)^2+(HSP!$D$2-$D223)^2))</f>
        <v>10.488851224037836</v>
      </c>
      <c r="H223" s="17">
        <f>SQRT((4*(HSP!$B$3-$B223)^2+(HSP!$C$3-$C223)^2+(HSP!$D$3-$D223)^2))</f>
        <v>9.6054359609546101</v>
      </c>
      <c r="I223" s="17">
        <f>SQRT((4*(HSP!$B$4-$B223)^2+(HSP!$C$4-$C223)^2+(HSP!$D$4-$D223)^2))</f>
        <v>8.3319865578384125</v>
      </c>
      <c r="J223" s="17">
        <f>SQRT((4*(HSP!$B$5-$B223)^2+(HSP!$C$5-$C223)^2+(HSP!$D$5-$D223)^2))</f>
        <v>9.5789822006307137</v>
      </c>
      <c r="K223" s="17">
        <f>SQRT((4*(HSP!$B$6-$B223)^2+(HSP!$C$6-$C223)^2+(HSP!$D$6-$D223)^2))</f>
        <v>10.65283999692101</v>
      </c>
      <c r="L223" s="17" t="s">
        <v>35</v>
      </c>
      <c r="M223" s="17" t="s">
        <v>35</v>
      </c>
      <c r="N223" s="17" t="s">
        <v>35</v>
      </c>
      <c r="O223" s="17" t="s">
        <v>35</v>
      </c>
      <c r="P223" s="17" t="s">
        <v>35</v>
      </c>
      <c r="Q223" s="17">
        <f>$G223/HSP!$E$2</f>
        <v>0.64348780515569537</v>
      </c>
      <c r="R223" s="17">
        <f>$H223/HSP!$E$3</f>
        <v>0.7115137748855267</v>
      </c>
      <c r="S223" s="17">
        <f>$I223/HSP!$E$4</f>
        <v>0.52402431181373665</v>
      </c>
      <c r="T223" s="17">
        <f>$J223/HSP!$E$5</f>
        <v>0.69919578106793534</v>
      </c>
      <c r="U223" s="17">
        <f>$K223/HSP!$E$6</f>
        <v>0.71978648627844655</v>
      </c>
      <c r="V223" s="12"/>
      <c r="W223" s="12"/>
      <c r="X223" s="12"/>
      <c r="Y223" s="12"/>
      <c r="Z223" s="12"/>
    </row>
    <row r="224" spans="1:26" ht="15" customHeight="1" x14ac:dyDescent="0.3">
      <c r="A224" s="26" t="s">
        <v>361</v>
      </c>
      <c r="B224" s="17">
        <v>17.600000000000001</v>
      </c>
      <c r="C224" s="17">
        <v>6.3</v>
      </c>
      <c r="D224" s="17">
        <v>13.4</v>
      </c>
      <c r="E224" s="17" t="s">
        <v>35</v>
      </c>
      <c r="F224" s="22">
        <v>138</v>
      </c>
      <c r="G224" s="17">
        <f>SQRT((4*(HSP!$B$2-$B224)^2+(HSP!$C$2-$C224)^2+(HSP!$D$2-$D224)^2))</f>
        <v>9.7222425396613126</v>
      </c>
      <c r="H224" s="17">
        <f>SQRT((4*(HSP!$B$3-$B224)^2+(HSP!$C$3-$C224)^2+(HSP!$D$3-$D224)^2))</f>
        <v>9.1289868002971737</v>
      </c>
      <c r="I224" s="17">
        <f>SQRT((4*(HSP!$B$4-$B224)^2+(HSP!$C$4-$C224)^2+(HSP!$D$4-$D224)^2))</f>
        <v>8.3548788142019177</v>
      </c>
      <c r="J224" s="17">
        <f>SQRT((4*(HSP!$B$5-$B224)^2+(HSP!$C$5-$C224)^2+(HSP!$D$5-$D224)^2))</f>
        <v>8.3086039741944635</v>
      </c>
      <c r="K224" s="17">
        <f>SQRT((4*(HSP!$B$6-$B224)^2+(HSP!$C$6-$C224)^2+(HSP!$D$6-$D224)^2))</f>
        <v>10.627088030123776</v>
      </c>
      <c r="L224" s="17" t="s">
        <v>35</v>
      </c>
      <c r="M224" s="17" t="s">
        <v>35</v>
      </c>
      <c r="N224" s="17" t="s">
        <v>35</v>
      </c>
      <c r="O224" s="17" t="s">
        <v>35</v>
      </c>
      <c r="P224" s="17" t="s">
        <v>35</v>
      </c>
      <c r="Q224" s="17">
        <f>$G224/HSP!$E$2</f>
        <v>0.59645659752523383</v>
      </c>
      <c r="R224" s="17">
        <f>$H224/HSP!$E$3</f>
        <v>0.67622124446645726</v>
      </c>
      <c r="S224" s="17">
        <f>$I224/HSP!$E$4</f>
        <v>0.52546407636490045</v>
      </c>
      <c r="T224" s="17">
        <f>$J224/HSP!$E$5</f>
        <v>0.60646744337185865</v>
      </c>
      <c r="U224" s="17">
        <f>$K224/HSP!$E$6</f>
        <v>0.71804648852187669</v>
      </c>
      <c r="V224" s="12"/>
      <c r="W224" s="12"/>
      <c r="X224" s="12"/>
      <c r="Y224" s="12"/>
      <c r="Z224" s="12"/>
    </row>
    <row r="225" spans="1:26" ht="15" customHeight="1" x14ac:dyDescent="0.3">
      <c r="A225" s="27" t="s">
        <v>362</v>
      </c>
      <c r="B225" s="19">
        <v>18.600000000000001</v>
      </c>
      <c r="C225" s="19">
        <v>0</v>
      </c>
      <c r="D225" s="19">
        <v>1</v>
      </c>
      <c r="E225" s="17" t="s">
        <v>35</v>
      </c>
      <c r="F225" s="23">
        <v>156.6</v>
      </c>
      <c r="G225" s="17">
        <f>SQRT((4*(HSP!$B$2-$B225)^2+(HSP!$C$2-$C225)^2+(HSP!$D$2-$D225)^2))</f>
        <v>14.46277981578922</v>
      </c>
      <c r="H225" s="17">
        <f>SQRT((4*(HSP!$B$3-$B225)^2+(HSP!$C$3-$C225)^2+(HSP!$D$3-$D225)^2))</f>
        <v>12.264599463496557</v>
      </c>
      <c r="I225" s="17">
        <f>SQRT((4*(HSP!$B$4-$B225)^2+(HSP!$C$4-$C225)^2+(HSP!$D$4-$D225)^2))</f>
        <v>10.12926453401233</v>
      </c>
      <c r="J225" s="17">
        <f>SQRT((4*(HSP!$B$5-$B225)^2+(HSP!$C$5-$C225)^2+(HSP!$D$5-$D225)^2))</f>
        <v>17.457345158986804</v>
      </c>
      <c r="K225" s="17">
        <f>SQRT((4*(HSP!$B$6-$B225)^2+(HSP!$C$6-$C225)^2+(HSP!$D$6-$D225)^2))</f>
        <v>9.6862273357587494</v>
      </c>
      <c r="L225" s="17" t="s">
        <v>35</v>
      </c>
      <c r="M225" s="17" t="s">
        <v>35</v>
      </c>
      <c r="N225" s="17" t="s">
        <v>35</v>
      </c>
      <c r="O225" s="17" t="s">
        <v>35</v>
      </c>
      <c r="P225" s="17" t="s">
        <v>35</v>
      </c>
      <c r="Q225" s="17">
        <f>$G225/HSP!$E$2</f>
        <v>0.88728710526314236</v>
      </c>
      <c r="R225" s="17">
        <f>$H225/HSP!$E$3</f>
        <v>0.90848884914789307</v>
      </c>
      <c r="S225" s="17">
        <f>$I225/HSP!$E$4</f>
        <v>0.63706066251649873</v>
      </c>
      <c r="T225" s="17">
        <f>$J225/HSP!$E$5</f>
        <v>1.2742587707289639</v>
      </c>
      <c r="U225" s="17">
        <f>$K225/HSP!$E$6</f>
        <v>0.65447481998369927</v>
      </c>
      <c r="V225" s="12"/>
      <c r="W225" s="12"/>
      <c r="X225" s="12"/>
      <c r="Y225" s="12"/>
      <c r="Z225" s="12"/>
    </row>
    <row r="226" spans="1:26" ht="15" customHeight="1" x14ac:dyDescent="0.3">
      <c r="A226" s="26" t="s">
        <v>363</v>
      </c>
      <c r="B226" s="17">
        <v>19.100000000000001</v>
      </c>
      <c r="C226" s="17">
        <v>7.3</v>
      </c>
      <c r="D226" s="17">
        <v>4.9000000000000004</v>
      </c>
      <c r="E226" s="17" t="s">
        <v>35</v>
      </c>
      <c r="F226" s="22">
        <v>163</v>
      </c>
      <c r="G226" s="17">
        <f>SQRT((4*(HSP!$B$2-$B226)^2+(HSP!$C$2-$C226)^2+(HSP!$D$2-$D226)^2))</f>
        <v>9.7627864874737522</v>
      </c>
      <c r="H226" s="17">
        <f>SQRT((4*(HSP!$B$3-$B226)^2+(HSP!$C$3-$C226)^2+(HSP!$D$3-$D226)^2))</f>
        <v>7.2751907191495713</v>
      </c>
      <c r="I226" s="17">
        <f>SQRT((4*(HSP!$B$4-$B226)^2+(HSP!$C$4-$C226)^2+(HSP!$D$4-$D226)^2))</f>
        <v>8.5002352908610739</v>
      </c>
      <c r="J226" s="17">
        <f>SQRT((4*(HSP!$B$5-$B226)^2+(HSP!$C$5-$C226)^2+(HSP!$D$5-$D226)^2))</f>
        <v>11.154053075003725</v>
      </c>
      <c r="K226" s="17">
        <f>SQRT((4*(HSP!$B$6-$B226)^2+(HSP!$C$6-$C226)^2+(HSP!$D$6-$D226)^2))</f>
        <v>7.7804241529623601</v>
      </c>
      <c r="L226" s="17" t="s">
        <v>35</v>
      </c>
      <c r="M226" s="17" t="s">
        <v>35</v>
      </c>
      <c r="N226" s="17" t="s">
        <v>35</v>
      </c>
      <c r="O226" s="17" t="s">
        <v>35</v>
      </c>
      <c r="P226" s="17" t="s">
        <v>35</v>
      </c>
      <c r="Q226" s="17">
        <f>$G226/HSP!$E$2</f>
        <v>0.59894395628673325</v>
      </c>
      <c r="R226" s="17">
        <f>$H226/HSP!$E$3</f>
        <v>0.53890301623330161</v>
      </c>
      <c r="S226" s="17">
        <f>$I226/HSP!$E$4</f>
        <v>0.53460599313591661</v>
      </c>
      <c r="T226" s="17">
        <f>$J226/HSP!$E$5</f>
        <v>0.81416445802946902</v>
      </c>
      <c r="U226" s="17">
        <f>$K226/HSP!$E$6</f>
        <v>0.52570433465961885</v>
      </c>
      <c r="V226" s="12"/>
      <c r="W226" s="12"/>
      <c r="X226" s="12"/>
      <c r="Y226" s="12"/>
      <c r="Z226" s="12"/>
    </row>
    <row r="227" spans="1:26" ht="15" customHeight="1" x14ac:dyDescent="0.3">
      <c r="A227" s="26" t="s">
        <v>364</v>
      </c>
      <c r="B227" s="17">
        <v>16.600000000000001</v>
      </c>
      <c r="C227" s="17">
        <v>5.3</v>
      </c>
      <c r="D227" s="17">
        <v>11.1</v>
      </c>
      <c r="E227" s="17" t="s">
        <v>35</v>
      </c>
      <c r="F227" s="22">
        <v>169.5</v>
      </c>
      <c r="G227" s="17">
        <f>SQRT((4*(HSP!$B$2-$B227)^2+(HSP!$C$2-$C227)^2+(HSP!$D$2-$D227)^2))</f>
        <v>7.7201036262475142</v>
      </c>
      <c r="H227" s="17">
        <f>SQRT((4*(HSP!$B$3-$B227)^2+(HSP!$C$3-$C227)^2+(HSP!$D$3-$D227)^2))</f>
        <v>7.0852240613829576</v>
      </c>
      <c r="I227" s="17">
        <f>SQRT((4*(HSP!$B$4-$B227)^2+(HSP!$C$4-$C227)^2+(HSP!$D$4-$D227)^2))</f>
        <v>5.2013459796479617</v>
      </c>
      <c r="J227" s="17">
        <f>SQRT((4*(HSP!$B$5-$B227)^2+(HSP!$C$5-$C227)^2+(HSP!$D$5-$D227)^2))</f>
        <v>7.8842184140217748</v>
      </c>
      <c r="K227" s="17">
        <f>SQRT((4*(HSP!$B$6-$B227)^2+(HSP!$C$6-$C227)^2+(HSP!$D$6-$D227)^2))</f>
        <v>7.8048062115596455</v>
      </c>
      <c r="L227" s="17" t="s">
        <v>35</v>
      </c>
      <c r="M227" s="17" t="s">
        <v>35</v>
      </c>
      <c r="N227" s="17" t="s">
        <v>35</v>
      </c>
      <c r="O227" s="17" t="s">
        <v>35</v>
      </c>
      <c r="P227" s="17" t="s">
        <v>35</v>
      </c>
      <c r="Q227" s="17">
        <f>$G227/HSP!$E$2</f>
        <v>0.47362598934033828</v>
      </c>
      <c r="R227" s="17">
        <f>$H227/HSP!$E$3</f>
        <v>0.52483141195429317</v>
      </c>
      <c r="S227" s="17">
        <f>$I227/HSP!$E$4</f>
        <v>0.32712867796528061</v>
      </c>
      <c r="T227" s="17">
        <f>$J227/HSP!$E$5</f>
        <v>0.57549039518407119</v>
      </c>
      <c r="U227" s="17">
        <f>$K227/HSP!$E$6</f>
        <v>0.52735177105132736</v>
      </c>
      <c r="V227" s="12"/>
      <c r="W227" s="12"/>
      <c r="X227" s="12"/>
      <c r="Y227" s="12"/>
      <c r="Z227" s="12"/>
    </row>
    <row r="228" spans="1:26" ht="15" customHeight="1" x14ac:dyDescent="0.3">
      <c r="A228" s="26" t="s">
        <v>364</v>
      </c>
      <c r="B228" s="17">
        <v>16.600000000000001</v>
      </c>
      <c r="C228" s="17">
        <v>5.3</v>
      </c>
      <c r="D228" s="17">
        <v>11.1</v>
      </c>
      <c r="E228" s="17" t="s">
        <v>35</v>
      </c>
      <c r="F228" s="22">
        <v>169.5</v>
      </c>
      <c r="G228" s="17">
        <f>SQRT((4*(HSP!$B$2-$B228)^2+(HSP!$C$2-$C228)^2+(HSP!$D$2-$D228)^2))</f>
        <v>7.7201036262475142</v>
      </c>
      <c r="H228" s="17">
        <f>SQRT((4*(HSP!$B$3-$B228)^2+(HSP!$C$3-$C228)^2+(HSP!$D$3-$D228)^2))</f>
        <v>7.0852240613829576</v>
      </c>
      <c r="I228" s="17">
        <f>SQRT((4*(HSP!$B$4-$B228)^2+(HSP!$C$4-$C228)^2+(HSP!$D$4-$D228)^2))</f>
        <v>5.2013459796479617</v>
      </c>
      <c r="J228" s="17">
        <f>SQRT((4*(HSP!$B$5-$B228)^2+(HSP!$C$5-$C228)^2+(HSP!$D$5-$D228)^2))</f>
        <v>7.8842184140217748</v>
      </c>
      <c r="K228" s="17">
        <f>SQRT((4*(HSP!$B$6-$B228)^2+(HSP!$C$6-$C228)^2+(HSP!$D$6-$D228)^2))</f>
        <v>7.8048062115596455</v>
      </c>
      <c r="L228" s="17" t="s">
        <v>35</v>
      </c>
      <c r="M228" s="17" t="s">
        <v>35</v>
      </c>
      <c r="N228" s="17" t="s">
        <v>35</v>
      </c>
      <c r="O228" s="17" t="s">
        <v>35</v>
      </c>
      <c r="P228" s="17" t="s">
        <v>35</v>
      </c>
      <c r="Q228" s="17">
        <f>$G228/HSP!$E$2</f>
        <v>0.47362598934033828</v>
      </c>
      <c r="R228" s="17">
        <f>$H228/HSP!$E$3</f>
        <v>0.52483141195429317</v>
      </c>
      <c r="S228" s="17">
        <f>$I228/HSP!$E$4</f>
        <v>0.32712867796528061</v>
      </c>
      <c r="T228" s="17">
        <f>$J228/HSP!$E$5</f>
        <v>0.57549039518407119</v>
      </c>
      <c r="U228" s="17">
        <f>$K228/HSP!$E$6</f>
        <v>0.52735177105132736</v>
      </c>
      <c r="V228" s="12"/>
      <c r="W228" s="12"/>
      <c r="X228" s="12"/>
      <c r="Y228" s="12"/>
      <c r="Z228" s="12"/>
    </row>
    <row r="229" spans="1:26" ht="15" customHeight="1" x14ac:dyDescent="0.3">
      <c r="A229" s="26" t="s">
        <v>365</v>
      </c>
      <c r="B229" s="17">
        <v>19.399999999999999</v>
      </c>
      <c r="C229" s="17">
        <v>10.5</v>
      </c>
      <c r="D229" s="17">
        <v>5</v>
      </c>
      <c r="E229" s="17" t="s">
        <v>35</v>
      </c>
      <c r="F229" s="22">
        <v>133.5</v>
      </c>
      <c r="G229" s="17">
        <f>SQRT((4*(HSP!$B$2-$B229)^2+(HSP!$C$2-$C229)^2+(HSP!$D$2-$D229)^2))</f>
        <v>9.8021426229166835</v>
      </c>
      <c r="H229" s="17">
        <f>SQRT((4*(HSP!$B$3-$B229)^2+(HSP!$C$3-$C229)^2+(HSP!$D$3-$D229)^2))</f>
        <v>7.5122832747441022</v>
      </c>
      <c r="I229" s="17">
        <f>SQRT((4*(HSP!$B$4-$B229)^2+(HSP!$C$4-$C229)^2+(HSP!$D$4-$D229)^2))</f>
        <v>10.425161869246921</v>
      </c>
      <c r="J229" s="17">
        <f>SQRT((4*(HSP!$B$5-$B229)^2+(HSP!$C$5-$C229)^2+(HSP!$D$5-$D229)^2))</f>
        <v>10.4077327021787</v>
      </c>
      <c r="K229" s="17">
        <f>SQRT((4*(HSP!$B$6-$B229)^2+(HSP!$C$6-$C229)^2+(HSP!$D$6-$D229)^2))</f>
        <v>9.2798168085366832</v>
      </c>
      <c r="L229" s="17" t="s">
        <v>35</v>
      </c>
      <c r="M229" s="17" t="s">
        <v>35</v>
      </c>
      <c r="N229" s="17" t="s">
        <v>35</v>
      </c>
      <c r="O229" s="17" t="s">
        <v>35</v>
      </c>
      <c r="P229" s="17" t="s">
        <v>35</v>
      </c>
      <c r="Q229" s="17">
        <f>$G229/HSP!$E$2</f>
        <v>0.60135844312372289</v>
      </c>
      <c r="R229" s="17">
        <f>$H229/HSP!$E$3</f>
        <v>0.55646542775882235</v>
      </c>
      <c r="S229" s="17">
        <f>$I229/HSP!$E$4</f>
        <v>0.65567055781427175</v>
      </c>
      <c r="T229" s="17">
        <f>$J229/HSP!$E$5</f>
        <v>0.75968851840720442</v>
      </c>
      <c r="U229" s="17">
        <f>$K229/HSP!$E$6</f>
        <v>0.62701464922545158</v>
      </c>
      <c r="V229" s="12"/>
      <c r="W229" s="12"/>
      <c r="X229" s="12"/>
      <c r="Y229" s="12"/>
      <c r="Z229" s="12"/>
    </row>
    <row r="230" spans="1:26" ht="15" customHeight="1" x14ac:dyDescent="0.3">
      <c r="A230" s="26" t="s">
        <v>366</v>
      </c>
      <c r="B230" s="17">
        <v>19</v>
      </c>
      <c r="C230" s="17">
        <v>2.6</v>
      </c>
      <c r="D230" s="17">
        <v>9.3000000000000007</v>
      </c>
      <c r="E230" s="17" t="s">
        <v>35</v>
      </c>
      <c r="F230" s="22">
        <v>224.1</v>
      </c>
      <c r="G230" s="17">
        <f>SQRT((4*(HSP!$B$2-$B230)^2+(HSP!$C$2-$C230)^2+(HSP!$D$2-$D230)^2))</f>
        <v>12.02505717242126</v>
      </c>
      <c r="H230" s="17">
        <f>SQRT((4*(HSP!$B$3-$B230)^2+(HSP!$C$3-$C230)^2+(HSP!$D$3-$D230)^2))</f>
        <v>10.284862663156957</v>
      </c>
      <c r="I230" s="17">
        <f>SQRT((4*(HSP!$B$4-$B230)^2+(HSP!$C$4-$C230)^2+(HSP!$D$4-$D230)^2))</f>
        <v>8.321778656032615</v>
      </c>
      <c r="J230" s="17">
        <f>SQRT((4*(HSP!$B$5-$B230)^2+(HSP!$C$5-$C230)^2+(HSP!$D$5-$D230)^2))</f>
        <v>12.677653568385596</v>
      </c>
      <c r="K230" s="17">
        <f>SQRT((4*(HSP!$B$6-$B230)^2+(HSP!$C$6-$C230)^2+(HSP!$D$6-$D230)^2))</f>
        <v>10.001149933882605</v>
      </c>
      <c r="L230" s="17" t="s">
        <v>35</v>
      </c>
      <c r="M230" s="17" t="s">
        <v>35</v>
      </c>
      <c r="N230" s="17" t="s">
        <v>35</v>
      </c>
      <c r="O230" s="17" t="s">
        <v>35</v>
      </c>
      <c r="P230" s="17" t="s">
        <v>35</v>
      </c>
      <c r="Q230" s="17">
        <f>$G230/HSP!$E$2</f>
        <v>0.73773356886019992</v>
      </c>
      <c r="R230" s="17">
        <f>$H230/HSP!$E$3</f>
        <v>0.76184167875236719</v>
      </c>
      <c r="S230" s="17">
        <f>$I230/HSP!$E$4</f>
        <v>0.52338230541085629</v>
      </c>
      <c r="T230" s="17">
        <f>$J230/HSP!$E$5</f>
        <v>0.92537617287486107</v>
      </c>
      <c r="U230" s="17">
        <f>$K230/HSP!$E$6</f>
        <v>0.67575337391098678</v>
      </c>
      <c r="V230" s="12"/>
      <c r="W230" s="12"/>
      <c r="X230" s="12"/>
      <c r="Y230" s="12"/>
      <c r="Z230" s="12"/>
    </row>
    <row r="231" spans="1:26" ht="15" customHeight="1" x14ac:dyDescent="0.3">
      <c r="A231" s="26" t="s">
        <v>367</v>
      </c>
      <c r="B231" s="17">
        <v>16.600000000000001</v>
      </c>
      <c r="C231" s="17">
        <v>4.7</v>
      </c>
      <c r="D231" s="17">
        <v>10.6</v>
      </c>
      <c r="E231" s="17" t="s">
        <v>35</v>
      </c>
      <c r="F231" s="22">
        <v>175.6</v>
      </c>
      <c r="G231" s="17">
        <f>SQRT((4*(HSP!$B$2-$B231)^2+(HSP!$C$2-$C231)^2+(HSP!$D$2-$D231)^2))</f>
        <v>7.8918945760824775</v>
      </c>
      <c r="H231" s="17">
        <f>SQRT((4*(HSP!$B$3-$B231)^2+(HSP!$C$3-$C231)^2+(HSP!$D$3-$D231)^2))</f>
        <v>7.1247736806161086</v>
      </c>
      <c r="I231" s="17">
        <f>SQRT((4*(HSP!$B$4-$B231)^2+(HSP!$C$4-$C231)^2+(HSP!$D$4-$D231)^2))</f>
        <v>4.7560487802376477</v>
      </c>
      <c r="J231" s="17">
        <f>SQRT((4*(HSP!$B$5-$B231)^2+(HSP!$C$5-$C231)^2+(HSP!$D$5-$D231)^2))</f>
        <v>8.4560570007539582</v>
      </c>
      <c r="K231" s="17">
        <f>SQRT((4*(HSP!$B$6-$B231)^2+(HSP!$C$6-$C231)^2+(HSP!$D$6-$D231)^2))</f>
        <v>7.4586191751556816</v>
      </c>
      <c r="L231" s="17" t="s">
        <v>35</v>
      </c>
      <c r="M231" s="17" t="s">
        <v>35</v>
      </c>
      <c r="N231" s="17" t="s">
        <v>35</v>
      </c>
      <c r="O231" s="17" t="s">
        <v>35</v>
      </c>
      <c r="P231" s="17" t="s">
        <v>35</v>
      </c>
      <c r="Q231" s="17">
        <f>$G231/HSP!$E$2</f>
        <v>0.48416531141610292</v>
      </c>
      <c r="R231" s="17">
        <f>$H231/HSP!$E$3</f>
        <v>0.52776101337897097</v>
      </c>
      <c r="S231" s="17">
        <f>$I231/HSP!$E$4</f>
        <v>0.29912256479482058</v>
      </c>
      <c r="T231" s="17">
        <f>$J231/HSP!$E$5</f>
        <v>0.61723043801123789</v>
      </c>
      <c r="U231" s="17">
        <f>$K231/HSP!$E$6</f>
        <v>0.50396075507808658</v>
      </c>
      <c r="V231" s="12"/>
      <c r="W231" s="12"/>
      <c r="X231" s="12"/>
      <c r="Y231" s="12"/>
      <c r="Z231" s="12"/>
    </row>
    <row r="232" spans="1:26" ht="15" customHeight="1" x14ac:dyDescent="0.3">
      <c r="A232" s="26" t="s">
        <v>368</v>
      </c>
      <c r="B232" s="17">
        <v>19</v>
      </c>
      <c r="C232" s="17">
        <v>7.2</v>
      </c>
      <c r="D232" s="17">
        <v>12.3</v>
      </c>
      <c r="E232" s="17" t="s">
        <v>35</v>
      </c>
      <c r="F232" s="22">
        <v>125.3</v>
      </c>
      <c r="G232" s="17">
        <f>SQRT((4*(HSP!$B$2-$B232)^2+(HSP!$C$2-$C232)^2+(HSP!$D$2-$D232)^2))</f>
        <v>10.787492757819123</v>
      </c>
      <c r="H232" s="17">
        <f>SQRT((4*(HSP!$B$3-$B232)^2+(HSP!$C$3-$C232)^2+(HSP!$D$3-$D232)^2))</f>
        <v>9.5846961349851902</v>
      </c>
      <c r="I232" s="17">
        <f>SQRT((4*(HSP!$B$4-$B232)^2+(HSP!$C$4-$C232)^2+(HSP!$D$4-$D232)^2))</f>
        <v>9.7609425774358503</v>
      </c>
      <c r="J232" s="17">
        <f>SQRT((4*(HSP!$B$5-$B232)^2+(HSP!$C$5-$C232)^2+(HSP!$D$5-$D232)^2))</f>
        <v>9.3807728892666411</v>
      </c>
      <c r="K232" s="17">
        <f>SQRT((4*(HSP!$B$6-$B232)^2+(HSP!$C$6-$C232)^2+(HSP!$D$6-$D232)^2))</f>
        <v>11.298097184924549</v>
      </c>
      <c r="L232" s="17" t="s">
        <v>35</v>
      </c>
      <c r="M232" s="17" t="s">
        <v>35</v>
      </c>
      <c r="N232" s="17" t="s">
        <v>35</v>
      </c>
      <c r="O232" s="17" t="s">
        <v>35</v>
      </c>
      <c r="P232" s="17" t="s">
        <v>35</v>
      </c>
      <c r="Q232" s="17">
        <f>$G232/HSP!$E$2</f>
        <v>0.66180937164534492</v>
      </c>
      <c r="R232" s="17">
        <f>$H232/HSP!$E$3</f>
        <v>0.70997749148038447</v>
      </c>
      <c r="S232" s="17">
        <f>$I232/HSP!$E$4</f>
        <v>0.61389575958716036</v>
      </c>
      <c r="T232" s="17">
        <f>$J232/HSP!$E$5</f>
        <v>0.68472794812165272</v>
      </c>
      <c r="U232" s="17">
        <f>$K232/HSP!$E$6</f>
        <v>0.76338494492733433</v>
      </c>
      <c r="V232" s="12"/>
      <c r="W232" s="12"/>
      <c r="X232" s="12"/>
      <c r="Y232" s="12"/>
      <c r="Z232" s="12"/>
    </row>
    <row r="233" spans="1:26" ht="15" customHeight="1" x14ac:dyDescent="0.3">
      <c r="A233" s="26" t="s">
        <v>369</v>
      </c>
      <c r="B233" s="17">
        <v>18.8</v>
      </c>
      <c r="C233" s="17">
        <v>6</v>
      </c>
      <c r="D233" s="17">
        <v>3.7</v>
      </c>
      <c r="E233" s="17" t="s">
        <v>35</v>
      </c>
      <c r="F233" s="22">
        <v>156.5</v>
      </c>
      <c r="G233" s="17">
        <f>SQRT((4*(HSP!$B$2-$B233)^2+(HSP!$C$2-$C233)^2+(HSP!$D$2-$D233)^2))</f>
        <v>10.060318086422518</v>
      </c>
      <c r="H233" s="17">
        <f>SQRT((4*(HSP!$B$3-$B233)^2+(HSP!$C$3-$C233)^2+(HSP!$D$3-$D233)^2))</f>
        <v>7.5218614717369014</v>
      </c>
      <c r="I233" s="17">
        <f>SQRT((4*(HSP!$B$4-$B233)^2+(HSP!$C$4-$C233)^2+(HSP!$D$4-$D233)^2))</f>
        <v>8.0037491215054963</v>
      </c>
      <c r="J233" s="17">
        <f>SQRT((4*(HSP!$B$5-$B233)^2+(HSP!$C$5-$C233)^2+(HSP!$D$5-$D233)^2))</f>
        <v>12.135687042767708</v>
      </c>
      <c r="K233" s="17">
        <f>SQRT((4*(HSP!$B$6-$B233)^2+(HSP!$C$6-$C233)^2+(HSP!$D$6-$D233)^2))</f>
        <v>7.0746731373258536</v>
      </c>
      <c r="L233" s="17" t="s">
        <v>35</v>
      </c>
      <c r="M233" s="17" t="s">
        <v>35</v>
      </c>
      <c r="N233" s="17" t="s">
        <v>35</v>
      </c>
      <c r="O233" s="17" t="s">
        <v>35</v>
      </c>
      <c r="P233" s="17" t="s">
        <v>35</v>
      </c>
      <c r="Q233" s="17">
        <f>$G233/HSP!$E$2</f>
        <v>0.61719742861487836</v>
      </c>
      <c r="R233" s="17">
        <f>$H233/HSP!$E$3</f>
        <v>0.55717492383236311</v>
      </c>
      <c r="S233" s="17">
        <f>$I233/HSP!$E$4</f>
        <v>0.5033804478934274</v>
      </c>
      <c r="T233" s="17">
        <f>$J233/HSP!$E$5</f>
        <v>0.88581657246479628</v>
      </c>
      <c r="U233" s="17">
        <f>$K233/HSP!$E$6</f>
        <v>0.47801845522471981</v>
      </c>
      <c r="V233" s="12"/>
      <c r="W233" s="12"/>
      <c r="X233" s="12"/>
      <c r="Y233" s="12"/>
      <c r="Z233" s="12"/>
    </row>
    <row r="234" spans="1:26" ht="15" customHeight="1" x14ac:dyDescent="0.3">
      <c r="A234" s="26" t="s">
        <v>370</v>
      </c>
      <c r="B234" s="17">
        <v>19.399999999999999</v>
      </c>
      <c r="C234" s="17">
        <v>8.6</v>
      </c>
      <c r="D234" s="17">
        <v>5.3</v>
      </c>
      <c r="E234" s="17" t="s">
        <v>35</v>
      </c>
      <c r="F234" s="22">
        <v>117</v>
      </c>
      <c r="G234" s="17">
        <f>SQRT((4*(HSP!$B$2-$B234)^2+(HSP!$C$2-$C234)^2+(HSP!$D$2-$D234)^2))</f>
        <v>9.921794192584322</v>
      </c>
      <c r="H234" s="17">
        <f>SQRT((4*(HSP!$B$3-$B234)^2+(HSP!$C$3-$C234)^2+(HSP!$D$3-$D234)^2))</f>
        <v>7.513348121842883</v>
      </c>
      <c r="I234" s="17">
        <f>SQRT((4*(HSP!$B$4-$B234)^2+(HSP!$C$4-$C234)^2+(HSP!$D$4-$D234)^2))</f>
        <v>9.4439398558017071</v>
      </c>
      <c r="J234" s="17">
        <f>SQRT((4*(HSP!$B$5-$B234)^2+(HSP!$C$5-$C234)^2+(HSP!$D$5-$D234)^2))</f>
        <v>10.811979467239103</v>
      </c>
      <c r="K234" s="17">
        <f>SQRT((4*(HSP!$B$6-$B234)^2+(HSP!$C$6-$C234)^2+(HSP!$D$6-$D234)^2))</f>
        <v>8.6625054112537185</v>
      </c>
      <c r="L234" s="17" t="s">
        <v>35</v>
      </c>
      <c r="M234" s="17" t="s">
        <v>35</v>
      </c>
      <c r="N234" s="17" t="s">
        <v>35</v>
      </c>
      <c r="O234" s="17" t="s">
        <v>35</v>
      </c>
      <c r="P234" s="17" t="s">
        <v>35</v>
      </c>
      <c r="Q234" s="17">
        <f>$G234/HSP!$E$2</f>
        <v>0.60869903021989702</v>
      </c>
      <c r="R234" s="17">
        <f>$H234/HSP!$E$3</f>
        <v>0.55654430532169508</v>
      </c>
      <c r="S234" s="17">
        <f>$I234/HSP!$E$4</f>
        <v>0.59395848149696273</v>
      </c>
      <c r="T234" s="17">
        <f>$J234/HSP!$E$5</f>
        <v>0.78919558155029956</v>
      </c>
      <c r="U234" s="17">
        <f>$K234/HSP!$E$6</f>
        <v>0.58530441967930524</v>
      </c>
      <c r="V234" s="12"/>
      <c r="W234" s="12"/>
      <c r="X234" s="12"/>
      <c r="Y234" s="12"/>
      <c r="Z234" s="12"/>
    </row>
    <row r="235" spans="1:26" ht="15" customHeight="1" x14ac:dyDescent="0.3">
      <c r="A235" s="26" t="s">
        <v>371</v>
      </c>
      <c r="B235" s="17">
        <v>18.5</v>
      </c>
      <c r="C235" s="17">
        <v>6.3</v>
      </c>
      <c r="D235" s="17">
        <v>4.9000000000000004</v>
      </c>
      <c r="E235" s="17" t="s">
        <v>35</v>
      </c>
      <c r="F235" s="22">
        <v>165.6</v>
      </c>
      <c r="G235" s="17">
        <f>SQRT((4*(HSP!$B$2-$B235)^2+(HSP!$C$2-$C235)^2+(HSP!$D$2-$D235)^2))</f>
        <v>9.081409582217951</v>
      </c>
      <c r="H235" s="17">
        <f>SQRT((4*(HSP!$B$3-$B235)^2+(HSP!$C$3-$C235)^2+(HSP!$D$3-$D235)^2))</f>
        <v>6.6121403493876336</v>
      </c>
      <c r="I235" s="17">
        <f>SQRT((4*(HSP!$B$4-$B235)^2+(HSP!$C$4-$C235)^2+(HSP!$D$4-$D235)^2))</f>
        <v>7.1126647608333124</v>
      </c>
      <c r="J235" s="17">
        <f>SQRT((4*(HSP!$B$5-$B235)^2+(HSP!$C$5-$C235)^2+(HSP!$D$5-$D235)^2))</f>
        <v>10.922861346735115</v>
      </c>
      <c r="K235" s="17">
        <f>SQRT((4*(HSP!$B$6-$B235)^2+(HSP!$C$6-$C235)^2+(HSP!$D$6-$D235)^2))</f>
        <v>6.5460675218026898</v>
      </c>
      <c r="L235" s="17" t="s">
        <v>35</v>
      </c>
      <c r="M235" s="17" t="s">
        <v>35</v>
      </c>
      <c r="N235" s="17" t="s">
        <v>35</v>
      </c>
      <c r="O235" s="17" t="s">
        <v>35</v>
      </c>
      <c r="P235" s="17" t="s">
        <v>35</v>
      </c>
      <c r="Q235" s="17">
        <f>$G235/HSP!$E$2</f>
        <v>0.55714169216061049</v>
      </c>
      <c r="R235" s="17">
        <f>$H235/HSP!$E$3</f>
        <v>0.48978817402871361</v>
      </c>
      <c r="S235" s="17">
        <f>$I235/HSP!$E$4</f>
        <v>0.44733740634171776</v>
      </c>
      <c r="T235" s="17">
        <f>$J235/HSP!$E$5</f>
        <v>0.79728914939672368</v>
      </c>
      <c r="U235" s="17">
        <f>$K235/HSP!$E$6</f>
        <v>0.44230185958126278</v>
      </c>
      <c r="V235" s="12"/>
      <c r="W235" s="12"/>
      <c r="X235" s="12"/>
      <c r="Y235" s="12"/>
      <c r="Z235" s="12"/>
    </row>
    <row r="236" spans="1:26" ht="15" customHeight="1" x14ac:dyDescent="0.3">
      <c r="A236" s="26" t="s">
        <v>372</v>
      </c>
      <c r="B236" s="17">
        <v>18.899999999999999</v>
      </c>
      <c r="C236" s="17">
        <v>5.6</v>
      </c>
      <c r="D236" s="17">
        <v>3.9</v>
      </c>
      <c r="E236" s="17" t="s">
        <v>35</v>
      </c>
      <c r="F236" s="22">
        <v>147</v>
      </c>
      <c r="G236" s="17">
        <f>SQRT((4*(HSP!$B$2-$B236)^2+(HSP!$C$2-$C236)^2+(HSP!$D$2-$D236)^2))</f>
        <v>10.347270171402696</v>
      </c>
      <c r="H236" s="17">
        <f>SQRT((4*(HSP!$B$3-$B236)^2+(HSP!$C$3-$C236)^2+(HSP!$D$3-$D236)^2))</f>
        <v>7.8349473514504222</v>
      </c>
      <c r="I236" s="17">
        <f>SQRT((4*(HSP!$B$4-$B236)^2+(HSP!$C$4-$C236)^2+(HSP!$D$4-$D236)^2))</f>
        <v>8.0565501301735818</v>
      </c>
      <c r="J236" s="17">
        <f>SQRT((4*(HSP!$B$5-$B236)^2+(HSP!$C$5-$C236)^2+(HSP!$D$5-$D236)^2))</f>
        <v>12.362155960834663</v>
      </c>
      <c r="K236" s="17">
        <f>SQRT((4*(HSP!$B$6-$B236)^2+(HSP!$C$6-$C236)^2+(HSP!$D$6-$D236)^2))</f>
        <v>7.3074619396887703</v>
      </c>
      <c r="L236" s="17" t="s">
        <v>35</v>
      </c>
      <c r="M236" s="17" t="s">
        <v>35</v>
      </c>
      <c r="N236" s="17" t="s">
        <v>35</v>
      </c>
      <c r="O236" s="17" t="s">
        <v>35</v>
      </c>
      <c r="P236" s="17" t="s">
        <v>35</v>
      </c>
      <c r="Q236" s="17">
        <f>$G236/HSP!$E$2</f>
        <v>0.63480185100630038</v>
      </c>
      <c r="R236" s="17">
        <f>$H236/HSP!$E$3</f>
        <v>0.58036647047780909</v>
      </c>
      <c r="S236" s="17">
        <f>$I236/HSP!$E$4</f>
        <v>0.50670126604865295</v>
      </c>
      <c r="T236" s="17">
        <f>$J236/HSP!$E$5</f>
        <v>0.90234715042588787</v>
      </c>
      <c r="U236" s="17">
        <f>$K236/HSP!$E$6</f>
        <v>0.49374742835734931</v>
      </c>
      <c r="V236" s="12"/>
      <c r="W236" s="12"/>
      <c r="X236" s="12"/>
      <c r="Y236" s="12"/>
      <c r="Z236" s="12"/>
    </row>
    <row r="237" spans="1:26" ht="15" customHeight="1" x14ac:dyDescent="0.3">
      <c r="A237" s="26" t="s">
        <v>373</v>
      </c>
      <c r="B237" s="17">
        <v>19</v>
      </c>
      <c r="C237" s="17">
        <v>5.3</v>
      </c>
      <c r="D237" s="17">
        <v>3.4</v>
      </c>
      <c r="E237" s="17" t="s">
        <v>35</v>
      </c>
      <c r="F237" s="22">
        <v>209.5</v>
      </c>
      <c r="G237" s="17">
        <f>SQRT((4*(HSP!$B$2-$B237)^2+(HSP!$C$2-$C237)^2+(HSP!$D$2-$D237)^2))</f>
        <v>10.811197898475452</v>
      </c>
      <c r="H237" s="17">
        <f>SQRT((4*(HSP!$B$3-$B237)^2+(HSP!$C$3-$C237)^2+(HSP!$D$3-$D237)^2))</f>
        <v>8.2879671814022053</v>
      </c>
      <c r="I237" s="17">
        <f>SQRT((4*(HSP!$B$4-$B237)^2+(HSP!$C$4-$C237)^2+(HSP!$D$4-$D237)^2))</f>
        <v>8.4035706696617964</v>
      </c>
      <c r="J237" s="17">
        <f>SQRT((4*(HSP!$B$5-$B237)^2+(HSP!$C$5-$C237)^2+(HSP!$D$5-$D237)^2))</f>
        <v>12.93865912681836</v>
      </c>
      <c r="K237" s="17">
        <f>SQRT((4*(HSP!$B$6-$B237)^2+(HSP!$C$6-$C237)^2+(HSP!$D$6-$D237)^2))</f>
        <v>7.5585051432144974</v>
      </c>
      <c r="L237" s="17" t="s">
        <v>35</v>
      </c>
      <c r="M237" s="17" t="s">
        <v>35</v>
      </c>
      <c r="N237" s="17" t="s">
        <v>35</v>
      </c>
      <c r="O237" s="17" t="s">
        <v>35</v>
      </c>
      <c r="P237" s="17" t="s">
        <v>35</v>
      </c>
      <c r="Q237" s="17">
        <f>$G237/HSP!$E$2</f>
        <v>0.66326367475309522</v>
      </c>
      <c r="R237" s="17">
        <f>$H237/HSP!$E$3</f>
        <v>0.61392349491868192</v>
      </c>
      <c r="S237" s="17">
        <f>$I237/HSP!$E$4</f>
        <v>0.52852645721143376</v>
      </c>
      <c r="T237" s="17">
        <f>$J237/HSP!$E$5</f>
        <v>0.94442767349039125</v>
      </c>
      <c r="U237" s="17">
        <f>$K237/HSP!$E$6</f>
        <v>0.51070980697395252</v>
      </c>
      <c r="V237" s="12"/>
      <c r="W237" s="12"/>
      <c r="X237" s="12"/>
      <c r="Y237" s="12"/>
      <c r="Z237" s="12"/>
    </row>
    <row r="238" spans="1:26" ht="15" customHeight="1" x14ac:dyDescent="0.3">
      <c r="A238" s="26" t="s">
        <v>374</v>
      </c>
      <c r="B238" s="17">
        <v>19</v>
      </c>
      <c r="C238" s="17">
        <v>4.7</v>
      </c>
      <c r="D238" s="17">
        <v>10.9</v>
      </c>
      <c r="E238" s="17" t="s">
        <v>35</v>
      </c>
      <c r="F238" s="22">
        <v>164.3</v>
      </c>
      <c r="G238" s="17">
        <f>SQRT((4*(HSP!$B$2-$B238)^2+(HSP!$C$2-$C238)^2+(HSP!$D$2-$D238)^2))</f>
        <v>11.224259441049998</v>
      </c>
      <c r="H238" s="17">
        <f>SQRT((4*(HSP!$B$3-$B238)^2+(HSP!$C$3-$C238)^2+(HSP!$D$3-$D238)^2))</f>
        <v>9.7073374310363807</v>
      </c>
      <c r="I238" s="17">
        <f>SQRT((4*(HSP!$B$4-$B238)^2+(HSP!$C$4-$C238)^2+(HSP!$D$4-$D238)^2))</f>
        <v>8.6882679516690793</v>
      </c>
      <c r="J238" s="17">
        <f>SQRT((4*(HSP!$B$5-$B238)^2+(HSP!$C$5-$C238)^2+(HSP!$D$5-$D238)^2))</f>
        <v>10.953214140150827</v>
      </c>
      <c r="K238" s="17">
        <f>SQRT((4*(HSP!$B$6-$B238)^2+(HSP!$C$6-$C238)^2+(HSP!$D$6-$D238)^2))</f>
        <v>10.40898650205677</v>
      </c>
      <c r="L238" s="17" t="s">
        <v>35</v>
      </c>
      <c r="M238" s="17" t="s">
        <v>35</v>
      </c>
      <c r="N238" s="17" t="s">
        <v>35</v>
      </c>
      <c r="O238" s="17" t="s">
        <v>35</v>
      </c>
      <c r="P238" s="17" t="s">
        <v>35</v>
      </c>
      <c r="Q238" s="17">
        <f>$G238/HSP!$E$2</f>
        <v>0.68860487368404899</v>
      </c>
      <c r="R238" s="17">
        <f>$H238/HSP!$E$3</f>
        <v>0.71906203192862084</v>
      </c>
      <c r="S238" s="17">
        <f>$I238/HSP!$E$4</f>
        <v>0.54643194664585404</v>
      </c>
      <c r="T238" s="17">
        <f>$J238/HSP!$E$5</f>
        <v>0.79950468176283418</v>
      </c>
      <c r="U238" s="17">
        <f>$K238/HSP!$E$6</f>
        <v>0.70330989878761951</v>
      </c>
      <c r="V238" s="12"/>
      <c r="W238" s="12"/>
      <c r="X238" s="12"/>
      <c r="Y238" s="12"/>
      <c r="Z238" s="12"/>
    </row>
    <row r="239" spans="1:26" ht="15" customHeight="1" x14ac:dyDescent="0.3">
      <c r="A239" s="26" t="s">
        <v>375</v>
      </c>
      <c r="B239" s="17">
        <v>18.8</v>
      </c>
      <c r="C239" s="17">
        <v>6</v>
      </c>
      <c r="D239" s="17">
        <v>3.7</v>
      </c>
      <c r="E239" s="17" t="s">
        <v>35</v>
      </c>
      <c r="F239" s="22">
        <v>156.5</v>
      </c>
      <c r="G239" s="17">
        <f>SQRT((4*(HSP!$B$2-$B239)^2+(HSP!$C$2-$C239)^2+(HSP!$D$2-$D239)^2))</f>
        <v>10.060318086422518</v>
      </c>
      <c r="H239" s="17">
        <f>SQRT((4*(HSP!$B$3-$B239)^2+(HSP!$C$3-$C239)^2+(HSP!$D$3-$D239)^2))</f>
        <v>7.5218614717369014</v>
      </c>
      <c r="I239" s="17">
        <f>SQRT((4*(HSP!$B$4-$B239)^2+(HSP!$C$4-$C239)^2+(HSP!$D$4-$D239)^2))</f>
        <v>8.0037491215054963</v>
      </c>
      <c r="J239" s="17">
        <f>SQRT((4*(HSP!$B$5-$B239)^2+(HSP!$C$5-$C239)^2+(HSP!$D$5-$D239)^2))</f>
        <v>12.135687042767708</v>
      </c>
      <c r="K239" s="17">
        <f>SQRT((4*(HSP!$B$6-$B239)^2+(HSP!$C$6-$C239)^2+(HSP!$D$6-$D239)^2))</f>
        <v>7.0746731373258536</v>
      </c>
      <c r="L239" s="17" t="s">
        <v>35</v>
      </c>
      <c r="M239" s="17" t="s">
        <v>35</v>
      </c>
      <c r="N239" s="17" t="s">
        <v>35</v>
      </c>
      <c r="O239" s="17" t="s">
        <v>35</v>
      </c>
      <c r="P239" s="17" t="s">
        <v>35</v>
      </c>
      <c r="Q239" s="17">
        <f>$G239/HSP!$E$2</f>
        <v>0.61719742861487836</v>
      </c>
      <c r="R239" s="17">
        <f>$H239/HSP!$E$3</f>
        <v>0.55717492383236311</v>
      </c>
      <c r="S239" s="17">
        <f>$I239/HSP!$E$4</f>
        <v>0.5033804478934274</v>
      </c>
      <c r="T239" s="17">
        <f>$J239/HSP!$E$5</f>
        <v>0.88581657246479628</v>
      </c>
      <c r="U239" s="17">
        <f>$K239/HSP!$E$6</f>
        <v>0.47801845522471981</v>
      </c>
      <c r="V239" s="12"/>
      <c r="W239" s="12"/>
      <c r="X239" s="12"/>
      <c r="Y239" s="12"/>
      <c r="Z239" s="12"/>
    </row>
    <row r="240" spans="1:26" ht="15" customHeight="1" x14ac:dyDescent="0.3">
      <c r="A240" s="26" t="s">
        <v>376</v>
      </c>
      <c r="B240" s="17">
        <v>19</v>
      </c>
      <c r="C240" s="17">
        <v>5.0999999999999996</v>
      </c>
      <c r="D240" s="17">
        <v>3.3</v>
      </c>
      <c r="E240" s="17" t="s">
        <v>35</v>
      </c>
      <c r="F240" s="22">
        <v>222.2</v>
      </c>
      <c r="G240" s="17">
        <f>SQRT((4*(HSP!$B$2-$B240)^2+(HSP!$C$2-$C240)^2+(HSP!$D$2-$D240)^2))</f>
        <v>10.941297912039506</v>
      </c>
      <c r="H240" s="17">
        <f>SQRT((4*(HSP!$B$3-$B240)^2+(HSP!$C$3-$C240)^2+(HSP!$D$3-$D240)^2))</f>
        <v>8.4242744494704134</v>
      </c>
      <c r="I240" s="17">
        <f>SQRT((4*(HSP!$B$4-$B240)^2+(HSP!$C$4-$C240)^2+(HSP!$D$4-$D240)^2))</f>
        <v>8.4322001873769583</v>
      </c>
      <c r="J240" s="17">
        <f>SQRT((4*(HSP!$B$5-$B240)^2+(HSP!$C$5-$C240)^2+(HSP!$D$5-$D240)^2))</f>
        <v>13.112318635542687</v>
      </c>
      <c r="K240" s="17">
        <f>SQRT((4*(HSP!$B$6-$B240)^2+(HSP!$C$6-$C240)^2+(HSP!$D$6-$D240)^2))</f>
        <v>7.5975653995210877</v>
      </c>
      <c r="L240" s="17" t="s">
        <v>35</v>
      </c>
      <c r="M240" s="17" t="s">
        <v>35</v>
      </c>
      <c r="N240" s="17" t="s">
        <v>35</v>
      </c>
      <c r="O240" s="17" t="s">
        <v>35</v>
      </c>
      <c r="P240" s="17" t="s">
        <v>35</v>
      </c>
      <c r="Q240" s="17">
        <f>$G240/HSP!$E$2</f>
        <v>0.67124527067727024</v>
      </c>
      <c r="R240" s="17">
        <f>$H240/HSP!$E$3</f>
        <v>0.62402032959040099</v>
      </c>
      <c r="S240" s="17">
        <f>$I240/HSP!$E$4</f>
        <v>0.53032705580987161</v>
      </c>
      <c r="T240" s="17">
        <f>$J240/HSP!$E$5</f>
        <v>0.95710355003961223</v>
      </c>
      <c r="U240" s="17">
        <f>$K240/HSP!$E$6</f>
        <v>0.51334901348115458</v>
      </c>
      <c r="V240" s="12"/>
      <c r="W240" s="12"/>
      <c r="X240" s="12"/>
      <c r="Y240" s="12"/>
      <c r="Z240" s="12"/>
    </row>
    <row r="241" spans="1:26" ht="15" customHeight="1" x14ac:dyDescent="0.3">
      <c r="A241" s="26" t="s">
        <v>377</v>
      </c>
      <c r="B241" s="17">
        <v>18.600000000000001</v>
      </c>
      <c r="C241" s="17">
        <v>4.0999999999999996</v>
      </c>
      <c r="D241" s="17">
        <v>10.4</v>
      </c>
      <c r="E241" s="17" t="s">
        <v>35</v>
      </c>
      <c r="F241" s="22">
        <v>183.5</v>
      </c>
      <c r="G241" s="17">
        <f>SQRT((4*(HSP!$B$2-$B241)^2+(HSP!$C$2-$C241)^2+(HSP!$D$2-$D241)^2))</f>
        <v>10.777105362758595</v>
      </c>
      <c r="H241" s="17">
        <f>SQRT((4*(HSP!$B$3-$B241)^2+(HSP!$C$3-$C241)^2+(HSP!$D$3-$D241)^2))</f>
        <v>9.2607991015894537</v>
      </c>
      <c r="I241" s="17">
        <f>SQRT((4*(HSP!$B$4-$B241)^2+(HSP!$C$4-$C241)^2+(HSP!$D$4-$D241)^2))</f>
        <v>7.7689124077955753</v>
      </c>
      <c r="J241" s="17">
        <f>SQRT((4*(HSP!$B$5-$B241)^2+(HSP!$C$5-$C241)^2+(HSP!$D$5-$D241)^2))</f>
        <v>10.906002934164288</v>
      </c>
      <c r="K241" s="17">
        <f>SQRT((4*(HSP!$B$6-$B241)^2+(HSP!$C$6-$C241)^2+(HSP!$D$6-$D241)^2))</f>
        <v>9.6274087894926357</v>
      </c>
      <c r="L241" s="17" t="s">
        <v>35</v>
      </c>
      <c r="M241" s="17" t="s">
        <v>35</v>
      </c>
      <c r="N241" s="17" t="s">
        <v>35</v>
      </c>
      <c r="O241" s="17" t="s">
        <v>35</v>
      </c>
      <c r="P241" s="17" t="s">
        <v>35</v>
      </c>
      <c r="Q241" s="17">
        <f>$G241/HSP!$E$2</f>
        <v>0.66117210814469907</v>
      </c>
      <c r="R241" s="17">
        <f>$H241/HSP!$E$3</f>
        <v>0.68598511863625589</v>
      </c>
      <c r="S241" s="17">
        <f>$I241/HSP!$E$4</f>
        <v>0.48861084325758336</v>
      </c>
      <c r="T241" s="17">
        <f>$J241/HSP!$E$5</f>
        <v>0.79605860833315978</v>
      </c>
      <c r="U241" s="17">
        <f>$K241/HSP!$E$6</f>
        <v>0.65050059388463755</v>
      </c>
      <c r="V241" s="12"/>
      <c r="W241" s="12"/>
      <c r="X241" s="12"/>
      <c r="Y241" s="12"/>
      <c r="Z241" s="12"/>
    </row>
    <row r="242" spans="1:26" ht="15" customHeight="1" x14ac:dyDescent="0.3">
      <c r="A242" s="26" t="s">
        <v>378</v>
      </c>
      <c r="B242" s="17">
        <v>19</v>
      </c>
      <c r="C242" s="17">
        <v>5.8</v>
      </c>
      <c r="D242" s="17">
        <v>12.8</v>
      </c>
      <c r="E242" s="17" t="s">
        <v>35</v>
      </c>
      <c r="F242" s="22">
        <v>120</v>
      </c>
      <c r="G242" s="17">
        <f>SQRT((4*(HSP!$B$2-$B242)^2+(HSP!$C$2-$C242)^2+(HSP!$D$2-$D242)^2))</f>
        <v>11.533776484742541</v>
      </c>
      <c r="H242" s="17">
        <f>SQRT((4*(HSP!$B$3-$B242)^2+(HSP!$C$3-$C242)^2+(HSP!$D$3-$D242)^2))</f>
        <v>10.36553905978845</v>
      </c>
      <c r="I242" s="17">
        <f>SQRT((4*(HSP!$B$4-$B242)^2+(HSP!$C$4-$C242)^2+(HSP!$D$4-$D242)^2))</f>
        <v>9.7943861471763505</v>
      </c>
      <c r="J242" s="17">
        <f>SQRT((4*(HSP!$B$5-$B242)^2+(HSP!$C$5-$C242)^2+(HSP!$D$5-$D242)^2))</f>
        <v>10.345767250426622</v>
      </c>
      <c r="K242" s="17">
        <f>SQRT((4*(HSP!$B$6-$B242)^2+(HSP!$C$6-$C242)^2+(HSP!$D$6-$D242)^2))</f>
        <v>11.668376065245756</v>
      </c>
      <c r="L242" s="17" t="s">
        <v>35</v>
      </c>
      <c r="M242" s="17" t="s">
        <v>35</v>
      </c>
      <c r="N242" s="17" t="s">
        <v>35</v>
      </c>
      <c r="O242" s="17" t="s">
        <v>35</v>
      </c>
      <c r="P242" s="17" t="s">
        <v>35</v>
      </c>
      <c r="Q242" s="17">
        <f>$G242/HSP!$E$2</f>
        <v>0.70759364937070801</v>
      </c>
      <c r="R242" s="17">
        <f>$H242/HSP!$E$3</f>
        <v>0.76781770813247774</v>
      </c>
      <c r="S242" s="17">
        <f>$I242/HSP!$E$4</f>
        <v>0.6159991287532296</v>
      </c>
      <c r="T242" s="17">
        <f>$J242/HSP!$E$5</f>
        <v>0.75516549273187028</v>
      </c>
      <c r="U242" s="17">
        <f>$K242/HSP!$E$6</f>
        <v>0.78840378819228074</v>
      </c>
      <c r="V242" s="12"/>
      <c r="W242" s="12"/>
      <c r="X242" s="12"/>
      <c r="Y242" s="12"/>
      <c r="Z242" s="12"/>
    </row>
    <row r="243" spans="1:26" ht="15" customHeight="1" x14ac:dyDescent="0.3">
      <c r="A243" s="26" t="s">
        <v>379</v>
      </c>
      <c r="B243" s="17">
        <v>19</v>
      </c>
      <c r="C243" s="17">
        <v>6.2</v>
      </c>
      <c r="D243" s="17">
        <v>4</v>
      </c>
      <c r="E243" s="17" t="s">
        <v>35</v>
      </c>
      <c r="F243" s="22">
        <v>134.1</v>
      </c>
      <c r="G243" s="17">
        <f>SQRT((4*(HSP!$B$2-$B243)^2+(HSP!$C$2-$C243)^2+(HSP!$D$2-$D243)^2))</f>
        <v>10.220958859128629</v>
      </c>
      <c r="H243" s="17">
        <f>SQRT((4*(HSP!$B$3-$B243)^2+(HSP!$C$3-$C243)^2+(HSP!$D$3-$D243)^2))</f>
        <v>7.6881987487317218</v>
      </c>
      <c r="I243" s="17">
        <f>SQRT((4*(HSP!$B$4-$B243)^2+(HSP!$C$4-$C243)^2+(HSP!$D$4-$D243)^2))</f>
        <v>8.2961436824587373</v>
      </c>
      <c r="J243" s="17">
        <f>SQRT((4*(HSP!$B$5-$B243)^2+(HSP!$C$5-$C243)^2+(HSP!$D$5-$D243)^2))</f>
        <v>12.090777477069041</v>
      </c>
      <c r="K243" s="17">
        <f>SQRT((4*(HSP!$B$6-$B243)^2+(HSP!$C$6-$C243)^2+(HSP!$D$6-$D243)^2))</f>
        <v>7.4650519087277631</v>
      </c>
      <c r="L243" s="17" t="s">
        <v>35</v>
      </c>
      <c r="M243" s="17" t="s">
        <v>35</v>
      </c>
      <c r="N243" s="17" t="s">
        <v>35</v>
      </c>
      <c r="O243" s="17" t="s">
        <v>35</v>
      </c>
      <c r="P243" s="17" t="s">
        <v>35</v>
      </c>
      <c r="Q243" s="17">
        <f>$G243/HSP!$E$2</f>
        <v>0.62705269074408765</v>
      </c>
      <c r="R243" s="17">
        <f>$H243/HSP!$E$3</f>
        <v>0.56949620360975717</v>
      </c>
      <c r="S243" s="17">
        <f>$I243/HSP!$E$4</f>
        <v>0.52177004292193319</v>
      </c>
      <c r="T243" s="17">
        <f>$J243/HSP!$E$5</f>
        <v>0.88253850197584249</v>
      </c>
      <c r="U243" s="17">
        <f>$K243/HSP!$E$6</f>
        <v>0.5043953992383623</v>
      </c>
      <c r="V243" s="12"/>
      <c r="W243" s="12"/>
      <c r="X243" s="12"/>
      <c r="Y243" s="12"/>
      <c r="Z243" s="12"/>
    </row>
    <row r="244" spans="1:26" ht="15" customHeight="1" x14ac:dyDescent="0.3">
      <c r="A244" s="26" t="s">
        <v>380</v>
      </c>
      <c r="B244" s="17">
        <v>19</v>
      </c>
      <c r="C244" s="17">
        <v>5.0999999999999996</v>
      </c>
      <c r="D244" s="17">
        <v>3.3</v>
      </c>
      <c r="E244" s="17" t="s">
        <v>35</v>
      </c>
      <c r="F244" s="22">
        <v>222.2</v>
      </c>
      <c r="G244" s="17">
        <f>SQRT((4*(HSP!$B$2-$B244)^2+(HSP!$C$2-$C244)^2+(HSP!$D$2-$D244)^2))</f>
        <v>10.941297912039506</v>
      </c>
      <c r="H244" s="17">
        <f>SQRT((4*(HSP!$B$3-$B244)^2+(HSP!$C$3-$C244)^2+(HSP!$D$3-$D244)^2))</f>
        <v>8.4242744494704134</v>
      </c>
      <c r="I244" s="17">
        <f>SQRT((4*(HSP!$B$4-$B244)^2+(HSP!$C$4-$C244)^2+(HSP!$D$4-$D244)^2))</f>
        <v>8.4322001873769583</v>
      </c>
      <c r="J244" s="17">
        <f>SQRT((4*(HSP!$B$5-$B244)^2+(HSP!$C$5-$C244)^2+(HSP!$D$5-$D244)^2))</f>
        <v>13.112318635542687</v>
      </c>
      <c r="K244" s="17">
        <f>SQRT((4*(HSP!$B$6-$B244)^2+(HSP!$C$6-$C244)^2+(HSP!$D$6-$D244)^2))</f>
        <v>7.5975653995210877</v>
      </c>
      <c r="L244" s="17" t="s">
        <v>35</v>
      </c>
      <c r="M244" s="17" t="s">
        <v>35</v>
      </c>
      <c r="N244" s="17" t="s">
        <v>35</v>
      </c>
      <c r="O244" s="17" t="s">
        <v>35</v>
      </c>
      <c r="P244" s="17" t="s">
        <v>35</v>
      </c>
      <c r="Q244" s="17">
        <f>$G244/HSP!$E$2</f>
        <v>0.67124527067727024</v>
      </c>
      <c r="R244" s="17">
        <f>$H244/HSP!$E$3</f>
        <v>0.62402032959040099</v>
      </c>
      <c r="S244" s="17">
        <f>$I244/HSP!$E$4</f>
        <v>0.53032705580987161</v>
      </c>
      <c r="T244" s="17">
        <f>$J244/HSP!$E$5</f>
        <v>0.95710355003961223</v>
      </c>
      <c r="U244" s="17">
        <f>$K244/HSP!$E$6</f>
        <v>0.51334901348115458</v>
      </c>
      <c r="V244" s="12"/>
      <c r="W244" s="12"/>
      <c r="X244" s="12"/>
      <c r="Y244" s="12"/>
      <c r="Z244" s="12"/>
    </row>
    <row r="245" spans="1:26" ht="15" customHeight="1" x14ac:dyDescent="0.3">
      <c r="A245" s="26" t="s">
        <v>381</v>
      </c>
      <c r="B245" s="17">
        <v>19.3</v>
      </c>
      <c r="C245" s="17">
        <v>10.6</v>
      </c>
      <c r="D245" s="17">
        <v>9.9</v>
      </c>
      <c r="E245" s="17" t="s">
        <v>35</v>
      </c>
      <c r="F245" s="22">
        <v>136.5</v>
      </c>
      <c r="G245" s="17">
        <f>SQRT((4*(HSP!$B$2-$B245)^2+(HSP!$C$2-$C245)^2+(HSP!$D$2-$D245)^2))</f>
        <v>9.8440845181255945</v>
      </c>
      <c r="H245" s="17">
        <f>SQRT((4*(HSP!$B$3-$B245)^2+(HSP!$C$3-$C245)^2+(HSP!$D$3-$D245)^2))</f>
        <v>8.3461607940417739</v>
      </c>
      <c r="I245" s="17">
        <f>SQRT((4*(HSP!$B$4-$B245)^2+(HSP!$C$4-$C245)^2+(HSP!$D$4-$D245)^2))</f>
        <v>10.624688230719997</v>
      </c>
      <c r="J245" s="17">
        <f>SQRT((4*(HSP!$B$5-$B245)^2+(HSP!$C$5-$C245)^2+(HSP!$D$5-$D245)^2))</f>
        <v>8.3975532150740229</v>
      </c>
      <c r="K245" s="17">
        <f>SQRT((4*(HSP!$B$6-$B245)^2+(HSP!$C$6-$C245)^2+(HSP!$D$6-$D245)^2))</f>
        <v>10.906649347989513</v>
      </c>
      <c r="L245" s="17" t="s">
        <v>35</v>
      </c>
      <c r="M245" s="17" t="s">
        <v>35</v>
      </c>
      <c r="N245" s="17" t="s">
        <v>35</v>
      </c>
      <c r="O245" s="17" t="s">
        <v>35</v>
      </c>
      <c r="P245" s="17" t="s">
        <v>35</v>
      </c>
      <c r="Q245" s="17">
        <f>$G245/HSP!$E$2</f>
        <v>0.60393156552917759</v>
      </c>
      <c r="R245" s="17">
        <f>$H245/HSP!$E$3</f>
        <v>0.61823413289198326</v>
      </c>
      <c r="S245" s="17">
        <f>$I245/HSP!$E$4</f>
        <v>0.66821938557987404</v>
      </c>
      <c r="T245" s="17">
        <f>$J245/HSP!$E$5</f>
        <v>0.61296008869153451</v>
      </c>
      <c r="U245" s="17">
        <f>$K245/HSP!$E$6</f>
        <v>0.73693576675604811</v>
      </c>
      <c r="V245" s="12"/>
      <c r="W245" s="12"/>
      <c r="X245" s="12"/>
      <c r="Y245" s="12"/>
      <c r="Z245" s="12"/>
    </row>
    <row r="246" spans="1:26" ht="15" customHeight="1" x14ac:dyDescent="0.3">
      <c r="A246" s="26" t="s">
        <v>382</v>
      </c>
      <c r="B246" s="17">
        <v>17</v>
      </c>
      <c r="C246" s="17">
        <v>4</v>
      </c>
      <c r="D246" s="17">
        <v>9.5</v>
      </c>
      <c r="E246" s="17" t="s">
        <v>35</v>
      </c>
      <c r="F246" s="22">
        <v>230.2</v>
      </c>
      <c r="G246" s="17">
        <f>SQRT((4*(HSP!$B$2-$B246)^2+(HSP!$C$2-$C246)^2+(HSP!$D$2-$D246)^2))</f>
        <v>8.4333860340909332</v>
      </c>
      <c r="H246" s="17">
        <f>SQRT((4*(HSP!$B$3-$B246)^2+(HSP!$C$3-$C246)^2+(HSP!$D$3-$D246)^2))</f>
        <v>7.2417125046497119</v>
      </c>
      <c r="I246" s="17">
        <f>SQRT((4*(HSP!$B$4-$B246)^2+(HSP!$C$4-$C246)^2+(HSP!$D$4-$D246)^2))</f>
        <v>4.598695467195018</v>
      </c>
      <c r="J246" s="17">
        <f>SQRT((4*(HSP!$B$5-$B246)^2+(HSP!$C$5-$C246)^2+(HSP!$D$5-$D246)^2))</f>
        <v>9.4897260234424063</v>
      </c>
      <c r="K246" s="17">
        <f>SQRT((4*(HSP!$B$6-$B246)^2+(HSP!$C$6-$C246)^2+(HSP!$D$6-$D246)^2))</f>
        <v>7.0568406528700933</v>
      </c>
      <c r="L246" s="17" t="s">
        <v>35</v>
      </c>
      <c r="M246" s="17" t="s">
        <v>35</v>
      </c>
      <c r="N246" s="17" t="s">
        <v>35</v>
      </c>
      <c r="O246" s="17" t="s">
        <v>35</v>
      </c>
      <c r="P246" s="17" t="s">
        <v>35</v>
      </c>
      <c r="Q246" s="17">
        <f>$G246/HSP!$E$2</f>
        <v>0.51738564626324746</v>
      </c>
      <c r="R246" s="17">
        <f>$H246/HSP!$E$3</f>
        <v>0.53642314849257122</v>
      </c>
      <c r="S246" s="17">
        <f>$I246/HSP!$E$4</f>
        <v>0.28922613001226527</v>
      </c>
      <c r="T246" s="17">
        <f>$J246/HSP!$E$5</f>
        <v>0.69268073163813193</v>
      </c>
      <c r="U246" s="17">
        <f>$K246/HSP!$E$6</f>
        <v>0.47681355762635763</v>
      </c>
      <c r="V246" s="12"/>
      <c r="W246" s="12"/>
      <c r="X246" s="12"/>
      <c r="Y246" s="12"/>
      <c r="Z246" s="12"/>
    </row>
    <row r="247" spans="1:26" ht="15" customHeight="1" x14ac:dyDescent="0.3">
      <c r="A247" s="27" t="s">
        <v>383</v>
      </c>
      <c r="B247" s="19">
        <v>16.100000000000001</v>
      </c>
      <c r="C247" s="19">
        <v>5.5</v>
      </c>
      <c r="D247" s="19">
        <v>13.1</v>
      </c>
      <c r="E247" s="17" t="s">
        <v>35</v>
      </c>
      <c r="F247" s="23">
        <v>151.69999999999999</v>
      </c>
      <c r="G247" s="17">
        <f>SQRT((4*(HSP!$B$2-$B247)^2+(HSP!$C$2-$C247)^2+(HSP!$D$2-$D247)^2))</f>
        <v>8.4294721068403824</v>
      </c>
      <c r="H247" s="17">
        <f>SQRT((4*(HSP!$B$3-$B247)^2+(HSP!$C$3-$C247)^2+(HSP!$D$3-$D247)^2))</f>
        <v>8.4247492544288818</v>
      </c>
      <c r="I247" s="17">
        <f>SQRT((4*(HSP!$B$4-$B247)^2+(HSP!$C$4-$C247)^2+(HSP!$D$4-$D247)^2))</f>
        <v>6.6198187286360044</v>
      </c>
      <c r="J247" s="17">
        <f>SQRT((4*(HSP!$B$5-$B247)^2+(HSP!$C$5-$C247)^2+(HSP!$D$5-$D247)^2))</f>
        <v>7.7196437741647133</v>
      </c>
      <c r="K247" s="17">
        <f>SQRT((4*(HSP!$B$6-$B247)^2+(HSP!$C$6-$C247)^2+(HSP!$D$6-$D247)^2))</f>
        <v>9.4436751320659056</v>
      </c>
      <c r="L247" s="17" t="s">
        <v>35</v>
      </c>
      <c r="M247" s="17" t="s">
        <v>35</v>
      </c>
      <c r="N247" s="17" t="s">
        <v>35</v>
      </c>
      <c r="O247" s="17" t="s">
        <v>35</v>
      </c>
      <c r="P247" s="17" t="s">
        <v>35</v>
      </c>
      <c r="Q247" s="17">
        <f>$G247/HSP!$E$2</f>
        <v>0.5171455280270173</v>
      </c>
      <c r="R247" s="17">
        <f>$H247/HSP!$E$3</f>
        <v>0.62405550032806534</v>
      </c>
      <c r="S247" s="17">
        <f>$I247/HSP!$E$4</f>
        <v>0.41634080054314493</v>
      </c>
      <c r="T247" s="17">
        <f>$J247/HSP!$E$5</f>
        <v>0.56347764774924913</v>
      </c>
      <c r="U247" s="17">
        <f>$K247/HSP!$E$6</f>
        <v>0.63808615757202058</v>
      </c>
      <c r="V247" s="12"/>
      <c r="W247" s="12"/>
      <c r="X247" s="12"/>
      <c r="Y247" s="12"/>
      <c r="Z247" s="12"/>
    </row>
    <row r="248" spans="1:26" ht="15" customHeight="1" x14ac:dyDescent="0.3">
      <c r="A248" s="27" t="s">
        <v>384</v>
      </c>
      <c r="B248" s="19">
        <v>15.7</v>
      </c>
      <c r="C248" s="19">
        <v>5.5</v>
      </c>
      <c r="D248" s="19">
        <v>5.9</v>
      </c>
      <c r="E248" s="17" t="s">
        <v>35</v>
      </c>
      <c r="F248" s="23">
        <v>148.69999999999999</v>
      </c>
      <c r="G248" s="17">
        <f>SQRT((4*(HSP!$B$2-$B248)^2+(HSP!$C$2-$C248)^2+(HSP!$D$2-$D248)^2))</f>
        <v>5.5324497286464345</v>
      </c>
      <c r="H248" s="17">
        <f>SQRT((4*(HSP!$B$3-$B248)^2+(HSP!$C$3-$C248)^2+(HSP!$D$3-$D248)^2))</f>
        <v>4.1608172274205941</v>
      </c>
      <c r="I248" s="17">
        <f>SQRT((4*(HSP!$B$4-$B248)^2+(HSP!$C$4-$C248)^2+(HSP!$D$4-$D248)^2))</f>
        <v>1.6143109985377653</v>
      </c>
      <c r="J248" s="17">
        <f>SQRT((4*(HSP!$B$5-$B248)^2+(HSP!$C$5-$C248)^2+(HSP!$D$5-$D248)^2))</f>
        <v>8.8413177750830787</v>
      </c>
      <c r="K248" s="17">
        <f>SQRT((4*(HSP!$B$6-$B248)^2+(HSP!$C$6-$C248)^2+(HSP!$D$6-$D248)^2))</f>
        <v>2.4097717734258572</v>
      </c>
      <c r="L248" s="17" t="s">
        <v>35</v>
      </c>
      <c r="M248" s="17" t="s">
        <v>35</v>
      </c>
      <c r="N248" s="17" t="s">
        <v>35</v>
      </c>
      <c r="O248" s="17" t="s">
        <v>35</v>
      </c>
      <c r="P248" s="17" t="s">
        <v>35</v>
      </c>
      <c r="Q248" s="17">
        <f>$G248/HSP!$E$2</f>
        <v>0.33941409378198983</v>
      </c>
      <c r="R248" s="17">
        <f>$H248/HSP!$E$3</f>
        <v>0.30820868351263658</v>
      </c>
      <c r="S248" s="17">
        <f>$I248/HSP!$E$4</f>
        <v>0.10152899361872737</v>
      </c>
      <c r="T248" s="17">
        <f>$J248/HSP!$E$5</f>
        <v>0.64535166241482333</v>
      </c>
      <c r="U248" s="17">
        <f>$K248/HSP!$E$6</f>
        <v>0.16282241712336873</v>
      </c>
      <c r="V248" s="12"/>
      <c r="W248" s="12"/>
      <c r="X248" s="12"/>
      <c r="Y248" s="12"/>
      <c r="Z248" s="12"/>
    </row>
    <row r="249" spans="1:26" ht="15" customHeight="1" x14ac:dyDescent="0.3">
      <c r="A249" s="26" t="s">
        <v>385</v>
      </c>
      <c r="B249" s="17">
        <v>16</v>
      </c>
      <c r="C249" s="17">
        <v>2.2000000000000002</v>
      </c>
      <c r="D249" s="17">
        <v>4.9000000000000004</v>
      </c>
      <c r="E249" s="17" t="s">
        <v>35</v>
      </c>
      <c r="F249" s="22">
        <v>215.2</v>
      </c>
      <c r="G249" s="17">
        <f>SQRT((4*(HSP!$B$2-$B249)^2+(HSP!$C$2-$C249)^2+(HSP!$D$2-$D249)^2))</f>
        <v>8.9662701275391008</v>
      </c>
      <c r="H249" s="17">
        <f>SQRT((4*(HSP!$B$3-$B249)^2+(HSP!$C$3-$C249)^2+(HSP!$D$3-$D249)^2))</f>
        <v>7.5420421637644006</v>
      </c>
      <c r="I249" s="17">
        <f>SQRT((4*(HSP!$B$4-$B249)^2+(HSP!$C$4-$C249)^2+(HSP!$D$4-$D249)^2))</f>
        <v>3.5377959240182291</v>
      </c>
      <c r="J249" s="17">
        <f>SQRT((4*(HSP!$B$5-$B249)^2+(HSP!$C$5-$C249)^2+(HSP!$D$5-$D249)^2))</f>
        <v>12.213226436941222</v>
      </c>
      <c r="K249" s="17">
        <f>SQRT((4*(HSP!$B$6-$B249)^2+(HSP!$C$6-$C249)^2+(HSP!$D$6-$D249)^2))</f>
        <v>4.5964116438804741</v>
      </c>
      <c r="L249" s="17" t="s">
        <v>35</v>
      </c>
      <c r="M249" s="17" t="s">
        <v>35</v>
      </c>
      <c r="N249" s="17" t="s">
        <v>35</v>
      </c>
      <c r="O249" s="17" t="s">
        <v>35</v>
      </c>
      <c r="P249" s="17" t="s">
        <v>35</v>
      </c>
      <c r="Q249" s="17">
        <f>$G249/HSP!$E$2</f>
        <v>0.55007792193491412</v>
      </c>
      <c r="R249" s="17">
        <f>$H249/HSP!$E$3</f>
        <v>0.55866978990847416</v>
      </c>
      <c r="S249" s="17">
        <f>$I249/HSP!$E$4</f>
        <v>0.22250288830303327</v>
      </c>
      <c r="T249" s="17">
        <f>$J249/HSP!$E$5</f>
        <v>0.89147638225848336</v>
      </c>
      <c r="U249" s="17">
        <f>$K249/HSP!$E$6</f>
        <v>0.31056835431624824</v>
      </c>
      <c r="V249" s="12"/>
      <c r="W249" s="12"/>
      <c r="X249" s="12"/>
      <c r="Y249" s="12"/>
      <c r="Z249" s="12"/>
    </row>
    <row r="250" spans="1:26" ht="15" customHeight="1" x14ac:dyDescent="0.3">
      <c r="A250" s="26" t="s">
        <v>386</v>
      </c>
      <c r="B250" s="17">
        <v>18</v>
      </c>
      <c r="C250" s="17">
        <v>7.6</v>
      </c>
      <c r="D250" s="17">
        <v>5</v>
      </c>
      <c r="E250" s="17" t="s">
        <v>35</v>
      </c>
      <c r="F250" s="22">
        <v>202.3</v>
      </c>
      <c r="G250" s="17">
        <f>SQRT((4*(HSP!$B$2-$B250)^2+(HSP!$C$2-$C250)^2+(HSP!$D$2-$D250)^2))</f>
        <v>7.638062581571325</v>
      </c>
      <c r="H250" s="17">
        <f>SQRT((4*(HSP!$B$3-$B250)^2+(HSP!$C$3-$C250)^2+(HSP!$D$3-$D250)^2))</f>
        <v>5.1244902185485746</v>
      </c>
      <c r="I250" s="17">
        <f>SQRT((4*(HSP!$B$4-$B250)^2+(HSP!$C$4-$C250)^2+(HSP!$D$4-$D250)^2))</f>
        <v>6.618307940856182</v>
      </c>
      <c r="J250" s="17">
        <f>SQRT((4*(HSP!$B$5-$B250)^2+(HSP!$C$5-$C250)^2+(HSP!$D$5-$D250)^2))</f>
        <v>9.5493926508443465</v>
      </c>
      <c r="K250" s="17">
        <f>SQRT((4*(HSP!$B$6-$B250)^2+(HSP!$C$6-$C250)^2+(HSP!$D$6-$D250)^2))</f>
        <v>5.701140236829823</v>
      </c>
      <c r="L250" s="17" t="s">
        <v>35</v>
      </c>
      <c r="M250" s="17" t="s">
        <v>35</v>
      </c>
      <c r="N250" s="17" t="s">
        <v>35</v>
      </c>
      <c r="O250" s="17" t="s">
        <v>35</v>
      </c>
      <c r="P250" s="17" t="s">
        <v>35</v>
      </c>
      <c r="Q250" s="17">
        <f>$G250/HSP!$E$2</f>
        <v>0.46859279641541868</v>
      </c>
      <c r="R250" s="17">
        <f>$H250/HSP!$E$3</f>
        <v>0.37959186804063516</v>
      </c>
      <c r="S250" s="17">
        <f>$I250/HSP!$E$4</f>
        <v>0.41624578244378502</v>
      </c>
      <c r="T250" s="17">
        <f>$J250/HSP!$E$5</f>
        <v>0.69703595991564582</v>
      </c>
      <c r="U250" s="17">
        <f>$K250/HSP!$E$6</f>
        <v>0.38521217816417719</v>
      </c>
      <c r="V250" s="12"/>
      <c r="W250" s="12"/>
      <c r="X250" s="12"/>
      <c r="Y250" s="12"/>
      <c r="Z250" s="12"/>
    </row>
    <row r="251" spans="1:26" ht="15" customHeight="1" x14ac:dyDescent="0.3">
      <c r="A251" s="26" t="s">
        <v>387</v>
      </c>
      <c r="B251" s="17">
        <v>17.100000000000001</v>
      </c>
      <c r="C251" s="17">
        <v>5.4</v>
      </c>
      <c r="D251" s="17">
        <v>5.5</v>
      </c>
      <c r="E251" s="17" t="s">
        <v>35</v>
      </c>
      <c r="F251" s="22">
        <v>162.9</v>
      </c>
      <c r="G251" s="17">
        <f>SQRT((4*(HSP!$B$2-$B251)^2+(HSP!$C$2-$C251)^2+(HSP!$D$2-$D251)^2))</f>
        <v>7.2659479766923774</v>
      </c>
      <c r="H251" s="17">
        <f>SQRT((4*(HSP!$B$3-$B251)^2+(HSP!$C$3-$C251)^2+(HSP!$D$3-$D251)^2))</f>
        <v>5.118827990858847</v>
      </c>
      <c r="I251" s="17">
        <f>SQRT((4*(HSP!$B$4-$B251)^2+(HSP!$C$4-$C251)^2+(HSP!$D$4-$D251)^2))</f>
        <v>4.1361818141856412</v>
      </c>
      <c r="J251" s="17">
        <f>SQRT((4*(HSP!$B$5-$B251)^2+(HSP!$C$5-$C251)^2+(HSP!$D$5-$D251)^2))</f>
        <v>9.8215528303827817</v>
      </c>
      <c r="K251" s="17">
        <f>SQRT((4*(HSP!$B$6-$B251)^2+(HSP!$C$6-$C251)^2+(HSP!$D$6-$D251)^2))</f>
        <v>4.1447557225969325</v>
      </c>
      <c r="L251" s="17" t="s">
        <v>35</v>
      </c>
      <c r="M251" s="17" t="s">
        <v>35</v>
      </c>
      <c r="N251" s="17" t="s">
        <v>35</v>
      </c>
      <c r="O251" s="17" t="s">
        <v>35</v>
      </c>
      <c r="P251" s="17" t="s">
        <v>35</v>
      </c>
      <c r="Q251" s="17">
        <f>$G251/HSP!$E$2</f>
        <v>0.44576367955167956</v>
      </c>
      <c r="R251" s="17">
        <f>$H251/HSP!$E$3</f>
        <v>0.37917244376732201</v>
      </c>
      <c r="S251" s="17">
        <f>$I251/HSP!$E$4</f>
        <v>0.26013722101796483</v>
      </c>
      <c r="T251" s="17">
        <f>$J251/HSP!$E$5</f>
        <v>0.71690166645129794</v>
      </c>
      <c r="U251" s="17">
        <f>$K251/HSP!$E$6</f>
        <v>0.28005106233763055</v>
      </c>
      <c r="V251" s="12"/>
      <c r="W251" s="12"/>
      <c r="X251" s="12"/>
      <c r="Y251" s="12"/>
      <c r="Z251" s="12"/>
    </row>
    <row r="252" spans="1:26" ht="15" customHeight="1" x14ac:dyDescent="0.3">
      <c r="A252" s="26" t="s">
        <v>388</v>
      </c>
      <c r="B252" s="17">
        <v>18.899999999999999</v>
      </c>
      <c r="C252" s="17">
        <v>4.2</v>
      </c>
      <c r="D252" s="17">
        <v>10.5</v>
      </c>
      <c r="E252" s="17" t="s">
        <v>35</v>
      </c>
      <c r="F252" s="22">
        <v>179.8</v>
      </c>
      <c r="G252" s="17">
        <f>SQRT((4*(HSP!$B$2-$B252)^2+(HSP!$C$2-$C252)^2+(HSP!$D$2-$D252)^2))</f>
        <v>11.204374145841435</v>
      </c>
      <c r="H252" s="17">
        <f>SQRT((4*(HSP!$B$3-$B252)^2+(HSP!$C$3-$C252)^2+(HSP!$D$3-$D252)^2))</f>
        <v>9.6400414936866312</v>
      </c>
      <c r="I252" s="17">
        <f>SQRT((4*(HSP!$B$4-$B252)^2+(HSP!$C$4-$C252)^2+(HSP!$D$4-$D252)^2))</f>
        <v>8.3409831554799325</v>
      </c>
      <c r="J252" s="17">
        <f>SQRT((4*(HSP!$B$5-$B252)^2+(HSP!$C$5-$C252)^2+(HSP!$D$5-$D252)^2))</f>
        <v>11.201915014853485</v>
      </c>
      <c r="K252" s="17">
        <f>SQRT((4*(HSP!$B$6-$B252)^2+(HSP!$C$6-$C252)^2+(HSP!$D$6-$D252)^2))</f>
        <v>10.094701580532233</v>
      </c>
      <c r="L252" s="17" t="s">
        <v>35</v>
      </c>
      <c r="M252" s="17" t="s">
        <v>35</v>
      </c>
      <c r="N252" s="17" t="s">
        <v>35</v>
      </c>
      <c r="O252" s="17" t="s">
        <v>35</v>
      </c>
      <c r="P252" s="17" t="s">
        <v>35</v>
      </c>
      <c r="Q252" s="17">
        <f>$G252/HSP!$E$2</f>
        <v>0.68738491692278736</v>
      </c>
      <c r="R252" s="17">
        <f>$H252/HSP!$E$3</f>
        <v>0.71407714768049124</v>
      </c>
      <c r="S252" s="17">
        <f>$I252/HSP!$E$4</f>
        <v>0.52459013556477563</v>
      </c>
      <c r="T252" s="17">
        <f>$J252/HSP!$E$5</f>
        <v>0.81765803028127637</v>
      </c>
      <c r="U252" s="17">
        <f>$K252/HSP!$E$6</f>
        <v>0.68207443111704269</v>
      </c>
      <c r="V252" s="12"/>
      <c r="W252" s="12"/>
      <c r="X252" s="12"/>
      <c r="Y252" s="12"/>
      <c r="Z252" s="12"/>
    </row>
    <row r="253" spans="1:26" ht="15" customHeight="1" x14ac:dyDescent="0.3">
      <c r="A253" s="26" t="s">
        <v>389</v>
      </c>
      <c r="B253" s="17">
        <v>19.2</v>
      </c>
      <c r="C253" s="17">
        <v>6</v>
      </c>
      <c r="D253" s="17">
        <v>6.7</v>
      </c>
      <c r="E253" s="17" t="s">
        <v>35</v>
      </c>
      <c r="F253" s="22">
        <v>148.1</v>
      </c>
      <c r="G253" s="17">
        <f>SQRT((4*(HSP!$B$2-$B253)^2+(HSP!$C$2-$C253)^2+(HSP!$D$2-$D253)^2))</f>
        <v>10.227903010881557</v>
      </c>
      <c r="H253" s="17">
        <f>SQRT((4*(HSP!$B$3-$B253)^2+(HSP!$C$3-$C253)^2+(HSP!$D$3-$D253)^2))</f>
        <v>7.965575936490719</v>
      </c>
      <c r="I253" s="17">
        <f>SQRT((4*(HSP!$B$4-$B253)^2+(HSP!$C$4-$C253)^2+(HSP!$D$4-$D253)^2))</f>
        <v>8.1679862879414777</v>
      </c>
      <c r="J253" s="17">
        <f>SQRT((4*(HSP!$B$5-$B253)^2+(HSP!$C$5-$C253)^2+(HSP!$D$5-$D253)^2))</f>
        <v>11.172774946270062</v>
      </c>
      <c r="K253" s="17">
        <f>SQRT((4*(HSP!$B$6-$B253)^2+(HSP!$C$6-$C253)^2+(HSP!$D$6-$D253)^2))</f>
        <v>8.371797895314959</v>
      </c>
      <c r="L253" s="17" t="s">
        <v>35</v>
      </c>
      <c r="M253" s="17" t="s">
        <v>35</v>
      </c>
      <c r="N253" s="17" t="s">
        <v>35</v>
      </c>
      <c r="O253" s="17" t="s">
        <v>35</v>
      </c>
      <c r="P253" s="17" t="s">
        <v>35</v>
      </c>
      <c r="Q253" s="17">
        <f>$G253/HSP!$E$2</f>
        <v>0.62747871232402186</v>
      </c>
      <c r="R253" s="17">
        <f>$H253/HSP!$E$3</f>
        <v>0.59004266196227551</v>
      </c>
      <c r="S253" s="17">
        <f>$I253/HSP!$E$4</f>
        <v>0.51370982943028165</v>
      </c>
      <c r="T253" s="17">
        <f>$J253/HSP!$E$5</f>
        <v>0.81553101797591698</v>
      </c>
      <c r="U253" s="17">
        <f>$K253/HSP!$E$6</f>
        <v>0.56566201995371346</v>
      </c>
      <c r="V253" s="12"/>
      <c r="W253" s="12"/>
      <c r="X253" s="12"/>
      <c r="Y253" s="12"/>
      <c r="Z253" s="12"/>
    </row>
    <row r="254" spans="1:26" ht="15" customHeight="1" x14ac:dyDescent="0.3">
      <c r="A254" s="26" t="s">
        <v>390</v>
      </c>
      <c r="B254" s="17">
        <v>16.600000000000001</v>
      </c>
      <c r="C254" s="17">
        <v>4.7</v>
      </c>
      <c r="D254" s="17">
        <v>9.6</v>
      </c>
      <c r="E254" s="17" t="s">
        <v>35</v>
      </c>
      <c r="F254" s="22">
        <v>227.2</v>
      </c>
      <c r="G254" s="17">
        <f>SQRT((4*(HSP!$B$2-$B254)^2+(HSP!$C$2-$C254)^2+(HSP!$D$2-$D254)^2))</f>
        <v>7.486120490614617</v>
      </c>
      <c r="H254" s="17">
        <f>SQRT((4*(HSP!$B$3-$B254)^2+(HSP!$C$3-$C254)^2+(HSP!$D$3-$D254)^2))</f>
        <v>6.4963374296598859</v>
      </c>
      <c r="I254" s="17">
        <f>SQRT((4*(HSP!$B$4-$B254)^2+(HSP!$C$4-$C254)^2+(HSP!$D$4-$D254)^2))</f>
        <v>4.0024992192379019</v>
      </c>
      <c r="J254" s="17">
        <f>SQRT((4*(HSP!$B$5-$B254)^2+(HSP!$C$5-$C254)^2+(HSP!$D$5-$D254)^2))</f>
        <v>8.5536483444200595</v>
      </c>
      <c r="K254" s="17">
        <f>SQRT((4*(HSP!$B$6-$B254)^2+(HSP!$C$6-$C254)^2+(HSP!$D$6-$D254)^2))</f>
        <v>6.567419584585716</v>
      </c>
      <c r="L254" s="17" t="s">
        <v>35</v>
      </c>
      <c r="M254" s="17" t="s">
        <v>35</v>
      </c>
      <c r="N254" s="17" t="s">
        <v>35</v>
      </c>
      <c r="O254" s="17" t="s">
        <v>35</v>
      </c>
      <c r="P254" s="17" t="s">
        <v>35</v>
      </c>
      <c r="Q254" s="17">
        <f>$G254/HSP!$E$2</f>
        <v>0.459271195743228</v>
      </c>
      <c r="R254" s="17">
        <f>$H254/HSP!$E$3</f>
        <v>0.48121017997480636</v>
      </c>
      <c r="S254" s="17">
        <f>$I254/HSP!$E$4</f>
        <v>0.25172951064389321</v>
      </c>
      <c r="T254" s="17">
        <f>$J254/HSP!$E$5</f>
        <v>0.62435389375328909</v>
      </c>
      <c r="U254" s="17">
        <f>$K254/HSP!$E$6</f>
        <v>0.44374456652606187</v>
      </c>
      <c r="V254" s="12"/>
      <c r="W254" s="12"/>
      <c r="X254" s="12"/>
      <c r="Y254" s="12"/>
      <c r="Z254" s="12"/>
    </row>
    <row r="255" spans="1:26" ht="15" customHeight="1" x14ac:dyDescent="0.3">
      <c r="A255" s="26" t="s">
        <v>391</v>
      </c>
      <c r="B255" s="17">
        <v>17</v>
      </c>
      <c r="C255" s="17">
        <v>5.3</v>
      </c>
      <c r="D255" s="17">
        <v>10.9</v>
      </c>
      <c r="E255" s="17" t="s">
        <v>35</v>
      </c>
      <c r="F255" s="22">
        <v>165.2</v>
      </c>
      <c r="G255" s="17">
        <f>SQRT((4*(HSP!$B$2-$B255)^2+(HSP!$C$2-$C255)^2+(HSP!$D$2-$D255)^2))</f>
        <v>8.0642420598590672</v>
      </c>
      <c r="H255" s="17">
        <f>SQRT((4*(HSP!$B$3-$B255)^2+(HSP!$C$3-$C255)^2+(HSP!$D$3-$D255)^2))</f>
        <v>7.1889081229349427</v>
      </c>
      <c r="I255" s="17">
        <f>SQRT((4*(HSP!$B$4-$B255)^2+(HSP!$C$4-$C255)^2+(HSP!$D$4-$D255)^2))</f>
        <v>5.5308227236099334</v>
      </c>
      <c r="J255" s="17">
        <f>SQRT((4*(HSP!$B$5-$B255)^2+(HSP!$C$5-$C255)^2+(HSP!$D$5-$D255)^2))</f>
        <v>8.1871179300166439</v>
      </c>
      <c r="K255" s="17">
        <f>SQRT((4*(HSP!$B$6-$B255)^2+(HSP!$C$6-$C255)^2+(HSP!$D$6-$D255)^2))</f>
        <v>7.9341666229037573</v>
      </c>
      <c r="L255" s="17" t="s">
        <v>35</v>
      </c>
      <c r="M255" s="17" t="s">
        <v>35</v>
      </c>
      <c r="N255" s="17" t="s">
        <v>35</v>
      </c>
      <c r="O255" s="17" t="s">
        <v>35</v>
      </c>
      <c r="P255" s="17" t="s">
        <v>35</v>
      </c>
      <c r="Q255" s="17">
        <f>$G255/HSP!$E$2</f>
        <v>0.49473877667847038</v>
      </c>
      <c r="R255" s="17">
        <f>$H255/HSP!$E$3</f>
        <v>0.53251171280999576</v>
      </c>
      <c r="S255" s="17">
        <f>$I255/HSP!$E$4</f>
        <v>0.34785048576163102</v>
      </c>
      <c r="T255" s="17">
        <f>$J255/HSP!$E$5</f>
        <v>0.59759984890632445</v>
      </c>
      <c r="U255" s="17">
        <f>$K255/HSP!$E$6</f>
        <v>0.53609233938538903</v>
      </c>
      <c r="V255" s="12"/>
      <c r="W255" s="12"/>
      <c r="X255" s="12"/>
      <c r="Y255" s="12"/>
      <c r="Z255" s="12"/>
    </row>
    <row r="256" spans="1:26" ht="15" customHeight="1" x14ac:dyDescent="0.3">
      <c r="A256" s="26" t="s">
        <v>392</v>
      </c>
      <c r="B256" s="17">
        <v>17</v>
      </c>
      <c r="C256" s="17">
        <v>2.5</v>
      </c>
      <c r="D256" s="17">
        <v>5.8</v>
      </c>
      <c r="E256" s="17" t="s">
        <v>35</v>
      </c>
      <c r="F256" s="22">
        <v>203.2</v>
      </c>
      <c r="G256" s="17">
        <f>SQRT((4*(HSP!$B$2-$B256)^2+(HSP!$C$2-$C256)^2+(HSP!$D$2-$D256)^2))</f>
        <v>9.3698452495225357</v>
      </c>
      <c r="H256" s="17">
        <f>SQRT((4*(HSP!$B$3-$B256)^2+(HSP!$C$3-$C256)^2+(HSP!$D$3-$D256)^2))</f>
        <v>7.6243294787148335</v>
      </c>
      <c r="I256" s="17">
        <f>SQRT((4*(HSP!$B$4-$B256)^2+(HSP!$C$4-$C256)^2+(HSP!$D$4-$D256)^2))</f>
        <v>4.37584277596899</v>
      </c>
      <c r="J256" s="17">
        <f>SQRT((4*(HSP!$B$5-$B256)^2+(HSP!$C$5-$C256)^2+(HSP!$D$5-$D256)^2))</f>
        <v>11.947254914832948</v>
      </c>
      <c r="K256" s="17">
        <f>SQRT((4*(HSP!$B$6-$B256)^2+(HSP!$C$6-$C256)^2+(HSP!$D$6-$D256)^2))</f>
        <v>5.5873965314804712</v>
      </c>
      <c r="L256" s="17" t="s">
        <v>35</v>
      </c>
      <c r="M256" s="17" t="s">
        <v>35</v>
      </c>
      <c r="N256" s="17" t="s">
        <v>35</v>
      </c>
      <c r="O256" s="17" t="s">
        <v>35</v>
      </c>
      <c r="P256" s="17" t="s">
        <v>35</v>
      </c>
      <c r="Q256" s="17">
        <f>$G256/HSP!$E$2</f>
        <v>0.57483713187254815</v>
      </c>
      <c r="R256" s="17">
        <f>$H256/HSP!$E$3</f>
        <v>0.56476514657146915</v>
      </c>
      <c r="S256" s="17">
        <f>$I256/HSP!$E$4</f>
        <v>0.27521023748232643</v>
      </c>
      <c r="T256" s="17">
        <f>$J256/HSP!$E$5</f>
        <v>0.87206240254255096</v>
      </c>
      <c r="U256" s="17">
        <f>$K256/HSP!$E$6</f>
        <v>0.37752679266759936</v>
      </c>
      <c r="V256" s="12"/>
      <c r="W256" s="12"/>
      <c r="X256" s="12"/>
      <c r="Y256" s="12"/>
      <c r="Z256" s="12"/>
    </row>
    <row r="257" spans="1:26" ht="15" customHeight="1" x14ac:dyDescent="0.3">
      <c r="A257" s="26" t="s">
        <v>393</v>
      </c>
      <c r="B257" s="17">
        <v>15.9</v>
      </c>
      <c r="C257" s="17">
        <v>4.5</v>
      </c>
      <c r="D257" s="17">
        <v>11.5</v>
      </c>
      <c r="E257" s="17" t="s">
        <v>35</v>
      </c>
      <c r="F257" s="22">
        <v>146.4</v>
      </c>
      <c r="G257" s="17">
        <f>SQRT((4*(HSP!$B$2-$B257)^2+(HSP!$C$2-$C257)^2+(HSP!$D$2-$D257)^2))</f>
        <v>7.9190908569102811</v>
      </c>
      <c r="H257" s="17">
        <f>SQRT((4*(HSP!$B$3-$B257)^2+(HSP!$C$3-$C257)^2+(HSP!$D$3-$D257)^2))</f>
        <v>7.6853366874848108</v>
      </c>
      <c r="I257" s="17">
        <f>SQRT((4*(HSP!$B$4-$B257)^2+(HSP!$C$4-$C257)^2+(HSP!$D$4-$D257)^2))</f>
        <v>4.9248350226175095</v>
      </c>
      <c r="J257" s="17">
        <f>SQRT((4*(HSP!$B$5-$B257)^2+(HSP!$C$5-$C257)^2+(HSP!$D$5-$D257)^2))</f>
        <v>8.3355203796763657</v>
      </c>
      <c r="K257" s="17">
        <f>SQRT((4*(HSP!$B$6-$B257)^2+(HSP!$C$6-$C257)^2+(HSP!$D$6-$D257)^2))</f>
        <v>7.9896808446896053</v>
      </c>
      <c r="L257" s="17" t="s">
        <v>35</v>
      </c>
      <c r="M257" s="17" t="s">
        <v>35</v>
      </c>
      <c r="N257" s="17" t="s">
        <v>35</v>
      </c>
      <c r="O257" s="17" t="s">
        <v>35</v>
      </c>
      <c r="P257" s="17" t="s">
        <v>35</v>
      </c>
      <c r="Q257" s="17">
        <f>$G257/HSP!$E$2</f>
        <v>0.48583379490247119</v>
      </c>
      <c r="R257" s="17">
        <f>$H257/HSP!$E$3</f>
        <v>0.56928419907294892</v>
      </c>
      <c r="S257" s="17">
        <f>$I257/HSP!$E$4</f>
        <v>0.30973805173695029</v>
      </c>
      <c r="T257" s="17">
        <f>$J257/HSP!$E$5</f>
        <v>0.60843214450192451</v>
      </c>
      <c r="U257" s="17">
        <f>$K257/HSP!$E$6</f>
        <v>0.53984330031686523</v>
      </c>
      <c r="V257" s="12"/>
      <c r="W257" s="12"/>
      <c r="X257" s="12"/>
      <c r="Y257" s="12"/>
      <c r="Z257" s="12"/>
    </row>
    <row r="258" spans="1:26" ht="15" customHeight="1" x14ac:dyDescent="0.3">
      <c r="A258" s="26" t="s">
        <v>394</v>
      </c>
      <c r="B258" s="17">
        <v>16.2</v>
      </c>
      <c r="C258" s="17">
        <v>2</v>
      </c>
      <c r="D258" s="17">
        <v>4</v>
      </c>
      <c r="E258" s="17" t="s">
        <v>35</v>
      </c>
      <c r="F258" s="22">
        <v>322.8</v>
      </c>
      <c r="G258" s="17">
        <f>SQRT((4*(HSP!$B$2-$B258)^2+(HSP!$C$2-$C258)^2+(HSP!$D$2-$D258)^2))</f>
        <v>9.5232347445602752</v>
      </c>
      <c r="H258" s="17">
        <f>SQRT((4*(HSP!$B$3-$B258)^2+(HSP!$C$3-$C258)^2+(HSP!$D$3-$D258)^2))</f>
        <v>7.9390427634570662</v>
      </c>
      <c r="I258" s="17">
        <f>SQRT((4*(HSP!$B$4-$B258)^2+(HSP!$C$4-$C258)^2+(HSP!$D$4-$D258)^2))</f>
        <v>4.3893051841948729</v>
      </c>
      <c r="J258" s="17">
        <f>SQRT((4*(HSP!$B$5-$B258)^2+(HSP!$C$5-$C258)^2+(HSP!$D$5-$D258)^2))</f>
        <v>12.899724803266155</v>
      </c>
      <c r="K258" s="17">
        <f>SQRT((4*(HSP!$B$6-$B258)^2+(HSP!$C$6-$C258)^2+(HSP!$D$6-$D258)^2))</f>
        <v>4.806974100200665</v>
      </c>
      <c r="L258" s="17" t="s">
        <v>35</v>
      </c>
      <c r="M258" s="17" t="s">
        <v>35</v>
      </c>
      <c r="N258" s="17" t="s">
        <v>35</v>
      </c>
      <c r="O258" s="17" t="s">
        <v>35</v>
      </c>
      <c r="P258" s="17" t="s">
        <v>35</v>
      </c>
      <c r="Q258" s="17">
        <f>$G258/HSP!$E$2</f>
        <v>0.5842475303411212</v>
      </c>
      <c r="R258" s="17">
        <f>$H258/HSP!$E$3</f>
        <v>0.58807724173756049</v>
      </c>
      <c r="S258" s="17">
        <f>$I258/HSP!$E$4</f>
        <v>0.27605692982357688</v>
      </c>
      <c r="T258" s="17">
        <f>$J258/HSP!$E$5</f>
        <v>0.94158575206322304</v>
      </c>
      <c r="U258" s="17">
        <f>$K258/HSP!$E$6</f>
        <v>0.32479554731085575</v>
      </c>
      <c r="V258" s="12"/>
      <c r="W258" s="12"/>
      <c r="X258" s="12"/>
      <c r="Y258" s="12"/>
      <c r="Z258" s="12"/>
    </row>
    <row r="259" spans="1:26" ht="15" customHeight="1" x14ac:dyDescent="0.3">
      <c r="A259" s="26" t="s">
        <v>395</v>
      </c>
      <c r="B259" s="17">
        <v>15.9</v>
      </c>
      <c r="C259" s="17">
        <v>3.9</v>
      </c>
      <c r="D259" s="17">
        <v>10.5</v>
      </c>
      <c r="E259" s="17" t="s">
        <v>35</v>
      </c>
      <c r="F259" s="22">
        <v>177.8</v>
      </c>
      <c r="G259" s="17">
        <f>SQRT((4*(HSP!$B$2-$B259)^2+(HSP!$C$2-$C259)^2+(HSP!$D$2-$D259)^2))</f>
        <v>7.8856832297525123</v>
      </c>
      <c r="H259" s="17">
        <f>SQRT((4*(HSP!$B$3-$B259)^2+(HSP!$C$3-$C259)^2+(HSP!$D$3-$D259)^2))</f>
        <v>7.4334648717808571</v>
      </c>
      <c r="I259" s="17">
        <f>SQRT((4*(HSP!$B$4-$B259)^2+(HSP!$C$4-$C259)^2+(HSP!$D$4-$D259)^2))</f>
        <v>4.0533936399022492</v>
      </c>
      <c r="J259" s="17">
        <f>SQRT((4*(HSP!$B$5-$B259)^2+(HSP!$C$5-$C259)^2+(HSP!$D$5-$D259)^2))</f>
        <v>8.9199159188862325</v>
      </c>
      <c r="K259" s="17">
        <f>SQRT((4*(HSP!$B$6-$B259)^2+(HSP!$C$6-$C259)^2+(HSP!$D$6-$D259)^2))</f>
        <v>7.225717957407416</v>
      </c>
      <c r="L259" s="17" t="s">
        <v>35</v>
      </c>
      <c r="M259" s="17" t="s">
        <v>35</v>
      </c>
      <c r="N259" s="17" t="s">
        <v>35</v>
      </c>
      <c r="O259" s="17" t="s">
        <v>35</v>
      </c>
      <c r="P259" s="17" t="s">
        <v>35</v>
      </c>
      <c r="Q259" s="17">
        <f>$G259/HSP!$E$2</f>
        <v>0.48378424722408048</v>
      </c>
      <c r="R259" s="17">
        <f>$H259/HSP!$E$3</f>
        <v>0.5506270275393228</v>
      </c>
      <c r="S259" s="17">
        <f>$I259/HSP!$E$4</f>
        <v>0.25493041760391505</v>
      </c>
      <c r="T259" s="17">
        <f>$J259/HSP!$E$5</f>
        <v>0.65108875320337467</v>
      </c>
      <c r="U259" s="17">
        <f>$K259/HSP!$E$6</f>
        <v>0.48822418631131187</v>
      </c>
      <c r="V259" s="12"/>
      <c r="W259" s="12"/>
      <c r="X259" s="12"/>
      <c r="Y259" s="12"/>
      <c r="Z259" s="12"/>
    </row>
    <row r="260" spans="1:26" ht="15" customHeight="1" x14ac:dyDescent="0.3">
      <c r="A260" s="26" t="s">
        <v>396</v>
      </c>
      <c r="B260" s="17">
        <v>16</v>
      </c>
      <c r="C260" s="17">
        <v>3.9</v>
      </c>
      <c r="D260" s="17">
        <v>10.1</v>
      </c>
      <c r="E260" s="17" t="s">
        <v>35</v>
      </c>
      <c r="F260" s="22">
        <v>191.2</v>
      </c>
      <c r="G260" s="17">
        <f>SQRT((4*(HSP!$B$2-$B260)^2+(HSP!$C$2-$C260)^2+(HSP!$D$2-$D260)^2))</f>
        <v>7.7851140004498331</v>
      </c>
      <c r="H260" s="17">
        <f>SQRT((4*(HSP!$B$3-$B260)^2+(HSP!$C$3-$C260)^2+(HSP!$D$3-$D260)^2))</f>
        <v>7.2028050091613611</v>
      </c>
      <c r="I260" s="17">
        <f>SQRT((4*(HSP!$B$4-$B260)^2+(HSP!$C$4-$C260)^2+(HSP!$D$4-$D260)^2))</f>
        <v>3.7754469934035622</v>
      </c>
      <c r="J260" s="17">
        <f>SQRT((4*(HSP!$B$5-$B260)^2+(HSP!$C$5-$C260)^2+(HSP!$D$5-$D260)^2))</f>
        <v>8.9784686890360099</v>
      </c>
      <c r="K260" s="17">
        <f>SQRT((4*(HSP!$B$6-$B260)^2+(HSP!$C$6-$C260)^2+(HSP!$D$6-$D260)^2))</f>
        <v>6.8989129578506789</v>
      </c>
      <c r="L260" s="17" t="s">
        <v>35</v>
      </c>
      <c r="M260" s="17" t="s">
        <v>35</v>
      </c>
      <c r="N260" s="17" t="s">
        <v>35</v>
      </c>
      <c r="O260" s="17" t="s">
        <v>35</v>
      </c>
      <c r="P260" s="17" t="s">
        <v>35</v>
      </c>
      <c r="Q260" s="17">
        <f>$G260/HSP!$E$2</f>
        <v>0.47761435585581796</v>
      </c>
      <c r="R260" s="17">
        <f>$H260/HSP!$E$3</f>
        <v>0.5335411117897304</v>
      </c>
      <c r="S260" s="17">
        <f>$I260/HSP!$E$4</f>
        <v>0.23744949644047561</v>
      </c>
      <c r="T260" s="17">
        <f>$J260/HSP!$E$5</f>
        <v>0.65536267803182557</v>
      </c>
      <c r="U260" s="17">
        <f>$K260/HSP!$E$6</f>
        <v>0.46614276742234317</v>
      </c>
      <c r="V260" s="12"/>
      <c r="W260" s="12"/>
      <c r="X260" s="12"/>
      <c r="Y260" s="12"/>
      <c r="Z260" s="12"/>
    </row>
    <row r="261" spans="1:26" ht="15" customHeight="1" x14ac:dyDescent="0.3">
      <c r="A261" s="26" t="s">
        <v>397</v>
      </c>
      <c r="B261" s="17">
        <v>17.8</v>
      </c>
      <c r="C261" s="17">
        <v>2.2000000000000002</v>
      </c>
      <c r="D261" s="17">
        <v>4.8</v>
      </c>
      <c r="E261" s="17" t="s">
        <v>35</v>
      </c>
      <c r="F261" s="22">
        <v>293.2</v>
      </c>
      <c r="G261" s="17">
        <f>SQRT((4*(HSP!$B$2-$B261)^2+(HSP!$C$2-$C261)^2+(HSP!$D$2-$D261)^2))</f>
        <v>10.67426812479432</v>
      </c>
      <c r="H261" s="17">
        <f>SQRT((4*(HSP!$B$3-$B261)^2+(HSP!$C$3-$C261)^2+(HSP!$D$3-$D261)^2))</f>
        <v>8.6313614221627883</v>
      </c>
      <c r="I261" s="17">
        <f>SQRT((4*(HSP!$B$4-$B261)^2+(HSP!$C$4-$C261)^2+(HSP!$D$4-$D261)^2))</f>
        <v>6.1496341354587924</v>
      </c>
      <c r="J261" s="17">
        <f>SQRT((4*(HSP!$B$5-$B261)^2+(HSP!$C$5-$C261)^2+(HSP!$D$5-$D261)^2))</f>
        <v>13.185253126125414</v>
      </c>
      <c r="K261" s="17">
        <f>SQRT((4*(HSP!$B$6-$B261)^2+(HSP!$C$6-$C261)^2+(HSP!$D$6-$D261)^2))</f>
        <v>6.6632574616324121</v>
      </c>
      <c r="L261" s="17" t="s">
        <v>35</v>
      </c>
      <c r="M261" s="17" t="s">
        <v>35</v>
      </c>
      <c r="N261" s="17" t="s">
        <v>35</v>
      </c>
      <c r="O261" s="17" t="s">
        <v>35</v>
      </c>
      <c r="P261" s="17" t="s">
        <v>35</v>
      </c>
      <c r="Q261" s="17">
        <f>$G261/HSP!$E$2</f>
        <v>0.65486307514075581</v>
      </c>
      <c r="R261" s="17">
        <f>$H261/HSP!$E$3</f>
        <v>0.63936010534539178</v>
      </c>
      <c r="S261" s="17">
        <f>$I261/HSP!$E$4</f>
        <v>0.38676944248168504</v>
      </c>
      <c r="T261" s="17">
        <f>$J261/HSP!$E$5</f>
        <v>0.96242723548360687</v>
      </c>
      <c r="U261" s="17">
        <f>$K261/HSP!$E$6</f>
        <v>0.45022009875894675</v>
      </c>
      <c r="V261" s="12"/>
      <c r="W261" s="12"/>
      <c r="X261" s="12"/>
      <c r="Y261" s="12"/>
      <c r="Z261" s="12"/>
    </row>
    <row r="262" spans="1:26" ht="15" customHeight="1" x14ac:dyDescent="0.3">
      <c r="A262" s="26" t="s">
        <v>398</v>
      </c>
      <c r="B262" s="17">
        <v>16.2</v>
      </c>
      <c r="C262" s="17">
        <v>2</v>
      </c>
      <c r="D262" s="17">
        <v>4.2</v>
      </c>
      <c r="E262" s="17" t="s">
        <v>35</v>
      </c>
      <c r="F262" s="22">
        <v>301.8</v>
      </c>
      <c r="G262" s="17">
        <f>SQRT((4*(HSP!$B$2-$B262)^2+(HSP!$C$2-$C262)^2+(HSP!$D$2-$D262)^2))</f>
        <v>9.4625577937468908</v>
      </c>
      <c r="H262" s="17">
        <f>SQRT((4*(HSP!$B$3-$B262)^2+(HSP!$C$3-$C262)^2+(HSP!$D$3-$D262)^2))</f>
        <v>7.895593707885431</v>
      </c>
      <c r="I262" s="17">
        <f>SQRT((4*(HSP!$B$4-$B262)^2+(HSP!$C$4-$C262)^2+(HSP!$D$4-$D262)^2))</f>
        <v>4.2645046605672734</v>
      </c>
      <c r="J262" s="17">
        <f>SQRT((4*(HSP!$B$5-$B262)^2+(HSP!$C$5-$C262)^2+(HSP!$D$5-$D262)^2))</f>
        <v>12.793392825986389</v>
      </c>
      <c r="K262" s="17">
        <f>SQRT((4*(HSP!$B$6-$B262)^2+(HSP!$C$6-$C262)^2+(HSP!$D$6-$D262)^2))</f>
        <v>4.8173644246620988</v>
      </c>
      <c r="L262" s="17" t="s">
        <v>35</v>
      </c>
      <c r="M262" s="17" t="s">
        <v>35</v>
      </c>
      <c r="N262" s="17" t="s">
        <v>35</v>
      </c>
      <c r="O262" s="17" t="s">
        <v>35</v>
      </c>
      <c r="P262" s="17" t="s">
        <v>35</v>
      </c>
      <c r="Q262" s="17">
        <f>$G262/HSP!$E$2</f>
        <v>0.58052501802128165</v>
      </c>
      <c r="R262" s="17">
        <f>$H262/HSP!$E$3</f>
        <v>0.58485879317669864</v>
      </c>
      <c r="S262" s="17">
        <f>$I262/HSP!$E$4</f>
        <v>0.26820784028724987</v>
      </c>
      <c r="T262" s="17">
        <f>$J262/HSP!$E$5</f>
        <v>0.93382429386761967</v>
      </c>
      <c r="U262" s="17">
        <f>$K262/HSP!$E$6</f>
        <v>0.32549759626095259</v>
      </c>
      <c r="V262" s="12"/>
      <c r="W262" s="12"/>
      <c r="X262" s="12"/>
      <c r="Y262" s="12"/>
      <c r="Z262" s="12"/>
    </row>
    <row r="263" spans="1:26" ht="15" customHeight="1" x14ac:dyDescent="0.3">
      <c r="A263" s="26" t="s">
        <v>399</v>
      </c>
      <c r="B263" s="17">
        <v>17.2</v>
      </c>
      <c r="C263" s="17">
        <v>6.6</v>
      </c>
      <c r="D263" s="17">
        <v>2.9</v>
      </c>
      <c r="E263" s="17" t="s">
        <v>35</v>
      </c>
      <c r="F263" s="22">
        <v>194</v>
      </c>
      <c r="G263" s="17">
        <f>SQRT((4*(HSP!$B$2-$B263)^2+(HSP!$C$2-$C263)^2+(HSP!$D$2-$D263)^2))</f>
        <v>7.6541492015768808</v>
      </c>
      <c r="H263" s="17">
        <f>SQRT((4*(HSP!$B$3-$B263)^2+(HSP!$C$3-$C263)^2+(HSP!$D$3-$D263)^2))</f>
        <v>5.1971530668241828</v>
      </c>
      <c r="I263" s="17">
        <f>SQRT((4*(HSP!$B$4-$B263)^2+(HSP!$C$4-$C263)^2+(HSP!$D$4-$D263)^2))</f>
        <v>5.9481089431852192</v>
      </c>
      <c r="J263" s="17">
        <f>SQRT((4*(HSP!$B$5-$B263)^2+(HSP!$C$5-$C263)^2+(HSP!$D$5-$D263)^2))</f>
        <v>10.809019381979107</v>
      </c>
      <c r="K263" s="17">
        <f>SQRT((4*(HSP!$B$6-$B263)^2+(HSP!$C$6-$C263)^2+(HSP!$D$6-$D263)^2))</f>
        <v>3.9788189202324848</v>
      </c>
      <c r="L263" s="17" t="s">
        <v>35</v>
      </c>
      <c r="M263" s="17" t="s">
        <v>35</v>
      </c>
      <c r="N263" s="17" t="s">
        <v>35</v>
      </c>
      <c r="O263" s="17" t="s">
        <v>35</v>
      </c>
      <c r="P263" s="17" t="s">
        <v>35</v>
      </c>
      <c r="Q263" s="17">
        <f>$G263/HSP!$E$2</f>
        <v>0.46957970561821355</v>
      </c>
      <c r="R263" s="17">
        <f>$H263/HSP!$E$3</f>
        <v>0.38497430124623577</v>
      </c>
      <c r="S263" s="17">
        <f>$I263/HSP!$E$4</f>
        <v>0.37409490208712071</v>
      </c>
      <c r="T263" s="17">
        <f>$J263/HSP!$E$5</f>
        <v>0.78897951693278157</v>
      </c>
      <c r="U263" s="17">
        <f>$K263/HSP!$E$6</f>
        <v>0.26883911623192464</v>
      </c>
      <c r="V263" s="12"/>
      <c r="W263" s="12"/>
      <c r="X263" s="12"/>
      <c r="Y263" s="12"/>
      <c r="Z263" s="12"/>
    </row>
    <row r="264" spans="1:26" ht="15" customHeight="1" x14ac:dyDescent="0.3">
      <c r="A264" s="26" t="s">
        <v>400</v>
      </c>
      <c r="B264" s="17">
        <v>15.8</v>
      </c>
      <c r="C264" s="17">
        <v>4</v>
      </c>
      <c r="D264" s="17">
        <v>10.199999999999999</v>
      </c>
      <c r="E264" s="17" t="s">
        <v>35</v>
      </c>
      <c r="F264" s="22">
        <v>200.3</v>
      </c>
      <c r="G264" s="17">
        <f>SQRT((4*(HSP!$B$2-$B264)^2+(HSP!$C$2-$C264)^2+(HSP!$D$2-$D264)^2))</f>
        <v>7.606576102294647</v>
      </c>
      <c r="H264" s="17">
        <f>SQRT((4*(HSP!$B$3-$B264)^2+(HSP!$C$3-$C264)^2+(HSP!$D$3-$D264)^2))</f>
        <v>7.1601955280564793</v>
      </c>
      <c r="I264" s="17">
        <f>SQRT((4*(HSP!$B$4-$B264)^2+(HSP!$C$4-$C264)^2+(HSP!$D$4-$D264)^2))</f>
        <v>3.6891733491393435</v>
      </c>
      <c r="J264" s="17">
        <f>SQRT((4*(HSP!$B$5-$B264)^2+(HSP!$C$5-$C264)^2+(HSP!$D$5-$D264)^2))</f>
        <v>8.8144710561666724</v>
      </c>
      <c r="K264" s="17">
        <f>SQRT((4*(HSP!$B$6-$B264)^2+(HSP!$C$6-$C264)^2+(HSP!$D$6-$D264)^2))</f>
        <v>6.8812062895977766</v>
      </c>
      <c r="L264" s="17" t="s">
        <v>35</v>
      </c>
      <c r="M264" s="17" t="s">
        <v>35</v>
      </c>
      <c r="N264" s="17" t="s">
        <v>35</v>
      </c>
      <c r="O264" s="17" t="s">
        <v>35</v>
      </c>
      <c r="P264" s="17" t="s">
        <v>35</v>
      </c>
      <c r="Q264" s="17">
        <f>$G264/HSP!$E$2</f>
        <v>0.46666111057022375</v>
      </c>
      <c r="R264" s="17">
        <f>$H264/HSP!$E$3</f>
        <v>0.53038485393010959</v>
      </c>
      <c r="S264" s="17">
        <f>$I264/HSP!$E$4</f>
        <v>0.23202348107794613</v>
      </c>
      <c r="T264" s="17">
        <f>$J264/HSP!$E$5</f>
        <v>0.64339204789537763</v>
      </c>
      <c r="U264" s="17">
        <f>$K264/HSP!$E$6</f>
        <v>0.46494637091876867</v>
      </c>
      <c r="V264" s="12"/>
      <c r="W264" s="12"/>
      <c r="X264" s="12"/>
      <c r="Y264" s="12"/>
      <c r="Z264" s="12"/>
    </row>
    <row r="265" spans="1:26" ht="15" customHeight="1" x14ac:dyDescent="0.3">
      <c r="A265" s="26" t="s">
        <v>401</v>
      </c>
      <c r="B265" s="17">
        <v>16</v>
      </c>
      <c r="C265" s="17">
        <v>6.6</v>
      </c>
      <c r="D265" s="17">
        <v>4.2</v>
      </c>
      <c r="E265" s="17" t="s">
        <v>35</v>
      </c>
      <c r="F265" s="22">
        <v>204.8</v>
      </c>
      <c r="G265" s="17">
        <f>SQRT((4*(HSP!$B$2-$B265)^2+(HSP!$C$2-$C265)^2+(HSP!$D$2-$D265)^2))</f>
        <v>5.5197826044147806</v>
      </c>
      <c r="H265" s="17">
        <f>SQRT((4*(HSP!$B$3-$B265)^2+(HSP!$C$3-$C265)^2+(HSP!$D$3-$D265)^2))</f>
        <v>3.5174422525465867</v>
      </c>
      <c r="I265" s="17">
        <f>SQRT((4*(HSP!$B$4-$B265)^2+(HSP!$C$4-$C265)^2+(HSP!$D$4-$D265)^2))</f>
        <v>3.6334556554332678</v>
      </c>
      <c r="J265" s="17">
        <f>SQRT((4*(HSP!$B$5-$B265)^2+(HSP!$C$5-$C265)^2+(HSP!$D$5-$D265)^2))</f>
        <v>9.2129745468008331</v>
      </c>
      <c r="K265" s="17">
        <f>SQRT((4*(HSP!$B$6-$B265)^2+(HSP!$C$6-$C265)^2+(HSP!$D$6-$D265)^2))</f>
        <v>1.5109599597606822</v>
      </c>
      <c r="L265" s="17" t="s">
        <v>35</v>
      </c>
      <c r="M265" s="17" t="s">
        <v>35</v>
      </c>
      <c r="N265" s="17" t="s">
        <v>35</v>
      </c>
      <c r="O265" s="17" t="s">
        <v>35</v>
      </c>
      <c r="P265" s="17" t="s">
        <v>35</v>
      </c>
      <c r="Q265" s="17">
        <f>$G265/HSP!$E$2</f>
        <v>0.33863696959599882</v>
      </c>
      <c r="R265" s="17">
        <f>$H265/HSP!$E$3</f>
        <v>0.26055127796641381</v>
      </c>
      <c r="S265" s="17">
        <f>$I265/HSP!$E$4</f>
        <v>0.22851922361215521</v>
      </c>
      <c r="T265" s="17">
        <f>$J265/HSP!$E$5</f>
        <v>0.6724798939270682</v>
      </c>
      <c r="U265" s="17">
        <f>$K265/HSP!$E$6</f>
        <v>0.10209188917301906</v>
      </c>
      <c r="V265" s="12"/>
      <c r="W265" s="12"/>
      <c r="X265" s="12"/>
      <c r="Y265" s="12"/>
      <c r="Z265" s="12"/>
    </row>
    <row r="266" spans="1:26" ht="15" customHeight="1" x14ac:dyDescent="0.3">
      <c r="A266" s="26" t="s">
        <v>402</v>
      </c>
      <c r="B266" s="17">
        <v>16</v>
      </c>
      <c r="C266" s="17">
        <v>6.6</v>
      </c>
      <c r="D266" s="17">
        <v>5</v>
      </c>
      <c r="E266" s="17" t="s">
        <v>35</v>
      </c>
      <c r="F266" s="22">
        <v>202.4</v>
      </c>
      <c r="G266" s="17">
        <f>SQRT((4*(HSP!$B$2-$B266)^2+(HSP!$C$2-$C266)^2+(HSP!$D$2-$D266)^2))</f>
        <v>5.1633322573702358</v>
      </c>
      <c r="H266" s="17">
        <f>SQRT((4*(HSP!$B$3-$B266)^2+(HSP!$C$3-$C266)^2+(HSP!$D$3-$D266)^2))</f>
        <v>3.2280644355402828</v>
      </c>
      <c r="I266" s="17">
        <f>SQRT((4*(HSP!$B$4-$B266)^2+(HSP!$C$4-$C266)^2+(HSP!$D$4-$D266)^2))</f>
        <v>3.1115912327939217</v>
      </c>
      <c r="J266" s="17">
        <f>SQRT((4*(HSP!$B$5-$B266)^2+(HSP!$C$5-$C266)^2+(HSP!$D$5-$D266)^2))</f>
        <v>8.645860281082502</v>
      </c>
      <c r="K266" s="17">
        <f>SQRT((4*(HSP!$B$6-$B266)^2+(HSP!$C$6-$C266)^2+(HSP!$D$6-$D266)^2))</f>
        <v>1.8662797217994955</v>
      </c>
      <c r="L266" s="17" t="s">
        <v>35</v>
      </c>
      <c r="M266" s="17" t="s">
        <v>35</v>
      </c>
      <c r="N266" s="17" t="s">
        <v>35</v>
      </c>
      <c r="O266" s="17" t="s">
        <v>35</v>
      </c>
      <c r="P266" s="17" t="s">
        <v>35</v>
      </c>
      <c r="Q266" s="17">
        <f>$G266/HSP!$E$2</f>
        <v>0.31676885014541323</v>
      </c>
      <c r="R266" s="17">
        <f>$H266/HSP!$E$3</f>
        <v>0.23911588411409501</v>
      </c>
      <c r="S266" s="17">
        <f>$I266/HSP!$E$4</f>
        <v>0.19569756181093848</v>
      </c>
      <c r="T266" s="17">
        <f>$J266/HSP!$E$5</f>
        <v>0.63108469204981765</v>
      </c>
      <c r="U266" s="17">
        <f>$K266/HSP!$E$6</f>
        <v>0.1260999812026686</v>
      </c>
      <c r="V266" s="12"/>
      <c r="W266" s="12"/>
      <c r="X266" s="12"/>
      <c r="Y266" s="12"/>
      <c r="Z266" s="12"/>
    </row>
    <row r="267" spans="1:26" ht="15" customHeight="1" x14ac:dyDescent="0.3">
      <c r="A267" s="26" t="s">
        <v>403</v>
      </c>
      <c r="B267" s="17">
        <v>19.399999999999999</v>
      </c>
      <c r="C267" s="17">
        <v>9.8000000000000007</v>
      </c>
      <c r="D267" s="17">
        <v>11.2</v>
      </c>
      <c r="E267" s="17" t="s">
        <v>35</v>
      </c>
      <c r="F267" s="22">
        <v>144.1</v>
      </c>
      <c r="G267" s="17">
        <f>SQRT((4*(HSP!$B$2-$B267)^2+(HSP!$C$2-$C267)^2+(HSP!$D$2-$D267)^2))</f>
        <v>10.507330774273738</v>
      </c>
      <c r="H267" s="17">
        <f>SQRT((4*(HSP!$B$3-$B267)^2+(HSP!$C$3-$C267)^2+(HSP!$D$3-$D267)^2))</f>
        <v>9.1662642335904749</v>
      </c>
      <c r="I267" s="17">
        <f>SQRT((4*(HSP!$B$4-$B267)^2+(HSP!$C$4-$C267)^2+(HSP!$D$4-$D267)^2))</f>
        <v>10.823400574680768</v>
      </c>
      <c r="J267" s="17">
        <f>SQRT((4*(HSP!$B$5-$B267)^2+(HSP!$C$5-$C267)^2+(HSP!$D$5-$D267)^2))</f>
        <v>8.7650955499640713</v>
      </c>
      <c r="K267" s="17">
        <f>SQRT((4*(HSP!$B$6-$B267)^2+(HSP!$C$6-$C267)^2+(HSP!$D$6-$D267)^2))</f>
        <v>11.558849423709956</v>
      </c>
      <c r="L267" s="17" t="s">
        <v>35</v>
      </c>
      <c r="M267" s="17" t="s">
        <v>35</v>
      </c>
      <c r="N267" s="17" t="s">
        <v>35</v>
      </c>
      <c r="O267" s="17" t="s">
        <v>35</v>
      </c>
      <c r="P267" s="17" t="s">
        <v>35</v>
      </c>
      <c r="Q267" s="17">
        <f>$G267/HSP!$E$2</f>
        <v>0.64462151989409433</v>
      </c>
      <c r="R267" s="17">
        <f>$H267/HSP!$E$3</f>
        <v>0.67898253582151669</v>
      </c>
      <c r="S267" s="17">
        <f>$I267/HSP!$E$4</f>
        <v>0.68071701727552003</v>
      </c>
      <c r="T267" s="17">
        <f>$J267/HSP!$E$5</f>
        <v>0.63978799634774242</v>
      </c>
      <c r="U267" s="17">
        <f>$K267/HSP!$E$6</f>
        <v>0.78100333943986189</v>
      </c>
      <c r="V267" s="12"/>
      <c r="W267" s="12"/>
      <c r="X267" s="12"/>
      <c r="Y267" s="12"/>
      <c r="Z267" s="12"/>
    </row>
    <row r="268" spans="1:26" ht="15" customHeight="1" x14ac:dyDescent="0.3">
      <c r="A268" s="26" t="s">
        <v>404</v>
      </c>
      <c r="B268" s="17">
        <v>19.2</v>
      </c>
      <c r="C268" s="17">
        <v>4.4000000000000004</v>
      </c>
      <c r="D268" s="17">
        <v>9.4</v>
      </c>
      <c r="E268" s="17" t="s">
        <v>35</v>
      </c>
      <c r="F268" s="22">
        <v>127.7</v>
      </c>
      <c r="G268" s="17">
        <f>SQRT((4*(HSP!$B$2-$B268)^2+(HSP!$C$2-$C268)^2+(HSP!$D$2-$D268)^2))</f>
        <v>11.279184367674818</v>
      </c>
      <c r="H268" s="17">
        <f>SQRT((4*(HSP!$B$3-$B268)^2+(HSP!$C$3-$C268)^2+(HSP!$D$3-$D268)^2))</f>
        <v>9.4744076331979716</v>
      </c>
      <c r="I268" s="17">
        <f>SQRT((4*(HSP!$B$4-$B268)^2+(HSP!$C$4-$C268)^2+(HSP!$D$4-$D268)^2))</f>
        <v>8.4736060800582411</v>
      </c>
      <c r="J268" s="17">
        <f>SQRT((4*(HSP!$B$5-$B268)^2+(HSP!$C$5-$C268)^2+(HSP!$D$5-$D268)^2))</f>
        <v>11.547419625180337</v>
      </c>
      <c r="K268" s="17">
        <f>SQRT((4*(HSP!$B$6-$B268)^2+(HSP!$C$6-$C268)^2+(HSP!$D$6-$D268)^2))</f>
        <v>9.8337683519594865</v>
      </c>
      <c r="L268" s="17" t="s">
        <v>35</v>
      </c>
      <c r="M268" s="17" t="s">
        <v>35</v>
      </c>
      <c r="N268" s="17" t="s">
        <v>35</v>
      </c>
      <c r="O268" s="17" t="s">
        <v>35</v>
      </c>
      <c r="P268" s="17" t="s">
        <v>35</v>
      </c>
      <c r="Q268" s="17">
        <f>$G268/HSP!$E$2</f>
        <v>0.69197450108434466</v>
      </c>
      <c r="R268" s="17">
        <f>$H268/HSP!$E$3</f>
        <v>0.70180797282947938</v>
      </c>
      <c r="S268" s="17">
        <f>$I268/HSP!$E$4</f>
        <v>0.5329312000036629</v>
      </c>
      <c r="T268" s="17">
        <f>$J268/HSP!$E$5</f>
        <v>0.84287734490367427</v>
      </c>
      <c r="U268" s="17">
        <f>$K268/HSP!$E$6</f>
        <v>0.66444380756483012</v>
      </c>
      <c r="V268" s="12"/>
      <c r="W268" s="12"/>
      <c r="X268" s="12"/>
      <c r="Y268" s="12"/>
      <c r="Z268" s="12"/>
    </row>
    <row r="269" spans="1:26" ht="15" customHeight="1" x14ac:dyDescent="0.3">
      <c r="A269" s="26" t="s">
        <v>405</v>
      </c>
      <c r="B269" s="17">
        <v>16</v>
      </c>
      <c r="C269" s="17">
        <v>2.2000000000000002</v>
      </c>
      <c r="D269" s="17">
        <v>4.9000000000000004</v>
      </c>
      <c r="E269" s="17" t="s">
        <v>35</v>
      </c>
      <c r="F269" s="22">
        <v>215.2</v>
      </c>
      <c r="G269" s="17">
        <f>SQRT((4*(HSP!$B$2-$B269)^2+(HSP!$C$2-$C269)^2+(HSP!$D$2-$D269)^2))</f>
        <v>8.9662701275391008</v>
      </c>
      <c r="H269" s="17">
        <f>SQRT((4*(HSP!$B$3-$B269)^2+(HSP!$C$3-$C269)^2+(HSP!$D$3-$D269)^2))</f>
        <v>7.5420421637644006</v>
      </c>
      <c r="I269" s="17">
        <f>SQRT((4*(HSP!$B$4-$B269)^2+(HSP!$C$4-$C269)^2+(HSP!$D$4-$D269)^2))</f>
        <v>3.5377959240182291</v>
      </c>
      <c r="J269" s="17">
        <f>SQRT((4*(HSP!$B$5-$B269)^2+(HSP!$C$5-$C269)^2+(HSP!$D$5-$D269)^2))</f>
        <v>12.213226436941222</v>
      </c>
      <c r="K269" s="17">
        <f>SQRT((4*(HSP!$B$6-$B269)^2+(HSP!$C$6-$C269)^2+(HSP!$D$6-$D269)^2))</f>
        <v>4.5964116438804741</v>
      </c>
      <c r="L269" s="17" t="s">
        <v>35</v>
      </c>
      <c r="M269" s="17" t="s">
        <v>35</v>
      </c>
      <c r="N269" s="17" t="s">
        <v>35</v>
      </c>
      <c r="O269" s="17" t="s">
        <v>35</v>
      </c>
      <c r="P269" s="17" t="s">
        <v>35</v>
      </c>
      <c r="Q269" s="17">
        <f>$G269/HSP!$E$2</f>
        <v>0.55007792193491412</v>
      </c>
      <c r="R269" s="17">
        <f>$H269/HSP!$E$3</f>
        <v>0.55866978990847416</v>
      </c>
      <c r="S269" s="17">
        <f>$I269/HSP!$E$4</f>
        <v>0.22250288830303327</v>
      </c>
      <c r="T269" s="17">
        <f>$J269/HSP!$E$5</f>
        <v>0.89147638225848336</v>
      </c>
      <c r="U269" s="17">
        <f>$K269/HSP!$E$6</f>
        <v>0.31056835431624824</v>
      </c>
      <c r="V269" s="12"/>
      <c r="W269" s="12"/>
      <c r="X269" s="12"/>
      <c r="Y269" s="12"/>
      <c r="Z269" s="12"/>
    </row>
    <row r="270" spans="1:26" ht="15" customHeight="1" x14ac:dyDescent="0.3">
      <c r="A270" s="26" t="s">
        <v>406</v>
      </c>
      <c r="B270" s="17">
        <v>16</v>
      </c>
      <c r="C270" s="17">
        <v>2.2000000000000002</v>
      </c>
      <c r="D270" s="17">
        <v>4.9000000000000004</v>
      </c>
      <c r="E270" s="17" t="s">
        <v>35</v>
      </c>
      <c r="F270" s="22">
        <v>215.2</v>
      </c>
      <c r="G270" s="17">
        <f>SQRT((4*(HSP!$B$2-$B270)^2+(HSP!$C$2-$C270)^2+(HSP!$D$2-$D270)^2))</f>
        <v>8.9662701275391008</v>
      </c>
      <c r="H270" s="17">
        <f>SQRT((4*(HSP!$B$3-$B270)^2+(HSP!$C$3-$C270)^2+(HSP!$D$3-$D270)^2))</f>
        <v>7.5420421637644006</v>
      </c>
      <c r="I270" s="17">
        <f>SQRT((4*(HSP!$B$4-$B270)^2+(HSP!$C$4-$C270)^2+(HSP!$D$4-$D270)^2))</f>
        <v>3.5377959240182291</v>
      </c>
      <c r="J270" s="17">
        <f>SQRT((4*(HSP!$B$5-$B270)^2+(HSP!$C$5-$C270)^2+(HSP!$D$5-$D270)^2))</f>
        <v>12.213226436941222</v>
      </c>
      <c r="K270" s="17">
        <f>SQRT((4*(HSP!$B$6-$B270)^2+(HSP!$C$6-$C270)^2+(HSP!$D$6-$D270)^2))</f>
        <v>4.5964116438804741</v>
      </c>
      <c r="L270" s="17" t="s">
        <v>35</v>
      </c>
      <c r="M270" s="17" t="s">
        <v>35</v>
      </c>
      <c r="N270" s="17" t="s">
        <v>35</v>
      </c>
      <c r="O270" s="17" t="s">
        <v>35</v>
      </c>
      <c r="P270" s="17" t="s">
        <v>35</v>
      </c>
      <c r="Q270" s="17">
        <f>$G270/HSP!$E$2</f>
        <v>0.55007792193491412</v>
      </c>
      <c r="R270" s="17">
        <f>$H270/HSP!$E$3</f>
        <v>0.55866978990847416</v>
      </c>
      <c r="S270" s="17">
        <f>$I270/HSP!$E$4</f>
        <v>0.22250288830303327</v>
      </c>
      <c r="T270" s="17">
        <f>$J270/HSP!$E$5</f>
        <v>0.89147638225848336</v>
      </c>
      <c r="U270" s="17">
        <f>$K270/HSP!$E$6</f>
        <v>0.31056835431624824</v>
      </c>
      <c r="V270" s="12"/>
      <c r="W270" s="12"/>
      <c r="X270" s="12"/>
      <c r="Y270" s="12"/>
      <c r="Z270" s="12"/>
    </row>
    <row r="271" spans="1:26" ht="15" customHeight="1" x14ac:dyDescent="0.3">
      <c r="A271" s="26" t="s">
        <v>407</v>
      </c>
      <c r="B271" s="17">
        <v>18</v>
      </c>
      <c r="C271" s="17">
        <v>4.9000000000000004</v>
      </c>
      <c r="D271" s="17">
        <v>4.5999999999999996</v>
      </c>
      <c r="E271" s="17" t="s">
        <v>35</v>
      </c>
      <c r="F271" s="22">
        <v>217.6</v>
      </c>
      <c r="G271" s="17">
        <f>SQRT((4*(HSP!$B$2-$B271)^2+(HSP!$C$2-$C271)^2+(HSP!$D$2-$D271)^2))</f>
        <v>9.1004395498239532</v>
      </c>
      <c r="H271" s="17">
        <f>SQRT((4*(HSP!$B$3-$B271)^2+(HSP!$C$3-$C271)^2+(HSP!$D$3-$D271)^2))</f>
        <v>6.7446571447331563</v>
      </c>
      <c r="I271" s="17">
        <f>SQRT((4*(HSP!$B$4-$B271)^2+(HSP!$C$4-$C271)^2+(HSP!$D$4-$D271)^2))</f>
        <v>6.076512157479816</v>
      </c>
      <c r="J271" s="17">
        <f>SQRT((4*(HSP!$B$5-$B271)^2+(HSP!$C$5-$C271)^2+(HSP!$D$5-$D271)^2))</f>
        <v>11.446960295205011</v>
      </c>
      <c r="K271" s="17">
        <f>SQRT((4*(HSP!$B$6-$B271)^2+(HSP!$C$6-$C271)^2+(HSP!$D$6-$D271)^2))</f>
        <v>5.7197027894812864</v>
      </c>
      <c r="L271" s="17" t="s">
        <v>35</v>
      </c>
      <c r="M271" s="17" t="s">
        <v>35</v>
      </c>
      <c r="N271" s="17" t="s">
        <v>35</v>
      </c>
      <c r="O271" s="17" t="s">
        <v>35</v>
      </c>
      <c r="P271" s="17" t="s">
        <v>35</v>
      </c>
      <c r="Q271" s="17">
        <f>$G271/HSP!$E$2</f>
        <v>0.55830917483582532</v>
      </c>
      <c r="R271" s="17">
        <f>$H271/HSP!$E$3</f>
        <v>0.49960423294319678</v>
      </c>
      <c r="S271" s="17">
        <f>$I271/HSP!$E$4</f>
        <v>0.38217057594212678</v>
      </c>
      <c r="T271" s="17">
        <f>$J271/HSP!$E$5</f>
        <v>0.83554454709525638</v>
      </c>
      <c r="U271" s="17">
        <f>$K271/HSP!$E$6</f>
        <v>0.38646640469468152</v>
      </c>
      <c r="V271" s="12"/>
      <c r="W271" s="12"/>
      <c r="X271" s="12"/>
      <c r="Y271" s="12"/>
      <c r="Z271" s="12"/>
    </row>
    <row r="272" spans="1:26" ht="15" customHeight="1" x14ac:dyDescent="0.3">
      <c r="A272" s="26" t="s">
        <v>408</v>
      </c>
      <c r="B272" s="17">
        <v>17.3</v>
      </c>
      <c r="C272" s="17">
        <v>9.5</v>
      </c>
      <c r="D272" s="17">
        <v>4.7</v>
      </c>
      <c r="E272" s="17" t="s">
        <v>35</v>
      </c>
      <c r="F272" s="22">
        <v>215.2</v>
      </c>
      <c r="G272" s="17">
        <f>SQRT((4*(HSP!$B$2-$B272)^2+(HSP!$C$2-$C272)^2+(HSP!$D$2-$D272)^2))</f>
        <v>5.9396969619670008</v>
      </c>
      <c r="H272" s="17">
        <f>SQRT((4*(HSP!$B$3-$B272)^2+(HSP!$C$3-$C272)^2+(HSP!$D$3-$D272)^2))</f>
        <v>3.4129752416330268</v>
      </c>
      <c r="I272" s="17">
        <f>SQRT((4*(HSP!$B$4-$B272)^2+(HSP!$C$4-$C272)^2+(HSP!$D$4-$D272)^2))</f>
        <v>6.7668308682868687</v>
      </c>
      <c r="J272" s="17">
        <f>SQRT((4*(HSP!$B$5-$B272)^2+(HSP!$C$5-$C272)^2+(HSP!$D$5-$D272)^2))</f>
        <v>8.1033881802613905</v>
      </c>
      <c r="K272" s="17">
        <f>SQRT((4*(HSP!$B$6-$B272)^2+(HSP!$C$6-$C272)^2+(HSP!$D$6-$D272)^2))</f>
        <v>5.1605232292859622</v>
      </c>
      <c r="L272" s="17" t="s">
        <v>35</v>
      </c>
      <c r="M272" s="17" t="s">
        <v>35</v>
      </c>
      <c r="N272" s="17" t="s">
        <v>35</v>
      </c>
      <c r="O272" s="17" t="s">
        <v>35</v>
      </c>
      <c r="P272" s="17" t="s">
        <v>35</v>
      </c>
      <c r="Q272" s="17">
        <f>$G272/HSP!$E$2</f>
        <v>0.36439858662374236</v>
      </c>
      <c r="R272" s="17">
        <f>$H272/HSP!$E$3</f>
        <v>0.25281298086170567</v>
      </c>
      <c r="S272" s="17">
        <f>$I272/HSP!$E$4</f>
        <v>0.42558684706206723</v>
      </c>
      <c r="T272" s="17">
        <f>$J272/HSP!$E$5</f>
        <v>0.59148818834024752</v>
      </c>
      <c r="U272" s="17">
        <f>$K272/HSP!$E$6</f>
        <v>0.34868400197878119</v>
      </c>
      <c r="V272" s="12"/>
      <c r="W272" s="12"/>
      <c r="X272" s="12"/>
      <c r="Y272" s="12"/>
      <c r="Z272" s="12"/>
    </row>
    <row r="273" spans="1:26" ht="15" customHeight="1" x14ac:dyDescent="0.3">
      <c r="A273" s="26" t="s">
        <v>409</v>
      </c>
      <c r="B273" s="17">
        <v>16.5</v>
      </c>
      <c r="C273" s="17">
        <v>4.0999999999999996</v>
      </c>
      <c r="D273" s="17">
        <v>5.4</v>
      </c>
      <c r="E273" s="17" t="s">
        <v>35</v>
      </c>
      <c r="F273" s="22">
        <v>219.5</v>
      </c>
      <c r="G273" s="17">
        <f>SQRT((4*(HSP!$B$2-$B273)^2+(HSP!$C$2-$C273)^2+(HSP!$D$2-$D273)^2))</f>
        <v>7.5753547771705074</v>
      </c>
      <c r="H273" s="17">
        <f>SQRT((4*(HSP!$B$3-$B273)^2+(HSP!$C$3-$C273)^2+(HSP!$D$3-$D273)^2))</f>
        <v>5.806410250748737</v>
      </c>
      <c r="I273" s="17">
        <f>SQRT((4*(HSP!$B$4-$B273)^2+(HSP!$C$4-$C273)^2+(HSP!$D$4-$D273)^2))</f>
        <v>3.0613722413323083</v>
      </c>
      <c r="J273" s="17">
        <f>SQRT((4*(HSP!$B$5-$B273)^2+(HSP!$C$5-$C273)^2+(HSP!$D$5-$D273)^2))</f>
        <v>10.53265873367214</v>
      </c>
      <c r="K273" s="17">
        <f>SQRT((4*(HSP!$B$6-$B273)^2+(HSP!$C$6-$C273)^2+(HSP!$D$6-$D273)^2))</f>
        <v>3.7259898013816417</v>
      </c>
      <c r="L273" s="17" t="s">
        <v>35</v>
      </c>
      <c r="M273" s="17" t="s">
        <v>35</v>
      </c>
      <c r="N273" s="17" t="s">
        <v>35</v>
      </c>
      <c r="O273" s="17" t="s">
        <v>35</v>
      </c>
      <c r="P273" s="17" t="s">
        <v>35</v>
      </c>
      <c r="Q273" s="17">
        <f>$G273/HSP!$E$2</f>
        <v>0.46474569185095138</v>
      </c>
      <c r="R273" s="17">
        <f>$H273/HSP!$E$3</f>
        <v>0.43010446301842498</v>
      </c>
      <c r="S273" s="17">
        <f>$I273/HSP!$E$4</f>
        <v>0.19253913467498796</v>
      </c>
      <c r="T273" s="17">
        <f>$J273/HSP!$E$5</f>
        <v>0.76880720683738246</v>
      </c>
      <c r="U273" s="17">
        <f>$K273/HSP!$E$6</f>
        <v>0.25175606766092173</v>
      </c>
      <c r="V273" s="12"/>
      <c r="W273" s="12"/>
      <c r="X273" s="12"/>
      <c r="Y273" s="12"/>
      <c r="Z273" s="12"/>
    </row>
    <row r="274" spans="1:26" ht="15" customHeight="1" x14ac:dyDescent="0.3">
      <c r="A274" s="26" t="s">
        <v>410</v>
      </c>
      <c r="B274" s="17">
        <v>16.5</v>
      </c>
      <c r="C274" s="17">
        <v>4.0999999999999996</v>
      </c>
      <c r="D274" s="17">
        <v>5.4</v>
      </c>
      <c r="E274" s="17" t="s">
        <v>35</v>
      </c>
      <c r="F274" s="22">
        <v>221.5</v>
      </c>
      <c r="G274" s="17">
        <f>SQRT((4*(HSP!$B$2-$B274)^2+(HSP!$C$2-$C274)^2+(HSP!$D$2-$D274)^2))</f>
        <v>7.5753547771705074</v>
      </c>
      <c r="H274" s="17">
        <f>SQRT((4*(HSP!$B$3-$B274)^2+(HSP!$C$3-$C274)^2+(HSP!$D$3-$D274)^2))</f>
        <v>5.806410250748737</v>
      </c>
      <c r="I274" s="17">
        <f>SQRT((4*(HSP!$B$4-$B274)^2+(HSP!$C$4-$C274)^2+(HSP!$D$4-$D274)^2))</f>
        <v>3.0613722413323083</v>
      </c>
      <c r="J274" s="17">
        <f>SQRT((4*(HSP!$B$5-$B274)^2+(HSP!$C$5-$C274)^2+(HSP!$D$5-$D274)^2))</f>
        <v>10.53265873367214</v>
      </c>
      <c r="K274" s="17">
        <f>SQRT((4*(HSP!$B$6-$B274)^2+(HSP!$C$6-$C274)^2+(HSP!$D$6-$D274)^2))</f>
        <v>3.7259898013816417</v>
      </c>
      <c r="L274" s="17" t="s">
        <v>35</v>
      </c>
      <c r="M274" s="17" t="s">
        <v>35</v>
      </c>
      <c r="N274" s="17" t="s">
        <v>35</v>
      </c>
      <c r="O274" s="17" t="s">
        <v>35</v>
      </c>
      <c r="P274" s="17" t="s">
        <v>35</v>
      </c>
      <c r="Q274" s="17">
        <f>$G274/HSP!$E$2</f>
        <v>0.46474569185095138</v>
      </c>
      <c r="R274" s="17">
        <f>$H274/HSP!$E$3</f>
        <v>0.43010446301842498</v>
      </c>
      <c r="S274" s="17">
        <f>$I274/HSP!$E$4</f>
        <v>0.19253913467498796</v>
      </c>
      <c r="T274" s="17">
        <f>$J274/HSP!$E$5</f>
        <v>0.76880720683738246</v>
      </c>
      <c r="U274" s="17">
        <f>$K274/HSP!$E$6</f>
        <v>0.25175606766092173</v>
      </c>
      <c r="V274" s="12"/>
      <c r="W274" s="12"/>
      <c r="X274" s="12"/>
      <c r="Y274" s="12"/>
      <c r="Z274" s="12"/>
    </row>
    <row r="275" spans="1:26" ht="15" customHeight="1" x14ac:dyDescent="0.3">
      <c r="A275" s="26" t="s">
        <v>411</v>
      </c>
      <c r="B275" s="17">
        <v>17.100000000000001</v>
      </c>
      <c r="C275" s="17">
        <v>9.5</v>
      </c>
      <c r="D275" s="17">
        <v>4.7</v>
      </c>
      <c r="E275" s="17" t="s">
        <v>35</v>
      </c>
      <c r="F275" s="22">
        <v>216.3</v>
      </c>
      <c r="G275" s="17">
        <f>SQRT((4*(HSP!$B$2-$B275)^2+(HSP!$C$2-$C275)^2+(HSP!$D$2-$D275)^2))</f>
        <v>5.5785302723925447</v>
      </c>
      <c r="H275" s="17">
        <f>SQRT((4*(HSP!$B$3-$B275)^2+(HSP!$C$3-$C275)^2+(HSP!$D$3-$D275)^2))</f>
        <v>3.038486465331057</v>
      </c>
      <c r="I275" s="17">
        <f>SQRT((4*(HSP!$B$4-$B275)^2+(HSP!$C$4-$C275)^2+(HSP!$D$4-$D275)^2))</f>
        <v>6.5224228627098402</v>
      </c>
      <c r="J275" s="17">
        <f>SQRT((4*(HSP!$B$5-$B275)^2+(HSP!$C$5-$C275)^2+(HSP!$D$5-$D275)^2))</f>
        <v>7.9105562383438004</v>
      </c>
      <c r="K275" s="17">
        <f>SQRT((4*(HSP!$B$6-$B275)^2+(HSP!$C$6-$C275)^2+(HSP!$D$6-$D275)^2))</f>
        <v>4.8521129418017495</v>
      </c>
      <c r="L275" s="17" t="s">
        <v>35</v>
      </c>
      <c r="M275" s="17" t="s">
        <v>35</v>
      </c>
      <c r="N275" s="17" t="s">
        <v>35</v>
      </c>
      <c r="O275" s="17" t="s">
        <v>35</v>
      </c>
      <c r="P275" s="17" t="s">
        <v>35</v>
      </c>
      <c r="Q275" s="17">
        <f>$G275/HSP!$E$2</f>
        <v>0.34224112100567755</v>
      </c>
      <c r="R275" s="17">
        <f>$H275/HSP!$E$3</f>
        <v>0.22507307150600422</v>
      </c>
      <c r="S275" s="17">
        <f>$I275/HSP!$E$4</f>
        <v>0.41021527438426669</v>
      </c>
      <c r="T275" s="17">
        <f>$J275/HSP!$E$5</f>
        <v>0.57741286411268622</v>
      </c>
      <c r="U275" s="17">
        <f>$K275/HSP!$E$6</f>
        <v>0.32784546904065875</v>
      </c>
      <c r="V275" s="12"/>
      <c r="W275" s="12"/>
      <c r="X275" s="12"/>
      <c r="Y275" s="12"/>
      <c r="Z275" s="12"/>
    </row>
    <row r="276" spans="1:26" ht="15" customHeight="1" x14ac:dyDescent="0.3">
      <c r="A276" s="26" t="s">
        <v>412</v>
      </c>
      <c r="B276" s="17">
        <v>16.5</v>
      </c>
      <c r="C276" s="17">
        <v>4.0999999999999996</v>
      </c>
      <c r="D276" s="17">
        <v>5.4</v>
      </c>
      <c r="E276" s="17" t="s">
        <v>35</v>
      </c>
      <c r="F276" s="22">
        <v>221.5</v>
      </c>
      <c r="G276" s="17">
        <f>SQRT((4*(HSP!$B$2-$B276)^2+(HSP!$C$2-$C276)^2+(HSP!$D$2-$D276)^2))</f>
        <v>7.5753547771705074</v>
      </c>
      <c r="H276" s="17">
        <f>SQRT((4*(HSP!$B$3-$B276)^2+(HSP!$C$3-$C276)^2+(HSP!$D$3-$D276)^2))</f>
        <v>5.806410250748737</v>
      </c>
      <c r="I276" s="17">
        <f>SQRT((4*(HSP!$B$4-$B276)^2+(HSP!$C$4-$C276)^2+(HSP!$D$4-$D276)^2))</f>
        <v>3.0613722413323083</v>
      </c>
      <c r="J276" s="17">
        <f>SQRT((4*(HSP!$B$5-$B276)^2+(HSP!$C$5-$C276)^2+(HSP!$D$5-$D276)^2))</f>
        <v>10.53265873367214</v>
      </c>
      <c r="K276" s="17">
        <f>SQRT((4*(HSP!$B$6-$B276)^2+(HSP!$C$6-$C276)^2+(HSP!$D$6-$D276)^2))</f>
        <v>3.7259898013816417</v>
      </c>
      <c r="L276" s="17" t="s">
        <v>35</v>
      </c>
      <c r="M276" s="17" t="s">
        <v>35</v>
      </c>
      <c r="N276" s="17" t="s">
        <v>35</v>
      </c>
      <c r="O276" s="17" t="s">
        <v>35</v>
      </c>
      <c r="P276" s="17" t="s">
        <v>35</v>
      </c>
      <c r="Q276" s="17">
        <f>$G276/HSP!$E$2</f>
        <v>0.46474569185095138</v>
      </c>
      <c r="R276" s="17">
        <f>$H276/HSP!$E$3</f>
        <v>0.43010446301842498</v>
      </c>
      <c r="S276" s="17">
        <f>$I276/HSP!$E$4</f>
        <v>0.19253913467498796</v>
      </c>
      <c r="T276" s="17">
        <f>$J276/HSP!$E$5</f>
        <v>0.76880720683738246</v>
      </c>
      <c r="U276" s="17">
        <f>$K276/HSP!$E$6</f>
        <v>0.25175606766092173</v>
      </c>
      <c r="V276" s="21"/>
      <c r="W276" s="21"/>
      <c r="X276" s="21"/>
      <c r="Y276" s="21"/>
      <c r="Z276" s="21"/>
    </row>
    <row r="277" spans="1:26" ht="15" customHeight="1" x14ac:dyDescent="0.3">
      <c r="A277" s="26" t="s">
        <v>413</v>
      </c>
      <c r="B277" s="17">
        <v>16.899999999999999</v>
      </c>
      <c r="C277" s="17">
        <v>1.8</v>
      </c>
      <c r="D277" s="17">
        <v>3.1</v>
      </c>
      <c r="E277" s="17" t="s">
        <v>35</v>
      </c>
      <c r="F277" s="22">
        <v>159.5</v>
      </c>
      <c r="G277" s="17">
        <f>SQRT((4*(HSP!$B$2-$B277)^2+(HSP!$C$2-$C277)^2+(HSP!$D$2-$D277)^2))</f>
        <v>10.545615202537972</v>
      </c>
      <c r="H277" s="17">
        <f>SQRT((4*(HSP!$B$3-$B277)^2+(HSP!$C$3-$C277)^2+(HSP!$D$3-$D277)^2))</f>
        <v>8.6622398950848734</v>
      </c>
      <c r="I277" s="17">
        <f>SQRT((4*(HSP!$B$4-$B277)^2+(HSP!$C$4-$C277)^2+(HSP!$D$4-$D277)^2))</f>
        <v>5.8271777045152806</v>
      </c>
      <c r="J277" s="17">
        <f>SQRT((4*(HSP!$B$5-$B277)^2+(HSP!$C$5-$C277)^2+(HSP!$D$5-$D277)^2))</f>
        <v>13.826890467491234</v>
      </c>
      <c r="K277" s="17">
        <f>SQRT((4*(HSP!$B$6-$B277)^2+(HSP!$C$6-$C277)^2+(HSP!$D$6-$D277)^2))</f>
        <v>5.7120049019586796</v>
      </c>
      <c r="L277" s="17" t="s">
        <v>35</v>
      </c>
      <c r="M277" s="17" t="s">
        <v>35</v>
      </c>
      <c r="N277" s="17" t="s">
        <v>35</v>
      </c>
      <c r="O277" s="17" t="s">
        <v>35</v>
      </c>
      <c r="P277" s="17" t="s">
        <v>35</v>
      </c>
      <c r="Q277" s="17">
        <f>$G277/HSP!$E$2</f>
        <v>0.64697025782441542</v>
      </c>
      <c r="R277" s="17">
        <f>$H277/HSP!$E$3</f>
        <v>0.64164739963591655</v>
      </c>
      <c r="S277" s="17">
        <f>$I277/HSP!$E$4</f>
        <v>0.3664891638059925</v>
      </c>
      <c r="T277" s="17">
        <f>$J277/HSP!$E$5</f>
        <v>1.0092620779190682</v>
      </c>
      <c r="U277" s="17">
        <f>$K277/HSP!$E$6</f>
        <v>0.38594627715937024</v>
      </c>
      <c r="V277" s="12"/>
      <c r="W277" s="12"/>
      <c r="X277" s="12"/>
      <c r="Y277" s="12"/>
      <c r="Z277" s="12"/>
    </row>
    <row r="278" spans="1:26" ht="15" customHeight="1" x14ac:dyDescent="0.3">
      <c r="A278" s="26" t="s">
        <v>414</v>
      </c>
      <c r="B278" s="17">
        <v>17</v>
      </c>
      <c r="C278" s="17">
        <v>2</v>
      </c>
      <c r="D278" s="17">
        <v>4.3</v>
      </c>
      <c r="E278" s="17" t="s">
        <v>35</v>
      </c>
      <c r="F278" s="22">
        <v>162.6</v>
      </c>
      <c r="G278" s="17">
        <f>SQRT((4*(HSP!$B$2-$B278)^2+(HSP!$C$2-$C278)^2+(HSP!$D$2-$D278)^2))</f>
        <v>10.089301264210521</v>
      </c>
      <c r="H278" s="17">
        <f>SQRT((4*(HSP!$B$3-$B278)^2+(HSP!$C$3-$C278)^2+(HSP!$D$3-$D278)^2))</f>
        <v>8.2371354244057446</v>
      </c>
      <c r="I278" s="17">
        <f>SQRT((4*(HSP!$B$4-$B278)^2+(HSP!$C$4-$C278)^2+(HSP!$D$4-$D278)^2))</f>
        <v>5.1795752721627668</v>
      </c>
      <c r="J278" s="17">
        <f>SQRT((4*(HSP!$B$5-$B278)^2+(HSP!$C$5-$C278)^2+(HSP!$D$5-$D278)^2))</f>
        <v>13.070841594939479</v>
      </c>
      <c r="K278" s="17">
        <f>SQRT((4*(HSP!$B$6-$B278)^2+(HSP!$C$6-$C278)^2+(HSP!$D$6-$D278)^2))</f>
        <v>5.6390602053888381</v>
      </c>
      <c r="L278" s="17" t="s">
        <v>35</v>
      </c>
      <c r="M278" s="17" t="s">
        <v>35</v>
      </c>
      <c r="N278" s="17" t="s">
        <v>35</v>
      </c>
      <c r="O278" s="17" t="s">
        <v>35</v>
      </c>
      <c r="P278" s="17" t="s">
        <v>35</v>
      </c>
      <c r="Q278" s="17">
        <f>$G278/HSP!$E$2</f>
        <v>0.61897553768162705</v>
      </c>
      <c r="R278" s="17">
        <f>$H278/HSP!$E$3</f>
        <v>0.61015817958561069</v>
      </c>
      <c r="S278" s="17">
        <f>$I278/HSP!$E$4</f>
        <v>0.32575945107941928</v>
      </c>
      <c r="T278" s="17">
        <f>$J278/HSP!$E$5</f>
        <v>0.95407602882769926</v>
      </c>
      <c r="U278" s="17">
        <f>$K278/HSP!$E$6</f>
        <v>0.38101758144519177</v>
      </c>
      <c r="V278" s="12"/>
      <c r="W278" s="12"/>
      <c r="X278" s="12"/>
      <c r="Y278" s="12"/>
      <c r="Z278" s="12"/>
    </row>
    <row r="279" spans="1:26" ht="15" customHeight="1" x14ac:dyDescent="0.3">
      <c r="A279" s="26" t="s">
        <v>415</v>
      </c>
      <c r="B279" s="17">
        <v>17</v>
      </c>
      <c r="C279" s="17">
        <v>5.3</v>
      </c>
      <c r="D279" s="17">
        <v>10.9</v>
      </c>
      <c r="E279" s="17" t="s">
        <v>35</v>
      </c>
      <c r="F279" s="22">
        <v>165.2</v>
      </c>
      <c r="G279" s="17">
        <f>SQRT((4*(HSP!$B$2-$B279)^2+(HSP!$C$2-$C279)^2+(HSP!$D$2-$D279)^2))</f>
        <v>8.0642420598590672</v>
      </c>
      <c r="H279" s="17">
        <f>SQRT((4*(HSP!$B$3-$B279)^2+(HSP!$C$3-$C279)^2+(HSP!$D$3-$D279)^2))</f>
        <v>7.1889081229349427</v>
      </c>
      <c r="I279" s="17">
        <f>SQRT((4*(HSP!$B$4-$B279)^2+(HSP!$C$4-$C279)^2+(HSP!$D$4-$D279)^2))</f>
        <v>5.5308227236099334</v>
      </c>
      <c r="J279" s="17">
        <f>SQRT((4*(HSP!$B$5-$B279)^2+(HSP!$C$5-$C279)^2+(HSP!$D$5-$D279)^2))</f>
        <v>8.1871179300166439</v>
      </c>
      <c r="K279" s="17">
        <f>SQRT((4*(HSP!$B$6-$B279)^2+(HSP!$C$6-$C279)^2+(HSP!$D$6-$D279)^2))</f>
        <v>7.9341666229037573</v>
      </c>
      <c r="L279" s="17" t="s">
        <v>35</v>
      </c>
      <c r="M279" s="17" t="s">
        <v>35</v>
      </c>
      <c r="N279" s="17" t="s">
        <v>35</v>
      </c>
      <c r="O279" s="17" t="s">
        <v>35</v>
      </c>
      <c r="P279" s="17" t="s">
        <v>35</v>
      </c>
      <c r="Q279" s="17">
        <f>$G279/HSP!$E$2</f>
        <v>0.49473877667847038</v>
      </c>
      <c r="R279" s="17">
        <f>$H279/HSP!$E$3</f>
        <v>0.53251171280999576</v>
      </c>
      <c r="S279" s="17">
        <f>$I279/HSP!$E$4</f>
        <v>0.34785048576163102</v>
      </c>
      <c r="T279" s="17">
        <f>$J279/HSP!$E$5</f>
        <v>0.59759984890632445</v>
      </c>
      <c r="U279" s="17">
        <f>$K279/HSP!$E$6</f>
        <v>0.53609233938538903</v>
      </c>
      <c r="V279" s="12"/>
      <c r="W279" s="12"/>
      <c r="X279" s="12"/>
      <c r="Y279" s="12"/>
      <c r="Z279" s="12"/>
    </row>
    <row r="280" spans="1:26" ht="15" customHeight="1" x14ac:dyDescent="0.3">
      <c r="A280" s="26" t="s">
        <v>416</v>
      </c>
      <c r="B280" s="17">
        <v>19</v>
      </c>
      <c r="C280" s="17">
        <v>5.5</v>
      </c>
      <c r="D280" s="17">
        <v>6.2</v>
      </c>
      <c r="E280" s="17" t="s">
        <v>35</v>
      </c>
      <c r="F280" s="22">
        <v>149.30000000000001</v>
      </c>
      <c r="G280" s="17">
        <f>SQRT((4*(HSP!$B$2-$B280)^2+(HSP!$C$2-$C280)^2+(HSP!$D$2-$D280)^2))</f>
        <v>10.131633629380802</v>
      </c>
      <c r="H280" s="17">
        <f>SQRT((4*(HSP!$B$3-$B280)^2+(HSP!$C$3-$C280)^2+(HSP!$D$3-$D280)^2))</f>
        <v>7.8277966248491664</v>
      </c>
      <c r="I280" s="17">
        <f>SQRT((4*(HSP!$B$4-$B280)^2+(HSP!$C$4-$C280)^2+(HSP!$D$4-$D280)^2))</f>
        <v>7.727095185126168</v>
      </c>
      <c r="J280" s="17">
        <f>SQRT((4*(HSP!$B$5-$B280)^2+(HSP!$C$5-$C280)^2+(HSP!$D$5-$D280)^2))</f>
        <v>11.408457389147756</v>
      </c>
      <c r="K280" s="17">
        <f>SQRT((4*(HSP!$B$6-$B280)^2+(HSP!$C$6-$C280)^2+(HSP!$D$6-$D280)^2))</f>
        <v>7.8764839871607695</v>
      </c>
      <c r="L280" s="17" t="s">
        <v>35</v>
      </c>
      <c r="M280" s="17" t="s">
        <v>35</v>
      </c>
      <c r="N280" s="17" t="s">
        <v>35</v>
      </c>
      <c r="O280" s="17" t="s">
        <v>35</v>
      </c>
      <c r="P280" s="17" t="s">
        <v>35</v>
      </c>
      <c r="Q280" s="17">
        <f>$G280/HSP!$E$2</f>
        <v>0.62157261529943575</v>
      </c>
      <c r="R280" s="17">
        <f>$H280/HSP!$E$3</f>
        <v>0.57983678702586416</v>
      </c>
      <c r="S280" s="17">
        <f>$I280/HSP!$E$4</f>
        <v>0.48598082925321812</v>
      </c>
      <c r="T280" s="17">
        <f>$J280/HSP!$E$5</f>
        <v>0.83273411599618663</v>
      </c>
      <c r="U280" s="17">
        <f>$K280/HSP!$E$6</f>
        <v>0.53219486399734928</v>
      </c>
      <c r="V280" s="12"/>
      <c r="W280" s="12"/>
      <c r="X280" s="12"/>
      <c r="Y280" s="12"/>
      <c r="Z280" s="12"/>
    </row>
    <row r="281" spans="1:26" ht="15" customHeight="1" x14ac:dyDescent="0.3">
      <c r="A281" s="26" t="s">
        <v>417</v>
      </c>
      <c r="B281" s="17">
        <v>16.899999999999999</v>
      </c>
      <c r="C281" s="17">
        <v>1.8</v>
      </c>
      <c r="D281" s="17">
        <v>3.1</v>
      </c>
      <c r="E281" s="17" t="s">
        <v>35</v>
      </c>
      <c r="F281" s="22">
        <v>15.9</v>
      </c>
      <c r="G281" s="17">
        <f>SQRT((4*(HSP!$B$2-$B281)^2+(HSP!$C$2-$C281)^2+(HSP!$D$2-$D281)^2))</f>
        <v>10.545615202537972</v>
      </c>
      <c r="H281" s="17">
        <f>SQRT((4*(HSP!$B$3-$B281)^2+(HSP!$C$3-$C281)^2+(HSP!$D$3-$D281)^2))</f>
        <v>8.6622398950848734</v>
      </c>
      <c r="I281" s="17">
        <f>SQRT((4*(HSP!$B$4-$B281)^2+(HSP!$C$4-$C281)^2+(HSP!$D$4-$D281)^2))</f>
        <v>5.8271777045152806</v>
      </c>
      <c r="J281" s="17">
        <f>SQRT((4*(HSP!$B$5-$B281)^2+(HSP!$C$5-$C281)^2+(HSP!$D$5-$D281)^2))</f>
        <v>13.826890467491234</v>
      </c>
      <c r="K281" s="17">
        <f>SQRT((4*(HSP!$B$6-$B281)^2+(HSP!$C$6-$C281)^2+(HSP!$D$6-$D281)^2))</f>
        <v>5.7120049019586796</v>
      </c>
      <c r="L281" s="17" t="s">
        <v>35</v>
      </c>
      <c r="M281" s="17" t="s">
        <v>35</v>
      </c>
      <c r="N281" s="17" t="s">
        <v>35</v>
      </c>
      <c r="O281" s="17" t="s">
        <v>35</v>
      </c>
      <c r="P281" s="17" t="s">
        <v>35</v>
      </c>
      <c r="Q281" s="17">
        <f>$G281/HSP!$E$2</f>
        <v>0.64697025782441542</v>
      </c>
      <c r="R281" s="17">
        <f>$H281/HSP!$E$3</f>
        <v>0.64164739963591655</v>
      </c>
      <c r="S281" s="17">
        <f>$I281/HSP!$E$4</f>
        <v>0.3664891638059925</v>
      </c>
      <c r="T281" s="17">
        <f>$J281/HSP!$E$5</f>
        <v>1.0092620779190682</v>
      </c>
      <c r="U281" s="17">
        <f>$K281/HSP!$E$6</f>
        <v>0.38594627715937024</v>
      </c>
      <c r="V281" s="12"/>
      <c r="W281" s="12"/>
      <c r="X281" s="12"/>
      <c r="Y281" s="12"/>
      <c r="Z281" s="12"/>
    </row>
    <row r="282" spans="1:26" ht="15" customHeight="1" x14ac:dyDescent="0.3">
      <c r="A282" s="26" t="s">
        <v>418</v>
      </c>
      <c r="B282" s="17">
        <v>17</v>
      </c>
      <c r="C282" s="17">
        <v>5.3</v>
      </c>
      <c r="D282" s="17">
        <v>10.9</v>
      </c>
      <c r="E282" s="17" t="s">
        <v>35</v>
      </c>
      <c r="F282" s="22">
        <v>165.2</v>
      </c>
      <c r="G282" s="17">
        <f>SQRT((4*(HSP!$B$2-$B282)^2+(HSP!$C$2-$C282)^2+(HSP!$D$2-$D282)^2))</f>
        <v>8.0642420598590672</v>
      </c>
      <c r="H282" s="17">
        <f>SQRT((4*(HSP!$B$3-$B282)^2+(HSP!$C$3-$C282)^2+(HSP!$D$3-$D282)^2))</f>
        <v>7.1889081229349427</v>
      </c>
      <c r="I282" s="17">
        <f>SQRT((4*(HSP!$B$4-$B282)^2+(HSP!$C$4-$C282)^2+(HSP!$D$4-$D282)^2))</f>
        <v>5.5308227236099334</v>
      </c>
      <c r="J282" s="17">
        <f>SQRT((4*(HSP!$B$5-$B282)^2+(HSP!$C$5-$C282)^2+(HSP!$D$5-$D282)^2))</f>
        <v>8.1871179300166439</v>
      </c>
      <c r="K282" s="17">
        <f>SQRT((4*(HSP!$B$6-$B282)^2+(HSP!$C$6-$C282)^2+(HSP!$D$6-$D282)^2))</f>
        <v>7.9341666229037573</v>
      </c>
      <c r="L282" s="17" t="s">
        <v>35</v>
      </c>
      <c r="M282" s="17" t="s">
        <v>35</v>
      </c>
      <c r="N282" s="17" t="s">
        <v>35</v>
      </c>
      <c r="O282" s="17" t="s">
        <v>35</v>
      </c>
      <c r="P282" s="17" t="s">
        <v>35</v>
      </c>
      <c r="Q282" s="17">
        <f>$G282/HSP!$E$2</f>
        <v>0.49473877667847038</v>
      </c>
      <c r="R282" s="17">
        <f>$H282/HSP!$E$3</f>
        <v>0.53251171280999576</v>
      </c>
      <c r="S282" s="17">
        <f>$I282/HSP!$E$4</f>
        <v>0.34785048576163102</v>
      </c>
      <c r="T282" s="17">
        <f>$J282/HSP!$E$5</f>
        <v>0.59759984890632445</v>
      </c>
      <c r="U282" s="17">
        <f>$K282/HSP!$E$6</f>
        <v>0.53609233938538903</v>
      </c>
      <c r="V282" s="12"/>
      <c r="W282" s="12"/>
      <c r="X282" s="12"/>
      <c r="Y282" s="12"/>
      <c r="Z282" s="12"/>
    </row>
    <row r="283" spans="1:26" ht="15" customHeight="1" x14ac:dyDescent="0.3">
      <c r="A283" s="26" t="s">
        <v>419</v>
      </c>
      <c r="B283" s="17">
        <v>16.5</v>
      </c>
      <c r="C283" s="17">
        <v>4.0999999999999996</v>
      </c>
      <c r="D283" s="17">
        <v>5.4</v>
      </c>
      <c r="E283" s="17" t="s">
        <v>35</v>
      </c>
      <c r="F283" s="22">
        <v>221.5</v>
      </c>
      <c r="G283" s="17">
        <f>SQRT((4*(HSP!$B$2-$B283)^2+(HSP!$C$2-$C283)^2+(HSP!$D$2-$D283)^2))</f>
        <v>7.5753547771705074</v>
      </c>
      <c r="H283" s="17">
        <f>SQRT((4*(HSP!$B$3-$B283)^2+(HSP!$C$3-$C283)^2+(HSP!$D$3-$D283)^2))</f>
        <v>5.806410250748737</v>
      </c>
      <c r="I283" s="17">
        <f>SQRT((4*(HSP!$B$4-$B283)^2+(HSP!$C$4-$C283)^2+(HSP!$D$4-$D283)^2))</f>
        <v>3.0613722413323083</v>
      </c>
      <c r="J283" s="17">
        <f>SQRT((4*(HSP!$B$5-$B283)^2+(HSP!$C$5-$C283)^2+(HSP!$D$5-$D283)^2))</f>
        <v>10.53265873367214</v>
      </c>
      <c r="K283" s="17">
        <f>SQRT((4*(HSP!$B$6-$B283)^2+(HSP!$C$6-$C283)^2+(HSP!$D$6-$D283)^2))</f>
        <v>3.7259898013816417</v>
      </c>
      <c r="L283" s="17" t="s">
        <v>35</v>
      </c>
      <c r="M283" s="17" t="s">
        <v>35</v>
      </c>
      <c r="N283" s="17" t="s">
        <v>35</v>
      </c>
      <c r="O283" s="17" t="s">
        <v>35</v>
      </c>
      <c r="P283" s="17" t="s">
        <v>35</v>
      </c>
      <c r="Q283" s="17">
        <f>$G283/HSP!$E$2</f>
        <v>0.46474569185095138</v>
      </c>
      <c r="R283" s="17">
        <f>$H283/HSP!$E$3</f>
        <v>0.43010446301842498</v>
      </c>
      <c r="S283" s="17">
        <f>$I283/HSP!$E$4</f>
        <v>0.19253913467498796</v>
      </c>
      <c r="T283" s="17">
        <f>$J283/HSP!$E$5</f>
        <v>0.76880720683738246</v>
      </c>
      <c r="U283" s="17">
        <f>$K283/HSP!$E$6</f>
        <v>0.25175606766092173</v>
      </c>
      <c r="V283" s="12"/>
      <c r="W283" s="12"/>
      <c r="X283" s="12"/>
      <c r="Y283" s="12"/>
      <c r="Z283" s="12"/>
    </row>
    <row r="284" spans="1:26" ht="15" customHeight="1" x14ac:dyDescent="0.3">
      <c r="A284" s="26" t="s">
        <v>420</v>
      </c>
      <c r="B284" s="17">
        <v>17.2</v>
      </c>
      <c r="C284" s="17">
        <v>11.4</v>
      </c>
      <c r="D284" s="17">
        <v>5.0999999999999996</v>
      </c>
      <c r="E284" s="17" t="s">
        <v>35</v>
      </c>
      <c r="F284" s="22">
        <v>164.2</v>
      </c>
      <c r="G284" s="17">
        <f>SQRT((4*(HSP!$B$2-$B284)^2+(HSP!$C$2-$C284)^2+(HSP!$D$2-$D284)^2))</f>
        <v>5.6087431747228358</v>
      </c>
      <c r="H284" s="17">
        <f>SQRT((4*(HSP!$B$3-$B284)^2+(HSP!$C$3-$C284)^2+(HSP!$D$3-$D284)^2))</f>
        <v>3.5589886203807959</v>
      </c>
      <c r="I284" s="17">
        <f>SQRT((4*(HSP!$B$4-$B284)^2+(HSP!$C$4-$C284)^2+(HSP!$D$4-$D284)^2))</f>
        <v>8.0331811880474842</v>
      </c>
      <c r="J284" s="17">
        <f>SQRT((4*(HSP!$B$5-$B284)^2+(HSP!$C$5-$C284)^2+(HSP!$D$5-$D284)^2))</f>
        <v>7.1155393330372361</v>
      </c>
      <c r="K284" s="17">
        <f>SQRT((4*(HSP!$B$6-$B284)^2+(HSP!$C$6-$C284)^2+(HSP!$D$6-$D284)^2))</f>
        <v>6.4158397735604344</v>
      </c>
      <c r="L284" s="17" t="s">
        <v>35</v>
      </c>
      <c r="M284" s="17" t="s">
        <v>35</v>
      </c>
      <c r="N284" s="17" t="s">
        <v>35</v>
      </c>
      <c r="O284" s="17" t="s">
        <v>35</v>
      </c>
      <c r="P284" s="17" t="s">
        <v>35</v>
      </c>
      <c r="Q284" s="17">
        <f>$G284/HSP!$E$2</f>
        <v>0.34409467329587951</v>
      </c>
      <c r="R284" s="17">
        <f>$H284/HSP!$E$3</f>
        <v>0.26362878669487377</v>
      </c>
      <c r="S284" s="17">
        <f>$I284/HSP!$E$4</f>
        <v>0.50523152126084803</v>
      </c>
      <c r="T284" s="17">
        <f>$J284/HSP!$E$5</f>
        <v>0.51938243306841136</v>
      </c>
      <c r="U284" s="17">
        <f>$K284/HSP!$E$6</f>
        <v>0.43350268740273201</v>
      </c>
      <c r="V284" s="12"/>
      <c r="W284" s="12"/>
      <c r="X284" s="12"/>
      <c r="Y284" s="12"/>
      <c r="Z284" s="12"/>
    </row>
    <row r="285" spans="1:26" ht="15" customHeight="1" x14ac:dyDescent="0.3">
      <c r="A285" s="26" t="s">
        <v>421</v>
      </c>
      <c r="B285" s="17">
        <v>17.2</v>
      </c>
      <c r="C285" s="17">
        <v>1.8</v>
      </c>
      <c r="D285" s="17">
        <v>4.3</v>
      </c>
      <c r="E285" s="17" t="s">
        <v>35</v>
      </c>
      <c r="F285" s="22">
        <v>159.69999999999999</v>
      </c>
      <c r="G285" s="17">
        <f>SQRT((4*(HSP!$B$2-$B285)^2+(HSP!$C$2-$C285)^2+(HSP!$D$2-$D285)^2))</f>
        <v>10.450741600479843</v>
      </c>
      <c r="H285" s="17">
        <f>SQRT((4*(HSP!$B$3-$B285)^2+(HSP!$C$3-$C285)^2+(HSP!$D$3-$D285)^2))</f>
        <v>8.5563076148535018</v>
      </c>
      <c r="I285" s="17">
        <f>SQRT((4*(HSP!$B$4-$B285)^2+(HSP!$C$4-$C285)^2+(HSP!$D$4-$D285)^2))</f>
        <v>5.5702782695301662</v>
      </c>
      <c r="J285" s="17">
        <f>SQRT((4*(HSP!$B$5-$B285)^2+(HSP!$C$5-$C285)^2+(HSP!$D$5-$D285)^2))</f>
        <v>13.345519847499384</v>
      </c>
      <c r="K285" s="17">
        <f>SQRT((4*(HSP!$B$6-$B285)^2+(HSP!$C$6-$C285)^2+(HSP!$D$6-$D285)^2))</f>
        <v>6.0447497880392032</v>
      </c>
      <c r="L285" s="17" t="s">
        <v>35</v>
      </c>
      <c r="M285" s="17" t="s">
        <v>35</v>
      </c>
      <c r="N285" s="17" t="s">
        <v>35</v>
      </c>
      <c r="O285" s="17" t="s">
        <v>35</v>
      </c>
      <c r="P285" s="17" t="s">
        <v>35</v>
      </c>
      <c r="Q285" s="17">
        <f>$G285/HSP!$E$2</f>
        <v>0.64114979144048112</v>
      </c>
      <c r="R285" s="17">
        <f>$H285/HSP!$E$3</f>
        <v>0.63380056406322238</v>
      </c>
      <c r="S285" s="17">
        <f>$I285/HSP!$E$4</f>
        <v>0.35033196663711735</v>
      </c>
      <c r="T285" s="17">
        <f>$J285/HSP!$E$5</f>
        <v>0.9741255363138237</v>
      </c>
      <c r="U285" s="17">
        <f>$K285/HSP!$E$6</f>
        <v>0.4084290397323786</v>
      </c>
      <c r="V285" s="12"/>
      <c r="W285" s="12"/>
      <c r="X285" s="12"/>
      <c r="Y285" s="12"/>
      <c r="Z285" s="12"/>
    </row>
    <row r="286" spans="1:26" ht="15" customHeight="1" x14ac:dyDescent="0.3">
      <c r="A286" s="26" t="s">
        <v>422</v>
      </c>
      <c r="B286" s="17">
        <v>17.399999999999999</v>
      </c>
      <c r="C286" s="17">
        <v>10.199999999999999</v>
      </c>
      <c r="D286" s="17">
        <v>4.5</v>
      </c>
      <c r="E286" s="17" t="s">
        <v>35</v>
      </c>
      <c r="F286" s="22">
        <v>204.8</v>
      </c>
      <c r="G286" s="17">
        <f>SQRT((4*(HSP!$B$2-$B286)^2+(HSP!$C$2-$C286)^2+(HSP!$D$2-$D286)^2))</f>
        <v>6.1300897220187558</v>
      </c>
      <c r="H286" s="17">
        <f>SQRT((4*(HSP!$B$3-$B286)^2+(HSP!$C$3-$C286)^2+(HSP!$D$3-$D286)^2))</f>
        <v>3.7054554375946811</v>
      </c>
      <c r="I286" s="17">
        <f>SQRT((4*(HSP!$B$4-$B286)^2+(HSP!$C$4-$C286)^2+(HSP!$D$4-$D286)^2))</f>
        <v>7.4600268096032982</v>
      </c>
      <c r="J286" s="17">
        <f>SQRT((4*(HSP!$B$5-$B286)^2+(HSP!$C$5-$C286)^2+(HSP!$D$5-$D286)^2))</f>
        <v>8.1143638074712907</v>
      </c>
      <c r="K286" s="17">
        <f>SQRT((4*(HSP!$B$6-$B286)^2+(HSP!$C$6-$C286)^2+(HSP!$D$6-$D286)^2))</f>
        <v>5.7256440685742929</v>
      </c>
      <c r="L286" s="17" t="s">
        <v>35</v>
      </c>
      <c r="M286" s="17" t="s">
        <v>35</v>
      </c>
      <c r="N286" s="17" t="s">
        <v>35</v>
      </c>
      <c r="O286" s="17" t="s">
        <v>35</v>
      </c>
      <c r="P286" s="17" t="s">
        <v>35</v>
      </c>
      <c r="Q286" s="17">
        <f>$G286/HSP!$E$2</f>
        <v>0.37607912405023042</v>
      </c>
      <c r="R286" s="17">
        <f>$H286/HSP!$E$3</f>
        <v>0.27447818056256895</v>
      </c>
      <c r="S286" s="17">
        <f>$I286/HSP!$E$4</f>
        <v>0.46918407607567914</v>
      </c>
      <c r="T286" s="17">
        <f>$J286/HSP!$E$5</f>
        <v>0.59228932901250297</v>
      </c>
      <c r="U286" s="17">
        <f>$K286/HSP!$E$6</f>
        <v>0.38686784247123601</v>
      </c>
      <c r="V286" s="12"/>
      <c r="W286" s="12"/>
      <c r="X286" s="12"/>
      <c r="Y286" s="12"/>
      <c r="Z286" s="12"/>
    </row>
    <row r="287" spans="1:26" ht="15" customHeight="1" x14ac:dyDescent="0.3">
      <c r="A287" s="26"/>
      <c r="B287" s="17"/>
      <c r="C287" s="17"/>
      <c r="D287" s="17"/>
      <c r="E287" s="17"/>
      <c r="F287" s="17"/>
      <c r="G287" s="17"/>
      <c r="H287" s="17"/>
      <c r="I287" s="17"/>
      <c r="J287" s="17"/>
      <c r="K287" s="17"/>
      <c r="L287" s="17"/>
      <c r="M287" s="17"/>
      <c r="N287" s="17"/>
      <c r="O287" s="17"/>
      <c r="P287" s="17"/>
      <c r="Q287" s="17"/>
      <c r="R287" s="17"/>
      <c r="S287" s="17"/>
      <c r="T287" s="17"/>
      <c r="U287" s="17"/>
      <c r="V287" s="12"/>
      <c r="W287" s="12"/>
      <c r="X287" s="12"/>
      <c r="Y287" s="12"/>
      <c r="Z287" s="12"/>
    </row>
    <row r="288" spans="1:26" ht="15" customHeight="1" x14ac:dyDescent="0.3">
      <c r="A288" s="26"/>
      <c r="B288" s="17"/>
      <c r="C288" s="17"/>
      <c r="D288" s="17"/>
      <c r="E288" s="17"/>
      <c r="F288" s="17"/>
      <c r="G288" s="17"/>
      <c r="H288" s="17"/>
      <c r="I288" s="17"/>
      <c r="J288" s="17"/>
      <c r="K288" s="17"/>
      <c r="L288" s="17"/>
      <c r="M288" s="17"/>
      <c r="N288" s="17"/>
      <c r="O288" s="17"/>
      <c r="P288" s="17"/>
      <c r="Q288" s="17"/>
      <c r="R288" s="17"/>
      <c r="S288" s="17"/>
      <c r="T288" s="17"/>
      <c r="U288" s="17"/>
      <c r="V288" s="12"/>
      <c r="W288" s="12"/>
      <c r="X288" s="12"/>
      <c r="Y288" s="12"/>
      <c r="Z288" s="12"/>
    </row>
    <row r="289" spans="1:26" ht="15" customHeight="1" x14ac:dyDescent="0.3">
      <c r="A289" s="26"/>
      <c r="B289" s="17"/>
      <c r="C289" s="17"/>
      <c r="D289" s="17"/>
      <c r="E289" s="17"/>
      <c r="F289" s="17"/>
      <c r="G289" s="17"/>
      <c r="H289" s="17"/>
      <c r="I289" s="17"/>
      <c r="J289" s="17"/>
      <c r="K289" s="17"/>
      <c r="L289" s="17"/>
      <c r="M289" s="17"/>
      <c r="N289" s="17"/>
      <c r="O289" s="17"/>
      <c r="P289" s="17"/>
      <c r="Q289" s="17"/>
      <c r="R289" s="17"/>
      <c r="S289" s="17"/>
      <c r="T289" s="17"/>
      <c r="U289" s="17"/>
      <c r="V289" s="12"/>
      <c r="W289" s="12"/>
      <c r="X289" s="12"/>
      <c r="Y289" s="12"/>
      <c r="Z289" s="12"/>
    </row>
    <row r="290" spans="1:26" ht="15" customHeight="1" x14ac:dyDescent="0.3">
      <c r="A290" s="27"/>
      <c r="B290" s="19"/>
      <c r="C290" s="19"/>
      <c r="D290" s="19"/>
      <c r="E290" s="19"/>
      <c r="F290" s="19"/>
      <c r="G290" s="19"/>
      <c r="H290" s="19"/>
      <c r="I290" s="19"/>
      <c r="J290" s="19"/>
      <c r="K290" s="17"/>
      <c r="L290" s="17"/>
      <c r="M290" s="17"/>
      <c r="N290" s="17"/>
      <c r="O290" s="17"/>
      <c r="P290" s="17"/>
      <c r="Q290" s="17"/>
      <c r="R290" s="17"/>
      <c r="S290" s="17"/>
      <c r="T290" s="17"/>
      <c r="U290" s="17"/>
      <c r="V290" s="12"/>
      <c r="W290" s="12"/>
      <c r="X290" s="12"/>
      <c r="Y290" s="12"/>
      <c r="Z290" s="12"/>
    </row>
    <row r="291" spans="1:26" ht="15" customHeight="1" x14ac:dyDescent="0.3">
      <c r="A291" s="26"/>
      <c r="B291" s="17"/>
      <c r="C291" s="17"/>
      <c r="D291" s="17"/>
      <c r="E291" s="17"/>
      <c r="F291" s="17"/>
      <c r="G291" s="17"/>
      <c r="H291" s="17"/>
      <c r="I291" s="17"/>
      <c r="J291" s="17"/>
      <c r="K291" s="17"/>
      <c r="L291" s="17"/>
      <c r="M291" s="17"/>
      <c r="N291" s="17"/>
      <c r="O291" s="17"/>
      <c r="P291" s="17"/>
      <c r="Q291" s="17"/>
      <c r="R291" s="17"/>
      <c r="S291" s="17"/>
      <c r="T291" s="17"/>
      <c r="U291" s="17"/>
      <c r="V291" s="12"/>
      <c r="W291" s="12"/>
      <c r="X291" s="12"/>
      <c r="Y291" s="12"/>
      <c r="Z291" s="12"/>
    </row>
    <row r="292" spans="1:26" ht="15" customHeight="1" x14ac:dyDescent="0.3">
      <c r="A292" s="26"/>
      <c r="B292" s="17"/>
      <c r="C292" s="17"/>
      <c r="D292" s="17"/>
      <c r="E292" s="17"/>
      <c r="F292" s="17"/>
      <c r="G292" s="17"/>
      <c r="H292" s="17"/>
      <c r="I292" s="17"/>
      <c r="J292" s="17"/>
      <c r="K292" s="17"/>
      <c r="L292" s="17"/>
      <c r="M292" s="17"/>
      <c r="N292" s="17"/>
      <c r="O292" s="17"/>
      <c r="P292" s="17"/>
      <c r="Q292" s="17"/>
      <c r="R292" s="17"/>
      <c r="S292" s="17"/>
      <c r="T292" s="17"/>
      <c r="U292" s="17"/>
      <c r="V292" s="12"/>
      <c r="W292" s="12"/>
      <c r="X292" s="12"/>
      <c r="Y292" s="12"/>
      <c r="Z292" s="12"/>
    </row>
    <row r="293" spans="1:26" ht="15" customHeight="1" x14ac:dyDescent="0.3">
      <c r="A293" s="26"/>
      <c r="B293" s="17"/>
      <c r="C293" s="17"/>
      <c r="D293" s="17"/>
      <c r="E293" s="17"/>
      <c r="F293" s="17"/>
      <c r="G293" s="17"/>
      <c r="H293" s="17"/>
      <c r="I293" s="17"/>
      <c r="J293" s="17"/>
      <c r="K293" s="17"/>
      <c r="L293" s="17"/>
      <c r="M293" s="17"/>
      <c r="N293" s="17"/>
      <c r="O293" s="17"/>
      <c r="P293" s="17"/>
      <c r="Q293" s="17"/>
      <c r="R293" s="17"/>
      <c r="S293" s="17"/>
      <c r="T293" s="17"/>
      <c r="U293" s="17"/>
      <c r="V293" s="12"/>
      <c r="W293" s="12"/>
      <c r="X293" s="12"/>
      <c r="Y293" s="12"/>
      <c r="Z293" s="12"/>
    </row>
    <row r="294" spans="1:26" ht="15" customHeight="1" x14ac:dyDescent="0.3">
      <c r="A294" s="26"/>
      <c r="B294" s="17"/>
      <c r="C294" s="17"/>
      <c r="D294" s="17"/>
      <c r="E294" s="17"/>
      <c r="F294" s="17"/>
      <c r="G294" s="17"/>
      <c r="H294" s="17"/>
      <c r="I294" s="17"/>
      <c r="J294" s="17"/>
      <c r="K294" s="17"/>
      <c r="L294" s="17"/>
      <c r="M294" s="17"/>
      <c r="N294" s="17"/>
      <c r="O294" s="17"/>
      <c r="P294" s="17"/>
      <c r="Q294" s="17"/>
      <c r="R294" s="17"/>
      <c r="S294" s="17"/>
      <c r="T294" s="17"/>
      <c r="U294" s="17"/>
      <c r="V294" s="12"/>
      <c r="W294" s="12"/>
      <c r="X294" s="12"/>
      <c r="Y294" s="12"/>
      <c r="Z294" s="12"/>
    </row>
    <row r="295" spans="1:26" ht="15" customHeight="1" x14ac:dyDescent="0.3">
      <c r="A295" s="26"/>
      <c r="B295" s="17"/>
      <c r="C295" s="17"/>
      <c r="D295" s="17"/>
      <c r="E295" s="17"/>
      <c r="F295" s="17"/>
      <c r="G295" s="17"/>
      <c r="H295" s="17"/>
      <c r="I295" s="17"/>
      <c r="J295" s="17"/>
      <c r="K295" s="17"/>
      <c r="L295" s="17"/>
      <c r="M295" s="17"/>
      <c r="N295" s="17"/>
      <c r="O295" s="17"/>
      <c r="P295" s="17"/>
      <c r="Q295" s="17"/>
      <c r="R295" s="17"/>
      <c r="S295" s="17"/>
      <c r="T295" s="17"/>
      <c r="U295" s="17"/>
      <c r="V295" s="12"/>
      <c r="W295" s="12"/>
      <c r="X295" s="12"/>
      <c r="Y295" s="12"/>
      <c r="Z295" s="12"/>
    </row>
    <row r="296" spans="1:26" ht="15" customHeight="1" x14ac:dyDescent="0.3">
      <c r="A296" s="26"/>
      <c r="B296" s="17"/>
      <c r="C296" s="17"/>
      <c r="D296" s="17"/>
      <c r="E296" s="17"/>
      <c r="F296" s="17"/>
      <c r="G296" s="17"/>
      <c r="H296" s="17"/>
      <c r="I296" s="17"/>
      <c r="J296" s="17"/>
      <c r="K296" s="17"/>
      <c r="L296" s="17"/>
      <c r="M296" s="17"/>
      <c r="N296" s="17"/>
      <c r="O296" s="17"/>
      <c r="P296" s="17"/>
      <c r="Q296" s="17"/>
      <c r="R296" s="17"/>
      <c r="S296" s="17"/>
      <c r="T296" s="17"/>
      <c r="U296" s="17"/>
      <c r="V296" s="12"/>
      <c r="W296" s="12"/>
      <c r="X296" s="12"/>
      <c r="Y296" s="12"/>
      <c r="Z296" s="12"/>
    </row>
    <row r="297" spans="1:26" ht="15" customHeight="1" x14ac:dyDescent="0.3">
      <c r="A297" s="26"/>
      <c r="B297" s="17"/>
      <c r="C297" s="17"/>
      <c r="D297" s="17"/>
      <c r="E297" s="17"/>
      <c r="F297" s="17"/>
      <c r="G297" s="17"/>
      <c r="H297" s="17"/>
      <c r="I297" s="17"/>
      <c r="J297" s="17"/>
      <c r="K297" s="17"/>
      <c r="L297" s="17"/>
      <c r="M297" s="17"/>
      <c r="N297" s="17"/>
      <c r="O297" s="17"/>
      <c r="P297" s="17"/>
      <c r="Q297" s="17"/>
      <c r="R297" s="17"/>
      <c r="S297" s="17"/>
      <c r="T297" s="17"/>
      <c r="U297" s="17"/>
      <c r="V297" s="12"/>
      <c r="W297" s="12"/>
      <c r="X297" s="12"/>
      <c r="Y297" s="12"/>
      <c r="Z297" s="12"/>
    </row>
    <row r="298" spans="1:26" ht="15" customHeight="1" x14ac:dyDescent="0.3">
      <c r="A298" s="26"/>
      <c r="B298" s="17"/>
      <c r="C298" s="17"/>
      <c r="D298" s="17"/>
      <c r="E298" s="17"/>
      <c r="F298" s="17"/>
      <c r="G298" s="17"/>
      <c r="H298" s="17"/>
      <c r="I298" s="17"/>
      <c r="J298" s="17"/>
      <c r="K298" s="17"/>
      <c r="L298" s="17"/>
      <c r="M298" s="17"/>
      <c r="N298" s="17"/>
      <c r="O298" s="17"/>
      <c r="P298" s="17"/>
      <c r="Q298" s="17"/>
      <c r="R298" s="17"/>
      <c r="S298" s="17"/>
      <c r="T298" s="17"/>
      <c r="U298" s="17"/>
      <c r="V298" s="12"/>
      <c r="W298" s="12"/>
      <c r="X298" s="12"/>
      <c r="Y298" s="12"/>
      <c r="Z298" s="12"/>
    </row>
    <row r="299" spans="1:26" ht="15" customHeight="1" x14ac:dyDescent="0.3">
      <c r="A299" s="26"/>
      <c r="B299" s="17"/>
      <c r="C299" s="17"/>
      <c r="D299" s="17"/>
      <c r="E299" s="17"/>
      <c r="F299" s="17"/>
      <c r="G299" s="17"/>
      <c r="H299" s="17"/>
      <c r="I299" s="17"/>
      <c r="J299" s="17"/>
      <c r="K299" s="17"/>
      <c r="L299" s="17"/>
      <c r="M299" s="17"/>
      <c r="N299" s="17"/>
      <c r="O299" s="17"/>
      <c r="P299" s="17"/>
      <c r="Q299" s="17"/>
      <c r="R299" s="17"/>
      <c r="S299" s="17"/>
      <c r="T299" s="17"/>
      <c r="U299" s="17"/>
      <c r="V299" s="12"/>
      <c r="W299" s="12"/>
      <c r="X299" s="12"/>
      <c r="Y299" s="12"/>
      <c r="Z299" s="12"/>
    </row>
    <row r="300" spans="1:26" ht="15" customHeight="1" x14ac:dyDescent="0.3">
      <c r="A300" s="26"/>
      <c r="B300" s="17"/>
      <c r="C300" s="17"/>
      <c r="D300" s="17"/>
      <c r="E300" s="17"/>
      <c r="F300" s="17"/>
      <c r="G300" s="17"/>
      <c r="H300" s="17"/>
      <c r="I300" s="17"/>
      <c r="J300" s="17"/>
      <c r="K300" s="17"/>
      <c r="L300" s="17"/>
      <c r="M300" s="17"/>
      <c r="N300" s="17"/>
      <c r="O300" s="17"/>
      <c r="P300" s="17"/>
      <c r="Q300" s="17"/>
      <c r="R300" s="17"/>
      <c r="S300" s="17"/>
      <c r="T300" s="17"/>
      <c r="U300" s="17"/>
      <c r="V300" s="12"/>
      <c r="W300" s="12"/>
      <c r="X300" s="12"/>
      <c r="Y300" s="12"/>
      <c r="Z300" s="12"/>
    </row>
    <row r="301" spans="1:26" ht="15" customHeight="1" x14ac:dyDescent="0.3">
      <c r="A301" s="26"/>
      <c r="B301" s="17"/>
      <c r="C301" s="17"/>
      <c r="D301" s="17"/>
      <c r="E301" s="17"/>
      <c r="F301" s="17"/>
      <c r="G301" s="17"/>
      <c r="H301" s="17"/>
      <c r="I301" s="17"/>
      <c r="J301" s="17"/>
      <c r="K301" s="17"/>
      <c r="L301" s="17"/>
      <c r="M301" s="17"/>
      <c r="N301" s="17"/>
      <c r="O301" s="17"/>
      <c r="P301" s="17"/>
      <c r="Q301" s="17"/>
      <c r="R301" s="17"/>
      <c r="S301" s="17"/>
      <c r="T301" s="17"/>
      <c r="U301" s="17"/>
      <c r="V301" s="12"/>
      <c r="W301" s="12"/>
      <c r="X301" s="12"/>
      <c r="Y301" s="12"/>
      <c r="Z301" s="12"/>
    </row>
    <row r="302" spans="1:26" ht="15" customHeight="1" x14ac:dyDescent="0.3">
      <c r="A302" s="26"/>
      <c r="B302" s="17"/>
      <c r="C302" s="17"/>
      <c r="D302" s="17"/>
      <c r="E302" s="17"/>
      <c r="F302" s="17"/>
      <c r="G302" s="17"/>
      <c r="H302" s="17"/>
      <c r="I302" s="17"/>
      <c r="J302" s="17"/>
      <c r="K302" s="17"/>
      <c r="L302" s="17"/>
      <c r="M302" s="17"/>
      <c r="N302" s="17"/>
      <c r="O302" s="17"/>
      <c r="P302" s="17"/>
      <c r="Q302" s="17"/>
      <c r="R302" s="17"/>
      <c r="S302" s="17"/>
      <c r="T302" s="17"/>
      <c r="U302" s="17"/>
      <c r="V302" s="12"/>
      <c r="W302" s="12"/>
      <c r="X302" s="12"/>
      <c r="Y302" s="12"/>
      <c r="Z302" s="12"/>
    </row>
    <row r="303" spans="1:26" ht="15" customHeight="1" x14ac:dyDescent="0.3">
      <c r="A303" s="26"/>
      <c r="B303" s="17"/>
      <c r="C303" s="17"/>
      <c r="D303" s="17"/>
      <c r="E303" s="17"/>
      <c r="F303" s="17"/>
      <c r="G303" s="17"/>
      <c r="H303" s="17"/>
      <c r="I303" s="17"/>
      <c r="J303" s="17"/>
      <c r="K303" s="17"/>
      <c r="L303" s="17"/>
      <c r="M303" s="17"/>
      <c r="N303" s="17"/>
      <c r="O303" s="17"/>
      <c r="P303" s="17"/>
      <c r="Q303" s="17"/>
      <c r="R303" s="17"/>
      <c r="S303" s="17"/>
      <c r="T303" s="17"/>
      <c r="U303" s="17"/>
      <c r="V303" s="12"/>
      <c r="W303" s="12"/>
      <c r="X303" s="12"/>
      <c r="Y303" s="12"/>
      <c r="Z303" s="12"/>
    </row>
    <row r="304" spans="1:26" ht="15" customHeight="1" x14ac:dyDescent="0.3">
      <c r="A304" s="26"/>
      <c r="B304" s="17"/>
      <c r="C304" s="17"/>
      <c r="D304" s="17"/>
      <c r="E304" s="17"/>
      <c r="F304" s="17"/>
      <c r="G304" s="17"/>
      <c r="H304" s="17"/>
      <c r="I304" s="17"/>
      <c r="J304" s="17"/>
      <c r="K304" s="17"/>
      <c r="L304" s="17"/>
      <c r="M304" s="17"/>
      <c r="N304" s="17"/>
      <c r="O304" s="17"/>
      <c r="P304" s="17"/>
      <c r="Q304" s="17"/>
      <c r="R304" s="17"/>
      <c r="S304" s="17"/>
      <c r="T304" s="17"/>
      <c r="U304" s="17"/>
      <c r="V304" s="12"/>
      <c r="W304" s="12"/>
      <c r="X304" s="12"/>
      <c r="Y304" s="12"/>
      <c r="Z304" s="12"/>
    </row>
    <row r="305" spans="1:26" ht="15" customHeight="1" x14ac:dyDescent="0.3">
      <c r="A305" s="26"/>
      <c r="B305" s="17"/>
      <c r="C305" s="17"/>
      <c r="D305" s="17"/>
      <c r="E305" s="17"/>
      <c r="F305" s="17"/>
      <c r="G305" s="17"/>
      <c r="H305" s="17"/>
      <c r="I305" s="17"/>
      <c r="J305" s="17"/>
      <c r="K305" s="17"/>
      <c r="L305" s="17"/>
      <c r="M305" s="17"/>
      <c r="N305" s="17"/>
      <c r="O305" s="17"/>
      <c r="P305" s="17"/>
      <c r="Q305" s="17"/>
      <c r="R305" s="17"/>
      <c r="S305" s="17"/>
      <c r="T305" s="17"/>
      <c r="U305" s="17"/>
      <c r="V305" s="12"/>
      <c r="W305" s="12"/>
      <c r="X305" s="12"/>
      <c r="Y305" s="12"/>
      <c r="Z305" s="12"/>
    </row>
    <row r="306" spans="1:26" ht="15" customHeight="1" x14ac:dyDescent="0.3">
      <c r="A306" s="26"/>
      <c r="B306" s="17"/>
      <c r="C306" s="17"/>
      <c r="D306" s="17"/>
      <c r="E306" s="17"/>
      <c r="F306" s="17"/>
      <c r="G306" s="17"/>
      <c r="H306" s="17"/>
      <c r="I306" s="17"/>
      <c r="J306" s="17"/>
      <c r="K306" s="17"/>
      <c r="L306" s="17"/>
      <c r="M306" s="17"/>
      <c r="N306" s="17"/>
      <c r="O306" s="17"/>
      <c r="P306" s="17"/>
      <c r="Q306" s="17"/>
      <c r="R306" s="17"/>
      <c r="S306" s="17"/>
      <c r="T306" s="17"/>
      <c r="U306" s="17"/>
      <c r="V306" s="12"/>
      <c r="W306" s="12"/>
      <c r="X306" s="12"/>
      <c r="Y306" s="12"/>
      <c r="Z306" s="12"/>
    </row>
    <row r="307" spans="1:26" ht="15" customHeight="1" x14ac:dyDescent="0.3">
      <c r="A307" s="26"/>
      <c r="B307" s="17"/>
      <c r="C307" s="17"/>
      <c r="D307" s="17"/>
      <c r="E307" s="17"/>
      <c r="F307" s="17"/>
      <c r="G307" s="17"/>
      <c r="H307" s="17"/>
      <c r="I307" s="17"/>
      <c r="J307" s="17"/>
      <c r="K307" s="17"/>
      <c r="L307" s="17"/>
      <c r="M307" s="17"/>
      <c r="N307" s="17"/>
      <c r="O307" s="17"/>
      <c r="P307" s="17"/>
      <c r="Q307" s="17"/>
      <c r="R307" s="17"/>
      <c r="S307" s="17"/>
      <c r="T307" s="17"/>
      <c r="U307" s="17"/>
      <c r="V307" s="12"/>
      <c r="W307" s="12"/>
      <c r="X307" s="12"/>
      <c r="Y307" s="12"/>
      <c r="Z307" s="12"/>
    </row>
    <row r="308" spans="1:26" ht="15" customHeight="1" x14ac:dyDescent="0.3">
      <c r="A308" s="26"/>
      <c r="B308" s="17"/>
      <c r="C308" s="17"/>
      <c r="D308" s="17"/>
      <c r="E308" s="17"/>
      <c r="F308" s="17"/>
      <c r="G308" s="17"/>
      <c r="H308" s="17"/>
      <c r="I308" s="17"/>
      <c r="J308" s="17"/>
      <c r="K308" s="17"/>
      <c r="L308" s="17"/>
      <c r="M308" s="17"/>
      <c r="N308" s="17"/>
      <c r="O308" s="17"/>
      <c r="P308" s="17"/>
      <c r="Q308" s="17"/>
      <c r="R308" s="17"/>
      <c r="S308" s="17"/>
      <c r="T308" s="17"/>
      <c r="U308" s="17"/>
      <c r="V308" s="12"/>
      <c r="W308" s="12"/>
      <c r="X308" s="12"/>
      <c r="Y308" s="12"/>
      <c r="Z308" s="12"/>
    </row>
    <row r="309" spans="1:26" ht="15" customHeight="1" x14ac:dyDescent="0.3">
      <c r="A309" s="26"/>
      <c r="B309" s="17"/>
      <c r="C309" s="17"/>
      <c r="D309" s="17"/>
      <c r="E309" s="17"/>
      <c r="F309" s="17"/>
      <c r="G309" s="17"/>
      <c r="H309" s="17"/>
      <c r="I309" s="17"/>
      <c r="J309" s="17"/>
      <c r="K309" s="17"/>
      <c r="L309" s="17"/>
      <c r="M309" s="17"/>
      <c r="N309" s="17"/>
      <c r="O309" s="17"/>
      <c r="P309" s="17"/>
      <c r="Q309" s="17"/>
      <c r="R309" s="17"/>
      <c r="S309" s="17"/>
      <c r="T309" s="17"/>
      <c r="U309" s="17"/>
      <c r="V309" s="12"/>
      <c r="W309" s="12"/>
      <c r="X309" s="12"/>
      <c r="Y309" s="12"/>
      <c r="Z309" s="12"/>
    </row>
    <row r="310" spans="1:26" ht="15" customHeight="1" x14ac:dyDescent="0.3">
      <c r="A310" s="26"/>
      <c r="B310" s="17"/>
      <c r="C310" s="17"/>
      <c r="D310" s="17"/>
      <c r="E310" s="17"/>
      <c r="F310" s="17"/>
      <c r="G310" s="17"/>
      <c r="H310" s="17"/>
      <c r="I310" s="17"/>
      <c r="J310" s="17"/>
      <c r="K310" s="17"/>
      <c r="L310" s="17"/>
      <c r="M310" s="17"/>
      <c r="N310" s="17"/>
      <c r="O310" s="17"/>
      <c r="P310" s="17"/>
      <c r="Q310" s="17"/>
      <c r="R310" s="17"/>
      <c r="S310" s="17"/>
      <c r="T310" s="17"/>
      <c r="U310" s="17"/>
      <c r="V310" s="12"/>
      <c r="W310" s="12"/>
      <c r="X310" s="12"/>
      <c r="Y310" s="12"/>
      <c r="Z310" s="12"/>
    </row>
    <row r="311" spans="1:26" ht="15" customHeight="1" x14ac:dyDescent="0.3">
      <c r="A311" s="26"/>
      <c r="B311" s="17"/>
      <c r="C311" s="17"/>
      <c r="D311" s="17"/>
      <c r="E311" s="17"/>
      <c r="F311" s="17"/>
      <c r="G311" s="17"/>
      <c r="H311" s="17"/>
      <c r="I311" s="17"/>
      <c r="J311" s="17"/>
      <c r="K311" s="17"/>
      <c r="L311" s="17"/>
      <c r="M311" s="17"/>
      <c r="N311" s="17"/>
      <c r="O311" s="17"/>
      <c r="P311" s="17"/>
      <c r="Q311" s="17"/>
      <c r="R311" s="17"/>
      <c r="S311" s="17"/>
      <c r="T311" s="17"/>
      <c r="U311" s="17"/>
      <c r="V311" s="12"/>
      <c r="W311" s="12"/>
      <c r="X311" s="12"/>
      <c r="Y311" s="12"/>
      <c r="Z311" s="12"/>
    </row>
    <row r="312" spans="1:26" ht="15" customHeight="1" x14ac:dyDescent="0.3">
      <c r="A312" s="26"/>
      <c r="B312" s="17"/>
      <c r="C312" s="17"/>
      <c r="D312" s="17"/>
      <c r="E312" s="17"/>
      <c r="F312" s="17"/>
      <c r="G312" s="17"/>
      <c r="H312" s="17"/>
      <c r="I312" s="17"/>
      <c r="J312" s="17"/>
      <c r="K312" s="17"/>
      <c r="L312" s="17"/>
      <c r="M312" s="17"/>
      <c r="N312" s="17"/>
      <c r="O312" s="17"/>
      <c r="P312" s="17"/>
      <c r="Q312" s="17"/>
      <c r="R312" s="17"/>
      <c r="S312" s="17"/>
      <c r="T312" s="17"/>
      <c r="U312" s="17"/>
      <c r="V312" s="12"/>
      <c r="W312" s="12"/>
      <c r="X312" s="12"/>
      <c r="Y312" s="12"/>
      <c r="Z312" s="12"/>
    </row>
    <row r="313" spans="1:26" ht="15" customHeight="1" x14ac:dyDescent="0.3">
      <c r="A313" s="26"/>
      <c r="B313" s="17"/>
      <c r="C313" s="17"/>
      <c r="D313" s="17"/>
      <c r="E313" s="17"/>
      <c r="F313" s="17"/>
      <c r="G313" s="17"/>
      <c r="H313" s="17"/>
      <c r="I313" s="17"/>
      <c r="J313" s="17"/>
      <c r="K313" s="17"/>
      <c r="L313" s="17"/>
      <c r="M313" s="17"/>
      <c r="N313" s="17"/>
      <c r="O313" s="17"/>
      <c r="P313" s="17"/>
      <c r="Q313" s="17"/>
      <c r="R313" s="17"/>
      <c r="S313" s="17"/>
      <c r="T313" s="17"/>
      <c r="U313" s="17"/>
      <c r="V313" s="12"/>
      <c r="W313" s="12"/>
      <c r="X313" s="12"/>
      <c r="Y313" s="12"/>
      <c r="Z313" s="12"/>
    </row>
    <row r="314" spans="1:26" ht="15" customHeight="1" x14ac:dyDescent="0.3">
      <c r="A314" s="26"/>
      <c r="B314" s="17"/>
      <c r="C314" s="17"/>
      <c r="D314" s="17"/>
      <c r="E314" s="17"/>
      <c r="F314" s="17"/>
      <c r="G314" s="17"/>
      <c r="H314" s="17"/>
      <c r="I314" s="17"/>
      <c r="J314" s="17"/>
      <c r="K314" s="17"/>
      <c r="L314" s="17"/>
      <c r="M314" s="17"/>
      <c r="N314" s="17"/>
      <c r="O314" s="17"/>
      <c r="P314" s="17"/>
      <c r="Q314" s="17"/>
      <c r="R314" s="17"/>
      <c r="S314" s="17"/>
      <c r="T314" s="17"/>
      <c r="U314" s="17"/>
      <c r="V314" s="12"/>
      <c r="W314" s="12"/>
      <c r="X314" s="12"/>
      <c r="Y314" s="12"/>
      <c r="Z314" s="12"/>
    </row>
    <row r="315" spans="1:26" ht="15" customHeight="1" x14ac:dyDescent="0.3">
      <c r="A315" s="26"/>
      <c r="B315" s="17"/>
      <c r="C315" s="17"/>
      <c r="D315" s="17"/>
      <c r="E315" s="17"/>
      <c r="F315" s="17"/>
      <c r="G315" s="17"/>
      <c r="H315" s="17"/>
      <c r="I315" s="17"/>
      <c r="J315" s="17"/>
      <c r="K315" s="17"/>
      <c r="L315" s="17"/>
      <c r="M315" s="17"/>
      <c r="N315" s="17"/>
      <c r="O315" s="17"/>
      <c r="P315" s="17"/>
      <c r="Q315" s="17"/>
      <c r="R315" s="17"/>
      <c r="S315" s="17"/>
      <c r="T315" s="17"/>
      <c r="U315" s="17"/>
      <c r="V315" s="12"/>
      <c r="W315" s="12"/>
      <c r="X315" s="12"/>
      <c r="Y315" s="12"/>
      <c r="Z315" s="12"/>
    </row>
    <row r="316" spans="1:26" ht="15" customHeight="1" x14ac:dyDescent="0.3">
      <c r="A316" s="26"/>
      <c r="B316" s="17"/>
      <c r="C316" s="17"/>
      <c r="D316" s="17"/>
      <c r="E316" s="17"/>
      <c r="F316" s="17"/>
      <c r="G316" s="17"/>
      <c r="H316" s="17"/>
      <c r="I316" s="17"/>
      <c r="J316" s="17"/>
      <c r="K316" s="17"/>
      <c r="L316" s="17"/>
      <c r="M316" s="17"/>
      <c r="N316" s="17"/>
      <c r="O316" s="17"/>
      <c r="P316" s="17"/>
      <c r="Q316" s="17"/>
      <c r="R316" s="17"/>
      <c r="S316" s="17"/>
      <c r="T316" s="17"/>
      <c r="U316" s="17"/>
      <c r="V316" s="12"/>
      <c r="W316" s="12"/>
      <c r="X316" s="12"/>
      <c r="Y316" s="12"/>
      <c r="Z316" s="12"/>
    </row>
    <row r="317" spans="1:26" ht="15" customHeight="1" x14ac:dyDescent="0.3">
      <c r="A317" s="26"/>
      <c r="B317" s="17"/>
      <c r="C317" s="17"/>
      <c r="D317" s="17"/>
      <c r="E317" s="17"/>
      <c r="F317" s="17"/>
      <c r="G317" s="17"/>
      <c r="H317" s="17"/>
      <c r="I317" s="17"/>
      <c r="J317" s="17"/>
      <c r="K317" s="17"/>
      <c r="L317" s="17"/>
      <c r="M317" s="17"/>
      <c r="N317" s="17"/>
      <c r="O317" s="17"/>
      <c r="P317" s="17"/>
      <c r="Q317" s="17"/>
      <c r="R317" s="17"/>
      <c r="S317" s="17"/>
      <c r="T317" s="17"/>
      <c r="U317" s="17"/>
      <c r="V317" s="12"/>
      <c r="W317" s="12"/>
      <c r="X317" s="12"/>
      <c r="Y317" s="12"/>
      <c r="Z317" s="12"/>
    </row>
    <row r="318" spans="1:26" ht="15" customHeight="1" x14ac:dyDescent="0.3">
      <c r="A318" s="26"/>
      <c r="B318" s="17"/>
      <c r="C318" s="17"/>
      <c r="D318" s="17"/>
      <c r="E318" s="17"/>
      <c r="F318" s="17"/>
      <c r="G318" s="17"/>
      <c r="H318" s="17"/>
      <c r="I318" s="17"/>
      <c r="J318" s="17"/>
      <c r="K318" s="17"/>
      <c r="L318" s="17"/>
      <c r="M318" s="17"/>
      <c r="N318" s="17"/>
      <c r="O318" s="17"/>
      <c r="P318" s="17"/>
      <c r="Q318" s="17"/>
      <c r="R318" s="17"/>
      <c r="S318" s="17"/>
      <c r="T318" s="17"/>
      <c r="U318" s="17"/>
      <c r="V318" s="12"/>
      <c r="W318" s="12"/>
      <c r="X318" s="12"/>
      <c r="Y318" s="12"/>
      <c r="Z318" s="12"/>
    </row>
    <row r="319" spans="1:26" ht="15" customHeight="1" x14ac:dyDescent="0.3">
      <c r="A319" s="26"/>
      <c r="B319" s="17"/>
      <c r="C319" s="17"/>
      <c r="D319" s="17"/>
      <c r="E319" s="17"/>
      <c r="F319" s="17"/>
      <c r="G319" s="17"/>
      <c r="H319" s="17"/>
      <c r="I319" s="17"/>
      <c r="J319" s="17"/>
      <c r="K319" s="17"/>
      <c r="L319" s="17"/>
      <c r="M319" s="17"/>
      <c r="N319" s="17"/>
      <c r="O319" s="17"/>
      <c r="P319" s="17"/>
      <c r="Q319" s="17"/>
      <c r="R319" s="17"/>
      <c r="S319" s="17"/>
      <c r="T319" s="17"/>
      <c r="U319" s="17"/>
      <c r="V319" s="12"/>
      <c r="W319" s="12"/>
      <c r="X319" s="12"/>
      <c r="Y319" s="12"/>
      <c r="Z319" s="12"/>
    </row>
    <row r="320" spans="1:26" ht="15" customHeight="1" x14ac:dyDescent="0.3">
      <c r="A320" s="26"/>
      <c r="B320" s="17"/>
      <c r="C320" s="17"/>
      <c r="D320" s="17"/>
      <c r="E320" s="17"/>
      <c r="F320" s="17"/>
      <c r="G320" s="17"/>
      <c r="H320" s="17"/>
      <c r="I320" s="17"/>
      <c r="J320" s="17"/>
      <c r="K320" s="17"/>
      <c r="L320" s="17"/>
      <c r="M320" s="17"/>
      <c r="N320" s="17"/>
      <c r="O320" s="17"/>
      <c r="P320" s="17"/>
      <c r="Q320" s="17"/>
      <c r="R320" s="17"/>
      <c r="S320" s="17"/>
      <c r="T320" s="17"/>
      <c r="U320" s="17"/>
      <c r="V320" s="12"/>
      <c r="W320" s="12"/>
      <c r="X320" s="12"/>
      <c r="Y320" s="12"/>
      <c r="Z320" s="12"/>
    </row>
    <row r="321" spans="1:26" ht="15" customHeight="1" x14ac:dyDescent="0.3">
      <c r="A321" s="26"/>
      <c r="B321" s="17"/>
      <c r="C321" s="17"/>
      <c r="D321" s="17"/>
      <c r="E321" s="17"/>
      <c r="F321" s="17"/>
      <c r="G321" s="17"/>
      <c r="H321" s="17"/>
      <c r="I321" s="17"/>
      <c r="J321" s="17"/>
      <c r="K321" s="17"/>
      <c r="L321" s="17"/>
      <c r="M321" s="17"/>
      <c r="N321" s="17"/>
      <c r="O321" s="17"/>
      <c r="P321" s="17"/>
      <c r="Q321" s="17"/>
      <c r="R321" s="17"/>
      <c r="S321" s="17"/>
      <c r="T321" s="17"/>
      <c r="U321" s="17"/>
      <c r="V321" s="12"/>
      <c r="W321" s="12"/>
      <c r="X321" s="12"/>
      <c r="Y321" s="12"/>
      <c r="Z321" s="12"/>
    </row>
    <row r="322" spans="1:26" ht="15" customHeight="1" x14ac:dyDescent="0.3">
      <c r="A322" s="26"/>
      <c r="B322" s="17"/>
      <c r="C322" s="17"/>
      <c r="D322" s="17"/>
      <c r="E322" s="17"/>
      <c r="F322" s="17"/>
      <c r="G322" s="17"/>
      <c r="H322" s="17"/>
      <c r="I322" s="17"/>
      <c r="J322" s="17"/>
      <c r="K322" s="17"/>
      <c r="L322" s="17"/>
      <c r="M322" s="17"/>
      <c r="N322" s="17"/>
      <c r="O322" s="17"/>
      <c r="P322" s="17"/>
      <c r="Q322" s="17"/>
      <c r="R322" s="17"/>
      <c r="S322" s="17"/>
      <c r="T322" s="17"/>
      <c r="U322" s="17"/>
      <c r="V322" s="12"/>
      <c r="W322" s="12"/>
      <c r="X322" s="12"/>
      <c r="Y322" s="12"/>
      <c r="Z322" s="12"/>
    </row>
    <row r="323" spans="1:26" ht="15" customHeight="1" x14ac:dyDescent="0.3">
      <c r="A323" s="26"/>
      <c r="B323" s="17"/>
      <c r="C323" s="17"/>
      <c r="D323" s="17"/>
      <c r="E323" s="17"/>
      <c r="F323" s="17"/>
      <c r="G323" s="17"/>
      <c r="H323" s="17"/>
      <c r="I323" s="17"/>
      <c r="J323" s="17"/>
      <c r="K323" s="17"/>
      <c r="L323" s="17"/>
      <c r="M323" s="17"/>
      <c r="N323" s="17"/>
      <c r="O323" s="17"/>
      <c r="P323" s="17"/>
      <c r="Q323" s="17"/>
      <c r="R323" s="17"/>
      <c r="S323" s="17"/>
      <c r="T323" s="17"/>
      <c r="U323" s="17"/>
      <c r="V323" s="12"/>
      <c r="W323" s="12"/>
      <c r="X323" s="12"/>
      <c r="Y323" s="12"/>
      <c r="Z323" s="12"/>
    </row>
    <row r="324" spans="1:26" ht="15" customHeight="1" x14ac:dyDescent="0.3">
      <c r="A324" s="26"/>
      <c r="B324" s="17"/>
      <c r="C324" s="17"/>
      <c r="D324" s="17"/>
      <c r="E324" s="17"/>
      <c r="F324" s="17"/>
      <c r="G324" s="17"/>
      <c r="H324" s="17"/>
      <c r="I324" s="17"/>
      <c r="J324" s="17"/>
      <c r="K324" s="17"/>
      <c r="L324" s="17"/>
      <c r="M324" s="17"/>
      <c r="N324" s="17"/>
      <c r="O324" s="17"/>
      <c r="P324" s="17"/>
      <c r="Q324" s="17"/>
      <c r="R324" s="17"/>
      <c r="S324" s="17"/>
      <c r="T324" s="17"/>
      <c r="U324" s="17"/>
      <c r="V324" s="12"/>
      <c r="W324" s="12"/>
      <c r="X324" s="12"/>
      <c r="Y324" s="12"/>
      <c r="Z324" s="12"/>
    </row>
    <row r="325" spans="1:26" ht="15" customHeight="1" x14ac:dyDescent="0.3">
      <c r="A325" s="26"/>
      <c r="B325" s="17"/>
      <c r="C325" s="17"/>
      <c r="D325" s="17"/>
      <c r="E325" s="17"/>
      <c r="F325" s="17"/>
      <c r="G325" s="17"/>
      <c r="H325" s="17"/>
      <c r="I325" s="17"/>
      <c r="J325" s="17"/>
      <c r="K325" s="17"/>
      <c r="L325" s="17"/>
      <c r="M325" s="17"/>
      <c r="N325" s="17"/>
      <c r="O325" s="17"/>
      <c r="P325" s="17"/>
      <c r="Q325" s="17"/>
      <c r="R325" s="17"/>
      <c r="S325" s="17"/>
      <c r="T325" s="17"/>
      <c r="U325" s="17"/>
      <c r="V325" s="12"/>
      <c r="W325" s="12"/>
      <c r="X325" s="12"/>
      <c r="Y325" s="12"/>
      <c r="Z325" s="12"/>
    </row>
    <row r="326" spans="1:26" ht="15" customHeight="1" x14ac:dyDescent="0.3">
      <c r="A326" s="26"/>
      <c r="B326" s="17"/>
      <c r="C326" s="17"/>
      <c r="D326" s="17"/>
      <c r="E326" s="17"/>
      <c r="F326" s="17"/>
      <c r="G326" s="17"/>
      <c r="H326" s="17"/>
      <c r="I326" s="17"/>
      <c r="J326" s="17"/>
      <c r="K326" s="17"/>
      <c r="L326" s="17"/>
      <c r="M326" s="17"/>
      <c r="N326" s="17"/>
      <c r="O326" s="17"/>
      <c r="P326" s="17"/>
      <c r="Q326" s="17"/>
      <c r="R326" s="17"/>
      <c r="S326" s="17"/>
      <c r="T326" s="17"/>
      <c r="U326" s="17"/>
      <c r="V326" s="12"/>
      <c r="W326" s="12"/>
      <c r="X326" s="12"/>
      <c r="Y326" s="12"/>
      <c r="Z326" s="12"/>
    </row>
    <row r="327" spans="1:26" ht="15" customHeight="1" x14ac:dyDescent="0.3">
      <c r="A327" s="26"/>
      <c r="B327" s="17"/>
      <c r="C327" s="17"/>
      <c r="D327" s="17"/>
      <c r="E327" s="17"/>
      <c r="F327" s="17"/>
      <c r="G327" s="17"/>
      <c r="H327" s="17"/>
      <c r="I327" s="17"/>
      <c r="J327" s="17"/>
      <c r="K327" s="17"/>
      <c r="L327" s="17"/>
      <c r="M327" s="17"/>
      <c r="N327" s="17"/>
      <c r="O327" s="17"/>
      <c r="P327" s="17"/>
      <c r="Q327" s="17"/>
      <c r="R327" s="17"/>
      <c r="S327" s="17"/>
      <c r="T327" s="17"/>
      <c r="U327" s="17"/>
      <c r="V327" s="12"/>
      <c r="W327" s="12"/>
      <c r="X327" s="12"/>
      <c r="Y327" s="12"/>
      <c r="Z327" s="12"/>
    </row>
    <row r="328" spans="1:26" ht="15" customHeight="1" x14ac:dyDescent="0.3">
      <c r="A328" s="26"/>
      <c r="B328" s="17"/>
      <c r="C328" s="17"/>
      <c r="D328" s="17"/>
      <c r="E328" s="17"/>
      <c r="F328" s="17"/>
      <c r="G328" s="17"/>
      <c r="H328" s="17"/>
      <c r="I328" s="17"/>
      <c r="J328" s="17"/>
      <c r="K328" s="17"/>
      <c r="L328" s="17"/>
      <c r="M328" s="17"/>
      <c r="N328" s="17"/>
      <c r="O328" s="17"/>
      <c r="P328" s="17"/>
      <c r="Q328" s="17"/>
      <c r="R328" s="17"/>
      <c r="S328" s="17"/>
      <c r="T328" s="17"/>
      <c r="U328" s="17"/>
      <c r="V328" s="12"/>
      <c r="W328" s="12"/>
      <c r="X328" s="12"/>
      <c r="Y328" s="12"/>
      <c r="Z328" s="12"/>
    </row>
    <row r="329" spans="1:26" ht="15" customHeight="1" x14ac:dyDescent="0.3">
      <c r="A329" s="26"/>
      <c r="B329" s="17"/>
      <c r="C329" s="17"/>
      <c r="D329" s="17"/>
      <c r="E329" s="17"/>
      <c r="F329" s="17"/>
      <c r="G329" s="17"/>
      <c r="H329" s="17"/>
      <c r="I329" s="17"/>
      <c r="J329" s="17"/>
      <c r="K329" s="17"/>
      <c r="L329" s="17"/>
      <c r="M329" s="17"/>
      <c r="N329" s="17"/>
      <c r="O329" s="17"/>
      <c r="P329" s="17"/>
      <c r="Q329" s="17"/>
      <c r="R329" s="17"/>
      <c r="S329" s="17"/>
      <c r="T329" s="17"/>
      <c r="U329" s="17"/>
      <c r="V329" s="12"/>
      <c r="W329" s="12"/>
      <c r="X329" s="12"/>
      <c r="Y329" s="12"/>
      <c r="Z329" s="12"/>
    </row>
    <row r="330" spans="1:26" ht="15" customHeight="1" x14ac:dyDescent="0.3">
      <c r="A330" s="26"/>
      <c r="B330" s="17"/>
      <c r="C330" s="17"/>
      <c r="D330" s="17"/>
      <c r="E330" s="17"/>
      <c r="F330" s="17"/>
      <c r="G330" s="17"/>
      <c r="H330" s="17"/>
      <c r="I330" s="17"/>
      <c r="J330" s="17"/>
      <c r="K330" s="17"/>
      <c r="L330" s="17"/>
      <c r="M330" s="17"/>
      <c r="N330" s="17"/>
      <c r="O330" s="17"/>
      <c r="P330" s="17"/>
      <c r="Q330" s="17"/>
      <c r="R330" s="17"/>
      <c r="S330" s="17"/>
      <c r="T330" s="17"/>
      <c r="U330" s="17"/>
      <c r="V330" s="12"/>
      <c r="W330" s="12"/>
      <c r="X330" s="12"/>
      <c r="Y330" s="12"/>
      <c r="Z330" s="12"/>
    </row>
    <row r="331" spans="1:26" ht="15" customHeight="1" x14ac:dyDescent="0.3">
      <c r="A331" s="26"/>
      <c r="B331" s="17"/>
      <c r="C331" s="17"/>
      <c r="D331" s="17"/>
      <c r="E331" s="17"/>
      <c r="F331" s="17"/>
      <c r="G331" s="17"/>
      <c r="H331" s="17"/>
      <c r="I331" s="17"/>
      <c r="J331" s="17"/>
      <c r="K331" s="17"/>
      <c r="L331" s="17"/>
      <c r="M331" s="17"/>
      <c r="N331" s="17"/>
      <c r="O331" s="17"/>
      <c r="P331" s="17"/>
      <c r="Q331" s="17"/>
      <c r="R331" s="17"/>
      <c r="S331" s="17"/>
      <c r="T331" s="17"/>
      <c r="U331" s="17"/>
      <c r="V331" s="12"/>
      <c r="W331" s="12"/>
      <c r="X331" s="12"/>
      <c r="Y331" s="12"/>
      <c r="Z331" s="12"/>
    </row>
    <row r="332" spans="1:26" ht="15" customHeight="1" x14ac:dyDescent="0.3">
      <c r="A332" s="26"/>
      <c r="B332" s="17"/>
      <c r="C332" s="17"/>
      <c r="D332" s="17"/>
      <c r="E332" s="17"/>
      <c r="F332" s="17"/>
      <c r="G332" s="17"/>
      <c r="H332" s="17"/>
      <c r="I332" s="17"/>
      <c r="J332" s="17"/>
      <c r="K332" s="17"/>
      <c r="L332" s="17"/>
      <c r="M332" s="17"/>
      <c r="N332" s="17"/>
      <c r="O332" s="17"/>
      <c r="P332" s="17"/>
      <c r="Q332" s="17"/>
      <c r="R332" s="17"/>
      <c r="S332" s="17"/>
      <c r="T332" s="17"/>
      <c r="U332" s="17"/>
      <c r="V332" s="12"/>
      <c r="W332" s="12"/>
      <c r="X332" s="12"/>
      <c r="Y332" s="12"/>
      <c r="Z332" s="12"/>
    </row>
    <row r="333" spans="1:26" ht="15" customHeight="1" x14ac:dyDescent="0.3">
      <c r="A333" s="26"/>
      <c r="B333" s="17"/>
      <c r="C333" s="17"/>
      <c r="D333" s="17"/>
      <c r="E333" s="17"/>
      <c r="F333" s="17"/>
      <c r="G333" s="17"/>
      <c r="H333" s="17"/>
      <c r="I333" s="17"/>
      <c r="J333" s="17"/>
      <c r="K333" s="17"/>
      <c r="L333" s="17"/>
      <c r="M333" s="17"/>
      <c r="N333" s="17"/>
      <c r="O333" s="17"/>
      <c r="P333" s="17"/>
      <c r="Q333" s="17"/>
      <c r="R333" s="17"/>
      <c r="S333" s="17"/>
      <c r="T333" s="17"/>
      <c r="U333" s="17"/>
      <c r="V333" s="12"/>
      <c r="W333" s="12"/>
      <c r="X333" s="12"/>
      <c r="Y333" s="12"/>
      <c r="Z333" s="12"/>
    </row>
    <row r="334" spans="1:26" ht="15" customHeight="1" x14ac:dyDescent="0.3">
      <c r="A334" s="26"/>
      <c r="B334" s="17"/>
      <c r="C334" s="17"/>
      <c r="D334" s="17"/>
      <c r="E334" s="17"/>
      <c r="F334" s="17"/>
      <c r="G334" s="17"/>
      <c r="H334" s="17"/>
      <c r="I334" s="17"/>
      <c r="J334" s="17"/>
      <c r="K334" s="17"/>
      <c r="L334" s="17"/>
      <c r="M334" s="17"/>
      <c r="N334" s="17"/>
      <c r="O334" s="17"/>
      <c r="P334" s="17"/>
      <c r="Q334" s="17"/>
      <c r="R334" s="17"/>
      <c r="S334" s="17"/>
      <c r="T334" s="17"/>
      <c r="U334" s="17"/>
      <c r="V334" s="12"/>
      <c r="W334" s="12"/>
      <c r="X334" s="12"/>
      <c r="Y334" s="12"/>
      <c r="Z334" s="12"/>
    </row>
    <row r="335" spans="1:26" ht="15" customHeight="1" x14ac:dyDescent="0.3">
      <c r="A335" s="26"/>
      <c r="B335" s="17"/>
      <c r="C335" s="17"/>
      <c r="D335" s="17"/>
      <c r="E335" s="17"/>
      <c r="F335" s="17"/>
      <c r="G335" s="17"/>
      <c r="H335" s="17"/>
      <c r="I335" s="17"/>
      <c r="J335" s="17"/>
      <c r="K335" s="17"/>
      <c r="L335" s="17"/>
      <c r="M335" s="17"/>
      <c r="N335" s="17"/>
      <c r="O335" s="17"/>
      <c r="P335" s="17"/>
      <c r="Q335" s="17"/>
      <c r="R335" s="17"/>
      <c r="S335" s="17"/>
      <c r="T335" s="17"/>
      <c r="U335" s="17"/>
      <c r="V335" s="12"/>
      <c r="W335" s="12"/>
      <c r="X335" s="12"/>
      <c r="Y335" s="12"/>
      <c r="Z335" s="12"/>
    </row>
    <row r="336" spans="1:26" ht="15" customHeight="1" x14ac:dyDescent="0.3">
      <c r="A336" s="26"/>
      <c r="B336" s="17"/>
      <c r="C336" s="17"/>
      <c r="D336" s="17"/>
      <c r="E336" s="17"/>
      <c r="F336" s="17"/>
      <c r="G336" s="17"/>
      <c r="H336" s="17"/>
      <c r="I336" s="17"/>
      <c r="J336" s="17"/>
      <c r="K336" s="17"/>
      <c r="L336" s="17"/>
      <c r="M336" s="17"/>
      <c r="N336" s="17"/>
      <c r="O336" s="17"/>
      <c r="P336" s="17"/>
      <c r="Q336" s="17"/>
      <c r="R336" s="17"/>
      <c r="S336" s="17"/>
      <c r="T336" s="17"/>
      <c r="U336" s="17"/>
      <c r="V336" s="12"/>
      <c r="W336" s="12"/>
      <c r="X336" s="12"/>
      <c r="Y336" s="12"/>
      <c r="Z336" s="12"/>
    </row>
    <row r="337" spans="1:26" ht="15" customHeight="1" x14ac:dyDescent="0.3">
      <c r="A337" s="26"/>
      <c r="B337" s="17"/>
      <c r="C337" s="17"/>
      <c r="D337" s="17"/>
      <c r="E337" s="17"/>
      <c r="F337" s="17"/>
      <c r="G337" s="17"/>
      <c r="H337" s="17"/>
      <c r="I337" s="17"/>
      <c r="J337" s="17"/>
      <c r="K337" s="17"/>
      <c r="L337" s="17"/>
      <c r="M337" s="17"/>
      <c r="N337" s="17"/>
      <c r="O337" s="17"/>
      <c r="P337" s="17"/>
      <c r="Q337" s="17"/>
      <c r="R337" s="17"/>
      <c r="S337" s="17"/>
      <c r="T337" s="17"/>
      <c r="U337" s="17"/>
      <c r="V337" s="12"/>
      <c r="W337" s="12"/>
      <c r="X337" s="12"/>
      <c r="Y337" s="12"/>
      <c r="Z337" s="12"/>
    </row>
    <row r="338" spans="1:26" ht="15" customHeight="1" x14ac:dyDescent="0.3">
      <c r="A338" s="26"/>
      <c r="B338" s="17"/>
      <c r="C338" s="17"/>
      <c r="D338" s="17"/>
      <c r="E338" s="17"/>
      <c r="F338" s="17"/>
      <c r="G338" s="17"/>
      <c r="H338" s="17"/>
      <c r="I338" s="17"/>
      <c r="J338" s="17"/>
      <c r="K338" s="17"/>
      <c r="L338" s="17"/>
      <c r="M338" s="17"/>
      <c r="N338" s="17"/>
      <c r="O338" s="17"/>
      <c r="P338" s="17"/>
      <c r="Q338" s="17"/>
      <c r="R338" s="17"/>
      <c r="S338" s="17"/>
      <c r="T338" s="17"/>
      <c r="U338" s="17"/>
      <c r="V338" s="12"/>
      <c r="W338" s="12"/>
      <c r="X338" s="12"/>
      <c r="Y338" s="12"/>
      <c r="Z338" s="12"/>
    </row>
    <row r="339" spans="1:26" ht="15" customHeight="1" x14ac:dyDescent="0.3">
      <c r="A339" s="26"/>
      <c r="B339" s="17"/>
      <c r="C339" s="17"/>
      <c r="D339" s="17"/>
      <c r="E339" s="17"/>
      <c r="F339" s="17"/>
      <c r="G339" s="17"/>
      <c r="H339" s="17"/>
      <c r="I339" s="17"/>
      <c r="J339" s="17"/>
      <c r="K339" s="17"/>
      <c r="L339" s="17"/>
      <c r="M339" s="17"/>
      <c r="N339" s="17"/>
      <c r="O339" s="17"/>
      <c r="P339" s="17"/>
      <c r="Q339" s="17"/>
      <c r="R339" s="17"/>
      <c r="S339" s="17"/>
      <c r="T339" s="17"/>
      <c r="U339" s="17"/>
      <c r="V339" s="12"/>
      <c r="W339" s="12"/>
      <c r="X339" s="12"/>
      <c r="Y339" s="12"/>
      <c r="Z339" s="12"/>
    </row>
    <row r="340" spans="1:26" ht="15" customHeight="1" x14ac:dyDescent="0.3">
      <c r="A340" s="26"/>
      <c r="B340" s="17"/>
      <c r="C340" s="17"/>
      <c r="D340" s="17"/>
      <c r="E340" s="17"/>
      <c r="F340" s="17"/>
      <c r="G340" s="17"/>
      <c r="H340" s="17"/>
      <c r="I340" s="17"/>
      <c r="J340" s="17"/>
      <c r="K340" s="17"/>
      <c r="L340" s="17"/>
      <c r="M340" s="17"/>
      <c r="N340" s="17"/>
      <c r="O340" s="17"/>
      <c r="P340" s="17"/>
      <c r="Q340" s="17"/>
      <c r="R340" s="17"/>
      <c r="S340" s="17"/>
      <c r="T340" s="17"/>
      <c r="U340" s="17"/>
      <c r="V340" s="12"/>
      <c r="W340" s="12"/>
      <c r="X340" s="12"/>
      <c r="Y340" s="12"/>
      <c r="Z340" s="12"/>
    </row>
    <row r="341" spans="1:26" ht="15" customHeight="1" x14ac:dyDescent="0.3">
      <c r="A341" s="26"/>
      <c r="B341" s="17"/>
      <c r="C341" s="17"/>
      <c r="D341" s="17"/>
      <c r="E341" s="17"/>
      <c r="F341" s="17"/>
      <c r="G341" s="17"/>
      <c r="H341" s="17"/>
      <c r="I341" s="17"/>
      <c r="J341" s="17"/>
      <c r="K341" s="17"/>
      <c r="L341" s="17"/>
      <c r="M341" s="17"/>
      <c r="N341" s="17"/>
      <c r="O341" s="17"/>
      <c r="P341" s="17"/>
      <c r="Q341" s="17"/>
      <c r="R341" s="17"/>
      <c r="S341" s="17"/>
      <c r="T341" s="17"/>
      <c r="U341" s="17"/>
      <c r="V341" s="12"/>
      <c r="W341" s="12"/>
      <c r="X341" s="12"/>
      <c r="Y341" s="12"/>
      <c r="Z341" s="12"/>
    </row>
    <row r="342" spans="1:26" ht="15" customHeight="1" x14ac:dyDescent="0.3">
      <c r="A342" s="26"/>
      <c r="B342" s="17"/>
      <c r="C342" s="17"/>
      <c r="D342" s="17"/>
      <c r="E342" s="17"/>
      <c r="F342" s="17"/>
      <c r="G342" s="17"/>
      <c r="H342" s="17"/>
      <c r="I342" s="17"/>
      <c r="J342" s="17"/>
      <c r="K342" s="17"/>
      <c r="L342" s="17"/>
      <c r="M342" s="17"/>
      <c r="N342" s="17"/>
      <c r="O342" s="17"/>
      <c r="P342" s="17"/>
      <c r="Q342" s="17"/>
      <c r="R342" s="17"/>
      <c r="S342" s="17"/>
      <c r="T342" s="17"/>
      <c r="U342" s="17"/>
      <c r="V342" s="12"/>
      <c r="W342" s="12"/>
      <c r="X342" s="12"/>
      <c r="Y342" s="12"/>
      <c r="Z342" s="12"/>
    </row>
    <row r="343" spans="1:26" ht="15" customHeight="1" x14ac:dyDescent="0.3">
      <c r="A343" s="26"/>
      <c r="B343" s="17"/>
      <c r="C343" s="17"/>
      <c r="D343" s="17"/>
      <c r="E343" s="17"/>
      <c r="F343" s="17"/>
      <c r="G343" s="17"/>
      <c r="H343" s="17"/>
      <c r="I343" s="17"/>
      <c r="J343" s="17"/>
      <c r="K343" s="17"/>
      <c r="L343" s="17"/>
      <c r="M343" s="17"/>
      <c r="N343" s="17"/>
      <c r="O343" s="17"/>
      <c r="P343" s="17"/>
      <c r="Q343" s="17"/>
      <c r="R343" s="17"/>
      <c r="S343" s="17"/>
      <c r="T343" s="17"/>
      <c r="U343" s="17"/>
      <c r="V343" s="12"/>
      <c r="W343" s="12"/>
      <c r="X343" s="12"/>
      <c r="Y343" s="12"/>
      <c r="Z343" s="12"/>
    </row>
    <row r="344" spans="1:26" ht="15" customHeight="1" x14ac:dyDescent="0.3">
      <c r="A344" s="26"/>
      <c r="B344" s="17"/>
      <c r="C344" s="17"/>
      <c r="D344" s="17"/>
      <c r="E344" s="17"/>
      <c r="F344" s="17"/>
      <c r="G344" s="17"/>
      <c r="H344" s="17"/>
      <c r="I344" s="17"/>
      <c r="J344" s="17"/>
      <c r="K344" s="17"/>
      <c r="L344" s="17"/>
      <c r="M344" s="17"/>
      <c r="N344" s="17"/>
      <c r="O344" s="17"/>
      <c r="P344" s="17"/>
      <c r="Q344" s="17"/>
      <c r="R344" s="17"/>
      <c r="S344" s="17"/>
      <c r="T344" s="17"/>
      <c r="U344" s="17"/>
      <c r="V344" s="12"/>
      <c r="W344" s="12"/>
      <c r="X344" s="12"/>
      <c r="Y344" s="12"/>
      <c r="Z344" s="12"/>
    </row>
    <row r="345" spans="1:26" ht="15" customHeight="1" x14ac:dyDescent="0.3">
      <c r="A345" s="26"/>
      <c r="B345" s="17"/>
      <c r="C345" s="17"/>
      <c r="D345" s="17"/>
      <c r="E345" s="17"/>
      <c r="F345" s="17"/>
      <c r="G345" s="17"/>
      <c r="H345" s="17"/>
      <c r="I345" s="17"/>
      <c r="J345" s="17"/>
      <c r="K345" s="17"/>
      <c r="L345" s="17"/>
      <c r="M345" s="17"/>
      <c r="N345" s="17"/>
      <c r="O345" s="17"/>
      <c r="P345" s="17"/>
      <c r="Q345" s="17"/>
      <c r="R345" s="17"/>
      <c r="S345" s="17"/>
      <c r="T345" s="17"/>
      <c r="U345" s="17"/>
      <c r="V345" s="12"/>
      <c r="W345" s="12"/>
      <c r="X345" s="12"/>
      <c r="Y345" s="12"/>
      <c r="Z345" s="12"/>
    </row>
    <row r="346" spans="1:26" ht="15" customHeight="1" x14ac:dyDescent="0.3">
      <c r="A346" s="26"/>
      <c r="B346" s="17"/>
      <c r="C346" s="17"/>
      <c r="D346" s="17"/>
      <c r="E346" s="17"/>
      <c r="F346" s="17"/>
      <c r="G346" s="17"/>
      <c r="H346" s="17"/>
      <c r="I346" s="17"/>
      <c r="J346" s="17"/>
      <c r="K346" s="17"/>
      <c r="L346" s="17"/>
      <c r="M346" s="17"/>
      <c r="N346" s="17"/>
      <c r="O346" s="17"/>
      <c r="P346" s="17"/>
      <c r="Q346" s="17"/>
      <c r="R346" s="17"/>
      <c r="S346" s="17"/>
      <c r="T346" s="17"/>
      <c r="U346" s="17"/>
      <c r="V346" s="12"/>
      <c r="W346" s="12"/>
      <c r="X346" s="12"/>
      <c r="Y346" s="12"/>
      <c r="Z346" s="12"/>
    </row>
    <row r="347" spans="1:26" ht="15" customHeight="1" x14ac:dyDescent="0.3">
      <c r="A347" s="26"/>
      <c r="B347" s="17"/>
      <c r="C347" s="17"/>
      <c r="D347" s="17"/>
      <c r="E347" s="17"/>
      <c r="F347" s="17"/>
      <c r="G347" s="17"/>
      <c r="H347" s="17"/>
      <c r="I347" s="17"/>
      <c r="J347" s="17"/>
      <c r="K347" s="17"/>
      <c r="L347" s="17"/>
      <c r="M347" s="17"/>
      <c r="N347" s="17"/>
      <c r="O347" s="17"/>
      <c r="P347" s="17"/>
      <c r="Q347" s="17"/>
      <c r="R347" s="17"/>
      <c r="S347" s="17"/>
      <c r="T347" s="17"/>
      <c r="U347" s="17"/>
      <c r="V347" s="12"/>
      <c r="W347" s="12"/>
      <c r="X347" s="12"/>
      <c r="Y347" s="12"/>
      <c r="Z347" s="12"/>
    </row>
    <row r="348" spans="1:26" ht="15" customHeight="1" x14ac:dyDescent="0.3">
      <c r="A348" s="26"/>
      <c r="B348" s="17"/>
      <c r="C348" s="17"/>
      <c r="D348" s="17"/>
      <c r="E348" s="17"/>
      <c r="F348" s="17"/>
      <c r="G348" s="17"/>
      <c r="H348" s="17"/>
      <c r="I348" s="17"/>
      <c r="J348" s="17"/>
      <c r="K348" s="17"/>
      <c r="L348" s="17"/>
      <c r="M348" s="17"/>
      <c r="N348" s="17"/>
      <c r="O348" s="17"/>
      <c r="P348" s="17"/>
      <c r="Q348" s="17"/>
      <c r="R348" s="17"/>
      <c r="S348" s="17"/>
      <c r="T348" s="17"/>
      <c r="U348" s="17"/>
      <c r="V348" s="12"/>
      <c r="W348" s="12"/>
      <c r="X348" s="12"/>
      <c r="Y348" s="12"/>
      <c r="Z348" s="12"/>
    </row>
    <row r="349" spans="1:26" ht="15" customHeight="1" x14ac:dyDescent="0.3">
      <c r="A349" s="26"/>
      <c r="B349" s="17"/>
      <c r="C349" s="17"/>
      <c r="D349" s="17"/>
      <c r="E349" s="17"/>
      <c r="F349" s="17"/>
      <c r="G349" s="17"/>
      <c r="H349" s="17"/>
      <c r="I349" s="17"/>
      <c r="J349" s="17"/>
      <c r="K349" s="17"/>
      <c r="L349" s="17"/>
      <c r="M349" s="17"/>
      <c r="N349" s="17"/>
      <c r="O349" s="17"/>
      <c r="P349" s="17"/>
      <c r="Q349" s="17"/>
      <c r="R349" s="17"/>
      <c r="S349" s="17"/>
      <c r="T349" s="17"/>
      <c r="U349" s="17"/>
      <c r="V349" s="12"/>
      <c r="W349" s="12"/>
      <c r="X349" s="12"/>
      <c r="Y349" s="12"/>
      <c r="Z349" s="12"/>
    </row>
    <row r="350" spans="1:26" ht="15" customHeight="1" x14ac:dyDescent="0.3">
      <c r="A350" s="26"/>
      <c r="B350" s="17"/>
      <c r="C350" s="17"/>
      <c r="D350" s="17"/>
      <c r="E350" s="17"/>
      <c r="F350" s="17"/>
      <c r="G350" s="17"/>
      <c r="H350" s="17"/>
      <c r="I350" s="17"/>
      <c r="J350" s="17"/>
      <c r="K350" s="17"/>
      <c r="L350" s="17"/>
      <c r="M350" s="17"/>
      <c r="N350" s="17"/>
      <c r="O350" s="17"/>
      <c r="P350" s="17"/>
      <c r="Q350" s="17"/>
      <c r="R350" s="17"/>
      <c r="S350" s="17"/>
      <c r="T350" s="17"/>
      <c r="U350" s="17"/>
      <c r="V350" s="12"/>
      <c r="W350" s="12"/>
      <c r="X350" s="12"/>
      <c r="Y350" s="12"/>
      <c r="Z350" s="12"/>
    </row>
    <row r="351" spans="1:26" ht="15" customHeight="1" x14ac:dyDescent="0.3">
      <c r="A351" s="26"/>
      <c r="B351" s="17"/>
      <c r="C351" s="17"/>
      <c r="D351" s="17"/>
      <c r="E351" s="17"/>
      <c r="F351" s="17"/>
      <c r="G351" s="17"/>
      <c r="H351" s="17"/>
      <c r="I351" s="17"/>
      <c r="J351" s="17"/>
      <c r="K351" s="17"/>
      <c r="L351" s="17"/>
      <c r="M351" s="17"/>
      <c r="N351" s="17"/>
      <c r="O351" s="17"/>
      <c r="P351" s="17"/>
      <c r="Q351" s="17"/>
      <c r="R351" s="17"/>
      <c r="S351" s="17"/>
      <c r="T351" s="17"/>
      <c r="U351" s="17"/>
      <c r="V351" s="12"/>
      <c r="W351" s="12"/>
      <c r="X351" s="12"/>
      <c r="Y351" s="12"/>
      <c r="Z351" s="12"/>
    </row>
    <row r="352" spans="1:26" ht="15" customHeight="1" x14ac:dyDescent="0.3">
      <c r="A352" s="26"/>
      <c r="B352" s="17"/>
      <c r="C352" s="17"/>
      <c r="D352" s="17"/>
      <c r="E352" s="17"/>
      <c r="F352" s="17"/>
      <c r="G352" s="17"/>
      <c r="H352" s="17"/>
      <c r="I352" s="17"/>
      <c r="J352" s="17"/>
      <c r="K352" s="17"/>
      <c r="L352" s="17"/>
      <c r="M352" s="17"/>
      <c r="N352" s="17"/>
      <c r="O352" s="17"/>
      <c r="P352" s="17"/>
      <c r="Q352" s="17"/>
      <c r="R352" s="17"/>
      <c r="S352" s="17"/>
      <c r="T352" s="17"/>
      <c r="U352" s="17"/>
      <c r="V352" s="12"/>
      <c r="W352" s="12"/>
      <c r="X352" s="12"/>
      <c r="Y352" s="12"/>
      <c r="Z352" s="12"/>
    </row>
    <row r="353" spans="1:26" ht="15" customHeight="1" x14ac:dyDescent="0.3">
      <c r="A353" s="26"/>
      <c r="B353" s="17"/>
      <c r="C353" s="17"/>
      <c r="D353" s="17"/>
      <c r="E353" s="17"/>
      <c r="F353" s="17"/>
      <c r="G353" s="17"/>
      <c r="H353" s="17"/>
      <c r="I353" s="17"/>
      <c r="J353" s="17"/>
      <c r="K353" s="17"/>
      <c r="L353" s="17"/>
      <c r="M353" s="17"/>
      <c r="N353" s="17"/>
      <c r="O353" s="17"/>
      <c r="P353" s="17"/>
      <c r="Q353" s="17"/>
      <c r="R353" s="17"/>
      <c r="S353" s="17"/>
      <c r="T353" s="17"/>
      <c r="U353" s="17"/>
      <c r="V353" s="12"/>
      <c r="W353" s="12"/>
      <c r="X353" s="12"/>
      <c r="Y353" s="12"/>
      <c r="Z353" s="12"/>
    </row>
    <row r="354" spans="1:26" ht="15" customHeight="1" x14ac:dyDescent="0.3">
      <c r="A354" s="26"/>
      <c r="B354" s="17"/>
      <c r="C354" s="17"/>
      <c r="D354" s="17"/>
      <c r="E354" s="17"/>
      <c r="F354" s="17"/>
      <c r="G354" s="17"/>
      <c r="H354" s="17"/>
      <c r="I354" s="17"/>
      <c r="J354" s="17"/>
      <c r="K354" s="17"/>
      <c r="L354" s="17"/>
      <c r="M354" s="17"/>
      <c r="N354" s="17"/>
      <c r="O354" s="17"/>
      <c r="P354" s="17"/>
      <c r="Q354" s="17"/>
      <c r="R354" s="17"/>
      <c r="S354" s="17"/>
      <c r="T354" s="17"/>
      <c r="U354" s="17"/>
      <c r="V354" s="12"/>
      <c r="W354" s="12"/>
      <c r="X354" s="12"/>
      <c r="Y354" s="12"/>
      <c r="Z354" s="12"/>
    </row>
    <row r="355" spans="1:26" ht="15" customHeight="1" x14ac:dyDescent="0.3">
      <c r="A355" s="26"/>
      <c r="B355" s="17"/>
      <c r="C355" s="17"/>
      <c r="D355" s="17"/>
      <c r="E355" s="17"/>
      <c r="F355" s="17"/>
      <c r="G355" s="17"/>
      <c r="H355" s="17"/>
      <c r="I355" s="17"/>
      <c r="J355" s="17"/>
      <c r="K355" s="17"/>
      <c r="L355" s="17"/>
      <c r="M355" s="17"/>
      <c r="N355" s="17"/>
      <c r="O355" s="17"/>
      <c r="P355" s="17"/>
      <c r="Q355" s="17"/>
      <c r="R355" s="17"/>
      <c r="S355" s="17"/>
      <c r="T355" s="17"/>
      <c r="U355" s="17"/>
      <c r="V355" s="12"/>
      <c r="W355" s="12"/>
      <c r="X355" s="12"/>
      <c r="Y355" s="12"/>
      <c r="Z355" s="12"/>
    </row>
    <row r="356" spans="1:26" ht="15" customHeight="1" x14ac:dyDescent="0.3">
      <c r="A356" s="26"/>
      <c r="B356" s="17"/>
      <c r="C356" s="17"/>
      <c r="D356" s="17"/>
      <c r="E356" s="17"/>
      <c r="F356" s="17"/>
      <c r="G356" s="17"/>
      <c r="H356" s="17"/>
      <c r="I356" s="17"/>
      <c r="J356" s="17"/>
      <c r="K356" s="17"/>
      <c r="L356" s="17"/>
      <c r="M356" s="17"/>
      <c r="N356" s="17"/>
      <c r="O356" s="17"/>
      <c r="P356" s="17"/>
      <c r="Q356" s="17"/>
      <c r="R356" s="17"/>
      <c r="S356" s="17"/>
      <c r="T356" s="17"/>
      <c r="U356" s="17"/>
      <c r="V356" s="12"/>
      <c r="W356" s="12"/>
      <c r="X356" s="12"/>
      <c r="Y356" s="12"/>
      <c r="Z356" s="12"/>
    </row>
    <row r="357" spans="1:26" ht="15" customHeight="1" x14ac:dyDescent="0.3">
      <c r="A357" s="26"/>
      <c r="B357" s="17"/>
      <c r="C357" s="17"/>
      <c r="D357" s="17"/>
      <c r="E357" s="17"/>
      <c r="F357" s="17"/>
      <c r="G357" s="17"/>
      <c r="H357" s="17"/>
      <c r="I357" s="17"/>
      <c r="J357" s="17"/>
      <c r="K357" s="17"/>
      <c r="L357" s="17"/>
      <c r="M357" s="17"/>
      <c r="N357" s="17"/>
      <c r="O357" s="17"/>
      <c r="P357" s="17"/>
      <c r="Q357" s="17"/>
      <c r="R357" s="17"/>
      <c r="S357" s="17"/>
      <c r="T357" s="17"/>
      <c r="U357" s="17"/>
      <c r="V357" s="12"/>
      <c r="W357" s="12"/>
      <c r="X357" s="12"/>
      <c r="Y357" s="12"/>
      <c r="Z357" s="12"/>
    </row>
    <row r="358" spans="1:26" ht="15" customHeight="1" x14ac:dyDescent="0.3">
      <c r="A358" s="26"/>
      <c r="B358" s="17"/>
      <c r="C358" s="17"/>
      <c r="D358" s="17"/>
      <c r="E358" s="17"/>
      <c r="F358" s="17"/>
      <c r="G358" s="17"/>
      <c r="H358" s="17"/>
      <c r="I358" s="17"/>
      <c r="J358" s="17"/>
      <c r="K358" s="17"/>
      <c r="L358" s="17"/>
      <c r="M358" s="17"/>
      <c r="N358" s="17"/>
      <c r="O358" s="17"/>
      <c r="P358" s="17"/>
      <c r="Q358" s="17"/>
      <c r="R358" s="17"/>
      <c r="S358" s="17"/>
      <c r="T358" s="17"/>
      <c r="U358" s="17"/>
      <c r="V358" s="12"/>
      <c r="W358" s="12"/>
      <c r="X358" s="12"/>
      <c r="Y358" s="12"/>
      <c r="Z358" s="12"/>
    </row>
    <row r="359" spans="1:26" ht="15" customHeight="1" x14ac:dyDescent="0.3">
      <c r="A359" s="26"/>
      <c r="B359" s="17"/>
      <c r="C359" s="17"/>
      <c r="D359" s="17"/>
      <c r="E359" s="17"/>
      <c r="F359" s="17"/>
      <c r="G359" s="17"/>
      <c r="H359" s="17"/>
      <c r="I359" s="17"/>
      <c r="J359" s="17"/>
      <c r="K359" s="17"/>
      <c r="L359" s="17"/>
      <c r="M359" s="17"/>
      <c r="N359" s="17"/>
      <c r="O359" s="17"/>
      <c r="P359" s="17"/>
      <c r="Q359" s="17"/>
      <c r="R359" s="17"/>
      <c r="S359" s="17"/>
      <c r="T359" s="17"/>
      <c r="U359" s="17"/>
      <c r="V359" s="12"/>
      <c r="W359" s="12"/>
      <c r="X359" s="12"/>
      <c r="Y359" s="12"/>
      <c r="Z359" s="12"/>
    </row>
    <row r="360" spans="1:26" ht="15" customHeight="1" x14ac:dyDescent="0.3">
      <c r="A360" s="26"/>
      <c r="B360" s="17"/>
      <c r="C360" s="17"/>
      <c r="D360" s="17"/>
      <c r="E360" s="17"/>
      <c r="F360" s="17"/>
      <c r="G360" s="17"/>
      <c r="H360" s="17"/>
      <c r="I360" s="17"/>
      <c r="J360" s="17"/>
      <c r="K360" s="17"/>
      <c r="L360" s="17"/>
      <c r="M360" s="17"/>
      <c r="N360" s="17"/>
      <c r="O360" s="17"/>
      <c r="P360" s="17"/>
      <c r="Q360" s="17"/>
      <c r="R360" s="17"/>
      <c r="S360" s="17"/>
      <c r="T360" s="17"/>
      <c r="U360" s="17"/>
      <c r="V360" s="12"/>
      <c r="W360" s="12"/>
      <c r="X360" s="12"/>
      <c r="Y360" s="12"/>
      <c r="Z360" s="12"/>
    </row>
    <row r="361" spans="1:26" ht="15" customHeight="1" x14ac:dyDescent="0.3">
      <c r="A361" s="26"/>
      <c r="B361" s="17"/>
      <c r="C361" s="17"/>
      <c r="D361" s="17"/>
      <c r="E361" s="17"/>
      <c r="F361" s="17"/>
      <c r="G361" s="17"/>
      <c r="H361" s="17"/>
      <c r="I361" s="17"/>
      <c r="J361" s="17"/>
      <c r="K361" s="17"/>
      <c r="L361" s="17"/>
      <c r="M361" s="17"/>
      <c r="N361" s="17"/>
      <c r="O361" s="17"/>
      <c r="P361" s="17"/>
      <c r="Q361" s="17"/>
      <c r="R361" s="17"/>
      <c r="S361" s="17"/>
      <c r="T361" s="17"/>
      <c r="U361" s="17"/>
      <c r="V361" s="12"/>
      <c r="W361" s="12"/>
      <c r="X361" s="12"/>
      <c r="Y361" s="12"/>
      <c r="Z361" s="12"/>
    </row>
    <row r="362" spans="1:26" ht="15" customHeight="1" x14ac:dyDescent="0.3">
      <c r="A362" s="26"/>
      <c r="B362" s="17"/>
      <c r="C362" s="17"/>
      <c r="D362" s="17"/>
      <c r="E362" s="17"/>
      <c r="F362" s="17"/>
      <c r="G362" s="17"/>
      <c r="H362" s="17"/>
      <c r="I362" s="17"/>
      <c r="J362" s="17"/>
      <c r="K362" s="17"/>
      <c r="L362" s="17"/>
      <c r="M362" s="17"/>
      <c r="N362" s="17"/>
      <c r="O362" s="17"/>
      <c r="P362" s="17"/>
      <c r="Q362" s="17"/>
      <c r="R362" s="17"/>
      <c r="S362" s="17"/>
      <c r="T362" s="17"/>
      <c r="U362" s="17"/>
      <c r="V362" s="12"/>
      <c r="W362" s="12"/>
      <c r="X362" s="12"/>
      <c r="Y362" s="12"/>
      <c r="Z362" s="12"/>
    </row>
    <row r="363" spans="1:26" ht="15" customHeight="1" x14ac:dyDescent="0.3">
      <c r="A363" s="26"/>
      <c r="B363" s="17"/>
      <c r="C363" s="17"/>
      <c r="D363" s="17"/>
      <c r="E363" s="17"/>
      <c r="F363" s="17"/>
      <c r="G363" s="17"/>
      <c r="H363" s="17"/>
      <c r="I363" s="17"/>
      <c r="J363" s="17"/>
      <c r="K363" s="17"/>
      <c r="L363" s="17"/>
      <c r="M363" s="17"/>
      <c r="N363" s="17"/>
      <c r="O363" s="17"/>
      <c r="P363" s="17"/>
      <c r="Q363" s="17"/>
      <c r="R363" s="17"/>
      <c r="S363" s="17"/>
      <c r="T363" s="17"/>
      <c r="U363" s="17"/>
      <c r="V363" s="12"/>
      <c r="W363" s="12"/>
      <c r="X363" s="12"/>
      <c r="Y363" s="12"/>
      <c r="Z363" s="12"/>
    </row>
    <row r="364" spans="1:26" ht="15" customHeight="1" x14ac:dyDescent="0.3">
      <c r="A364" s="26"/>
      <c r="B364" s="17"/>
      <c r="C364" s="17"/>
      <c r="D364" s="17"/>
      <c r="E364" s="17"/>
      <c r="F364" s="17"/>
      <c r="G364" s="17"/>
      <c r="H364" s="17"/>
      <c r="I364" s="17"/>
      <c r="J364" s="17"/>
      <c r="K364" s="17"/>
      <c r="L364" s="17"/>
      <c r="M364" s="17"/>
      <c r="N364" s="17"/>
      <c r="O364" s="17"/>
      <c r="P364" s="17"/>
      <c r="Q364" s="17"/>
      <c r="R364" s="17"/>
      <c r="S364" s="17"/>
      <c r="T364" s="17"/>
      <c r="U364" s="17"/>
      <c r="V364" s="12"/>
      <c r="W364" s="12"/>
      <c r="X364" s="12"/>
      <c r="Y364" s="12"/>
      <c r="Z364" s="12"/>
    </row>
    <row r="365" spans="1:26" ht="15" customHeight="1" x14ac:dyDescent="0.3">
      <c r="A365" s="26"/>
      <c r="B365" s="17"/>
      <c r="C365" s="17"/>
      <c r="D365" s="17"/>
      <c r="E365" s="17"/>
      <c r="F365" s="17"/>
      <c r="G365" s="17"/>
      <c r="H365" s="17"/>
      <c r="I365" s="17"/>
      <c r="J365" s="17"/>
      <c r="K365" s="17"/>
      <c r="L365" s="17"/>
      <c r="M365" s="17"/>
      <c r="N365" s="17"/>
      <c r="O365" s="17"/>
      <c r="P365" s="17"/>
      <c r="Q365" s="17"/>
      <c r="R365" s="17"/>
      <c r="S365" s="17"/>
      <c r="T365" s="17"/>
      <c r="U365" s="17"/>
      <c r="V365" s="12"/>
      <c r="W365" s="12"/>
      <c r="X365" s="12"/>
      <c r="Y365" s="12"/>
      <c r="Z365" s="12"/>
    </row>
    <row r="366" spans="1:26" ht="15" customHeight="1" x14ac:dyDescent="0.3">
      <c r="A366" s="26"/>
      <c r="B366" s="17"/>
      <c r="C366" s="17"/>
      <c r="D366" s="17"/>
      <c r="E366" s="17"/>
      <c r="F366" s="17"/>
      <c r="G366" s="17"/>
      <c r="H366" s="17"/>
      <c r="I366" s="17"/>
      <c r="J366" s="17"/>
      <c r="K366" s="17"/>
      <c r="L366" s="17"/>
      <c r="M366" s="17"/>
      <c r="N366" s="17"/>
      <c r="O366" s="17"/>
      <c r="P366" s="17"/>
      <c r="Q366" s="17"/>
      <c r="R366" s="17"/>
      <c r="S366" s="17"/>
      <c r="T366" s="17"/>
      <c r="U366" s="17"/>
      <c r="V366" s="12"/>
      <c r="W366" s="12"/>
      <c r="X366" s="12"/>
      <c r="Y366" s="12"/>
      <c r="Z366" s="12"/>
    </row>
    <row r="367" spans="1:26" ht="15" customHeight="1" x14ac:dyDescent="0.3">
      <c r="A367" s="26"/>
      <c r="B367" s="17"/>
      <c r="C367" s="17"/>
      <c r="D367" s="17"/>
      <c r="E367" s="17"/>
      <c r="F367" s="17"/>
      <c r="G367" s="17"/>
      <c r="H367" s="17"/>
      <c r="I367" s="17"/>
      <c r="J367" s="17"/>
      <c r="K367" s="17"/>
      <c r="L367" s="17"/>
      <c r="M367" s="17"/>
      <c r="N367" s="17"/>
      <c r="O367" s="17"/>
      <c r="P367" s="17"/>
      <c r="Q367" s="17"/>
      <c r="R367" s="17"/>
      <c r="S367" s="17"/>
      <c r="T367" s="17"/>
      <c r="U367" s="17"/>
      <c r="V367" s="12"/>
      <c r="W367" s="12"/>
      <c r="X367" s="12"/>
      <c r="Y367" s="12"/>
      <c r="Z367" s="12"/>
    </row>
    <row r="368" spans="1:26" ht="15" customHeight="1" x14ac:dyDescent="0.3">
      <c r="A368" s="26"/>
      <c r="B368" s="17"/>
      <c r="C368" s="17"/>
      <c r="D368" s="17"/>
      <c r="E368" s="17"/>
      <c r="F368" s="17"/>
      <c r="G368" s="17"/>
      <c r="H368" s="17"/>
      <c r="I368" s="17"/>
      <c r="J368" s="17"/>
      <c r="K368" s="17"/>
      <c r="L368" s="17"/>
      <c r="M368" s="17"/>
      <c r="N368" s="17"/>
      <c r="O368" s="17"/>
      <c r="P368" s="17"/>
      <c r="Q368" s="17"/>
      <c r="R368" s="17"/>
      <c r="S368" s="17"/>
      <c r="T368" s="17"/>
      <c r="U368" s="17"/>
      <c r="V368" s="12"/>
      <c r="W368" s="12"/>
      <c r="X368" s="12"/>
      <c r="Y368" s="12"/>
      <c r="Z368" s="12"/>
    </row>
    <row r="369" spans="1:26" ht="15" customHeight="1" x14ac:dyDescent="0.3">
      <c r="A369" s="26"/>
      <c r="B369" s="17"/>
      <c r="C369" s="17"/>
      <c r="D369" s="17"/>
      <c r="E369" s="17"/>
      <c r="F369" s="17"/>
      <c r="G369" s="17"/>
      <c r="H369" s="17"/>
      <c r="I369" s="17"/>
      <c r="J369" s="17"/>
      <c r="K369" s="17"/>
      <c r="L369" s="17"/>
      <c r="M369" s="17"/>
      <c r="N369" s="17"/>
      <c r="O369" s="17"/>
      <c r="P369" s="17"/>
      <c r="Q369" s="17"/>
      <c r="R369" s="17"/>
      <c r="S369" s="17"/>
      <c r="T369" s="17"/>
      <c r="U369" s="17"/>
      <c r="V369" s="12"/>
      <c r="W369" s="12"/>
      <c r="X369" s="12"/>
      <c r="Y369" s="12"/>
      <c r="Z369" s="12"/>
    </row>
    <row r="370" spans="1:26" ht="15" customHeight="1" x14ac:dyDescent="0.3">
      <c r="A370" s="26"/>
      <c r="B370" s="17"/>
      <c r="C370" s="17"/>
      <c r="D370" s="17"/>
      <c r="E370" s="17"/>
      <c r="F370" s="17"/>
      <c r="G370" s="17"/>
      <c r="H370" s="17"/>
      <c r="I370" s="17"/>
      <c r="J370" s="17"/>
      <c r="K370" s="17"/>
      <c r="L370" s="17"/>
      <c r="M370" s="17"/>
      <c r="N370" s="17"/>
      <c r="O370" s="17"/>
      <c r="P370" s="17"/>
      <c r="Q370" s="17"/>
      <c r="R370" s="17"/>
      <c r="S370" s="17"/>
      <c r="T370" s="17"/>
      <c r="U370" s="17"/>
      <c r="V370" s="12"/>
      <c r="W370" s="12"/>
      <c r="X370" s="12"/>
      <c r="Y370" s="12"/>
      <c r="Z370" s="12"/>
    </row>
    <row r="371" spans="1:26" ht="15" customHeight="1" x14ac:dyDescent="0.3">
      <c r="A371" s="26"/>
      <c r="B371" s="17"/>
      <c r="C371" s="17"/>
      <c r="D371" s="17"/>
      <c r="E371" s="17"/>
      <c r="F371" s="17"/>
      <c r="G371" s="17"/>
      <c r="H371" s="17"/>
      <c r="I371" s="17"/>
      <c r="J371" s="17"/>
      <c r="K371" s="17"/>
      <c r="L371" s="17"/>
      <c r="M371" s="17"/>
      <c r="N371" s="17"/>
      <c r="O371" s="17"/>
      <c r="P371" s="17"/>
      <c r="Q371" s="17"/>
      <c r="R371" s="17"/>
      <c r="S371" s="17"/>
      <c r="T371" s="17"/>
      <c r="U371" s="17"/>
      <c r="V371" s="12"/>
      <c r="W371" s="12"/>
      <c r="X371" s="12"/>
      <c r="Y371" s="12"/>
      <c r="Z371" s="12"/>
    </row>
    <row r="372" spans="1:26" ht="15" customHeight="1" x14ac:dyDescent="0.3">
      <c r="A372" s="26"/>
      <c r="B372" s="17"/>
      <c r="C372" s="17"/>
      <c r="D372" s="17"/>
      <c r="E372" s="17"/>
      <c r="F372" s="17"/>
      <c r="G372" s="17"/>
      <c r="H372" s="17"/>
      <c r="I372" s="17"/>
      <c r="J372" s="17"/>
      <c r="K372" s="17"/>
      <c r="L372" s="17"/>
      <c r="M372" s="17"/>
      <c r="N372" s="17"/>
      <c r="O372" s="17"/>
      <c r="P372" s="17"/>
      <c r="Q372" s="17"/>
      <c r="R372" s="17"/>
      <c r="S372" s="17"/>
      <c r="T372" s="17"/>
      <c r="U372" s="17"/>
      <c r="V372" s="12"/>
      <c r="W372" s="12"/>
      <c r="X372" s="12"/>
      <c r="Y372" s="12"/>
      <c r="Z372" s="12"/>
    </row>
    <row r="373" spans="1:26" ht="15" customHeight="1" x14ac:dyDescent="0.3">
      <c r="A373" s="26"/>
      <c r="B373" s="17"/>
      <c r="C373" s="17"/>
      <c r="D373" s="17"/>
      <c r="E373" s="17"/>
      <c r="F373" s="17"/>
      <c r="G373" s="17"/>
      <c r="H373" s="17"/>
      <c r="I373" s="17"/>
      <c r="J373" s="17"/>
      <c r="K373" s="17"/>
      <c r="L373" s="17"/>
      <c r="M373" s="17"/>
      <c r="N373" s="17"/>
      <c r="O373" s="17"/>
      <c r="P373" s="17"/>
      <c r="Q373" s="17"/>
      <c r="R373" s="17"/>
      <c r="S373" s="17"/>
      <c r="T373" s="17"/>
      <c r="U373" s="17"/>
      <c r="V373" s="12"/>
      <c r="W373" s="12"/>
      <c r="X373" s="12"/>
      <c r="Y373" s="12"/>
      <c r="Z373" s="12"/>
    </row>
    <row r="374" spans="1:26" ht="15" customHeight="1" x14ac:dyDescent="0.3">
      <c r="A374" s="26"/>
      <c r="B374" s="17"/>
      <c r="C374" s="17"/>
      <c r="D374" s="17"/>
      <c r="E374" s="17"/>
      <c r="F374" s="17"/>
      <c r="G374" s="17"/>
      <c r="H374" s="17"/>
      <c r="I374" s="17"/>
      <c r="J374" s="17"/>
      <c r="K374" s="17"/>
      <c r="L374" s="17"/>
      <c r="M374" s="17"/>
      <c r="N374" s="17"/>
      <c r="O374" s="17"/>
      <c r="P374" s="17"/>
      <c r="Q374" s="17"/>
      <c r="R374" s="17"/>
      <c r="S374" s="17"/>
      <c r="T374" s="17"/>
      <c r="U374" s="17"/>
      <c r="V374" s="12"/>
      <c r="W374" s="12"/>
      <c r="X374" s="12"/>
      <c r="Y374" s="12"/>
      <c r="Z374" s="12"/>
    </row>
    <row r="375" spans="1:26" ht="15" customHeight="1" x14ac:dyDescent="0.3">
      <c r="A375" s="26"/>
      <c r="B375" s="17"/>
      <c r="C375" s="17"/>
      <c r="D375" s="17"/>
      <c r="E375" s="17"/>
      <c r="F375" s="17"/>
      <c r="G375" s="17"/>
      <c r="H375" s="17"/>
      <c r="I375" s="17"/>
      <c r="J375" s="17"/>
      <c r="K375" s="17"/>
      <c r="L375" s="17"/>
      <c r="M375" s="17"/>
      <c r="N375" s="17"/>
      <c r="O375" s="17"/>
      <c r="P375" s="17"/>
      <c r="Q375" s="17"/>
      <c r="R375" s="17"/>
      <c r="S375" s="17"/>
      <c r="T375" s="17"/>
      <c r="U375" s="17"/>
      <c r="V375" s="12"/>
      <c r="W375" s="12"/>
      <c r="X375" s="12"/>
      <c r="Y375" s="12"/>
      <c r="Z375" s="12"/>
    </row>
    <row r="376" spans="1:26" ht="15" customHeight="1" x14ac:dyDescent="0.3">
      <c r="A376" s="26"/>
      <c r="B376" s="17"/>
      <c r="C376" s="17"/>
      <c r="D376" s="17"/>
      <c r="E376" s="17"/>
      <c r="F376" s="17"/>
      <c r="G376" s="17"/>
      <c r="H376" s="17"/>
      <c r="I376" s="17"/>
      <c r="J376" s="17"/>
      <c r="K376" s="17"/>
      <c r="L376" s="17"/>
      <c r="M376" s="17"/>
      <c r="N376" s="17"/>
      <c r="O376" s="17"/>
      <c r="P376" s="17"/>
      <c r="Q376" s="17"/>
      <c r="R376" s="17"/>
      <c r="S376" s="17"/>
      <c r="T376" s="17"/>
      <c r="U376" s="17"/>
      <c r="V376" s="12"/>
      <c r="W376" s="12"/>
      <c r="X376" s="12"/>
      <c r="Y376" s="12"/>
      <c r="Z376" s="12"/>
    </row>
    <row r="377" spans="1:26" ht="15" customHeight="1" x14ac:dyDescent="0.3">
      <c r="A377" s="26"/>
      <c r="B377" s="17"/>
      <c r="C377" s="17"/>
      <c r="D377" s="17"/>
      <c r="E377" s="17"/>
      <c r="F377" s="17"/>
      <c r="G377" s="17"/>
      <c r="H377" s="17"/>
      <c r="I377" s="17"/>
      <c r="J377" s="17"/>
      <c r="K377" s="17"/>
      <c r="L377" s="17"/>
      <c r="M377" s="17"/>
      <c r="N377" s="17"/>
      <c r="O377" s="17"/>
      <c r="P377" s="17"/>
      <c r="Q377" s="17"/>
      <c r="R377" s="17"/>
      <c r="S377" s="17"/>
      <c r="T377" s="17"/>
      <c r="U377" s="17"/>
      <c r="V377" s="12"/>
      <c r="W377" s="12"/>
      <c r="X377" s="12"/>
      <c r="Y377" s="12"/>
      <c r="Z377" s="12"/>
    </row>
    <row r="378" spans="1:26" ht="15" customHeight="1" x14ac:dyDescent="0.3">
      <c r="A378" s="26"/>
      <c r="B378" s="17"/>
      <c r="C378" s="17"/>
      <c r="D378" s="17"/>
      <c r="E378" s="17"/>
      <c r="F378" s="17"/>
      <c r="G378" s="17"/>
      <c r="H378" s="17"/>
      <c r="I378" s="17"/>
      <c r="J378" s="17"/>
      <c r="K378" s="17"/>
      <c r="L378" s="17"/>
      <c r="M378" s="17"/>
      <c r="N378" s="17"/>
      <c r="O378" s="17"/>
      <c r="P378" s="17"/>
      <c r="Q378" s="17"/>
      <c r="R378" s="17"/>
      <c r="S378" s="17"/>
      <c r="T378" s="17"/>
      <c r="U378" s="17"/>
      <c r="V378" s="12"/>
      <c r="W378" s="12"/>
      <c r="X378" s="12"/>
      <c r="Y378" s="12"/>
      <c r="Z378" s="12"/>
    </row>
    <row r="379" spans="1:26" ht="15" customHeight="1" x14ac:dyDescent="0.3">
      <c r="A379" s="26"/>
      <c r="B379" s="17"/>
      <c r="C379" s="17"/>
      <c r="D379" s="17"/>
      <c r="E379" s="17"/>
      <c r="F379" s="17"/>
      <c r="G379" s="17"/>
      <c r="H379" s="17"/>
      <c r="I379" s="17"/>
      <c r="J379" s="17"/>
      <c r="K379" s="17"/>
      <c r="L379" s="17"/>
      <c r="M379" s="17"/>
      <c r="N379" s="17"/>
      <c r="O379" s="17"/>
      <c r="P379" s="17"/>
      <c r="Q379" s="17"/>
      <c r="R379" s="17"/>
      <c r="S379" s="17"/>
      <c r="T379" s="17"/>
      <c r="U379" s="17"/>
      <c r="V379" s="12"/>
      <c r="W379" s="12"/>
      <c r="X379" s="12"/>
      <c r="Y379" s="12"/>
      <c r="Z379" s="12"/>
    </row>
    <row r="380" spans="1:26" ht="15" customHeight="1" x14ac:dyDescent="0.3">
      <c r="A380" s="26"/>
      <c r="B380" s="17"/>
      <c r="C380" s="17"/>
      <c r="D380" s="17"/>
      <c r="E380" s="17"/>
      <c r="F380" s="17"/>
      <c r="G380" s="17"/>
      <c r="H380" s="17"/>
      <c r="I380" s="17"/>
      <c r="J380" s="17"/>
      <c r="K380" s="17"/>
      <c r="L380" s="17"/>
      <c r="M380" s="17"/>
      <c r="N380" s="17"/>
      <c r="O380" s="17"/>
      <c r="P380" s="17"/>
      <c r="Q380" s="17"/>
      <c r="R380" s="17"/>
      <c r="S380" s="17"/>
      <c r="T380" s="17"/>
      <c r="U380" s="17"/>
      <c r="V380" s="12"/>
      <c r="W380" s="12"/>
      <c r="X380" s="12"/>
      <c r="Y380" s="12"/>
      <c r="Z380" s="12"/>
    </row>
    <row r="381" spans="1:26" ht="15" customHeight="1" x14ac:dyDescent="0.3">
      <c r="A381" s="26"/>
      <c r="B381" s="17"/>
      <c r="C381" s="17"/>
      <c r="D381" s="17"/>
      <c r="E381" s="17"/>
      <c r="F381" s="17"/>
      <c r="G381" s="17"/>
      <c r="H381" s="17"/>
      <c r="I381" s="17"/>
      <c r="J381" s="17"/>
      <c r="K381" s="17"/>
      <c r="L381" s="17"/>
      <c r="M381" s="17"/>
      <c r="N381" s="17"/>
      <c r="O381" s="17"/>
      <c r="P381" s="17"/>
      <c r="Q381" s="17"/>
      <c r="R381" s="17"/>
      <c r="S381" s="17"/>
      <c r="T381" s="17"/>
      <c r="U381" s="17"/>
      <c r="V381" s="12"/>
      <c r="W381" s="12"/>
      <c r="X381" s="12"/>
      <c r="Y381" s="12"/>
      <c r="Z381" s="12"/>
    </row>
    <row r="382" spans="1:26" ht="15" customHeight="1" x14ac:dyDescent="0.3">
      <c r="A382" s="26"/>
      <c r="B382" s="17"/>
      <c r="C382" s="17"/>
      <c r="D382" s="17"/>
      <c r="E382" s="17"/>
      <c r="F382" s="17"/>
      <c r="G382" s="17"/>
      <c r="H382" s="17"/>
      <c r="I382" s="17"/>
      <c r="J382" s="17"/>
      <c r="K382" s="17"/>
      <c r="L382" s="17"/>
      <c r="M382" s="17"/>
      <c r="N382" s="17"/>
      <c r="O382" s="17"/>
      <c r="P382" s="17"/>
      <c r="Q382" s="17"/>
      <c r="R382" s="17"/>
      <c r="S382" s="17"/>
      <c r="T382" s="17"/>
      <c r="U382" s="17"/>
      <c r="V382" s="12"/>
      <c r="W382" s="12"/>
      <c r="X382" s="12"/>
      <c r="Y382" s="12"/>
      <c r="Z382" s="12"/>
    </row>
    <row r="383" spans="1:26" ht="15" customHeight="1" x14ac:dyDescent="0.3">
      <c r="A383" s="26"/>
      <c r="B383" s="17"/>
      <c r="C383" s="17"/>
      <c r="D383" s="17"/>
      <c r="E383" s="17"/>
      <c r="F383" s="17"/>
      <c r="G383" s="17"/>
      <c r="H383" s="17"/>
      <c r="I383" s="17"/>
      <c r="J383" s="17"/>
      <c r="K383" s="17"/>
      <c r="L383" s="17"/>
      <c r="M383" s="17"/>
      <c r="N383" s="17"/>
      <c r="O383" s="17"/>
      <c r="P383" s="17"/>
      <c r="Q383" s="17"/>
      <c r="R383" s="17"/>
      <c r="S383" s="17"/>
      <c r="T383" s="17"/>
      <c r="U383" s="17"/>
      <c r="V383" s="12"/>
      <c r="W383" s="12"/>
      <c r="X383" s="12"/>
      <c r="Y383" s="12"/>
      <c r="Z383" s="12"/>
    </row>
    <row r="384" spans="1:26" ht="15" customHeight="1" x14ac:dyDescent="0.3">
      <c r="A384" s="26"/>
      <c r="B384" s="17"/>
      <c r="C384" s="17"/>
      <c r="D384" s="17"/>
      <c r="E384" s="17"/>
      <c r="F384" s="17"/>
      <c r="G384" s="17"/>
      <c r="H384" s="17"/>
      <c r="I384" s="17"/>
      <c r="J384" s="17"/>
      <c r="K384" s="17"/>
      <c r="L384" s="17"/>
      <c r="M384" s="17"/>
      <c r="N384" s="17"/>
      <c r="O384" s="17"/>
      <c r="P384" s="17"/>
      <c r="Q384" s="17"/>
      <c r="R384" s="17"/>
      <c r="S384" s="17"/>
      <c r="T384" s="17"/>
      <c r="U384" s="17"/>
      <c r="V384" s="12"/>
      <c r="W384" s="12"/>
      <c r="X384" s="12"/>
      <c r="Y384" s="12"/>
      <c r="Z384" s="12"/>
    </row>
    <row r="385" spans="1:26" ht="15" customHeight="1" x14ac:dyDescent="0.3">
      <c r="A385" s="26"/>
      <c r="B385" s="17"/>
      <c r="C385" s="17"/>
      <c r="D385" s="17"/>
      <c r="E385" s="17"/>
      <c r="F385" s="17"/>
      <c r="G385" s="17"/>
      <c r="H385" s="17"/>
      <c r="I385" s="17"/>
      <c r="J385" s="17"/>
      <c r="K385" s="17"/>
      <c r="L385" s="17"/>
      <c r="M385" s="17"/>
      <c r="N385" s="17"/>
      <c r="O385" s="17"/>
      <c r="P385" s="17"/>
      <c r="Q385" s="17"/>
      <c r="R385" s="17"/>
      <c r="S385" s="17"/>
      <c r="T385" s="17"/>
      <c r="U385" s="17"/>
      <c r="V385" s="12"/>
      <c r="W385" s="12"/>
      <c r="X385" s="12"/>
      <c r="Y385" s="12"/>
      <c r="Z385" s="12"/>
    </row>
    <row r="386" spans="1:26" ht="15" customHeight="1" x14ac:dyDescent="0.3">
      <c r="A386" s="26"/>
      <c r="B386" s="17"/>
      <c r="C386" s="17"/>
      <c r="D386" s="17"/>
      <c r="E386" s="17"/>
      <c r="F386" s="17"/>
      <c r="G386" s="17"/>
      <c r="H386" s="17"/>
      <c r="I386" s="17"/>
      <c r="J386" s="17"/>
      <c r="K386" s="17"/>
      <c r="L386" s="17"/>
      <c r="M386" s="17"/>
      <c r="N386" s="17"/>
      <c r="O386" s="17"/>
      <c r="P386" s="17"/>
      <c r="Q386" s="17"/>
      <c r="R386" s="17"/>
      <c r="S386" s="17"/>
      <c r="T386" s="17"/>
      <c r="U386" s="17"/>
      <c r="V386" s="12"/>
      <c r="W386" s="12"/>
      <c r="X386" s="12"/>
      <c r="Y386" s="12"/>
      <c r="Z386" s="12"/>
    </row>
    <row r="387" spans="1:26" ht="15" customHeight="1" x14ac:dyDescent="0.3">
      <c r="A387" s="26"/>
      <c r="B387" s="17"/>
      <c r="C387" s="17"/>
      <c r="D387" s="17"/>
      <c r="E387" s="17"/>
      <c r="F387" s="17"/>
      <c r="G387" s="17"/>
      <c r="H387" s="17"/>
      <c r="I387" s="17"/>
      <c r="J387" s="17"/>
      <c r="K387" s="17"/>
      <c r="L387" s="17"/>
      <c r="M387" s="17"/>
      <c r="N387" s="17"/>
      <c r="O387" s="17"/>
      <c r="P387" s="17"/>
      <c r="Q387" s="17"/>
      <c r="R387" s="17"/>
      <c r="S387" s="17"/>
      <c r="T387" s="17"/>
      <c r="U387" s="17"/>
      <c r="V387" s="12"/>
      <c r="W387" s="12"/>
      <c r="X387" s="12"/>
      <c r="Y387" s="12"/>
      <c r="Z387" s="12"/>
    </row>
    <row r="388" spans="1:26" ht="15" customHeight="1" x14ac:dyDescent="0.3">
      <c r="A388" s="26"/>
      <c r="B388" s="17"/>
      <c r="C388" s="17"/>
      <c r="D388" s="17"/>
      <c r="E388" s="17"/>
      <c r="F388" s="17"/>
      <c r="G388" s="17"/>
      <c r="H388" s="17"/>
      <c r="I388" s="17"/>
      <c r="J388" s="17"/>
      <c r="K388" s="17"/>
      <c r="L388" s="17"/>
      <c r="M388" s="17"/>
      <c r="N388" s="17"/>
      <c r="O388" s="17"/>
      <c r="P388" s="17"/>
      <c r="Q388" s="17"/>
      <c r="R388" s="17"/>
      <c r="S388" s="17"/>
      <c r="T388" s="17"/>
      <c r="U388" s="17"/>
      <c r="V388" s="12"/>
      <c r="W388" s="12"/>
      <c r="X388" s="12"/>
      <c r="Y388" s="12"/>
      <c r="Z388" s="12"/>
    </row>
    <row r="389" spans="1:26" ht="15" customHeight="1" x14ac:dyDescent="0.3">
      <c r="A389" s="26"/>
      <c r="B389" s="17"/>
      <c r="C389" s="17"/>
      <c r="D389" s="17"/>
      <c r="E389" s="17"/>
      <c r="F389" s="17"/>
      <c r="G389" s="17"/>
      <c r="H389" s="17"/>
      <c r="I389" s="17"/>
      <c r="J389" s="17"/>
      <c r="K389" s="17"/>
      <c r="L389" s="17"/>
      <c r="M389" s="17"/>
      <c r="N389" s="17"/>
      <c r="O389" s="17"/>
      <c r="P389" s="17"/>
      <c r="Q389" s="17"/>
      <c r="R389" s="17"/>
      <c r="S389" s="17"/>
      <c r="T389" s="17"/>
      <c r="U389" s="17"/>
      <c r="V389" s="12"/>
      <c r="W389" s="12"/>
      <c r="X389" s="12"/>
      <c r="Y389" s="12"/>
      <c r="Z389" s="12"/>
    </row>
    <row r="390" spans="1:26" ht="15" customHeight="1" x14ac:dyDescent="0.3">
      <c r="A390" s="26"/>
      <c r="B390" s="17"/>
      <c r="C390" s="17"/>
      <c r="D390" s="17"/>
      <c r="E390" s="17"/>
      <c r="F390" s="17"/>
      <c r="G390" s="17"/>
      <c r="H390" s="17"/>
      <c r="I390" s="17"/>
      <c r="J390" s="17"/>
      <c r="K390" s="17"/>
      <c r="L390" s="17"/>
      <c r="M390" s="17"/>
      <c r="N390" s="17"/>
      <c r="O390" s="17"/>
      <c r="P390" s="17"/>
      <c r="Q390" s="17"/>
      <c r="R390" s="17"/>
      <c r="S390" s="17"/>
      <c r="T390" s="17"/>
      <c r="U390" s="17"/>
      <c r="V390" s="12"/>
      <c r="W390" s="12"/>
      <c r="X390" s="12"/>
      <c r="Y390" s="12"/>
      <c r="Z390" s="12"/>
    </row>
    <row r="391" spans="1:26" ht="15" customHeight="1" x14ac:dyDescent="0.3">
      <c r="A391" s="26"/>
      <c r="B391" s="17"/>
      <c r="C391" s="17"/>
      <c r="D391" s="17"/>
      <c r="E391" s="17"/>
      <c r="F391" s="17"/>
      <c r="G391" s="17"/>
      <c r="H391" s="17"/>
      <c r="I391" s="17"/>
      <c r="J391" s="17"/>
      <c r="K391" s="17"/>
      <c r="L391" s="17"/>
      <c r="M391" s="17"/>
      <c r="N391" s="17"/>
      <c r="O391" s="17"/>
      <c r="P391" s="17"/>
      <c r="Q391" s="17"/>
      <c r="R391" s="17"/>
      <c r="S391" s="17"/>
      <c r="T391" s="17"/>
      <c r="U391" s="17"/>
      <c r="V391" s="12"/>
      <c r="W391" s="12"/>
      <c r="X391" s="12"/>
      <c r="Y391" s="12"/>
      <c r="Z391" s="12"/>
    </row>
    <row r="392" spans="1:26" ht="15" customHeight="1" x14ac:dyDescent="0.3">
      <c r="A392" s="26"/>
      <c r="B392" s="17"/>
      <c r="C392" s="17"/>
      <c r="D392" s="17"/>
      <c r="E392" s="17"/>
      <c r="F392" s="17"/>
      <c r="G392" s="17"/>
      <c r="H392" s="17"/>
      <c r="I392" s="17"/>
      <c r="J392" s="17"/>
      <c r="K392" s="17"/>
      <c r="L392" s="17"/>
      <c r="M392" s="17"/>
      <c r="N392" s="17"/>
      <c r="O392" s="17"/>
      <c r="P392" s="17"/>
      <c r="Q392" s="17"/>
      <c r="R392" s="17"/>
      <c r="S392" s="17"/>
      <c r="T392" s="17"/>
      <c r="U392" s="17"/>
      <c r="V392" s="12"/>
      <c r="W392" s="12"/>
      <c r="X392" s="12"/>
      <c r="Y392" s="12"/>
      <c r="Z392" s="12"/>
    </row>
    <row r="393" spans="1:26" ht="15" customHeight="1" x14ac:dyDescent="0.3">
      <c r="A393" s="26"/>
      <c r="B393" s="17"/>
      <c r="C393" s="17"/>
      <c r="D393" s="17"/>
      <c r="E393" s="17"/>
      <c r="F393" s="17"/>
      <c r="G393" s="17"/>
      <c r="H393" s="17"/>
      <c r="I393" s="17"/>
      <c r="J393" s="17"/>
      <c r="K393" s="17"/>
      <c r="L393" s="17"/>
      <c r="M393" s="17"/>
      <c r="N393" s="17"/>
      <c r="O393" s="17"/>
      <c r="P393" s="17"/>
      <c r="Q393" s="17"/>
      <c r="R393" s="17"/>
      <c r="S393" s="17"/>
      <c r="T393" s="17"/>
      <c r="U393" s="17"/>
      <c r="V393" s="12"/>
      <c r="W393" s="12"/>
      <c r="X393" s="12"/>
      <c r="Y393" s="12"/>
      <c r="Z393" s="12"/>
    </row>
    <row r="394" spans="1:26" ht="15" customHeight="1" x14ac:dyDescent="0.3">
      <c r="A394" s="26"/>
      <c r="B394" s="17"/>
      <c r="C394" s="17"/>
      <c r="D394" s="17"/>
      <c r="E394" s="17"/>
      <c r="F394" s="17"/>
      <c r="G394" s="17"/>
      <c r="H394" s="17"/>
      <c r="I394" s="17"/>
      <c r="J394" s="17"/>
      <c r="K394" s="17"/>
      <c r="L394" s="17"/>
      <c r="M394" s="17"/>
      <c r="N394" s="17"/>
      <c r="O394" s="17"/>
      <c r="P394" s="17"/>
      <c r="Q394" s="17"/>
      <c r="R394" s="17"/>
      <c r="S394" s="17"/>
      <c r="T394" s="17"/>
      <c r="U394" s="17"/>
      <c r="V394" s="12"/>
      <c r="W394" s="12"/>
      <c r="X394" s="12"/>
      <c r="Y394" s="12"/>
      <c r="Z394" s="12"/>
    </row>
    <row r="395" spans="1:26" ht="15" customHeight="1" x14ac:dyDescent="0.3">
      <c r="A395" s="26"/>
      <c r="B395" s="17"/>
      <c r="C395" s="17"/>
      <c r="D395" s="17"/>
      <c r="E395" s="17"/>
      <c r="F395" s="17"/>
      <c r="G395" s="17"/>
      <c r="H395" s="17"/>
      <c r="I395" s="17"/>
      <c r="J395" s="17"/>
      <c r="K395" s="17"/>
      <c r="L395" s="17"/>
      <c r="M395" s="17"/>
      <c r="N395" s="17"/>
      <c r="O395" s="17"/>
      <c r="P395" s="17"/>
      <c r="Q395" s="17"/>
      <c r="R395" s="17"/>
      <c r="S395" s="17"/>
      <c r="T395" s="17"/>
      <c r="U395" s="17"/>
      <c r="V395" s="12"/>
      <c r="W395" s="12"/>
      <c r="X395" s="12"/>
      <c r="Y395" s="12"/>
      <c r="Z395" s="12"/>
    </row>
    <row r="396" spans="1:26" ht="15" customHeight="1" x14ac:dyDescent="0.3">
      <c r="A396" s="26"/>
      <c r="B396" s="17"/>
      <c r="C396" s="17"/>
      <c r="D396" s="17"/>
      <c r="E396" s="17"/>
      <c r="F396" s="17"/>
      <c r="G396" s="17"/>
      <c r="H396" s="17"/>
      <c r="I396" s="17"/>
      <c r="J396" s="17"/>
      <c r="K396" s="17"/>
      <c r="L396" s="17"/>
      <c r="M396" s="17"/>
      <c r="N396" s="17"/>
      <c r="O396" s="17"/>
      <c r="P396" s="17"/>
      <c r="Q396" s="17"/>
      <c r="R396" s="17"/>
      <c r="S396" s="17"/>
      <c r="T396" s="17"/>
      <c r="U396" s="17"/>
      <c r="V396" s="12"/>
      <c r="W396" s="12"/>
      <c r="X396" s="12"/>
      <c r="Y396" s="12"/>
      <c r="Z396" s="12"/>
    </row>
    <row r="397" spans="1:26" ht="15" customHeight="1" x14ac:dyDescent="0.3">
      <c r="A397" s="26"/>
      <c r="B397" s="17"/>
      <c r="C397" s="17"/>
      <c r="D397" s="17"/>
      <c r="E397" s="17"/>
      <c r="F397" s="17"/>
      <c r="G397" s="17"/>
      <c r="H397" s="17"/>
      <c r="I397" s="17"/>
      <c r="J397" s="17"/>
      <c r="K397" s="17"/>
      <c r="L397" s="17"/>
      <c r="M397" s="17"/>
      <c r="N397" s="17"/>
      <c r="O397" s="17"/>
      <c r="P397" s="17"/>
      <c r="Q397" s="17"/>
      <c r="R397" s="17"/>
      <c r="S397" s="17"/>
      <c r="T397" s="17"/>
      <c r="U397" s="17"/>
      <c r="V397" s="12"/>
      <c r="W397" s="12"/>
      <c r="X397" s="12"/>
      <c r="Y397" s="12"/>
      <c r="Z397" s="12"/>
    </row>
    <row r="398" spans="1:26" ht="15" customHeight="1" x14ac:dyDescent="0.3">
      <c r="A398" s="26"/>
      <c r="B398" s="17"/>
      <c r="C398" s="17"/>
      <c r="D398" s="17"/>
      <c r="E398" s="17"/>
      <c r="F398" s="17"/>
      <c r="G398" s="17"/>
      <c r="H398" s="17"/>
      <c r="I398" s="17"/>
      <c r="J398" s="17"/>
      <c r="K398" s="17"/>
      <c r="L398" s="17"/>
      <c r="M398" s="17"/>
      <c r="N398" s="17"/>
      <c r="O398" s="17"/>
      <c r="P398" s="17"/>
      <c r="Q398" s="17"/>
      <c r="R398" s="17"/>
      <c r="S398" s="17"/>
      <c r="T398" s="17"/>
      <c r="U398" s="17"/>
      <c r="V398" s="12"/>
      <c r="W398" s="12"/>
      <c r="X398" s="12"/>
      <c r="Y398" s="12"/>
      <c r="Z398" s="12"/>
    </row>
    <row r="399" spans="1:26" ht="15" customHeight="1" x14ac:dyDescent="0.3">
      <c r="A399" s="26"/>
      <c r="B399" s="17"/>
      <c r="C399" s="17"/>
      <c r="D399" s="17"/>
      <c r="E399" s="17"/>
      <c r="F399" s="17"/>
      <c r="G399" s="17"/>
      <c r="H399" s="17"/>
      <c r="I399" s="17"/>
      <c r="J399" s="17"/>
      <c r="K399" s="17"/>
      <c r="L399" s="17"/>
      <c r="M399" s="17"/>
      <c r="N399" s="17"/>
      <c r="O399" s="17"/>
      <c r="P399" s="17"/>
      <c r="Q399" s="17"/>
      <c r="R399" s="17"/>
      <c r="S399" s="17"/>
      <c r="T399" s="17"/>
      <c r="U399" s="17"/>
      <c r="V399" s="12"/>
      <c r="W399" s="12"/>
      <c r="X399" s="12"/>
      <c r="Y399" s="12"/>
      <c r="Z399" s="12"/>
    </row>
    <row r="400" spans="1:26" ht="15" customHeight="1" x14ac:dyDescent="0.3">
      <c r="A400" s="26"/>
      <c r="B400" s="17"/>
      <c r="C400" s="17"/>
      <c r="D400" s="17"/>
      <c r="E400" s="17"/>
      <c r="F400" s="17"/>
      <c r="G400" s="17"/>
      <c r="H400" s="17"/>
      <c r="I400" s="17"/>
      <c r="J400" s="17"/>
      <c r="K400" s="17"/>
      <c r="L400" s="17"/>
      <c r="M400" s="17"/>
      <c r="N400" s="17"/>
      <c r="O400" s="17"/>
      <c r="P400" s="17"/>
      <c r="Q400" s="17"/>
      <c r="R400" s="17"/>
      <c r="S400" s="17"/>
      <c r="T400" s="17"/>
      <c r="U400" s="17"/>
      <c r="V400" s="12"/>
      <c r="W400" s="12"/>
      <c r="X400" s="12"/>
      <c r="Y400" s="12"/>
      <c r="Z400" s="12"/>
    </row>
    <row r="401" spans="1:26" ht="15" customHeight="1" x14ac:dyDescent="0.3">
      <c r="A401" s="26"/>
      <c r="B401" s="17"/>
      <c r="C401" s="17"/>
      <c r="D401" s="17"/>
      <c r="E401" s="17"/>
      <c r="F401" s="17"/>
      <c r="G401" s="17"/>
      <c r="H401" s="17"/>
      <c r="I401" s="17"/>
      <c r="J401" s="17"/>
      <c r="K401" s="17"/>
      <c r="L401" s="17"/>
      <c r="M401" s="17"/>
      <c r="N401" s="17"/>
      <c r="O401" s="17"/>
      <c r="P401" s="17"/>
      <c r="Q401" s="17"/>
      <c r="R401" s="17"/>
      <c r="S401" s="17"/>
      <c r="T401" s="17"/>
      <c r="U401" s="17"/>
      <c r="V401" s="12"/>
      <c r="W401" s="12"/>
      <c r="X401" s="12"/>
      <c r="Y401" s="12"/>
      <c r="Z401" s="12"/>
    </row>
    <row r="402" spans="1:26" ht="15" customHeight="1" x14ac:dyDescent="0.3">
      <c r="A402" s="26"/>
      <c r="B402" s="17"/>
      <c r="C402" s="17"/>
      <c r="D402" s="17"/>
      <c r="E402" s="17"/>
      <c r="F402" s="17"/>
      <c r="G402" s="17"/>
      <c r="H402" s="17"/>
      <c r="I402" s="17"/>
      <c r="J402" s="17"/>
      <c r="K402" s="17"/>
      <c r="L402" s="17"/>
      <c r="M402" s="17"/>
      <c r="N402" s="17"/>
      <c r="O402" s="17"/>
      <c r="P402" s="17"/>
      <c r="Q402" s="17"/>
      <c r="R402" s="17"/>
      <c r="S402" s="17"/>
      <c r="T402" s="17"/>
      <c r="U402" s="17"/>
      <c r="V402" s="12"/>
      <c r="W402" s="12"/>
      <c r="X402" s="12"/>
      <c r="Y402" s="12"/>
      <c r="Z402" s="12"/>
    </row>
    <row r="403" spans="1:26" ht="15" customHeight="1" x14ac:dyDescent="0.3">
      <c r="A403" s="26"/>
      <c r="B403" s="17"/>
      <c r="C403" s="17"/>
      <c r="D403" s="17"/>
      <c r="E403" s="17"/>
      <c r="F403" s="17"/>
      <c r="G403" s="17"/>
      <c r="H403" s="17"/>
      <c r="I403" s="17"/>
      <c r="J403" s="17"/>
      <c r="K403" s="17"/>
      <c r="L403" s="17"/>
      <c r="M403" s="17"/>
      <c r="N403" s="17"/>
      <c r="O403" s="17"/>
      <c r="P403" s="17"/>
      <c r="Q403" s="17"/>
      <c r="R403" s="17"/>
      <c r="S403" s="17"/>
      <c r="T403" s="17"/>
      <c r="U403" s="17"/>
      <c r="V403" s="12"/>
      <c r="W403" s="12"/>
      <c r="X403" s="12"/>
      <c r="Y403" s="12"/>
      <c r="Z403" s="12"/>
    </row>
    <row r="404" spans="1:26" ht="15" customHeight="1" x14ac:dyDescent="0.3">
      <c r="A404" s="26"/>
      <c r="B404" s="17"/>
      <c r="C404" s="17"/>
      <c r="D404" s="17"/>
      <c r="E404" s="17"/>
      <c r="F404" s="17"/>
      <c r="G404" s="17"/>
      <c r="H404" s="17"/>
      <c r="I404" s="17"/>
      <c r="J404" s="17"/>
      <c r="K404" s="17"/>
      <c r="L404" s="17"/>
      <c r="M404" s="17"/>
      <c r="N404" s="17"/>
      <c r="O404" s="17"/>
      <c r="P404" s="17"/>
      <c r="Q404" s="17"/>
      <c r="R404" s="17"/>
      <c r="S404" s="17"/>
      <c r="T404" s="17"/>
      <c r="U404" s="17"/>
      <c r="V404" s="12"/>
      <c r="W404" s="12"/>
      <c r="X404" s="12"/>
      <c r="Y404" s="12"/>
      <c r="Z404" s="12"/>
    </row>
    <row r="405" spans="1:26" ht="15" customHeight="1" x14ac:dyDescent="0.3">
      <c r="A405" s="26"/>
      <c r="B405" s="17"/>
      <c r="C405" s="17"/>
      <c r="D405" s="17"/>
      <c r="E405" s="17"/>
      <c r="F405" s="17"/>
      <c r="G405" s="17"/>
      <c r="H405" s="17"/>
      <c r="I405" s="17"/>
      <c r="J405" s="17"/>
      <c r="K405" s="17"/>
      <c r="L405" s="17"/>
      <c r="M405" s="17"/>
      <c r="N405" s="17"/>
      <c r="O405" s="17"/>
      <c r="P405" s="17"/>
      <c r="Q405" s="17"/>
      <c r="R405" s="17"/>
      <c r="S405" s="17"/>
      <c r="T405" s="17"/>
      <c r="U405" s="17"/>
      <c r="V405" s="12"/>
      <c r="W405" s="12"/>
      <c r="X405" s="12"/>
      <c r="Y405" s="12"/>
      <c r="Z405" s="12"/>
    </row>
    <row r="406" spans="1:26" ht="15" customHeight="1" x14ac:dyDescent="0.3">
      <c r="A406" s="26"/>
      <c r="B406" s="17"/>
      <c r="C406" s="17"/>
      <c r="D406" s="17"/>
      <c r="E406" s="17"/>
      <c r="F406" s="17"/>
      <c r="G406" s="17"/>
      <c r="H406" s="17"/>
      <c r="I406" s="17"/>
      <c r="J406" s="17"/>
      <c r="K406" s="17"/>
      <c r="L406" s="17"/>
      <c r="M406" s="17"/>
      <c r="N406" s="17"/>
      <c r="O406" s="17"/>
      <c r="P406" s="17"/>
      <c r="Q406" s="17"/>
      <c r="R406" s="17"/>
      <c r="S406" s="17"/>
      <c r="T406" s="17"/>
      <c r="U406" s="17"/>
      <c r="V406" s="12"/>
      <c r="W406" s="12"/>
      <c r="X406" s="12"/>
      <c r="Y406" s="12"/>
      <c r="Z406" s="12"/>
    </row>
    <row r="407" spans="1:26" ht="15" customHeight="1" x14ac:dyDescent="0.3">
      <c r="A407" s="26"/>
      <c r="B407" s="17"/>
      <c r="C407" s="17"/>
      <c r="D407" s="17"/>
      <c r="E407" s="17"/>
      <c r="F407" s="17"/>
      <c r="G407" s="17"/>
      <c r="H407" s="17"/>
      <c r="I407" s="17"/>
      <c r="J407" s="17"/>
      <c r="K407" s="17"/>
      <c r="L407" s="17"/>
      <c r="M407" s="17"/>
      <c r="N407" s="17"/>
      <c r="O407" s="17"/>
      <c r="P407" s="17"/>
      <c r="Q407" s="17"/>
      <c r="R407" s="17"/>
      <c r="S407" s="17"/>
      <c r="T407" s="17"/>
      <c r="U407" s="17"/>
      <c r="V407" s="12"/>
      <c r="W407" s="12"/>
      <c r="X407" s="12"/>
      <c r="Y407" s="12"/>
      <c r="Z407" s="12"/>
    </row>
    <row r="408" spans="1:26" ht="15" customHeight="1" x14ac:dyDescent="0.3">
      <c r="A408" s="26"/>
      <c r="B408" s="17"/>
      <c r="C408" s="17"/>
      <c r="D408" s="17"/>
      <c r="E408" s="17"/>
      <c r="F408" s="17"/>
      <c r="G408" s="17"/>
      <c r="H408" s="17"/>
      <c r="I408" s="17"/>
      <c r="J408" s="17"/>
      <c r="K408" s="17"/>
      <c r="L408" s="17"/>
      <c r="M408" s="17"/>
      <c r="N408" s="17"/>
      <c r="O408" s="17"/>
      <c r="P408" s="17"/>
      <c r="Q408" s="17"/>
      <c r="R408" s="17"/>
      <c r="S408" s="17"/>
      <c r="T408" s="17"/>
      <c r="U408" s="17"/>
      <c r="V408" s="12"/>
      <c r="W408" s="12"/>
      <c r="X408" s="12"/>
      <c r="Y408" s="12"/>
      <c r="Z408" s="12"/>
    </row>
    <row r="409" spans="1:26" ht="15" customHeight="1" x14ac:dyDescent="0.3">
      <c r="A409" s="26"/>
      <c r="B409" s="17"/>
      <c r="C409" s="17"/>
      <c r="D409" s="17"/>
      <c r="E409" s="17"/>
      <c r="F409" s="17"/>
      <c r="G409" s="17"/>
      <c r="H409" s="17"/>
      <c r="I409" s="17"/>
      <c r="J409" s="17"/>
      <c r="K409" s="17"/>
      <c r="L409" s="17"/>
      <c r="M409" s="17"/>
      <c r="N409" s="17"/>
      <c r="O409" s="17"/>
      <c r="P409" s="17"/>
      <c r="Q409" s="17"/>
      <c r="R409" s="17"/>
      <c r="S409" s="17"/>
      <c r="T409" s="17"/>
      <c r="U409" s="17"/>
      <c r="V409" s="12"/>
      <c r="W409" s="12"/>
      <c r="X409" s="12"/>
      <c r="Y409" s="12"/>
      <c r="Z409" s="12"/>
    </row>
    <row r="410" spans="1:26" ht="15" customHeight="1" x14ac:dyDescent="0.3">
      <c r="A410" s="26"/>
      <c r="B410" s="17"/>
      <c r="C410" s="17"/>
      <c r="D410" s="17"/>
      <c r="E410" s="17"/>
      <c r="F410" s="17"/>
      <c r="G410" s="17"/>
      <c r="H410" s="17"/>
      <c r="I410" s="17"/>
      <c r="J410" s="17"/>
      <c r="K410" s="17"/>
      <c r="L410" s="17"/>
      <c r="M410" s="17"/>
      <c r="N410" s="17"/>
      <c r="O410" s="17"/>
      <c r="P410" s="17"/>
      <c r="Q410" s="17"/>
      <c r="R410" s="17"/>
      <c r="S410" s="17"/>
      <c r="T410" s="17"/>
      <c r="U410" s="17"/>
      <c r="V410" s="12"/>
      <c r="W410" s="12"/>
      <c r="X410" s="12"/>
      <c r="Y410" s="12"/>
      <c r="Z410" s="12"/>
    </row>
    <row r="411" spans="1:26" ht="15" customHeight="1" x14ac:dyDescent="0.3">
      <c r="A411" s="26"/>
      <c r="B411" s="17"/>
      <c r="C411" s="17"/>
      <c r="D411" s="17"/>
      <c r="E411" s="17"/>
      <c r="F411" s="17"/>
      <c r="G411" s="17"/>
      <c r="H411" s="17"/>
      <c r="I411" s="17"/>
      <c r="J411" s="17"/>
      <c r="K411" s="17"/>
      <c r="L411" s="17"/>
      <c r="M411" s="17"/>
      <c r="N411" s="17"/>
      <c r="O411" s="17"/>
      <c r="P411" s="17"/>
      <c r="Q411" s="17"/>
      <c r="R411" s="17"/>
      <c r="S411" s="17"/>
      <c r="T411" s="17"/>
      <c r="U411" s="17"/>
      <c r="V411" s="12"/>
      <c r="W411" s="12"/>
      <c r="X411" s="12"/>
      <c r="Y411" s="12"/>
      <c r="Z411" s="12"/>
    </row>
    <row r="412" spans="1:26" ht="15" customHeight="1" x14ac:dyDescent="0.3">
      <c r="A412" s="26"/>
      <c r="B412" s="17"/>
      <c r="C412" s="17"/>
      <c r="D412" s="17"/>
      <c r="E412" s="17"/>
      <c r="F412" s="17"/>
      <c r="G412" s="17"/>
      <c r="H412" s="17"/>
      <c r="I412" s="17"/>
      <c r="J412" s="17"/>
      <c r="K412" s="17"/>
      <c r="L412" s="17"/>
      <c r="M412" s="17"/>
      <c r="N412" s="17"/>
      <c r="O412" s="17"/>
      <c r="P412" s="17"/>
      <c r="Q412" s="17"/>
      <c r="R412" s="17"/>
      <c r="S412" s="17"/>
      <c r="T412" s="17"/>
      <c r="U412" s="17"/>
      <c r="V412" s="12"/>
      <c r="W412" s="12"/>
      <c r="X412" s="12"/>
      <c r="Y412" s="12"/>
      <c r="Z412" s="12"/>
    </row>
    <row r="413" spans="1:26" ht="15" customHeight="1" x14ac:dyDescent="0.3">
      <c r="A413" s="26"/>
      <c r="B413" s="17"/>
      <c r="C413" s="17"/>
      <c r="D413" s="17"/>
      <c r="E413" s="17"/>
      <c r="F413" s="17"/>
      <c r="G413" s="17"/>
      <c r="H413" s="17"/>
      <c r="I413" s="17"/>
      <c r="J413" s="17"/>
      <c r="K413" s="17"/>
      <c r="L413" s="17"/>
      <c r="M413" s="17"/>
      <c r="N413" s="17"/>
      <c r="O413" s="17"/>
      <c r="P413" s="17"/>
      <c r="Q413" s="17"/>
      <c r="R413" s="17"/>
      <c r="S413" s="17"/>
      <c r="T413" s="17"/>
      <c r="U413" s="17"/>
      <c r="V413" s="12"/>
      <c r="W413" s="12"/>
      <c r="X413" s="12"/>
      <c r="Y413" s="12"/>
      <c r="Z413" s="12"/>
    </row>
    <row r="414" spans="1:26" ht="15" customHeight="1" x14ac:dyDescent="0.3">
      <c r="A414" s="26"/>
      <c r="B414" s="17"/>
      <c r="C414" s="17"/>
      <c r="D414" s="17"/>
      <c r="E414" s="17"/>
      <c r="F414" s="17"/>
      <c r="G414" s="17"/>
      <c r="H414" s="17"/>
      <c r="I414" s="17"/>
      <c r="J414" s="17"/>
      <c r="K414" s="17"/>
      <c r="L414" s="17"/>
      <c r="M414" s="17"/>
      <c r="N414" s="17"/>
      <c r="O414" s="17"/>
      <c r="P414" s="17"/>
      <c r="Q414" s="17"/>
      <c r="R414" s="17"/>
      <c r="S414" s="17"/>
      <c r="T414" s="17"/>
      <c r="U414" s="17"/>
      <c r="V414" s="12"/>
      <c r="W414" s="12"/>
      <c r="X414" s="12"/>
      <c r="Y414" s="12"/>
      <c r="Z414" s="12"/>
    </row>
    <row r="415" spans="1:26" ht="15" customHeight="1" x14ac:dyDescent="0.3">
      <c r="A415" s="26"/>
      <c r="B415" s="17"/>
      <c r="C415" s="17"/>
      <c r="D415" s="17"/>
      <c r="E415" s="17"/>
      <c r="F415" s="17"/>
      <c r="G415" s="17"/>
      <c r="H415" s="17"/>
      <c r="I415" s="17"/>
      <c r="J415" s="17"/>
      <c r="K415" s="17"/>
      <c r="L415" s="17"/>
      <c r="M415" s="17"/>
      <c r="N415" s="17"/>
      <c r="O415" s="17"/>
      <c r="P415" s="17"/>
      <c r="Q415" s="17"/>
      <c r="R415" s="17"/>
      <c r="S415" s="17"/>
      <c r="T415" s="17"/>
      <c r="U415" s="17"/>
      <c r="V415" s="12"/>
      <c r="W415" s="12"/>
      <c r="X415" s="12"/>
      <c r="Y415" s="12"/>
      <c r="Z415" s="12"/>
    </row>
    <row r="416" spans="1:26" ht="15" customHeight="1" x14ac:dyDescent="0.3">
      <c r="A416" s="26"/>
      <c r="B416" s="17"/>
      <c r="C416" s="17"/>
      <c r="D416" s="17"/>
      <c r="E416" s="17"/>
      <c r="F416" s="17"/>
      <c r="G416" s="17"/>
      <c r="H416" s="17"/>
      <c r="I416" s="17"/>
      <c r="J416" s="17"/>
      <c r="K416" s="17"/>
      <c r="L416" s="17"/>
      <c r="M416" s="17"/>
      <c r="N416" s="17"/>
      <c r="O416" s="17"/>
      <c r="P416" s="17"/>
      <c r="Q416" s="17"/>
      <c r="R416" s="17"/>
      <c r="S416" s="17"/>
      <c r="T416" s="17"/>
      <c r="U416" s="17"/>
      <c r="V416" s="12"/>
      <c r="W416" s="12"/>
      <c r="X416" s="12"/>
      <c r="Y416" s="12"/>
      <c r="Z416" s="12"/>
    </row>
    <row r="417" spans="1:26" ht="15" customHeight="1" x14ac:dyDescent="0.3">
      <c r="A417" s="26"/>
      <c r="B417" s="17"/>
      <c r="C417" s="17"/>
      <c r="D417" s="17"/>
      <c r="E417" s="17"/>
      <c r="F417" s="17"/>
      <c r="G417" s="17"/>
      <c r="H417" s="17"/>
      <c r="I417" s="17"/>
      <c r="J417" s="17"/>
      <c r="K417" s="17"/>
      <c r="L417" s="17"/>
      <c r="M417" s="17"/>
      <c r="N417" s="17"/>
      <c r="O417" s="17"/>
      <c r="P417" s="17"/>
      <c r="Q417" s="17"/>
      <c r="R417" s="17"/>
      <c r="S417" s="17"/>
      <c r="T417" s="17"/>
      <c r="U417" s="17"/>
      <c r="V417" s="12"/>
      <c r="W417" s="12"/>
      <c r="X417" s="12"/>
      <c r="Y417" s="12"/>
      <c r="Z417" s="12"/>
    </row>
    <row r="418" spans="1:26" ht="15" customHeight="1" x14ac:dyDescent="0.3">
      <c r="A418" s="26"/>
      <c r="B418" s="17"/>
      <c r="C418" s="17"/>
      <c r="D418" s="17"/>
      <c r="E418" s="17"/>
      <c r="F418" s="17"/>
      <c r="G418" s="17"/>
      <c r="H418" s="17"/>
      <c r="I418" s="17"/>
      <c r="J418" s="17"/>
      <c r="K418" s="17"/>
      <c r="L418" s="17"/>
      <c r="M418" s="17"/>
      <c r="N418" s="17"/>
      <c r="O418" s="17"/>
      <c r="P418" s="17"/>
      <c r="Q418" s="17"/>
      <c r="R418" s="17"/>
      <c r="S418" s="17"/>
      <c r="T418" s="17"/>
      <c r="U418" s="17"/>
      <c r="V418" s="12"/>
      <c r="W418" s="12"/>
      <c r="X418" s="12"/>
      <c r="Y418" s="12"/>
      <c r="Z418" s="12"/>
    </row>
    <row r="419" spans="1:26" ht="15" customHeight="1" x14ac:dyDescent="0.3">
      <c r="A419" s="26"/>
      <c r="B419" s="17"/>
      <c r="C419" s="17"/>
      <c r="D419" s="17"/>
      <c r="E419" s="17"/>
      <c r="F419" s="17"/>
      <c r="G419" s="17"/>
      <c r="H419" s="17"/>
      <c r="I419" s="17"/>
      <c r="J419" s="17"/>
      <c r="K419" s="17"/>
      <c r="L419" s="17"/>
      <c r="M419" s="17"/>
      <c r="N419" s="17"/>
      <c r="O419" s="17"/>
      <c r="P419" s="17"/>
      <c r="Q419" s="17"/>
      <c r="R419" s="17"/>
      <c r="S419" s="17"/>
      <c r="T419" s="17"/>
      <c r="U419" s="17"/>
      <c r="V419" s="12"/>
      <c r="W419" s="12"/>
      <c r="X419" s="12"/>
      <c r="Y419" s="12"/>
      <c r="Z419" s="12"/>
    </row>
    <row r="420" spans="1:26" ht="15" customHeight="1" x14ac:dyDescent="0.3">
      <c r="A420" s="26"/>
      <c r="B420" s="17"/>
      <c r="C420" s="17"/>
      <c r="D420" s="17"/>
      <c r="E420" s="17"/>
      <c r="F420" s="17"/>
      <c r="G420" s="17"/>
      <c r="H420" s="17"/>
      <c r="I420" s="17"/>
      <c r="J420" s="17"/>
      <c r="K420" s="17"/>
      <c r="L420" s="17"/>
      <c r="M420" s="17"/>
      <c r="N420" s="17"/>
      <c r="O420" s="17"/>
      <c r="P420" s="17"/>
      <c r="Q420" s="17"/>
      <c r="R420" s="17"/>
      <c r="S420" s="17"/>
      <c r="T420" s="17"/>
      <c r="U420" s="17"/>
      <c r="V420" s="12"/>
      <c r="W420" s="12"/>
      <c r="X420" s="12"/>
      <c r="Y420" s="12"/>
      <c r="Z420" s="12"/>
    </row>
    <row r="421" spans="1:26" ht="15" customHeight="1" x14ac:dyDescent="0.3">
      <c r="A421" s="26"/>
      <c r="B421" s="17"/>
      <c r="C421" s="17"/>
      <c r="D421" s="17"/>
      <c r="E421" s="17"/>
      <c r="F421" s="17"/>
      <c r="G421" s="17"/>
      <c r="H421" s="17"/>
      <c r="I421" s="17"/>
      <c r="J421" s="17"/>
      <c r="K421" s="17"/>
      <c r="L421" s="17"/>
      <c r="M421" s="17"/>
      <c r="N421" s="17"/>
      <c r="O421" s="17"/>
      <c r="P421" s="17"/>
      <c r="Q421" s="17"/>
      <c r="R421" s="17"/>
      <c r="S421" s="17"/>
      <c r="T421" s="17"/>
      <c r="U421" s="17"/>
      <c r="V421" s="12"/>
      <c r="W421" s="12"/>
      <c r="X421" s="12"/>
      <c r="Y421" s="12"/>
      <c r="Z421" s="12"/>
    </row>
    <row r="422" spans="1:26" ht="15" customHeight="1" x14ac:dyDescent="0.3">
      <c r="A422" s="26"/>
      <c r="B422" s="17"/>
      <c r="C422" s="17"/>
      <c r="D422" s="17"/>
      <c r="E422" s="17"/>
      <c r="F422" s="17"/>
      <c r="G422" s="17"/>
      <c r="H422" s="17"/>
      <c r="I422" s="17"/>
      <c r="J422" s="17"/>
      <c r="K422" s="17"/>
      <c r="L422" s="17"/>
      <c r="M422" s="17"/>
      <c r="N422" s="17"/>
      <c r="O422" s="17"/>
      <c r="P422" s="17"/>
      <c r="Q422" s="17"/>
      <c r="R422" s="17"/>
      <c r="S422" s="17"/>
      <c r="T422" s="17"/>
      <c r="U422" s="17"/>
      <c r="V422" s="12"/>
      <c r="W422" s="12"/>
      <c r="X422" s="12"/>
      <c r="Y422" s="12"/>
      <c r="Z422" s="12"/>
    </row>
    <row r="423" spans="1:26" ht="15" customHeight="1" x14ac:dyDescent="0.3">
      <c r="A423" s="26"/>
      <c r="B423" s="17"/>
      <c r="C423" s="17"/>
      <c r="D423" s="17"/>
      <c r="E423" s="17"/>
      <c r="F423" s="17"/>
      <c r="G423" s="17"/>
      <c r="H423" s="17"/>
      <c r="I423" s="17"/>
      <c r="J423" s="17"/>
      <c r="K423" s="17"/>
      <c r="L423" s="17"/>
      <c r="M423" s="17"/>
      <c r="N423" s="17"/>
      <c r="O423" s="17"/>
      <c r="P423" s="17"/>
      <c r="Q423" s="17"/>
      <c r="R423" s="17"/>
      <c r="S423" s="17"/>
      <c r="T423" s="17"/>
      <c r="U423" s="17"/>
      <c r="V423" s="12"/>
      <c r="W423" s="12"/>
      <c r="X423" s="12"/>
      <c r="Y423" s="12"/>
      <c r="Z423" s="12"/>
    </row>
    <row r="424" spans="1:26" ht="15" customHeight="1" x14ac:dyDescent="0.3">
      <c r="A424" s="26"/>
      <c r="B424" s="17"/>
      <c r="C424" s="17"/>
      <c r="D424" s="17"/>
      <c r="E424" s="17"/>
      <c r="F424" s="17"/>
      <c r="G424" s="17"/>
      <c r="H424" s="17"/>
      <c r="I424" s="17"/>
      <c r="J424" s="17"/>
      <c r="K424" s="17"/>
      <c r="L424" s="17"/>
      <c r="M424" s="17"/>
      <c r="N424" s="17"/>
      <c r="O424" s="17"/>
      <c r="P424" s="17"/>
      <c r="Q424" s="17"/>
      <c r="R424" s="17"/>
      <c r="S424" s="17"/>
      <c r="T424" s="17"/>
      <c r="U424" s="17"/>
      <c r="V424" s="12"/>
      <c r="W424" s="12"/>
      <c r="X424" s="12"/>
      <c r="Y424" s="12"/>
      <c r="Z424" s="12"/>
    </row>
    <row r="425" spans="1:26" ht="15" customHeight="1" x14ac:dyDescent="0.3">
      <c r="A425" s="26"/>
      <c r="B425" s="17"/>
      <c r="C425" s="17"/>
      <c r="D425" s="17"/>
      <c r="E425" s="17"/>
      <c r="F425" s="17"/>
      <c r="G425" s="17"/>
      <c r="H425" s="17"/>
      <c r="I425" s="17"/>
      <c r="J425" s="17"/>
      <c r="K425" s="17"/>
      <c r="L425" s="17"/>
      <c r="M425" s="17"/>
      <c r="N425" s="17"/>
      <c r="O425" s="17"/>
      <c r="P425" s="17"/>
      <c r="Q425" s="17"/>
      <c r="R425" s="17"/>
      <c r="S425" s="17"/>
      <c r="T425" s="17"/>
      <c r="U425" s="17"/>
      <c r="V425" s="12"/>
      <c r="W425" s="12"/>
      <c r="X425" s="12"/>
      <c r="Y425" s="12"/>
      <c r="Z425" s="12"/>
    </row>
    <row r="426" spans="1:26" ht="15" customHeight="1" x14ac:dyDescent="0.3">
      <c r="A426" s="26"/>
      <c r="B426" s="17"/>
      <c r="C426" s="17"/>
      <c r="D426" s="17"/>
      <c r="E426" s="17"/>
      <c r="F426" s="17"/>
      <c r="G426" s="17"/>
      <c r="H426" s="17"/>
      <c r="I426" s="17"/>
      <c r="J426" s="17"/>
      <c r="K426" s="17"/>
      <c r="L426" s="17"/>
      <c r="M426" s="17"/>
      <c r="N426" s="17"/>
      <c r="O426" s="17"/>
      <c r="P426" s="17"/>
      <c r="Q426" s="17"/>
      <c r="R426" s="17"/>
      <c r="S426" s="17"/>
      <c r="T426" s="17"/>
      <c r="U426" s="17"/>
      <c r="V426" s="12"/>
      <c r="W426" s="12"/>
      <c r="X426" s="12"/>
      <c r="Y426" s="12"/>
      <c r="Z426" s="12"/>
    </row>
    <row r="427" spans="1:26" ht="15" customHeight="1" x14ac:dyDescent="0.3">
      <c r="A427" s="26"/>
      <c r="B427" s="17"/>
      <c r="C427" s="17"/>
      <c r="D427" s="17"/>
      <c r="E427" s="17"/>
      <c r="F427" s="17"/>
      <c r="G427" s="17"/>
      <c r="H427" s="17"/>
      <c r="I427" s="17"/>
      <c r="J427" s="17"/>
      <c r="K427" s="17"/>
      <c r="L427" s="17"/>
      <c r="M427" s="17"/>
      <c r="N427" s="17"/>
      <c r="O427" s="17"/>
      <c r="P427" s="17"/>
      <c r="Q427" s="17"/>
      <c r="R427" s="17"/>
      <c r="S427" s="17"/>
      <c r="T427" s="17"/>
      <c r="U427" s="17"/>
      <c r="V427" s="12"/>
      <c r="W427" s="12"/>
      <c r="X427" s="12"/>
      <c r="Y427" s="12"/>
      <c r="Z427" s="12"/>
    </row>
    <row r="428" spans="1:26" ht="15" customHeight="1" x14ac:dyDescent="0.3">
      <c r="A428" s="26"/>
      <c r="B428" s="17"/>
      <c r="C428" s="17"/>
      <c r="D428" s="17"/>
      <c r="E428" s="17"/>
      <c r="F428" s="17"/>
      <c r="G428" s="17"/>
      <c r="H428" s="17"/>
      <c r="I428" s="17"/>
      <c r="J428" s="17"/>
      <c r="K428" s="17"/>
      <c r="L428" s="17"/>
      <c r="M428" s="17"/>
      <c r="N428" s="17"/>
      <c r="O428" s="17"/>
      <c r="P428" s="17"/>
      <c r="Q428" s="17"/>
      <c r="R428" s="17"/>
      <c r="S428" s="17"/>
      <c r="T428" s="17"/>
      <c r="U428" s="17"/>
      <c r="V428" s="12"/>
      <c r="W428" s="12"/>
      <c r="X428" s="12"/>
      <c r="Y428" s="12"/>
      <c r="Z428" s="12"/>
    </row>
    <row r="429" spans="1:26" ht="15" customHeight="1" x14ac:dyDescent="0.3">
      <c r="A429" s="26"/>
      <c r="B429" s="17"/>
      <c r="C429" s="17"/>
      <c r="D429" s="17"/>
      <c r="E429" s="17"/>
      <c r="F429" s="17"/>
      <c r="G429" s="17"/>
      <c r="H429" s="17"/>
      <c r="I429" s="17"/>
      <c r="J429" s="17"/>
      <c r="K429" s="17"/>
      <c r="L429" s="17"/>
      <c r="M429" s="17"/>
      <c r="N429" s="17"/>
      <c r="O429" s="17"/>
      <c r="P429" s="17"/>
      <c r="Q429" s="17"/>
      <c r="R429" s="17"/>
      <c r="S429" s="17"/>
      <c r="T429" s="17"/>
      <c r="U429" s="17"/>
      <c r="V429" s="12"/>
      <c r="W429" s="12"/>
      <c r="X429" s="12"/>
      <c r="Y429" s="12"/>
      <c r="Z429" s="12"/>
    </row>
    <row r="430" spans="1:26" ht="15" customHeight="1" x14ac:dyDescent="0.3">
      <c r="A430" s="26"/>
      <c r="B430" s="17"/>
      <c r="C430" s="17"/>
      <c r="D430" s="17"/>
      <c r="E430" s="17"/>
      <c r="F430" s="17"/>
      <c r="G430" s="17"/>
      <c r="H430" s="17"/>
      <c r="I430" s="17"/>
      <c r="J430" s="17"/>
      <c r="K430" s="17"/>
      <c r="L430" s="17"/>
      <c r="M430" s="17"/>
      <c r="N430" s="17"/>
      <c r="O430" s="17"/>
      <c r="P430" s="17"/>
      <c r="Q430" s="17"/>
      <c r="R430" s="17"/>
      <c r="S430" s="17"/>
      <c r="T430" s="17"/>
      <c r="U430" s="17"/>
      <c r="V430" s="12"/>
      <c r="W430" s="12"/>
      <c r="X430" s="12"/>
      <c r="Y430" s="12"/>
      <c r="Z430" s="12"/>
    </row>
    <row r="431" spans="1:26" ht="15" customHeight="1" x14ac:dyDescent="0.3">
      <c r="A431" s="26"/>
      <c r="B431" s="17"/>
      <c r="C431" s="17"/>
      <c r="D431" s="17"/>
      <c r="E431" s="17"/>
      <c r="F431" s="17"/>
      <c r="G431" s="17"/>
      <c r="H431" s="17"/>
      <c r="I431" s="17"/>
      <c r="J431" s="17"/>
      <c r="K431" s="17"/>
      <c r="L431" s="17"/>
      <c r="M431" s="17"/>
      <c r="N431" s="17"/>
      <c r="O431" s="17"/>
      <c r="P431" s="17"/>
      <c r="Q431" s="17"/>
      <c r="R431" s="17"/>
      <c r="S431" s="17"/>
      <c r="T431" s="17"/>
      <c r="U431" s="17"/>
      <c r="V431" s="12"/>
      <c r="W431" s="12"/>
      <c r="X431" s="12"/>
      <c r="Y431" s="12"/>
      <c r="Z431" s="12"/>
    </row>
    <row r="432" spans="1:26" ht="15" customHeight="1" x14ac:dyDescent="0.3">
      <c r="A432" s="26"/>
      <c r="B432" s="17"/>
      <c r="C432" s="17"/>
      <c r="D432" s="17"/>
      <c r="E432" s="17"/>
      <c r="F432" s="17"/>
      <c r="G432" s="17"/>
      <c r="H432" s="17"/>
      <c r="I432" s="17"/>
      <c r="J432" s="17"/>
      <c r="K432" s="17"/>
      <c r="L432" s="17"/>
      <c r="M432" s="17"/>
      <c r="N432" s="17"/>
      <c r="O432" s="17"/>
      <c r="P432" s="17"/>
      <c r="Q432" s="17"/>
      <c r="R432" s="17"/>
      <c r="S432" s="17"/>
      <c r="T432" s="17"/>
      <c r="U432" s="17"/>
      <c r="V432" s="12"/>
      <c r="W432" s="12"/>
      <c r="X432" s="12"/>
      <c r="Y432" s="12"/>
      <c r="Z432" s="12"/>
    </row>
    <row r="433" spans="1:26" ht="15" customHeight="1" x14ac:dyDescent="0.3">
      <c r="A433" s="26"/>
      <c r="B433" s="17"/>
      <c r="C433" s="17"/>
      <c r="D433" s="17"/>
      <c r="E433" s="17"/>
      <c r="F433" s="17"/>
      <c r="G433" s="17"/>
      <c r="H433" s="17"/>
      <c r="I433" s="17"/>
      <c r="J433" s="17"/>
      <c r="K433" s="17"/>
      <c r="L433" s="17"/>
      <c r="M433" s="17"/>
      <c r="N433" s="17"/>
      <c r="O433" s="17"/>
      <c r="P433" s="17"/>
      <c r="Q433" s="17"/>
      <c r="R433" s="17"/>
      <c r="S433" s="17"/>
      <c r="T433" s="17"/>
      <c r="U433" s="17"/>
      <c r="V433" s="12"/>
      <c r="W433" s="12"/>
      <c r="X433" s="12"/>
      <c r="Y433" s="12"/>
      <c r="Z433" s="12"/>
    </row>
    <row r="434" spans="1:26" ht="15" customHeight="1" x14ac:dyDescent="0.3">
      <c r="A434" s="26"/>
      <c r="B434" s="17"/>
      <c r="C434" s="17"/>
      <c r="D434" s="17"/>
      <c r="E434" s="17"/>
      <c r="F434" s="17"/>
      <c r="G434" s="17"/>
      <c r="H434" s="17"/>
      <c r="I434" s="17"/>
      <c r="J434" s="17"/>
      <c r="K434" s="17"/>
      <c r="L434" s="17"/>
      <c r="M434" s="17"/>
      <c r="N434" s="17"/>
      <c r="O434" s="17"/>
      <c r="P434" s="17"/>
      <c r="Q434" s="17"/>
      <c r="R434" s="17"/>
      <c r="S434" s="17"/>
      <c r="T434" s="17"/>
      <c r="U434" s="17"/>
      <c r="V434" s="12"/>
      <c r="W434" s="12"/>
      <c r="X434" s="12"/>
      <c r="Y434" s="12"/>
      <c r="Z434" s="12"/>
    </row>
    <row r="435" spans="1:26" ht="15" customHeight="1" x14ac:dyDescent="0.3">
      <c r="A435" s="26"/>
      <c r="B435" s="17"/>
      <c r="C435" s="17"/>
      <c r="D435" s="17"/>
      <c r="E435" s="17"/>
      <c r="F435" s="17"/>
      <c r="G435" s="17"/>
      <c r="H435" s="17"/>
      <c r="I435" s="17"/>
      <c r="J435" s="17"/>
      <c r="K435" s="17"/>
      <c r="L435" s="17"/>
      <c r="M435" s="17"/>
      <c r="N435" s="17"/>
      <c r="O435" s="17"/>
      <c r="P435" s="17"/>
      <c r="Q435" s="17"/>
      <c r="R435" s="17"/>
      <c r="S435" s="17"/>
      <c r="T435" s="17"/>
      <c r="U435" s="17"/>
      <c r="V435" s="12"/>
      <c r="W435" s="12"/>
      <c r="X435" s="12"/>
      <c r="Y435" s="12"/>
      <c r="Z435" s="12"/>
    </row>
    <row r="436" spans="1:26" ht="15" customHeight="1" x14ac:dyDescent="0.3">
      <c r="A436" s="26"/>
      <c r="B436" s="17"/>
      <c r="C436" s="17"/>
      <c r="D436" s="17"/>
      <c r="E436" s="17"/>
      <c r="F436" s="17"/>
      <c r="G436" s="17"/>
      <c r="H436" s="17"/>
      <c r="I436" s="17"/>
      <c r="J436" s="17"/>
      <c r="K436" s="17"/>
      <c r="L436" s="17"/>
      <c r="M436" s="17"/>
      <c r="N436" s="17"/>
      <c r="O436" s="17"/>
      <c r="P436" s="17"/>
      <c r="Q436" s="17"/>
      <c r="R436" s="17"/>
      <c r="S436" s="17"/>
      <c r="T436" s="17"/>
      <c r="U436" s="17"/>
      <c r="V436" s="12"/>
      <c r="W436" s="12"/>
      <c r="X436" s="12"/>
      <c r="Y436" s="12"/>
      <c r="Z436" s="12"/>
    </row>
    <row r="437" spans="1:26" ht="15" customHeight="1" x14ac:dyDescent="0.3">
      <c r="A437" s="26"/>
      <c r="B437" s="17"/>
      <c r="C437" s="17"/>
      <c r="D437" s="17"/>
      <c r="E437" s="17"/>
      <c r="F437" s="17"/>
      <c r="G437" s="17"/>
      <c r="H437" s="17"/>
      <c r="I437" s="17"/>
      <c r="J437" s="17"/>
      <c r="K437" s="17"/>
      <c r="L437" s="17"/>
      <c r="M437" s="17"/>
      <c r="N437" s="17"/>
      <c r="O437" s="17"/>
      <c r="P437" s="17"/>
      <c r="Q437" s="17"/>
      <c r="R437" s="17"/>
      <c r="S437" s="17"/>
      <c r="T437" s="17"/>
      <c r="U437" s="17"/>
      <c r="V437" s="12"/>
      <c r="W437" s="12"/>
      <c r="X437" s="12"/>
      <c r="Y437" s="12"/>
      <c r="Z437" s="12"/>
    </row>
    <row r="438" spans="1:26" ht="15" customHeight="1" x14ac:dyDescent="0.3">
      <c r="A438" s="26"/>
      <c r="B438" s="17"/>
      <c r="C438" s="17"/>
      <c r="D438" s="17"/>
      <c r="E438" s="17"/>
      <c r="F438" s="17"/>
      <c r="G438" s="17"/>
      <c r="H438" s="17"/>
      <c r="I438" s="17"/>
      <c r="J438" s="17"/>
      <c r="K438" s="17"/>
      <c r="L438" s="17"/>
      <c r="M438" s="17"/>
      <c r="N438" s="17"/>
      <c r="O438" s="17"/>
      <c r="P438" s="17"/>
      <c r="Q438" s="17"/>
      <c r="R438" s="17"/>
      <c r="S438" s="17"/>
      <c r="T438" s="17"/>
      <c r="U438" s="17"/>
      <c r="V438" s="12"/>
      <c r="W438" s="12"/>
      <c r="X438" s="12"/>
      <c r="Y438" s="12"/>
      <c r="Z438" s="12"/>
    </row>
    <row r="439" spans="1:26" ht="15" customHeight="1" x14ac:dyDescent="0.3">
      <c r="A439" s="26"/>
      <c r="B439" s="17"/>
      <c r="C439" s="17"/>
      <c r="D439" s="17"/>
      <c r="E439" s="17"/>
      <c r="F439" s="17"/>
      <c r="G439" s="17"/>
      <c r="H439" s="17"/>
      <c r="I439" s="17"/>
      <c r="J439" s="17"/>
      <c r="K439" s="17"/>
      <c r="L439" s="17"/>
      <c r="M439" s="17"/>
      <c r="N439" s="17"/>
      <c r="O439" s="17"/>
      <c r="P439" s="17"/>
      <c r="Q439" s="17"/>
      <c r="R439" s="17"/>
      <c r="S439" s="17"/>
      <c r="T439" s="17"/>
      <c r="U439" s="17"/>
      <c r="V439" s="12"/>
      <c r="W439" s="12"/>
      <c r="X439" s="12"/>
      <c r="Y439" s="12"/>
      <c r="Z439" s="12"/>
    </row>
    <row r="440" spans="1:26" ht="15" customHeight="1" x14ac:dyDescent="0.3">
      <c r="A440" s="26"/>
      <c r="B440" s="17"/>
      <c r="C440" s="17"/>
      <c r="D440" s="17"/>
      <c r="E440" s="17"/>
      <c r="F440" s="17"/>
      <c r="G440" s="17"/>
      <c r="H440" s="17"/>
      <c r="I440" s="17"/>
      <c r="J440" s="17"/>
      <c r="K440" s="17"/>
      <c r="L440" s="17"/>
      <c r="M440" s="17"/>
      <c r="N440" s="17"/>
      <c r="O440" s="17"/>
      <c r="P440" s="17"/>
      <c r="Q440" s="17"/>
      <c r="R440" s="17"/>
      <c r="S440" s="17"/>
      <c r="T440" s="17"/>
      <c r="U440" s="17"/>
      <c r="V440" s="12"/>
      <c r="W440" s="12"/>
      <c r="X440" s="12"/>
      <c r="Y440" s="12"/>
      <c r="Z440" s="12"/>
    </row>
    <row r="441" spans="1:26" ht="15" customHeight="1" x14ac:dyDescent="0.3">
      <c r="A441" s="26"/>
      <c r="B441" s="17"/>
      <c r="C441" s="17"/>
      <c r="D441" s="17"/>
      <c r="E441" s="17"/>
      <c r="F441" s="17"/>
      <c r="G441" s="17"/>
      <c r="H441" s="17"/>
      <c r="I441" s="17"/>
      <c r="J441" s="17"/>
      <c r="K441" s="17"/>
      <c r="L441" s="17"/>
      <c r="M441" s="17"/>
      <c r="N441" s="17"/>
      <c r="O441" s="17"/>
      <c r="P441" s="17"/>
      <c r="Q441" s="17"/>
      <c r="R441" s="17"/>
      <c r="S441" s="17"/>
      <c r="T441" s="17"/>
      <c r="U441" s="17"/>
      <c r="V441" s="12"/>
      <c r="W441" s="12"/>
      <c r="X441" s="12"/>
      <c r="Y441" s="12"/>
      <c r="Z441" s="12"/>
    </row>
    <row r="442" spans="1:26" ht="15" customHeight="1" x14ac:dyDescent="0.3">
      <c r="A442" s="26"/>
      <c r="B442" s="17"/>
      <c r="C442" s="17"/>
      <c r="D442" s="17"/>
      <c r="E442" s="17"/>
      <c r="F442" s="17"/>
      <c r="G442" s="17"/>
      <c r="H442" s="17"/>
      <c r="I442" s="17"/>
      <c r="J442" s="17"/>
      <c r="K442" s="17"/>
      <c r="L442" s="17"/>
      <c r="M442" s="17"/>
      <c r="N442" s="17"/>
      <c r="O442" s="17"/>
      <c r="P442" s="17"/>
      <c r="Q442" s="17"/>
      <c r="R442" s="17"/>
      <c r="S442" s="17"/>
      <c r="T442" s="17"/>
      <c r="U442" s="17"/>
      <c r="V442" s="12"/>
      <c r="W442" s="12"/>
      <c r="X442" s="12"/>
      <c r="Y442" s="12"/>
      <c r="Z442" s="12"/>
    </row>
    <row r="443" spans="1:26" ht="15" customHeight="1" x14ac:dyDescent="0.3">
      <c r="A443" s="26"/>
      <c r="B443" s="17"/>
      <c r="C443" s="17"/>
      <c r="D443" s="17"/>
      <c r="E443" s="17"/>
      <c r="F443" s="17"/>
      <c r="G443" s="17"/>
      <c r="H443" s="17"/>
      <c r="I443" s="17"/>
      <c r="J443" s="17"/>
      <c r="K443" s="17"/>
      <c r="L443" s="17"/>
      <c r="M443" s="17"/>
      <c r="N443" s="17"/>
      <c r="O443" s="17"/>
      <c r="P443" s="17"/>
      <c r="Q443" s="17"/>
      <c r="R443" s="17"/>
      <c r="S443" s="17"/>
      <c r="T443" s="17"/>
      <c r="U443" s="17"/>
      <c r="V443" s="12"/>
      <c r="W443" s="12"/>
      <c r="X443" s="12"/>
      <c r="Y443" s="12"/>
      <c r="Z443" s="12"/>
    </row>
    <row r="444" spans="1:26" ht="15" customHeight="1" x14ac:dyDescent="0.3">
      <c r="A444" s="26"/>
      <c r="B444" s="17"/>
      <c r="C444" s="17"/>
      <c r="D444" s="17"/>
      <c r="E444" s="17"/>
      <c r="F444" s="17"/>
      <c r="G444" s="17"/>
      <c r="H444" s="17"/>
      <c r="I444" s="17"/>
      <c r="J444" s="17"/>
      <c r="K444" s="17"/>
      <c r="L444" s="17"/>
      <c r="M444" s="17"/>
      <c r="N444" s="17"/>
      <c r="O444" s="17"/>
      <c r="P444" s="17"/>
      <c r="Q444" s="17"/>
      <c r="R444" s="17"/>
      <c r="S444" s="17"/>
      <c r="T444" s="17"/>
      <c r="U444" s="17"/>
      <c r="V444" s="12"/>
      <c r="W444" s="12"/>
      <c r="X444" s="12"/>
      <c r="Y444" s="12"/>
      <c r="Z444" s="12"/>
    </row>
    <row r="445" spans="1:26" ht="15" customHeight="1" x14ac:dyDescent="0.3">
      <c r="A445" s="26"/>
      <c r="B445" s="17"/>
      <c r="C445" s="17"/>
      <c r="D445" s="17"/>
      <c r="E445" s="17"/>
      <c r="F445" s="17"/>
      <c r="G445" s="17"/>
      <c r="H445" s="17"/>
      <c r="I445" s="17"/>
      <c r="J445" s="17"/>
      <c r="K445" s="17"/>
      <c r="L445" s="17"/>
      <c r="M445" s="17"/>
      <c r="N445" s="17"/>
      <c r="O445" s="17"/>
      <c r="P445" s="17"/>
      <c r="Q445" s="17"/>
      <c r="R445" s="17"/>
      <c r="S445" s="17"/>
      <c r="T445" s="17"/>
      <c r="U445" s="17"/>
      <c r="V445" s="12"/>
      <c r="W445" s="12"/>
      <c r="X445" s="12"/>
      <c r="Y445" s="12"/>
      <c r="Z445" s="12"/>
    </row>
    <row r="446" spans="1:26" ht="15" customHeight="1" x14ac:dyDescent="0.3">
      <c r="A446" s="26"/>
      <c r="B446" s="17"/>
      <c r="C446" s="17"/>
      <c r="D446" s="17"/>
      <c r="E446" s="17"/>
      <c r="F446" s="17"/>
      <c r="G446" s="17"/>
      <c r="H446" s="17"/>
      <c r="I446" s="17"/>
      <c r="J446" s="17"/>
      <c r="K446" s="17"/>
      <c r="L446" s="17"/>
      <c r="M446" s="17"/>
      <c r="N446" s="17"/>
      <c r="O446" s="17"/>
      <c r="P446" s="17"/>
      <c r="Q446" s="17"/>
      <c r="R446" s="17"/>
      <c r="S446" s="17"/>
      <c r="T446" s="17"/>
      <c r="U446" s="17"/>
      <c r="V446" s="12"/>
      <c r="W446" s="12"/>
      <c r="X446" s="12"/>
      <c r="Y446" s="12"/>
      <c r="Z446" s="12"/>
    </row>
    <row r="447" spans="1:26" ht="15" customHeight="1" x14ac:dyDescent="0.3">
      <c r="A447" s="26"/>
      <c r="B447" s="17"/>
      <c r="C447" s="17"/>
      <c r="D447" s="17"/>
      <c r="E447" s="17"/>
      <c r="F447" s="17"/>
      <c r="G447" s="17"/>
      <c r="H447" s="17"/>
      <c r="I447" s="17"/>
      <c r="J447" s="17"/>
      <c r="K447" s="17"/>
      <c r="L447" s="17"/>
      <c r="M447" s="17"/>
      <c r="N447" s="17"/>
      <c r="O447" s="17"/>
      <c r="P447" s="17"/>
      <c r="Q447" s="17"/>
      <c r="R447" s="17"/>
      <c r="S447" s="17"/>
      <c r="T447" s="17"/>
      <c r="U447" s="17"/>
      <c r="V447" s="12"/>
      <c r="W447" s="12"/>
      <c r="X447" s="12"/>
      <c r="Y447" s="12"/>
      <c r="Z447" s="12"/>
    </row>
    <row r="448" spans="1:26" ht="15" customHeight="1" x14ac:dyDescent="0.3">
      <c r="A448" s="26"/>
      <c r="B448" s="17"/>
      <c r="C448" s="17"/>
      <c r="D448" s="17"/>
      <c r="E448" s="17"/>
      <c r="F448" s="17"/>
      <c r="G448" s="17"/>
      <c r="H448" s="17"/>
      <c r="I448" s="17"/>
      <c r="J448" s="17"/>
      <c r="K448" s="17"/>
      <c r="L448" s="17"/>
      <c r="M448" s="17"/>
      <c r="N448" s="17"/>
      <c r="O448" s="17"/>
      <c r="P448" s="17"/>
      <c r="Q448" s="17"/>
      <c r="R448" s="17"/>
      <c r="S448" s="17"/>
      <c r="T448" s="17"/>
      <c r="U448" s="17"/>
      <c r="V448" s="12"/>
      <c r="W448" s="12"/>
      <c r="X448" s="12"/>
      <c r="Y448" s="12"/>
      <c r="Z448" s="12"/>
    </row>
    <row r="449" spans="1:26" ht="15" customHeight="1" x14ac:dyDescent="0.3">
      <c r="A449" s="26"/>
      <c r="B449" s="17"/>
      <c r="C449" s="17"/>
      <c r="D449" s="17"/>
      <c r="E449" s="17"/>
      <c r="F449" s="17"/>
      <c r="G449" s="17"/>
      <c r="H449" s="17"/>
      <c r="I449" s="17"/>
      <c r="J449" s="17"/>
      <c r="K449" s="17"/>
      <c r="L449" s="17"/>
      <c r="M449" s="17"/>
      <c r="N449" s="17"/>
      <c r="O449" s="17"/>
      <c r="P449" s="17"/>
      <c r="Q449" s="17"/>
      <c r="R449" s="17"/>
      <c r="S449" s="17"/>
      <c r="T449" s="17"/>
      <c r="U449" s="17"/>
      <c r="V449" s="12"/>
      <c r="W449" s="12"/>
      <c r="X449" s="12"/>
      <c r="Y449" s="12"/>
      <c r="Z449" s="12"/>
    </row>
    <row r="450" spans="1:26" ht="15" customHeight="1" x14ac:dyDescent="0.3">
      <c r="A450" s="26"/>
      <c r="B450" s="17"/>
      <c r="C450" s="17"/>
      <c r="D450" s="17"/>
      <c r="E450" s="17"/>
      <c r="F450" s="17"/>
      <c r="G450" s="17"/>
      <c r="H450" s="17"/>
      <c r="I450" s="17"/>
      <c r="J450" s="17"/>
      <c r="K450" s="17"/>
      <c r="L450" s="17"/>
      <c r="M450" s="17"/>
      <c r="N450" s="17"/>
      <c r="O450" s="17"/>
      <c r="P450" s="17"/>
      <c r="Q450" s="17"/>
      <c r="R450" s="17"/>
      <c r="S450" s="17"/>
      <c r="T450" s="17"/>
      <c r="U450" s="17"/>
      <c r="V450" s="12"/>
      <c r="W450" s="12"/>
      <c r="X450" s="12"/>
      <c r="Y450" s="12"/>
      <c r="Z450" s="12"/>
    </row>
    <row r="451" spans="1:26" ht="15" customHeight="1" x14ac:dyDescent="0.3">
      <c r="A451" s="26"/>
      <c r="B451" s="17"/>
      <c r="C451" s="17"/>
      <c r="D451" s="17"/>
      <c r="E451" s="17"/>
      <c r="F451" s="17"/>
      <c r="G451" s="17"/>
      <c r="H451" s="17"/>
      <c r="I451" s="17"/>
      <c r="J451" s="17"/>
      <c r="K451" s="17"/>
      <c r="L451" s="17"/>
      <c r="M451" s="17"/>
      <c r="N451" s="17"/>
      <c r="O451" s="17"/>
      <c r="P451" s="17"/>
      <c r="Q451" s="17"/>
      <c r="R451" s="17"/>
      <c r="S451" s="17"/>
      <c r="T451" s="17"/>
      <c r="U451" s="17"/>
      <c r="V451" s="12"/>
      <c r="W451" s="12"/>
      <c r="X451" s="12"/>
      <c r="Y451" s="12"/>
      <c r="Z451" s="12"/>
    </row>
    <row r="452" spans="1:26" ht="15" customHeight="1" x14ac:dyDescent="0.3">
      <c r="A452" s="26"/>
      <c r="B452" s="17"/>
      <c r="C452" s="17"/>
      <c r="D452" s="17"/>
      <c r="E452" s="17"/>
      <c r="F452" s="17"/>
      <c r="G452" s="17"/>
      <c r="H452" s="17"/>
      <c r="I452" s="17"/>
      <c r="J452" s="17"/>
      <c r="K452" s="17"/>
      <c r="L452" s="17"/>
      <c r="M452" s="17"/>
      <c r="N452" s="17"/>
      <c r="O452" s="17"/>
      <c r="P452" s="17"/>
      <c r="Q452" s="17"/>
      <c r="R452" s="17"/>
      <c r="S452" s="17"/>
      <c r="T452" s="17"/>
      <c r="U452" s="17"/>
      <c r="V452" s="12"/>
      <c r="W452" s="12"/>
      <c r="X452" s="12"/>
      <c r="Y452" s="12"/>
      <c r="Z452" s="12"/>
    </row>
    <row r="453" spans="1:26" ht="15" customHeight="1" x14ac:dyDescent="0.3">
      <c r="A453" s="26"/>
      <c r="B453" s="17"/>
      <c r="C453" s="17"/>
      <c r="D453" s="17"/>
      <c r="E453" s="17"/>
      <c r="F453" s="17"/>
      <c r="G453" s="17"/>
      <c r="H453" s="17"/>
      <c r="I453" s="17"/>
      <c r="J453" s="17"/>
      <c r="K453" s="17"/>
      <c r="L453" s="17"/>
      <c r="M453" s="17"/>
      <c r="N453" s="17"/>
      <c r="O453" s="17"/>
      <c r="P453" s="17"/>
      <c r="Q453" s="17"/>
      <c r="R453" s="17"/>
      <c r="S453" s="17"/>
      <c r="T453" s="17"/>
      <c r="U453" s="17"/>
      <c r="V453" s="12"/>
      <c r="W453" s="12"/>
      <c r="X453" s="12"/>
      <c r="Y453" s="12"/>
      <c r="Z453" s="12"/>
    </row>
    <row r="454" spans="1:26" ht="15" customHeight="1" x14ac:dyDescent="0.3">
      <c r="A454" s="26"/>
      <c r="B454" s="17"/>
      <c r="C454" s="17"/>
      <c r="D454" s="17"/>
      <c r="E454" s="17"/>
      <c r="F454" s="17"/>
      <c r="G454" s="17"/>
      <c r="H454" s="17"/>
      <c r="I454" s="17"/>
      <c r="J454" s="17"/>
      <c r="K454" s="17"/>
      <c r="L454" s="17"/>
      <c r="M454" s="17"/>
      <c r="N454" s="17"/>
      <c r="O454" s="17"/>
      <c r="P454" s="17"/>
      <c r="Q454" s="17"/>
      <c r="R454" s="17"/>
      <c r="S454" s="17"/>
      <c r="T454" s="17"/>
      <c r="U454" s="17"/>
      <c r="V454" s="12"/>
      <c r="W454" s="12"/>
      <c r="X454" s="12"/>
      <c r="Y454" s="12"/>
      <c r="Z454" s="12"/>
    </row>
    <row r="455" spans="1:26" ht="15" customHeight="1" x14ac:dyDescent="0.3">
      <c r="A455" s="26"/>
      <c r="B455" s="17"/>
      <c r="C455" s="17"/>
      <c r="D455" s="17"/>
      <c r="E455" s="17"/>
      <c r="F455" s="17"/>
      <c r="G455" s="17"/>
      <c r="H455" s="17"/>
      <c r="I455" s="17"/>
      <c r="J455" s="17"/>
      <c r="K455" s="17"/>
      <c r="L455" s="17"/>
      <c r="M455" s="17"/>
      <c r="N455" s="17"/>
      <c r="O455" s="17"/>
      <c r="P455" s="17"/>
      <c r="Q455" s="17"/>
      <c r="R455" s="17"/>
      <c r="S455" s="17"/>
      <c r="T455" s="17"/>
      <c r="U455" s="17"/>
      <c r="V455" s="12"/>
      <c r="W455" s="12"/>
      <c r="X455" s="12"/>
      <c r="Y455" s="12"/>
      <c r="Z455" s="12"/>
    </row>
    <row r="456" spans="1:26" ht="15" customHeight="1" x14ac:dyDescent="0.3">
      <c r="A456" s="26"/>
      <c r="B456" s="17"/>
      <c r="C456" s="17"/>
      <c r="D456" s="17"/>
      <c r="E456" s="17"/>
      <c r="F456" s="17"/>
      <c r="G456" s="17"/>
      <c r="H456" s="17"/>
      <c r="I456" s="17"/>
      <c r="J456" s="17"/>
      <c r="K456" s="17"/>
      <c r="L456" s="17"/>
      <c r="M456" s="17"/>
      <c r="N456" s="17"/>
      <c r="O456" s="17"/>
      <c r="P456" s="17"/>
      <c r="Q456" s="17"/>
      <c r="R456" s="17"/>
      <c r="S456" s="17"/>
      <c r="T456" s="17"/>
      <c r="U456" s="17"/>
      <c r="V456" s="12"/>
      <c r="W456" s="12"/>
      <c r="X456" s="12"/>
      <c r="Y456" s="12"/>
      <c r="Z456" s="12"/>
    </row>
    <row r="457" spans="1:26" ht="15" customHeight="1" x14ac:dyDescent="0.3">
      <c r="A457" s="26"/>
      <c r="B457" s="17"/>
      <c r="C457" s="17"/>
      <c r="D457" s="17"/>
      <c r="E457" s="17"/>
      <c r="F457" s="17"/>
      <c r="G457" s="17"/>
      <c r="H457" s="17"/>
      <c r="I457" s="17"/>
      <c r="J457" s="17"/>
      <c r="K457" s="17"/>
      <c r="L457" s="17"/>
      <c r="M457" s="17"/>
      <c r="N457" s="17"/>
      <c r="O457" s="17"/>
      <c r="P457" s="17"/>
      <c r="Q457" s="17"/>
      <c r="R457" s="17"/>
      <c r="S457" s="17"/>
      <c r="T457" s="17"/>
      <c r="U457" s="17"/>
      <c r="V457" s="12"/>
      <c r="W457" s="12"/>
      <c r="X457" s="12"/>
      <c r="Y457" s="12"/>
      <c r="Z457" s="12"/>
    </row>
    <row r="458" spans="1:26" ht="15" customHeight="1" x14ac:dyDescent="0.3">
      <c r="A458" s="26"/>
      <c r="B458" s="17"/>
      <c r="C458" s="17"/>
      <c r="D458" s="17"/>
      <c r="E458" s="17"/>
      <c r="F458" s="17"/>
      <c r="G458" s="17"/>
      <c r="H458" s="17"/>
      <c r="I458" s="17"/>
      <c r="J458" s="17"/>
      <c r="K458" s="17"/>
      <c r="L458" s="17"/>
      <c r="M458" s="17"/>
      <c r="N458" s="17"/>
      <c r="O458" s="17"/>
      <c r="P458" s="17"/>
      <c r="Q458" s="17"/>
      <c r="R458" s="17"/>
      <c r="S458" s="17"/>
      <c r="T458" s="17"/>
      <c r="U458" s="17"/>
      <c r="V458" s="12"/>
      <c r="W458" s="12"/>
      <c r="X458" s="12"/>
      <c r="Y458" s="12"/>
      <c r="Z458" s="12"/>
    </row>
    <row r="459" spans="1:26" ht="15" customHeight="1" x14ac:dyDescent="0.3">
      <c r="A459" s="26"/>
      <c r="B459" s="17"/>
      <c r="C459" s="17"/>
      <c r="D459" s="17"/>
      <c r="E459" s="17"/>
      <c r="F459" s="17"/>
      <c r="G459" s="17"/>
      <c r="H459" s="17"/>
      <c r="I459" s="17"/>
      <c r="J459" s="17"/>
      <c r="K459" s="17"/>
      <c r="L459" s="17"/>
      <c r="M459" s="17"/>
      <c r="N459" s="17"/>
      <c r="O459" s="17"/>
      <c r="P459" s="17"/>
      <c r="Q459" s="17"/>
      <c r="R459" s="17"/>
      <c r="S459" s="17"/>
      <c r="T459" s="17"/>
      <c r="U459" s="17"/>
      <c r="V459" s="12"/>
      <c r="W459" s="12"/>
      <c r="X459" s="12"/>
      <c r="Y459" s="12"/>
      <c r="Z459" s="12"/>
    </row>
    <row r="460" spans="1:26" ht="15" customHeight="1" x14ac:dyDescent="0.3">
      <c r="A460" s="26"/>
      <c r="B460" s="17"/>
      <c r="C460" s="17"/>
      <c r="D460" s="17"/>
      <c r="E460" s="17"/>
      <c r="F460" s="17"/>
      <c r="G460" s="17"/>
      <c r="H460" s="17"/>
      <c r="I460" s="17"/>
      <c r="J460" s="17"/>
      <c r="K460" s="17"/>
      <c r="L460" s="17"/>
      <c r="M460" s="17"/>
      <c r="N460" s="17"/>
      <c r="O460" s="17"/>
      <c r="P460" s="17"/>
      <c r="Q460" s="17"/>
      <c r="R460" s="17"/>
      <c r="S460" s="17"/>
      <c r="T460" s="17"/>
      <c r="U460" s="17"/>
      <c r="V460" s="12"/>
      <c r="W460" s="12"/>
      <c r="X460" s="12"/>
      <c r="Y460" s="12"/>
      <c r="Z460" s="12"/>
    </row>
    <row r="461" spans="1:26" ht="15" customHeight="1" x14ac:dyDescent="0.3">
      <c r="A461" s="26"/>
      <c r="B461" s="17"/>
      <c r="C461" s="17"/>
      <c r="D461" s="17"/>
      <c r="E461" s="17"/>
      <c r="F461" s="17"/>
      <c r="G461" s="17"/>
      <c r="H461" s="17"/>
      <c r="I461" s="17"/>
      <c r="J461" s="17"/>
      <c r="K461" s="17"/>
      <c r="L461" s="17"/>
      <c r="M461" s="17"/>
      <c r="N461" s="17"/>
      <c r="O461" s="17"/>
      <c r="P461" s="17"/>
      <c r="Q461" s="17"/>
      <c r="R461" s="17"/>
      <c r="S461" s="17"/>
      <c r="T461" s="17"/>
      <c r="U461" s="17"/>
      <c r="V461" s="12"/>
      <c r="W461" s="12"/>
      <c r="X461" s="12"/>
      <c r="Y461" s="12"/>
      <c r="Z461" s="12"/>
    </row>
    <row r="462" spans="1:26" ht="15" customHeight="1" x14ac:dyDescent="0.3">
      <c r="A462" s="26"/>
      <c r="B462" s="17"/>
      <c r="C462" s="17"/>
      <c r="D462" s="17"/>
      <c r="E462" s="17"/>
      <c r="F462" s="17"/>
      <c r="G462" s="17"/>
      <c r="H462" s="17"/>
      <c r="I462" s="17"/>
      <c r="J462" s="17"/>
      <c r="K462" s="17"/>
      <c r="L462" s="17"/>
      <c r="M462" s="17"/>
      <c r="N462" s="17"/>
      <c r="O462" s="17"/>
      <c r="P462" s="17"/>
      <c r="Q462" s="17"/>
      <c r="R462" s="17"/>
      <c r="S462" s="17"/>
      <c r="T462" s="17"/>
      <c r="U462" s="17"/>
      <c r="V462" s="12"/>
      <c r="W462" s="12"/>
      <c r="X462" s="12"/>
      <c r="Y462" s="12"/>
      <c r="Z462" s="12"/>
    </row>
    <row r="463" spans="1:26" ht="15" customHeight="1" x14ac:dyDescent="0.3">
      <c r="A463" s="26"/>
      <c r="B463" s="17"/>
      <c r="C463" s="17"/>
      <c r="D463" s="17"/>
      <c r="E463" s="17"/>
      <c r="F463" s="17"/>
      <c r="G463" s="17"/>
      <c r="H463" s="17"/>
      <c r="I463" s="17"/>
      <c r="J463" s="17"/>
      <c r="K463" s="17"/>
      <c r="L463" s="17"/>
      <c r="M463" s="17"/>
      <c r="N463" s="17"/>
      <c r="O463" s="17"/>
      <c r="P463" s="17"/>
      <c r="Q463" s="17"/>
      <c r="R463" s="17"/>
      <c r="S463" s="17"/>
      <c r="T463" s="17"/>
      <c r="U463" s="17"/>
      <c r="V463" s="12"/>
      <c r="W463" s="12"/>
      <c r="X463" s="12"/>
      <c r="Y463" s="12"/>
      <c r="Z463" s="12"/>
    </row>
    <row r="464" spans="1:26" ht="15" customHeight="1" x14ac:dyDescent="0.3">
      <c r="A464" s="26"/>
      <c r="B464" s="17"/>
      <c r="C464" s="17"/>
      <c r="D464" s="17"/>
      <c r="E464" s="17"/>
      <c r="F464" s="17"/>
      <c r="G464" s="17"/>
      <c r="H464" s="17"/>
      <c r="I464" s="17"/>
      <c r="J464" s="17"/>
      <c r="K464" s="17"/>
      <c r="L464" s="17"/>
      <c r="M464" s="17"/>
      <c r="N464" s="17"/>
      <c r="O464" s="17"/>
      <c r="P464" s="17"/>
      <c r="Q464" s="17"/>
      <c r="R464" s="17"/>
      <c r="S464" s="17"/>
      <c r="T464" s="17"/>
      <c r="U464" s="17"/>
      <c r="V464" s="12"/>
      <c r="W464" s="12"/>
      <c r="X464" s="12"/>
      <c r="Y464" s="12"/>
      <c r="Z464" s="12"/>
    </row>
    <row r="465" spans="1:26" ht="15" customHeight="1" x14ac:dyDescent="0.3">
      <c r="A465" s="26"/>
      <c r="B465" s="17"/>
      <c r="C465" s="17"/>
      <c r="D465" s="17"/>
      <c r="E465" s="17"/>
      <c r="F465" s="17"/>
      <c r="G465" s="17"/>
      <c r="H465" s="17"/>
      <c r="I465" s="17"/>
      <c r="J465" s="17"/>
      <c r="K465" s="17"/>
      <c r="L465" s="17"/>
      <c r="M465" s="17"/>
      <c r="N465" s="17"/>
      <c r="O465" s="17"/>
      <c r="P465" s="17"/>
      <c r="Q465" s="17"/>
      <c r="R465" s="17"/>
      <c r="S465" s="17"/>
      <c r="T465" s="17"/>
      <c r="U465" s="17"/>
      <c r="V465" s="12"/>
      <c r="W465" s="12"/>
      <c r="X465" s="12"/>
      <c r="Y465" s="12"/>
      <c r="Z465" s="12"/>
    </row>
    <row r="466" spans="1:26" ht="15" customHeight="1" x14ac:dyDescent="0.3">
      <c r="A466" s="26"/>
      <c r="B466" s="17"/>
      <c r="C466" s="17"/>
      <c r="D466" s="17"/>
      <c r="E466" s="17"/>
      <c r="F466" s="17"/>
      <c r="G466" s="17"/>
      <c r="H466" s="17"/>
      <c r="I466" s="17"/>
      <c r="J466" s="17"/>
      <c r="K466" s="17"/>
      <c r="L466" s="17"/>
      <c r="M466" s="17"/>
      <c r="N466" s="17"/>
      <c r="O466" s="17"/>
      <c r="P466" s="17"/>
      <c r="Q466" s="17"/>
      <c r="R466" s="17"/>
      <c r="S466" s="17"/>
      <c r="T466" s="17"/>
      <c r="U466" s="17"/>
      <c r="V466" s="12"/>
      <c r="W466" s="12"/>
      <c r="X466" s="12"/>
      <c r="Y466" s="12"/>
      <c r="Z466" s="12"/>
    </row>
    <row r="467" spans="1:26" ht="15" customHeight="1" x14ac:dyDescent="0.3">
      <c r="A467" s="26"/>
      <c r="B467" s="17"/>
      <c r="C467" s="17"/>
      <c r="D467" s="17"/>
      <c r="E467" s="17"/>
      <c r="F467" s="17"/>
      <c r="G467" s="17"/>
      <c r="H467" s="17"/>
      <c r="I467" s="17"/>
      <c r="J467" s="17"/>
      <c r="K467" s="17"/>
      <c r="L467" s="17"/>
      <c r="M467" s="17"/>
      <c r="N467" s="17"/>
      <c r="O467" s="17"/>
      <c r="P467" s="17"/>
      <c r="Q467" s="17"/>
      <c r="R467" s="17"/>
      <c r="S467" s="17"/>
      <c r="T467" s="17"/>
      <c r="U467" s="17"/>
      <c r="V467" s="12"/>
      <c r="W467" s="12"/>
      <c r="X467" s="12"/>
      <c r="Y467" s="12"/>
      <c r="Z467" s="12"/>
    </row>
    <row r="468" spans="1:26" ht="15" customHeight="1" x14ac:dyDescent="0.3">
      <c r="A468" s="26"/>
      <c r="B468" s="17"/>
      <c r="C468" s="17"/>
      <c r="D468" s="17"/>
      <c r="E468" s="17"/>
      <c r="F468" s="17"/>
      <c r="G468" s="17"/>
      <c r="H468" s="17"/>
      <c r="I468" s="17"/>
      <c r="J468" s="17"/>
      <c r="K468" s="17"/>
      <c r="L468" s="17"/>
      <c r="M468" s="17"/>
      <c r="N468" s="17"/>
      <c r="O468" s="17"/>
      <c r="P468" s="17"/>
      <c r="Q468" s="17"/>
      <c r="R468" s="17"/>
      <c r="S468" s="17"/>
      <c r="T468" s="17"/>
      <c r="U468" s="17"/>
      <c r="V468" s="12"/>
      <c r="W468" s="12"/>
      <c r="X468" s="12"/>
      <c r="Y468" s="12"/>
      <c r="Z468" s="12"/>
    </row>
    <row r="469" spans="1:26" ht="15" customHeight="1" x14ac:dyDescent="0.3">
      <c r="A469" s="26"/>
      <c r="B469" s="17"/>
      <c r="C469" s="17"/>
      <c r="D469" s="17"/>
      <c r="E469" s="17"/>
      <c r="F469" s="17"/>
      <c r="G469" s="17"/>
      <c r="H469" s="17"/>
      <c r="I469" s="17"/>
      <c r="J469" s="17"/>
      <c r="K469" s="17"/>
      <c r="L469" s="17"/>
      <c r="M469" s="17"/>
      <c r="N469" s="17"/>
      <c r="O469" s="17"/>
      <c r="P469" s="17"/>
      <c r="Q469" s="17"/>
      <c r="R469" s="17"/>
      <c r="S469" s="17"/>
      <c r="T469" s="17"/>
      <c r="U469" s="17"/>
      <c r="V469" s="12"/>
      <c r="W469" s="12"/>
      <c r="X469" s="12"/>
      <c r="Y469" s="12"/>
      <c r="Z469" s="12"/>
    </row>
    <row r="470" spans="1:26" ht="15" customHeight="1" x14ac:dyDescent="0.3">
      <c r="A470" s="29"/>
      <c r="B470" s="17"/>
      <c r="C470" s="17"/>
      <c r="D470" s="17"/>
      <c r="E470" s="17"/>
      <c r="F470" s="17"/>
      <c r="G470" s="17"/>
      <c r="H470" s="17"/>
      <c r="I470" s="17"/>
      <c r="J470" s="17"/>
      <c r="K470" s="17"/>
      <c r="L470" s="17"/>
      <c r="M470" s="17"/>
      <c r="N470" s="17"/>
      <c r="O470" s="17"/>
      <c r="P470" s="17"/>
      <c r="Q470" s="17"/>
      <c r="R470" s="17"/>
      <c r="S470" s="17"/>
      <c r="T470" s="17"/>
      <c r="U470" s="17"/>
      <c r="V470" s="12"/>
      <c r="W470" s="12"/>
      <c r="X470" s="12"/>
      <c r="Y470" s="12"/>
      <c r="Z470" s="12"/>
    </row>
    <row r="471" spans="1:26" ht="15" customHeight="1" x14ac:dyDescent="0.3">
      <c r="A471" s="29"/>
      <c r="B471" s="17"/>
      <c r="C471" s="17"/>
      <c r="D471" s="17"/>
      <c r="E471" s="17"/>
      <c r="F471" s="17"/>
      <c r="G471" s="17"/>
      <c r="H471" s="17"/>
      <c r="I471" s="17"/>
      <c r="J471" s="17"/>
      <c r="K471" s="17"/>
      <c r="L471" s="17"/>
      <c r="M471" s="17"/>
      <c r="N471" s="17"/>
      <c r="O471" s="17"/>
      <c r="P471" s="17"/>
      <c r="Q471" s="17"/>
      <c r="R471" s="17"/>
      <c r="S471" s="17"/>
      <c r="T471" s="17"/>
      <c r="U471" s="17"/>
      <c r="V471" s="12"/>
      <c r="W471" s="12"/>
      <c r="X471" s="12"/>
      <c r="Y471" s="12"/>
      <c r="Z471" s="12"/>
    </row>
    <row r="472" spans="1:26" ht="15" customHeight="1" x14ac:dyDescent="0.3">
      <c r="A472" s="26"/>
      <c r="B472" s="17"/>
      <c r="C472" s="17"/>
      <c r="D472" s="17"/>
      <c r="E472" s="17"/>
      <c r="F472" s="17"/>
      <c r="G472" s="17"/>
      <c r="H472" s="17"/>
      <c r="I472" s="17"/>
      <c r="J472" s="17"/>
      <c r="K472" s="17"/>
      <c r="L472" s="17"/>
      <c r="M472" s="17"/>
      <c r="N472" s="17"/>
      <c r="O472" s="17"/>
      <c r="P472" s="17"/>
      <c r="Q472" s="17"/>
      <c r="R472" s="17"/>
      <c r="S472" s="17"/>
      <c r="T472" s="17"/>
      <c r="U472" s="17"/>
      <c r="V472" s="12"/>
      <c r="W472" s="12"/>
      <c r="X472" s="12"/>
      <c r="Y472" s="12"/>
      <c r="Z472" s="12"/>
    </row>
    <row r="473" spans="1:26" ht="15" customHeight="1" x14ac:dyDescent="0.3">
      <c r="A473" s="26"/>
      <c r="B473" s="17"/>
      <c r="C473" s="17"/>
      <c r="D473" s="17"/>
      <c r="E473" s="17"/>
      <c r="F473" s="17"/>
      <c r="G473" s="17"/>
      <c r="H473" s="17"/>
      <c r="I473" s="17"/>
      <c r="J473" s="17"/>
      <c r="K473" s="17"/>
      <c r="L473" s="17"/>
      <c r="M473" s="17"/>
      <c r="N473" s="17"/>
      <c r="O473" s="17"/>
      <c r="P473" s="17"/>
      <c r="Q473" s="17"/>
      <c r="R473" s="17"/>
      <c r="S473" s="17"/>
      <c r="T473" s="17"/>
      <c r="U473" s="17"/>
      <c r="V473" s="12"/>
      <c r="W473" s="12"/>
      <c r="X473" s="12"/>
      <c r="Y473" s="12"/>
      <c r="Z473" s="12"/>
    </row>
    <row r="474" spans="1:26" ht="15" customHeight="1" x14ac:dyDescent="0.3">
      <c r="A474" s="26"/>
      <c r="B474" s="17"/>
      <c r="C474" s="17"/>
      <c r="D474" s="17"/>
      <c r="E474" s="17"/>
      <c r="F474" s="17"/>
      <c r="G474" s="17"/>
      <c r="H474" s="17"/>
      <c r="I474" s="17"/>
      <c r="J474" s="17"/>
      <c r="K474" s="17"/>
      <c r="L474" s="17"/>
      <c r="M474" s="17"/>
      <c r="N474" s="17"/>
      <c r="O474" s="17"/>
      <c r="P474" s="17"/>
      <c r="Q474" s="17"/>
      <c r="R474" s="17"/>
      <c r="S474" s="17"/>
      <c r="T474" s="17"/>
      <c r="U474" s="17"/>
      <c r="V474" s="12"/>
      <c r="W474" s="12"/>
      <c r="X474" s="12"/>
      <c r="Y474" s="12"/>
      <c r="Z474" s="12"/>
    </row>
    <row r="475" spans="1:26" ht="15" customHeight="1" x14ac:dyDescent="0.3">
      <c r="A475" s="26"/>
      <c r="B475" s="17"/>
      <c r="C475" s="17"/>
      <c r="D475" s="17"/>
      <c r="E475" s="17"/>
      <c r="F475" s="17"/>
      <c r="G475" s="17"/>
      <c r="H475" s="17"/>
      <c r="I475" s="17"/>
      <c r="J475" s="17"/>
      <c r="K475" s="17"/>
      <c r="L475" s="17"/>
      <c r="M475" s="17"/>
      <c r="N475" s="17"/>
      <c r="O475" s="17"/>
      <c r="P475" s="17"/>
      <c r="Q475" s="17"/>
      <c r="R475" s="17"/>
      <c r="S475" s="17"/>
      <c r="T475" s="17"/>
      <c r="U475" s="17"/>
      <c r="V475" s="12"/>
      <c r="W475" s="12"/>
      <c r="X475" s="12"/>
      <c r="Y475" s="12"/>
      <c r="Z475" s="12"/>
    </row>
    <row r="476" spans="1:26" ht="15" customHeight="1" x14ac:dyDescent="0.3">
      <c r="A476" s="26"/>
      <c r="B476" s="17"/>
      <c r="C476" s="17"/>
      <c r="D476" s="17"/>
      <c r="E476" s="17"/>
      <c r="F476" s="17"/>
      <c r="G476" s="17"/>
      <c r="H476" s="17"/>
      <c r="I476" s="17"/>
      <c r="J476" s="17"/>
      <c r="K476" s="17"/>
      <c r="L476" s="17"/>
      <c r="M476" s="17"/>
      <c r="N476" s="17"/>
      <c r="O476" s="17"/>
      <c r="P476" s="17"/>
      <c r="Q476" s="17"/>
      <c r="R476" s="17"/>
      <c r="S476" s="17"/>
      <c r="T476" s="17"/>
      <c r="U476" s="17"/>
      <c r="V476" s="12"/>
      <c r="W476" s="12"/>
      <c r="X476" s="12"/>
      <c r="Y476" s="12"/>
      <c r="Z476" s="12"/>
    </row>
    <row r="477" spans="1:26" ht="15" customHeight="1" x14ac:dyDescent="0.3">
      <c r="A477" s="26"/>
      <c r="B477" s="17"/>
      <c r="C477" s="17"/>
      <c r="D477" s="17"/>
      <c r="E477" s="17"/>
      <c r="F477" s="17"/>
      <c r="G477" s="17"/>
      <c r="H477" s="17"/>
      <c r="I477" s="17"/>
      <c r="J477" s="17"/>
      <c r="K477" s="17"/>
      <c r="L477" s="17"/>
      <c r="M477" s="17"/>
      <c r="N477" s="17"/>
      <c r="O477" s="17"/>
      <c r="P477" s="17"/>
      <c r="Q477" s="17"/>
      <c r="R477" s="17"/>
      <c r="S477" s="17"/>
      <c r="T477" s="17"/>
      <c r="U477" s="17"/>
      <c r="V477" s="12"/>
      <c r="W477" s="12"/>
      <c r="X477" s="12"/>
      <c r="Y477" s="12"/>
      <c r="Z477" s="12"/>
    </row>
    <row r="478" spans="1:26" ht="15" customHeight="1" x14ac:dyDescent="0.3">
      <c r="A478" s="26"/>
      <c r="B478" s="17"/>
      <c r="C478" s="17"/>
      <c r="D478" s="17"/>
      <c r="E478" s="17"/>
      <c r="F478" s="17"/>
      <c r="G478" s="17"/>
      <c r="H478" s="17"/>
      <c r="I478" s="17"/>
      <c r="J478" s="17"/>
      <c r="K478" s="17"/>
      <c r="L478" s="17"/>
      <c r="M478" s="17"/>
      <c r="N478" s="17"/>
      <c r="O478" s="17"/>
      <c r="P478" s="17"/>
      <c r="Q478" s="17"/>
      <c r="R478" s="17"/>
      <c r="S478" s="17"/>
      <c r="T478" s="17"/>
      <c r="U478" s="17"/>
      <c r="V478" s="12"/>
      <c r="W478" s="12"/>
      <c r="X478" s="12"/>
      <c r="Y478" s="12"/>
      <c r="Z478" s="12"/>
    </row>
    <row r="479" spans="1:26" ht="15" customHeight="1" x14ac:dyDescent="0.3">
      <c r="A479" s="27"/>
      <c r="B479" s="17"/>
      <c r="C479" s="17"/>
      <c r="D479" s="17"/>
      <c r="E479" s="17"/>
      <c r="F479" s="17"/>
      <c r="G479" s="17"/>
      <c r="H479" s="17"/>
      <c r="I479" s="17"/>
      <c r="J479" s="17"/>
      <c r="K479" s="17"/>
      <c r="L479" s="17"/>
      <c r="M479" s="17"/>
      <c r="N479" s="17"/>
      <c r="O479" s="17"/>
      <c r="P479" s="17"/>
      <c r="Q479" s="17"/>
      <c r="R479" s="17"/>
      <c r="S479" s="17"/>
      <c r="T479" s="17"/>
      <c r="U479" s="17"/>
      <c r="V479" s="12"/>
      <c r="W479" s="12"/>
      <c r="X479" s="12"/>
      <c r="Y479" s="12"/>
      <c r="Z479" s="12"/>
    </row>
    <row r="480" spans="1:26" ht="15" customHeight="1" x14ac:dyDescent="0.3">
      <c r="A480" s="26"/>
      <c r="B480" s="17"/>
      <c r="C480" s="17"/>
      <c r="D480" s="17"/>
      <c r="E480" s="17"/>
      <c r="F480" s="17"/>
      <c r="G480" s="17"/>
      <c r="H480" s="17"/>
      <c r="I480" s="17"/>
      <c r="J480" s="17"/>
      <c r="K480" s="17"/>
      <c r="L480" s="17"/>
      <c r="M480" s="17"/>
      <c r="N480" s="17"/>
      <c r="O480" s="17"/>
      <c r="P480" s="17"/>
      <c r="Q480" s="17"/>
      <c r="R480" s="17"/>
      <c r="S480" s="17"/>
      <c r="T480" s="17"/>
      <c r="U480" s="17"/>
      <c r="V480" s="12"/>
      <c r="W480" s="12"/>
      <c r="X480" s="12"/>
      <c r="Y480" s="12"/>
      <c r="Z480" s="12"/>
    </row>
    <row r="481" spans="1:26" ht="15" customHeight="1" x14ac:dyDescent="0.3">
      <c r="A481" s="26"/>
      <c r="B481" s="17"/>
      <c r="C481" s="17"/>
      <c r="D481" s="17"/>
      <c r="E481" s="17"/>
      <c r="F481" s="17"/>
      <c r="G481" s="17"/>
      <c r="H481" s="17"/>
      <c r="I481" s="17"/>
      <c r="J481" s="17"/>
      <c r="K481" s="17"/>
      <c r="L481" s="17"/>
      <c r="M481" s="17"/>
      <c r="N481" s="17"/>
      <c r="O481" s="17"/>
      <c r="P481" s="17"/>
      <c r="Q481" s="17"/>
      <c r="R481" s="17"/>
      <c r="S481" s="17"/>
      <c r="T481" s="17"/>
      <c r="U481" s="17"/>
      <c r="V481" s="12"/>
      <c r="W481" s="12"/>
      <c r="X481" s="12"/>
      <c r="Y481" s="12"/>
      <c r="Z481" s="12"/>
    </row>
    <row r="482" spans="1:26" ht="15" customHeight="1" x14ac:dyDescent="0.3">
      <c r="A482" s="26"/>
      <c r="B482" s="17"/>
      <c r="C482" s="17"/>
      <c r="D482" s="17"/>
      <c r="E482" s="17"/>
      <c r="F482" s="17"/>
      <c r="G482" s="17"/>
      <c r="H482" s="17"/>
      <c r="I482" s="17"/>
      <c r="J482" s="17"/>
      <c r="K482" s="17"/>
      <c r="L482" s="17"/>
      <c r="M482" s="17"/>
      <c r="N482" s="17"/>
      <c r="O482" s="17"/>
      <c r="P482" s="17"/>
      <c r="Q482" s="17"/>
      <c r="R482" s="17"/>
      <c r="S482" s="17"/>
      <c r="T482" s="17"/>
      <c r="U482" s="17"/>
      <c r="V482" s="12"/>
      <c r="W482" s="12"/>
      <c r="X482" s="12"/>
      <c r="Y482" s="12"/>
      <c r="Z482" s="12"/>
    </row>
    <row r="483" spans="1:26" ht="15" customHeight="1" x14ac:dyDescent="0.3">
      <c r="A483" s="26"/>
      <c r="B483" s="17"/>
      <c r="C483" s="17"/>
      <c r="D483" s="17"/>
      <c r="E483" s="17"/>
      <c r="F483" s="17"/>
      <c r="G483" s="17"/>
      <c r="H483" s="17"/>
      <c r="I483" s="17"/>
      <c r="J483" s="17"/>
      <c r="K483" s="17"/>
      <c r="L483" s="17"/>
      <c r="M483" s="17"/>
      <c r="N483" s="17"/>
      <c r="O483" s="17"/>
      <c r="P483" s="17"/>
      <c r="Q483" s="17"/>
      <c r="R483" s="17"/>
      <c r="S483" s="17"/>
      <c r="T483" s="17"/>
      <c r="U483" s="17"/>
      <c r="V483" s="12"/>
      <c r="W483" s="12"/>
      <c r="X483" s="12"/>
      <c r="Y483" s="12"/>
      <c r="Z483" s="12"/>
    </row>
    <row r="484" spans="1:26" ht="15" customHeight="1" x14ac:dyDescent="0.3">
      <c r="A484" s="26"/>
      <c r="B484" s="17"/>
      <c r="C484" s="17"/>
      <c r="D484" s="17"/>
      <c r="E484" s="17"/>
      <c r="F484" s="17"/>
      <c r="G484" s="17"/>
      <c r="H484" s="17"/>
      <c r="I484" s="17"/>
      <c r="J484" s="17"/>
      <c r="K484" s="17"/>
      <c r="L484" s="17"/>
      <c r="M484" s="17"/>
      <c r="N484" s="17"/>
      <c r="O484" s="17"/>
      <c r="P484" s="17"/>
      <c r="Q484" s="17"/>
      <c r="R484" s="17"/>
      <c r="S484" s="17"/>
      <c r="T484" s="17"/>
      <c r="U484" s="17"/>
      <c r="V484" s="12"/>
      <c r="W484" s="12"/>
      <c r="X484" s="12"/>
      <c r="Y484" s="12"/>
      <c r="Z484" s="12"/>
    </row>
    <row r="485" spans="1:26" ht="15" customHeight="1" x14ac:dyDescent="0.3">
      <c r="A485" s="26"/>
      <c r="B485" s="17"/>
      <c r="C485" s="17"/>
      <c r="D485" s="17"/>
      <c r="E485" s="17"/>
      <c r="F485" s="17"/>
      <c r="G485" s="17"/>
      <c r="H485" s="17"/>
      <c r="I485" s="17"/>
      <c r="J485" s="17"/>
      <c r="K485" s="17"/>
      <c r="L485" s="17"/>
      <c r="M485" s="17"/>
      <c r="N485" s="17"/>
      <c r="O485" s="17"/>
      <c r="P485" s="17"/>
      <c r="Q485" s="17"/>
      <c r="R485" s="17"/>
      <c r="S485" s="17"/>
      <c r="T485" s="17"/>
      <c r="U485" s="17"/>
      <c r="V485" s="12"/>
      <c r="W485" s="12"/>
      <c r="X485" s="12"/>
      <c r="Y485" s="12"/>
      <c r="Z485" s="12"/>
    </row>
    <row r="486" spans="1:26" ht="15" customHeight="1" x14ac:dyDescent="0.3">
      <c r="A486" s="26"/>
      <c r="B486" s="17"/>
      <c r="C486" s="17"/>
      <c r="D486" s="17"/>
      <c r="E486" s="17"/>
      <c r="F486" s="17"/>
      <c r="G486" s="17"/>
      <c r="H486" s="17"/>
      <c r="I486" s="17"/>
      <c r="J486" s="17"/>
      <c r="K486" s="17"/>
      <c r="L486" s="17"/>
      <c r="M486" s="17"/>
      <c r="N486" s="17"/>
      <c r="O486" s="17"/>
      <c r="P486" s="17"/>
      <c r="Q486" s="17"/>
      <c r="R486" s="17"/>
      <c r="S486" s="17"/>
      <c r="T486" s="17"/>
      <c r="U486" s="17"/>
      <c r="V486" s="12"/>
      <c r="W486" s="12"/>
      <c r="X486" s="12"/>
      <c r="Y486" s="12"/>
      <c r="Z486" s="12"/>
    </row>
    <row r="487" spans="1:26" ht="15" customHeight="1" x14ac:dyDescent="0.3">
      <c r="A487" s="26"/>
      <c r="B487" s="17"/>
      <c r="C487" s="17"/>
      <c r="D487" s="17"/>
      <c r="E487" s="17"/>
      <c r="F487" s="17"/>
      <c r="G487" s="17"/>
      <c r="H487" s="17"/>
      <c r="I487" s="17"/>
      <c r="J487" s="17"/>
      <c r="K487" s="17"/>
      <c r="L487" s="17"/>
      <c r="M487" s="17"/>
      <c r="N487" s="17"/>
      <c r="O487" s="17"/>
      <c r="P487" s="17"/>
      <c r="Q487" s="17"/>
      <c r="R487" s="17"/>
      <c r="S487" s="17"/>
      <c r="T487" s="17"/>
      <c r="U487" s="17"/>
      <c r="V487" s="12"/>
      <c r="W487" s="12"/>
      <c r="X487" s="12"/>
      <c r="Y487" s="12"/>
      <c r="Z487" s="12"/>
    </row>
    <row r="488" spans="1:26" ht="15" customHeight="1" x14ac:dyDescent="0.3">
      <c r="A488" s="26"/>
      <c r="B488" s="17"/>
      <c r="C488" s="17"/>
      <c r="D488" s="17"/>
      <c r="E488" s="17"/>
      <c r="F488" s="17"/>
      <c r="G488" s="17"/>
      <c r="H488" s="17"/>
      <c r="I488" s="17"/>
      <c r="J488" s="17"/>
      <c r="K488" s="17"/>
      <c r="L488" s="17"/>
      <c r="M488" s="17"/>
      <c r="N488" s="17"/>
      <c r="O488" s="17"/>
      <c r="P488" s="17"/>
      <c r="Q488" s="17"/>
      <c r="R488" s="17"/>
      <c r="S488" s="17"/>
      <c r="T488" s="17"/>
      <c r="U488" s="17"/>
      <c r="V488" s="12"/>
      <c r="W488" s="12"/>
      <c r="X488" s="12"/>
      <c r="Y488" s="12"/>
      <c r="Z488" s="12"/>
    </row>
    <row r="489" spans="1:26" ht="15" customHeight="1" x14ac:dyDescent="0.3">
      <c r="A489" s="26"/>
      <c r="B489" s="17"/>
      <c r="C489" s="17"/>
      <c r="D489" s="17"/>
      <c r="E489" s="17"/>
      <c r="F489" s="17"/>
      <c r="G489" s="17"/>
      <c r="H489" s="17"/>
      <c r="I489" s="17"/>
      <c r="J489" s="17"/>
      <c r="K489" s="17"/>
      <c r="L489" s="17"/>
      <c r="M489" s="17"/>
      <c r="N489" s="17"/>
      <c r="O489" s="17"/>
      <c r="P489" s="17"/>
      <c r="Q489" s="17"/>
      <c r="R489" s="17"/>
      <c r="S489" s="17"/>
      <c r="T489" s="17"/>
      <c r="U489" s="17"/>
      <c r="V489" s="12"/>
      <c r="W489" s="12"/>
      <c r="X489" s="12"/>
      <c r="Y489" s="12"/>
      <c r="Z489" s="12"/>
    </row>
    <row r="490" spans="1:26" ht="15" customHeight="1" x14ac:dyDescent="0.3">
      <c r="A490" s="26"/>
      <c r="B490" s="17"/>
      <c r="C490" s="17"/>
      <c r="D490" s="17"/>
      <c r="E490" s="17"/>
      <c r="F490" s="17"/>
      <c r="G490" s="17"/>
      <c r="H490" s="17"/>
      <c r="I490" s="17"/>
      <c r="J490" s="17"/>
      <c r="K490" s="17"/>
      <c r="L490" s="17"/>
      <c r="M490" s="17"/>
      <c r="N490" s="17"/>
      <c r="O490" s="17"/>
      <c r="P490" s="17"/>
      <c r="Q490" s="17"/>
      <c r="R490" s="17"/>
      <c r="S490" s="17"/>
      <c r="T490" s="17"/>
      <c r="U490" s="17"/>
      <c r="V490" s="12"/>
      <c r="W490" s="12"/>
      <c r="X490" s="12"/>
      <c r="Y490" s="12"/>
      <c r="Z490" s="12"/>
    </row>
    <row r="491" spans="1:26" ht="15" customHeight="1" x14ac:dyDescent="0.3">
      <c r="A491" s="26"/>
      <c r="B491" s="17"/>
      <c r="C491" s="17"/>
      <c r="D491" s="17"/>
      <c r="E491" s="17"/>
      <c r="F491" s="17"/>
      <c r="G491" s="17"/>
      <c r="H491" s="17"/>
      <c r="I491" s="17"/>
      <c r="J491" s="17"/>
      <c r="K491" s="17"/>
      <c r="L491" s="17"/>
      <c r="M491" s="17"/>
      <c r="N491" s="17"/>
      <c r="O491" s="17"/>
      <c r="P491" s="17"/>
      <c r="Q491" s="17"/>
      <c r="R491" s="17"/>
      <c r="S491" s="17"/>
      <c r="T491" s="17"/>
      <c r="U491" s="17"/>
      <c r="V491" s="12"/>
      <c r="W491" s="12"/>
      <c r="X491" s="12"/>
      <c r="Y491" s="12"/>
      <c r="Z491" s="12"/>
    </row>
    <row r="492" spans="1:26" ht="15" customHeight="1" x14ac:dyDescent="0.3">
      <c r="A492" s="26"/>
      <c r="B492" s="17"/>
      <c r="C492" s="17"/>
      <c r="D492" s="17"/>
      <c r="E492" s="17"/>
      <c r="F492" s="17"/>
      <c r="G492" s="17"/>
      <c r="H492" s="17"/>
      <c r="I492" s="17"/>
      <c r="J492" s="17"/>
      <c r="K492" s="17"/>
      <c r="L492" s="17"/>
      <c r="M492" s="17"/>
      <c r="N492" s="17"/>
      <c r="O492" s="17"/>
      <c r="P492" s="17"/>
      <c r="Q492" s="17"/>
      <c r="R492" s="17"/>
      <c r="S492" s="17"/>
      <c r="T492" s="17"/>
      <c r="U492" s="17"/>
      <c r="V492" s="12"/>
      <c r="W492" s="12"/>
      <c r="X492" s="12"/>
      <c r="Y492" s="12"/>
      <c r="Z492" s="12"/>
    </row>
    <row r="493" spans="1:26" ht="15" customHeight="1" x14ac:dyDescent="0.3">
      <c r="A493" s="26"/>
      <c r="B493" s="17"/>
      <c r="C493" s="17"/>
      <c r="D493" s="17"/>
      <c r="E493" s="17"/>
      <c r="F493" s="17"/>
      <c r="G493" s="17"/>
      <c r="H493" s="17"/>
      <c r="I493" s="17"/>
      <c r="J493" s="17"/>
      <c r="K493" s="17"/>
      <c r="L493" s="17"/>
      <c r="M493" s="17"/>
      <c r="N493" s="17"/>
      <c r="O493" s="17"/>
      <c r="P493" s="17"/>
      <c r="Q493" s="17"/>
      <c r="R493" s="17"/>
      <c r="S493" s="17"/>
      <c r="T493" s="17"/>
      <c r="U493" s="17"/>
      <c r="V493" s="12"/>
      <c r="W493" s="12"/>
      <c r="X493" s="12"/>
      <c r="Y493" s="12"/>
      <c r="Z493" s="12"/>
    </row>
    <row r="494" spans="1:26" ht="15" customHeight="1" x14ac:dyDescent="0.3">
      <c r="A494" s="26"/>
      <c r="B494" s="17"/>
      <c r="C494" s="17"/>
      <c r="D494" s="17"/>
      <c r="E494" s="17"/>
      <c r="F494" s="17"/>
      <c r="G494" s="17"/>
      <c r="H494" s="17"/>
      <c r="I494" s="17"/>
      <c r="J494" s="17"/>
      <c r="K494" s="17"/>
      <c r="L494" s="17"/>
      <c r="M494" s="17"/>
      <c r="N494" s="17"/>
      <c r="O494" s="17"/>
      <c r="P494" s="17"/>
      <c r="Q494" s="17"/>
      <c r="R494" s="17"/>
      <c r="S494" s="17"/>
      <c r="T494" s="17"/>
      <c r="U494" s="17"/>
      <c r="V494" s="12"/>
      <c r="W494" s="12"/>
      <c r="X494" s="12"/>
      <c r="Y494" s="12"/>
      <c r="Z494" s="12"/>
    </row>
    <row r="495" spans="1:26" ht="15" customHeight="1" x14ac:dyDescent="0.3">
      <c r="A495" s="26"/>
      <c r="B495" s="17"/>
      <c r="C495" s="17"/>
      <c r="D495" s="17"/>
      <c r="E495" s="17"/>
      <c r="F495" s="17"/>
      <c r="G495" s="17"/>
      <c r="H495" s="17"/>
      <c r="I495" s="17"/>
      <c r="J495" s="17"/>
      <c r="K495" s="17"/>
      <c r="L495" s="17"/>
      <c r="M495" s="17"/>
      <c r="N495" s="17"/>
      <c r="O495" s="17"/>
      <c r="P495" s="17"/>
      <c r="Q495" s="17"/>
      <c r="R495" s="17"/>
      <c r="S495" s="17"/>
      <c r="T495" s="17"/>
      <c r="U495" s="17"/>
      <c r="V495" s="12"/>
      <c r="W495" s="12"/>
      <c r="X495" s="12"/>
      <c r="Y495" s="12"/>
      <c r="Z495" s="12"/>
    </row>
    <row r="496" spans="1:26" ht="15" customHeight="1" x14ac:dyDescent="0.3">
      <c r="A496" s="26"/>
      <c r="B496" s="17"/>
      <c r="C496" s="17"/>
      <c r="D496" s="17"/>
      <c r="E496" s="17"/>
      <c r="F496" s="17"/>
      <c r="G496" s="17"/>
      <c r="H496" s="17"/>
      <c r="I496" s="17"/>
      <c r="J496" s="17"/>
      <c r="K496" s="17"/>
      <c r="L496" s="17"/>
      <c r="M496" s="17"/>
      <c r="N496" s="17"/>
      <c r="O496" s="17"/>
      <c r="P496" s="17"/>
      <c r="Q496" s="17"/>
      <c r="R496" s="17"/>
      <c r="S496" s="17"/>
      <c r="T496" s="17"/>
      <c r="U496" s="17"/>
      <c r="V496" s="12"/>
      <c r="W496" s="12"/>
      <c r="X496" s="12"/>
      <c r="Y496" s="12"/>
      <c r="Z496" s="12"/>
    </row>
    <row r="497" spans="1:26" ht="15" customHeight="1" x14ac:dyDescent="0.3">
      <c r="A497" s="26"/>
      <c r="B497" s="17"/>
      <c r="C497" s="17"/>
      <c r="D497" s="17"/>
      <c r="E497" s="17"/>
      <c r="F497" s="17"/>
      <c r="G497" s="17"/>
      <c r="H497" s="17"/>
      <c r="I497" s="17"/>
      <c r="J497" s="17"/>
      <c r="K497" s="17"/>
      <c r="L497" s="17"/>
      <c r="M497" s="17"/>
      <c r="N497" s="17"/>
      <c r="O497" s="17"/>
      <c r="P497" s="17"/>
      <c r="Q497" s="17"/>
      <c r="R497" s="17"/>
      <c r="S497" s="17"/>
      <c r="T497" s="17"/>
      <c r="U497" s="17"/>
      <c r="V497" s="12"/>
      <c r="W497" s="12"/>
      <c r="X497" s="12"/>
      <c r="Y497" s="12"/>
      <c r="Z497" s="12"/>
    </row>
    <row r="498" spans="1:26" ht="15" customHeight="1" x14ac:dyDescent="0.3">
      <c r="A498" s="26"/>
      <c r="B498" s="17"/>
      <c r="C498" s="17"/>
      <c r="D498" s="17"/>
      <c r="E498" s="17"/>
      <c r="F498" s="17"/>
      <c r="G498" s="17"/>
      <c r="H498" s="17"/>
      <c r="I498" s="17"/>
      <c r="J498" s="17"/>
      <c r="K498" s="17"/>
      <c r="L498" s="17"/>
      <c r="M498" s="17"/>
      <c r="N498" s="17"/>
      <c r="O498" s="17"/>
      <c r="P498" s="17"/>
      <c r="Q498" s="17"/>
      <c r="R498" s="17"/>
      <c r="S498" s="17"/>
      <c r="T498" s="17"/>
      <c r="U498" s="17"/>
      <c r="V498" s="12"/>
      <c r="W498" s="12"/>
      <c r="X498" s="12"/>
      <c r="Y498" s="12"/>
      <c r="Z498" s="12"/>
    </row>
    <row r="499" spans="1:26" ht="15" customHeight="1" x14ac:dyDescent="0.3">
      <c r="A499" s="26"/>
      <c r="B499" s="17"/>
      <c r="C499" s="17"/>
      <c r="D499" s="17"/>
      <c r="E499" s="17"/>
      <c r="F499" s="17"/>
      <c r="G499" s="17"/>
      <c r="H499" s="17"/>
      <c r="I499" s="17"/>
      <c r="J499" s="17"/>
      <c r="K499" s="17"/>
      <c r="L499" s="17"/>
      <c r="M499" s="17"/>
      <c r="N499" s="17"/>
      <c r="O499" s="17"/>
      <c r="P499" s="17"/>
      <c r="Q499" s="17"/>
      <c r="R499" s="17"/>
      <c r="S499" s="17"/>
      <c r="T499" s="17"/>
      <c r="U499" s="17"/>
      <c r="V499" s="12"/>
      <c r="W499" s="12"/>
      <c r="X499" s="12"/>
      <c r="Y499" s="12"/>
      <c r="Z499" s="12"/>
    </row>
    <row r="500" spans="1:26" ht="15" customHeight="1" x14ac:dyDescent="0.3">
      <c r="A500" s="26"/>
      <c r="B500" s="17"/>
      <c r="C500" s="17"/>
      <c r="D500" s="17"/>
      <c r="E500" s="17"/>
      <c r="F500" s="17"/>
      <c r="G500" s="17"/>
      <c r="H500" s="17"/>
      <c r="I500" s="17"/>
      <c r="J500" s="17"/>
      <c r="K500" s="17"/>
      <c r="L500" s="17"/>
      <c r="M500" s="17"/>
      <c r="N500" s="17"/>
      <c r="O500" s="17"/>
      <c r="P500" s="17"/>
      <c r="Q500" s="17"/>
      <c r="R500" s="17"/>
      <c r="S500" s="17"/>
      <c r="T500" s="17"/>
      <c r="U500" s="17"/>
      <c r="V500" s="12"/>
      <c r="W500" s="12"/>
      <c r="X500" s="12"/>
      <c r="Y500" s="12"/>
      <c r="Z500" s="12"/>
    </row>
    <row r="501" spans="1:26" ht="15" customHeight="1" x14ac:dyDescent="0.3">
      <c r="A501" s="26"/>
      <c r="B501" s="17"/>
      <c r="C501" s="17"/>
      <c r="D501" s="17"/>
      <c r="E501" s="17"/>
      <c r="F501" s="17"/>
      <c r="G501" s="17"/>
      <c r="H501" s="17"/>
      <c r="I501" s="17"/>
      <c r="J501" s="17"/>
      <c r="K501" s="17"/>
      <c r="L501" s="17"/>
      <c r="M501" s="17"/>
      <c r="N501" s="17"/>
      <c r="O501" s="17"/>
      <c r="P501" s="17"/>
      <c r="Q501" s="17"/>
      <c r="R501" s="17"/>
      <c r="S501" s="17"/>
      <c r="T501" s="17"/>
      <c r="U501" s="17"/>
      <c r="V501" s="12"/>
      <c r="W501" s="12"/>
      <c r="X501" s="12"/>
      <c r="Y501" s="12"/>
      <c r="Z501" s="12"/>
    </row>
    <row r="502" spans="1:26" ht="15" customHeight="1" x14ac:dyDescent="0.3">
      <c r="A502" s="26"/>
      <c r="B502" s="17"/>
      <c r="C502" s="17"/>
      <c r="D502" s="17"/>
      <c r="E502" s="17"/>
      <c r="F502" s="17"/>
      <c r="G502" s="17"/>
      <c r="H502" s="17"/>
      <c r="I502" s="17"/>
      <c r="J502" s="17"/>
      <c r="K502" s="17"/>
      <c r="L502" s="17"/>
      <c r="M502" s="17"/>
      <c r="N502" s="17"/>
      <c r="O502" s="17"/>
      <c r="P502" s="17"/>
      <c r="Q502" s="17"/>
      <c r="R502" s="17"/>
      <c r="S502" s="17"/>
      <c r="T502" s="17"/>
      <c r="U502" s="17"/>
      <c r="V502" s="12"/>
      <c r="W502" s="12"/>
      <c r="X502" s="12"/>
      <c r="Y502" s="12"/>
      <c r="Z502" s="12"/>
    </row>
    <row r="503" spans="1:26" ht="15" customHeight="1" x14ac:dyDescent="0.3">
      <c r="A503" s="26"/>
      <c r="B503" s="17"/>
      <c r="C503" s="17"/>
      <c r="D503" s="17"/>
      <c r="E503" s="17"/>
      <c r="F503" s="17"/>
      <c r="G503" s="17"/>
      <c r="H503" s="17"/>
      <c r="I503" s="17"/>
      <c r="J503" s="17"/>
      <c r="K503" s="17"/>
      <c r="L503" s="17"/>
      <c r="M503" s="17"/>
      <c r="N503" s="17"/>
      <c r="O503" s="17"/>
      <c r="P503" s="17"/>
      <c r="Q503" s="17"/>
      <c r="R503" s="17"/>
      <c r="S503" s="17"/>
      <c r="T503" s="17"/>
      <c r="U503" s="17"/>
      <c r="V503" s="12"/>
      <c r="W503" s="12"/>
      <c r="X503" s="12"/>
      <c r="Y503" s="12"/>
      <c r="Z503" s="12"/>
    </row>
    <row r="504" spans="1:26" ht="15" customHeight="1" x14ac:dyDescent="0.3">
      <c r="A504" s="26"/>
      <c r="B504" s="17"/>
      <c r="C504" s="17"/>
      <c r="D504" s="17"/>
      <c r="E504" s="17"/>
      <c r="F504" s="17"/>
      <c r="G504" s="17"/>
      <c r="H504" s="17"/>
      <c r="I504" s="17"/>
      <c r="J504" s="17"/>
      <c r="K504" s="17"/>
      <c r="L504" s="17"/>
      <c r="M504" s="17"/>
      <c r="N504" s="17"/>
      <c r="O504" s="17"/>
      <c r="P504" s="17"/>
      <c r="Q504" s="17"/>
      <c r="R504" s="17"/>
      <c r="S504" s="17"/>
      <c r="T504" s="17"/>
      <c r="U504" s="17"/>
      <c r="V504" s="12"/>
      <c r="W504" s="12"/>
      <c r="X504" s="12"/>
      <c r="Y504" s="12"/>
      <c r="Z504" s="12"/>
    </row>
    <row r="505" spans="1:26" ht="15" customHeight="1" x14ac:dyDescent="0.3">
      <c r="A505" s="26"/>
      <c r="B505" s="17"/>
      <c r="C505" s="17"/>
      <c r="D505" s="17"/>
      <c r="E505" s="17"/>
      <c r="F505" s="17"/>
      <c r="G505" s="17"/>
      <c r="H505" s="17"/>
      <c r="I505" s="17"/>
      <c r="J505" s="17"/>
      <c r="K505" s="17"/>
      <c r="L505" s="17"/>
      <c r="M505" s="17"/>
      <c r="N505" s="17"/>
      <c r="O505" s="17"/>
      <c r="P505" s="17"/>
      <c r="Q505" s="17"/>
      <c r="R505" s="17"/>
      <c r="S505" s="17"/>
      <c r="T505" s="17"/>
      <c r="U505" s="17"/>
      <c r="V505" s="12"/>
      <c r="W505" s="12"/>
      <c r="X505" s="12"/>
      <c r="Y505" s="12"/>
      <c r="Z505" s="12"/>
    </row>
    <row r="506" spans="1:26" ht="15" customHeight="1" x14ac:dyDescent="0.3">
      <c r="A506" s="26"/>
      <c r="B506" s="17"/>
      <c r="C506" s="17"/>
      <c r="D506" s="17"/>
      <c r="E506" s="17"/>
      <c r="F506" s="17"/>
      <c r="G506" s="17"/>
      <c r="H506" s="17"/>
      <c r="I506" s="17"/>
      <c r="J506" s="17"/>
      <c r="K506" s="17"/>
      <c r="L506" s="17"/>
      <c r="M506" s="17"/>
      <c r="N506" s="17"/>
      <c r="O506" s="17"/>
      <c r="P506" s="17"/>
      <c r="Q506" s="17"/>
      <c r="R506" s="17"/>
      <c r="S506" s="17"/>
      <c r="T506" s="17"/>
      <c r="U506" s="17"/>
      <c r="V506" s="12"/>
      <c r="W506" s="12"/>
      <c r="X506" s="12"/>
      <c r="Y506" s="12"/>
      <c r="Z506" s="12"/>
    </row>
    <row r="507" spans="1:26" ht="15" customHeight="1" x14ac:dyDescent="0.3">
      <c r="A507" s="26"/>
      <c r="B507" s="17"/>
      <c r="C507" s="17"/>
      <c r="D507" s="17"/>
      <c r="E507" s="17"/>
      <c r="F507" s="17"/>
      <c r="G507" s="17"/>
      <c r="H507" s="17"/>
      <c r="I507" s="17"/>
      <c r="J507" s="17"/>
      <c r="K507" s="17"/>
      <c r="L507" s="17"/>
      <c r="M507" s="17"/>
      <c r="N507" s="17"/>
      <c r="O507" s="17"/>
      <c r="P507" s="17"/>
      <c r="Q507" s="17"/>
      <c r="R507" s="17"/>
      <c r="S507" s="17"/>
      <c r="T507" s="17"/>
      <c r="U507" s="17"/>
      <c r="V507" s="12"/>
      <c r="W507" s="12"/>
      <c r="X507" s="12"/>
      <c r="Y507" s="12"/>
      <c r="Z507" s="12"/>
    </row>
    <row r="508" spans="1:26" ht="15" customHeight="1" x14ac:dyDescent="0.3">
      <c r="A508" s="26"/>
      <c r="B508" s="17"/>
      <c r="C508" s="17"/>
      <c r="D508" s="17"/>
      <c r="E508" s="17"/>
      <c r="F508" s="17"/>
      <c r="G508" s="17"/>
      <c r="H508" s="17"/>
      <c r="I508" s="17"/>
      <c r="J508" s="17"/>
      <c r="K508" s="17"/>
      <c r="L508" s="17"/>
      <c r="M508" s="17"/>
      <c r="N508" s="17"/>
      <c r="O508" s="17"/>
      <c r="P508" s="17"/>
      <c r="Q508" s="17"/>
      <c r="R508" s="17"/>
      <c r="S508" s="17"/>
      <c r="T508" s="17"/>
      <c r="U508" s="17"/>
      <c r="V508" s="12"/>
      <c r="W508" s="12"/>
      <c r="X508" s="12"/>
      <c r="Y508" s="12"/>
      <c r="Z508" s="12"/>
    </row>
    <row r="509" spans="1:26" ht="15" customHeight="1" x14ac:dyDescent="0.3">
      <c r="A509" s="26"/>
      <c r="B509" s="17"/>
      <c r="C509" s="17"/>
      <c r="D509" s="17"/>
      <c r="E509" s="17"/>
      <c r="F509" s="17"/>
      <c r="G509" s="17"/>
      <c r="H509" s="17"/>
      <c r="I509" s="17"/>
      <c r="J509" s="17"/>
      <c r="K509" s="17"/>
      <c r="L509" s="17"/>
      <c r="M509" s="17"/>
      <c r="N509" s="17"/>
      <c r="O509" s="17"/>
      <c r="P509" s="17"/>
      <c r="Q509" s="17"/>
      <c r="R509" s="17"/>
      <c r="S509" s="17"/>
      <c r="T509" s="17"/>
      <c r="U509" s="17"/>
      <c r="V509" s="12"/>
      <c r="W509" s="12"/>
      <c r="X509" s="12"/>
      <c r="Y509" s="12"/>
      <c r="Z509" s="12"/>
    </row>
    <row r="510" spans="1:26" ht="15" customHeight="1" x14ac:dyDescent="0.3">
      <c r="A510" s="26"/>
      <c r="B510" s="17"/>
      <c r="C510" s="17"/>
      <c r="D510" s="17"/>
      <c r="E510" s="17"/>
      <c r="F510" s="17"/>
      <c r="G510" s="17"/>
      <c r="H510" s="17"/>
      <c r="I510" s="17"/>
      <c r="J510" s="17"/>
      <c r="K510" s="17"/>
      <c r="L510" s="17"/>
      <c r="M510" s="17"/>
      <c r="N510" s="17"/>
      <c r="O510" s="17"/>
      <c r="P510" s="17"/>
      <c r="Q510" s="17"/>
      <c r="R510" s="17"/>
      <c r="S510" s="17"/>
      <c r="T510" s="17"/>
      <c r="U510" s="17"/>
      <c r="V510" s="12"/>
      <c r="W510" s="12"/>
      <c r="X510" s="12"/>
      <c r="Y510" s="12"/>
      <c r="Z510" s="12"/>
    </row>
    <row r="511" spans="1:26" ht="15" customHeight="1" x14ac:dyDescent="0.3">
      <c r="A511" s="26"/>
      <c r="B511" s="17"/>
      <c r="C511" s="17"/>
      <c r="D511" s="17"/>
      <c r="E511" s="17"/>
      <c r="F511" s="17"/>
      <c r="G511" s="17"/>
      <c r="H511" s="17"/>
      <c r="I511" s="17"/>
      <c r="J511" s="17"/>
      <c r="K511" s="17"/>
      <c r="L511" s="17"/>
      <c r="M511" s="17"/>
      <c r="N511" s="17"/>
      <c r="O511" s="17"/>
      <c r="P511" s="17"/>
      <c r="Q511" s="17"/>
      <c r="R511" s="17"/>
      <c r="S511" s="17"/>
      <c r="T511" s="17"/>
      <c r="U511" s="17"/>
      <c r="V511" s="12"/>
      <c r="W511" s="12"/>
      <c r="X511" s="12"/>
      <c r="Y511" s="12"/>
      <c r="Z511" s="12"/>
    </row>
    <row r="512" spans="1:26" ht="15" customHeight="1" x14ac:dyDescent="0.3">
      <c r="A512" s="26"/>
      <c r="B512" s="17"/>
      <c r="C512" s="17"/>
      <c r="D512" s="17"/>
      <c r="E512" s="17"/>
      <c r="F512" s="17"/>
      <c r="G512" s="17"/>
      <c r="H512" s="17"/>
      <c r="I512" s="17"/>
      <c r="J512" s="17"/>
      <c r="K512" s="17"/>
      <c r="L512" s="17"/>
      <c r="M512" s="17"/>
      <c r="N512" s="17"/>
      <c r="O512" s="17"/>
      <c r="P512" s="17"/>
      <c r="Q512" s="17"/>
      <c r="R512" s="17"/>
      <c r="S512" s="17"/>
      <c r="T512" s="17"/>
      <c r="U512" s="17"/>
      <c r="V512" s="12"/>
      <c r="W512" s="12"/>
      <c r="X512" s="12"/>
      <c r="Y512" s="12"/>
      <c r="Z512" s="12"/>
    </row>
    <row r="513" spans="1:26" ht="15" customHeight="1" x14ac:dyDescent="0.3">
      <c r="A513" s="26"/>
      <c r="B513" s="17"/>
      <c r="C513" s="17"/>
      <c r="D513" s="17"/>
      <c r="E513" s="17"/>
      <c r="F513" s="17"/>
      <c r="G513" s="17"/>
      <c r="H513" s="17"/>
      <c r="I513" s="17"/>
      <c r="J513" s="17"/>
      <c r="K513" s="17"/>
      <c r="L513" s="17"/>
      <c r="M513" s="17"/>
      <c r="N513" s="17"/>
      <c r="O513" s="17"/>
      <c r="P513" s="17"/>
      <c r="Q513" s="17"/>
      <c r="R513" s="17"/>
      <c r="S513" s="17"/>
      <c r="T513" s="17"/>
      <c r="U513" s="17"/>
      <c r="V513" s="12"/>
      <c r="W513" s="12"/>
      <c r="X513" s="12"/>
      <c r="Y513" s="12"/>
      <c r="Z513" s="12"/>
    </row>
    <row r="514" spans="1:26" ht="15" customHeight="1" x14ac:dyDescent="0.3">
      <c r="A514" s="26"/>
      <c r="B514" s="17"/>
      <c r="C514" s="17"/>
      <c r="D514" s="17"/>
      <c r="E514" s="17"/>
      <c r="F514" s="17"/>
      <c r="G514" s="17"/>
      <c r="H514" s="17"/>
      <c r="I514" s="17"/>
      <c r="J514" s="17"/>
      <c r="K514" s="17"/>
      <c r="L514" s="17"/>
      <c r="M514" s="17"/>
      <c r="N514" s="17"/>
      <c r="O514" s="17"/>
      <c r="P514" s="17"/>
      <c r="Q514" s="17"/>
      <c r="R514" s="17"/>
      <c r="S514" s="17"/>
      <c r="T514" s="17"/>
      <c r="U514" s="17"/>
      <c r="V514" s="12"/>
      <c r="W514" s="12"/>
      <c r="X514" s="12"/>
      <c r="Y514" s="12"/>
      <c r="Z514" s="12"/>
    </row>
    <row r="515" spans="1:26" ht="15" customHeight="1" x14ac:dyDescent="0.3">
      <c r="A515" s="26"/>
      <c r="B515" s="17"/>
      <c r="C515" s="17"/>
      <c r="D515" s="17"/>
      <c r="E515" s="17"/>
      <c r="F515" s="17"/>
      <c r="G515" s="17"/>
      <c r="H515" s="17"/>
      <c r="I515" s="17"/>
      <c r="J515" s="17"/>
      <c r="K515" s="17"/>
      <c r="L515" s="17"/>
      <c r="M515" s="17"/>
      <c r="N515" s="17"/>
      <c r="O515" s="17"/>
      <c r="P515" s="17"/>
      <c r="Q515" s="17"/>
      <c r="R515" s="17"/>
      <c r="S515" s="17"/>
      <c r="T515" s="17"/>
      <c r="U515" s="17"/>
      <c r="V515" s="12"/>
      <c r="W515" s="12"/>
      <c r="X515" s="12"/>
      <c r="Y515" s="12"/>
      <c r="Z515" s="12"/>
    </row>
    <row r="516" spans="1:26" ht="15" customHeight="1" x14ac:dyDescent="0.3">
      <c r="A516" s="26"/>
      <c r="B516" s="17"/>
      <c r="C516" s="17"/>
      <c r="D516" s="17"/>
      <c r="E516" s="17"/>
      <c r="F516" s="17"/>
      <c r="G516" s="17"/>
      <c r="H516" s="17"/>
      <c r="I516" s="17"/>
      <c r="J516" s="17"/>
      <c r="K516" s="17"/>
      <c r="L516" s="17"/>
      <c r="M516" s="17"/>
      <c r="N516" s="17"/>
      <c r="O516" s="17"/>
      <c r="P516" s="17"/>
      <c r="Q516" s="17"/>
      <c r="R516" s="17"/>
      <c r="S516" s="17"/>
      <c r="T516" s="17"/>
      <c r="U516" s="17"/>
      <c r="V516" s="12"/>
      <c r="W516" s="12"/>
      <c r="X516" s="12"/>
      <c r="Y516" s="12"/>
      <c r="Z516" s="12"/>
    </row>
    <row r="517" spans="1:26" ht="15" customHeight="1" x14ac:dyDescent="0.3">
      <c r="A517" s="26"/>
      <c r="B517" s="17"/>
      <c r="C517" s="17"/>
      <c r="D517" s="17"/>
      <c r="E517" s="17"/>
      <c r="F517" s="17"/>
      <c r="G517" s="17"/>
      <c r="H517" s="17"/>
      <c r="I517" s="17"/>
      <c r="J517" s="17"/>
      <c r="K517" s="17"/>
      <c r="L517" s="17"/>
      <c r="M517" s="17"/>
      <c r="N517" s="17"/>
      <c r="O517" s="17"/>
      <c r="P517" s="17"/>
      <c r="Q517" s="17"/>
      <c r="R517" s="17"/>
      <c r="S517" s="17"/>
      <c r="T517" s="17"/>
      <c r="U517" s="17"/>
      <c r="V517" s="12"/>
      <c r="W517" s="12"/>
      <c r="X517" s="12"/>
      <c r="Y517" s="12"/>
      <c r="Z517" s="12"/>
    </row>
    <row r="518" spans="1:26" ht="15" customHeight="1" x14ac:dyDescent="0.3">
      <c r="A518" s="26"/>
      <c r="B518" s="17"/>
      <c r="C518" s="17"/>
      <c r="D518" s="17"/>
      <c r="E518" s="17"/>
      <c r="F518" s="17"/>
      <c r="G518" s="17"/>
      <c r="H518" s="17"/>
      <c r="I518" s="17"/>
      <c r="J518" s="17"/>
      <c r="K518" s="17"/>
      <c r="L518" s="17"/>
      <c r="M518" s="17"/>
      <c r="N518" s="17"/>
      <c r="O518" s="17"/>
      <c r="P518" s="17"/>
      <c r="Q518" s="17"/>
      <c r="R518" s="17"/>
      <c r="S518" s="17"/>
      <c r="T518" s="17"/>
      <c r="U518" s="17"/>
      <c r="V518" s="12"/>
      <c r="W518" s="12"/>
      <c r="X518" s="12"/>
      <c r="Y518" s="12"/>
      <c r="Z518" s="12"/>
    </row>
    <row r="519" spans="1:26" ht="15" customHeight="1" x14ac:dyDescent="0.3">
      <c r="A519" s="26"/>
      <c r="B519" s="17"/>
      <c r="C519" s="17"/>
      <c r="D519" s="17"/>
      <c r="E519" s="17"/>
      <c r="F519" s="17"/>
      <c r="G519" s="17"/>
      <c r="H519" s="17"/>
      <c r="I519" s="17"/>
      <c r="J519" s="17"/>
      <c r="K519" s="17"/>
      <c r="L519" s="17"/>
      <c r="M519" s="17"/>
      <c r="N519" s="17"/>
      <c r="O519" s="17"/>
      <c r="P519" s="17"/>
      <c r="Q519" s="17"/>
      <c r="R519" s="17"/>
      <c r="S519" s="17"/>
      <c r="T519" s="17"/>
      <c r="U519" s="17"/>
      <c r="V519" s="12"/>
      <c r="W519" s="12"/>
      <c r="X519" s="12"/>
      <c r="Y519" s="12"/>
      <c r="Z519" s="12"/>
    </row>
    <row r="520" spans="1:26" ht="15" customHeight="1" x14ac:dyDescent="0.3">
      <c r="A520" s="26"/>
      <c r="B520" s="17"/>
      <c r="C520" s="17"/>
      <c r="D520" s="17"/>
      <c r="E520" s="17"/>
      <c r="F520" s="17"/>
      <c r="G520" s="17"/>
      <c r="H520" s="17"/>
      <c r="I520" s="17"/>
      <c r="J520" s="17"/>
      <c r="K520" s="17"/>
      <c r="L520" s="17"/>
      <c r="M520" s="17"/>
      <c r="N520" s="17"/>
      <c r="O520" s="17"/>
      <c r="P520" s="17"/>
      <c r="Q520" s="17"/>
      <c r="R520" s="17"/>
      <c r="S520" s="17"/>
      <c r="T520" s="17"/>
      <c r="U520" s="17"/>
      <c r="V520" s="12"/>
      <c r="W520" s="12"/>
      <c r="X520" s="12"/>
      <c r="Y520" s="12"/>
      <c r="Z520" s="12"/>
    </row>
    <row r="521" spans="1:26" ht="15" customHeight="1" x14ac:dyDescent="0.3">
      <c r="A521" s="26"/>
      <c r="B521" s="17"/>
      <c r="C521" s="17"/>
      <c r="D521" s="17"/>
      <c r="E521" s="17"/>
      <c r="F521" s="17"/>
      <c r="G521" s="17"/>
      <c r="H521" s="17"/>
      <c r="I521" s="17"/>
      <c r="J521" s="17"/>
      <c r="K521" s="17"/>
      <c r="L521" s="17"/>
      <c r="M521" s="17"/>
      <c r="N521" s="17"/>
      <c r="O521" s="17"/>
      <c r="P521" s="17"/>
      <c r="Q521" s="17"/>
      <c r="R521" s="17"/>
      <c r="S521" s="17"/>
      <c r="T521" s="17"/>
      <c r="U521" s="17"/>
      <c r="V521" s="12"/>
      <c r="W521" s="12"/>
      <c r="X521" s="12"/>
      <c r="Y521" s="12"/>
      <c r="Z521" s="12"/>
    </row>
    <row r="522" spans="1:26" ht="15" customHeight="1" x14ac:dyDescent="0.3">
      <c r="A522" s="26"/>
      <c r="B522" s="17"/>
      <c r="C522" s="17"/>
      <c r="D522" s="17"/>
      <c r="E522" s="17"/>
      <c r="F522" s="17"/>
      <c r="G522" s="17"/>
      <c r="H522" s="17"/>
      <c r="I522" s="17"/>
      <c r="J522" s="17"/>
      <c r="K522" s="17"/>
      <c r="L522" s="17"/>
      <c r="M522" s="17"/>
      <c r="N522" s="17"/>
      <c r="O522" s="17"/>
      <c r="P522" s="17"/>
      <c r="Q522" s="17"/>
      <c r="R522" s="17"/>
      <c r="S522" s="17"/>
      <c r="T522" s="17"/>
      <c r="U522" s="17"/>
      <c r="V522" s="12"/>
      <c r="W522" s="12"/>
      <c r="X522" s="12"/>
      <c r="Y522" s="12"/>
      <c r="Z522" s="12"/>
    </row>
    <row r="523" spans="1:26" ht="15" customHeight="1" x14ac:dyDescent="0.3">
      <c r="A523" s="26"/>
      <c r="B523" s="17"/>
      <c r="C523" s="17"/>
      <c r="D523" s="17"/>
      <c r="E523" s="17"/>
      <c r="F523" s="17"/>
      <c r="G523" s="17"/>
      <c r="H523" s="17"/>
      <c r="I523" s="17"/>
      <c r="J523" s="17"/>
      <c r="K523" s="17"/>
      <c r="L523" s="17"/>
      <c r="M523" s="17"/>
      <c r="N523" s="17"/>
      <c r="O523" s="17"/>
      <c r="P523" s="17"/>
      <c r="Q523" s="17"/>
      <c r="R523" s="17"/>
      <c r="S523" s="17"/>
      <c r="T523" s="17"/>
      <c r="U523" s="17"/>
      <c r="V523" s="12"/>
      <c r="W523" s="12"/>
      <c r="X523" s="12"/>
      <c r="Y523" s="12"/>
      <c r="Z523" s="12"/>
    </row>
    <row r="524" spans="1:26" ht="15" customHeight="1" x14ac:dyDescent="0.3">
      <c r="A524" s="26"/>
      <c r="B524" s="17"/>
      <c r="C524" s="17"/>
      <c r="D524" s="17"/>
      <c r="E524" s="17"/>
      <c r="F524" s="17"/>
      <c r="G524" s="17"/>
      <c r="H524" s="17"/>
      <c r="I524" s="17"/>
      <c r="J524" s="17"/>
      <c r="K524" s="17"/>
      <c r="L524" s="17"/>
      <c r="M524" s="17"/>
      <c r="N524" s="17"/>
      <c r="O524" s="17"/>
      <c r="P524" s="17"/>
      <c r="Q524" s="17"/>
      <c r="R524" s="17"/>
      <c r="S524" s="17"/>
      <c r="T524" s="17"/>
      <c r="U524" s="17"/>
      <c r="V524" s="12"/>
      <c r="W524" s="12"/>
      <c r="X524" s="12"/>
      <c r="Y524" s="12"/>
      <c r="Z524" s="12"/>
    </row>
    <row r="525" spans="1:26" ht="15" customHeight="1" x14ac:dyDescent="0.3">
      <c r="A525" s="26"/>
      <c r="B525" s="17"/>
      <c r="C525" s="17"/>
      <c r="D525" s="17"/>
      <c r="E525" s="17"/>
      <c r="F525" s="17"/>
      <c r="G525" s="17"/>
      <c r="H525" s="17"/>
      <c r="I525" s="17"/>
      <c r="J525" s="17"/>
      <c r="K525" s="17"/>
      <c r="L525" s="17"/>
      <c r="M525" s="17"/>
      <c r="N525" s="17"/>
      <c r="O525" s="17"/>
      <c r="P525" s="17"/>
      <c r="Q525" s="17"/>
      <c r="R525" s="17"/>
      <c r="S525" s="17"/>
      <c r="T525" s="17"/>
      <c r="U525" s="17"/>
      <c r="V525" s="12"/>
      <c r="W525" s="12"/>
      <c r="X525" s="12"/>
      <c r="Y525" s="12"/>
      <c r="Z525" s="12"/>
    </row>
    <row r="526" spans="1:26" ht="15" customHeight="1" x14ac:dyDescent="0.3">
      <c r="A526" s="26"/>
      <c r="B526" s="17"/>
      <c r="C526" s="17"/>
      <c r="D526" s="17"/>
      <c r="E526" s="17"/>
      <c r="F526" s="17"/>
      <c r="G526" s="17"/>
      <c r="H526" s="17"/>
      <c r="I526" s="17"/>
      <c r="J526" s="17"/>
      <c r="K526" s="17"/>
      <c r="L526" s="17"/>
      <c r="M526" s="17"/>
      <c r="N526" s="17"/>
      <c r="O526" s="17"/>
      <c r="P526" s="17"/>
      <c r="Q526" s="17"/>
      <c r="R526" s="17"/>
      <c r="S526" s="17"/>
      <c r="T526" s="17"/>
      <c r="U526" s="17"/>
      <c r="V526" s="12"/>
      <c r="W526" s="12"/>
      <c r="X526" s="12"/>
      <c r="Y526" s="12"/>
      <c r="Z526" s="12"/>
    </row>
    <row r="527" spans="1:26" ht="15" customHeight="1" x14ac:dyDescent="0.3">
      <c r="A527" s="26"/>
      <c r="B527" s="17"/>
      <c r="C527" s="17"/>
      <c r="D527" s="17"/>
      <c r="E527" s="17"/>
      <c r="F527" s="17"/>
      <c r="G527" s="17"/>
      <c r="H527" s="17"/>
      <c r="I527" s="17"/>
      <c r="J527" s="17"/>
      <c r="K527" s="17"/>
      <c r="L527" s="17"/>
      <c r="M527" s="17"/>
      <c r="N527" s="17"/>
      <c r="O527" s="17"/>
      <c r="P527" s="17"/>
      <c r="Q527" s="17"/>
      <c r="R527" s="17"/>
      <c r="S527" s="17"/>
      <c r="T527" s="17"/>
      <c r="U527" s="17"/>
      <c r="V527" s="12"/>
      <c r="W527" s="12"/>
      <c r="X527" s="12"/>
      <c r="Y527" s="12"/>
      <c r="Z527" s="12"/>
    </row>
    <row r="528" spans="1:26" ht="15" customHeight="1" x14ac:dyDescent="0.3">
      <c r="A528" s="26"/>
      <c r="B528" s="17"/>
      <c r="C528" s="17"/>
      <c r="D528" s="17"/>
      <c r="E528" s="17"/>
      <c r="F528" s="17"/>
      <c r="G528" s="17"/>
      <c r="H528" s="17"/>
      <c r="I528" s="17"/>
      <c r="J528" s="17"/>
      <c r="K528" s="17"/>
      <c r="L528" s="17"/>
      <c r="M528" s="17"/>
      <c r="N528" s="17"/>
      <c r="O528" s="17"/>
      <c r="P528" s="17"/>
      <c r="Q528" s="17"/>
      <c r="R528" s="17"/>
      <c r="S528" s="17"/>
      <c r="T528" s="17"/>
      <c r="U528" s="17"/>
      <c r="V528" s="12"/>
      <c r="W528" s="12"/>
      <c r="X528" s="12"/>
      <c r="Y528" s="12"/>
      <c r="Z528" s="12"/>
    </row>
    <row r="529" spans="1:26" ht="15" customHeight="1" x14ac:dyDescent="0.3">
      <c r="A529" s="26"/>
      <c r="B529" s="17"/>
      <c r="C529" s="17"/>
      <c r="D529" s="17"/>
      <c r="E529" s="17"/>
      <c r="F529" s="17"/>
      <c r="G529" s="17"/>
      <c r="H529" s="17"/>
      <c r="I529" s="17"/>
      <c r="J529" s="17"/>
      <c r="K529" s="17"/>
      <c r="L529" s="17"/>
      <c r="M529" s="17"/>
      <c r="N529" s="17"/>
      <c r="O529" s="17"/>
      <c r="P529" s="17"/>
      <c r="Q529" s="17"/>
      <c r="R529" s="17"/>
      <c r="S529" s="17"/>
      <c r="T529" s="17"/>
      <c r="U529" s="17"/>
      <c r="V529" s="12"/>
      <c r="W529" s="12"/>
      <c r="X529" s="12"/>
      <c r="Y529" s="12"/>
      <c r="Z529" s="12"/>
    </row>
    <row r="530" spans="1:26" ht="15" customHeight="1" x14ac:dyDescent="0.3">
      <c r="A530" s="26"/>
      <c r="B530" s="17"/>
      <c r="C530" s="17"/>
      <c r="D530" s="17"/>
      <c r="E530" s="17"/>
      <c r="F530" s="17"/>
      <c r="G530" s="17"/>
      <c r="H530" s="17"/>
      <c r="I530" s="17"/>
      <c r="J530" s="17"/>
      <c r="K530" s="17"/>
      <c r="L530" s="17"/>
      <c r="M530" s="17"/>
      <c r="N530" s="17"/>
      <c r="O530" s="17"/>
      <c r="P530" s="17"/>
      <c r="Q530" s="17"/>
      <c r="R530" s="17"/>
      <c r="S530" s="17"/>
      <c r="T530" s="17"/>
      <c r="U530" s="17"/>
      <c r="V530" s="12"/>
      <c r="W530" s="12"/>
      <c r="X530" s="12"/>
      <c r="Y530" s="12"/>
      <c r="Z530" s="12"/>
    </row>
    <row r="531" spans="1:26" ht="15" customHeight="1" x14ac:dyDescent="0.3">
      <c r="A531" s="26"/>
      <c r="B531" s="17"/>
      <c r="C531" s="17"/>
      <c r="D531" s="17"/>
      <c r="E531" s="17"/>
      <c r="F531" s="17"/>
      <c r="G531" s="17"/>
      <c r="H531" s="17"/>
      <c r="I531" s="17"/>
      <c r="J531" s="17"/>
      <c r="K531" s="17"/>
      <c r="L531" s="17"/>
      <c r="M531" s="17"/>
      <c r="N531" s="17"/>
      <c r="O531" s="17"/>
      <c r="P531" s="17"/>
      <c r="Q531" s="17"/>
      <c r="R531" s="17"/>
      <c r="S531" s="17"/>
      <c r="T531" s="17"/>
      <c r="U531" s="17"/>
      <c r="V531" s="12"/>
      <c r="W531" s="12"/>
      <c r="X531" s="12"/>
      <c r="Y531" s="12"/>
      <c r="Z531" s="12"/>
    </row>
    <row r="532" spans="1:26" ht="15" customHeight="1" x14ac:dyDescent="0.3">
      <c r="A532" s="26"/>
      <c r="B532" s="17"/>
      <c r="C532" s="17"/>
      <c r="D532" s="17"/>
      <c r="E532" s="17"/>
      <c r="F532" s="17"/>
      <c r="G532" s="17"/>
      <c r="H532" s="17"/>
      <c r="I532" s="17"/>
      <c r="J532" s="17"/>
      <c r="K532" s="17"/>
      <c r="L532" s="17"/>
      <c r="M532" s="17"/>
      <c r="N532" s="17"/>
      <c r="O532" s="17"/>
      <c r="P532" s="17"/>
      <c r="Q532" s="17"/>
      <c r="R532" s="17"/>
      <c r="S532" s="17"/>
      <c r="T532" s="17"/>
      <c r="U532" s="17"/>
      <c r="V532" s="12"/>
      <c r="W532" s="12"/>
      <c r="X532" s="12"/>
      <c r="Y532" s="12"/>
      <c r="Z532" s="12"/>
    </row>
    <row r="533" spans="1:26" ht="15" customHeight="1" x14ac:dyDescent="0.3">
      <c r="A533" s="26"/>
      <c r="B533" s="17"/>
      <c r="C533" s="17"/>
      <c r="D533" s="17"/>
      <c r="E533" s="17"/>
      <c r="F533" s="17"/>
      <c r="G533" s="17"/>
      <c r="H533" s="17"/>
      <c r="I533" s="17"/>
      <c r="J533" s="17"/>
      <c r="K533" s="17"/>
      <c r="L533" s="17"/>
      <c r="M533" s="17"/>
      <c r="N533" s="17"/>
      <c r="O533" s="17"/>
      <c r="P533" s="17"/>
      <c r="Q533" s="17"/>
      <c r="R533" s="17"/>
      <c r="S533" s="17"/>
      <c r="T533" s="17"/>
      <c r="U533" s="17"/>
      <c r="V533" s="12"/>
      <c r="W533" s="12"/>
      <c r="X533" s="12"/>
      <c r="Y533" s="12"/>
      <c r="Z533" s="12"/>
    </row>
    <row r="534" spans="1:26" ht="15" customHeight="1" x14ac:dyDescent="0.3">
      <c r="A534" s="27"/>
      <c r="B534" s="19"/>
      <c r="C534" s="19"/>
      <c r="D534" s="19"/>
      <c r="E534" s="19"/>
      <c r="F534" s="19"/>
      <c r="G534" s="19"/>
      <c r="H534" s="19"/>
      <c r="I534" s="19"/>
      <c r="J534" s="19"/>
      <c r="K534" s="19"/>
      <c r="L534" s="17"/>
      <c r="M534" s="17"/>
      <c r="N534" s="17"/>
      <c r="O534" s="17"/>
      <c r="P534" s="17"/>
      <c r="Q534" s="17"/>
      <c r="R534" s="17"/>
      <c r="S534" s="17"/>
      <c r="T534" s="17"/>
      <c r="U534" s="17"/>
      <c r="V534" s="12"/>
      <c r="W534" s="12"/>
      <c r="X534" s="12"/>
      <c r="Y534" s="12"/>
      <c r="Z534" s="12"/>
    </row>
    <row r="535" spans="1:26" ht="15" customHeight="1" x14ac:dyDescent="0.3">
      <c r="A535" s="27"/>
      <c r="B535" s="19"/>
      <c r="C535" s="19"/>
      <c r="D535" s="19"/>
      <c r="E535" s="19"/>
      <c r="F535" s="19"/>
      <c r="G535" s="19"/>
      <c r="H535" s="19"/>
      <c r="I535" s="19"/>
      <c r="J535" s="19"/>
      <c r="K535" s="19"/>
      <c r="L535" s="17"/>
      <c r="M535" s="17"/>
      <c r="N535" s="17"/>
      <c r="O535" s="17"/>
      <c r="P535" s="17"/>
      <c r="Q535" s="17"/>
      <c r="R535" s="17"/>
      <c r="S535" s="17"/>
      <c r="T535" s="17"/>
      <c r="U535" s="17"/>
      <c r="V535" s="12"/>
      <c r="W535" s="12"/>
      <c r="X535" s="12"/>
      <c r="Y535" s="12"/>
      <c r="Z535" s="12"/>
    </row>
    <row r="536" spans="1:26" ht="15" customHeight="1" x14ac:dyDescent="0.3">
      <c r="A536" s="27"/>
      <c r="B536" s="19"/>
      <c r="C536" s="19"/>
      <c r="D536" s="19"/>
      <c r="E536" s="19"/>
      <c r="F536" s="19"/>
      <c r="G536" s="19"/>
      <c r="H536" s="19"/>
      <c r="I536" s="19"/>
      <c r="J536" s="19"/>
      <c r="K536" s="19"/>
      <c r="L536" s="17"/>
      <c r="M536" s="17"/>
      <c r="N536" s="17"/>
      <c r="O536" s="17"/>
      <c r="P536" s="17"/>
      <c r="Q536" s="17"/>
      <c r="R536" s="17"/>
      <c r="S536" s="17"/>
      <c r="T536" s="17"/>
      <c r="U536" s="17"/>
      <c r="V536" s="12"/>
      <c r="W536" s="12"/>
      <c r="X536" s="12"/>
      <c r="Y536" s="12"/>
      <c r="Z536" s="12"/>
    </row>
    <row r="537" spans="1:26" ht="15" customHeight="1" x14ac:dyDescent="0.3">
      <c r="A537" s="27"/>
      <c r="B537" s="19"/>
      <c r="C537" s="19"/>
      <c r="D537" s="19"/>
      <c r="E537" s="19"/>
      <c r="F537" s="19"/>
      <c r="G537" s="19"/>
      <c r="H537" s="19"/>
      <c r="I537" s="19"/>
      <c r="J537" s="19"/>
      <c r="K537" s="19"/>
      <c r="L537" s="17"/>
      <c r="M537" s="17"/>
      <c r="N537" s="17"/>
      <c r="O537" s="17"/>
      <c r="P537" s="17"/>
      <c r="Q537" s="17"/>
      <c r="R537" s="17"/>
      <c r="S537" s="17"/>
      <c r="T537" s="17"/>
      <c r="U537" s="17"/>
      <c r="V537" s="12"/>
      <c r="W537" s="12"/>
      <c r="X537" s="12"/>
      <c r="Y537" s="12"/>
      <c r="Z537" s="12"/>
    </row>
    <row r="538" spans="1:26" ht="15" customHeight="1" x14ac:dyDescent="0.3">
      <c r="A538" s="27"/>
      <c r="B538" s="19"/>
      <c r="C538" s="19"/>
      <c r="D538" s="19"/>
      <c r="E538" s="19"/>
      <c r="F538" s="19"/>
      <c r="G538" s="19"/>
      <c r="H538" s="19"/>
      <c r="I538" s="19"/>
      <c r="J538" s="19"/>
      <c r="K538" s="19"/>
      <c r="L538" s="17"/>
      <c r="M538" s="17"/>
      <c r="N538" s="17"/>
      <c r="O538" s="17"/>
      <c r="P538" s="17"/>
      <c r="Q538" s="17"/>
      <c r="R538" s="17"/>
      <c r="S538" s="17"/>
      <c r="T538" s="17"/>
      <c r="U538" s="17"/>
      <c r="V538" s="12"/>
      <c r="W538" s="12"/>
      <c r="X538" s="12"/>
      <c r="Y538" s="12"/>
      <c r="Z538" s="12"/>
    </row>
    <row r="539" spans="1:26" ht="15" customHeight="1" x14ac:dyDescent="0.3">
      <c r="A539" s="2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 customHeight="1" x14ac:dyDescent="0.3">
      <c r="A540" s="27"/>
      <c r="B540" s="18"/>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customHeight="1" x14ac:dyDescent="0.3">
      <c r="A541" s="2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 customHeight="1" x14ac:dyDescent="0.3">
      <c r="A542" s="2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 customHeight="1" x14ac:dyDescent="0.3">
      <c r="A543" s="2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 customHeight="1" x14ac:dyDescent="0.3">
      <c r="A544" s="2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 customHeight="1" x14ac:dyDescent="0.3">
      <c r="A545" s="2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 customHeight="1" x14ac:dyDescent="0.3">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 customHeight="1" x14ac:dyDescent="0.3">
      <c r="A547" s="2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 customHeight="1" x14ac:dyDescent="0.3">
      <c r="A548" s="2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 customHeight="1" x14ac:dyDescent="0.3">
      <c r="A549" s="2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 customHeight="1" x14ac:dyDescent="0.3">
      <c r="A550" s="2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 customHeight="1" x14ac:dyDescent="0.3">
      <c r="A551" s="2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 customHeight="1" x14ac:dyDescent="0.3">
      <c r="A552" s="2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 customHeight="1" x14ac:dyDescent="0.3">
      <c r="A553" s="2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 customHeight="1" x14ac:dyDescent="0.3">
      <c r="A554" s="2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 customHeight="1" x14ac:dyDescent="0.3">
      <c r="A555" s="2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 customHeight="1" x14ac:dyDescent="0.3">
      <c r="A556" s="2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 customHeight="1" x14ac:dyDescent="0.3">
      <c r="A557" s="2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 customHeight="1" x14ac:dyDescent="0.3">
      <c r="A558" s="2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 customHeight="1" x14ac:dyDescent="0.3">
      <c r="A559" s="2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 customHeight="1" x14ac:dyDescent="0.3">
      <c r="A560" s="2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 customHeight="1" x14ac:dyDescent="0.3">
      <c r="A561" s="2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 customHeight="1" x14ac:dyDescent="0.3">
      <c r="A562" s="2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 customHeight="1" x14ac:dyDescent="0.3">
      <c r="A563" s="2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 customHeight="1" x14ac:dyDescent="0.3">
      <c r="A564" s="2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 customHeight="1" x14ac:dyDescent="0.3">
      <c r="A565" s="2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 customHeight="1" x14ac:dyDescent="0.3">
      <c r="A566" s="2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 customHeight="1" x14ac:dyDescent="0.3">
      <c r="A567" s="2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 customHeight="1" x14ac:dyDescent="0.3">
      <c r="A568" s="2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 customHeight="1" x14ac:dyDescent="0.3">
      <c r="A569" s="2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 customHeight="1" x14ac:dyDescent="0.3">
      <c r="A570" s="2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 customHeight="1" x14ac:dyDescent="0.3">
      <c r="A571" s="2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 customHeight="1" x14ac:dyDescent="0.3">
      <c r="A572" s="2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 customHeight="1" x14ac:dyDescent="0.3">
      <c r="A573" s="2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 customHeight="1" x14ac:dyDescent="0.3">
      <c r="A574" s="2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 customHeight="1" x14ac:dyDescent="0.3">
      <c r="A575" s="2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 customHeight="1" x14ac:dyDescent="0.3">
      <c r="A576" s="2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 customHeight="1" x14ac:dyDescent="0.3">
      <c r="A577" s="2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 customHeight="1" x14ac:dyDescent="0.3">
      <c r="A578" s="2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 customHeight="1" x14ac:dyDescent="0.3">
      <c r="A579" s="2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 customHeight="1" x14ac:dyDescent="0.3">
      <c r="A580" s="2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 customHeight="1" x14ac:dyDescent="0.3">
      <c r="A581" s="2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 customHeight="1" x14ac:dyDescent="0.3">
      <c r="A582" s="2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 customHeight="1" x14ac:dyDescent="0.3">
      <c r="A583" s="2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 customHeight="1" x14ac:dyDescent="0.3">
      <c r="A584" s="2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 customHeight="1" x14ac:dyDescent="0.3">
      <c r="A585" s="2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 customHeight="1" x14ac:dyDescent="0.3">
      <c r="A586" s="2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 customHeight="1" x14ac:dyDescent="0.3">
      <c r="A587" s="2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 customHeight="1" x14ac:dyDescent="0.3">
      <c r="A588" s="2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 customHeight="1" x14ac:dyDescent="0.3">
      <c r="A589" s="2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 customHeight="1" x14ac:dyDescent="0.3">
      <c r="A590" s="2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 customHeight="1" x14ac:dyDescent="0.3">
      <c r="A591" s="2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 customHeight="1" x14ac:dyDescent="0.3">
      <c r="A592" s="2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 customHeight="1" x14ac:dyDescent="0.3">
      <c r="A593" s="2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 customHeight="1" x14ac:dyDescent="0.3">
      <c r="A594" s="2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 customHeight="1" x14ac:dyDescent="0.3">
      <c r="A595" s="2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 customHeight="1" x14ac:dyDescent="0.3">
      <c r="A596" s="2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 customHeight="1" x14ac:dyDescent="0.3">
      <c r="A597" s="2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 customHeight="1" x14ac:dyDescent="0.3">
      <c r="A598" s="2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 customHeight="1" x14ac:dyDescent="0.3">
      <c r="A599" s="2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 customHeight="1" x14ac:dyDescent="0.3">
      <c r="A600" s="2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 customHeight="1" x14ac:dyDescent="0.3">
      <c r="A601" s="2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 customHeight="1" x14ac:dyDescent="0.3">
      <c r="A602" s="2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 customHeight="1" x14ac:dyDescent="0.3">
      <c r="A603" s="2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 customHeight="1" x14ac:dyDescent="0.3">
      <c r="A604" s="2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 customHeight="1" x14ac:dyDescent="0.3">
      <c r="A605" s="2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 customHeight="1" x14ac:dyDescent="0.3">
      <c r="A606" s="2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 customHeight="1" x14ac:dyDescent="0.3">
      <c r="A607" s="2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 customHeight="1" x14ac:dyDescent="0.3">
      <c r="A608" s="2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 customHeight="1" x14ac:dyDescent="0.3">
      <c r="A609" s="2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 customHeight="1" x14ac:dyDescent="0.3">
      <c r="A610" s="2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 customHeight="1" x14ac:dyDescent="0.3">
      <c r="A611" s="2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 customHeight="1" x14ac:dyDescent="0.3">
      <c r="A612" s="2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 customHeight="1" x14ac:dyDescent="0.3">
      <c r="A613" s="2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 customHeight="1" x14ac:dyDescent="0.3">
      <c r="A614" s="2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 customHeight="1" x14ac:dyDescent="0.3">
      <c r="A615" s="2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 customHeight="1" x14ac:dyDescent="0.3">
      <c r="A616" s="2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 customHeight="1" x14ac:dyDescent="0.3">
      <c r="A617" s="2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 customHeight="1" x14ac:dyDescent="0.3">
      <c r="A618" s="2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 customHeight="1" x14ac:dyDescent="0.3">
      <c r="A619" s="2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 customHeight="1" x14ac:dyDescent="0.3">
      <c r="A620" s="2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 customHeight="1" x14ac:dyDescent="0.3">
      <c r="A621" s="2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 customHeight="1" x14ac:dyDescent="0.3">
      <c r="A622" s="2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 customHeight="1" x14ac:dyDescent="0.3">
      <c r="A623" s="2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 customHeight="1" x14ac:dyDescent="0.3">
      <c r="A624" s="2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 customHeight="1" x14ac:dyDescent="0.3">
      <c r="A625" s="2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 customHeight="1" x14ac:dyDescent="0.3">
      <c r="A626" s="2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 customHeight="1" x14ac:dyDescent="0.3">
      <c r="A627" s="2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 customHeight="1" x14ac:dyDescent="0.3">
      <c r="A628" s="2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 customHeight="1" x14ac:dyDescent="0.3">
      <c r="A629" s="2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 customHeight="1" x14ac:dyDescent="0.3">
      <c r="A630" s="2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 customHeight="1" x14ac:dyDescent="0.3">
      <c r="A631" s="2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 customHeight="1" x14ac:dyDescent="0.3">
      <c r="A632" s="2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 customHeight="1" x14ac:dyDescent="0.3">
      <c r="A633" s="2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 customHeight="1" x14ac:dyDescent="0.3">
      <c r="A634" s="2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 customHeight="1" x14ac:dyDescent="0.3">
      <c r="A635" s="2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 customHeight="1" x14ac:dyDescent="0.3">
      <c r="A636" s="2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 customHeight="1" x14ac:dyDescent="0.3">
      <c r="A637" s="2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 customHeight="1" x14ac:dyDescent="0.3">
      <c r="A638" s="2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 customHeight="1" x14ac:dyDescent="0.3">
      <c r="A639" s="2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 customHeight="1" x14ac:dyDescent="0.3">
      <c r="A640" s="2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 customHeight="1" x14ac:dyDescent="0.3">
      <c r="A641" s="2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 customHeight="1" x14ac:dyDescent="0.3">
      <c r="A642" s="2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 customHeight="1" x14ac:dyDescent="0.3">
      <c r="A643" s="2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 customHeight="1" x14ac:dyDescent="0.3">
      <c r="A644" s="2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 customHeight="1" x14ac:dyDescent="0.3">
      <c r="A645" s="2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 customHeight="1" x14ac:dyDescent="0.3">
      <c r="A646" s="2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 customHeight="1" x14ac:dyDescent="0.3">
      <c r="A647" s="2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 customHeight="1" x14ac:dyDescent="0.3">
      <c r="A648" s="2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 customHeight="1" x14ac:dyDescent="0.3">
      <c r="A649" s="2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 customHeight="1" x14ac:dyDescent="0.3">
      <c r="A650" s="2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 customHeight="1" x14ac:dyDescent="0.3">
      <c r="A651" s="2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 customHeight="1" x14ac:dyDescent="0.3">
      <c r="A652" s="2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 customHeight="1" x14ac:dyDescent="0.3">
      <c r="A653" s="2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 customHeight="1" x14ac:dyDescent="0.3">
      <c r="A654" s="2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 customHeight="1" x14ac:dyDescent="0.3">
      <c r="A655" s="2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 customHeight="1" x14ac:dyDescent="0.3">
      <c r="A656" s="2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 customHeight="1" x14ac:dyDescent="0.3">
      <c r="A657" s="2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 customHeight="1" x14ac:dyDescent="0.3">
      <c r="A658" s="2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 customHeight="1" x14ac:dyDescent="0.3">
      <c r="A659" s="2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 customHeight="1" x14ac:dyDescent="0.3">
      <c r="A660" s="2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 customHeight="1" x14ac:dyDescent="0.3">
      <c r="A661" s="2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 customHeight="1" x14ac:dyDescent="0.3">
      <c r="A662" s="2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 customHeight="1" x14ac:dyDescent="0.3">
      <c r="A663" s="2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 customHeight="1" x14ac:dyDescent="0.3">
      <c r="A664" s="2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 customHeight="1" x14ac:dyDescent="0.3">
      <c r="A665" s="2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 customHeight="1" x14ac:dyDescent="0.3">
      <c r="A666" s="2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 customHeight="1" x14ac:dyDescent="0.3">
      <c r="A667" s="2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 customHeight="1" x14ac:dyDescent="0.3">
      <c r="A668" s="2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 customHeight="1" x14ac:dyDescent="0.3">
      <c r="A669" s="2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 customHeight="1" x14ac:dyDescent="0.3">
      <c r="A670" s="2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 customHeight="1" x14ac:dyDescent="0.3">
      <c r="A671" s="2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 customHeight="1" x14ac:dyDescent="0.3">
      <c r="A672" s="2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 customHeight="1" x14ac:dyDescent="0.3">
      <c r="A673" s="2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 customHeight="1" x14ac:dyDescent="0.3">
      <c r="A674" s="2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 customHeight="1" x14ac:dyDescent="0.3">
      <c r="A675" s="2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 customHeight="1" x14ac:dyDescent="0.3">
      <c r="A676" s="2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 customHeight="1" x14ac:dyDescent="0.3">
      <c r="A677" s="2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 customHeight="1" x14ac:dyDescent="0.3">
      <c r="A678" s="2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 customHeight="1" x14ac:dyDescent="0.3">
      <c r="A679" s="2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 customHeight="1" x14ac:dyDescent="0.3">
      <c r="A680" s="2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 customHeight="1" x14ac:dyDescent="0.3">
      <c r="A681" s="2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 customHeight="1" x14ac:dyDescent="0.3">
      <c r="A682" s="2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 customHeight="1" x14ac:dyDescent="0.3">
      <c r="A683" s="2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 customHeight="1" x14ac:dyDescent="0.3">
      <c r="A684" s="2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 customHeight="1" x14ac:dyDescent="0.3">
      <c r="A685" s="2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 customHeight="1" x14ac:dyDescent="0.3">
      <c r="A686" s="2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 customHeight="1" x14ac:dyDescent="0.3">
      <c r="A687" s="2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 customHeight="1" x14ac:dyDescent="0.3">
      <c r="A688" s="2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 customHeight="1" x14ac:dyDescent="0.3">
      <c r="A689" s="2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 customHeight="1" x14ac:dyDescent="0.3">
      <c r="A690" s="2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 customHeight="1" x14ac:dyDescent="0.3">
      <c r="A691" s="2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 customHeight="1" x14ac:dyDescent="0.3">
      <c r="A692" s="2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 customHeight="1" x14ac:dyDescent="0.3">
      <c r="A693" s="2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 customHeight="1" x14ac:dyDescent="0.3">
      <c r="A694" s="2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 customHeight="1" x14ac:dyDescent="0.3">
      <c r="A695" s="2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 customHeight="1" x14ac:dyDescent="0.3">
      <c r="A696" s="2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 customHeight="1" x14ac:dyDescent="0.3">
      <c r="A697" s="2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 customHeight="1" x14ac:dyDescent="0.3">
      <c r="A698" s="2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 customHeight="1" x14ac:dyDescent="0.3">
      <c r="A699" s="2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 customHeight="1" x14ac:dyDescent="0.3">
      <c r="A700" s="2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 customHeight="1" x14ac:dyDescent="0.3">
      <c r="A701" s="2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 customHeight="1" x14ac:dyDescent="0.3">
      <c r="A702" s="2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 customHeight="1" x14ac:dyDescent="0.3">
      <c r="A703" s="2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 customHeight="1" x14ac:dyDescent="0.3">
      <c r="A704" s="2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 customHeight="1" x14ac:dyDescent="0.3">
      <c r="A705" s="2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 customHeight="1" x14ac:dyDescent="0.3">
      <c r="A706" s="2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 customHeight="1" x14ac:dyDescent="0.3">
      <c r="A707" s="2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 customHeight="1" x14ac:dyDescent="0.3">
      <c r="A708" s="2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 customHeight="1" x14ac:dyDescent="0.3">
      <c r="A709" s="2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 customHeight="1" x14ac:dyDescent="0.3">
      <c r="A710" s="2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 customHeight="1" x14ac:dyDescent="0.3">
      <c r="A711" s="2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 customHeight="1" x14ac:dyDescent="0.3">
      <c r="A712" s="2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 customHeight="1" x14ac:dyDescent="0.3">
      <c r="A713" s="2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 customHeight="1" x14ac:dyDescent="0.3">
      <c r="A714" s="2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 customHeight="1" x14ac:dyDescent="0.3">
      <c r="A715" s="2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 customHeight="1" x14ac:dyDescent="0.3">
      <c r="A716" s="2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 customHeight="1" x14ac:dyDescent="0.3">
      <c r="A717" s="2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 customHeight="1" x14ac:dyDescent="0.3">
      <c r="A718" s="2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 customHeight="1" x14ac:dyDescent="0.3">
      <c r="A719" s="2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 customHeight="1" x14ac:dyDescent="0.3">
      <c r="A720" s="2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 customHeight="1" x14ac:dyDescent="0.3">
      <c r="A721" s="2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 customHeight="1" x14ac:dyDescent="0.3">
      <c r="A722" s="2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 customHeight="1" x14ac:dyDescent="0.3">
      <c r="A723" s="2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 customHeight="1" x14ac:dyDescent="0.3">
      <c r="A724" s="2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 customHeight="1" x14ac:dyDescent="0.3">
      <c r="A725" s="2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 customHeight="1" x14ac:dyDescent="0.3">
      <c r="A726" s="2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 customHeight="1" x14ac:dyDescent="0.3">
      <c r="A727" s="2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 customHeight="1" x14ac:dyDescent="0.3">
      <c r="A728" s="2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 customHeight="1" x14ac:dyDescent="0.3">
      <c r="A729" s="2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 customHeight="1" x14ac:dyDescent="0.3">
      <c r="A730" s="2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 customHeight="1" x14ac:dyDescent="0.3">
      <c r="A731" s="2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 customHeight="1" x14ac:dyDescent="0.3">
      <c r="A732" s="2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 customHeight="1" x14ac:dyDescent="0.3">
      <c r="A733" s="2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 customHeight="1" x14ac:dyDescent="0.3">
      <c r="A734" s="2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 customHeight="1" x14ac:dyDescent="0.3">
      <c r="A735" s="2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 customHeight="1" x14ac:dyDescent="0.3">
      <c r="A736" s="2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 customHeight="1" x14ac:dyDescent="0.3">
      <c r="A737" s="2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 customHeight="1" x14ac:dyDescent="0.3">
      <c r="A738" s="2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 customHeight="1" x14ac:dyDescent="0.3">
      <c r="A739" s="2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 customHeight="1" x14ac:dyDescent="0.3">
      <c r="A740" s="2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 customHeight="1" x14ac:dyDescent="0.3">
      <c r="A741" s="2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 customHeight="1" x14ac:dyDescent="0.3">
      <c r="A742" s="2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 customHeight="1" x14ac:dyDescent="0.3">
      <c r="A743" s="2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 customHeight="1" x14ac:dyDescent="0.3">
      <c r="A744" s="2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 customHeight="1" x14ac:dyDescent="0.3">
      <c r="A745" s="2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 customHeight="1" x14ac:dyDescent="0.3">
      <c r="A746" s="2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 customHeight="1" x14ac:dyDescent="0.3">
      <c r="A747" s="2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 customHeight="1" x14ac:dyDescent="0.3">
      <c r="A748" s="2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 customHeight="1" x14ac:dyDescent="0.3">
      <c r="A749" s="2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 customHeight="1" x14ac:dyDescent="0.3">
      <c r="A750" s="2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 customHeight="1" x14ac:dyDescent="0.3">
      <c r="A751" s="2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 customHeight="1" x14ac:dyDescent="0.3">
      <c r="A752" s="2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 customHeight="1" x14ac:dyDescent="0.3">
      <c r="A753" s="2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 customHeight="1" x14ac:dyDescent="0.3">
      <c r="A754" s="2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 customHeight="1" x14ac:dyDescent="0.3">
      <c r="A755" s="2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 customHeight="1" x14ac:dyDescent="0.3">
      <c r="A756" s="2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 customHeight="1" x14ac:dyDescent="0.3">
      <c r="A757" s="2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 customHeight="1" x14ac:dyDescent="0.3">
      <c r="A758" s="2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 customHeight="1" x14ac:dyDescent="0.3">
      <c r="A759" s="2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 customHeight="1" x14ac:dyDescent="0.3">
      <c r="A760" s="2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 customHeight="1" x14ac:dyDescent="0.3">
      <c r="A761" s="2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 customHeight="1" x14ac:dyDescent="0.3">
      <c r="A762" s="2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 customHeight="1" x14ac:dyDescent="0.3">
      <c r="A763" s="2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 customHeight="1" x14ac:dyDescent="0.3">
      <c r="A764" s="2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 customHeight="1" x14ac:dyDescent="0.3">
      <c r="A765" s="2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 customHeight="1" x14ac:dyDescent="0.3">
      <c r="A766" s="2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 customHeight="1" x14ac:dyDescent="0.3">
      <c r="A767" s="2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 customHeight="1" x14ac:dyDescent="0.3">
      <c r="A768" s="2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 customHeight="1" x14ac:dyDescent="0.3">
      <c r="A769" s="2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 customHeight="1" x14ac:dyDescent="0.3">
      <c r="A770" s="2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 customHeight="1" x14ac:dyDescent="0.3">
      <c r="A771" s="2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 customHeight="1" x14ac:dyDescent="0.3">
      <c r="A772" s="2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 customHeight="1" x14ac:dyDescent="0.3">
      <c r="A773" s="2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 customHeight="1" x14ac:dyDescent="0.3">
      <c r="A774" s="2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 customHeight="1" x14ac:dyDescent="0.3">
      <c r="A775" s="2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 customHeight="1" x14ac:dyDescent="0.3">
      <c r="A776" s="2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 customHeight="1" x14ac:dyDescent="0.3">
      <c r="A777" s="2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 customHeight="1" x14ac:dyDescent="0.3">
      <c r="A778" s="2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 customHeight="1" x14ac:dyDescent="0.3">
      <c r="A779" s="2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 customHeight="1" x14ac:dyDescent="0.3">
      <c r="A780" s="2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 customHeight="1" x14ac:dyDescent="0.3">
      <c r="A781" s="2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 customHeight="1" x14ac:dyDescent="0.3">
      <c r="A782" s="2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 customHeight="1" x14ac:dyDescent="0.3">
      <c r="A783" s="2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 customHeight="1" x14ac:dyDescent="0.3">
      <c r="A784" s="2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 customHeight="1" x14ac:dyDescent="0.3">
      <c r="A785" s="2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 customHeight="1" x14ac:dyDescent="0.3">
      <c r="A786" s="2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 customHeight="1" x14ac:dyDescent="0.3">
      <c r="A787" s="2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 customHeight="1" x14ac:dyDescent="0.3">
      <c r="A788" s="2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 customHeight="1" x14ac:dyDescent="0.3">
      <c r="A789" s="2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 customHeight="1" x14ac:dyDescent="0.3">
      <c r="A790" s="2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 customHeight="1" x14ac:dyDescent="0.3">
      <c r="A791" s="2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 customHeight="1" x14ac:dyDescent="0.3">
      <c r="A792" s="2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 customHeight="1" x14ac:dyDescent="0.3">
      <c r="A793" s="2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 customHeight="1" x14ac:dyDescent="0.3">
      <c r="A794" s="2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 customHeight="1" x14ac:dyDescent="0.3">
      <c r="A795" s="2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 customHeight="1" x14ac:dyDescent="0.3">
      <c r="A796" s="2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 customHeight="1" x14ac:dyDescent="0.3">
      <c r="A797" s="2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 customHeight="1" x14ac:dyDescent="0.3">
      <c r="A798" s="2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 customHeight="1" x14ac:dyDescent="0.3">
      <c r="A799" s="2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 customHeight="1" x14ac:dyDescent="0.3">
      <c r="A800" s="2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 customHeight="1" x14ac:dyDescent="0.3">
      <c r="A801" s="2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 customHeight="1" x14ac:dyDescent="0.3">
      <c r="A802" s="2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 customHeight="1" x14ac:dyDescent="0.3">
      <c r="A803" s="2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 customHeight="1" x14ac:dyDescent="0.3">
      <c r="A804" s="2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 customHeight="1" x14ac:dyDescent="0.3">
      <c r="A805" s="2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 customHeight="1" x14ac:dyDescent="0.3">
      <c r="A806" s="2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 customHeight="1" x14ac:dyDescent="0.3">
      <c r="A807" s="2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 customHeight="1" x14ac:dyDescent="0.3">
      <c r="A808" s="2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 customHeight="1" x14ac:dyDescent="0.3">
      <c r="A809" s="2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 customHeight="1" x14ac:dyDescent="0.3">
      <c r="A810" s="2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 customHeight="1" x14ac:dyDescent="0.3">
      <c r="A811" s="2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 customHeight="1" x14ac:dyDescent="0.3">
      <c r="A812" s="2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 customHeight="1" x14ac:dyDescent="0.3">
      <c r="A813" s="2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 customHeight="1" x14ac:dyDescent="0.3">
      <c r="A814" s="2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 customHeight="1" x14ac:dyDescent="0.3">
      <c r="A815" s="2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 customHeight="1" x14ac:dyDescent="0.3">
      <c r="A816" s="2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 customHeight="1" x14ac:dyDescent="0.3">
      <c r="A817" s="2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 customHeight="1" x14ac:dyDescent="0.3">
      <c r="A818" s="2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 customHeight="1" x14ac:dyDescent="0.3">
      <c r="A819" s="2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 customHeight="1" x14ac:dyDescent="0.3">
      <c r="A820" s="2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 customHeight="1" x14ac:dyDescent="0.3">
      <c r="A821" s="2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 customHeight="1" x14ac:dyDescent="0.3">
      <c r="A822" s="2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 customHeight="1" x14ac:dyDescent="0.3">
      <c r="A823" s="2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 customHeight="1" x14ac:dyDescent="0.3">
      <c r="A824" s="2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 customHeight="1" x14ac:dyDescent="0.3">
      <c r="A825" s="2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 customHeight="1" x14ac:dyDescent="0.3">
      <c r="A826" s="2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 customHeight="1" x14ac:dyDescent="0.3">
      <c r="A827" s="2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 customHeight="1" x14ac:dyDescent="0.3">
      <c r="A828" s="2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 customHeight="1" x14ac:dyDescent="0.3">
      <c r="A829" s="2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 customHeight="1" x14ac:dyDescent="0.3">
      <c r="A830" s="2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 customHeight="1" x14ac:dyDescent="0.3">
      <c r="A831" s="2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 customHeight="1" x14ac:dyDescent="0.3">
      <c r="A832" s="2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 customHeight="1" x14ac:dyDescent="0.3">
      <c r="A833" s="2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 customHeight="1" x14ac:dyDescent="0.3">
      <c r="A834" s="2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 customHeight="1" x14ac:dyDescent="0.3">
      <c r="A835" s="2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 customHeight="1" x14ac:dyDescent="0.3">
      <c r="A836" s="2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 customHeight="1" x14ac:dyDescent="0.3">
      <c r="A837" s="2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 customHeight="1" x14ac:dyDescent="0.3">
      <c r="A838" s="2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 customHeight="1" x14ac:dyDescent="0.3">
      <c r="A839" s="2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 customHeight="1" x14ac:dyDescent="0.3">
      <c r="A840" s="2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 customHeight="1" x14ac:dyDescent="0.3">
      <c r="A841" s="2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 customHeight="1" x14ac:dyDescent="0.3">
      <c r="A842" s="2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 customHeight="1" x14ac:dyDescent="0.3">
      <c r="A843" s="2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 customHeight="1" x14ac:dyDescent="0.3">
      <c r="A844" s="2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 customHeight="1" x14ac:dyDescent="0.3">
      <c r="A845" s="2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 customHeight="1" x14ac:dyDescent="0.3">
      <c r="A846" s="2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 customHeight="1" x14ac:dyDescent="0.3">
      <c r="A847" s="2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 customHeight="1" x14ac:dyDescent="0.3">
      <c r="A848" s="2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 customHeight="1" x14ac:dyDescent="0.3">
      <c r="A849" s="2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 customHeight="1" x14ac:dyDescent="0.3">
      <c r="A850" s="2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 customHeight="1" x14ac:dyDescent="0.3">
      <c r="A851" s="2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 customHeight="1" x14ac:dyDescent="0.3">
      <c r="A852" s="2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 customHeight="1" x14ac:dyDescent="0.3">
      <c r="A853" s="2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 customHeight="1" x14ac:dyDescent="0.3">
      <c r="A854" s="2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 customHeight="1" x14ac:dyDescent="0.3">
      <c r="A855" s="2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 customHeight="1" x14ac:dyDescent="0.3">
      <c r="A856" s="2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 customHeight="1" x14ac:dyDescent="0.3">
      <c r="A857" s="2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 customHeight="1" x14ac:dyDescent="0.3">
      <c r="A858" s="2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 customHeight="1" x14ac:dyDescent="0.3">
      <c r="A859" s="2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 customHeight="1" x14ac:dyDescent="0.3">
      <c r="A860" s="2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 customHeight="1" x14ac:dyDescent="0.3">
      <c r="A861" s="2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 customHeight="1" x14ac:dyDescent="0.3">
      <c r="A862" s="2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 customHeight="1" x14ac:dyDescent="0.3">
      <c r="A863" s="2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 customHeight="1" x14ac:dyDescent="0.3">
      <c r="A864" s="2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 customHeight="1" x14ac:dyDescent="0.3">
      <c r="A865" s="2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 customHeight="1" x14ac:dyDescent="0.3">
      <c r="A866" s="2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 customHeight="1" x14ac:dyDescent="0.3">
      <c r="A867" s="2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 customHeight="1" x14ac:dyDescent="0.3">
      <c r="A868" s="2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 customHeight="1" x14ac:dyDescent="0.3">
      <c r="A869" s="2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 customHeight="1" x14ac:dyDescent="0.3">
      <c r="A870" s="2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 customHeight="1" x14ac:dyDescent="0.3">
      <c r="A871" s="2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 customHeight="1" x14ac:dyDescent="0.3">
      <c r="A872" s="2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 customHeight="1" x14ac:dyDescent="0.3">
      <c r="A873" s="2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 customHeight="1" x14ac:dyDescent="0.3">
      <c r="A874" s="2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 customHeight="1" x14ac:dyDescent="0.3">
      <c r="A875" s="2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 customHeight="1" x14ac:dyDescent="0.3">
      <c r="A876" s="2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 customHeight="1" x14ac:dyDescent="0.3">
      <c r="A877" s="2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 customHeight="1" x14ac:dyDescent="0.3">
      <c r="A878" s="2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 customHeight="1" x14ac:dyDescent="0.3">
      <c r="A879" s="2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 customHeight="1" x14ac:dyDescent="0.3">
      <c r="A880" s="2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 customHeight="1" x14ac:dyDescent="0.3">
      <c r="A881" s="2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 customHeight="1" x14ac:dyDescent="0.3">
      <c r="A882" s="2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 customHeight="1" x14ac:dyDescent="0.3">
      <c r="A883" s="2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 customHeight="1" x14ac:dyDescent="0.3">
      <c r="A884" s="2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 customHeight="1" x14ac:dyDescent="0.3">
      <c r="A885" s="2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 customHeight="1" x14ac:dyDescent="0.3">
      <c r="A886" s="2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 customHeight="1" x14ac:dyDescent="0.3">
      <c r="A887" s="2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 customHeight="1" x14ac:dyDescent="0.3">
      <c r="A888" s="2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 customHeight="1" x14ac:dyDescent="0.3">
      <c r="A889" s="2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 customHeight="1" x14ac:dyDescent="0.3">
      <c r="A890" s="2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 customHeight="1" x14ac:dyDescent="0.3">
      <c r="A891" s="2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 customHeight="1" x14ac:dyDescent="0.3">
      <c r="A892" s="2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 customHeight="1" x14ac:dyDescent="0.3">
      <c r="A893" s="2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 customHeight="1" x14ac:dyDescent="0.3">
      <c r="A894" s="2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 customHeight="1" x14ac:dyDescent="0.3">
      <c r="A895" s="2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 customHeight="1" x14ac:dyDescent="0.3">
      <c r="A896" s="2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 customHeight="1" x14ac:dyDescent="0.3">
      <c r="A897" s="2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 customHeight="1" x14ac:dyDescent="0.3">
      <c r="A898" s="2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 customHeight="1" x14ac:dyDescent="0.3">
      <c r="A899" s="2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 customHeight="1" x14ac:dyDescent="0.3">
      <c r="A900" s="2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 customHeight="1" x14ac:dyDescent="0.3">
      <c r="A901" s="2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 customHeight="1" x14ac:dyDescent="0.3">
      <c r="A902" s="2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 customHeight="1" x14ac:dyDescent="0.3">
      <c r="A903" s="2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 customHeight="1" x14ac:dyDescent="0.3">
      <c r="A904" s="2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 customHeight="1" x14ac:dyDescent="0.3">
      <c r="A905" s="2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 customHeight="1" x14ac:dyDescent="0.3">
      <c r="A906" s="2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 customHeight="1" x14ac:dyDescent="0.3">
      <c r="A907" s="2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 customHeight="1" x14ac:dyDescent="0.3">
      <c r="A908" s="2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 customHeight="1" x14ac:dyDescent="0.3">
      <c r="A909" s="2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 customHeight="1" x14ac:dyDescent="0.3">
      <c r="A910" s="2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 customHeight="1" x14ac:dyDescent="0.3">
      <c r="A911" s="2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 customHeight="1" x14ac:dyDescent="0.3">
      <c r="A912" s="2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 customHeight="1" x14ac:dyDescent="0.3">
      <c r="A913" s="2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 customHeight="1" x14ac:dyDescent="0.3">
      <c r="A914" s="2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 customHeight="1" x14ac:dyDescent="0.3">
      <c r="A915" s="2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 customHeight="1" x14ac:dyDescent="0.3">
      <c r="A916" s="2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 customHeight="1" x14ac:dyDescent="0.3">
      <c r="A917" s="2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 customHeight="1" x14ac:dyDescent="0.3">
      <c r="A918" s="2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 customHeight="1" x14ac:dyDescent="0.3">
      <c r="A919" s="2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 customHeight="1" x14ac:dyDescent="0.3">
      <c r="A920" s="2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 customHeight="1" x14ac:dyDescent="0.3">
      <c r="A921" s="2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 customHeight="1" x14ac:dyDescent="0.3">
      <c r="A922" s="2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 customHeight="1" x14ac:dyDescent="0.3">
      <c r="A923" s="2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 customHeight="1" x14ac:dyDescent="0.3">
      <c r="A924" s="2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 customHeight="1" x14ac:dyDescent="0.3">
      <c r="A925" s="2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 customHeight="1" x14ac:dyDescent="0.3">
      <c r="A926" s="2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 customHeight="1" x14ac:dyDescent="0.3">
      <c r="A927" s="2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 customHeight="1" x14ac:dyDescent="0.3">
      <c r="A928" s="2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 customHeight="1" x14ac:dyDescent="0.3">
      <c r="A929" s="2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 customHeight="1" x14ac:dyDescent="0.3">
      <c r="A930" s="2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 customHeight="1" x14ac:dyDescent="0.3">
      <c r="A931" s="2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 customHeight="1" x14ac:dyDescent="0.3">
      <c r="A932" s="2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 customHeight="1" x14ac:dyDescent="0.3">
      <c r="A933" s="2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 customHeight="1" x14ac:dyDescent="0.3">
      <c r="A934" s="2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 customHeight="1" x14ac:dyDescent="0.3">
      <c r="A935" s="2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 customHeight="1" x14ac:dyDescent="0.3">
      <c r="A936" s="2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 customHeight="1" x14ac:dyDescent="0.3">
      <c r="A937" s="2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 customHeight="1" x14ac:dyDescent="0.3">
      <c r="A938" s="2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 customHeight="1" x14ac:dyDescent="0.3">
      <c r="A939" s="2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 customHeight="1" x14ac:dyDescent="0.3">
      <c r="A940" s="2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 customHeight="1" x14ac:dyDescent="0.3">
      <c r="A941" s="2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 customHeight="1" x14ac:dyDescent="0.3">
      <c r="A942" s="2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 customHeight="1" x14ac:dyDescent="0.3">
      <c r="A943" s="2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 customHeight="1" x14ac:dyDescent="0.3">
      <c r="A944" s="2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 customHeight="1" x14ac:dyDescent="0.3">
      <c r="A945" s="2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 customHeight="1" x14ac:dyDescent="0.3">
      <c r="A946" s="2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 customHeight="1" x14ac:dyDescent="0.3">
      <c r="A947" s="2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 customHeight="1" x14ac:dyDescent="0.3">
      <c r="A948" s="2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 customHeight="1" x14ac:dyDescent="0.3">
      <c r="A949" s="2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 customHeight="1" x14ac:dyDescent="0.3">
      <c r="A950" s="2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 customHeight="1" x14ac:dyDescent="0.3">
      <c r="A951" s="2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 customHeight="1" x14ac:dyDescent="0.3">
      <c r="A952" s="2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 customHeight="1" x14ac:dyDescent="0.3">
      <c r="A953" s="2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 customHeight="1" x14ac:dyDescent="0.3">
      <c r="A954" s="2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 customHeight="1" x14ac:dyDescent="0.3">
      <c r="A955" s="2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 customHeight="1" x14ac:dyDescent="0.3">
      <c r="A956" s="2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 customHeight="1" x14ac:dyDescent="0.3">
      <c r="A957" s="2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 customHeight="1" x14ac:dyDescent="0.3">
      <c r="A958" s="2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 customHeight="1" x14ac:dyDescent="0.3">
      <c r="A959" s="2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 customHeight="1" x14ac:dyDescent="0.3">
      <c r="A960" s="2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 customHeight="1" x14ac:dyDescent="0.3">
      <c r="A961" s="2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 customHeight="1" x14ac:dyDescent="0.3">
      <c r="A962" s="2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 customHeight="1" x14ac:dyDescent="0.3">
      <c r="A963" s="2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 customHeight="1" x14ac:dyDescent="0.3">
      <c r="A964" s="2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 customHeight="1" x14ac:dyDescent="0.3">
      <c r="A965" s="2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 customHeight="1" x14ac:dyDescent="0.3">
      <c r="A966" s="2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 customHeight="1" x14ac:dyDescent="0.3">
      <c r="A967" s="2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 customHeight="1" x14ac:dyDescent="0.3">
      <c r="A968" s="2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 customHeight="1" x14ac:dyDescent="0.3">
      <c r="A969" s="2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 customHeight="1" x14ac:dyDescent="0.3">
      <c r="A970" s="2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 customHeight="1" x14ac:dyDescent="0.3">
      <c r="A971" s="2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 customHeight="1" x14ac:dyDescent="0.3">
      <c r="A972" s="2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 customHeight="1" x14ac:dyDescent="0.3">
      <c r="A973" s="2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 customHeight="1" x14ac:dyDescent="0.3">
      <c r="A974" s="2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 customHeight="1" x14ac:dyDescent="0.3">
      <c r="A975" s="2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 customHeight="1" x14ac:dyDescent="0.3">
      <c r="A976" s="2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 customHeight="1" x14ac:dyDescent="0.3">
      <c r="A977" s="2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 customHeight="1" x14ac:dyDescent="0.3">
      <c r="A978" s="2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 customHeight="1" x14ac:dyDescent="0.3">
      <c r="A979" s="2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 customHeight="1" x14ac:dyDescent="0.3">
      <c r="A980" s="2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 customHeight="1" x14ac:dyDescent="0.3">
      <c r="A981" s="2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 customHeight="1" x14ac:dyDescent="0.3">
      <c r="A982" s="2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 customHeight="1" x14ac:dyDescent="0.3">
      <c r="A983" s="2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 customHeight="1" x14ac:dyDescent="0.3">
      <c r="A984" s="2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 customHeight="1" x14ac:dyDescent="0.3">
      <c r="A985" s="2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 customHeight="1" x14ac:dyDescent="0.3">
      <c r="A986" s="2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 customHeight="1" x14ac:dyDescent="0.3">
      <c r="A987" s="2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 customHeight="1" x14ac:dyDescent="0.3">
      <c r="A988" s="2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 customHeight="1" x14ac:dyDescent="0.3">
      <c r="A989" s="2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 customHeight="1" x14ac:dyDescent="0.3">
      <c r="A990" s="2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 customHeight="1" x14ac:dyDescent="0.3">
      <c r="A991" s="2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 customHeight="1" x14ac:dyDescent="0.3">
      <c r="A992" s="2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 customHeight="1" x14ac:dyDescent="0.3">
      <c r="A993" s="2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 customHeight="1" x14ac:dyDescent="0.3">
      <c r="A994" s="2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 customHeight="1" x14ac:dyDescent="0.3">
      <c r="A995" s="2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 customHeight="1" x14ac:dyDescent="0.3">
      <c r="A996" s="2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 customHeight="1" x14ac:dyDescent="0.3">
      <c r="A997" s="2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 customHeight="1" x14ac:dyDescent="0.3">
      <c r="A998" s="2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 customHeight="1" x14ac:dyDescent="0.3">
      <c r="A999" s="2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 customHeight="1" x14ac:dyDescent="0.3">
      <c r="A1000" s="27"/>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7">
    <mergeCell ref="Q1:U1"/>
    <mergeCell ref="F1:F2"/>
    <mergeCell ref="A1:A2"/>
    <mergeCell ref="B1:D1"/>
    <mergeCell ref="E1:E2"/>
    <mergeCell ref="G1:K1"/>
    <mergeCell ref="L1:P1"/>
  </mergeCells>
  <pageMargins left="0.7" right="0.7" top="0.75" bottom="0.7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xSplit="1" ySplit="2" topLeftCell="B3" activePane="bottomRight" state="frozen"/>
      <selection pane="topRight" activeCell="B1" sqref="B1"/>
      <selection pane="bottomLeft" activeCell="A3" sqref="A3"/>
      <selection pane="bottomRight" sqref="A1:A2"/>
    </sheetView>
  </sheetViews>
  <sheetFormatPr defaultColWidth="12.6640625" defaultRowHeight="15" customHeight="1" x14ac:dyDescent="0.3"/>
  <cols>
    <col min="1" max="1" width="56.4140625" style="30" bestFit="1" customWidth="1"/>
    <col min="2" max="5" width="12.6640625" style="13" customWidth="1"/>
    <col min="6" max="6" width="13.1640625" style="13" customWidth="1"/>
    <col min="7" max="7" width="13.25" style="13" customWidth="1"/>
    <col min="8" max="10" width="10.5" style="13" customWidth="1"/>
    <col min="11" max="26" width="12.6640625" style="13" customWidth="1"/>
    <col min="27" max="16384" width="12.6640625" style="13"/>
  </cols>
  <sheetData>
    <row r="1" spans="1:26" ht="15" customHeight="1" x14ac:dyDescent="0.3">
      <c r="A1" s="37" t="s">
        <v>423</v>
      </c>
      <c r="B1" s="39" t="s">
        <v>24</v>
      </c>
      <c r="C1" s="35"/>
      <c r="D1" s="36"/>
      <c r="E1" s="34" t="s">
        <v>16</v>
      </c>
      <c r="F1" s="34" t="s">
        <v>26</v>
      </c>
      <c r="G1" s="35"/>
      <c r="H1" s="35"/>
      <c r="I1" s="35"/>
      <c r="J1" s="36"/>
      <c r="K1" s="34" t="s">
        <v>424</v>
      </c>
      <c r="L1" s="35"/>
      <c r="M1" s="35"/>
      <c r="N1" s="35"/>
      <c r="O1" s="36"/>
      <c r="P1" s="34" t="s">
        <v>28</v>
      </c>
      <c r="Q1" s="35"/>
      <c r="R1" s="35"/>
      <c r="S1" s="35"/>
      <c r="T1" s="36"/>
      <c r="U1" s="12"/>
      <c r="V1" s="12"/>
      <c r="W1" s="12"/>
      <c r="X1" s="12"/>
      <c r="Y1" s="12"/>
      <c r="Z1" s="12"/>
    </row>
    <row r="2" spans="1:26" ht="15" customHeight="1" x14ac:dyDescent="0.3">
      <c r="A2" s="38"/>
      <c r="B2" s="14" t="s">
        <v>29</v>
      </c>
      <c r="C2" s="15" t="s">
        <v>30</v>
      </c>
      <c r="D2" s="15" t="s">
        <v>31</v>
      </c>
      <c r="E2" s="36"/>
      <c r="F2" s="15" t="s">
        <v>32</v>
      </c>
      <c r="G2" s="15" t="s">
        <v>33</v>
      </c>
      <c r="H2" s="15" t="s">
        <v>19</v>
      </c>
      <c r="I2" s="15" t="s">
        <v>20</v>
      </c>
      <c r="J2" s="15" t="s">
        <v>21</v>
      </c>
      <c r="K2" s="15" t="s">
        <v>32</v>
      </c>
      <c r="L2" s="15" t="s">
        <v>33</v>
      </c>
      <c r="M2" s="15" t="s">
        <v>19</v>
      </c>
      <c r="N2" s="15" t="s">
        <v>20</v>
      </c>
      <c r="O2" s="15" t="s">
        <v>21</v>
      </c>
      <c r="P2" s="15" t="s">
        <v>32</v>
      </c>
      <c r="Q2" s="15" t="s">
        <v>33</v>
      </c>
      <c r="R2" s="15" t="s">
        <v>19</v>
      </c>
      <c r="S2" s="15" t="s">
        <v>20</v>
      </c>
      <c r="T2" s="15" t="s">
        <v>21</v>
      </c>
      <c r="U2" s="12"/>
      <c r="V2" s="12"/>
      <c r="W2" s="12"/>
      <c r="X2" s="12"/>
      <c r="Y2" s="12"/>
      <c r="Z2" s="12"/>
    </row>
    <row r="3" spans="1:26" ht="15" customHeight="1" x14ac:dyDescent="0.3">
      <c r="A3" s="31" t="s">
        <v>425</v>
      </c>
      <c r="B3" s="17">
        <v>17.5</v>
      </c>
      <c r="C3" s="17">
        <v>11.3</v>
      </c>
      <c r="D3" s="17">
        <v>10.6</v>
      </c>
      <c r="E3" s="17" t="s">
        <v>35</v>
      </c>
      <c r="F3" s="17">
        <f>SQRT((4*(HSP!$B$2-$B3)^2+(HSP!$C$2-$C3)^2+(HSP!$D$2-$D3)^2))</f>
        <v>6.8883960397178097</v>
      </c>
      <c r="G3" s="17">
        <f>SQRT((4*(HSP!$B$3-$B3)^2+(HSP!$C$3-$C3)^2+(HSP!$D$3-$D3)^2))</f>
        <v>6.2163011510061192</v>
      </c>
      <c r="H3" s="17">
        <f>SQRT((4*(HSP!$B$4-$B3)^2+(HSP!$C$4-$C3)^2+(HSP!$D$4-$D3)^2))</f>
        <v>8.943153806124549</v>
      </c>
      <c r="I3" s="17">
        <f>SQRT((4*(HSP!$B$5-$B3)^2+(HSP!$C$5-$C3)^2+(HSP!$D$5-$D3)^2))</f>
        <v>4.692216960030728</v>
      </c>
      <c r="J3" s="17">
        <f>SQRT((4*(HSP!$B$6-$B3)^2+(HSP!$C$6-$C3)^2+(HSP!$D$6-$D3)^2))</f>
        <v>9.4430397648214957</v>
      </c>
      <c r="K3" s="17" t="s">
        <v>35</v>
      </c>
      <c r="L3" s="17" t="s">
        <v>35</v>
      </c>
      <c r="M3" s="17" t="s">
        <v>35</v>
      </c>
      <c r="N3" s="17" t="s">
        <v>35</v>
      </c>
      <c r="O3" s="17" t="s">
        <v>35</v>
      </c>
      <c r="P3" s="17">
        <f>$F3/HSP!$E$2</f>
        <v>0.42260098403176743</v>
      </c>
      <c r="Q3" s="17">
        <f>$G3/HSP!$E$3</f>
        <v>0.4604667519263792</v>
      </c>
      <c r="R3" s="17">
        <f>$H3/HSP!$E$4</f>
        <v>0.56246250352984584</v>
      </c>
      <c r="S3" s="17">
        <f>$I3/HSP!$E$5</f>
        <v>0.34249758832341082</v>
      </c>
      <c r="T3" s="17">
        <f>$J3/HSP!$E$6</f>
        <v>0.63804322735280372</v>
      </c>
      <c r="U3" s="12"/>
      <c r="V3" s="12"/>
      <c r="W3" s="12"/>
      <c r="X3" s="12"/>
      <c r="Y3" s="12"/>
      <c r="Z3" s="12"/>
    </row>
    <row r="4" spans="1:26" ht="15" customHeight="1" x14ac:dyDescent="0.3">
      <c r="A4" s="31" t="s">
        <v>426</v>
      </c>
      <c r="B4" s="17">
        <v>19.7</v>
      </c>
      <c r="C4" s="17">
        <v>2.9</v>
      </c>
      <c r="D4" s="17">
        <v>2.7</v>
      </c>
      <c r="E4" s="17" t="s">
        <v>35</v>
      </c>
      <c r="F4" s="17">
        <f>SQRT((4*(HSP!$B$2-$B4)^2+(HSP!$C$2-$C4)^2+(HSP!$D$2-$D4)^2))</f>
        <v>13.398208835512305</v>
      </c>
      <c r="G4" s="17">
        <f>SQRT((4*(HSP!$B$3-$B4)^2+(HSP!$C$3-$C4)^2+(HSP!$D$3-$D4)^2))</f>
        <v>10.943143972369183</v>
      </c>
      <c r="H4" s="17">
        <f>SQRT((4*(HSP!$B$4-$B4)^2+(HSP!$C$4-$C4)^2+(HSP!$D$4-$D4)^2))</f>
        <v>10.102573929449861</v>
      </c>
      <c r="I4" s="17">
        <f>SQRT((4*(HSP!$B$5-$B4)^2+(HSP!$C$5-$C4)^2+(HSP!$D$5-$D4)^2))</f>
        <v>15.577705222528765</v>
      </c>
      <c r="J4" s="17">
        <f>SQRT((4*(HSP!$B$6-$B4)^2+(HSP!$C$6-$C4)^2+(HSP!$D$6-$D4)^2))</f>
        <v>9.6064041139231691</v>
      </c>
      <c r="K4" s="17" t="s">
        <v>35</v>
      </c>
      <c r="L4" s="17" t="s">
        <v>35</v>
      </c>
      <c r="M4" s="17" t="s">
        <v>35</v>
      </c>
      <c r="N4" s="17" t="s">
        <v>35</v>
      </c>
      <c r="O4" s="17" t="s">
        <v>35</v>
      </c>
      <c r="P4" s="17">
        <f>$F4/HSP!$E$2</f>
        <v>0.82197600217866895</v>
      </c>
      <c r="Q4" s="17">
        <f>$G4/HSP!$E$3</f>
        <v>0.81060325721253212</v>
      </c>
      <c r="R4" s="17">
        <f>$H4/HSP!$E$4</f>
        <v>0.6353820081415007</v>
      </c>
      <c r="S4" s="17">
        <f>$I4/HSP!$E$5</f>
        <v>1.1370587753670631</v>
      </c>
      <c r="T4" s="17">
        <f>$J4/HSP!$E$6</f>
        <v>0.64908135904886277</v>
      </c>
      <c r="U4" s="12"/>
      <c r="V4" s="12"/>
      <c r="W4" s="12"/>
      <c r="X4" s="12"/>
      <c r="Y4" s="12"/>
      <c r="Z4" s="12"/>
    </row>
    <row r="5" spans="1:26" ht="15" customHeight="1" x14ac:dyDescent="0.3">
      <c r="A5" s="31" t="s">
        <v>427</v>
      </c>
      <c r="B5" s="17">
        <v>20</v>
      </c>
      <c r="C5" s="17">
        <v>11</v>
      </c>
      <c r="D5" s="17">
        <v>12</v>
      </c>
      <c r="E5" s="17" t="s">
        <v>35</v>
      </c>
      <c r="F5" s="17">
        <f>SQRT((4*(HSP!$B$2-$B5)^2+(HSP!$C$2-$C5)^2+(HSP!$D$2-$D5)^2))</f>
        <v>11.921912598236913</v>
      </c>
      <c r="G5" s="17">
        <f>SQRT((4*(HSP!$B$3-$B5)^2+(HSP!$C$3-$C5)^2+(HSP!$D$3-$D5)^2))</f>
        <v>10.690762367576973</v>
      </c>
      <c r="H5" s="17">
        <f>SQRT((4*(HSP!$B$4-$B5)^2+(HSP!$C$4-$C5)^2+(HSP!$D$4-$D5)^2))</f>
        <v>12.660884645237077</v>
      </c>
      <c r="I5" s="17">
        <f>SQRT((4*(HSP!$B$5-$B5)^2+(HSP!$C$5-$C5)^2+(HSP!$D$5-$D5)^2))</f>
        <v>9.6744457205568128</v>
      </c>
      <c r="J5" s="17">
        <f>SQRT((4*(HSP!$B$6-$B5)^2+(HSP!$C$6-$C5)^2+(HSP!$D$6-$D5)^2))</f>
        <v>13.296578507270208</v>
      </c>
      <c r="K5" s="17" t="s">
        <v>35</v>
      </c>
      <c r="L5" s="17" t="s">
        <v>35</v>
      </c>
      <c r="M5" s="17" t="s">
        <v>35</v>
      </c>
      <c r="N5" s="17" t="s">
        <v>35</v>
      </c>
      <c r="O5" s="17" t="s">
        <v>35</v>
      </c>
      <c r="P5" s="17">
        <f>$F5/HSP!$E$2</f>
        <v>0.73140568087343028</v>
      </c>
      <c r="Q5" s="17">
        <f>$G5/HSP!$E$3</f>
        <v>0.79190832352422025</v>
      </c>
      <c r="R5" s="17">
        <f>$H5/HSP!$E$4</f>
        <v>0.79628205315956457</v>
      </c>
      <c r="S5" s="17">
        <f>$I5/HSP!$E$5</f>
        <v>0.70616392120852656</v>
      </c>
      <c r="T5" s="17">
        <f>$J5/HSP!$E$6</f>
        <v>0.89841746670744649</v>
      </c>
      <c r="U5" s="12"/>
      <c r="V5" s="12"/>
      <c r="W5" s="12"/>
      <c r="X5" s="12"/>
      <c r="Y5" s="12"/>
      <c r="Z5" s="12"/>
    </row>
    <row r="6" spans="1:26" ht="15" customHeight="1" x14ac:dyDescent="0.3">
      <c r="A6" s="31" t="s">
        <v>428</v>
      </c>
      <c r="B6" s="17">
        <v>16</v>
      </c>
      <c r="C6" s="17">
        <v>10</v>
      </c>
      <c r="D6" s="17">
        <v>7</v>
      </c>
      <c r="E6" s="17" t="s">
        <v>35</v>
      </c>
      <c r="F6" s="17">
        <f>SQRT((4*(HSP!$B$2-$B6)^2+(HSP!$C$2-$C6)^2+(HSP!$D$2-$D6)^2))</f>
        <v>2.8376046236218335</v>
      </c>
      <c r="G6" s="17">
        <f>SQRT((4*(HSP!$B$3-$B6)^2+(HSP!$C$3-$C6)^2+(HSP!$D$3-$D6)^2))</f>
        <v>1.3756453031214118</v>
      </c>
      <c r="H6" s="17">
        <f>SQRT((4*(HSP!$B$4-$B6)^2+(HSP!$C$4-$C6)^2+(HSP!$D$4-$D6)^2))</f>
        <v>5.5765580782414528</v>
      </c>
      <c r="I6" s="17">
        <f>SQRT((4*(HSP!$B$5-$B6)^2+(HSP!$C$5-$C6)^2+(HSP!$D$5-$D6)^2))</f>
        <v>4.997489369673537</v>
      </c>
      <c r="J6" s="17">
        <f>SQRT((4*(HSP!$B$6-$B6)^2+(HSP!$C$6-$C6)^2+(HSP!$D$6-$D6)^2))</f>
        <v>4.9798594357672386</v>
      </c>
      <c r="K6" s="17" t="s">
        <v>35</v>
      </c>
      <c r="L6" s="17" t="s">
        <v>35</v>
      </c>
      <c r="M6" s="17" t="s">
        <v>35</v>
      </c>
      <c r="N6" s="17" t="s">
        <v>35</v>
      </c>
      <c r="O6" s="17" t="s">
        <v>35</v>
      </c>
      <c r="P6" s="17">
        <f>$F6/HSP!$E$2</f>
        <v>0.17408617322833334</v>
      </c>
      <c r="Q6" s="17">
        <f>$G6/HSP!$E$3</f>
        <v>0.10189965208306753</v>
      </c>
      <c r="R6" s="17">
        <f>$H6/HSP!$E$4</f>
        <v>0.35072692315983978</v>
      </c>
      <c r="S6" s="17">
        <f>$I6/HSP!$E$5</f>
        <v>0.36478024596157205</v>
      </c>
      <c r="T6" s="17">
        <f>$J6/HSP!$E$6</f>
        <v>0.33647698890319178</v>
      </c>
      <c r="U6" s="12"/>
      <c r="V6" s="12"/>
      <c r="W6" s="12"/>
      <c r="X6" s="12"/>
      <c r="Y6" s="12"/>
      <c r="Z6" s="12"/>
    </row>
    <row r="7" spans="1:26" ht="15" customHeight="1" x14ac:dyDescent="0.3">
      <c r="A7" s="26" t="s">
        <v>429</v>
      </c>
      <c r="B7" s="17">
        <v>21.3</v>
      </c>
      <c r="C7" s="17">
        <v>8.6999999999999993</v>
      </c>
      <c r="D7" s="17">
        <v>11.5</v>
      </c>
      <c r="E7" s="17" t="s">
        <v>35</v>
      </c>
      <c r="F7" s="17">
        <f>SQRT((4*(HSP!$B$2-$B7)^2+(HSP!$C$2-$C7)^2+(HSP!$D$2-$D7)^2))</f>
        <v>14.250894708754256</v>
      </c>
      <c r="G7" s="17">
        <f>SQRT((4*(HSP!$B$3-$B7)^2+(HSP!$C$3-$C7)^2+(HSP!$D$3-$D7)^2))</f>
        <v>12.612390732926096</v>
      </c>
      <c r="H7" s="17">
        <f>SQRT((4*(HSP!$B$4-$B7)^2+(HSP!$C$4-$C7)^2+(HSP!$D$4-$D7)^2))</f>
        <v>13.731642290709441</v>
      </c>
      <c r="I7" s="17">
        <f>SQRT((4*(HSP!$B$5-$B7)^2+(HSP!$C$5-$C7)^2+(HSP!$D$5-$D7)^2))</f>
        <v>12.725128683042859</v>
      </c>
      <c r="J7" s="17">
        <f>SQRT((4*(HSP!$B$6-$B7)^2+(HSP!$C$6-$C7)^2+(HSP!$D$6-$D7)^2))</f>
        <v>14.460947410180291</v>
      </c>
      <c r="K7" s="17" t="s">
        <v>35</v>
      </c>
      <c r="L7" s="17" t="s">
        <v>35</v>
      </c>
      <c r="M7" s="17" t="s">
        <v>35</v>
      </c>
      <c r="N7" s="17" t="s">
        <v>35</v>
      </c>
      <c r="O7" s="17" t="s">
        <v>35</v>
      </c>
      <c r="P7" s="17">
        <f>$F7/HSP!$E$2</f>
        <v>0.87428801894197883</v>
      </c>
      <c r="Q7" s="17">
        <f>$G7/HSP!$E$3</f>
        <v>0.93425116540193309</v>
      </c>
      <c r="R7" s="17">
        <f>$H7/HSP!$E$4</f>
        <v>0.86362530130248061</v>
      </c>
      <c r="S7" s="17">
        <f>$I7/HSP!$E$5</f>
        <v>0.92884150971115764</v>
      </c>
      <c r="T7" s="17">
        <f>$J7/HSP!$E$6</f>
        <v>0.97709104122839796</v>
      </c>
      <c r="U7" s="12"/>
      <c r="V7" s="12"/>
      <c r="W7" s="12"/>
      <c r="X7" s="12"/>
      <c r="Y7" s="12"/>
      <c r="Z7" s="12"/>
    </row>
    <row r="8" spans="1:26" ht="15" customHeight="1" x14ac:dyDescent="0.3">
      <c r="A8" s="31" t="s">
        <v>430</v>
      </c>
      <c r="B8" s="17">
        <v>19</v>
      </c>
      <c r="C8" s="17">
        <v>8</v>
      </c>
      <c r="D8" s="17">
        <v>4</v>
      </c>
      <c r="E8" s="17" t="s">
        <v>35</v>
      </c>
      <c r="F8" s="17">
        <f>SQRT((4*(HSP!$B$2-$B8)^2+(HSP!$C$2-$C8)^2+(HSP!$D$2-$D8)^2))</f>
        <v>9.6110353240428807</v>
      </c>
      <c r="G8" s="17">
        <f>SQRT((4*(HSP!$B$3-$B8)^2+(HSP!$C$3-$C8)^2+(HSP!$D$3-$D8)^2))</f>
        <v>7.0634552451332215</v>
      </c>
      <c r="H8" s="17">
        <f>SQRT((4*(HSP!$B$4-$B8)^2+(HSP!$C$4-$C8)^2+(HSP!$D$4-$D8)^2))</f>
        <v>8.8055664213041975</v>
      </c>
      <c r="I8" s="17">
        <f>SQRT((4*(HSP!$B$5-$B8)^2+(HSP!$C$5-$C8)^2+(HSP!$D$5-$D8)^2))</f>
        <v>11.222963066855383</v>
      </c>
      <c r="J8" s="17">
        <f>SQRT((4*(HSP!$B$6-$B8)^2+(HSP!$C$6-$C8)^2+(HSP!$D$6-$D8)^2))</f>
        <v>7.6248934418783856</v>
      </c>
      <c r="K8" s="17" t="s">
        <v>35</v>
      </c>
      <c r="L8" s="17" t="s">
        <v>35</v>
      </c>
      <c r="M8" s="17" t="s">
        <v>35</v>
      </c>
      <c r="N8" s="17" t="s">
        <v>35</v>
      </c>
      <c r="O8" s="17" t="s">
        <v>35</v>
      </c>
      <c r="P8" s="17">
        <f>$F8/HSP!$E$2</f>
        <v>0.58963406895968595</v>
      </c>
      <c r="Q8" s="17">
        <f>$G8/HSP!$E$3</f>
        <v>0.52321890704690532</v>
      </c>
      <c r="R8" s="17">
        <f>$H8/HSP!$E$4</f>
        <v>0.55380920888705643</v>
      </c>
      <c r="S8" s="17">
        <f>$I8/HSP!$E$5</f>
        <v>0.81919438444199888</v>
      </c>
      <c r="T8" s="17">
        <f>$J8/HSP!$E$6</f>
        <v>0.51519550282962068</v>
      </c>
      <c r="U8" s="12"/>
      <c r="V8" s="12"/>
      <c r="W8" s="12"/>
      <c r="X8" s="12"/>
      <c r="Y8" s="12"/>
      <c r="Z8" s="12"/>
    </row>
    <row r="9" spans="1:26" ht="15" customHeight="1" x14ac:dyDescent="0.3">
      <c r="A9" s="26" t="s">
        <v>431</v>
      </c>
      <c r="B9" s="17">
        <v>17.89</v>
      </c>
      <c r="C9" s="17">
        <v>8.2899999999999991</v>
      </c>
      <c r="D9" s="17">
        <v>10.34</v>
      </c>
      <c r="E9" s="17" t="s">
        <v>35</v>
      </c>
      <c r="F9" s="17">
        <f>SQRT((4*(HSP!$B$2-$B9)^2+(HSP!$C$2-$C9)^2+(HSP!$D$2-$D9)^2))</f>
        <v>7.7003181752444503</v>
      </c>
      <c r="G9" s="17">
        <f>SQRT((4*(HSP!$B$3-$B9)^2+(HSP!$C$3-$C9)^2+(HSP!$D$3-$D9)^2))</f>
        <v>6.4550213012816631</v>
      </c>
      <c r="H9" s="17">
        <f>SQRT((4*(HSP!$B$4-$B9)^2+(HSP!$C$4-$C9)^2+(HSP!$D$4-$D9)^2))</f>
        <v>7.4267960790639735</v>
      </c>
      <c r="I9" s="17">
        <f>SQRT((4*(HSP!$B$5-$B9)^2+(HSP!$C$5-$C9)^2+(HSP!$D$5-$D9)^2))</f>
        <v>6.8869877304958251</v>
      </c>
      <c r="J9" s="17">
        <f>SQRT((4*(HSP!$B$6-$B9)^2+(HSP!$C$6-$C9)^2+(HSP!$D$6-$D9)^2))</f>
        <v>8.5461862839514566</v>
      </c>
      <c r="K9" s="17" t="s">
        <v>35</v>
      </c>
      <c r="L9" s="17" t="s">
        <v>35</v>
      </c>
      <c r="M9" s="17" t="s">
        <v>35</v>
      </c>
      <c r="N9" s="17" t="s">
        <v>35</v>
      </c>
      <c r="O9" s="17" t="s">
        <v>35</v>
      </c>
      <c r="P9" s="17">
        <f>$F9/HSP!$E$2</f>
        <v>0.47241215799045705</v>
      </c>
      <c r="Q9" s="17">
        <f>$G9/HSP!$E$3</f>
        <v>0.47814972602086392</v>
      </c>
      <c r="R9" s="17">
        <f>$H9/HSP!$E$4</f>
        <v>0.4670940930228914</v>
      </c>
      <c r="S9" s="17">
        <f>$I9/HSP!$E$5</f>
        <v>0.502699834342761</v>
      </c>
      <c r="T9" s="17">
        <f>$J9/HSP!$E$6</f>
        <v>0.57744501918590918</v>
      </c>
      <c r="U9" s="12"/>
      <c r="V9" s="12"/>
      <c r="W9" s="12"/>
      <c r="X9" s="12"/>
      <c r="Y9" s="12"/>
      <c r="Z9" s="12"/>
    </row>
    <row r="10" spans="1:26" ht="15" customHeight="1" x14ac:dyDescent="0.3">
      <c r="A10" s="31" t="s">
        <v>432</v>
      </c>
      <c r="B10" s="17">
        <v>18</v>
      </c>
      <c r="C10" s="17">
        <v>27.5</v>
      </c>
      <c r="D10" s="17">
        <v>29</v>
      </c>
      <c r="E10" s="17" t="s">
        <v>35</v>
      </c>
      <c r="F10" s="17">
        <f>SQRT((4*(HSP!$B$2-$B10)^2+(HSP!$C$2-$C10)^2+(HSP!$D$2-$D10)^2))</f>
        <v>28.661507287649755</v>
      </c>
      <c r="G10" s="17">
        <f>SQRT((4*(HSP!$B$3-$B10)^2+(HSP!$C$3-$C10)^2+(HSP!$D$3-$D10)^2))</f>
        <v>29.612875578031932</v>
      </c>
      <c r="H10" s="17">
        <f>SQRT((4*(HSP!$B$4-$B10)^2+(HSP!$C$4-$C10)^2+(HSP!$D$4-$D10)^2))</f>
        <v>32.336171696723781</v>
      </c>
      <c r="I10" s="17">
        <f>SQRT((4*(HSP!$B$5-$B10)^2+(HSP!$C$5-$C10)^2+(HSP!$D$5-$D10)^2))</f>
        <v>23.974672051980189</v>
      </c>
      <c r="J10" s="17">
        <f>SQRT((4*(HSP!$B$6-$B10)^2+(HSP!$C$6-$C10)^2+(HSP!$D$6-$D10)^2))</f>
        <v>33.260772690964352</v>
      </c>
      <c r="K10" s="17" t="s">
        <v>35</v>
      </c>
      <c r="L10" s="17" t="s">
        <v>35</v>
      </c>
      <c r="M10" s="17" t="s">
        <v>35</v>
      </c>
      <c r="N10" s="17" t="s">
        <v>35</v>
      </c>
      <c r="O10" s="17" t="s">
        <v>35</v>
      </c>
      <c r="P10" s="17">
        <f>$F10/HSP!$E$2</f>
        <v>1.7583746802239113</v>
      </c>
      <c r="Q10" s="17">
        <f>$G10/HSP!$E$3</f>
        <v>2.1935463391134764</v>
      </c>
      <c r="R10" s="17">
        <f>$H10/HSP!$E$4</f>
        <v>2.0337214903599863</v>
      </c>
      <c r="S10" s="17">
        <f>$I10/HSP!$E$5</f>
        <v>1.7499760621883351</v>
      </c>
      <c r="T10" s="17">
        <f>$J10/HSP!$E$6</f>
        <v>2.2473495061462399</v>
      </c>
      <c r="U10" s="12"/>
      <c r="V10" s="12"/>
      <c r="W10" s="12"/>
      <c r="X10" s="12"/>
      <c r="Y10" s="12"/>
      <c r="Z10" s="12"/>
    </row>
    <row r="11" spans="1:26" ht="15" customHeight="1" x14ac:dyDescent="0.3">
      <c r="A11" s="26" t="s">
        <v>433</v>
      </c>
      <c r="B11" s="17">
        <v>20</v>
      </c>
      <c r="C11" s="17">
        <v>10</v>
      </c>
      <c r="D11" s="17">
        <v>10</v>
      </c>
      <c r="E11" s="17" t="s">
        <v>35</v>
      </c>
      <c r="F11" s="17">
        <f>SQRT((4*(HSP!$B$2-$B11)^2+(HSP!$C$2-$C11)^2+(HSP!$D$2-$D11)^2))</f>
        <v>11.223724871895248</v>
      </c>
      <c r="G11" s="17">
        <f>SQRT((4*(HSP!$B$3-$B11)^2+(HSP!$C$3-$C11)^2+(HSP!$D$3-$D11)^2))</f>
        <v>9.5860523678936786</v>
      </c>
      <c r="H11" s="17">
        <f>SQRT((4*(HSP!$B$4-$B11)^2+(HSP!$C$4-$C11)^2+(HSP!$D$4-$D11)^2))</f>
        <v>11.48294387341504</v>
      </c>
      <c r="I11" s="17">
        <f>SQRT((4*(HSP!$B$5-$B11)^2+(HSP!$C$5-$C11)^2+(HSP!$D$5-$D11)^2))</f>
        <v>9.8871077671885441</v>
      </c>
      <c r="J11" s="17">
        <f>SQRT((4*(HSP!$B$6-$B11)^2+(HSP!$C$6-$C11)^2+(HSP!$D$6-$D11)^2))</f>
        <v>11.834652508629057</v>
      </c>
      <c r="K11" s="17" t="s">
        <v>35</v>
      </c>
      <c r="L11" s="17" t="s">
        <v>35</v>
      </c>
      <c r="M11" s="17" t="s">
        <v>35</v>
      </c>
      <c r="N11" s="17" t="s">
        <v>35</v>
      </c>
      <c r="O11" s="17" t="s">
        <v>35</v>
      </c>
      <c r="P11" s="17">
        <f>$F11/HSP!$E$2</f>
        <v>0.68857207803038334</v>
      </c>
      <c r="Q11" s="17">
        <f>$G11/HSP!$E$3</f>
        <v>0.71007795317730948</v>
      </c>
      <c r="R11" s="17">
        <f>$H11/HSP!$E$4</f>
        <v>0.72219772788773839</v>
      </c>
      <c r="S11" s="17">
        <f>$I11/HSP!$E$5</f>
        <v>0.72168669833493027</v>
      </c>
      <c r="T11" s="17">
        <f>$J11/HSP!$E$6</f>
        <v>0.7996386830154768</v>
      </c>
      <c r="U11" s="12"/>
      <c r="V11" s="12"/>
      <c r="W11" s="12"/>
      <c r="X11" s="12"/>
      <c r="Y11" s="12"/>
      <c r="Z11" s="12"/>
    </row>
    <row r="12" spans="1:26" ht="15" customHeight="1" x14ac:dyDescent="0.3">
      <c r="A12" s="31" t="s">
        <v>434</v>
      </c>
      <c r="B12" s="19">
        <v>17.600000000000001</v>
      </c>
      <c r="C12" s="19">
        <v>14</v>
      </c>
      <c r="D12" s="19">
        <v>9.4</v>
      </c>
      <c r="E12" s="17" t="s">
        <v>35</v>
      </c>
      <c r="F12" s="17">
        <f>SQRT((4*(HSP!$B$2-$B12)^2+(HSP!$C$2-$C12)^2+(HSP!$D$2-$D12)^2))</f>
        <v>7.3748220317510063</v>
      </c>
      <c r="G12" s="17">
        <f>SQRT((4*(HSP!$B$3-$B12)^2+(HSP!$C$3-$C12)^2+(HSP!$D$3-$D12)^2))</f>
        <v>6.8003235217157156</v>
      </c>
      <c r="H12" s="17">
        <f>SQRT((4*(HSP!$B$4-$B12)^2+(HSP!$C$4-$C12)^2+(HSP!$D$4-$D12)^2))</f>
        <v>10.82783450187525</v>
      </c>
      <c r="I12" s="17">
        <f>SQRT((4*(HSP!$B$5-$B12)^2+(HSP!$C$5-$C12)^2+(HSP!$D$5-$D12)^2))</f>
        <v>5.069013710772543</v>
      </c>
      <c r="J12" s="17">
        <f>SQRT((4*(HSP!$B$6-$B12)^2+(HSP!$C$6-$C12)^2+(HSP!$D$6-$D12)^2))</f>
        <v>10.479646940617801</v>
      </c>
      <c r="K12" s="17" t="s">
        <v>35</v>
      </c>
      <c r="L12" s="17" t="s">
        <v>35</v>
      </c>
      <c r="M12" s="17" t="s">
        <v>35</v>
      </c>
      <c r="N12" s="17" t="s">
        <v>35</v>
      </c>
      <c r="O12" s="17" t="s">
        <v>35</v>
      </c>
      <c r="P12" s="17">
        <f>$F12/HSP!$E$2</f>
        <v>0.45244306943257706</v>
      </c>
      <c r="Q12" s="17">
        <f>$G12/HSP!$E$3</f>
        <v>0.50372766827523818</v>
      </c>
      <c r="R12" s="17">
        <f>$H12/HSP!$E$4</f>
        <v>0.68099588062108485</v>
      </c>
      <c r="S12" s="17">
        <f>$I12/HSP!$E$5</f>
        <v>0.37000100078631704</v>
      </c>
      <c r="T12" s="17">
        <f>$J12/HSP!$E$6</f>
        <v>0.70808425274444597</v>
      </c>
      <c r="U12" s="12"/>
      <c r="V12" s="12"/>
      <c r="W12" s="12"/>
      <c r="X12" s="12"/>
      <c r="Y12" s="12"/>
      <c r="Z12" s="12"/>
    </row>
    <row r="13" spans="1:26" ht="15" customHeight="1" x14ac:dyDescent="0.3">
      <c r="A13" s="31" t="s">
        <v>435</v>
      </c>
      <c r="B13" s="17">
        <v>17.5</v>
      </c>
      <c r="C13" s="17">
        <v>12.7</v>
      </c>
      <c r="D13" s="17">
        <v>8.9</v>
      </c>
      <c r="E13" s="17" t="s">
        <v>35</v>
      </c>
      <c r="F13" s="17">
        <f>SQRT((4*(HSP!$B$2-$B13)^2+(HSP!$C$2-$C13)^2+(HSP!$D$2-$D13)^2))</f>
        <v>6.5072267518505917</v>
      </c>
      <c r="G13" s="17">
        <f>SQRT((4*(HSP!$B$3-$B13)^2+(HSP!$C$3-$C13)^2+(HSP!$D$3-$D13)^2))</f>
        <v>5.6420209145305371</v>
      </c>
      <c r="H13" s="17">
        <f>SQRT((4*(HSP!$B$4-$B13)^2+(HSP!$C$4-$C13)^2+(HSP!$D$4-$D13)^2))</f>
        <v>9.5103101947307689</v>
      </c>
      <c r="I13" s="17">
        <f>SQRT((4*(HSP!$B$5-$B13)^2+(HSP!$C$5-$C13)^2+(HSP!$D$5-$D13)^2))</f>
        <v>4.9002959094324092</v>
      </c>
      <c r="J13" s="17">
        <f>SQRT((4*(HSP!$B$6-$B13)^2+(HSP!$C$6-$C13)^2+(HSP!$D$6-$D13)^2))</f>
        <v>9.2036405840297792</v>
      </c>
      <c r="K13" s="17" t="s">
        <v>35</v>
      </c>
      <c r="L13" s="17" t="s">
        <v>35</v>
      </c>
      <c r="M13" s="17" t="s">
        <v>35</v>
      </c>
      <c r="N13" s="17" t="s">
        <v>35</v>
      </c>
      <c r="O13" s="17" t="s">
        <v>35</v>
      </c>
      <c r="P13" s="17">
        <f>$F13/HSP!$E$2</f>
        <v>0.39921636514420805</v>
      </c>
      <c r="Q13" s="17">
        <f>$G13/HSP!$E$3</f>
        <v>0.41792747515041018</v>
      </c>
      <c r="R13" s="17">
        <f>$H13/HSP!$E$4</f>
        <v>0.59813271664973389</v>
      </c>
      <c r="S13" s="17">
        <f>$I13/HSP!$E$5</f>
        <v>0.35768583280528538</v>
      </c>
      <c r="T13" s="17">
        <f>$J13/HSP!$E$6</f>
        <v>0.62186760702903909</v>
      </c>
      <c r="U13" s="12"/>
      <c r="V13" s="12"/>
      <c r="W13" s="12"/>
      <c r="X13" s="12"/>
      <c r="Y13" s="12"/>
      <c r="Z13" s="12"/>
    </row>
    <row r="14" spans="1:26" ht="15" customHeight="1" x14ac:dyDescent="0.3">
      <c r="A14" s="31" t="s">
        <v>1100</v>
      </c>
      <c r="B14" s="17">
        <v>23.6</v>
      </c>
      <c r="C14" s="17">
        <v>14.6</v>
      </c>
      <c r="D14" s="17">
        <v>19</v>
      </c>
      <c r="E14" s="17" t="s">
        <v>35</v>
      </c>
      <c r="F14" s="17">
        <f>SQRT((4*(HSP!$B$2-$B14)^2+(HSP!$C$2-$C14)^2+(HSP!$D$2-$D14)^2))</f>
        <v>22.036787424667875</v>
      </c>
      <c r="G14" s="17">
        <f>SQRT((4*(HSP!$B$3-$B14)^2+(HSP!$C$3-$C14)^2+(HSP!$D$3-$D14)^2))</f>
        <v>21.175183588342279</v>
      </c>
      <c r="H14" s="17">
        <f>SQRT((4*(HSP!$B$4-$B14)^2+(HSP!$C$4-$C14)^2+(HSP!$D$4-$D14)^2))</f>
        <v>23.054413894089784</v>
      </c>
      <c r="I14" s="17">
        <f>SQRT((4*(HSP!$B$5-$B14)^2+(HSP!$C$5-$C14)^2+(HSP!$D$5-$D14)^2))</f>
        <v>18.606850888852744</v>
      </c>
      <c r="J14" s="17">
        <f>SQRT((4*(HSP!$B$6-$B14)^2+(HSP!$C$6-$C14)^2+(HSP!$D$6-$D14)^2))</f>
        <v>23.95468638909723</v>
      </c>
      <c r="K14" s="17" t="s">
        <v>35</v>
      </c>
      <c r="L14" s="17" t="s">
        <v>35</v>
      </c>
      <c r="M14" s="17" t="s">
        <v>35</v>
      </c>
      <c r="N14" s="17" t="s">
        <v>35</v>
      </c>
      <c r="O14" s="17" t="s">
        <v>35</v>
      </c>
      <c r="P14" s="17">
        <f>$F14/HSP!$E$2</f>
        <v>1.3519501487526302</v>
      </c>
      <c r="Q14" s="17">
        <f>$G14/HSP!$E$3</f>
        <v>1.5685321176549836</v>
      </c>
      <c r="R14" s="17">
        <f>$H14/HSP!$E$4</f>
        <v>1.4499631379930682</v>
      </c>
      <c r="S14" s="17">
        <f>$I14/HSP!$E$5</f>
        <v>1.3581642984564046</v>
      </c>
      <c r="T14" s="17">
        <f>$J14/HSP!$E$6</f>
        <v>1.6185598911552181</v>
      </c>
      <c r="U14" s="12"/>
      <c r="V14" s="12"/>
      <c r="W14" s="12"/>
      <c r="X14" s="12"/>
      <c r="Y14" s="12"/>
      <c r="Z14" s="12"/>
    </row>
    <row r="15" spans="1:26" ht="15" customHeight="1" x14ac:dyDescent="0.3">
      <c r="A15" s="31" t="s">
        <v>436</v>
      </c>
      <c r="B15" s="17">
        <v>17.8</v>
      </c>
      <c r="C15" s="17">
        <v>10.6</v>
      </c>
      <c r="D15" s="17">
        <v>10.8</v>
      </c>
      <c r="E15" s="17" t="s">
        <v>35</v>
      </c>
      <c r="F15" s="17">
        <f>SQRT((4*(HSP!$B$2-$B15)^2+(HSP!$C$2-$C15)^2+(HSP!$D$2-$D15)^2))</f>
        <v>7.4546629702488918</v>
      </c>
      <c r="G15" s="17">
        <f>SQRT((4*(HSP!$B$3-$B15)^2+(HSP!$C$3-$C15)^2+(HSP!$D$3-$D15)^2))</f>
        <v>6.5948767994557729</v>
      </c>
      <c r="H15" s="17">
        <f>SQRT((4*(HSP!$B$4-$B15)^2+(HSP!$C$4-$C15)^2+(HSP!$D$4-$D15)^2))</f>
        <v>8.8720910725713384</v>
      </c>
      <c r="I15" s="17">
        <f>SQRT((4*(HSP!$B$5-$B15)^2+(HSP!$C$5-$C15)^2+(HSP!$D$5-$D15)^2))</f>
        <v>5.4877044381052471</v>
      </c>
      <c r="J15" s="17">
        <f>SQRT((4*(HSP!$B$6-$B15)^2+(HSP!$C$6-$C15)^2+(HSP!$D$6-$D15)^2))</f>
        <v>9.5548417046019161</v>
      </c>
      <c r="K15" s="17" t="s">
        <v>35</v>
      </c>
      <c r="L15" s="17" t="s">
        <v>35</v>
      </c>
      <c r="M15" s="17" t="s">
        <v>35</v>
      </c>
      <c r="N15" s="17" t="s">
        <v>35</v>
      </c>
      <c r="O15" s="17" t="s">
        <v>35</v>
      </c>
      <c r="P15" s="17">
        <f>$F15/HSP!$E$2</f>
        <v>0.45734128651833689</v>
      </c>
      <c r="Q15" s="17">
        <f>$G15/HSP!$E$3</f>
        <v>0.48850939255227949</v>
      </c>
      <c r="R15" s="17">
        <f>$H15/HSP!$E$4</f>
        <v>0.55799314921832321</v>
      </c>
      <c r="S15" s="17">
        <f>$I15/HSP!$E$5</f>
        <v>0.40056236774490855</v>
      </c>
      <c r="T15" s="17">
        <f>$J15/HSP!$E$6</f>
        <v>0.64559741247310243</v>
      </c>
      <c r="U15" s="12"/>
      <c r="V15" s="12"/>
      <c r="W15" s="12"/>
      <c r="X15" s="12"/>
      <c r="Y15" s="12"/>
      <c r="Z15" s="12"/>
    </row>
    <row r="16" spans="1:26" ht="15" customHeight="1" x14ac:dyDescent="0.3">
      <c r="A16" s="31" t="s">
        <v>437</v>
      </c>
      <c r="B16" s="17">
        <v>19.100000000000001</v>
      </c>
      <c r="C16" s="17">
        <v>11.4</v>
      </c>
      <c r="D16" s="17">
        <v>8.6999999999999993</v>
      </c>
      <c r="E16" s="17" t="s">
        <v>35</v>
      </c>
      <c r="F16" s="17">
        <f>SQRT((4*(HSP!$B$2-$B16)^2+(HSP!$C$2-$C16)^2+(HSP!$D$2-$D16)^2))</f>
        <v>9.2109717185539139</v>
      </c>
      <c r="G16" s="17">
        <f>SQRT((4*(HSP!$B$3-$B16)^2+(HSP!$C$3-$C16)^2+(HSP!$D$3-$D16)^2))</f>
        <v>7.6048931616427096</v>
      </c>
      <c r="H16" s="17">
        <f>SQRT((4*(HSP!$B$4-$B16)^2+(HSP!$C$4-$C16)^2+(HSP!$D$4-$D16)^2))</f>
        <v>10.514180900098687</v>
      </c>
      <c r="I16" s="17">
        <f>SQRT((4*(HSP!$B$5-$B16)^2+(HSP!$C$5-$C16)^2+(HSP!$D$5-$D16)^2))</f>
        <v>8.0864639985595712</v>
      </c>
      <c r="J16" s="17">
        <f>SQRT((4*(HSP!$B$6-$B16)^2+(HSP!$C$6-$C16)^2+(HSP!$D$6-$D16)^2))</f>
        <v>10.339197260909575</v>
      </c>
      <c r="K16" s="17" t="s">
        <v>35</v>
      </c>
      <c r="L16" s="17" t="s">
        <v>35</v>
      </c>
      <c r="M16" s="17" t="s">
        <v>35</v>
      </c>
      <c r="N16" s="17" t="s">
        <v>35</v>
      </c>
      <c r="O16" s="17" t="s">
        <v>35</v>
      </c>
      <c r="P16" s="17">
        <f>$F16/HSP!$E$2</f>
        <v>0.56509028948183515</v>
      </c>
      <c r="Q16" s="17">
        <f>$G16/HSP!$E$3</f>
        <v>0.56332541938094149</v>
      </c>
      <c r="R16" s="17">
        <f>$H16/HSP!$E$4</f>
        <v>0.66126923899991741</v>
      </c>
      <c r="S16" s="17">
        <f>$I16/HSP!$E$5</f>
        <v>0.59025284661018773</v>
      </c>
      <c r="T16" s="17">
        <f>$J16/HSP!$E$6</f>
        <v>0.69859440952091723</v>
      </c>
      <c r="U16" s="12"/>
      <c r="V16" s="12"/>
      <c r="W16" s="12"/>
      <c r="X16" s="12"/>
      <c r="Y16" s="12"/>
      <c r="Z16" s="12"/>
    </row>
    <row r="17" spans="1:26" ht="15" customHeight="1" x14ac:dyDescent="0.3">
      <c r="A17" s="31"/>
      <c r="B17" s="17"/>
      <c r="C17" s="17"/>
      <c r="D17" s="17"/>
      <c r="E17" s="17"/>
      <c r="F17" s="17"/>
      <c r="G17" s="17"/>
      <c r="H17" s="17"/>
      <c r="I17" s="17"/>
      <c r="J17" s="17"/>
      <c r="K17" s="17"/>
      <c r="L17" s="17"/>
      <c r="M17" s="17"/>
      <c r="N17" s="17"/>
      <c r="O17" s="17"/>
      <c r="P17" s="17"/>
      <c r="Q17" s="17"/>
      <c r="R17" s="17"/>
      <c r="S17" s="17"/>
      <c r="T17" s="17"/>
      <c r="U17" s="12"/>
      <c r="V17" s="12"/>
      <c r="W17" s="12"/>
      <c r="X17" s="12"/>
      <c r="Y17" s="12"/>
      <c r="Z17" s="12"/>
    </row>
    <row r="18" spans="1:26" ht="15" customHeight="1" x14ac:dyDescent="0.3">
      <c r="A18" s="16" t="s">
        <v>438</v>
      </c>
      <c r="B18" s="17"/>
      <c r="C18" s="17"/>
      <c r="D18" s="17"/>
      <c r="E18" s="17"/>
      <c r="F18" s="17"/>
      <c r="G18" s="17"/>
      <c r="H18" s="17"/>
      <c r="I18" s="17"/>
      <c r="J18" s="17"/>
      <c r="K18" s="17"/>
      <c r="L18" s="17"/>
      <c r="M18" s="17"/>
      <c r="N18" s="17"/>
      <c r="O18" s="17"/>
      <c r="P18" s="17"/>
      <c r="Q18" s="17"/>
      <c r="R18" s="17"/>
      <c r="S18" s="17"/>
      <c r="T18" s="17"/>
      <c r="U18" s="12"/>
      <c r="V18" s="12"/>
      <c r="W18" s="12"/>
      <c r="X18" s="12"/>
      <c r="Y18" s="12"/>
      <c r="Z18" s="12"/>
    </row>
    <row r="19" spans="1:26" ht="15" customHeight="1" x14ac:dyDescent="0.3">
      <c r="A19" s="26"/>
      <c r="B19" s="17"/>
      <c r="C19" s="17"/>
      <c r="D19" s="17"/>
      <c r="E19" s="17"/>
      <c r="F19" s="17"/>
      <c r="G19" s="17"/>
      <c r="H19" s="17"/>
      <c r="I19" s="17"/>
      <c r="J19" s="17"/>
      <c r="K19" s="17"/>
      <c r="L19" s="17"/>
      <c r="M19" s="17"/>
      <c r="N19" s="17"/>
      <c r="O19" s="17"/>
      <c r="P19" s="17"/>
      <c r="Q19" s="17"/>
      <c r="R19" s="17"/>
      <c r="S19" s="17"/>
      <c r="T19" s="17"/>
      <c r="U19" s="12"/>
      <c r="V19" s="12"/>
      <c r="W19" s="12"/>
      <c r="X19" s="12"/>
      <c r="Y19" s="12"/>
      <c r="Z19" s="12"/>
    </row>
    <row r="20" spans="1:26" ht="15" customHeight="1" x14ac:dyDescent="0.3">
      <c r="A20" s="26"/>
      <c r="B20" s="17"/>
      <c r="C20" s="17"/>
      <c r="D20" s="17"/>
      <c r="E20" s="17"/>
      <c r="F20" s="17"/>
      <c r="G20" s="17"/>
      <c r="H20" s="17"/>
      <c r="I20" s="17"/>
      <c r="J20" s="17"/>
      <c r="K20" s="17"/>
      <c r="L20" s="17"/>
      <c r="M20" s="17"/>
      <c r="N20" s="17"/>
      <c r="O20" s="17"/>
      <c r="P20" s="17"/>
      <c r="Q20" s="17"/>
      <c r="R20" s="17"/>
      <c r="S20" s="17"/>
      <c r="T20" s="17"/>
      <c r="U20" s="12"/>
      <c r="V20" s="12"/>
      <c r="W20" s="12"/>
      <c r="X20" s="12"/>
      <c r="Y20" s="12"/>
      <c r="Z20" s="12"/>
    </row>
    <row r="21" spans="1:26" ht="15" customHeight="1" x14ac:dyDescent="0.3">
      <c r="A21" s="26"/>
      <c r="B21" s="17"/>
      <c r="C21" s="17"/>
      <c r="D21" s="17"/>
      <c r="E21" s="17"/>
      <c r="F21" s="17"/>
      <c r="G21" s="17"/>
      <c r="H21" s="17"/>
      <c r="I21" s="17"/>
      <c r="J21" s="17"/>
      <c r="K21" s="17"/>
      <c r="L21" s="17"/>
      <c r="M21" s="17"/>
      <c r="N21" s="17"/>
      <c r="O21" s="17"/>
      <c r="P21" s="17"/>
      <c r="Q21" s="17"/>
      <c r="R21" s="17"/>
      <c r="S21" s="17"/>
      <c r="T21" s="17"/>
      <c r="U21" s="12"/>
      <c r="V21" s="12"/>
      <c r="W21" s="12"/>
      <c r="X21" s="12"/>
      <c r="Y21" s="12"/>
      <c r="Z21" s="12"/>
    </row>
    <row r="22" spans="1:26" ht="15" customHeight="1" x14ac:dyDescent="0.3">
      <c r="A22" s="26"/>
      <c r="B22" s="17"/>
      <c r="C22" s="17"/>
      <c r="D22" s="17"/>
      <c r="E22" s="17"/>
      <c r="F22" s="17"/>
      <c r="G22" s="17"/>
      <c r="H22" s="17"/>
      <c r="I22" s="17"/>
      <c r="J22" s="17"/>
      <c r="K22" s="17"/>
      <c r="L22" s="17"/>
      <c r="M22" s="17"/>
      <c r="N22" s="17"/>
      <c r="O22" s="17"/>
      <c r="P22" s="17"/>
      <c r="Q22" s="17"/>
      <c r="R22" s="17"/>
      <c r="S22" s="17"/>
      <c r="T22" s="17"/>
      <c r="U22" s="12"/>
      <c r="V22" s="12"/>
      <c r="W22" s="12"/>
      <c r="X22" s="12"/>
      <c r="Y22" s="12"/>
      <c r="Z22" s="12"/>
    </row>
    <row r="23" spans="1:26" ht="15" customHeight="1" x14ac:dyDescent="0.3">
      <c r="A23" s="26"/>
      <c r="B23" s="17"/>
      <c r="C23" s="17"/>
      <c r="D23" s="17"/>
      <c r="E23" s="17"/>
      <c r="F23" s="17"/>
      <c r="G23" s="17"/>
      <c r="H23" s="17"/>
      <c r="I23" s="17"/>
      <c r="J23" s="17"/>
      <c r="K23" s="17"/>
      <c r="L23" s="17"/>
      <c r="M23" s="17"/>
      <c r="N23" s="17"/>
      <c r="O23" s="17"/>
      <c r="P23" s="17"/>
      <c r="Q23" s="17"/>
      <c r="R23" s="17"/>
      <c r="S23" s="17"/>
      <c r="T23" s="17"/>
      <c r="U23" s="12"/>
      <c r="V23" s="12"/>
      <c r="W23" s="12"/>
      <c r="X23" s="12"/>
      <c r="Y23" s="12"/>
      <c r="Z23" s="12"/>
    </row>
    <row r="24" spans="1:26" ht="15" customHeight="1" x14ac:dyDescent="0.3">
      <c r="A24" s="26"/>
      <c r="B24" s="17"/>
      <c r="C24" s="17"/>
      <c r="D24" s="17"/>
      <c r="E24" s="17"/>
      <c r="F24" s="17"/>
      <c r="G24" s="17"/>
      <c r="H24" s="17"/>
      <c r="I24" s="17"/>
      <c r="J24" s="17"/>
      <c r="K24" s="17"/>
      <c r="L24" s="17"/>
      <c r="M24" s="17"/>
      <c r="N24" s="17"/>
      <c r="O24" s="17"/>
      <c r="P24" s="17"/>
      <c r="Q24" s="17"/>
      <c r="R24" s="17"/>
      <c r="S24" s="17"/>
      <c r="T24" s="17"/>
      <c r="U24" s="12"/>
      <c r="V24" s="12"/>
      <c r="W24" s="12"/>
      <c r="X24" s="12"/>
      <c r="Y24" s="12"/>
      <c r="Z24" s="12"/>
    </row>
    <row r="25" spans="1:26" ht="15" customHeight="1" x14ac:dyDescent="0.3">
      <c r="A25" s="26"/>
      <c r="B25" s="17"/>
      <c r="C25" s="17"/>
      <c r="D25" s="17"/>
      <c r="E25" s="17"/>
      <c r="F25" s="17"/>
      <c r="G25" s="17"/>
      <c r="H25" s="17"/>
      <c r="I25" s="17"/>
      <c r="J25" s="17"/>
      <c r="K25" s="17"/>
      <c r="L25" s="17"/>
      <c r="M25" s="17"/>
      <c r="N25" s="17"/>
      <c r="O25" s="17"/>
      <c r="P25" s="17"/>
      <c r="Q25" s="17"/>
      <c r="R25" s="17"/>
      <c r="S25" s="17"/>
      <c r="T25" s="17"/>
      <c r="U25" s="12"/>
      <c r="V25" s="12"/>
      <c r="W25" s="12"/>
      <c r="X25" s="12"/>
      <c r="Y25" s="12"/>
      <c r="Z25" s="12"/>
    </row>
    <row r="26" spans="1:26" ht="15" customHeight="1" x14ac:dyDescent="0.3">
      <c r="A26" s="26"/>
      <c r="B26" s="17"/>
      <c r="C26" s="17"/>
      <c r="D26" s="17"/>
      <c r="E26" s="17"/>
      <c r="F26" s="17"/>
      <c r="G26" s="17"/>
      <c r="H26" s="17"/>
      <c r="I26" s="17"/>
      <c r="J26" s="17"/>
      <c r="K26" s="17"/>
      <c r="L26" s="17"/>
      <c r="M26" s="17"/>
      <c r="N26" s="17"/>
      <c r="O26" s="17"/>
      <c r="P26" s="17"/>
      <c r="Q26" s="17"/>
      <c r="R26" s="17"/>
      <c r="S26" s="17"/>
      <c r="T26" s="17"/>
      <c r="U26" s="12"/>
      <c r="V26" s="12"/>
      <c r="W26" s="12"/>
      <c r="X26" s="12"/>
      <c r="Y26" s="12"/>
      <c r="Z26" s="12"/>
    </row>
    <row r="27" spans="1:26" ht="15" customHeight="1" x14ac:dyDescent="0.3">
      <c r="A27" s="26"/>
      <c r="B27" s="17"/>
      <c r="C27" s="17"/>
      <c r="D27" s="17"/>
      <c r="E27" s="17"/>
      <c r="F27" s="17"/>
      <c r="G27" s="17"/>
      <c r="H27" s="17"/>
      <c r="I27" s="17"/>
      <c r="J27" s="17"/>
      <c r="K27" s="17"/>
      <c r="L27" s="17"/>
      <c r="M27" s="17"/>
      <c r="N27" s="17"/>
      <c r="O27" s="17"/>
      <c r="P27" s="17"/>
      <c r="Q27" s="17"/>
      <c r="R27" s="17"/>
      <c r="S27" s="17"/>
      <c r="T27" s="17"/>
      <c r="U27" s="12"/>
      <c r="V27" s="12"/>
      <c r="W27" s="12"/>
      <c r="X27" s="12"/>
      <c r="Y27" s="12"/>
      <c r="Z27" s="12"/>
    </row>
    <row r="28" spans="1:26" ht="15" customHeight="1" x14ac:dyDescent="0.3">
      <c r="A28" s="26"/>
      <c r="B28" s="17"/>
      <c r="C28" s="17"/>
      <c r="D28" s="17"/>
      <c r="E28" s="17"/>
      <c r="F28" s="17"/>
      <c r="G28" s="17"/>
      <c r="H28" s="17"/>
      <c r="I28" s="17"/>
      <c r="J28" s="17"/>
      <c r="K28" s="17"/>
      <c r="L28" s="17"/>
      <c r="M28" s="17"/>
      <c r="N28" s="17"/>
      <c r="O28" s="17"/>
      <c r="P28" s="17"/>
      <c r="Q28" s="17"/>
      <c r="R28" s="17"/>
      <c r="S28" s="17"/>
      <c r="T28" s="17"/>
      <c r="U28" s="12"/>
      <c r="V28" s="12"/>
      <c r="W28" s="12"/>
      <c r="X28" s="12"/>
      <c r="Y28" s="12"/>
      <c r="Z28" s="12"/>
    </row>
    <row r="29" spans="1:26" ht="15" customHeight="1" x14ac:dyDescent="0.3">
      <c r="A29" s="26"/>
      <c r="B29" s="17"/>
      <c r="C29" s="17"/>
      <c r="D29" s="17"/>
      <c r="E29" s="17"/>
      <c r="F29" s="17"/>
      <c r="G29" s="17"/>
      <c r="H29" s="17"/>
      <c r="I29" s="17"/>
      <c r="J29" s="17"/>
      <c r="K29" s="17"/>
      <c r="L29" s="17"/>
      <c r="M29" s="17"/>
      <c r="N29" s="17"/>
      <c r="O29" s="17"/>
      <c r="P29" s="17"/>
      <c r="Q29" s="17"/>
      <c r="R29" s="17"/>
      <c r="S29" s="17"/>
      <c r="T29" s="17"/>
      <c r="U29" s="12"/>
      <c r="V29" s="12"/>
      <c r="W29" s="12"/>
      <c r="X29" s="12"/>
      <c r="Y29" s="12"/>
      <c r="Z29" s="12"/>
    </row>
    <row r="30" spans="1:26" ht="15" customHeight="1" x14ac:dyDescent="0.3">
      <c r="A30" s="26"/>
      <c r="B30" s="17"/>
      <c r="C30" s="17"/>
      <c r="D30" s="17"/>
      <c r="E30" s="17"/>
      <c r="F30" s="17"/>
      <c r="G30" s="17"/>
      <c r="H30" s="17"/>
      <c r="I30" s="17"/>
      <c r="J30" s="17"/>
      <c r="K30" s="17"/>
      <c r="L30" s="17"/>
      <c r="M30" s="17"/>
      <c r="N30" s="17"/>
      <c r="O30" s="17"/>
      <c r="P30" s="17"/>
      <c r="Q30" s="17"/>
      <c r="R30" s="17"/>
      <c r="S30" s="17"/>
      <c r="T30" s="17"/>
      <c r="U30" s="12"/>
      <c r="V30" s="12"/>
      <c r="W30" s="12"/>
      <c r="X30" s="12"/>
      <c r="Y30" s="12"/>
      <c r="Z30" s="12"/>
    </row>
    <row r="31" spans="1:26" ht="15" customHeight="1" x14ac:dyDescent="0.3">
      <c r="A31" s="26"/>
      <c r="B31" s="17"/>
      <c r="C31" s="17"/>
      <c r="D31" s="17"/>
      <c r="E31" s="17"/>
      <c r="F31" s="17"/>
      <c r="G31" s="17"/>
      <c r="H31" s="17"/>
      <c r="I31" s="17"/>
      <c r="J31" s="17"/>
      <c r="K31" s="17"/>
      <c r="L31" s="17"/>
      <c r="M31" s="17"/>
      <c r="N31" s="17"/>
      <c r="O31" s="17"/>
      <c r="P31" s="17"/>
      <c r="Q31" s="17"/>
      <c r="R31" s="17"/>
      <c r="S31" s="17"/>
      <c r="T31" s="17"/>
      <c r="U31" s="12"/>
      <c r="V31" s="12"/>
      <c r="W31" s="12"/>
      <c r="X31" s="12"/>
      <c r="Y31" s="12"/>
      <c r="Z31" s="12"/>
    </row>
    <row r="32" spans="1:26" ht="15" customHeight="1" x14ac:dyDescent="0.3">
      <c r="A32" s="26"/>
      <c r="B32" s="17"/>
      <c r="C32" s="17"/>
      <c r="D32" s="17"/>
      <c r="E32" s="17"/>
      <c r="F32" s="17"/>
      <c r="G32" s="17"/>
      <c r="H32" s="17"/>
      <c r="I32" s="17"/>
      <c r="J32" s="17"/>
      <c r="K32" s="17"/>
      <c r="L32" s="17"/>
      <c r="M32" s="17"/>
      <c r="N32" s="17"/>
      <c r="O32" s="17"/>
      <c r="P32" s="17"/>
      <c r="Q32" s="17"/>
      <c r="R32" s="17"/>
      <c r="S32" s="17"/>
      <c r="T32" s="17"/>
      <c r="U32" s="12"/>
      <c r="V32" s="12"/>
      <c r="W32" s="12"/>
      <c r="X32" s="12"/>
      <c r="Y32" s="12"/>
      <c r="Z32" s="12"/>
    </row>
    <row r="33" spans="1:26" ht="15" customHeight="1" x14ac:dyDescent="0.3">
      <c r="A33" s="26"/>
      <c r="B33" s="17"/>
      <c r="C33" s="17"/>
      <c r="D33" s="17"/>
      <c r="E33" s="17"/>
      <c r="F33" s="17"/>
      <c r="G33" s="17"/>
      <c r="H33" s="17"/>
      <c r="I33" s="17"/>
      <c r="J33" s="17"/>
      <c r="K33" s="17"/>
      <c r="L33" s="17"/>
      <c r="M33" s="17"/>
      <c r="N33" s="17"/>
      <c r="O33" s="17"/>
      <c r="P33" s="17"/>
      <c r="Q33" s="17"/>
      <c r="R33" s="17"/>
      <c r="S33" s="17"/>
      <c r="T33" s="17"/>
      <c r="U33" s="12"/>
      <c r="V33" s="12"/>
      <c r="W33" s="12"/>
      <c r="X33" s="12"/>
      <c r="Y33" s="12"/>
      <c r="Z33" s="12"/>
    </row>
    <row r="34" spans="1:26" ht="15" customHeight="1" x14ac:dyDescent="0.3">
      <c r="A34" s="26"/>
      <c r="B34" s="17"/>
      <c r="C34" s="17"/>
      <c r="D34" s="17"/>
      <c r="E34" s="17"/>
      <c r="F34" s="17"/>
      <c r="G34" s="17"/>
      <c r="H34" s="17"/>
      <c r="I34" s="17"/>
      <c r="J34" s="17"/>
      <c r="K34" s="17"/>
      <c r="L34" s="17"/>
      <c r="M34" s="17"/>
      <c r="N34" s="17"/>
      <c r="O34" s="17"/>
      <c r="P34" s="17"/>
      <c r="Q34" s="17"/>
      <c r="R34" s="17"/>
      <c r="S34" s="17"/>
      <c r="T34" s="17"/>
      <c r="U34" s="12"/>
      <c r="V34" s="12"/>
      <c r="W34" s="12"/>
      <c r="X34" s="12"/>
      <c r="Y34" s="12"/>
      <c r="Z34" s="12"/>
    </row>
    <row r="35" spans="1:26" ht="15" customHeight="1" x14ac:dyDescent="0.3">
      <c r="A35" s="26"/>
      <c r="B35" s="17"/>
      <c r="C35" s="17"/>
      <c r="D35" s="17"/>
      <c r="E35" s="17"/>
      <c r="F35" s="17"/>
      <c r="G35" s="17"/>
      <c r="H35" s="17"/>
      <c r="I35" s="17"/>
      <c r="J35" s="17"/>
      <c r="K35" s="17"/>
      <c r="L35" s="17"/>
      <c r="M35" s="17"/>
      <c r="N35" s="17"/>
      <c r="O35" s="17"/>
      <c r="P35" s="17"/>
      <c r="Q35" s="17"/>
      <c r="R35" s="17"/>
      <c r="S35" s="17"/>
      <c r="T35" s="17"/>
      <c r="U35" s="12"/>
      <c r="V35" s="12"/>
      <c r="W35" s="12"/>
      <c r="X35" s="12"/>
      <c r="Y35" s="12"/>
      <c r="Z35" s="12"/>
    </row>
    <row r="36" spans="1:26" ht="15" customHeight="1" x14ac:dyDescent="0.3">
      <c r="A36" s="26"/>
      <c r="B36" s="17"/>
      <c r="C36" s="17"/>
      <c r="D36" s="17"/>
      <c r="E36" s="17"/>
      <c r="F36" s="17"/>
      <c r="G36" s="17"/>
      <c r="H36" s="17"/>
      <c r="I36" s="17"/>
      <c r="J36" s="17"/>
      <c r="K36" s="17"/>
      <c r="L36" s="17"/>
      <c r="M36" s="17"/>
      <c r="N36" s="17"/>
      <c r="O36" s="17"/>
      <c r="P36" s="17"/>
      <c r="Q36" s="17"/>
      <c r="R36" s="17"/>
      <c r="S36" s="17"/>
      <c r="T36" s="17"/>
      <c r="U36" s="12"/>
      <c r="V36" s="12"/>
      <c r="W36" s="12"/>
      <c r="X36" s="12"/>
      <c r="Y36" s="12"/>
      <c r="Z36" s="12"/>
    </row>
    <row r="37" spans="1:26" ht="15" customHeight="1" x14ac:dyDescent="0.3">
      <c r="A37" s="26"/>
      <c r="B37" s="17"/>
      <c r="C37" s="17"/>
      <c r="D37" s="17"/>
      <c r="E37" s="17"/>
      <c r="F37" s="17"/>
      <c r="G37" s="17"/>
      <c r="H37" s="17"/>
      <c r="I37" s="17"/>
      <c r="J37" s="17"/>
      <c r="K37" s="17"/>
      <c r="L37" s="17"/>
      <c r="M37" s="17"/>
      <c r="N37" s="17"/>
      <c r="O37" s="17"/>
      <c r="P37" s="17"/>
      <c r="Q37" s="17"/>
      <c r="R37" s="17"/>
      <c r="S37" s="17"/>
      <c r="T37" s="17"/>
      <c r="U37" s="12"/>
      <c r="V37" s="12"/>
      <c r="W37" s="12"/>
      <c r="X37" s="12"/>
      <c r="Y37" s="12"/>
      <c r="Z37" s="12"/>
    </row>
    <row r="38" spans="1:26" ht="15" customHeight="1" x14ac:dyDescent="0.3">
      <c r="A38" s="26"/>
      <c r="B38" s="17"/>
      <c r="C38" s="17"/>
      <c r="D38" s="17"/>
      <c r="E38" s="17"/>
      <c r="F38" s="17"/>
      <c r="G38" s="17"/>
      <c r="H38" s="17"/>
      <c r="I38" s="17"/>
      <c r="J38" s="17"/>
      <c r="K38" s="17"/>
      <c r="L38" s="17"/>
      <c r="M38" s="17"/>
      <c r="N38" s="17"/>
      <c r="O38" s="17"/>
      <c r="P38" s="17"/>
      <c r="Q38" s="17"/>
      <c r="R38" s="17"/>
      <c r="S38" s="17"/>
      <c r="T38" s="17"/>
      <c r="U38" s="12"/>
      <c r="V38" s="12"/>
      <c r="W38" s="12"/>
      <c r="X38" s="12"/>
      <c r="Y38" s="12"/>
      <c r="Z38" s="12"/>
    </row>
    <row r="39" spans="1:26" ht="15" customHeight="1" x14ac:dyDescent="0.3">
      <c r="A39" s="26"/>
      <c r="B39" s="17"/>
      <c r="C39" s="17"/>
      <c r="D39" s="17"/>
      <c r="E39" s="17"/>
      <c r="F39" s="17"/>
      <c r="G39" s="17"/>
      <c r="H39" s="17"/>
      <c r="I39" s="17"/>
      <c r="J39" s="17"/>
      <c r="K39" s="17"/>
      <c r="L39" s="17"/>
      <c r="M39" s="17"/>
      <c r="N39" s="17"/>
      <c r="O39" s="17"/>
      <c r="P39" s="17"/>
      <c r="Q39" s="17"/>
      <c r="R39" s="17"/>
      <c r="S39" s="17"/>
      <c r="T39" s="17"/>
      <c r="U39" s="12"/>
      <c r="V39" s="12"/>
      <c r="W39" s="12"/>
      <c r="X39" s="12"/>
      <c r="Y39" s="12"/>
      <c r="Z39" s="12"/>
    </row>
    <row r="40" spans="1:26" ht="15" customHeight="1" x14ac:dyDescent="0.3">
      <c r="A40" s="26"/>
      <c r="B40" s="17"/>
      <c r="C40" s="17"/>
      <c r="D40" s="17"/>
      <c r="E40" s="17"/>
      <c r="F40" s="17"/>
      <c r="G40" s="17"/>
      <c r="H40" s="17"/>
      <c r="I40" s="17"/>
      <c r="J40" s="17"/>
      <c r="K40" s="17"/>
      <c r="L40" s="17"/>
      <c r="M40" s="17"/>
      <c r="N40" s="17"/>
      <c r="O40" s="17"/>
      <c r="P40" s="17"/>
      <c r="Q40" s="17"/>
      <c r="R40" s="17"/>
      <c r="S40" s="17"/>
      <c r="T40" s="17"/>
      <c r="U40" s="12"/>
      <c r="V40" s="12"/>
      <c r="W40" s="12"/>
      <c r="X40" s="12"/>
      <c r="Y40" s="12"/>
      <c r="Z40" s="12"/>
    </row>
    <row r="41" spans="1:26" ht="15" customHeight="1" x14ac:dyDescent="0.3">
      <c r="A41" s="26"/>
      <c r="B41" s="17"/>
      <c r="C41" s="17"/>
      <c r="D41" s="17"/>
      <c r="E41" s="17"/>
      <c r="F41" s="17"/>
      <c r="G41" s="17"/>
      <c r="H41" s="17"/>
      <c r="I41" s="17"/>
      <c r="J41" s="17"/>
      <c r="K41" s="17"/>
      <c r="L41" s="17"/>
      <c r="M41" s="17"/>
      <c r="N41" s="17"/>
      <c r="O41" s="17"/>
      <c r="P41" s="17"/>
      <c r="Q41" s="17"/>
      <c r="R41" s="17"/>
      <c r="S41" s="17"/>
      <c r="T41" s="17"/>
      <c r="U41" s="12"/>
      <c r="V41" s="12"/>
      <c r="W41" s="12"/>
      <c r="X41" s="12"/>
      <c r="Y41" s="12"/>
      <c r="Z41" s="12"/>
    </row>
    <row r="42" spans="1:26" ht="15" customHeight="1" x14ac:dyDescent="0.3">
      <c r="A42" s="26"/>
      <c r="B42" s="17"/>
      <c r="C42" s="17"/>
      <c r="D42" s="17"/>
      <c r="E42" s="17"/>
      <c r="F42" s="17"/>
      <c r="G42" s="17"/>
      <c r="H42" s="17"/>
      <c r="I42" s="17"/>
      <c r="J42" s="17"/>
      <c r="K42" s="17"/>
      <c r="L42" s="17"/>
      <c r="M42" s="17"/>
      <c r="N42" s="17"/>
      <c r="O42" s="17"/>
      <c r="P42" s="17"/>
      <c r="Q42" s="17"/>
      <c r="R42" s="17"/>
      <c r="S42" s="17"/>
      <c r="T42" s="17"/>
      <c r="U42" s="12"/>
      <c r="V42" s="12"/>
      <c r="W42" s="12"/>
      <c r="X42" s="12"/>
      <c r="Y42" s="12"/>
      <c r="Z42" s="12"/>
    </row>
    <row r="43" spans="1:26" ht="15" customHeight="1" x14ac:dyDescent="0.3">
      <c r="A43" s="26"/>
      <c r="B43" s="17"/>
      <c r="C43" s="17"/>
      <c r="D43" s="17"/>
      <c r="E43" s="17"/>
      <c r="F43" s="17"/>
      <c r="G43" s="17"/>
      <c r="H43" s="17"/>
      <c r="I43" s="17"/>
      <c r="J43" s="17"/>
      <c r="K43" s="17"/>
      <c r="L43" s="17"/>
      <c r="M43" s="17"/>
      <c r="N43" s="17"/>
      <c r="O43" s="17"/>
      <c r="P43" s="17"/>
      <c r="Q43" s="17"/>
      <c r="R43" s="17"/>
      <c r="S43" s="17"/>
      <c r="T43" s="17"/>
      <c r="U43" s="12"/>
      <c r="V43" s="12"/>
      <c r="W43" s="12"/>
      <c r="X43" s="12"/>
      <c r="Y43" s="12"/>
      <c r="Z43" s="12"/>
    </row>
    <row r="44" spans="1:26" ht="15" customHeight="1" x14ac:dyDescent="0.3">
      <c r="A44" s="26"/>
      <c r="B44" s="17"/>
      <c r="C44" s="17"/>
      <c r="D44" s="17"/>
      <c r="E44" s="17"/>
      <c r="F44" s="17"/>
      <c r="G44" s="17"/>
      <c r="H44" s="17"/>
      <c r="I44" s="17"/>
      <c r="J44" s="17"/>
      <c r="K44" s="17"/>
      <c r="L44" s="17"/>
      <c r="M44" s="17"/>
      <c r="N44" s="17"/>
      <c r="O44" s="17"/>
      <c r="P44" s="17"/>
      <c r="Q44" s="17"/>
      <c r="R44" s="17"/>
      <c r="S44" s="17"/>
      <c r="T44" s="17"/>
      <c r="U44" s="12"/>
      <c r="V44" s="12"/>
      <c r="W44" s="12"/>
      <c r="X44" s="12"/>
      <c r="Y44" s="12"/>
      <c r="Z44" s="12"/>
    </row>
    <row r="45" spans="1:26" ht="15" customHeight="1" x14ac:dyDescent="0.3">
      <c r="A45" s="26"/>
      <c r="B45" s="17"/>
      <c r="C45" s="17"/>
      <c r="D45" s="17"/>
      <c r="E45" s="17"/>
      <c r="F45" s="17"/>
      <c r="G45" s="17"/>
      <c r="H45" s="17"/>
      <c r="I45" s="17"/>
      <c r="J45" s="17"/>
      <c r="K45" s="17"/>
      <c r="L45" s="17"/>
      <c r="M45" s="17"/>
      <c r="N45" s="17"/>
      <c r="O45" s="17"/>
      <c r="P45" s="17"/>
      <c r="Q45" s="17"/>
      <c r="R45" s="17"/>
      <c r="S45" s="17"/>
      <c r="T45" s="17"/>
      <c r="U45" s="12"/>
      <c r="V45" s="12"/>
      <c r="W45" s="12"/>
      <c r="X45" s="12"/>
      <c r="Y45" s="12"/>
      <c r="Z45" s="12"/>
    </row>
    <row r="46" spans="1:26" ht="15" customHeight="1" x14ac:dyDescent="0.3">
      <c r="A46" s="26"/>
      <c r="B46" s="17"/>
      <c r="C46" s="17"/>
      <c r="D46" s="17"/>
      <c r="E46" s="17"/>
      <c r="F46" s="17"/>
      <c r="G46" s="17"/>
      <c r="H46" s="17"/>
      <c r="I46" s="17"/>
      <c r="J46" s="17"/>
      <c r="K46" s="17"/>
      <c r="L46" s="17"/>
      <c r="M46" s="17"/>
      <c r="N46" s="17"/>
      <c r="O46" s="17"/>
      <c r="P46" s="17"/>
      <c r="Q46" s="17"/>
      <c r="R46" s="17"/>
      <c r="S46" s="17"/>
      <c r="T46" s="17"/>
      <c r="U46" s="12"/>
      <c r="V46" s="12"/>
      <c r="W46" s="12"/>
      <c r="X46" s="12"/>
      <c r="Y46" s="12"/>
      <c r="Z46" s="12"/>
    </row>
    <row r="47" spans="1:26" ht="15" customHeight="1" x14ac:dyDescent="0.3">
      <c r="A47" s="26"/>
      <c r="B47" s="17"/>
      <c r="C47" s="17"/>
      <c r="D47" s="17"/>
      <c r="E47" s="17"/>
      <c r="F47" s="17"/>
      <c r="G47" s="17"/>
      <c r="H47" s="17"/>
      <c r="I47" s="17"/>
      <c r="J47" s="17"/>
      <c r="K47" s="17"/>
      <c r="L47" s="17"/>
      <c r="M47" s="17"/>
      <c r="N47" s="17"/>
      <c r="O47" s="17"/>
      <c r="P47" s="17"/>
      <c r="Q47" s="17"/>
      <c r="R47" s="17"/>
      <c r="S47" s="17"/>
      <c r="T47" s="17"/>
      <c r="U47" s="12"/>
      <c r="V47" s="12"/>
      <c r="W47" s="12"/>
      <c r="X47" s="12"/>
      <c r="Y47" s="12"/>
      <c r="Z47" s="12"/>
    </row>
    <row r="48" spans="1:26" ht="15" customHeight="1" x14ac:dyDescent="0.3">
      <c r="A48" s="26"/>
      <c r="B48" s="17"/>
      <c r="C48" s="17"/>
      <c r="D48" s="17"/>
      <c r="E48" s="17"/>
      <c r="F48" s="17"/>
      <c r="G48" s="17"/>
      <c r="H48" s="17"/>
      <c r="I48" s="17"/>
      <c r="J48" s="17"/>
      <c r="K48" s="17"/>
      <c r="L48" s="17"/>
      <c r="M48" s="17"/>
      <c r="N48" s="17"/>
      <c r="O48" s="17"/>
      <c r="P48" s="17"/>
      <c r="Q48" s="17"/>
      <c r="R48" s="17"/>
      <c r="S48" s="17"/>
      <c r="T48" s="17"/>
      <c r="U48" s="12"/>
      <c r="V48" s="12"/>
      <c r="W48" s="12"/>
      <c r="X48" s="12"/>
      <c r="Y48" s="12"/>
      <c r="Z48" s="12"/>
    </row>
    <row r="49" spans="1:26" ht="15" customHeight="1" x14ac:dyDescent="0.3">
      <c r="A49" s="26"/>
      <c r="B49" s="17"/>
      <c r="C49" s="17"/>
      <c r="D49" s="17"/>
      <c r="E49" s="17"/>
      <c r="F49" s="17"/>
      <c r="G49" s="17"/>
      <c r="H49" s="17"/>
      <c r="I49" s="17"/>
      <c r="J49" s="17"/>
      <c r="K49" s="17"/>
      <c r="L49" s="17"/>
      <c r="M49" s="17"/>
      <c r="N49" s="17"/>
      <c r="O49" s="17"/>
      <c r="P49" s="17"/>
      <c r="Q49" s="17"/>
      <c r="R49" s="17"/>
      <c r="S49" s="17"/>
      <c r="T49" s="17"/>
      <c r="U49" s="12"/>
      <c r="V49" s="12"/>
      <c r="W49" s="12"/>
      <c r="X49" s="12"/>
      <c r="Y49" s="12"/>
      <c r="Z49" s="12"/>
    </row>
    <row r="50" spans="1:26" ht="15" customHeight="1" x14ac:dyDescent="0.3">
      <c r="A50" s="26"/>
      <c r="B50" s="17"/>
      <c r="C50" s="17"/>
      <c r="D50" s="17"/>
      <c r="E50" s="17"/>
      <c r="F50" s="17"/>
      <c r="G50" s="17"/>
      <c r="H50" s="17"/>
      <c r="I50" s="17"/>
      <c r="J50" s="17"/>
      <c r="K50" s="17"/>
      <c r="L50" s="17"/>
      <c r="M50" s="17"/>
      <c r="N50" s="17"/>
      <c r="O50" s="17"/>
      <c r="P50" s="17"/>
      <c r="Q50" s="17"/>
      <c r="R50" s="17"/>
      <c r="S50" s="17"/>
      <c r="T50" s="17"/>
      <c r="U50" s="12"/>
      <c r="V50" s="12"/>
      <c r="W50" s="12"/>
      <c r="X50" s="12"/>
      <c r="Y50" s="12"/>
      <c r="Z50" s="12"/>
    </row>
    <row r="51" spans="1:26" ht="15" customHeight="1" x14ac:dyDescent="0.3">
      <c r="A51" s="26"/>
      <c r="B51" s="17"/>
      <c r="C51" s="17"/>
      <c r="D51" s="17"/>
      <c r="E51" s="17"/>
      <c r="F51" s="17"/>
      <c r="G51" s="17"/>
      <c r="H51" s="17"/>
      <c r="I51" s="17"/>
      <c r="J51" s="17"/>
      <c r="K51" s="17"/>
      <c r="L51" s="17"/>
      <c r="M51" s="17"/>
      <c r="N51" s="17"/>
      <c r="O51" s="17"/>
      <c r="P51" s="17"/>
      <c r="Q51" s="17"/>
      <c r="R51" s="17"/>
      <c r="S51" s="17"/>
      <c r="T51" s="17"/>
      <c r="U51" s="12"/>
      <c r="V51" s="12"/>
      <c r="W51" s="12"/>
      <c r="X51" s="12"/>
      <c r="Y51" s="12"/>
      <c r="Z51" s="12"/>
    </row>
    <row r="52" spans="1:26" ht="15" customHeight="1" x14ac:dyDescent="0.3">
      <c r="A52" s="26"/>
      <c r="B52" s="17"/>
      <c r="C52" s="17"/>
      <c r="D52" s="17"/>
      <c r="E52" s="17"/>
      <c r="F52" s="17"/>
      <c r="G52" s="17"/>
      <c r="H52" s="17"/>
      <c r="I52" s="17"/>
      <c r="J52" s="17"/>
      <c r="K52" s="17"/>
      <c r="L52" s="17"/>
      <c r="M52" s="17"/>
      <c r="N52" s="17"/>
      <c r="O52" s="17"/>
      <c r="P52" s="17"/>
      <c r="Q52" s="17"/>
      <c r="R52" s="17"/>
      <c r="S52" s="17"/>
      <c r="T52" s="17"/>
      <c r="U52" s="12"/>
      <c r="V52" s="12"/>
      <c r="W52" s="12"/>
      <c r="X52" s="12"/>
      <c r="Y52" s="12"/>
      <c r="Z52" s="12"/>
    </row>
    <row r="53" spans="1:26" ht="15" customHeight="1" x14ac:dyDescent="0.3">
      <c r="A53" s="26"/>
      <c r="B53" s="17"/>
      <c r="C53" s="17"/>
      <c r="D53" s="17"/>
      <c r="E53" s="17"/>
      <c r="F53" s="17"/>
      <c r="G53" s="17"/>
      <c r="H53" s="17"/>
      <c r="I53" s="17"/>
      <c r="J53" s="17"/>
      <c r="K53" s="17"/>
      <c r="L53" s="17"/>
      <c r="M53" s="17"/>
      <c r="N53" s="17"/>
      <c r="O53" s="17"/>
      <c r="P53" s="17"/>
      <c r="Q53" s="17"/>
      <c r="R53" s="17"/>
      <c r="S53" s="17"/>
      <c r="T53" s="17"/>
      <c r="U53" s="12"/>
      <c r="V53" s="12"/>
      <c r="W53" s="12"/>
      <c r="X53" s="12"/>
      <c r="Y53" s="12"/>
      <c r="Z53" s="12"/>
    </row>
    <row r="54" spans="1:26" ht="15" customHeight="1" x14ac:dyDescent="0.3">
      <c r="A54" s="26"/>
      <c r="B54" s="17"/>
      <c r="C54" s="17"/>
      <c r="D54" s="17"/>
      <c r="E54" s="17"/>
      <c r="F54" s="17"/>
      <c r="G54" s="17"/>
      <c r="H54" s="17"/>
      <c r="I54" s="17"/>
      <c r="J54" s="17"/>
      <c r="K54" s="17"/>
      <c r="L54" s="17"/>
      <c r="M54" s="17"/>
      <c r="N54" s="17"/>
      <c r="O54" s="17"/>
      <c r="P54" s="17"/>
      <c r="Q54" s="17"/>
      <c r="R54" s="17"/>
      <c r="S54" s="17"/>
      <c r="T54" s="17"/>
      <c r="U54" s="12"/>
      <c r="V54" s="12"/>
      <c r="W54" s="12"/>
      <c r="X54" s="12"/>
      <c r="Y54" s="12"/>
      <c r="Z54" s="12"/>
    </row>
    <row r="55" spans="1:26" ht="15" customHeight="1" x14ac:dyDescent="0.3">
      <c r="A55" s="26"/>
      <c r="B55" s="17"/>
      <c r="C55" s="17"/>
      <c r="D55" s="17"/>
      <c r="E55" s="17"/>
      <c r="F55" s="17"/>
      <c r="G55" s="17"/>
      <c r="H55" s="17"/>
      <c r="I55" s="17"/>
      <c r="J55" s="17"/>
      <c r="K55" s="17"/>
      <c r="L55" s="17"/>
      <c r="M55" s="17"/>
      <c r="N55" s="17"/>
      <c r="O55" s="17"/>
      <c r="P55" s="17"/>
      <c r="Q55" s="17"/>
      <c r="R55" s="17"/>
      <c r="S55" s="17"/>
      <c r="T55" s="17"/>
      <c r="U55" s="12"/>
      <c r="V55" s="12"/>
      <c r="W55" s="12"/>
      <c r="X55" s="12"/>
      <c r="Y55" s="12"/>
      <c r="Z55" s="12"/>
    </row>
    <row r="56" spans="1:26" ht="15" customHeight="1" x14ac:dyDescent="0.3">
      <c r="A56" s="26"/>
      <c r="B56" s="17"/>
      <c r="C56" s="17"/>
      <c r="D56" s="17"/>
      <c r="E56" s="17"/>
      <c r="F56" s="17"/>
      <c r="G56" s="17"/>
      <c r="H56" s="17"/>
      <c r="I56" s="17"/>
      <c r="J56" s="17"/>
      <c r="K56" s="17"/>
      <c r="L56" s="17"/>
      <c r="M56" s="17"/>
      <c r="N56" s="17"/>
      <c r="O56" s="17"/>
      <c r="P56" s="17"/>
      <c r="Q56" s="17"/>
      <c r="R56" s="17"/>
      <c r="S56" s="17"/>
      <c r="T56" s="17"/>
      <c r="U56" s="12"/>
      <c r="V56" s="12"/>
      <c r="W56" s="12"/>
      <c r="X56" s="12"/>
      <c r="Y56" s="12"/>
      <c r="Z56" s="12"/>
    </row>
    <row r="57" spans="1:26" ht="15" customHeight="1" x14ac:dyDescent="0.3">
      <c r="A57" s="26"/>
      <c r="B57" s="17"/>
      <c r="C57" s="17"/>
      <c r="D57" s="17"/>
      <c r="E57" s="17"/>
      <c r="F57" s="17"/>
      <c r="G57" s="17"/>
      <c r="H57" s="17"/>
      <c r="I57" s="17"/>
      <c r="J57" s="17"/>
      <c r="K57" s="17"/>
      <c r="L57" s="17"/>
      <c r="M57" s="17"/>
      <c r="N57" s="17"/>
      <c r="O57" s="17"/>
      <c r="P57" s="17"/>
      <c r="Q57" s="17"/>
      <c r="R57" s="17"/>
      <c r="S57" s="17"/>
      <c r="T57" s="17"/>
      <c r="U57" s="12"/>
      <c r="V57" s="12"/>
      <c r="W57" s="12"/>
      <c r="X57" s="12"/>
      <c r="Y57" s="12"/>
      <c r="Z57" s="12"/>
    </row>
    <row r="58" spans="1:26" ht="15" customHeight="1" x14ac:dyDescent="0.3">
      <c r="A58" s="26"/>
      <c r="B58" s="17"/>
      <c r="C58" s="17"/>
      <c r="D58" s="17"/>
      <c r="E58" s="17"/>
      <c r="F58" s="17"/>
      <c r="G58" s="17"/>
      <c r="H58" s="17"/>
      <c r="I58" s="17"/>
      <c r="J58" s="17"/>
      <c r="K58" s="17"/>
      <c r="L58" s="17"/>
      <c r="M58" s="17"/>
      <c r="N58" s="17"/>
      <c r="O58" s="17"/>
      <c r="P58" s="17"/>
      <c r="Q58" s="17"/>
      <c r="R58" s="17"/>
      <c r="S58" s="17"/>
      <c r="T58" s="17"/>
      <c r="U58" s="12"/>
      <c r="V58" s="12"/>
      <c r="W58" s="12"/>
      <c r="X58" s="12"/>
      <c r="Y58" s="12"/>
      <c r="Z58" s="12"/>
    </row>
    <row r="59" spans="1:26" ht="15" customHeight="1" x14ac:dyDescent="0.3">
      <c r="A59" s="26"/>
      <c r="B59" s="17"/>
      <c r="C59" s="17"/>
      <c r="D59" s="17"/>
      <c r="E59" s="17"/>
      <c r="F59" s="17"/>
      <c r="G59" s="17"/>
      <c r="H59" s="17"/>
      <c r="I59" s="17"/>
      <c r="J59" s="17"/>
      <c r="K59" s="17"/>
      <c r="L59" s="17"/>
      <c r="M59" s="17"/>
      <c r="N59" s="17"/>
      <c r="O59" s="17"/>
      <c r="P59" s="17"/>
      <c r="Q59" s="17"/>
      <c r="R59" s="17"/>
      <c r="S59" s="17"/>
      <c r="T59" s="17"/>
      <c r="U59" s="12"/>
      <c r="V59" s="12"/>
      <c r="W59" s="12"/>
      <c r="X59" s="12"/>
      <c r="Y59" s="12"/>
      <c r="Z59" s="12"/>
    </row>
    <row r="60" spans="1:26" ht="15" customHeight="1" x14ac:dyDescent="0.3">
      <c r="A60" s="26"/>
      <c r="B60" s="17"/>
      <c r="C60" s="17"/>
      <c r="D60" s="17"/>
      <c r="E60" s="17"/>
      <c r="F60" s="17"/>
      <c r="G60" s="17"/>
      <c r="H60" s="17"/>
      <c r="I60" s="17"/>
      <c r="J60" s="17"/>
      <c r="K60" s="17"/>
      <c r="L60" s="17"/>
      <c r="M60" s="17"/>
      <c r="N60" s="17"/>
      <c r="O60" s="17"/>
      <c r="P60" s="17"/>
      <c r="Q60" s="17"/>
      <c r="R60" s="17"/>
      <c r="S60" s="17"/>
      <c r="T60" s="17"/>
      <c r="U60" s="12"/>
      <c r="V60" s="12"/>
      <c r="W60" s="12"/>
      <c r="X60" s="12"/>
      <c r="Y60" s="12"/>
      <c r="Z60" s="12"/>
    </row>
    <row r="61" spans="1:26" ht="15" customHeight="1" x14ac:dyDescent="0.3">
      <c r="A61" s="26"/>
      <c r="B61" s="17"/>
      <c r="C61" s="17"/>
      <c r="D61" s="17"/>
      <c r="E61" s="17"/>
      <c r="F61" s="17"/>
      <c r="G61" s="17"/>
      <c r="H61" s="17"/>
      <c r="I61" s="17"/>
      <c r="J61" s="17"/>
      <c r="K61" s="17"/>
      <c r="L61" s="17"/>
      <c r="M61" s="17"/>
      <c r="N61" s="17"/>
      <c r="O61" s="17"/>
      <c r="P61" s="17"/>
      <c r="Q61" s="17"/>
      <c r="R61" s="17"/>
      <c r="S61" s="17"/>
      <c r="T61" s="17"/>
      <c r="U61" s="12"/>
      <c r="V61" s="12"/>
      <c r="W61" s="12"/>
      <c r="X61" s="12"/>
      <c r="Y61" s="12"/>
      <c r="Z61" s="12"/>
    </row>
    <row r="62" spans="1:26" ht="15" customHeight="1" x14ac:dyDescent="0.3">
      <c r="A62" s="26"/>
      <c r="B62" s="17"/>
      <c r="C62" s="17"/>
      <c r="D62" s="17"/>
      <c r="E62" s="17"/>
      <c r="F62" s="17"/>
      <c r="G62" s="17"/>
      <c r="H62" s="17"/>
      <c r="I62" s="17"/>
      <c r="J62" s="17"/>
      <c r="K62" s="17"/>
      <c r="L62" s="17"/>
      <c r="M62" s="17"/>
      <c r="N62" s="17"/>
      <c r="O62" s="17"/>
      <c r="P62" s="17"/>
      <c r="Q62" s="17"/>
      <c r="R62" s="17"/>
      <c r="S62" s="17"/>
      <c r="T62" s="17"/>
      <c r="U62" s="12"/>
      <c r="V62" s="12"/>
      <c r="W62" s="12"/>
      <c r="X62" s="12"/>
      <c r="Y62" s="12"/>
      <c r="Z62" s="12"/>
    </row>
    <row r="63" spans="1:26" ht="15" customHeight="1" x14ac:dyDescent="0.3">
      <c r="A63" s="26"/>
      <c r="B63" s="17"/>
      <c r="C63" s="17"/>
      <c r="D63" s="17"/>
      <c r="E63" s="17"/>
      <c r="F63" s="17"/>
      <c r="G63" s="17"/>
      <c r="H63" s="17"/>
      <c r="I63" s="17"/>
      <c r="J63" s="17"/>
      <c r="K63" s="17"/>
      <c r="L63" s="17"/>
      <c r="M63" s="17"/>
      <c r="N63" s="17"/>
      <c r="O63" s="17"/>
      <c r="P63" s="17"/>
      <c r="Q63" s="17"/>
      <c r="R63" s="17"/>
      <c r="S63" s="17"/>
      <c r="T63" s="17"/>
      <c r="U63" s="12"/>
      <c r="V63" s="12"/>
      <c r="W63" s="12"/>
      <c r="X63" s="12"/>
      <c r="Y63" s="12"/>
      <c r="Z63" s="12"/>
    </row>
    <row r="64" spans="1:26" ht="15" customHeight="1" x14ac:dyDescent="0.3">
      <c r="A64" s="26"/>
      <c r="B64" s="17"/>
      <c r="C64" s="17"/>
      <c r="D64" s="17"/>
      <c r="E64" s="17"/>
      <c r="F64" s="17"/>
      <c r="G64" s="17"/>
      <c r="H64" s="17"/>
      <c r="I64" s="17"/>
      <c r="J64" s="17"/>
      <c r="K64" s="17"/>
      <c r="L64" s="17"/>
      <c r="M64" s="17"/>
      <c r="N64" s="17"/>
      <c r="O64" s="17"/>
      <c r="P64" s="17"/>
      <c r="Q64" s="17"/>
      <c r="R64" s="17"/>
      <c r="S64" s="17"/>
      <c r="T64" s="17"/>
      <c r="U64" s="12"/>
      <c r="V64" s="12"/>
      <c r="W64" s="12"/>
      <c r="X64" s="12"/>
      <c r="Y64" s="12"/>
      <c r="Z64" s="12"/>
    </row>
    <row r="65" spans="1:26" ht="15" customHeight="1" x14ac:dyDescent="0.3">
      <c r="A65" s="26"/>
      <c r="B65" s="17"/>
      <c r="C65" s="17"/>
      <c r="D65" s="17"/>
      <c r="E65" s="17"/>
      <c r="F65" s="17"/>
      <c r="G65" s="17"/>
      <c r="H65" s="17"/>
      <c r="I65" s="17"/>
      <c r="J65" s="17"/>
      <c r="K65" s="17"/>
      <c r="L65" s="17"/>
      <c r="M65" s="17"/>
      <c r="N65" s="17"/>
      <c r="O65" s="17"/>
      <c r="P65" s="17"/>
      <c r="Q65" s="17"/>
      <c r="R65" s="17"/>
      <c r="S65" s="17"/>
      <c r="T65" s="17"/>
      <c r="U65" s="12"/>
      <c r="V65" s="12"/>
      <c r="W65" s="12"/>
      <c r="X65" s="12"/>
      <c r="Y65" s="12"/>
      <c r="Z65" s="12"/>
    </row>
    <row r="66" spans="1:26" ht="15" customHeight="1" x14ac:dyDescent="0.3">
      <c r="A66" s="26"/>
      <c r="B66" s="17"/>
      <c r="C66" s="17"/>
      <c r="D66" s="17"/>
      <c r="E66" s="17"/>
      <c r="F66" s="17"/>
      <c r="G66" s="17"/>
      <c r="H66" s="17"/>
      <c r="I66" s="17"/>
      <c r="J66" s="17"/>
      <c r="K66" s="17"/>
      <c r="L66" s="17"/>
      <c r="M66" s="17"/>
      <c r="N66" s="17"/>
      <c r="O66" s="17"/>
      <c r="P66" s="17"/>
      <c r="Q66" s="17"/>
      <c r="R66" s="17"/>
      <c r="S66" s="17"/>
      <c r="T66" s="17"/>
      <c r="U66" s="12"/>
      <c r="V66" s="12"/>
      <c r="W66" s="12"/>
      <c r="X66" s="12"/>
      <c r="Y66" s="12"/>
      <c r="Z66" s="12"/>
    </row>
    <row r="67" spans="1:26" ht="15" customHeight="1" x14ac:dyDescent="0.3">
      <c r="A67" s="26"/>
      <c r="B67" s="17"/>
      <c r="C67" s="17"/>
      <c r="D67" s="17"/>
      <c r="E67" s="17"/>
      <c r="F67" s="17"/>
      <c r="G67" s="17"/>
      <c r="H67" s="17"/>
      <c r="I67" s="17"/>
      <c r="J67" s="17"/>
      <c r="K67" s="17"/>
      <c r="L67" s="17"/>
      <c r="M67" s="17"/>
      <c r="N67" s="17"/>
      <c r="O67" s="17"/>
      <c r="P67" s="17"/>
      <c r="Q67" s="17"/>
      <c r="R67" s="17"/>
      <c r="S67" s="17"/>
      <c r="T67" s="17"/>
      <c r="U67" s="12"/>
      <c r="V67" s="12"/>
      <c r="W67" s="12"/>
      <c r="X67" s="12"/>
      <c r="Y67" s="12"/>
      <c r="Z67" s="12"/>
    </row>
    <row r="68" spans="1:26" ht="15" customHeight="1" x14ac:dyDescent="0.3">
      <c r="A68" s="26"/>
      <c r="B68" s="17"/>
      <c r="C68" s="17"/>
      <c r="D68" s="17"/>
      <c r="E68" s="17"/>
      <c r="F68" s="17"/>
      <c r="G68" s="17"/>
      <c r="H68" s="17"/>
      <c r="I68" s="17"/>
      <c r="J68" s="17"/>
      <c r="K68" s="17"/>
      <c r="L68" s="17"/>
      <c r="M68" s="17"/>
      <c r="N68" s="17"/>
      <c r="O68" s="17"/>
      <c r="P68" s="17"/>
      <c r="Q68" s="17"/>
      <c r="R68" s="17"/>
      <c r="S68" s="17"/>
      <c r="T68" s="17"/>
      <c r="U68" s="12"/>
      <c r="V68" s="12"/>
      <c r="W68" s="12"/>
      <c r="X68" s="12"/>
      <c r="Y68" s="12"/>
      <c r="Z68" s="12"/>
    </row>
    <row r="69" spans="1:26" ht="15" customHeight="1" x14ac:dyDescent="0.3">
      <c r="A69" s="26"/>
      <c r="B69" s="17"/>
      <c r="C69" s="17"/>
      <c r="D69" s="17"/>
      <c r="E69" s="17"/>
      <c r="F69" s="17"/>
      <c r="G69" s="17"/>
      <c r="H69" s="17"/>
      <c r="I69" s="17"/>
      <c r="J69" s="17"/>
      <c r="K69" s="17"/>
      <c r="L69" s="17"/>
      <c r="M69" s="17"/>
      <c r="N69" s="17"/>
      <c r="O69" s="17"/>
      <c r="P69" s="17"/>
      <c r="Q69" s="17"/>
      <c r="R69" s="17"/>
      <c r="S69" s="17"/>
      <c r="T69" s="17"/>
      <c r="U69" s="12"/>
      <c r="V69" s="12"/>
      <c r="W69" s="12"/>
      <c r="X69" s="12"/>
      <c r="Y69" s="12"/>
      <c r="Z69" s="12"/>
    </row>
    <row r="70" spans="1:26" ht="15" customHeight="1" x14ac:dyDescent="0.3">
      <c r="A70" s="26"/>
      <c r="B70" s="17"/>
      <c r="C70" s="17"/>
      <c r="D70" s="17"/>
      <c r="E70" s="17"/>
      <c r="F70" s="17"/>
      <c r="G70" s="17"/>
      <c r="H70" s="17"/>
      <c r="I70" s="17"/>
      <c r="J70" s="17"/>
      <c r="K70" s="17"/>
      <c r="L70" s="17"/>
      <c r="M70" s="17"/>
      <c r="N70" s="17"/>
      <c r="O70" s="17"/>
      <c r="P70" s="17"/>
      <c r="Q70" s="17"/>
      <c r="R70" s="17"/>
      <c r="S70" s="17"/>
      <c r="T70" s="17"/>
      <c r="U70" s="12"/>
      <c r="V70" s="12"/>
      <c r="W70" s="12"/>
      <c r="X70" s="12"/>
      <c r="Y70" s="12"/>
      <c r="Z70" s="12"/>
    </row>
    <row r="71" spans="1:26" ht="15" customHeight="1" x14ac:dyDescent="0.3">
      <c r="A71" s="26"/>
      <c r="B71" s="17"/>
      <c r="C71" s="17"/>
      <c r="D71" s="17"/>
      <c r="E71" s="17"/>
      <c r="F71" s="17"/>
      <c r="G71" s="17"/>
      <c r="H71" s="17"/>
      <c r="I71" s="17"/>
      <c r="J71" s="17"/>
      <c r="K71" s="17"/>
      <c r="L71" s="17"/>
      <c r="M71" s="17"/>
      <c r="N71" s="17"/>
      <c r="O71" s="17"/>
      <c r="P71" s="17"/>
      <c r="Q71" s="17"/>
      <c r="R71" s="17"/>
      <c r="S71" s="17"/>
      <c r="T71" s="17"/>
      <c r="U71" s="12"/>
      <c r="V71" s="12"/>
      <c r="W71" s="12"/>
      <c r="X71" s="12"/>
      <c r="Y71" s="12"/>
      <c r="Z71" s="12"/>
    </row>
    <row r="72" spans="1:26" ht="15" customHeight="1" x14ac:dyDescent="0.3">
      <c r="A72" s="26"/>
      <c r="B72" s="17"/>
      <c r="C72" s="17"/>
      <c r="D72" s="17"/>
      <c r="E72" s="17"/>
      <c r="F72" s="17"/>
      <c r="G72" s="17"/>
      <c r="H72" s="17"/>
      <c r="I72" s="17"/>
      <c r="J72" s="17"/>
      <c r="K72" s="17"/>
      <c r="L72" s="17"/>
      <c r="M72" s="17"/>
      <c r="N72" s="17"/>
      <c r="O72" s="17"/>
      <c r="P72" s="17"/>
      <c r="Q72" s="17"/>
      <c r="R72" s="17"/>
      <c r="S72" s="17"/>
      <c r="T72" s="17"/>
      <c r="U72" s="12"/>
      <c r="V72" s="12"/>
      <c r="W72" s="12"/>
      <c r="X72" s="12"/>
      <c r="Y72" s="12"/>
      <c r="Z72" s="12"/>
    </row>
    <row r="73" spans="1:26" ht="15" customHeight="1" x14ac:dyDescent="0.3">
      <c r="A73" s="26"/>
      <c r="B73" s="17"/>
      <c r="C73" s="17"/>
      <c r="D73" s="17"/>
      <c r="E73" s="17"/>
      <c r="F73" s="17"/>
      <c r="G73" s="17"/>
      <c r="H73" s="17"/>
      <c r="I73" s="17"/>
      <c r="J73" s="17"/>
      <c r="K73" s="17"/>
      <c r="L73" s="17"/>
      <c r="M73" s="17"/>
      <c r="N73" s="17"/>
      <c r="O73" s="17"/>
      <c r="P73" s="17"/>
      <c r="Q73" s="17"/>
      <c r="R73" s="17"/>
      <c r="S73" s="17"/>
      <c r="T73" s="17"/>
      <c r="U73" s="12"/>
      <c r="V73" s="12"/>
      <c r="W73" s="12"/>
      <c r="X73" s="12"/>
      <c r="Y73" s="12"/>
      <c r="Z73" s="12"/>
    </row>
    <row r="74" spans="1:26" ht="15" customHeight="1" x14ac:dyDescent="0.3">
      <c r="A74" s="26"/>
      <c r="B74" s="17"/>
      <c r="C74" s="17"/>
      <c r="D74" s="17"/>
      <c r="E74" s="17"/>
      <c r="F74" s="17"/>
      <c r="G74" s="17"/>
      <c r="H74" s="17"/>
      <c r="I74" s="17"/>
      <c r="J74" s="17"/>
      <c r="K74" s="17"/>
      <c r="L74" s="17"/>
      <c r="M74" s="17"/>
      <c r="N74" s="17"/>
      <c r="O74" s="17"/>
      <c r="P74" s="17"/>
      <c r="Q74" s="17"/>
      <c r="R74" s="17"/>
      <c r="S74" s="17"/>
      <c r="T74" s="17"/>
      <c r="U74" s="12"/>
      <c r="V74" s="12"/>
      <c r="W74" s="12"/>
      <c r="X74" s="12"/>
      <c r="Y74" s="12"/>
      <c r="Z74" s="12"/>
    </row>
    <row r="75" spans="1:26" ht="15" customHeight="1" x14ac:dyDescent="0.3">
      <c r="A75" s="26"/>
      <c r="B75" s="17"/>
      <c r="C75" s="17"/>
      <c r="D75" s="17"/>
      <c r="E75" s="17"/>
      <c r="F75" s="17"/>
      <c r="G75" s="17"/>
      <c r="H75" s="17"/>
      <c r="I75" s="17"/>
      <c r="J75" s="17"/>
      <c r="K75" s="17"/>
      <c r="L75" s="17"/>
      <c r="M75" s="17"/>
      <c r="N75" s="17"/>
      <c r="O75" s="17"/>
      <c r="P75" s="17"/>
      <c r="Q75" s="17"/>
      <c r="R75" s="17"/>
      <c r="S75" s="17"/>
      <c r="T75" s="17"/>
      <c r="U75" s="12"/>
      <c r="V75" s="12"/>
      <c r="W75" s="12"/>
      <c r="X75" s="12"/>
      <c r="Y75" s="12"/>
      <c r="Z75" s="12"/>
    </row>
    <row r="76" spans="1:26" ht="15" customHeight="1" x14ac:dyDescent="0.3">
      <c r="A76" s="26"/>
      <c r="B76" s="17"/>
      <c r="C76" s="17"/>
      <c r="D76" s="17"/>
      <c r="E76" s="17"/>
      <c r="F76" s="17"/>
      <c r="G76" s="17"/>
      <c r="H76" s="17"/>
      <c r="I76" s="17"/>
      <c r="J76" s="17"/>
      <c r="K76" s="17"/>
      <c r="L76" s="17"/>
      <c r="M76" s="17"/>
      <c r="N76" s="17"/>
      <c r="O76" s="17"/>
      <c r="P76" s="17"/>
      <c r="Q76" s="17"/>
      <c r="R76" s="17"/>
      <c r="S76" s="17"/>
      <c r="T76" s="17"/>
      <c r="U76" s="12"/>
      <c r="V76" s="12"/>
      <c r="W76" s="12"/>
      <c r="X76" s="12"/>
      <c r="Y76" s="12"/>
      <c r="Z76" s="12"/>
    </row>
    <row r="77" spans="1:26" ht="15" customHeight="1" x14ac:dyDescent="0.3">
      <c r="A77" s="26"/>
      <c r="B77" s="17"/>
      <c r="C77" s="17"/>
      <c r="D77" s="17"/>
      <c r="E77" s="17"/>
      <c r="F77" s="17"/>
      <c r="G77" s="17"/>
      <c r="H77" s="17"/>
      <c r="I77" s="17"/>
      <c r="J77" s="17"/>
      <c r="K77" s="17"/>
      <c r="L77" s="17"/>
      <c r="M77" s="17"/>
      <c r="N77" s="17"/>
      <c r="O77" s="17"/>
      <c r="P77" s="17"/>
      <c r="Q77" s="17"/>
      <c r="R77" s="17"/>
      <c r="S77" s="17"/>
      <c r="T77" s="17"/>
      <c r="U77" s="12"/>
      <c r="V77" s="12"/>
      <c r="W77" s="12"/>
      <c r="X77" s="12"/>
      <c r="Y77" s="12"/>
      <c r="Z77" s="12"/>
    </row>
    <row r="78" spans="1:26" ht="15" customHeight="1" x14ac:dyDescent="0.3">
      <c r="A78" s="26"/>
      <c r="B78" s="17"/>
      <c r="C78" s="17"/>
      <c r="D78" s="17"/>
      <c r="E78" s="17"/>
      <c r="F78" s="17"/>
      <c r="G78" s="17"/>
      <c r="H78" s="17"/>
      <c r="I78" s="17"/>
      <c r="J78" s="17"/>
      <c r="K78" s="17"/>
      <c r="L78" s="17"/>
      <c r="M78" s="17"/>
      <c r="N78" s="17"/>
      <c r="O78" s="17"/>
      <c r="P78" s="17"/>
      <c r="Q78" s="17"/>
      <c r="R78" s="17"/>
      <c r="S78" s="17"/>
      <c r="T78" s="17"/>
      <c r="U78" s="12"/>
      <c r="V78" s="12"/>
      <c r="W78" s="12"/>
      <c r="X78" s="12"/>
      <c r="Y78" s="12"/>
      <c r="Z78" s="12"/>
    </row>
    <row r="79" spans="1:26" ht="15" customHeight="1" x14ac:dyDescent="0.3">
      <c r="A79" s="26"/>
      <c r="B79" s="17"/>
      <c r="C79" s="17"/>
      <c r="D79" s="17"/>
      <c r="E79" s="17"/>
      <c r="F79" s="17"/>
      <c r="G79" s="17"/>
      <c r="H79" s="17"/>
      <c r="I79" s="17"/>
      <c r="J79" s="17"/>
      <c r="K79" s="17"/>
      <c r="L79" s="17"/>
      <c r="M79" s="17"/>
      <c r="N79" s="17"/>
      <c r="O79" s="17"/>
      <c r="P79" s="17"/>
      <c r="Q79" s="17"/>
      <c r="R79" s="17"/>
      <c r="S79" s="17"/>
      <c r="T79" s="17"/>
      <c r="U79" s="12"/>
      <c r="V79" s="12"/>
      <c r="W79" s="12"/>
      <c r="X79" s="12"/>
      <c r="Y79" s="12"/>
      <c r="Z79" s="12"/>
    </row>
    <row r="80" spans="1:26" ht="15" customHeight="1" x14ac:dyDescent="0.3">
      <c r="A80" s="26"/>
      <c r="B80" s="17"/>
      <c r="C80" s="17"/>
      <c r="D80" s="17"/>
      <c r="E80" s="17"/>
      <c r="F80" s="17"/>
      <c r="G80" s="17"/>
      <c r="H80" s="17"/>
      <c r="I80" s="17"/>
      <c r="J80" s="17"/>
      <c r="K80" s="17"/>
      <c r="L80" s="17"/>
      <c r="M80" s="17"/>
      <c r="N80" s="17"/>
      <c r="O80" s="17"/>
      <c r="P80" s="17"/>
      <c r="Q80" s="17"/>
      <c r="R80" s="17"/>
      <c r="S80" s="17"/>
      <c r="T80" s="17"/>
      <c r="U80" s="12"/>
      <c r="V80" s="12"/>
      <c r="W80" s="12"/>
      <c r="X80" s="12"/>
      <c r="Y80" s="12"/>
      <c r="Z80" s="12"/>
    </row>
    <row r="81" spans="1:26" ht="15" customHeight="1" x14ac:dyDescent="0.3">
      <c r="A81" s="26"/>
      <c r="B81" s="17"/>
      <c r="C81" s="17"/>
      <c r="D81" s="17"/>
      <c r="E81" s="17"/>
      <c r="F81" s="17"/>
      <c r="G81" s="17"/>
      <c r="H81" s="17"/>
      <c r="I81" s="17"/>
      <c r="J81" s="17"/>
      <c r="K81" s="17"/>
      <c r="L81" s="17"/>
      <c r="M81" s="17"/>
      <c r="N81" s="17"/>
      <c r="O81" s="17"/>
      <c r="P81" s="17"/>
      <c r="Q81" s="17"/>
      <c r="R81" s="17"/>
      <c r="S81" s="17"/>
      <c r="T81" s="17"/>
      <c r="U81" s="12"/>
      <c r="V81" s="12"/>
      <c r="W81" s="12"/>
      <c r="X81" s="12"/>
      <c r="Y81" s="12"/>
      <c r="Z81" s="12"/>
    </row>
    <row r="82" spans="1:26" ht="15" customHeight="1" x14ac:dyDescent="0.3">
      <c r="A82" s="26"/>
      <c r="B82" s="17"/>
      <c r="C82" s="17"/>
      <c r="D82" s="17"/>
      <c r="E82" s="17"/>
      <c r="F82" s="17"/>
      <c r="G82" s="17"/>
      <c r="H82" s="17"/>
      <c r="I82" s="17"/>
      <c r="J82" s="17"/>
      <c r="K82" s="17"/>
      <c r="L82" s="17"/>
      <c r="M82" s="17"/>
      <c r="N82" s="17"/>
      <c r="O82" s="17"/>
      <c r="P82" s="17"/>
      <c r="Q82" s="17"/>
      <c r="R82" s="17"/>
      <c r="S82" s="17"/>
      <c r="T82" s="17"/>
      <c r="U82" s="12"/>
      <c r="V82" s="12"/>
      <c r="W82" s="12"/>
      <c r="X82" s="12"/>
      <c r="Y82" s="12"/>
      <c r="Z82" s="12"/>
    </row>
    <row r="83" spans="1:26" ht="15" customHeight="1" x14ac:dyDescent="0.3">
      <c r="A83" s="26"/>
      <c r="B83" s="17"/>
      <c r="C83" s="17"/>
      <c r="D83" s="17"/>
      <c r="E83" s="17"/>
      <c r="F83" s="17"/>
      <c r="G83" s="17"/>
      <c r="H83" s="17"/>
      <c r="I83" s="17"/>
      <c r="J83" s="17"/>
      <c r="K83" s="17"/>
      <c r="L83" s="17"/>
      <c r="M83" s="17"/>
      <c r="N83" s="17"/>
      <c r="O83" s="17"/>
      <c r="P83" s="17"/>
      <c r="Q83" s="17"/>
      <c r="R83" s="17"/>
      <c r="S83" s="17"/>
      <c r="T83" s="17"/>
      <c r="U83" s="12"/>
      <c r="V83" s="12"/>
      <c r="W83" s="12"/>
      <c r="X83" s="12"/>
      <c r="Y83" s="12"/>
      <c r="Z83" s="12"/>
    </row>
    <row r="84" spans="1:26" ht="15" customHeight="1" x14ac:dyDescent="0.3">
      <c r="A84" s="26"/>
      <c r="B84" s="17"/>
      <c r="C84" s="17"/>
      <c r="D84" s="17"/>
      <c r="E84" s="17"/>
      <c r="F84" s="17"/>
      <c r="G84" s="17"/>
      <c r="H84" s="17"/>
      <c r="I84" s="17"/>
      <c r="J84" s="17"/>
      <c r="K84" s="17"/>
      <c r="L84" s="17"/>
      <c r="M84" s="17"/>
      <c r="N84" s="17"/>
      <c r="O84" s="17"/>
      <c r="P84" s="17"/>
      <c r="Q84" s="17"/>
      <c r="R84" s="17"/>
      <c r="S84" s="17"/>
      <c r="T84" s="17"/>
      <c r="U84" s="12"/>
      <c r="V84" s="12"/>
      <c r="W84" s="12"/>
      <c r="X84" s="12"/>
      <c r="Y84" s="12"/>
      <c r="Z84" s="12"/>
    </row>
    <row r="85" spans="1:26" ht="15" customHeight="1" x14ac:dyDescent="0.3">
      <c r="A85" s="26"/>
      <c r="B85" s="17"/>
      <c r="C85" s="17"/>
      <c r="D85" s="17"/>
      <c r="E85" s="17"/>
      <c r="F85" s="17"/>
      <c r="G85" s="17"/>
      <c r="H85" s="17"/>
      <c r="I85" s="17"/>
      <c r="J85" s="17"/>
      <c r="K85" s="17"/>
      <c r="L85" s="17"/>
      <c r="M85" s="17"/>
      <c r="N85" s="17"/>
      <c r="O85" s="17"/>
      <c r="P85" s="17"/>
      <c r="Q85" s="17"/>
      <c r="R85" s="17"/>
      <c r="S85" s="17"/>
      <c r="T85" s="17"/>
      <c r="U85" s="12"/>
      <c r="V85" s="12"/>
      <c r="W85" s="12"/>
      <c r="X85" s="12"/>
      <c r="Y85" s="12"/>
      <c r="Z85" s="12"/>
    </row>
    <row r="86" spans="1:26" ht="15" customHeight="1" x14ac:dyDescent="0.3">
      <c r="A86" s="26"/>
      <c r="B86" s="17"/>
      <c r="C86" s="17"/>
      <c r="D86" s="17"/>
      <c r="E86" s="17"/>
      <c r="F86" s="17"/>
      <c r="G86" s="17"/>
      <c r="H86" s="17"/>
      <c r="I86" s="17"/>
      <c r="J86" s="17"/>
      <c r="K86" s="17"/>
      <c r="L86" s="17"/>
      <c r="M86" s="17"/>
      <c r="N86" s="17"/>
      <c r="O86" s="17"/>
      <c r="P86" s="17"/>
      <c r="Q86" s="17"/>
      <c r="R86" s="17"/>
      <c r="S86" s="17"/>
      <c r="T86" s="17"/>
      <c r="U86" s="12"/>
      <c r="V86" s="12"/>
      <c r="W86" s="12"/>
      <c r="X86" s="12"/>
      <c r="Y86" s="12"/>
      <c r="Z86" s="12"/>
    </row>
    <row r="87" spans="1:26" ht="15" customHeight="1" x14ac:dyDescent="0.3">
      <c r="A87" s="26"/>
      <c r="B87" s="17"/>
      <c r="C87" s="17"/>
      <c r="D87" s="17"/>
      <c r="E87" s="17"/>
      <c r="F87" s="17"/>
      <c r="G87" s="17"/>
      <c r="H87" s="17"/>
      <c r="I87" s="17"/>
      <c r="J87" s="17"/>
      <c r="K87" s="17"/>
      <c r="L87" s="17"/>
      <c r="M87" s="17"/>
      <c r="N87" s="17"/>
      <c r="O87" s="17"/>
      <c r="P87" s="17"/>
      <c r="Q87" s="17"/>
      <c r="R87" s="17"/>
      <c r="S87" s="17"/>
      <c r="T87" s="17"/>
      <c r="U87" s="12"/>
      <c r="V87" s="12"/>
      <c r="W87" s="12"/>
      <c r="X87" s="12"/>
      <c r="Y87" s="12"/>
      <c r="Z87" s="12"/>
    </row>
    <row r="88" spans="1:26" ht="15" customHeight="1" x14ac:dyDescent="0.3">
      <c r="A88" s="26"/>
      <c r="B88" s="17"/>
      <c r="C88" s="17"/>
      <c r="D88" s="17"/>
      <c r="E88" s="17"/>
      <c r="F88" s="17"/>
      <c r="G88" s="17"/>
      <c r="H88" s="17"/>
      <c r="I88" s="17"/>
      <c r="J88" s="17"/>
      <c r="K88" s="17"/>
      <c r="L88" s="17"/>
      <c r="M88" s="17"/>
      <c r="N88" s="17"/>
      <c r="O88" s="17"/>
      <c r="P88" s="17"/>
      <c r="Q88" s="17"/>
      <c r="R88" s="17"/>
      <c r="S88" s="17"/>
      <c r="T88" s="17"/>
      <c r="U88" s="12"/>
      <c r="V88" s="12"/>
      <c r="W88" s="12"/>
      <c r="X88" s="12"/>
      <c r="Y88" s="12"/>
      <c r="Z88" s="12"/>
    </row>
    <row r="89" spans="1:26" ht="15" customHeight="1" x14ac:dyDescent="0.3">
      <c r="A89" s="26"/>
      <c r="B89" s="17"/>
      <c r="C89" s="17"/>
      <c r="D89" s="17"/>
      <c r="E89" s="17"/>
      <c r="F89" s="17"/>
      <c r="G89" s="17"/>
      <c r="H89" s="17"/>
      <c r="I89" s="17"/>
      <c r="J89" s="17"/>
      <c r="K89" s="17"/>
      <c r="L89" s="17"/>
      <c r="M89" s="17"/>
      <c r="N89" s="17"/>
      <c r="O89" s="17"/>
      <c r="P89" s="17"/>
      <c r="Q89" s="17"/>
      <c r="R89" s="17"/>
      <c r="S89" s="17"/>
      <c r="T89" s="17"/>
      <c r="U89" s="12"/>
      <c r="V89" s="12"/>
      <c r="W89" s="12"/>
      <c r="X89" s="12"/>
      <c r="Y89" s="12"/>
      <c r="Z89" s="12"/>
    </row>
    <row r="90" spans="1:26" ht="15" customHeight="1" x14ac:dyDescent="0.3">
      <c r="A90" s="26"/>
      <c r="B90" s="17"/>
      <c r="C90" s="17"/>
      <c r="D90" s="17"/>
      <c r="E90" s="17"/>
      <c r="F90" s="17"/>
      <c r="G90" s="17"/>
      <c r="H90" s="17"/>
      <c r="I90" s="17"/>
      <c r="J90" s="17"/>
      <c r="K90" s="17"/>
      <c r="L90" s="17"/>
      <c r="M90" s="17"/>
      <c r="N90" s="17"/>
      <c r="O90" s="17"/>
      <c r="P90" s="17"/>
      <c r="Q90" s="17"/>
      <c r="R90" s="17"/>
      <c r="S90" s="17"/>
      <c r="T90" s="17"/>
      <c r="U90" s="12"/>
      <c r="V90" s="12"/>
      <c r="W90" s="12"/>
      <c r="X90" s="12"/>
      <c r="Y90" s="12"/>
      <c r="Z90" s="12"/>
    </row>
    <row r="91" spans="1:26" ht="15" customHeight="1" x14ac:dyDescent="0.3">
      <c r="A91" s="26"/>
      <c r="B91" s="17"/>
      <c r="C91" s="17"/>
      <c r="D91" s="17"/>
      <c r="E91" s="17"/>
      <c r="F91" s="17"/>
      <c r="G91" s="17"/>
      <c r="H91" s="17"/>
      <c r="I91" s="17"/>
      <c r="J91" s="17"/>
      <c r="K91" s="17"/>
      <c r="L91" s="17"/>
      <c r="M91" s="17"/>
      <c r="N91" s="17"/>
      <c r="O91" s="17"/>
      <c r="P91" s="17"/>
      <c r="Q91" s="17"/>
      <c r="R91" s="17"/>
      <c r="S91" s="17"/>
      <c r="T91" s="17"/>
      <c r="U91" s="12"/>
      <c r="V91" s="12"/>
      <c r="W91" s="12"/>
      <c r="X91" s="12"/>
      <c r="Y91" s="12"/>
      <c r="Z91" s="12"/>
    </row>
    <row r="92" spans="1:26" ht="15" customHeight="1" x14ac:dyDescent="0.3">
      <c r="A92" s="26"/>
      <c r="B92" s="17"/>
      <c r="C92" s="17"/>
      <c r="D92" s="17"/>
      <c r="E92" s="17"/>
      <c r="F92" s="17"/>
      <c r="G92" s="17"/>
      <c r="H92" s="17"/>
      <c r="I92" s="17"/>
      <c r="J92" s="17"/>
      <c r="K92" s="17"/>
      <c r="L92" s="17"/>
      <c r="M92" s="17"/>
      <c r="N92" s="17"/>
      <c r="O92" s="17"/>
      <c r="P92" s="17"/>
      <c r="Q92" s="17"/>
      <c r="R92" s="17"/>
      <c r="S92" s="17"/>
      <c r="T92" s="17"/>
      <c r="U92" s="12"/>
      <c r="V92" s="12"/>
      <c r="W92" s="12"/>
      <c r="X92" s="12"/>
      <c r="Y92" s="12"/>
      <c r="Z92" s="12"/>
    </row>
    <row r="93" spans="1:26" ht="15" customHeight="1" x14ac:dyDescent="0.3">
      <c r="A93" s="26"/>
      <c r="B93" s="17"/>
      <c r="C93" s="17"/>
      <c r="D93" s="17"/>
      <c r="E93" s="17"/>
      <c r="F93" s="17"/>
      <c r="G93" s="17"/>
      <c r="H93" s="17"/>
      <c r="I93" s="17"/>
      <c r="J93" s="17"/>
      <c r="K93" s="17"/>
      <c r="L93" s="17"/>
      <c r="M93" s="17"/>
      <c r="N93" s="17"/>
      <c r="O93" s="17"/>
      <c r="P93" s="17"/>
      <c r="Q93" s="17"/>
      <c r="R93" s="17"/>
      <c r="S93" s="17"/>
      <c r="T93" s="17"/>
      <c r="U93" s="12"/>
      <c r="V93" s="12"/>
      <c r="W93" s="12"/>
      <c r="X93" s="12"/>
      <c r="Y93" s="12"/>
      <c r="Z93" s="12"/>
    </row>
    <row r="94" spans="1:26" ht="15" customHeight="1" x14ac:dyDescent="0.3">
      <c r="A94" s="26"/>
      <c r="B94" s="17"/>
      <c r="C94" s="17"/>
      <c r="D94" s="17"/>
      <c r="E94" s="17"/>
      <c r="F94" s="17"/>
      <c r="G94" s="17"/>
      <c r="H94" s="17"/>
      <c r="I94" s="17"/>
      <c r="J94" s="17"/>
      <c r="K94" s="17"/>
      <c r="L94" s="17"/>
      <c r="M94" s="17"/>
      <c r="N94" s="17"/>
      <c r="O94" s="17"/>
      <c r="P94" s="17"/>
      <c r="Q94" s="17"/>
      <c r="R94" s="17"/>
      <c r="S94" s="17"/>
      <c r="T94" s="17"/>
      <c r="U94" s="12"/>
      <c r="V94" s="12"/>
      <c r="W94" s="12"/>
      <c r="X94" s="12"/>
      <c r="Y94" s="12"/>
      <c r="Z94" s="12"/>
    </row>
    <row r="95" spans="1:26" ht="15" customHeight="1" x14ac:dyDescent="0.3">
      <c r="A95" s="26"/>
      <c r="B95" s="17"/>
      <c r="C95" s="17"/>
      <c r="D95" s="17"/>
      <c r="E95" s="17"/>
      <c r="F95" s="17"/>
      <c r="G95" s="17"/>
      <c r="H95" s="17"/>
      <c r="I95" s="17"/>
      <c r="J95" s="17"/>
      <c r="K95" s="17"/>
      <c r="L95" s="17"/>
      <c r="M95" s="17"/>
      <c r="N95" s="17"/>
      <c r="O95" s="17"/>
      <c r="P95" s="17"/>
      <c r="Q95" s="17"/>
      <c r="R95" s="17"/>
      <c r="S95" s="17"/>
      <c r="T95" s="17"/>
      <c r="U95" s="12"/>
      <c r="V95" s="12"/>
      <c r="W95" s="12"/>
      <c r="X95" s="12"/>
      <c r="Y95" s="12"/>
      <c r="Z95" s="12"/>
    </row>
    <row r="96" spans="1:26" ht="15" customHeight="1" x14ac:dyDescent="0.3">
      <c r="A96" s="26"/>
      <c r="B96" s="17"/>
      <c r="C96" s="17"/>
      <c r="D96" s="17"/>
      <c r="E96" s="17"/>
      <c r="F96" s="17"/>
      <c r="G96" s="17"/>
      <c r="H96" s="17"/>
      <c r="I96" s="17"/>
      <c r="J96" s="17"/>
      <c r="K96" s="17"/>
      <c r="L96" s="17"/>
      <c r="M96" s="17"/>
      <c r="N96" s="17"/>
      <c r="O96" s="17"/>
      <c r="P96" s="17"/>
      <c r="Q96" s="17"/>
      <c r="R96" s="17"/>
      <c r="S96" s="17"/>
      <c r="T96" s="17"/>
      <c r="U96" s="12"/>
      <c r="V96" s="12"/>
      <c r="W96" s="12"/>
      <c r="X96" s="12"/>
      <c r="Y96" s="12"/>
      <c r="Z96" s="12"/>
    </row>
    <row r="97" spans="1:26" ht="15" customHeight="1" x14ac:dyDescent="0.3">
      <c r="A97" s="26"/>
      <c r="B97" s="17"/>
      <c r="C97" s="17"/>
      <c r="D97" s="17"/>
      <c r="E97" s="17"/>
      <c r="F97" s="17"/>
      <c r="G97" s="17"/>
      <c r="H97" s="17"/>
      <c r="I97" s="17"/>
      <c r="J97" s="17"/>
      <c r="K97" s="17"/>
      <c r="L97" s="17"/>
      <c r="M97" s="17"/>
      <c r="N97" s="17"/>
      <c r="O97" s="17"/>
      <c r="P97" s="17"/>
      <c r="Q97" s="17"/>
      <c r="R97" s="17"/>
      <c r="S97" s="17"/>
      <c r="T97" s="17"/>
      <c r="U97" s="12"/>
      <c r="V97" s="12"/>
      <c r="W97" s="12"/>
      <c r="X97" s="12"/>
      <c r="Y97" s="12"/>
      <c r="Z97" s="12"/>
    </row>
    <row r="98" spans="1:26" ht="15" customHeight="1" x14ac:dyDescent="0.3">
      <c r="A98" s="26"/>
      <c r="B98" s="17"/>
      <c r="C98" s="17"/>
      <c r="D98" s="17"/>
      <c r="E98" s="17"/>
      <c r="F98" s="17"/>
      <c r="G98" s="17"/>
      <c r="H98" s="17"/>
      <c r="I98" s="17"/>
      <c r="J98" s="17"/>
      <c r="K98" s="17"/>
      <c r="L98" s="17"/>
      <c r="M98" s="17"/>
      <c r="N98" s="17"/>
      <c r="O98" s="17"/>
      <c r="P98" s="17"/>
      <c r="Q98" s="17"/>
      <c r="R98" s="17"/>
      <c r="S98" s="17"/>
      <c r="T98" s="17"/>
      <c r="U98" s="12"/>
      <c r="V98" s="12"/>
      <c r="W98" s="12"/>
      <c r="X98" s="12"/>
      <c r="Y98" s="12"/>
      <c r="Z98" s="12"/>
    </row>
    <row r="99" spans="1:26" ht="15" customHeight="1" x14ac:dyDescent="0.3">
      <c r="A99" s="26"/>
      <c r="B99" s="17"/>
      <c r="C99" s="17"/>
      <c r="D99" s="17"/>
      <c r="E99" s="17"/>
      <c r="F99" s="17"/>
      <c r="G99" s="17"/>
      <c r="H99" s="17"/>
      <c r="I99" s="17"/>
      <c r="J99" s="17"/>
      <c r="K99" s="17"/>
      <c r="L99" s="17"/>
      <c r="M99" s="17"/>
      <c r="N99" s="17"/>
      <c r="O99" s="17"/>
      <c r="P99" s="17"/>
      <c r="Q99" s="17"/>
      <c r="R99" s="17"/>
      <c r="S99" s="17"/>
      <c r="T99" s="17"/>
      <c r="U99" s="12"/>
      <c r="V99" s="12"/>
      <c r="W99" s="12"/>
      <c r="X99" s="12"/>
      <c r="Y99" s="12"/>
      <c r="Z99" s="12"/>
    </row>
    <row r="100" spans="1:26" ht="15" customHeight="1" x14ac:dyDescent="0.3">
      <c r="A100" s="26"/>
      <c r="B100" s="17"/>
      <c r="C100" s="17"/>
      <c r="D100" s="17"/>
      <c r="E100" s="17"/>
      <c r="F100" s="17"/>
      <c r="G100" s="17"/>
      <c r="H100" s="17"/>
      <c r="I100" s="17"/>
      <c r="J100" s="17"/>
      <c r="K100" s="17"/>
      <c r="L100" s="17"/>
      <c r="M100" s="17"/>
      <c r="N100" s="17"/>
      <c r="O100" s="17"/>
      <c r="P100" s="17"/>
      <c r="Q100" s="17"/>
      <c r="R100" s="17"/>
      <c r="S100" s="17"/>
      <c r="T100" s="17"/>
      <c r="U100" s="12"/>
      <c r="V100" s="12"/>
      <c r="W100" s="12"/>
      <c r="X100" s="12"/>
      <c r="Y100" s="12"/>
      <c r="Z100" s="12"/>
    </row>
    <row r="101" spans="1:26" ht="15" customHeight="1" x14ac:dyDescent="0.3">
      <c r="A101" s="26"/>
      <c r="B101" s="17"/>
      <c r="C101" s="17"/>
      <c r="D101" s="17"/>
      <c r="E101" s="17"/>
      <c r="F101" s="17"/>
      <c r="G101" s="17"/>
      <c r="H101" s="17"/>
      <c r="I101" s="17"/>
      <c r="J101" s="17"/>
      <c r="K101" s="17"/>
      <c r="L101" s="17"/>
      <c r="M101" s="17"/>
      <c r="N101" s="17"/>
      <c r="O101" s="17"/>
      <c r="P101" s="17"/>
      <c r="Q101" s="17"/>
      <c r="R101" s="17"/>
      <c r="S101" s="17"/>
      <c r="T101" s="17"/>
      <c r="U101" s="12"/>
      <c r="V101" s="12"/>
      <c r="W101" s="12"/>
      <c r="X101" s="12"/>
      <c r="Y101" s="12"/>
      <c r="Z101" s="12"/>
    </row>
    <row r="102" spans="1:26" ht="15" customHeight="1" x14ac:dyDescent="0.3">
      <c r="A102" s="26"/>
      <c r="B102" s="17"/>
      <c r="C102" s="17"/>
      <c r="D102" s="17"/>
      <c r="E102" s="17"/>
      <c r="F102" s="17"/>
      <c r="G102" s="17"/>
      <c r="H102" s="17"/>
      <c r="I102" s="17"/>
      <c r="J102" s="17"/>
      <c r="K102" s="17"/>
      <c r="L102" s="17"/>
      <c r="M102" s="17"/>
      <c r="N102" s="17"/>
      <c r="O102" s="17"/>
      <c r="P102" s="17"/>
      <c r="Q102" s="17"/>
      <c r="R102" s="17"/>
      <c r="S102" s="17"/>
      <c r="T102" s="17"/>
      <c r="U102" s="12"/>
      <c r="V102" s="12"/>
      <c r="W102" s="12"/>
      <c r="X102" s="12"/>
      <c r="Y102" s="12"/>
      <c r="Z102" s="12"/>
    </row>
    <row r="103" spans="1:26" ht="15" customHeight="1" x14ac:dyDescent="0.3">
      <c r="A103" s="26"/>
      <c r="B103" s="17"/>
      <c r="C103" s="17"/>
      <c r="D103" s="17"/>
      <c r="E103" s="17"/>
      <c r="F103" s="17"/>
      <c r="G103" s="17"/>
      <c r="H103" s="17"/>
      <c r="I103" s="17"/>
      <c r="J103" s="17"/>
      <c r="K103" s="17"/>
      <c r="L103" s="17"/>
      <c r="M103" s="17"/>
      <c r="N103" s="17"/>
      <c r="O103" s="17"/>
      <c r="P103" s="17"/>
      <c r="Q103" s="17"/>
      <c r="R103" s="17"/>
      <c r="S103" s="17"/>
      <c r="T103" s="17"/>
      <c r="U103" s="12"/>
      <c r="V103" s="12"/>
      <c r="W103" s="12"/>
      <c r="X103" s="12"/>
      <c r="Y103" s="12"/>
      <c r="Z103" s="12"/>
    </row>
    <row r="104" spans="1:26" ht="15" customHeight="1" x14ac:dyDescent="0.3">
      <c r="A104" s="26"/>
      <c r="B104" s="17"/>
      <c r="C104" s="17"/>
      <c r="D104" s="17"/>
      <c r="E104" s="17"/>
      <c r="F104" s="17"/>
      <c r="G104" s="17"/>
      <c r="H104" s="17"/>
      <c r="I104" s="17"/>
      <c r="J104" s="17"/>
      <c r="K104" s="17"/>
      <c r="L104" s="17"/>
      <c r="M104" s="17"/>
      <c r="N104" s="17"/>
      <c r="O104" s="17"/>
      <c r="P104" s="17"/>
      <c r="Q104" s="17"/>
      <c r="R104" s="17"/>
      <c r="S104" s="17"/>
      <c r="T104" s="17"/>
      <c r="U104" s="12"/>
      <c r="V104" s="12"/>
      <c r="W104" s="12"/>
      <c r="X104" s="12"/>
      <c r="Y104" s="12"/>
      <c r="Z104" s="12"/>
    </row>
    <row r="105" spans="1:26" ht="15" customHeight="1" x14ac:dyDescent="0.3">
      <c r="A105" s="26"/>
      <c r="B105" s="17"/>
      <c r="C105" s="17"/>
      <c r="D105" s="17"/>
      <c r="E105" s="17"/>
      <c r="F105" s="17"/>
      <c r="G105" s="17"/>
      <c r="H105" s="17"/>
      <c r="I105" s="17"/>
      <c r="J105" s="17"/>
      <c r="K105" s="17"/>
      <c r="L105" s="17"/>
      <c r="M105" s="17"/>
      <c r="N105" s="17"/>
      <c r="O105" s="17"/>
      <c r="P105" s="17"/>
      <c r="Q105" s="17"/>
      <c r="R105" s="17"/>
      <c r="S105" s="17"/>
      <c r="T105" s="17"/>
      <c r="U105" s="12"/>
      <c r="V105" s="12"/>
      <c r="W105" s="12"/>
      <c r="X105" s="12"/>
      <c r="Y105" s="12"/>
      <c r="Z105" s="12"/>
    </row>
    <row r="106" spans="1:26" ht="15" customHeight="1" x14ac:dyDescent="0.3">
      <c r="A106" s="26"/>
      <c r="B106" s="17"/>
      <c r="C106" s="17"/>
      <c r="D106" s="17"/>
      <c r="E106" s="17"/>
      <c r="F106" s="17"/>
      <c r="G106" s="17"/>
      <c r="H106" s="17"/>
      <c r="I106" s="17"/>
      <c r="J106" s="17"/>
      <c r="K106" s="17"/>
      <c r="L106" s="17"/>
      <c r="M106" s="17"/>
      <c r="N106" s="17"/>
      <c r="O106" s="17"/>
      <c r="P106" s="17"/>
      <c r="Q106" s="17"/>
      <c r="R106" s="17"/>
      <c r="S106" s="17"/>
      <c r="T106" s="17"/>
      <c r="U106" s="12"/>
      <c r="V106" s="12"/>
      <c r="W106" s="12"/>
      <c r="X106" s="12"/>
      <c r="Y106" s="12"/>
      <c r="Z106" s="12"/>
    </row>
    <row r="107" spans="1:26" ht="15" customHeight="1" x14ac:dyDescent="0.3">
      <c r="A107" s="26"/>
      <c r="B107" s="17"/>
      <c r="C107" s="17"/>
      <c r="D107" s="17"/>
      <c r="E107" s="17"/>
      <c r="F107" s="17"/>
      <c r="G107" s="17"/>
      <c r="H107" s="17"/>
      <c r="I107" s="17"/>
      <c r="J107" s="17"/>
      <c r="K107" s="17"/>
      <c r="L107" s="17"/>
      <c r="M107" s="17"/>
      <c r="N107" s="17"/>
      <c r="O107" s="17"/>
      <c r="P107" s="17"/>
      <c r="Q107" s="17"/>
      <c r="R107" s="17"/>
      <c r="S107" s="17"/>
      <c r="T107" s="17"/>
      <c r="U107" s="12"/>
      <c r="V107" s="12"/>
      <c r="W107" s="12"/>
      <c r="X107" s="12"/>
      <c r="Y107" s="12"/>
      <c r="Z107" s="12"/>
    </row>
    <row r="108" spans="1:26" ht="15" customHeight="1" x14ac:dyDescent="0.3">
      <c r="A108" s="26"/>
      <c r="B108" s="17"/>
      <c r="C108" s="17"/>
      <c r="D108" s="17"/>
      <c r="E108" s="17"/>
      <c r="F108" s="17"/>
      <c r="G108" s="17"/>
      <c r="H108" s="17"/>
      <c r="I108" s="17"/>
      <c r="J108" s="17"/>
      <c r="K108" s="17"/>
      <c r="L108" s="17"/>
      <c r="M108" s="17"/>
      <c r="N108" s="17"/>
      <c r="O108" s="17"/>
      <c r="P108" s="17"/>
      <c r="Q108" s="17"/>
      <c r="R108" s="17"/>
      <c r="S108" s="17"/>
      <c r="T108" s="17"/>
      <c r="U108" s="12"/>
      <c r="V108" s="12"/>
      <c r="W108" s="12"/>
      <c r="X108" s="12"/>
      <c r="Y108" s="12"/>
      <c r="Z108" s="12"/>
    </row>
    <row r="109" spans="1:26" ht="15" customHeight="1" x14ac:dyDescent="0.3">
      <c r="A109" s="26"/>
      <c r="B109" s="17"/>
      <c r="C109" s="17"/>
      <c r="D109" s="17"/>
      <c r="E109" s="17"/>
      <c r="F109" s="17"/>
      <c r="G109" s="17"/>
      <c r="H109" s="17"/>
      <c r="I109" s="17"/>
      <c r="J109" s="17"/>
      <c r="K109" s="17"/>
      <c r="L109" s="17"/>
      <c r="M109" s="17"/>
      <c r="N109" s="17"/>
      <c r="O109" s="17"/>
      <c r="P109" s="17"/>
      <c r="Q109" s="17"/>
      <c r="R109" s="17"/>
      <c r="S109" s="17"/>
      <c r="T109" s="17"/>
      <c r="U109" s="12"/>
      <c r="V109" s="12"/>
      <c r="W109" s="12"/>
      <c r="X109" s="12"/>
      <c r="Y109" s="12"/>
      <c r="Z109" s="12"/>
    </row>
    <row r="110" spans="1:26" ht="15" customHeight="1" x14ac:dyDescent="0.3">
      <c r="A110" s="26"/>
      <c r="B110" s="17"/>
      <c r="C110" s="17"/>
      <c r="D110" s="17"/>
      <c r="E110" s="17"/>
      <c r="F110" s="17"/>
      <c r="G110" s="17"/>
      <c r="H110" s="17"/>
      <c r="I110" s="17"/>
      <c r="J110" s="17"/>
      <c r="K110" s="17"/>
      <c r="L110" s="17"/>
      <c r="M110" s="17"/>
      <c r="N110" s="17"/>
      <c r="O110" s="17"/>
      <c r="P110" s="17"/>
      <c r="Q110" s="17"/>
      <c r="R110" s="17"/>
      <c r="S110" s="17"/>
      <c r="T110" s="17"/>
      <c r="U110" s="12"/>
      <c r="V110" s="12"/>
      <c r="W110" s="12"/>
      <c r="X110" s="12"/>
      <c r="Y110" s="12"/>
      <c r="Z110" s="12"/>
    </row>
    <row r="111" spans="1:26" ht="15" customHeight="1" x14ac:dyDescent="0.3">
      <c r="A111" s="26"/>
      <c r="B111" s="17"/>
      <c r="C111" s="17"/>
      <c r="D111" s="17"/>
      <c r="E111" s="17"/>
      <c r="F111" s="17"/>
      <c r="G111" s="17"/>
      <c r="H111" s="17"/>
      <c r="I111" s="17"/>
      <c r="J111" s="17"/>
      <c r="K111" s="17"/>
      <c r="L111" s="17"/>
      <c r="M111" s="17"/>
      <c r="N111" s="17"/>
      <c r="O111" s="17"/>
      <c r="P111" s="17"/>
      <c r="Q111" s="17"/>
      <c r="R111" s="17"/>
      <c r="S111" s="17"/>
      <c r="T111" s="17"/>
      <c r="U111" s="12"/>
      <c r="V111" s="12"/>
      <c r="W111" s="12"/>
      <c r="X111" s="12"/>
      <c r="Y111" s="12"/>
      <c r="Z111" s="12"/>
    </row>
    <row r="112" spans="1:26" ht="15" customHeight="1" x14ac:dyDescent="0.3">
      <c r="A112" s="26"/>
      <c r="B112" s="17"/>
      <c r="C112" s="17"/>
      <c r="D112" s="17"/>
      <c r="E112" s="17"/>
      <c r="F112" s="17"/>
      <c r="G112" s="17"/>
      <c r="H112" s="17"/>
      <c r="I112" s="17"/>
      <c r="J112" s="17"/>
      <c r="K112" s="17"/>
      <c r="L112" s="17"/>
      <c r="M112" s="17"/>
      <c r="N112" s="17"/>
      <c r="O112" s="17"/>
      <c r="P112" s="17"/>
      <c r="Q112" s="17"/>
      <c r="R112" s="17"/>
      <c r="S112" s="17"/>
      <c r="T112" s="17"/>
      <c r="U112" s="12"/>
      <c r="V112" s="12"/>
      <c r="W112" s="12"/>
      <c r="X112" s="12"/>
      <c r="Y112" s="12"/>
      <c r="Z112" s="12"/>
    </row>
    <row r="113" spans="1:26" ht="15" customHeight="1" x14ac:dyDescent="0.3">
      <c r="A113" s="26"/>
      <c r="B113" s="17"/>
      <c r="C113" s="17"/>
      <c r="D113" s="17"/>
      <c r="E113" s="17"/>
      <c r="F113" s="17"/>
      <c r="G113" s="17"/>
      <c r="H113" s="17"/>
      <c r="I113" s="17"/>
      <c r="J113" s="17"/>
      <c r="K113" s="17"/>
      <c r="L113" s="17"/>
      <c r="M113" s="17"/>
      <c r="N113" s="17"/>
      <c r="O113" s="17"/>
      <c r="P113" s="17"/>
      <c r="Q113" s="17"/>
      <c r="R113" s="17"/>
      <c r="S113" s="17"/>
      <c r="T113" s="17"/>
      <c r="U113" s="12"/>
      <c r="V113" s="12"/>
      <c r="W113" s="12"/>
      <c r="X113" s="12"/>
      <c r="Y113" s="12"/>
      <c r="Z113" s="12"/>
    </row>
    <row r="114" spans="1:26" ht="15" customHeight="1" x14ac:dyDescent="0.3">
      <c r="A114" s="26"/>
      <c r="B114" s="17"/>
      <c r="C114" s="17"/>
      <c r="D114" s="17"/>
      <c r="E114" s="17"/>
      <c r="F114" s="17"/>
      <c r="G114" s="17"/>
      <c r="H114" s="17"/>
      <c r="I114" s="17"/>
      <c r="J114" s="17"/>
      <c r="K114" s="17"/>
      <c r="L114" s="17"/>
      <c r="M114" s="17"/>
      <c r="N114" s="17"/>
      <c r="O114" s="17"/>
      <c r="P114" s="17"/>
      <c r="Q114" s="17"/>
      <c r="R114" s="17"/>
      <c r="S114" s="17"/>
      <c r="T114" s="17"/>
      <c r="U114" s="12"/>
      <c r="V114" s="12"/>
      <c r="W114" s="12"/>
      <c r="X114" s="12"/>
      <c r="Y114" s="12"/>
      <c r="Z114" s="12"/>
    </row>
    <row r="115" spans="1:26" ht="15" customHeight="1" x14ac:dyDescent="0.3">
      <c r="A115" s="26"/>
      <c r="B115" s="17"/>
      <c r="C115" s="17"/>
      <c r="D115" s="17"/>
      <c r="E115" s="17"/>
      <c r="F115" s="17"/>
      <c r="G115" s="17"/>
      <c r="H115" s="17"/>
      <c r="I115" s="17"/>
      <c r="J115" s="17"/>
      <c r="K115" s="17"/>
      <c r="L115" s="17"/>
      <c r="M115" s="17"/>
      <c r="N115" s="17"/>
      <c r="O115" s="17"/>
      <c r="P115" s="17"/>
      <c r="Q115" s="17"/>
      <c r="R115" s="17"/>
      <c r="S115" s="17"/>
      <c r="T115" s="17"/>
      <c r="U115" s="12"/>
      <c r="V115" s="12"/>
      <c r="W115" s="12"/>
      <c r="X115" s="12"/>
      <c r="Y115" s="12"/>
      <c r="Z115" s="12"/>
    </row>
    <row r="116" spans="1:26" ht="15" customHeight="1" x14ac:dyDescent="0.3">
      <c r="A116" s="26"/>
      <c r="B116" s="17"/>
      <c r="C116" s="17"/>
      <c r="D116" s="17"/>
      <c r="E116" s="17"/>
      <c r="F116" s="17"/>
      <c r="G116" s="17"/>
      <c r="H116" s="17"/>
      <c r="I116" s="17"/>
      <c r="J116" s="17"/>
      <c r="K116" s="17"/>
      <c r="L116" s="17"/>
      <c r="M116" s="17"/>
      <c r="N116" s="17"/>
      <c r="O116" s="17"/>
      <c r="P116" s="17"/>
      <c r="Q116" s="17"/>
      <c r="R116" s="17"/>
      <c r="S116" s="17"/>
      <c r="T116" s="17"/>
      <c r="U116" s="12"/>
      <c r="V116" s="12"/>
      <c r="W116" s="12"/>
      <c r="X116" s="12"/>
      <c r="Y116" s="12"/>
      <c r="Z116" s="12"/>
    </row>
    <row r="117" spans="1:26" ht="15" customHeight="1" x14ac:dyDescent="0.3">
      <c r="A117" s="26"/>
      <c r="B117" s="17"/>
      <c r="C117" s="17"/>
      <c r="D117" s="17"/>
      <c r="E117" s="17"/>
      <c r="F117" s="17"/>
      <c r="G117" s="17"/>
      <c r="H117" s="17"/>
      <c r="I117" s="17"/>
      <c r="J117" s="17"/>
      <c r="K117" s="17"/>
      <c r="L117" s="17"/>
      <c r="M117" s="17"/>
      <c r="N117" s="17"/>
      <c r="O117" s="17"/>
      <c r="P117" s="17"/>
      <c r="Q117" s="17"/>
      <c r="R117" s="17"/>
      <c r="S117" s="17"/>
      <c r="T117" s="17"/>
      <c r="U117" s="12"/>
      <c r="V117" s="12"/>
      <c r="W117" s="12"/>
      <c r="X117" s="12"/>
      <c r="Y117" s="12"/>
      <c r="Z117" s="12"/>
    </row>
    <row r="118" spans="1:26" ht="15" customHeight="1" x14ac:dyDescent="0.3">
      <c r="A118" s="26"/>
      <c r="B118" s="17"/>
      <c r="C118" s="17"/>
      <c r="D118" s="17"/>
      <c r="E118" s="17"/>
      <c r="F118" s="17"/>
      <c r="G118" s="17"/>
      <c r="H118" s="17"/>
      <c r="I118" s="17"/>
      <c r="J118" s="17"/>
      <c r="K118" s="17"/>
      <c r="L118" s="17"/>
      <c r="M118" s="17"/>
      <c r="N118" s="17"/>
      <c r="O118" s="17"/>
      <c r="P118" s="17"/>
      <c r="Q118" s="17"/>
      <c r="R118" s="17"/>
      <c r="S118" s="17"/>
      <c r="T118" s="17"/>
      <c r="U118" s="12"/>
      <c r="V118" s="12"/>
      <c r="W118" s="12"/>
      <c r="X118" s="12"/>
      <c r="Y118" s="12"/>
      <c r="Z118" s="12"/>
    </row>
    <row r="119" spans="1:26" ht="15" customHeight="1" x14ac:dyDescent="0.3">
      <c r="A119" s="26"/>
      <c r="B119" s="17"/>
      <c r="C119" s="17"/>
      <c r="D119" s="17"/>
      <c r="E119" s="17"/>
      <c r="F119" s="17"/>
      <c r="G119" s="17"/>
      <c r="H119" s="17"/>
      <c r="I119" s="17"/>
      <c r="J119" s="17"/>
      <c r="K119" s="17"/>
      <c r="L119" s="17"/>
      <c r="M119" s="17"/>
      <c r="N119" s="17"/>
      <c r="O119" s="17"/>
      <c r="P119" s="17"/>
      <c r="Q119" s="17"/>
      <c r="R119" s="17"/>
      <c r="S119" s="17"/>
      <c r="T119" s="17"/>
      <c r="U119" s="12"/>
      <c r="V119" s="12"/>
      <c r="W119" s="12"/>
      <c r="X119" s="12"/>
      <c r="Y119" s="12"/>
      <c r="Z119" s="12"/>
    </row>
    <row r="120" spans="1:26" ht="15" customHeight="1" x14ac:dyDescent="0.3">
      <c r="A120" s="26"/>
      <c r="B120" s="17"/>
      <c r="C120" s="17"/>
      <c r="D120" s="17"/>
      <c r="E120" s="17"/>
      <c r="F120" s="17"/>
      <c r="G120" s="17"/>
      <c r="H120" s="17"/>
      <c r="I120" s="17"/>
      <c r="J120" s="17"/>
      <c r="K120" s="17"/>
      <c r="L120" s="17"/>
      <c r="M120" s="17"/>
      <c r="N120" s="17"/>
      <c r="O120" s="17"/>
      <c r="P120" s="17"/>
      <c r="Q120" s="17"/>
      <c r="R120" s="17"/>
      <c r="S120" s="17"/>
      <c r="T120" s="17"/>
      <c r="U120" s="12"/>
      <c r="V120" s="12"/>
      <c r="W120" s="12"/>
      <c r="X120" s="12"/>
      <c r="Y120" s="12"/>
      <c r="Z120" s="12"/>
    </row>
    <row r="121" spans="1:26" ht="15" customHeight="1" x14ac:dyDescent="0.3">
      <c r="A121" s="26"/>
      <c r="B121" s="17"/>
      <c r="C121" s="17"/>
      <c r="D121" s="17"/>
      <c r="E121" s="17"/>
      <c r="F121" s="17"/>
      <c r="G121" s="17"/>
      <c r="H121" s="17"/>
      <c r="I121" s="17"/>
      <c r="J121" s="17"/>
      <c r="K121" s="17"/>
      <c r="L121" s="17"/>
      <c r="M121" s="17"/>
      <c r="N121" s="17"/>
      <c r="O121" s="17"/>
      <c r="P121" s="17"/>
      <c r="Q121" s="17"/>
      <c r="R121" s="17"/>
      <c r="S121" s="17"/>
      <c r="T121" s="17"/>
      <c r="U121" s="12"/>
      <c r="V121" s="12"/>
      <c r="W121" s="12"/>
      <c r="X121" s="12"/>
      <c r="Y121" s="12"/>
      <c r="Z121" s="12"/>
    </row>
    <row r="122" spans="1:26" ht="15" customHeight="1" x14ac:dyDescent="0.3">
      <c r="A122" s="26"/>
      <c r="B122" s="17"/>
      <c r="C122" s="17"/>
      <c r="D122" s="17"/>
      <c r="E122" s="17"/>
      <c r="F122" s="17"/>
      <c r="G122" s="17"/>
      <c r="H122" s="17"/>
      <c r="I122" s="17"/>
      <c r="J122" s="17"/>
      <c r="K122" s="17"/>
      <c r="L122" s="17"/>
      <c r="M122" s="17"/>
      <c r="N122" s="17"/>
      <c r="O122" s="17"/>
      <c r="P122" s="17"/>
      <c r="Q122" s="17"/>
      <c r="R122" s="17"/>
      <c r="S122" s="17"/>
      <c r="T122" s="17"/>
      <c r="U122" s="12"/>
      <c r="V122" s="12"/>
      <c r="W122" s="12"/>
      <c r="X122" s="12"/>
      <c r="Y122" s="12"/>
      <c r="Z122" s="12"/>
    </row>
    <row r="123" spans="1:26" ht="15" customHeight="1" x14ac:dyDescent="0.3">
      <c r="A123" s="26"/>
      <c r="B123" s="17"/>
      <c r="C123" s="17"/>
      <c r="D123" s="17"/>
      <c r="E123" s="17"/>
      <c r="F123" s="17"/>
      <c r="G123" s="17"/>
      <c r="H123" s="17"/>
      <c r="I123" s="17"/>
      <c r="J123" s="17"/>
      <c r="K123" s="17"/>
      <c r="L123" s="17"/>
      <c r="M123" s="17"/>
      <c r="N123" s="17"/>
      <c r="O123" s="17"/>
      <c r="P123" s="17"/>
      <c r="Q123" s="17"/>
      <c r="R123" s="17"/>
      <c r="S123" s="17"/>
      <c r="T123" s="17"/>
      <c r="U123" s="12"/>
      <c r="V123" s="12"/>
      <c r="W123" s="12"/>
      <c r="X123" s="12"/>
      <c r="Y123" s="12"/>
      <c r="Z123" s="12"/>
    </row>
    <row r="124" spans="1:26" ht="15" customHeight="1" x14ac:dyDescent="0.3">
      <c r="A124" s="26"/>
      <c r="B124" s="17"/>
      <c r="C124" s="17"/>
      <c r="D124" s="17"/>
      <c r="E124" s="17"/>
      <c r="F124" s="17"/>
      <c r="G124" s="17"/>
      <c r="H124" s="17"/>
      <c r="I124" s="17"/>
      <c r="J124" s="17"/>
      <c r="K124" s="17"/>
      <c r="L124" s="17"/>
      <c r="M124" s="17"/>
      <c r="N124" s="17"/>
      <c r="O124" s="17"/>
      <c r="P124" s="17"/>
      <c r="Q124" s="17"/>
      <c r="R124" s="17"/>
      <c r="S124" s="17"/>
      <c r="T124" s="17"/>
      <c r="U124" s="12"/>
      <c r="V124" s="12"/>
      <c r="W124" s="12"/>
      <c r="X124" s="12"/>
      <c r="Y124" s="12"/>
      <c r="Z124" s="12"/>
    </row>
    <row r="125" spans="1:26" ht="15" customHeight="1" x14ac:dyDescent="0.3">
      <c r="A125" s="26"/>
      <c r="B125" s="17"/>
      <c r="C125" s="17"/>
      <c r="D125" s="17"/>
      <c r="E125" s="17"/>
      <c r="F125" s="17"/>
      <c r="G125" s="17"/>
      <c r="H125" s="17"/>
      <c r="I125" s="17"/>
      <c r="J125" s="17"/>
      <c r="K125" s="17"/>
      <c r="L125" s="17"/>
      <c r="M125" s="17"/>
      <c r="N125" s="17"/>
      <c r="O125" s="17"/>
      <c r="P125" s="17"/>
      <c r="Q125" s="17"/>
      <c r="R125" s="17"/>
      <c r="S125" s="17"/>
      <c r="T125" s="17"/>
      <c r="U125" s="12"/>
      <c r="V125" s="12"/>
      <c r="W125" s="12"/>
      <c r="X125" s="12"/>
      <c r="Y125" s="12"/>
      <c r="Z125" s="12"/>
    </row>
    <row r="126" spans="1:26" ht="15" customHeight="1" x14ac:dyDescent="0.3">
      <c r="A126" s="26"/>
      <c r="B126" s="17"/>
      <c r="C126" s="17"/>
      <c r="D126" s="17"/>
      <c r="E126" s="17"/>
      <c r="F126" s="17"/>
      <c r="G126" s="17"/>
      <c r="H126" s="17"/>
      <c r="I126" s="17"/>
      <c r="J126" s="17"/>
      <c r="K126" s="17"/>
      <c r="L126" s="17"/>
      <c r="M126" s="17"/>
      <c r="N126" s="17"/>
      <c r="O126" s="17"/>
      <c r="P126" s="17"/>
      <c r="Q126" s="17"/>
      <c r="R126" s="17"/>
      <c r="S126" s="17"/>
      <c r="T126" s="17"/>
      <c r="U126" s="12"/>
      <c r="V126" s="12"/>
      <c r="W126" s="12"/>
      <c r="X126" s="12"/>
      <c r="Y126" s="12"/>
      <c r="Z126" s="12"/>
    </row>
    <row r="127" spans="1:26" ht="15" customHeight="1" x14ac:dyDescent="0.3">
      <c r="A127" s="26"/>
      <c r="B127" s="17"/>
      <c r="C127" s="17"/>
      <c r="D127" s="17"/>
      <c r="E127" s="17"/>
      <c r="F127" s="17"/>
      <c r="G127" s="17"/>
      <c r="H127" s="17"/>
      <c r="I127" s="17"/>
      <c r="J127" s="17"/>
      <c r="K127" s="17"/>
      <c r="L127" s="17"/>
      <c r="M127" s="17"/>
      <c r="N127" s="17"/>
      <c r="O127" s="17"/>
      <c r="P127" s="17"/>
      <c r="Q127" s="17"/>
      <c r="R127" s="17"/>
      <c r="S127" s="17"/>
      <c r="T127" s="17"/>
      <c r="U127" s="12"/>
      <c r="V127" s="12"/>
      <c r="W127" s="12"/>
      <c r="X127" s="12"/>
      <c r="Y127" s="12"/>
      <c r="Z127" s="12"/>
    </row>
    <row r="128" spans="1:26" ht="15" customHeight="1" x14ac:dyDescent="0.3">
      <c r="A128" s="26"/>
      <c r="B128" s="17"/>
      <c r="C128" s="17"/>
      <c r="D128" s="17"/>
      <c r="E128" s="17"/>
      <c r="F128" s="17"/>
      <c r="G128" s="17"/>
      <c r="H128" s="17"/>
      <c r="I128" s="17"/>
      <c r="J128" s="17"/>
      <c r="K128" s="17"/>
      <c r="L128" s="17"/>
      <c r="M128" s="17"/>
      <c r="N128" s="17"/>
      <c r="O128" s="17"/>
      <c r="P128" s="17"/>
      <c r="Q128" s="17"/>
      <c r="R128" s="17"/>
      <c r="S128" s="17"/>
      <c r="T128" s="17"/>
      <c r="U128" s="12"/>
      <c r="V128" s="12"/>
      <c r="W128" s="12"/>
      <c r="X128" s="12"/>
      <c r="Y128" s="12"/>
      <c r="Z128" s="12"/>
    </row>
    <row r="129" spans="1:26" ht="15" customHeight="1" x14ac:dyDescent="0.3">
      <c r="A129" s="26"/>
      <c r="B129" s="17"/>
      <c r="C129" s="17"/>
      <c r="D129" s="17"/>
      <c r="E129" s="17"/>
      <c r="F129" s="17"/>
      <c r="G129" s="17"/>
      <c r="H129" s="17"/>
      <c r="I129" s="17"/>
      <c r="J129" s="17"/>
      <c r="K129" s="17"/>
      <c r="L129" s="17"/>
      <c r="M129" s="17"/>
      <c r="N129" s="17"/>
      <c r="O129" s="17"/>
      <c r="P129" s="17"/>
      <c r="Q129" s="17"/>
      <c r="R129" s="17"/>
      <c r="S129" s="17"/>
      <c r="T129" s="17"/>
      <c r="U129" s="12"/>
      <c r="V129" s="12"/>
      <c r="W129" s="12"/>
      <c r="X129" s="12"/>
      <c r="Y129" s="12"/>
      <c r="Z129" s="12"/>
    </row>
    <row r="130" spans="1:26" ht="15" customHeight="1" x14ac:dyDescent="0.3">
      <c r="A130" s="26"/>
      <c r="B130" s="17"/>
      <c r="C130" s="17"/>
      <c r="D130" s="17"/>
      <c r="E130" s="17"/>
      <c r="F130" s="17"/>
      <c r="G130" s="17"/>
      <c r="H130" s="17"/>
      <c r="I130" s="17"/>
      <c r="J130" s="17"/>
      <c r="K130" s="17"/>
      <c r="L130" s="17"/>
      <c r="M130" s="17"/>
      <c r="N130" s="17"/>
      <c r="O130" s="17"/>
      <c r="P130" s="17"/>
      <c r="Q130" s="17"/>
      <c r="R130" s="17"/>
      <c r="S130" s="17"/>
      <c r="T130" s="17"/>
      <c r="U130" s="12"/>
      <c r="V130" s="12"/>
      <c r="W130" s="12"/>
      <c r="X130" s="12"/>
      <c r="Y130" s="12"/>
      <c r="Z130" s="12"/>
    </row>
    <row r="131" spans="1:26" ht="15" customHeight="1" x14ac:dyDescent="0.3">
      <c r="A131" s="26"/>
      <c r="B131" s="17"/>
      <c r="C131" s="17"/>
      <c r="D131" s="17"/>
      <c r="E131" s="17"/>
      <c r="F131" s="17"/>
      <c r="G131" s="17"/>
      <c r="H131" s="17"/>
      <c r="I131" s="17"/>
      <c r="J131" s="17"/>
      <c r="K131" s="17"/>
      <c r="L131" s="17"/>
      <c r="M131" s="17"/>
      <c r="N131" s="17"/>
      <c r="O131" s="17"/>
      <c r="P131" s="17"/>
      <c r="Q131" s="17"/>
      <c r="R131" s="17"/>
      <c r="S131" s="17"/>
      <c r="T131" s="17"/>
      <c r="U131" s="12"/>
      <c r="V131" s="12"/>
      <c r="W131" s="12"/>
      <c r="X131" s="12"/>
      <c r="Y131" s="12"/>
      <c r="Z131" s="12"/>
    </row>
    <row r="132" spans="1:26" ht="15" customHeight="1" x14ac:dyDescent="0.3">
      <c r="A132" s="26"/>
      <c r="B132" s="17"/>
      <c r="C132" s="17"/>
      <c r="D132" s="17"/>
      <c r="E132" s="17"/>
      <c r="F132" s="17"/>
      <c r="G132" s="17"/>
      <c r="H132" s="17"/>
      <c r="I132" s="17"/>
      <c r="J132" s="17"/>
      <c r="K132" s="17"/>
      <c r="L132" s="17"/>
      <c r="M132" s="17"/>
      <c r="N132" s="17"/>
      <c r="O132" s="17"/>
      <c r="P132" s="17"/>
      <c r="Q132" s="17"/>
      <c r="R132" s="17"/>
      <c r="S132" s="17"/>
      <c r="T132" s="17"/>
      <c r="U132" s="12"/>
      <c r="V132" s="12"/>
      <c r="W132" s="12"/>
      <c r="X132" s="12"/>
      <c r="Y132" s="12"/>
      <c r="Z132" s="12"/>
    </row>
    <row r="133" spans="1:26" ht="15" customHeight="1" x14ac:dyDescent="0.3">
      <c r="A133" s="26"/>
      <c r="B133" s="17"/>
      <c r="C133" s="17"/>
      <c r="D133" s="17"/>
      <c r="E133" s="17"/>
      <c r="F133" s="17"/>
      <c r="G133" s="17"/>
      <c r="H133" s="17"/>
      <c r="I133" s="17"/>
      <c r="J133" s="17"/>
      <c r="K133" s="17"/>
      <c r="L133" s="17"/>
      <c r="M133" s="17"/>
      <c r="N133" s="17"/>
      <c r="O133" s="17"/>
      <c r="P133" s="17"/>
      <c r="Q133" s="17"/>
      <c r="R133" s="17"/>
      <c r="S133" s="17"/>
      <c r="T133" s="17"/>
      <c r="U133" s="12"/>
      <c r="V133" s="12"/>
      <c r="W133" s="12"/>
      <c r="X133" s="12"/>
      <c r="Y133" s="12"/>
      <c r="Z133" s="12"/>
    </row>
    <row r="134" spans="1:26" ht="15" customHeight="1" x14ac:dyDescent="0.3">
      <c r="A134" s="26"/>
      <c r="B134" s="17"/>
      <c r="C134" s="17"/>
      <c r="D134" s="17"/>
      <c r="E134" s="17"/>
      <c r="F134" s="17"/>
      <c r="G134" s="17"/>
      <c r="H134" s="17"/>
      <c r="I134" s="17"/>
      <c r="J134" s="17"/>
      <c r="K134" s="17"/>
      <c r="L134" s="17"/>
      <c r="M134" s="17"/>
      <c r="N134" s="17"/>
      <c r="O134" s="17"/>
      <c r="P134" s="17"/>
      <c r="Q134" s="17"/>
      <c r="R134" s="17"/>
      <c r="S134" s="17"/>
      <c r="T134" s="17"/>
      <c r="U134" s="12"/>
      <c r="V134" s="12"/>
      <c r="W134" s="12"/>
      <c r="X134" s="12"/>
      <c r="Y134" s="12"/>
      <c r="Z134" s="12"/>
    </row>
    <row r="135" spans="1:26" ht="15" customHeight="1" x14ac:dyDescent="0.3">
      <c r="A135" s="26"/>
      <c r="B135" s="17"/>
      <c r="C135" s="17"/>
      <c r="D135" s="17"/>
      <c r="E135" s="17"/>
      <c r="F135" s="17"/>
      <c r="G135" s="17"/>
      <c r="H135" s="17"/>
      <c r="I135" s="17"/>
      <c r="J135" s="17"/>
      <c r="K135" s="17"/>
      <c r="L135" s="17"/>
      <c r="M135" s="17"/>
      <c r="N135" s="17"/>
      <c r="O135" s="17"/>
      <c r="P135" s="17"/>
      <c r="Q135" s="17"/>
      <c r="R135" s="17"/>
      <c r="S135" s="17"/>
      <c r="T135" s="17"/>
      <c r="U135" s="12"/>
      <c r="V135" s="12"/>
      <c r="W135" s="12"/>
      <c r="X135" s="12"/>
      <c r="Y135" s="12"/>
      <c r="Z135" s="12"/>
    </row>
    <row r="136" spans="1:26" ht="15" customHeight="1" x14ac:dyDescent="0.3">
      <c r="A136" s="26"/>
      <c r="B136" s="17"/>
      <c r="C136" s="17"/>
      <c r="D136" s="17"/>
      <c r="E136" s="17"/>
      <c r="F136" s="17"/>
      <c r="G136" s="17"/>
      <c r="H136" s="17"/>
      <c r="I136" s="17"/>
      <c r="J136" s="17"/>
      <c r="K136" s="17"/>
      <c r="L136" s="17"/>
      <c r="M136" s="17"/>
      <c r="N136" s="17"/>
      <c r="O136" s="17"/>
      <c r="P136" s="17"/>
      <c r="Q136" s="17"/>
      <c r="R136" s="17"/>
      <c r="S136" s="17"/>
      <c r="T136" s="17"/>
      <c r="U136" s="12"/>
      <c r="V136" s="12"/>
      <c r="W136" s="12"/>
      <c r="X136" s="12"/>
      <c r="Y136" s="12"/>
      <c r="Z136" s="12"/>
    </row>
    <row r="137" spans="1:26" ht="15" customHeight="1" x14ac:dyDescent="0.3">
      <c r="A137" s="26"/>
      <c r="B137" s="17"/>
      <c r="C137" s="17"/>
      <c r="D137" s="17"/>
      <c r="E137" s="17"/>
      <c r="F137" s="17"/>
      <c r="G137" s="17"/>
      <c r="H137" s="17"/>
      <c r="I137" s="17"/>
      <c r="J137" s="17"/>
      <c r="K137" s="17"/>
      <c r="L137" s="17"/>
      <c r="M137" s="17"/>
      <c r="N137" s="17"/>
      <c r="O137" s="17"/>
      <c r="P137" s="17"/>
      <c r="Q137" s="17"/>
      <c r="R137" s="17"/>
      <c r="S137" s="17"/>
      <c r="T137" s="17"/>
      <c r="U137" s="12"/>
      <c r="V137" s="12"/>
      <c r="W137" s="12"/>
      <c r="X137" s="12"/>
      <c r="Y137" s="12"/>
      <c r="Z137" s="12"/>
    </row>
    <row r="138" spans="1:26" ht="15" customHeight="1" x14ac:dyDescent="0.3">
      <c r="A138" s="26"/>
      <c r="B138" s="17"/>
      <c r="C138" s="17"/>
      <c r="D138" s="17"/>
      <c r="E138" s="17"/>
      <c r="F138" s="17"/>
      <c r="G138" s="17"/>
      <c r="H138" s="17"/>
      <c r="I138" s="17"/>
      <c r="J138" s="17"/>
      <c r="K138" s="17"/>
      <c r="L138" s="17"/>
      <c r="M138" s="17"/>
      <c r="N138" s="17"/>
      <c r="O138" s="17"/>
      <c r="P138" s="17"/>
      <c r="Q138" s="17"/>
      <c r="R138" s="17"/>
      <c r="S138" s="17"/>
      <c r="T138" s="17"/>
      <c r="U138" s="12"/>
      <c r="V138" s="12"/>
      <c r="W138" s="12"/>
      <c r="X138" s="12"/>
      <c r="Y138" s="12"/>
      <c r="Z138" s="12"/>
    </row>
    <row r="139" spans="1:26" ht="15" customHeight="1" x14ac:dyDescent="0.3">
      <c r="A139" s="26"/>
      <c r="B139" s="17"/>
      <c r="C139" s="17"/>
      <c r="D139" s="17"/>
      <c r="E139" s="17"/>
      <c r="F139" s="17"/>
      <c r="G139" s="17"/>
      <c r="H139" s="17"/>
      <c r="I139" s="17"/>
      <c r="J139" s="17"/>
      <c r="K139" s="17"/>
      <c r="L139" s="17"/>
      <c r="M139" s="17"/>
      <c r="N139" s="17"/>
      <c r="O139" s="17"/>
      <c r="P139" s="17"/>
      <c r="Q139" s="17"/>
      <c r="R139" s="17"/>
      <c r="S139" s="17"/>
      <c r="T139" s="17"/>
      <c r="U139" s="12"/>
      <c r="V139" s="12"/>
      <c r="W139" s="12"/>
      <c r="X139" s="12"/>
      <c r="Y139" s="12"/>
      <c r="Z139" s="12"/>
    </row>
    <row r="140" spans="1:26" ht="15" customHeight="1" x14ac:dyDescent="0.3">
      <c r="A140" s="26"/>
      <c r="B140" s="17"/>
      <c r="C140" s="17"/>
      <c r="D140" s="17"/>
      <c r="E140" s="17"/>
      <c r="F140" s="17"/>
      <c r="G140" s="17"/>
      <c r="H140" s="17"/>
      <c r="I140" s="17"/>
      <c r="J140" s="17"/>
      <c r="K140" s="17"/>
      <c r="L140" s="17"/>
      <c r="M140" s="17"/>
      <c r="N140" s="17"/>
      <c r="O140" s="17"/>
      <c r="P140" s="17"/>
      <c r="Q140" s="17"/>
      <c r="R140" s="17"/>
      <c r="S140" s="17"/>
      <c r="T140" s="17"/>
      <c r="U140" s="12"/>
      <c r="V140" s="12"/>
      <c r="W140" s="12"/>
      <c r="X140" s="12"/>
      <c r="Y140" s="12"/>
      <c r="Z140" s="12"/>
    </row>
    <row r="141" spans="1:26" ht="15" customHeight="1" x14ac:dyDescent="0.3">
      <c r="A141" s="26"/>
      <c r="B141" s="17"/>
      <c r="C141" s="17"/>
      <c r="D141" s="17"/>
      <c r="E141" s="17"/>
      <c r="F141" s="17"/>
      <c r="G141" s="17"/>
      <c r="H141" s="17"/>
      <c r="I141" s="17"/>
      <c r="J141" s="17"/>
      <c r="K141" s="17"/>
      <c r="L141" s="17"/>
      <c r="M141" s="17"/>
      <c r="N141" s="17"/>
      <c r="O141" s="17"/>
      <c r="P141" s="17"/>
      <c r="Q141" s="17"/>
      <c r="R141" s="17"/>
      <c r="S141" s="17"/>
      <c r="T141" s="17"/>
      <c r="U141" s="12"/>
      <c r="V141" s="12"/>
      <c r="W141" s="12"/>
      <c r="X141" s="12"/>
      <c r="Y141" s="12"/>
      <c r="Z141" s="12"/>
    </row>
    <row r="142" spans="1:26" ht="15" customHeight="1" x14ac:dyDescent="0.3">
      <c r="A142" s="26"/>
      <c r="B142" s="17"/>
      <c r="C142" s="17"/>
      <c r="D142" s="17"/>
      <c r="E142" s="17"/>
      <c r="F142" s="17"/>
      <c r="G142" s="17"/>
      <c r="H142" s="17"/>
      <c r="I142" s="17"/>
      <c r="J142" s="17"/>
      <c r="K142" s="17"/>
      <c r="L142" s="17"/>
      <c r="M142" s="17"/>
      <c r="N142" s="17"/>
      <c r="O142" s="17"/>
      <c r="P142" s="17"/>
      <c r="Q142" s="17"/>
      <c r="R142" s="17"/>
      <c r="S142" s="17"/>
      <c r="T142" s="17"/>
      <c r="U142" s="12"/>
      <c r="V142" s="12"/>
      <c r="W142" s="12"/>
      <c r="X142" s="12"/>
      <c r="Y142" s="12"/>
      <c r="Z142" s="12"/>
    </row>
    <row r="143" spans="1:26" ht="15" customHeight="1" x14ac:dyDescent="0.3">
      <c r="A143" s="26"/>
      <c r="B143" s="17"/>
      <c r="C143" s="17"/>
      <c r="D143" s="17"/>
      <c r="E143" s="17"/>
      <c r="F143" s="17"/>
      <c r="G143" s="17"/>
      <c r="H143" s="17"/>
      <c r="I143" s="17"/>
      <c r="J143" s="17"/>
      <c r="K143" s="17"/>
      <c r="L143" s="17"/>
      <c r="M143" s="17"/>
      <c r="N143" s="17"/>
      <c r="O143" s="17"/>
      <c r="P143" s="17"/>
      <c r="Q143" s="17"/>
      <c r="R143" s="17"/>
      <c r="S143" s="17"/>
      <c r="T143" s="17"/>
      <c r="U143" s="12"/>
      <c r="V143" s="12"/>
      <c r="W143" s="12"/>
      <c r="X143" s="12"/>
      <c r="Y143" s="12"/>
      <c r="Z143" s="12"/>
    </row>
    <row r="144" spans="1:26" ht="15" customHeight="1" x14ac:dyDescent="0.3">
      <c r="A144" s="26"/>
      <c r="B144" s="17"/>
      <c r="C144" s="17"/>
      <c r="D144" s="17"/>
      <c r="E144" s="17"/>
      <c r="F144" s="17"/>
      <c r="G144" s="17"/>
      <c r="H144" s="17"/>
      <c r="I144" s="17"/>
      <c r="J144" s="17"/>
      <c r="K144" s="17"/>
      <c r="L144" s="17"/>
      <c r="M144" s="17"/>
      <c r="N144" s="17"/>
      <c r="O144" s="17"/>
      <c r="P144" s="17"/>
      <c r="Q144" s="17"/>
      <c r="R144" s="17"/>
      <c r="S144" s="17"/>
      <c r="T144" s="17"/>
      <c r="U144" s="12"/>
      <c r="V144" s="12"/>
      <c r="W144" s="12"/>
      <c r="X144" s="12"/>
      <c r="Y144" s="12"/>
      <c r="Z144" s="12"/>
    </row>
    <row r="145" spans="1:26" ht="15" customHeight="1" x14ac:dyDescent="0.3">
      <c r="A145" s="26"/>
      <c r="B145" s="17"/>
      <c r="C145" s="17"/>
      <c r="D145" s="17"/>
      <c r="E145" s="17"/>
      <c r="F145" s="17"/>
      <c r="G145" s="17"/>
      <c r="H145" s="17"/>
      <c r="I145" s="17"/>
      <c r="J145" s="17"/>
      <c r="K145" s="17"/>
      <c r="L145" s="17"/>
      <c r="M145" s="17"/>
      <c r="N145" s="17"/>
      <c r="O145" s="17"/>
      <c r="P145" s="17"/>
      <c r="Q145" s="17"/>
      <c r="R145" s="17"/>
      <c r="S145" s="17"/>
      <c r="T145" s="17"/>
      <c r="U145" s="12"/>
      <c r="V145" s="12"/>
      <c r="W145" s="12"/>
      <c r="X145" s="12"/>
      <c r="Y145" s="12"/>
      <c r="Z145" s="12"/>
    </row>
    <row r="146" spans="1:26" ht="15" customHeight="1" x14ac:dyDescent="0.3">
      <c r="A146" s="26"/>
      <c r="B146" s="17"/>
      <c r="C146" s="17"/>
      <c r="D146" s="17"/>
      <c r="E146" s="17"/>
      <c r="F146" s="17"/>
      <c r="G146" s="17"/>
      <c r="H146" s="17"/>
      <c r="I146" s="17"/>
      <c r="J146" s="17"/>
      <c r="K146" s="17"/>
      <c r="L146" s="17"/>
      <c r="M146" s="17"/>
      <c r="N146" s="17"/>
      <c r="O146" s="17"/>
      <c r="P146" s="17"/>
      <c r="Q146" s="17"/>
      <c r="R146" s="17"/>
      <c r="S146" s="17"/>
      <c r="T146" s="17"/>
      <c r="U146" s="12"/>
      <c r="V146" s="12"/>
      <c r="W146" s="12"/>
      <c r="X146" s="12"/>
      <c r="Y146" s="12"/>
      <c r="Z146" s="12"/>
    </row>
    <row r="147" spans="1:26" ht="15" customHeight="1" x14ac:dyDescent="0.3">
      <c r="A147" s="26"/>
      <c r="B147" s="17"/>
      <c r="C147" s="17"/>
      <c r="D147" s="17"/>
      <c r="E147" s="17"/>
      <c r="F147" s="17"/>
      <c r="G147" s="17"/>
      <c r="H147" s="17"/>
      <c r="I147" s="17"/>
      <c r="J147" s="17"/>
      <c r="K147" s="17"/>
      <c r="L147" s="17"/>
      <c r="M147" s="17"/>
      <c r="N147" s="17"/>
      <c r="O147" s="17"/>
      <c r="P147" s="17"/>
      <c r="Q147" s="17"/>
      <c r="R147" s="17"/>
      <c r="S147" s="17"/>
      <c r="T147" s="17"/>
      <c r="U147" s="12"/>
      <c r="V147" s="12"/>
      <c r="W147" s="12"/>
      <c r="X147" s="12"/>
      <c r="Y147" s="12"/>
      <c r="Z147" s="12"/>
    </row>
    <row r="148" spans="1:26" ht="15" customHeight="1" x14ac:dyDescent="0.3">
      <c r="A148" s="26"/>
      <c r="B148" s="17"/>
      <c r="C148" s="17"/>
      <c r="D148" s="17"/>
      <c r="E148" s="17"/>
      <c r="F148" s="17"/>
      <c r="G148" s="17"/>
      <c r="H148" s="17"/>
      <c r="I148" s="17"/>
      <c r="J148" s="17"/>
      <c r="K148" s="17"/>
      <c r="L148" s="17"/>
      <c r="M148" s="17"/>
      <c r="N148" s="17"/>
      <c r="O148" s="17"/>
      <c r="P148" s="17"/>
      <c r="Q148" s="17"/>
      <c r="R148" s="17"/>
      <c r="S148" s="17"/>
      <c r="T148" s="17"/>
      <c r="U148" s="12"/>
      <c r="V148" s="12"/>
      <c r="W148" s="12"/>
      <c r="X148" s="12"/>
      <c r="Y148" s="12"/>
      <c r="Z148" s="12"/>
    </row>
    <row r="149" spans="1:26" ht="15" customHeight="1" x14ac:dyDescent="0.3">
      <c r="A149" s="26"/>
      <c r="B149" s="17"/>
      <c r="C149" s="17"/>
      <c r="D149" s="17"/>
      <c r="E149" s="17"/>
      <c r="F149" s="17"/>
      <c r="G149" s="17"/>
      <c r="H149" s="17"/>
      <c r="I149" s="17"/>
      <c r="J149" s="17"/>
      <c r="K149" s="17"/>
      <c r="L149" s="17"/>
      <c r="M149" s="17"/>
      <c r="N149" s="17"/>
      <c r="O149" s="17"/>
      <c r="P149" s="17"/>
      <c r="Q149" s="17"/>
      <c r="R149" s="17"/>
      <c r="S149" s="17"/>
      <c r="T149" s="17"/>
      <c r="U149" s="12"/>
      <c r="V149" s="12"/>
      <c r="W149" s="12"/>
      <c r="X149" s="12"/>
      <c r="Y149" s="12"/>
      <c r="Z149" s="12"/>
    </row>
    <row r="150" spans="1:26" ht="15" customHeight="1" x14ac:dyDescent="0.3">
      <c r="A150" s="26"/>
      <c r="B150" s="17"/>
      <c r="C150" s="17"/>
      <c r="D150" s="17"/>
      <c r="E150" s="17"/>
      <c r="F150" s="17"/>
      <c r="G150" s="17"/>
      <c r="H150" s="17"/>
      <c r="I150" s="17"/>
      <c r="J150" s="17"/>
      <c r="K150" s="17"/>
      <c r="L150" s="17"/>
      <c r="M150" s="17"/>
      <c r="N150" s="17"/>
      <c r="O150" s="17"/>
      <c r="P150" s="17"/>
      <c r="Q150" s="17"/>
      <c r="R150" s="17"/>
      <c r="S150" s="17"/>
      <c r="T150" s="17"/>
      <c r="U150" s="12"/>
      <c r="V150" s="12"/>
      <c r="W150" s="12"/>
      <c r="X150" s="12"/>
      <c r="Y150" s="12"/>
      <c r="Z150" s="12"/>
    </row>
    <row r="151" spans="1:26" ht="15" customHeight="1" x14ac:dyDescent="0.3">
      <c r="A151" s="26"/>
      <c r="B151" s="17"/>
      <c r="C151" s="17"/>
      <c r="D151" s="17"/>
      <c r="E151" s="17"/>
      <c r="F151" s="17"/>
      <c r="G151" s="17"/>
      <c r="H151" s="17"/>
      <c r="I151" s="17"/>
      <c r="J151" s="17"/>
      <c r="K151" s="17"/>
      <c r="L151" s="17"/>
      <c r="M151" s="17"/>
      <c r="N151" s="17"/>
      <c r="O151" s="17"/>
      <c r="P151" s="17"/>
      <c r="Q151" s="17"/>
      <c r="R151" s="17"/>
      <c r="S151" s="17"/>
      <c r="T151" s="17"/>
      <c r="U151" s="12"/>
      <c r="V151" s="12"/>
      <c r="W151" s="12"/>
      <c r="X151" s="12"/>
      <c r="Y151" s="12"/>
      <c r="Z151" s="12"/>
    </row>
    <row r="152" spans="1:26" ht="15" customHeight="1" x14ac:dyDescent="0.3">
      <c r="A152" s="26"/>
      <c r="B152" s="17"/>
      <c r="C152" s="17"/>
      <c r="D152" s="17"/>
      <c r="E152" s="17"/>
      <c r="F152" s="17"/>
      <c r="G152" s="17"/>
      <c r="H152" s="17"/>
      <c r="I152" s="17"/>
      <c r="J152" s="17"/>
      <c r="K152" s="17"/>
      <c r="L152" s="17"/>
      <c r="M152" s="17"/>
      <c r="N152" s="17"/>
      <c r="O152" s="17"/>
      <c r="P152" s="17"/>
      <c r="Q152" s="17"/>
      <c r="R152" s="17"/>
      <c r="S152" s="17"/>
      <c r="T152" s="17"/>
      <c r="U152" s="12"/>
      <c r="V152" s="12"/>
      <c r="W152" s="12"/>
      <c r="X152" s="12"/>
      <c r="Y152" s="12"/>
      <c r="Z152" s="12"/>
    </row>
    <row r="153" spans="1:26" ht="15" customHeight="1" x14ac:dyDescent="0.3">
      <c r="A153" s="26"/>
      <c r="B153" s="17"/>
      <c r="C153" s="17"/>
      <c r="D153" s="17"/>
      <c r="E153" s="17"/>
      <c r="F153" s="17"/>
      <c r="G153" s="17"/>
      <c r="H153" s="17"/>
      <c r="I153" s="17"/>
      <c r="J153" s="17"/>
      <c r="K153" s="17"/>
      <c r="L153" s="17"/>
      <c r="M153" s="17"/>
      <c r="N153" s="17"/>
      <c r="O153" s="17"/>
      <c r="P153" s="17"/>
      <c r="Q153" s="17"/>
      <c r="R153" s="17"/>
      <c r="S153" s="17"/>
      <c r="T153" s="17"/>
      <c r="U153" s="12"/>
      <c r="V153" s="12"/>
      <c r="W153" s="12"/>
      <c r="X153" s="12"/>
      <c r="Y153" s="12"/>
      <c r="Z153" s="12"/>
    </row>
    <row r="154" spans="1:26" ht="15" customHeight="1" x14ac:dyDescent="0.3">
      <c r="A154" s="26"/>
      <c r="B154" s="17"/>
      <c r="C154" s="17"/>
      <c r="D154" s="17"/>
      <c r="E154" s="17"/>
      <c r="F154" s="17"/>
      <c r="G154" s="17"/>
      <c r="H154" s="17"/>
      <c r="I154" s="17"/>
      <c r="J154" s="17"/>
      <c r="K154" s="17"/>
      <c r="L154" s="17"/>
      <c r="M154" s="17"/>
      <c r="N154" s="17"/>
      <c r="O154" s="17"/>
      <c r="P154" s="17"/>
      <c r="Q154" s="17"/>
      <c r="R154" s="17"/>
      <c r="S154" s="17"/>
      <c r="T154" s="17"/>
      <c r="U154" s="12"/>
      <c r="V154" s="12"/>
      <c r="W154" s="12"/>
      <c r="X154" s="12"/>
      <c r="Y154" s="12"/>
      <c r="Z154" s="12"/>
    </row>
    <row r="155" spans="1:26" ht="15" customHeight="1" x14ac:dyDescent="0.3">
      <c r="A155" s="26"/>
      <c r="B155" s="17"/>
      <c r="C155" s="17"/>
      <c r="D155" s="17"/>
      <c r="E155" s="17"/>
      <c r="F155" s="17"/>
      <c r="G155" s="17"/>
      <c r="H155" s="17"/>
      <c r="I155" s="17"/>
      <c r="J155" s="17"/>
      <c r="K155" s="17"/>
      <c r="L155" s="17"/>
      <c r="M155" s="17"/>
      <c r="N155" s="17"/>
      <c r="O155" s="17"/>
      <c r="P155" s="17"/>
      <c r="Q155" s="17"/>
      <c r="R155" s="17"/>
      <c r="S155" s="17"/>
      <c r="T155" s="17"/>
      <c r="U155" s="12"/>
      <c r="V155" s="12"/>
      <c r="W155" s="12"/>
      <c r="X155" s="12"/>
      <c r="Y155" s="12"/>
      <c r="Z155" s="12"/>
    </row>
    <row r="156" spans="1:26" ht="15" customHeight="1" x14ac:dyDescent="0.3">
      <c r="A156" s="26"/>
      <c r="B156" s="17"/>
      <c r="C156" s="17"/>
      <c r="D156" s="17"/>
      <c r="E156" s="17"/>
      <c r="F156" s="17"/>
      <c r="G156" s="17"/>
      <c r="H156" s="17"/>
      <c r="I156" s="17"/>
      <c r="J156" s="17"/>
      <c r="K156" s="17"/>
      <c r="L156" s="17"/>
      <c r="M156" s="17"/>
      <c r="N156" s="17"/>
      <c r="O156" s="17"/>
      <c r="P156" s="17"/>
      <c r="Q156" s="17"/>
      <c r="R156" s="17"/>
      <c r="S156" s="17"/>
      <c r="T156" s="17"/>
      <c r="U156" s="12"/>
      <c r="V156" s="12"/>
      <c r="W156" s="12"/>
      <c r="X156" s="12"/>
      <c r="Y156" s="12"/>
      <c r="Z156" s="12"/>
    </row>
    <row r="157" spans="1:26" ht="15" customHeight="1" x14ac:dyDescent="0.3">
      <c r="A157" s="26"/>
      <c r="B157" s="17"/>
      <c r="C157" s="17"/>
      <c r="D157" s="17"/>
      <c r="E157" s="17"/>
      <c r="F157" s="17"/>
      <c r="G157" s="17"/>
      <c r="H157" s="17"/>
      <c r="I157" s="17"/>
      <c r="J157" s="17"/>
      <c r="K157" s="17"/>
      <c r="L157" s="17"/>
      <c r="M157" s="17"/>
      <c r="N157" s="17"/>
      <c r="O157" s="17"/>
      <c r="P157" s="17"/>
      <c r="Q157" s="17"/>
      <c r="R157" s="17"/>
      <c r="S157" s="17"/>
      <c r="T157" s="17"/>
      <c r="U157" s="12"/>
      <c r="V157" s="12"/>
      <c r="W157" s="12"/>
      <c r="X157" s="12"/>
      <c r="Y157" s="12"/>
      <c r="Z157" s="12"/>
    </row>
    <row r="158" spans="1:26" ht="15" customHeight="1" x14ac:dyDescent="0.3">
      <c r="A158" s="26"/>
      <c r="B158" s="17"/>
      <c r="C158" s="17"/>
      <c r="D158" s="17"/>
      <c r="E158" s="17"/>
      <c r="F158" s="17"/>
      <c r="G158" s="17"/>
      <c r="H158" s="17"/>
      <c r="I158" s="17"/>
      <c r="J158" s="17"/>
      <c r="K158" s="17"/>
      <c r="L158" s="17"/>
      <c r="M158" s="17"/>
      <c r="N158" s="17"/>
      <c r="O158" s="17"/>
      <c r="P158" s="17"/>
      <c r="Q158" s="17"/>
      <c r="R158" s="17"/>
      <c r="S158" s="17"/>
      <c r="T158" s="17"/>
      <c r="U158" s="12"/>
      <c r="V158" s="12"/>
      <c r="W158" s="12"/>
      <c r="X158" s="12"/>
      <c r="Y158" s="12"/>
      <c r="Z158" s="12"/>
    </row>
    <row r="159" spans="1:26" ht="15" customHeight="1" x14ac:dyDescent="0.3">
      <c r="A159" s="26"/>
      <c r="B159" s="17"/>
      <c r="C159" s="17"/>
      <c r="D159" s="17"/>
      <c r="E159" s="17"/>
      <c r="F159" s="17"/>
      <c r="G159" s="17"/>
      <c r="H159" s="17"/>
      <c r="I159" s="17"/>
      <c r="J159" s="17"/>
      <c r="K159" s="17"/>
      <c r="L159" s="17"/>
      <c r="M159" s="17"/>
      <c r="N159" s="17"/>
      <c r="O159" s="17"/>
      <c r="P159" s="17"/>
      <c r="Q159" s="17"/>
      <c r="R159" s="17"/>
      <c r="S159" s="17"/>
      <c r="T159" s="17"/>
      <c r="U159" s="12"/>
      <c r="V159" s="12"/>
      <c r="W159" s="12"/>
      <c r="X159" s="12"/>
      <c r="Y159" s="12"/>
      <c r="Z159" s="12"/>
    </row>
    <row r="160" spans="1:26" ht="15" customHeight="1" x14ac:dyDescent="0.3">
      <c r="A160" s="27"/>
      <c r="B160" s="19"/>
      <c r="C160" s="19"/>
      <c r="D160" s="19"/>
      <c r="E160" s="19"/>
      <c r="F160" s="19"/>
      <c r="G160" s="19"/>
      <c r="H160" s="19"/>
      <c r="I160" s="19"/>
      <c r="J160" s="17"/>
      <c r="K160" s="17"/>
      <c r="L160" s="17"/>
      <c r="M160" s="17"/>
      <c r="N160" s="17"/>
      <c r="O160" s="17"/>
      <c r="P160" s="17"/>
      <c r="Q160" s="17"/>
      <c r="R160" s="17"/>
      <c r="S160" s="17"/>
      <c r="T160" s="17"/>
      <c r="U160" s="12"/>
      <c r="V160" s="12"/>
      <c r="W160" s="12"/>
      <c r="X160" s="12"/>
      <c r="Y160" s="12"/>
      <c r="Z160" s="12"/>
    </row>
    <row r="161" spans="1:26" ht="15" customHeight="1" x14ac:dyDescent="0.3">
      <c r="A161" s="26"/>
      <c r="B161" s="17"/>
      <c r="C161" s="17"/>
      <c r="D161" s="17"/>
      <c r="E161" s="17"/>
      <c r="F161" s="17"/>
      <c r="G161" s="17"/>
      <c r="H161" s="17"/>
      <c r="I161" s="17"/>
      <c r="J161" s="17"/>
      <c r="K161" s="17"/>
      <c r="L161" s="17"/>
      <c r="M161" s="17"/>
      <c r="N161" s="17"/>
      <c r="O161" s="17"/>
      <c r="P161" s="17"/>
      <c r="Q161" s="17"/>
      <c r="R161" s="17"/>
      <c r="S161" s="17"/>
      <c r="T161" s="17"/>
      <c r="U161" s="12"/>
      <c r="V161" s="12"/>
      <c r="W161" s="12"/>
      <c r="X161" s="12"/>
      <c r="Y161" s="12"/>
      <c r="Z161" s="12"/>
    </row>
    <row r="162" spans="1:26" ht="15" customHeight="1" x14ac:dyDescent="0.3">
      <c r="A162" s="26"/>
      <c r="B162" s="17"/>
      <c r="C162" s="17"/>
      <c r="D162" s="17"/>
      <c r="E162" s="17"/>
      <c r="F162" s="17"/>
      <c r="G162" s="17"/>
      <c r="H162" s="17"/>
      <c r="I162" s="17"/>
      <c r="J162" s="17"/>
      <c r="K162" s="17"/>
      <c r="L162" s="17"/>
      <c r="M162" s="17"/>
      <c r="N162" s="17"/>
      <c r="O162" s="17"/>
      <c r="P162" s="17"/>
      <c r="Q162" s="17"/>
      <c r="R162" s="17"/>
      <c r="S162" s="17"/>
      <c r="T162" s="17"/>
      <c r="U162" s="12"/>
      <c r="V162" s="12"/>
      <c r="W162" s="12"/>
      <c r="X162" s="12"/>
      <c r="Y162" s="12"/>
      <c r="Z162" s="12"/>
    </row>
    <row r="163" spans="1:26" ht="15" customHeight="1" x14ac:dyDescent="0.3">
      <c r="A163" s="26"/>
      <c r="B163" s="17"/>
      <c r="C163" s="17"/>
      <c r="D163" s="17"/>
      <c r="E163" s="17"/>
      <c r="F163" s="17"/>
      <c r="G163" s="17"/>
      <c r="H163" s="17"/>
      <c r="I163" s="17"/>
      <c r="J163" s="17"/>
      <c r="K163" s="17"/>
      <c r="L163" s="17"/>
      <c r="M163" s="17"/>
      <c r="N163" s="17"/>
      <c r="O163" s="17"/>
      <c r="P163" s="17"/>
      <c r="Q163" s="17"/>
      <c r="R163" s="17"/>
      <c r="S163" s="17"/>
      <c r="T163" s="17"/>
      <c r="U163" s="12"/>
      <c r="V163" s="12"/>
      <c r="W163" s="12"/>
      <c r="X163" s="12"/>
      <c r="Y163" s="12"/>
      <c r="Z163" s="12"/>
    </row>
    <row r="164" spans="1:26" ht="15" customHeight="1" x14ac:dyDescent="0.3">
      <c r="A164" s="26"/>
      <c r="B164" s="17"/>
      <c r="C164" s="17"/>
      <c r="D164" s="17"/>
      <c r="E164" s="17"/>
      <c r="F164" s="17"/>
      <c r="G164" s="17"/>
      <c r="H164" s="17"/>
      <c r="I164" s="17"/>
      <c r="J164" s="17"/>
      <c r="K164" s="17"/>
      <c r="L164" s="17"/>
      <c r="M164" s="17"/>
      <c r="N164" s="17"/>
      <c r="O164" s="17"/>
      <c r="P164" s="17"/>
      <c r="Q164" s="17"/>
      <c r="R164" s="17"/>
      <c r="S164" s="17"/>
      <c r="T164" s="17"/>
      <c r="U164" s="12"/>
      <c r="V164" s="12"/>
      <c r="W164" s="12"/>
      <c r="X164" s="12"/>
      <c r="Y164" s="12"/>
      <c r="Z164" s="12"/>
    </row>
    <row r="165" spans="1:26" ht="15" customHeight="1" x14ac:dyDescent="0.3">
      <c r="A165" s="26"/>
      <c r="B165" s="17"/>
      <c r="C165" s="17"/>
      <c r="D165" s="17"/>
      <c r="E165" s="17"/>
      <c r="F165" s="17"/>
      <c r="G165" s="17"/>
      <c r="H165" s="17"/>
      <c r="I165" s="17"/>
      <c r="J165" s="17"/>
      <c r="K165" s="17"/>
      <c r="L165" s="17"/>
      <c r="M165" s="17"/>
      <c r="N165" s="17"/>
      <c r="O165" s="17"/>
      <c r="P165" s="17"/>
      <c r="Q165" s="17"/>
      <c r="R165" s="17"/>
      <c r="S165" s="17"/>
      <c r="T165" s="17"/>
      <c r="U165" s="12"/>
      <c r="V165" s="12"/>
      <c r="W165" s="12"/>
      <c r="X165" s="12"/>
      <c r="Y165" s="12"/>
      <c r="Z165" s="12"/>
    </row>
    <row r="166" spans="1:26" ht="15" customHeight="1" x14ac:dyDescent="0.3">
      <c r="A166" s="26"/>
      <c r="B166" s="17"/>
      <c r="C166" s="17"/>
      <c r="D166" s="17"/>
      <c r="E166" s="17"/>
      <c r="F166" s="17"/>
      <c r="G166" s="17"/>
      <c r="H166" s="17"/>
      <c r="I166" s="17"/>
      <c r="J166" s="17"/>
      <c r="K166" s="17"/>
      <c r="L166" s="17"/>
      <c r="M166" s="17"/>
      <c r="N166" s="17"/>
      <c r="O166" s="17"/>
      <c r="P166" s="17"/>
      <c r="Q166" s="17"/>
      <c r="R166" s="17"/>
      <c r="S166" s="17"/>
      <c r="T166" s="17"/>
      <c r="U166" s="12"/>
      <c r="V166" s="12"/>
      <c r="W166" s="12"/>
      <c r="X166" s="12"/>
      <c r="Y166" s="12"/>
      <c r="Z166" s="12"/>
    </row>
    <row r="167" spans="1:26" ht="15" customHeight="1" x14ac:dyDescent="0.3">
      <c r="A167" s="26"/>
      <c r="B167" s="17"/>
      <c r="C167" s="17"/>
      <c r="D167" s="17"/>
      <c r="E167" s="17"/>
      <c r="F167" s="17"/>
      <c r="G167" s="17"/>
      <c r="H167" s="17"/>
      <c r="I167" s="17"/>
      <c r="J167" s="17"/>
      <c r="K167" s="17"/>
      <c r="L167" s="17"/>
      <c r="M167" s="17"/>
      <c r="N167" s="17"/>
      <c r="O167" s="17"/>
      <c r="P167" s="17"/>
      <c r="Q167" s="17"/>
      <c r="R167" s="17"/>
      <c r="S167" s="17"/>
      <c r="T167" s="17"/>
      <c r="U167" s="12"/>
      <c r="V167" s="12"/>
      <c r="W167" s="12"/>
      <c r="X167" s="12"/>
      <c r="Y167" s="12"/>
      <c r="Z167" s="12"/>
    </row>
    <row r="168" spans="1:26" ht="15" customHeight="1" x14ac:dyDescent="0.3">
      <c r="A168" s="26"/>
      <c r="B168" s="17"/>
      <c r="C168" s="17"/>
      <c r="D168" s="17"/>
      <c r="E168" s="17"/>
      <c r="F168" s="17"/>
      <c r="G168" s="17"/>
      <c r="H168" s="17"/>
      <c r="I168" s="17"/>
      <c r="J168" s="17"/>
      <c r="K168" s="17"/>
      <c r="L168" s="17"/>
      <c r="M168" s="17"/>
      <c r="N168" s="17"/>
      <c r="O168" s="17"/>
      <c r="P168" s="17"/>
      <c r="Q168" s="17"/>
      <c r="R168" s="17"/>
      <c r="S168" s="17"/>
      <c r="T168" s="17"/>
      <c r="U168" s="12"/>
      <c r="V168" s="12"/>
      <c r="W168" s="12"/>
      <c r="X168" s="12"/>
      <c r="Y168" s="12"/>
      <c r="Z168" s="12"/>
    </row>
    <row r="169" spans="1:26" ht="15" customHeight="1" x14ac:dyDescent="0.3">
      <c r="A169" s="26"/>
      <c r="B169" s="17"/>
      <c r="C169" s="17"/>
      <c r="D169" s="17"/>
      <c r="E169" s="17"/>
      <c r="F169" s="17"/>
      <c r="G169" s="17"/>
      <c r="H169" s="17"/>
      <c r="I169" s="17"/>
      <c r="J169" s="17"/>
      <c r="K169" s="17"/>
      <c r="L169" s="17"/>
      <c r="M169" s="17"/>
      <c r="N169" s="17"/>
      <c r="O169" s="17"/>
      <c r="P169" s="17"/>
      <c r="Q169" s="17"/>
      <c r="R169" s="17"/>
      <c r="S169" s="17"/>
      <c r="T169" s="17"/>
      <c r="U169" s="12"/>
      <c r="V169" s="12"/>
      <c r="W169" s="12"/>
      <c r="X169" s="12"/>
      <c r="Y169" s="12"/>
      <c r="Z169" s="12"/>
    </row>
    <row r="170" spans="1:26" ht="15" customHeight="1" x14ac:dyDescent="0.3">
      <c r="A170" s="26"/>
      <c r="B170" s="17"/>
      <c r="C170" s="17"/>
      <c r="D170" s="17"/>
      <c r="E170" s="17"/>
      <c r="F170" s="17"/>
      <c r="G170" s="17"/>
      <c r="H170" s="17"/>
      <c r="I170" s="17"/>
      <c r="J170" s="17"/>
      <c r="K170" s="17"/>
      <c r="L170" s="17"/>
      <c r="M170" s="17"/>
      <c r="N170" s="17"/>
      <c r="O170" s="17"/>
      <c r="P170" s="17"/>
      <c r="Q170" s="17"/>
      <c r="R170" s="17"/>
      <c r="S170" s="17"/>
      <c r="T170" s="17"/>
      <c r="U170" s="12"/>
      <c r="V170" s="12"/>
      <c r="W170" s="12"/>
      <c r="X170" s="12"/>
      <c r="Y170" s="12"/>
      <c r="Z170" s="12"/>
    </row>
    <row r="171" spans="1:26" ht="15" customHeight="1" x14ac:dyDescent="0.3">
      <c r="A171" s="26"/>
      <c r="B171" s="17"/>
      <c r="C171" s="17"/>
      <c r="D171" s="17"/>
      <c r="E171" s="17"/>
      <c r="F171" s="17"/>
      <c r="G171" s="17"/>
      <c r="H171" s="17"/>
      <c r="I171" s="17"/>
      <c r="J171" s="17"/>
      <c r="K171" s="17"/>
      <c r="L171" s="17"/>
      <c r="M171" s="17"/>
      <c r="N171" s="17"/>
      <c r="O171" s="17"/>
      <c r="P171" s="17"/>
      <c r="Q171" s="17"/>
      <c r="R171" s="17"/>
      <c r="S171" s="17"/>
      <c r="T171" s="17"/>
      <c r="U171" s="12"/>
      <c r="V171" s="12"/>
      <c r="W171" s="12"/>
      <c r="X171" s="12"/>
      <c r="Y171" s="12"/>
      <c r="Z171" s="12"/>
    </row>
    <row r="172" spans="1:26" ht="15" customHeight="1" x14ac:dyDescent="0.3">
      <c r="A172" s="26"/>
      <c r="B172" s="17"/>
      <c r="C172" s="17"/>
      <c r="D172" s="17"/>
      <c r="E172" s="17"/>
      <c r="F172" s="17"/>
      <c r="G172" s="17"/>
      <c r="H172" s="17"/>
      <c r="I172" s="17"/>
      <c r="J172" s="17"/>
      <c r="K172" s="17"/>
      <c r="L172" s="17"/>
      <c r="M172" s="17"/>
      <c r="N172" s="17"/>
      <c r="O172" s="17"/>
      <c r="P172" s="17"/>
      <c r="Q172" s="17"/>
      <c r="R172" s="17"/>
      <c r="S172" s="17"/>
      <c r="T172" s="17"/>
      <c r="U172" s="12"/>
      <c r="V172" s="12"/>
      <c r="W172" s="12"/>
      <c r="X172" s="12"/>
      <c r="Y172" s="12"/>
      <c r="Z172" s="12"/>
    </row>
    <row r="173" spans="1:26" ht="15" customHeight="1" x14ac:dyDescent="0.3">
      <c r="A173" s="26"/>
      <c r="B173" s="17"/>
      <c r="C173" s="17"/>
      <c r="D173" s="17"/>
      <c r="E173" s="17"/>
      <c r="F173" s="17"/>
      <c r="G173" s="17"/>
      <c r="H173" s="17"/>
      <c r="I173" s="17"/>
      <c r="J173" s="17"/>
      <c r="K173" s="17"/>
      <c r="L173" s="17"/>
      <c r="M173" s="17"/>
      <c r="N173" s="17"/>
      <c r="O173" s="17"/>
      <c r="P173" s="17"/>
      <c r="Q173" s="17"/>
      <c r="R173" s="17"/>
      <c r="S173" s="17"/>
      <c r="T173" s="17"/>
      <c r="U173" s="12"/>
      <c r="V173" s="12"/>
      <c r="W173" s="12"/>
      <c r="X173" s="12"/>
      <c r="Y173" s="12"/>
      <c r="Z173" s="12"/>
    </row>
    <row r="174" spans="1:26" ht="15" customHeight="1" x14ac:dyDescent="0.3">
      <c r="A174" s="27"/>
      <c r="B174" s="19"/>
      <c r="C174" s="19"/>
      <c r="D174" s="19"/>
      <c r="E174" s="19"/>
      <c r="F174" s="19"/>
      <c r="G174" s="19"/>
      <c r="H174" s="19"/>
      <c r="I174" s="19"/>
      <c r="J174" s="17"/>
      <c r="K174" s="17"/>
      <c r="L174" s="17"/>
      <c r="M174" s="17"/>
      <c r="N174" s="17"/>
      <c r="O174" s="17"/>
      <c r="P174" s="17"/>
      <c r="Q174" s="17"/>
      <c r="R174" s="17"/>
      <c r="S174" s="17"/>
      <c r="T174" s="17"/>
      <c r="U174" s="12"/>
      <c r="V174" s="12"/>
      <c r="W174" s="12"/>
      <c r="X174" s="12"/>
      <c r="Y174" s="12"/>
      <c r="Z174" s="12"/>
    </row>
    <row r="175" spans="1:26" ht="15" customHeight="1" x14ac:dyDescent="0.3">
      <c r="A175" s="26"/>
      <c r="B175" s="17"/>
      <c r="C175" s="17"/>
      <c r="D175" s="17"/>
      <c r="E175" s="17"/>
      <c r="F175" s="17"/>
      <c r="G175" s="17"/>
      <c r="H175" s="17"/>
      <c r="I175" s="17"/>
      <c r="J175" s="17"/>
      <c r="K175" s="17"/>
      <c r="L175" s="17"/>
      <c r="M175" s="17"/>
      <c r="N175" s="17"/>
      <c r="O175" s="17"/>
      <c r="P175" s="17"/>
      <c r="Q175" s="17"/>
      <c r="R175" s="17"/>
      <c r="S175" s="17"/>
      <c r="T175" s="17"/>
      <c r="U175" s="12"/>
      <c r="V175" s="12"/>
      <c r="W175" s="12"/>
      <c r="X175" s="12"/>
      <c r="Y175" s="12"/>
      <c r="Z175" s="12"/>
    </row>
    <row r="176" spans="1:26" ht="15" customHeight="1" x14ac:dyDescent="0.3">
      <c r="A176" s="26"/>
      <c r="B176" s="17"/>
      <c r="C176" s="17"/>
      <c r="D176" s="17"/>
      <c r="E176" s="17"/>
      <c r="F176" s="17"/>
      <c r="G176" s="17"/>
      <c r="H176" s="17"/>
      <c r="I176" s="17"/>
      <c r="J176" s="17"/>
      <c r="K176" s="17"/>
      <c r="L176" s="17"/>
      <c r="M176" s="17"/>
      <c r="N176" s="17"/>
      <c r="O176" s="17"/>
      <c r="P176" s="17"/>
      <c r="Q176" s="17"/>
      <c r="R176" s="17"/>
      <c r="S176" s="17"/>
      <c r="T176" s="17"/>
      <c r="U176" s="12"/>
      <c r="V176" s="12"/>
      <c r="W176" s="12"/>
      <c r="X176" s="12"/>
      <c r="Y176" s="12"/>
      <c r="Z176" s="12"/>
    </row>
    <row r="177" spans="1:26" ht="15" customHeight="1" x14ac:dyDescent="0.3">
      <c r="A177" s="26"/>
      <c r="B177" s="17"/>
      <c r="C177" s="17"/>
      <c r="D177" s="17"/>
      <c r="E177" s="17"/>
      <c r="F177" s="17"/>
      <c r="G177" s="17"/>
      <c r="H177" s="17"/>
      <c r="I177" s="17"/>
      <c r="J177" s="17"/>
      <c r="K177" s="17"/>
      <c r="L177" s="17"/>
      <c r="M177" s="17"/>
      <c r="N177" s="17"/>
      <c r="O177" s="17"/>
      <c r="P177" s="17"/>
      <c r="Q177" s="17"/>
      <c r="R177" s="17"/>
      <c r="S177" s="17"/>
      <c r="T177" s="17"/>
      <c r="U177" s="12"/>
      <c r="V177" s="12"/>
      <c r="W177" s="12"/>
      <c r="X177" s="12"/>
      <c r="Y177" s="12"/>
      <c r="Z177" s="12"/>
    </row>
    <row r="178" spans="1:26" ht="15" customHeight="1" x14ac:dyDescent="0.3">
      <c r="A178" s="26"/>
      <c r="B178" s="17"/>
      <c r="C178" s="17"/>
      <c r="D178" s="17"/>
      <c r="E178" s="17"/>
      <c r="F178" s="17"/>
      <c r="G178" s="17"/>
      <c r="H178" s="17"/>
      <c r="I178" s="17"/>
      <c r="J178" s="17"/>
      <c r="K178" s="17"/>
      <c r="L178" s="17"/>
      <c r="M178" s="17"/>
      <c r="N178" s="17"/>
      <c r="O178" s="17"/>
      <c r="P178" s="17"/>
      <c r="Q178" s="17"/>
      <c r="R178" s="17"/>
      <c r="S178" s="17"/>
      <c r="T178" s="17"/>
      <c r="U178" s="12"/>
      <c r="V178" s="12"/>
      <c r="W178" s="12"/>
      <c r="X178" s="12"/>
      <c r="Y178" s="12"/>
      <c r="Z178" s="12"/>
    </row>
    <row r="179" spans="1:26" ht="15" customHeight="1" x14ac:dyDescent="0.3">
      <c r="A179" s="26"/>
      <c r="B179" s="17"/>
      <c r="C179" s="17"/>
      <c r="D179" s="17"/>
      <c r="E179" s="17"/>
      <c r="F179" s="17"/>
      <c r="G179" s="17"/>
      <c r="H179" s="17"/>
      <c r="I179" s="17"/>
      <c r="J179" s="17"/>
      <c r="K179" s="17"/>
      <c r="L179" s="17"/>
      <c r="M179" s="17"/>
      <c r="N179" s="17"/>
      <c r="O179" s="17"/>
      <c r="P179" s="17"/>
      <c r="Q179" s="17"/>
      <c r="R179" s="17"/>
      <c r="S179" s="17"/>
      <c r="T179" s="17"/>
      <c r="U179" s="12"/>
      <c r="V179" s="12"/>
      <c r="W179" s="12"/>
      <c r="X179" s="12"/>
      <c r="Y179" s="12"/>
      <c r="Z179" s="12"/>
    </row>
    <row r="180" spans="1:26" ht="15" customHeight="1" x14ac:dyDescent="0.3">
      <c r="A180" s="26"/>
      <c r="B180" s="17"/>
      <c r="C180" s="17"/>
      <c r="D180" s="17"/>
      <c r="E180" s="17"/>
      <c r="F180" s="17"/>
      <c r="G180" s="17"/>
      <c r="H180" s="17"/>
      <c r="I180" s="17"/>
      <c r="J180" s="17"/>
      <c r="K180" s="17"/>
      <c r="L180" s="17"/>
      <c r="M180" s="17"/>
      <c r="N180" s="17"/>
      <c r="O180" s="17"/>
      <c r="P180" s="17"/>
      <c r="Q180" s="17"/>
      <c r="R180" s="17"/>
      <c r="S180" s="17"/>
      <c r="T180" s="17"/>
      <c r="U180" s="12"/>
      <c r="V180" s="12"/>
      <c r="W180" s="12"/>
      <c r="X180" s="12"/>
      <c r="Y180" s="12"/>
      <c r="Z180" s="12"/>
    </row>
    <row r="181" spans="1:26" ht="15" customHeight="1" x14ac:dyDescent="0.3">
      <c r="A181" s="26"/>
      <c r="B181" s="17"/>
      <c r="C181" s="17"/>
      <c r="D181" s="17"/>
      <c r="E181" s="17"/>
      <c r="F181" s="17"/>
      <c r="G181" s="17"/>
      <c r="H181" s="17"/>
      <c r="I181" s="17"/>
      <c r="J181" s="17"/>
      <c r="K181" s="17"/>
      <c r="L181" s="17"/>
      <c r="M181" s="17"/>
      <c r="N181" s="17"/>
      <c r="O181" s="17"/>
      <c r="P181" s="17"/>
      <c r="Q181" s="17"/>
      <c r="R181" s="17"/>
      <c r="S181" s="17"/>
      <c r="T181" s="17"/>
      <c r="U181" s="12"/>
      <c r="V181" s="12"/>
      <c r="W181" s="12"/>
      <c r="X181" s="12"/>
      <c r="Y181" s="12"/>
      <c r="Z181" s="12"/>
    </row>
    <row r="182" spans="1:26" ht="15" customHeight="1" x14ac:dyDescent="0.3">
      <c r="A182" s="26"/>
      <c r="B182" s="17"/>
      <c r="C182" s="17"/>
      <c r="D182" s="17"/>
      <c r="E182" s="17"/>
      <c r="F182" s="17"/>
      <c r="G182" s="17"/>
      <c r="H182" s="17"/>
      <c r="I182" s="17"/>
      <c r="J182" s="17"/>
      <c r="K182" s="17"/>
      <c r="L182" s="17"/>
      <c r="M182" s="17"/>
      <c r="N182" s="17"/>
      <c r="O182" s="17"/>
      <c r="P182" s="17"/>
      <c r="Q182" s="17"/>
      <c r="R182" s="17"/>
      <c r="S182" s="17"/>
      <c r="T182" s="17"/>
      <c r="U182" s="12"/>
      <c r="V182" s="12"/>
      <c r="W182" s="12"/>
      <c r="X182" s="12"/>
      <c r="Y182" s="12"/>
      <c r="Z182" s="12"/>
    </row>
    <row r="183" spans="1:26" ht="15" customHeight="1" x14ac:dyDescent="0.3">
      <c r="A183" s="26"/>
      <c r="B183" s="17"/>
      <c r="C183" s="17"/>
      <c r="D183" s="17"/>
      <c r="E183" s="17"/>
      <c r="F183" s="17"/>
      <c r="G183" s="17"/>
      <c r="H183" s="17"/>
      <c r="I183" s="17"/>
      <c r="J183" s="17"/>
      <c r="K183" s="17"/>
      <c r="L183" s="17"/>
      <c r="M183" s="17"/>
      <c r="N183" s="17"/>
      <c r="O183" s="17"/>
      <c r="P183" s="17"/>
      <c r="Q183" s="17"/>
      <c r="R183" s="17"/>
      <c r="S183" s="17"/>
      <c r="T183" s="17"/>
      <c r="U183" s="12"/>
      <c r="V183" s="12"/>
      <c r="W183" s="12"/>
      <c r="X183" s="12"/>
      <c r="Y183" s="12"/>
      <c r="Z183" s="12"/>
    </row>
    <row r="184" spans="1:26" ht="15" customHeight="1" x14ac:dyDescent="0.3">
      <c r="A184" s="26"/>
      <c r="B184" s="17"/>
      <c r="C184" s="17"/>
      <c r="D184" s="17"/>
      <c r="E184" s="17"/>
      <c r="F184" s="17"/>
      <c r="G184" s="17"/>
      <c r="H184" s="17"/>
      <c r="I184" s="17"/>
      <c r="J184" s="17"/>
      <c r="K184" s="17"/>
      <c r="L184" s="17"/>
      <c r="M184" s="17"/>
      <c r="N184" s="17"/>
      <c r="O184" s="17"/>
      <c r="P184" s="17"/>
      <c r="Q184" s="17"/>
      <c r="R184" s="17"/>
      <c r="S184" s="17"/>
      <c r="T184" s="17"/>
      <c r="U184" s="12"/>
      <c r="V184" s="12"/>
      <c r="W184" s="12"/>
      <c r="X184" s="12"/>
      <c r="Y184" s="12"/>
      <c r="Z184" s="12"/>
    </row>
    <row r="185" spans="1:26" ht="15" customHeight="1" x14ac:dyDescent="0.3">
      <c r="A185" s="26"/>
      <c r="B185" s="17"/>
      <c r="C185" s="17"/>
      <c r="D185" s="17"/>
      <c r="E185" s="17"/>
      <c r="F185" s="17"/>
      <c r="G185" s="17"/>
      <c r="H185" s="17"/>
      <c r="I185" s="17"/>
      <c r="J185" s="17"/>
      <c r="K185" s="17"/>
      <c r="L185" s="17"/>
      <c r="M185" s="17"/>
      <c r="N185" s="17"/>
      <c r="O185" s="17"/>
      <c r="P185" s="17"/>
      <c r="Q185" s="17"/>
      <c r="R185" s="17"/>
      <c r="S185" s="17"/>
      <c r="T185" s="17"/>
      <c r="U185" s="12"/>
      <c r="V185" s="12"/>
      <c r="W185" s="12"/>
      <c r="X185" s="12"/>
      <c r="Y185" s="12"/>
      <c r="Z185" s="12"/>
    </row>
    <row r="186" spans="1:26" ht="15" customHeight="1" x14ac:dyDescent="0.3">
      <c r="A186" s="26"/>
      <c r="B186" s="17"/>
      <c r="C186" s="17"/>
      <c r="D186" s="17"/>
      <c r="E186" s="17"/>
      <c r="F186" s="17"/>
      <c r="G186" s="17"/>
      <c r="H186" s="17"/>
      <c r="I186" s="17"/>
      <c r="J186" s="17"/>
      <c r="K186" s="17"/>
      <c r="L186" s="17"/>
      <c r="M186" s="17"/>
      <c r="N186" s="17"/>
      <c r="O186" s="17"/>
      <c r="P186" s="17"/>
      <c r="Q186" s="17"/>
      <c r="R186" s="17"/>
      <c r="S186" s="17"/>
      <c r="T186" s="17"/>
      <c r="U186" s="12"/>
      <c r="V186" s="12"/>
      <c r="W186" s="12"/>
      <c r="X186" s="12"/>
      <c r="Y186" s="12"/>
      <c r="Z186" s="12"/>
    </row>
    <row r="187" spans="1:26" ht="15" customHeight="1" x14ac:dyDescent="0.3">
      <c r="A187" s="26"/>
      <c r="B187" s="17"/>
      <c r="C187" s="17"/>
      <c r="D187" s="17"/>
      <c r="E187" s="17"/>
      <c r="F187" s="17"/>
      <c r="G187" s="17"/>
      <c r="H187" s="17"/>
      <c r="I187" s="17"/>
      <c r="J187" s="17"/>
      <c r="K187" s="17"/>
      <c r="L187" s="17"/>
      <c r="M187" s="17"/>
      <c r="N187" s="17"/>
      <c r="O187" s="17"/>
      <c r="P187" s="17"/>
      <c r="Q187" s="17"/>
      <c r="R187" s="17"/>
      <c r="S187" s="17"/>
      <c r="T187" s="17"/>
      <c r="U187" s="12"/>
      <c r="V187" s="12"/>
      <c r="W187" s="12"/>
      <c r="X187" s="12"/>
      <c r="Y187" s="12"/>
      <c r="Z187" s="12"/>
    </row>
    <row r="188" spans="1:26" ht="15" customHeight="1" x14ac:dyDescent="0.3">
      <c r="A188" s="26"/>
      <c r="B188" s="17"/>
      <c r="C188" s="17"/>
      <c r="D188" s="17"/>
      <c r="E188" s="17"/>
      <c r="F188" s="17"/>
      <c r="G188" s="17"/>
      <c r="H188" s="17"/>
      <c r="I188" s="17"/>
      <c r="J188" s="17"/>
      <c r="K188" s="17"/>
      <c r="L188" s="17"/>
      <c r="M188" s="17"/>
      <c r="N188" s="17"/>
      <c r="O188" s="17"/>
      <c r="P188" s="17"/>
      <c r="Q188" s="17"/>
      <c r="R188" s="17"/>
      <c r="S188" s="17"/>
      <c r="T188" s="17"/>
      <c r="U188" s="12"/>
      <c r="V188" s="12"/>
      <c r="W188" s="12"/>
      <c r="X188" s="12"/>
      <c r="Y188" s="12"/>
      <c r="Z188" s="12"/>
    </row>
    <row r="189" spans="1:26" ht="15" customHeight="1" x14ac:dyDescent="0.3">
      <c r="A189" s="26"/>
      <c r="B189" s="17"/>
      <c r="C189" s="17"/>
      <c r="D189" s="17"/>
      <c r="E189" s="17"/>
      <c r="F189" s="17"/>
      <c r="G189" s="17"/>
      <c r="H189" s="17"/>
      <c r="I189" s="17"/>
      <c r="J189" s="17"/>
      <c r="K189" s="17"/>
      <c r="L189" s="17"/>
      <c r="M189" s="17"/>
      <c r="N189" s="17"/>
      <c r="O189" s="17"/>
      <c r="P189" s="17"/>
      <c r="Q189" s="17"/>
      <c r="R189" s="17"/>
      <c r="S189" s="17"/>
      <c r="T189" s="17"/>
      <c r="U189" s="12"/>
      <c r="V189" s="12"/>
      <c r="W189" s="12"/>
      <c r="X189" s="12"/>
      <c r="Y189" s="12"/>
      <c r="Z189" s="12"/>
    </row>
    <row r="190" spans="1:26" ht="15" customHeight="1" x14ac:dyDescent="0.3">
      <c r="A190" s="26"/>
      <c r="B190" s="17"/>
      <c r="C190" s="17"/>
      <c r="D190" s="17"/>
      <c r="E190" s="17"/>
      <c r="F190" s="17"/>
      <c r="G190" s="17"/>
      <c r="H190" s="17"/>
      <c r="I190" s="17"/>
      <c r="J190" s="17"/>
      <c r="K190" s="17"/>
      <c r="L190" s="17"/>
      <c r="M190" s="17"/>
      <c r="N190" s="17"/>
      <c r="O190" s="17"/>
      <c r="P190" s="17"/>
      <c r="Q190" s="17"/>
      <c r="R190" s="17"/>
      <c r="S190" s="17"/>
      <c r="T190" s="17"/>
      <c r="U190" s="12"/>
      <c r="V190" s="12"/>
      <c r="W190" s="12"/>
      <c r="X190" s="12"/>
      <c r="Y190" s="12"/>
      <c r="Z190" s="12"/>
    </row>
    <row r="191" spans="1:26" ht="15" customHeight="1" x14ac:dyDescent="0.3">
      <c r="A191" s="26"/>
      <c r="B191" s="17"/>
      <c r="C191" s="17"/>
      <c r="D191" s="17"/>
      <c r="E191" s="17"/>
      <c r="F191" s="17"/>
      <c r="G191" s="17"/>
      <c r="H191" s="17"/>
      <c r="I191" s="17"/>
      <c r="J191" s="17"/>
      <c r="K191" s="17"/>
      <c r="L191" s="17"/>
      <c r="M191" s="17"/>
      <c r="N191" s="17"/>
      <c r="O191" s="17"/>
      <c r="P191" s="17"/>
      <c r="Q191" s="17"/>
      <c r="R191" s="17"/>
      <c r="S191" s="17"/>
      <c r="T191" s="17"/>
      <c r="U191" s="12"/>
      <c r="V191" s="12"/>
      <c r="W191" s="12"/>
      <c r="X191" s="12"/>
      <c r="Y191" s="12"/>
      <c r="Z191" s="12"/>
    </row>
    <row r="192" spans="1:26" ht="15" customHeight="1" x14ac:dyDescent="0.3">
      <c r="A192" s="26"/>
      <c r="B192" s="17"/>
      <c r="C192" s="17"/>
      <c r="D192" s="17"/>
      <c r="E192" s="17"/>
      <c r="F192" s="17"/>
      <c r="G192" s="17"/>
      <c r="H192" s="17"/>
      <c r="I192" s="17"/>
      <c r="J192" s="17"/>
      <c r="K192" s="17"/>
      <c r="L192" s="17"/>
      <c r="M192" s="17"/>
      <c r="N192" s="17"/>
      <c r="O192" s="17"/>
      <c r="P192" s="17"/>
      <c r="Q192" s="17"/>
      <c r="R192" s="17"/>
      <c r="S192" s="17"/>
      <c r="T192" s="17"/>
      <c r="U192" s="12"/>
      <c r="V192" s="12"/>
      <c r="W192" s="12"/>
      <c r="X192" s="12"/>
      <c r="Y192" s="12"/>
      <c r="Z192" s="12"/>
    </row>
    <row r="193" spans="1:26" ht="15" customHeight="1" x14ac:dyDescent="0.3">
      <c r="A193" s="26"/>
      <c r="B193" s="17"/>
      <c r="C193" s="17"/>
      <c r="D193" s="17"/>
      <c r="E193" s="17"/>
      <c r="F193" s="17"/>
      <c r="G193" s="17"/>
      <c r="H193" s="17"/>
      <c r="I193" s="17"/>
      <c r="J193" s="17"/>
      <c r="K193" s="17"/>
      <c r="L193" s="17"/>
      <c r="M193" s="17"/>
      <c r="N193" s="17"/>
      <c r="O193" s="17"/>
      <c r="P193" s="17"/>
      <c r="Q193" s="17"/>
      <c r="R193" s="17"/>
      <c r="S193" s="17"/>
      <c r="T193" s="17"/>
      <c r="U193" s="12"/>
      <c r="V193" s="12"/>
      <c r="W193" s="12"/>
      <c r="X193" s="12"/>
      <c r="Y193" s="12"/>
      <c r="Z193" s="12"/>
    </row>
    <row r="194" spans="1:26" ht="15" customHeight="1" x14ac:dyDescent="0.3">
      <c r="A194" s="26"/>
      <c r="B194" s="17"/>
      <c r="C194" s="17"/>
      <c r="D194" s="17"/>
      <c r="E194" s="17"/>
      <c r="F194" s="17"/>
      <c r="G194" s="17"/>
      <c r="H194" s="17"/>
      <c r="I194" s="17"/>
      <c r="J194" s="17"/>
      <c r="K194" s="17"/>
      <c r="L194" s="17"/>
      <c r="M194" s="17"/>
      <c r="N194" s="17"/>
      <c r="O194" s="17"/>
      <c r="P194" s="17"/>
      <c r="Q194" s="17"/>
      <c r="R194" s="17"/>
      <c r="S194" s="17"/>
      <c r="T194" s="17"/>
      <c r="U194" s="12"/>
      <c r="V194" s="12"/>
      <c r="W194" s="12"/>
      <c r="X194" s="12"/>
      <c r="Y194" s="12"/>
      <c r="Z194" s="12"/>
    </row>
    <row r="195" spans="1:26" ht="15" customHeight="1" x14ac:dyDescent="0.3">
      <c r="A195" s="26"/>
      <c r="B195" s="17"/>
      <c r="C195" s="17"/>
      <c r="D195" s="17"/>
      <c r="E195" s="17"/>
      <c r="F195" s="17"/>
      <c r="G195" s="17"/>
      <c r="H195" s="17"/>
      <c r="I195" s="17"/>
      <c r="J195" s="17"/>
      <c r="K195" s="17"/>
      <c r="L195" s="17"/>
      <c r="M195" s="17"/>
      <c r="N195" s="17"/>
      <c r="O195" s="17"/>
      <c r="P195" s="17"/>
      <c r="Q195" s="17"/>
      <c r="R195" s="17"/>
      <c r="S195" s="17"/>
      <c r="T195" s="17"/>
      <c r="U195" s="12"/>
      <c r="V195" s="12"/>
      <c r="W195" s="12"/>
      <c r="X195" s="12"/>
      <c r="Y195" s="12"/>
      <c r="Z195" s="12"/>
    </row>
    <row r="196" spans="1:26" ht="15" customHeight="1" x14ac:dyDescent="0.3">
      <c r="A196" s="26"/>
      <c r="B196" s="17"/>
      <c r="C196" s="17"/>
      <c r="D196" s="17"/>
      <c r="E196" s="17"/>
      <c r="F196" s="17"/>
      <c r="G196" s="17"/>
      <c r="H196" s="17"/>
      <c r="I196" s="17"/>
      <c r="J196" s="17"/>
      <c r="K196" s="17"/>
      <c r="L196" s="17"/>
      <c r="M196" s="17"/>
      <c r="N196" s="17"/>
      <c r="O196" s="17"/>
      <c r="P196" s="17"/>
      <c r="Q196" s="17"/>
      <c r="R196" s="17"/>
      <c r="S196" s="17"/>
      <c r="T196" s="17"/>
      <c r="U196" s="12"/>
      <c r="V196" s="12"/>
      <c r="W196" s="12"/>
      <c r="X196" s="12"/>
      <c r="Y196" s="12"/>
      <c r="Z196" s="12"/>
    </row>
    <row r="197" spans="1:26" ht="15" customHeight="1" x14ac:dyDescent="0.3">
      <c r="A197" s="26"/>
      <c r="B197" s="17"/>
      <c r="C197" s="17"/>
      <c r="D197" s="17"/>
      <c r="E197" s="17"/>
      <c r="F197" s="17"/>
      <c r="G197" s="17"/>
      <c r="H197" s="17"/>
      <c r="I197" s="17"/>
      <c r="J197" s="17"/>
      <c r="K197" s="17"/>
      <c r="L197" s="17"/>
      <c r="M197" s="17"/>
      <c r="N197" s="17"/>
      <c r="O197" s="17"/>
      <c r="P197" s="17"/>
      <c r="Q197" s="17"/>
      <c r="R197" s="17"/>
      <c r="S197" s="17"/>
      <c r="T197" s="17"/>
      <c r="U197" s="12"/>
      <c r="V197" s="12"/>
      <c r="W197" s="12"/>
      <c r="X197" s="12"/>
      <c r="Y197" s="12"/>
      <c r="Z197" s="12"/>
    </row>
    <row r="198" spans="1:26" ht="15" customHeight="1" x14ac:dyDescent="0.3">
      <c r="A198" s="26"/>
      <c r="B198" s="17"/>
      <c r="C198" s="17"/>
      <c r="D198" s="17"/>
      <c r="E198" s="17"/>
      <c r="F198" s="17"/>
      <c r="G198" s="17"/>
      <c r="H198" s="17"/>
      <c r="I198" s="17"/>
      <c r="J198" s="17"/>
      <c r="K198" s="17"/>
      <c r="L198" s="17"/>
      <c r="M198" s="17"/>
      <c r="N198" s="17"/>
      <c r="O198" s="17"/>
      <c r="P198" s="17"/>
      <c r="Q198" s="17"/>
      <c r="R198" s="17"/>
      <c r="S198" s="17"/>
      <c r="T198" s="17"/>
      <c r="U198" s="12"/>
      <c r="V198" s="12"/>
      <c r="W198" s="12"/>
      <c r="X198" s="12"/>
      <c r="Y198" s="12"/>
      <c r="Z198" s="12"/>
    </row>
    <row r="199" spans="1:26" ht="15" customHeight="1" x14ac:dyDescent="0.3">
      <c r="A199" s="26"/>
      <c r="B199" s="17"/>
      <c r="C199" s="17"/>
      <c r="D199" s="17"/>
      <c r="E199" s="17"/>
      <c r="F199" s="17"/>
      <c r="G199" s="17"/>
      <c r="H199" s="17"/>
      <c r="I199" s="17"/>
      <c r="J199" s="17"/>
      <c r="K199" s="17"/>
      <c r="L199" s="17"/>
      <c r="M199" s="17"/>
      <c r="N199" s="17"/>
      <c r="O199" s="17"/>
      <c r="P199" s="17"/>
      <c r="Q199" s="17"/>
      <c r="R199" s="17"/>
      <c r="S199" s="17"/>
      <c r="T199" s="17"/>
      <c r="U199" s="12"/>
      <c r="V199" s="12"/>
      <c r="W199" s="12"/>
      <c r="X199" s="12"/>
      <c r="Y199" s="12"/>
      <c r="Z199" s="12"/>
    </row>
    <row r="200" spans="1:26" ht="15" customHeight="1" x14ac:dyDescent="0.3">
      <c r="A200" s="26"/>
      <c r="B200" s="17"/>
      <c r="C200" s="17"/>
      <c r="D200" s="17"/>
      <c r="E200" s="17"/>
      <c r="F200" s="17"/>
      <c r="G200" s="17"/>
      <c r="H200" s="17"/>
      <c r="I200" s="17"/>
      <c r="J200" s="17"/>
      <c r="K200" s="17"/>
      <c r="L200" s="17"/>
      <c r="M200" s="17"/>
      <c r="N200" s="17"/>
      <c r="O200" s="17"/>
      <c r="P200" s="17"/>
      <c r="Q200" s="17"/>
      <c r="R200" s="17"/>
      <c r="S200" s="17"/>
      <c r="T200" s="17"/>
      <c r="U200" s="12"/>
      <c r="V200" s="12"/>
      <c r="W200" s="12"/>
      <c r="X200" s="12"/>
      <c r="Y200" s="12"/>
      <c r="Z200" s="12"/>
    </row>
    <row r="201" spans="1:26" ht="15" customHeight="1" x14ac:dyDescent="0.3">
      <c r="A201" s="26"/>
      <c r="B201" s="17"/>
      <c r="C201" s="17"/>
      <c r="D201" s="17"/>
      <c r="E201" s="17"/>
      <c r="F201" s="17"/>
      <c r="G201" s="17"/>
      <c r="H201" s="17"/>
      <c r="I201" s="17"/>
      <c r="J201" s="17"/>
      <c r="K201" s="17"/>
      <c r="L201" s="17"/>
      <c r="M201" s="17"/>
      <c r="N201" s="17"/>
      <c r="O201" s="17"/>
      <c r="P201" s="17"/>
      <c r="Q201" s="17"/>
      <c r="R201" s="17"/>
      <c r="S201" s="17"/>
      <c r="T201" s="17"/>
      <c r="U201" s="12"/>
      <c r="V201" s="12"/>
      <c r="W201" s="12"/>
      <c r="X201" s="12"/>
      <c r="Y201" s="12"/>
      <c r="Z201" s="12"/>
    </row>
    <row r="202" spans="1:26" ht="15" customHeight="1" x14ac:dyDescent="0.3">
      <c r="A202" s="26"/>
      <c r="B202" s="17"/>
      <c r="C202" s="17"/>
      <c r="D202" s="17"/>
      <c r="E202" s="17"/>
      <c r="F202" s="17"/>
      <c r="G202" s="17"/>
      <c r="H202" s="17"/>
      <c r="I202" s="17"/>
      <c r="J202" s="17"/>
      <c r="K202" s="17"/>
      <c r="L202" s="17"/>
      <c r="M202" s="17"/>
      <c r="N202" s="17"/>
      <c r="O202" s="17"/>
      <c r="P202" s="17"/>
      <c r="Q202" s="17"/>
      <c r="R202" s="17"/>
      <c r="S202" s="17"/>
      <c r="T202" s="17"/>
      <c r="U202" s="12"/>
      <c r="V202" s="12"/>
      <c r="W202" s="12"/>
      <c r="X202" s="12"/>
      <c r="Y202" s="12"/>
      <c r="Z202" s="12"/>
    </row>
    <row r="203" spans="1:26" ht="15" customHeight="1" x14ac:dyDescent="0.3">
      <c r="A203" s="26"/>
      <c r="B203" s="17"/>
      <c r="C203" s="17"/>
      <c r="D203" s="17"/>
      <c r="E203" s="17"/>
      <c r="F203" s="17"/>
      <c r="G203" s="17"/>
      <c r="H203" s="17"/>
      <c r="I203" s="17"/>
      <c r="J203" s="17"/>
      <c r="K203" s="17"/>
      <c r="L203" s="17"/>
      <c r="M203" s="17"/>
      <c r="N203" s="17"/>
      <c r="O203" s="17"/>
      <c r="P203" s="17"/>
      <c r="Q203" s="17"/>
      <c r="R203" s="17"/>
      <c r="S203" s="17"/>
      <c r="T203" s="17"/>
      <c r="U203" s="12"/>
      <c r="V203" s="12"/>
      <c r="W203" s="12"/>
      <c r="X203" s="12"/>
      <c r="Y203" s="12"/>
      <c r="Z203" s="12"/>
    </row>
    <row r="204" spans="1:26" ht="15" customHeight="1" x14ac:dyDescent="0.3">
      <c r="A204" s="26"/>
      <c r="B204" s="17"/>
      <c r="C204" s="17"/>
      <c r="D204" s="17"/>
      <c r="E204" s="17"/>
      <c r="F204" s="17"/>
      <c r="G204" s="17"/>
      <c r="H204" s="17"/>
      <c r="I204" s="17"/>
      <c r="J204" s="17"/>
      <c r="K204" s="17"/>
      <c r="L204" s="17"/>
      <c r="M204" s="17"/>
      <c r="N204" s="17"/>
      <c r="O204" s="17"/>
      <c r="P204" s="17"/>
      <c r="Q204" s="17"/>
      <c r="R204" s="17"/>
      <c r="S204" s="17"/>
      <c r="T204" s="17"/>
      <c r="U204" s="12"/>
      <c r="V204" s="12"/>
      <c r="W204" s="12"/>
      <c r="X204" s="12"/>
      <c r="Y204" s="12"/>
      <c r="Z204" s="12"/>
    </row>
    <row r="205" spans="1:26" ht="15" customHeight="1" x14ac:dyDescent="0.3">
      <c r="A205" s="26"/>
      <c r="B205" s="17"/>
      <c r="C205" s="17"/>
      <c r="D205" s="17"/>
      <c r="E205" s="17"/>
      <c r="F205" s="17"/>
      <c r="G205" s="17"/>
      <c r="H205" s="17"/>
      <c r="I205" s="17"/>
      <c r="J205" s="17"/>
      <c r="K205" s="17"/>
      <c r="L205" s="17"/>
      <c r="M205" s="17"/>
      <c r="N205" s="17"/>
      <c r="O205" s="17"/>
      <c r="P205" s="17"/>
      <c r="Q205" s="17"/>
      <c r="R205" s="17"/>
      <c r="S205" s="17"/>
      <c r="T205" s="17"/>
      <c r="U205" s="12"/>
      <c r="V205" s="12"/>
      <c r="W205" s="12"/>
      <c r="X205" s="12"/>
      <c r="Y205" s="12"/>
      <c r="Z205" s="12"/>
    </row>
    <row r="206" spans="1:26" ht="15" customHeight="1" x14ac:dyDescent="0.3">
      <c r="A206" s="26"/>
      <c r="B206" s="17"/>
      <c r="C206" s="17"/>
      <c r="D206" s="17"/>
      <c r="E206" s="17"/>
      <c r="F206" s="17"/>
      <c r="G206" s="17"/>
      <c r="H206" s="17"/>
      <c r="I206" s="17"/>
      <c r="J206" s="17"/>
      <c r="K206" s="17"/>
      <c r="L206" s="17"/>
      <c r="M206" s="17"/>
      <c r="N206" s="17"/>
      <c r="O206" s="17"/>
      <c r="P206" s="17"/>
      <c r="Q206" s="17"/>
      <c r="R206" s="17"/>
      <c r="S206" s="17"/>
      <c r="T206" s="17"/>
      <c r="U206" s="12"/>
      <c r="V206" s="12"/>
      <c r="W206" s="12"/>
      <c r="X206" s="12"/>
      <c r="Y206" s="12"/>
      <c r="Z206" s="12"/>
    </row>
    <row r="207" spans="1:26" ht="15" customHeight="1" x14ac:dyDescent="0.3">
      <c r="A207" s="26"/>
      <c r="B207" s="17"/>
      <c r="C207" s="17"/>
      <c r="D207" s="17"/>
      <c r="E207" s="17"/>
      <c r="F207" s="17"/>
      <c r="G207" s="17"/>
      <c r="H207" s="17"/>
      <c r="I207" s="17"/>
      <c r="J207" s="17"/>
      <c r="K207" s="17"/>
      <c r="L207" s="17"/>
      <c r="M207" s="17"/>
      <c r="N207" s="17"/>
      <c r="O207" s="17"/>
      <c r="P207" s="17"/>
      <c r="Q207" s="17"/>
      <c r="R207" s="17"/>
      <c r="S207" s="17"/>
      <c r="T207" s="17"/>
      <c r="U207" s="12"/>
      <c r="V207" s="12"/>
      <c r="W207" s="12"/>
      <c r="X207" s="12"/>
      <c r="Y207" s="12"/>
      <c r="Z207" s="12"/>
    </row>
    <row r="208" spans="1:26" ht="15" customHeight="1" x14ac:dyDescent="0.3">
      <c r="A208" s="26"/>
      <c r="B208" s="17"/>
      <c r="C208" s="17"/>
      <c r="D208" s="17"/>
      <c r="E208" s="17"/>
      <c r="F208" s="17"/>
      <c r="G208" s="17"/>
      <c r="H208" s="17"/>
      <c r="I208" s="17"/>
      <c r="J208" s="17"/>
      <c r="K208" s="17"/>
      <c r="L208" s="17"/>
      <c r="M208" s="17"/>
      <c r="N208" s="17"/>
      <c r="O208" s="17"/>
      <c r="P208" s="17"/>
      <c r="Q208" s="17"/>
      <c r="R208" s="17"/>
      <c r="S208" s="17"/>
      <c r="T208" s="17"/>
      <c r="U208" s="12"/>
      <c r="V208" s="12"/>
      <c r="W208" s="12"/>
      <c r="X208" s="12"/>
      <c r="Y208" s="12"/>
      <c r="Z208" s="12"/>
    </row>
    <row r="209" spans="1:26" ht="15" customHeight="1" x14ac:dyDescent="0.3">
      <c r="A209" s="26"/>
      <c r="B209" s="17"/>
      <c r="C209" s="17"/>
      <c r="D209" s="17"/>
      <c r="E209" s="17"/>
      <c r="F209" s="17"/>
      <c r="G209" s="17"/>
      <c r="H209" s="17"/>
      <c r="I209" s="17"/>
      <c r="J209" s="17"/>
      <c r="K209" s="17"/>
      <c r="L209" s="17"/>
      <c r="M209" s="17"/>
      <c r="N209" s="17"/>
      <c r="O209" s="17"/>
      <c r="P209" s="17"/>
      <c r="Q209" s="17"/>
      <c r="R209" s="17"/>
      <c r="S209" s="17"/>
      <c r="T209" s="17"/>
      <c r="U209" s="12"/>
      <c r="V209" s="12"/>
      <c r="W209" s="12"/>
      <c r="X209" s="12"/>
      <c r="Y209" s="12"/>
      <c r="Z209" s="12"/>
    </row>
    <row r="210" spans="1:26" ht="15" customHeight="1" x14ac:dyDescent="0.3">
      <c r="A210" s="26"/>
      <c r="B210" s="17"/>
      <c r="C210" s="17"/>
      <c r="D210" s="17"/>
      <c r="E210" s="17"/>
      <c r="F210" s="17"/>
      <c r="G210" s="17"/>
      <c r="H210" s="17"/>
      <c r="I210" s="17"/>
      <c r="J210" s="17"/>
      <c r="K210" s="17"/>
      <c r="L210" s="17"/>
      <c r="M210" s="17"/>
      <c r="N210" s="17"/>
      <c r="O210" s="17"/>
      <c r="P210" s="17"/>
      <c r="Q210" s="17"/>
      <c r="R210" s="17"/>
      <c r="S210" s="17"/>
      <c r="T210" s="17"/>
      <c r="U210" s="12"/>
      <c r="V210" s="12"/>
      <c r="W210" s="12"/>
      <c r="X210" s="12"/>
      <c r="Y210" s="12"/>
      <c r="Z210" s="12"/>
    </row>
    <row r="211" spans="1:26" ht="15" customHeight="1" x14ac:dyDescent="0.3">
      <c r="A211" s="26"/>
      <c r="B211" s="17"/>
      <c r="C211" s="17"/>
      <c r="D211" s="17"/>
      <c r="E211" s="17"/>
      <c r="F211" s="17"/>
      <c r="G211" s="17"/>
      <c r="H211" s="17"/>
      <c r="I211" s="17"/>
      <c r="J211" s="17"/>
      <c r="K211" s="17"/>
      <c r="L211" s="17"/>
      <c r="M211" s="17"/>
      <c r="N211" s="17"/>
      <c r="O211" s="17"/>
      <c r="P211" s="17"/>
      <c r="Q211" s="17"/>
      <c r="R211" s="17"/>
      <c r="S211" s="17"/>
      <c r="T211" s="17"/>
      <c r="U211" s="12"/>
      <c r="V211" s="12"/>
      <c r="W211" s="12"/>
      <c r="X211" s="12"/>
      <c r="Y211" s="12"/>
      <c r="Z211" s="12"/>
    </row>
    <row r="212" spans="1:26" ht="15" customHeight="1" x14ac:dyDescent="0.3">
      <c r="A212" s="26"/>
      <c r="B212" s="17"/>
      <c r="C212" s="17"/>
      <c r="D212" s="17"/>
      <c r="E212" s="17"/>
      <c r="F212" s="17"/>
      <c r="G212" s="17"/>
      <c r="H212" s="17"/>
      <c r="I212" s="17"/>
      <c r="J212" s="17"/>
      <c r="K212" s="17"/>
      <c r="L212" s="17"/>
      <c r="M212" s="17"/>
      <c r="N212" s="17"/>
      <c r="O212" s="17"/>
      <c r="P212" s="17"/>
      <c r="Q212" s="17"/>
      <c r="R212" s="17"/>
      <c r="S212" s="17"/>
      <c r="T212" s="17"/>
      <c r="U212" s="12"/>
      <c r="V212" s="12"/>
      <c r="W212" s="12"/>
      <c r="X212" s="12"/>
      <c r="Y212" s="12"/>
      <c r="Z212" s="12"/>
    </row>
    <row r="213" spans="1:26" ht="15" customHeight="1" x14ac:dyDescent="0.3">
      <c r="A213" s="26"/>
      <c r="B213" s="17"/>
      <c r="C213" s="17"/>
      <c r="D213" s="17"/>
      <c r="E213" s="17"/>
      <c r="F213" s="17"/>
      <c r="G213" s="17"/>
      <c r="H213" s="17"/>
      <c r="I213" s="17"/>
      <c r="J213" s="17"/>
      <c r="K213" s="17"/>
      <c r="L213" s="17"/>
      <c r="M213" s="17"/>
      <c r="N213" s="17"/>
      <c r="O213" s="17"/>
      <c r="P213" s="17"/>
      <c r="Q213" s="17"/>
      <c r="R213" s="17"/>
      <c r="S213" s="17"/>
      <c r="T213" s="17"/>
      <c r="U213" s="12"/>
      <c r="V213" s="12"/>
      <c r="W213" s="12"/>
      <c r="X213" s="12"/>
      <c r="Y213" s="12"/>
      <c r="Z213" s="12"/>
    </row>
    <row r="214" spans="1:26" ht="15" customHeight="1" x14ac:dyDescent="0.3">
      <c r="A214" s="26"/>
      <c r="B214" s="17"/>
      <c r="C214" s="17"/>
      <c r="D214" s="17"/>
      <c r="E214" s="17"/>
      <c r="F214" s="17"/>
      <c r="G214" s="17"/>
      <c r="H214" s="17"/>
      <c r="I214" s="17"/>
      <c r="J214" s="17"/>
      <c r="K214" s="17"/>
      <c r="L214" s="17"/>
      <c r="M214" s="17"/>
      <c r="N214" s="17"/>
      <c r="O214" s="17"/>
      <c r="P214" s="17"/>
      <c r="Q214" s="17"/>
      <c r="R214" s="17"/>
      <c r="S214" s="17"/>
      <c r="T214" s="17"/>
      <c r="U214" s="12"/>
      <c r="V214" s="12"/>
      <c r="W214" s="12"/>
      <c r="X214" s="12"/>
      <c r="Y214" s="12"/>
      <c r="Z214" s="12"/>
    </row>
    <row r="215" spans="1:26" ht="15" customHeight="1" x14ac:dyDescent="0.3">
      <c r="A215" s="26"/>
      <c r="B215" s="17"/>
      <c r="C215" s="17"/>
      <c r="D215" s="17"/>
      <c r="E215" s="17"/>
      <c r="F215" s="17"/>
      <c r="G215" s="17"/>
      <c r="H215" s="17"/>
      <c r="I215" s="17"/>
      <c r="J215" s="17"/>
      <c r="K215" s="17"/>
      <c r="L215" s="17"/>
      <c r="M215" s="17"/>
      <c r="N215" s="17"/>
      <c r="O215" s="17"/>
      <c r="P215" s="17"/>
      <c r="Q215" s="17"/>
      <c r="R215" s="17"/>
      <c r="S215" s="17"/>
      <c r="T215" s="17"/>
      <c r="U215" s="12"/>
      <c r="V215" s="12"/>
      <c r="W215" s="12"/>
      <c r="X215" s="12"/>
      <c r="Y215" s="12"/>
      <c r="Z215" s="12"/>
    </row>
    <row r="216" spans="1:26" ht="15" customHeight="1" x14ac:dyDescent="0.3">
      <c r="A216" s="26"/>
      <c r="B216" s="17"/>
      <c r="C216" s="17"/>
      <c r="D216" s="17"/>
      <c r="E216" s="17"/>
      <c r="F216" s="17"/>
      <c r="G216" s="17"/>
      <c r="H216" s="17"/>
      <c r="I216" s="17"/>
      <c r="J216" s="17"/>
      <c r="K216" s="17"/>
      <c r="L216" s="17"/>
      <c r="M216" s="17"/>
      <c r="N216" s="17"/>
      <c r="O216" s="17"/>
      <c r="P216" s="17"/>
      <c r="Q216" s="17"/>
      <c r="R216" s="17"/>
      <c r="S216" s="17"/>
      <c r="T216" s="17"/>
      <c r="U216" s="12"/>
      <c r="V216" s="12"/>
      <c r="W216" s="12"/>
      <c r="X216" s="12"/>
      <c r="Y216" s="12"/>
      <c r="Z216" s="12"/>
    </row>
    <row r="217" spans="1:26" ht="15" customHeight="1" x14ac:dyDescent="0.3">
      <c r="A217" s="26"/>
      <c r="B217" s="17"/>
      <c r="C217" s="17"/>
      <c r="D217" s="17"/>
      <c r="E217" s="17"/>
      <c r="F217" s="17"/>
      <c r="G217" s="17"/>
      <c r="H217" s="17"/>
      <c r="I217" s="17"/>
      <c r="J217" s="17"/>
      <c r="K217" s="17"/>
      <c r="L217" s="17"/>
      <c r="M217" s="17"/>
      <c r="N217" s="17"/>
      <c r="O217" s="17"/>
      <c r="P217" s="17"/>
      <c r="Q217" s="17"/>
      <c r="R217" s="17"/>
      <c r="S217" s="17"/>
      <c r="T217" s="17"/>
      <c r="U217" s="12"/>
      <c r="V217" s="12"/>
      <c r="W217" s="12"/>
      <c r="X217" s="12"/>
      <c r="Y217" s="12"/>
      <c r="Z217" s="12"/>
    </row>
    <row r="218" spans="1:26" ht="15" customHeight="1" x14ac:dyDescent="0.3">
      <c r="A218" s="26"/>
      <c r="B218" s="17"/>
      <c r="C218" s="17"/>
      <c r="D218" s="17"/>
      <c r="E218" s="17"/>
      <c r="F218" s="17"/>
      <c r="G218" s="17"/>
      <c r="H218" s="17"/>
      <c r="I218" s="17"/>
      <c r="J218" s="17"/>
      <c r="K218" s="17"/>
      <c r="L218" s="17"/>
      <c r="M218" s="17"/>
      <c r="N218" s="17"/>
      <c r="O218" s="17"/>
      <c r="P218" s="17"/>
      <c r="Q218" s="17"/>
      <c r="R218" s="17"/>
      <c r="S218" s="17"/>
      <c r="T218" s="17"/>
      <c r="U218" s="12"/>
      <c r="V218" s="12"/>
      <c r="W218" s="12"/>
      <c r="X218" s="12"/>
      <c r="Y218" s="12"/>
      <c r="Z218" s="12"/>
    </row>
    <row r="219" spans="1:26" ht="15" customHeight="1" x14ac:dyDescent="0.3">
      <c r="A219" s="26"/>
      <c r="B219" s="17"/>
      <c r="C219" s="17"/>
      <c r="D219" s="17"/>
      <c r="E219" s="17"/>
      <c r="F219" s="17"/>
      <c r="G219" s="17"/>
      <c r="H219" s="17"/>
      <c r="I219" s="17"/>
      <c r="J219" s="17"/>
      <c r="K219" s="17"/>
      <c r="L219" s="17"/>
      <c r="M219" s="17"/>
      <c r="N219" s="17"/>
      <c r="O219" s="17"/>
      <c r="P219" s="17"/>
      <c r="Q219" s="17"/>
      <c r="R219" s="17"/>
      <c r="S219" s="17"/>
      <c r="T219" s="17"/>
      <c r="U219" s="12"/>
      <c r="V219" s="12"/>
      <c r="W219" s="12"/>
      <c r="X219" s="12"/>
      <c r="Y219" s="12"/>
      <c r="Z219" s="12"/>
    </row>
    <row r="220" spans="1:26" ht="15" customHeight="1" x14ac:dyDescent="0.3">
      <c r="A220" s="26"/>
      <c r="B220" s="17"/>
      <c r="C220" s="17"/>
      <c r="D220" s="17"/>
      <c r="E220" s="17"/>
      <c r="F220" s="17"/>
      <c r="G220" s="17"/>
      <c r="H220" s="17"/>
      <c r="I220" s="17"/>
      <c r="J220" s="17"/>
      <c r="K220" s="17"/>
      <c r="L220" s="17"/>
      <c r="M220" s="17"/>
      <c r="N220" s="17"/>
      <c r="O220" s="17"/>
      <c r="P220" s="17"/>
      <c r="Q220" s="17"/>
      <c r="R220" s="17"/>
      <c r="S220" s="17"/>
      <c r="T220" s="17"/>
      <c r="U220" s="12"/>
      <c r="V220" s="12"/>
      <c r="W220" s="12"/>
      <c r="X220" s="12"/>
      <c r="Y220" s="12"/>
      <c r="Z220" s="12"/>
    </row>
    <row r="221" spans="1:26" ht="15" customHeight="1" x14ac:dyDescent="0.3">
      <c r="A221" s="26"/>
      <c r="B221" s="17"/>
      <c r="C221" s="17"/>
      <c r="D221" s="17"/>
      <c r="E221" s="17"/>
      <c r="F221" s="17"/>
      <c r="G221" s="17"/>
      <c r="H221" s="17"/>
      <c r="I221" s="17"/>
      <c r="J221" s="17"/>
      <c r="K221" s="17"/>
      <c r="L221" s="17"/>
      <c r="M221" s="17"/>
      <c r="N221" s="17"/>
      <c r="O221" s="17"/>
      <c r="P221" s="17"/>
      <c r="Q221" s="17"/>
      <c r="R221" s="17"/>
      <c r="S221" s="17"/>
      <c r="T221" s="17"/>
      <c r="U221" s="12"/>
      <c r="V221" s="12"/>
      <c r="W221" s="12"/>
      <c r="X221" s="12"/>
      <c r="Y221" s="12"/>
      <c r="Z221" s="12"/>
    </row>
    <row r="222" spans="1:26" ht="15" customHeight="1" x14ac:dyDescent="0.3">
      <c r="A222" s="26"/>
      <c r="B222" s="17"/>
      <c r="C222" s="17"/>
      <c r="D222" s="17"/>
      <c r="E222" s="17"/>
      <c r="F222" s="17"/>
      <c r="G222" s="17"/>
      <c r="H222" s="17"/>
      <c r="I222" s="17"/>
      <c r="J222" s="17"/>
      <c r="K222" s="17"/>
      <c r="L222" s="17"/>
      <c r="M222" s="17"/>
      <c r="N222" s="17"/>
      <c r="O222" s="17"/>
      <c r="P222" s="17"/>
      <c r="Q222" s="17"/>
      <c r="R222" s="17"/>
      <c r="S222" s="17"/>
      <c r="T222" s="17"/>
      <c r="U222" s="12"/>
      <c r="V222" s="12"/>
      <c r="W222" s="12"/>
      <c r="X222" s="12"/>
      <c r="Y222" s="12"/>
      <c r="Z222" s="12"/>
    </row>
    <row r="223" spans="1:26" ht="15" customHeight="1" x14ac:dyDescent="0.3">
      <c r="A223" s="26"/>
      <c r="B223" s="17"/>
      <c r="C223" s="17"/>
      <c r="D223" s="17"/>
      <c r="E223" s="17"/>
      <c r="F223" s="17"/>
      <c r="G223" s="17"/>
      <c r="H223" s="17"/>
      <c r="I223" s="17"/>
      <c r="J223" s="17"/>
      <c r="K223" s="17"/>
      <c r="L223" s="17"/>
      <c r="M223" s="17"/>
      <c r="N223" s="17"/>
      <c r="O223" s="17"/>
      <c r="P223" s="17"/>
      <c r="Q223" s="17"/>
      <c r="R223" s="17"/>
      <c r="S223" s="17"/>
      <c r="T223" s="17"/>
      <c r="U223" s="12"/>
      <c r="V223" s="12"/>
      <c r="W223" s="12"/>
      <c r="X223" s="12"/>
      <c r="Y223" s="12"/>
      <c r="Z223" s="12"/>
    </row>
    <row r="224" spans="1:26" ht="15" customHeight="1" x14ac:dyDescent="0.3">
      <c r="A224" s="26"/>
      <c r="B224" s="17"/>
      <c r="C224" s="17"/>
      <c r="D224" s="17"/>
      <c r="E224" s="17"/>
      <c r="F224" s="17"/>
      <c r="G224" s="17"/>
      <c r="H224" s="17"/>
      <c r="I224" s="17"/>
      <c r="J224" s="17"/>
      <c r="K224" s="17"/>
      <c r="L224" s="17"/>
      <c r="M224" s="17"/>
      <c r="N224" s="17"/>
      <c r="O224" s="17"/>
      <c r="P224" s="17"/>
      <c r="Q224" s="17"/>
      <c r="R224" s="17"/>
      <c r="S224" s="17"/>
      <c r="T224" s="17"/>
      <c r="U224" s="12"/>
      <c r="V224" s="12"/>
      <c r="W224" s="12"/>
      <c r="X224" s="12"/>
      <c r="Y224" s="12"/>
      <c r="Z224" s="12"/>
    </row>
    <row r="225" spans="1:26" ht="15" customHeight="1" x14ac:dyDescent="0.3">
      <c r="A225" s="27"/>
      <c r="B225" s="19"/>
      <c r="C225" s="19"/>
      <c r="D225" s="19"/>
      <c r="E225" s="19"/>
      <c r="F225" s="19"/>
      <c r="G225" s="19"/>
      <c r="H225" s="19"/>
      <c r="I225" s="19"/>
      <c r="J225" s="17"/>
      <c r="K225" s="17"/>
      <c r="L225" s="17"/>
      <c r="M225" s="17"/>
      <c r="N225" s="17"/>
      <c r="O225" s="17"/>
      <c r="P225" s="17"/>
      <c r="Q225" s="17"/>
      <c r="R225" s="17"/>
      <c r="S225" s="17"/>
      <c r="T225" s="17"/>
      <c r="U225" s="12"/>
      <c r="V225" s="12"/>
      <c r="W225" s="12"/>
      <c r="X225" s="12"/>
      <c r="Y225" s="12"/>
      <c r="Z225" s="12"/>
    </row>
    <row r="226" spans="1:26" ht="15" customHeight="1" x14ac:dyDescent="0.3">
      <c r="A226" s="26"/>
      <c r="B226" s="17"/>
      <c r="C226" s="17"/>
      <c r="D226" s="17"/>
      <c r="E226" s="17"/>
      <c r="F226" s="17"/>
      <c r="G226" s="17"/>
      <c r="H226" s="17"/>
      <c r="I226" s="17"/>
      <c r="J226" s="17"/>
      <c r="K226" s="17"/>
      <c r="L226" s="17"/>
      <c r="M226" s="17"/>
      <c r="N226" s="17"/>
      <c r="O226" s="17"/>
      <c r="P226" s="17"/>
      <c r="Q226" s="17"/>
      <c r="R226" s="17"/>
      <c r="S226" s="17"/>
      <c r="T226" s="17"/>
      <c r="U226" s="12"/>
      <c r="V226" s="12"/>
      <c r="W226" s="12"/>
      <c r="X226" s="12"/>
      <c r="Y226" s="12"/>
      <c r="Z226" s="12"/>
    </row>
    <row r="227" spans="1:26" ht="15" customHeight="1" x14ac:dyDescent="0.3">
      <c r="A227" s="26"/>
      <c r="B227" s="17"/>
      <c r="C227" s="17"/>
      <c r="D227" s="17"/>
      <c r="E227" s="17"/>
      <c r="F227" s="17"/>
      <c r="G227" s="17"/>
      <c r="H227" s="17"/>
      <c r="I227" s="17"/>
      <c r="J227" s="17"/>
      <c r="K227" s="17"/>
      <c r="L227" s="17"/>
      <c r="M227" s="17"/>
      <c r="N227" s="17"/>
      <c r="O227" s="17"/>
      <c r="P227" s="17"/>
      <c r="Q227" s="17"/>
      <c r="R227" s="17"/>
      <c r="S227" s="17"/>
      <c r="T227" s="17"/>
      <c r="U227" s="12"/>
      <c r="V227" s="12"/>
      <c r="W227" s="12"/>
      <c r="X227" s="12"/>
      <c r="Y227" s="12"/>
      <c r="Z227" s="12"/>
    </row>
    <row r="228" spans="1:26" ht="15" customHeight="1" x14ac:dyDescent="0.3">
      <c r="A228" s="26"/>
      <c r="B228" s="17"/>
      <c r="C228" s="17"/>
      <c r="D228" s="17"/>
      <c r="E228" s="17"/>
      <c r="F228" s="17"/>
      <c r="G228" s="17"/>
      <c r="H228" s="17"/>
      <c r="I228" s="17"/>
      <c r="J228" s="17"/>
      <c r="K228" s="17"/>
      <c r="L228" s="17"/>
      <c r="M228" s="17"/>
      <c r="N228" s="17"/>
      <c r="O228" s="17"/>
      <c r="P228" s="17"/>
      <c r="Q228" s="17"/>
      <c r="R228" s="17"/>
      <c r="S228" s="17"/>
      <c r="T228" s="17"/>
      <c r="U228" s="12"/>
      <c r="V228" s="12"/>
      <c r="W228" s="12"/>
      <c r="X228" s="12"/>
      <c r="Y228" s="12"/>
      <c r="Z228" s="12"/>
    </row>
    <row r="229" spans="1:26" ht="15" customHeight="1" x14ac:dyDescent="0.3">
      <c r="A229" s="26"/>
      <c r="B229" s="17"/>
      <c r="C229" s="17"/>
      <c r="D229" s="17"/>
      <c r="E229" s="17"/>
      <c r="F229" s="17"/>
      <c r="G229" s="17"/>
      <c r="H229" s="17"/>
      <c r="I229" s="17"/>
      <c r="J229" s="17"/>
      <c r="K229" s="17"/>
      <c r="L229" s="17"/>
      <c r="M229" s="17"/>
      <c r="N229" s="17"/>
      <c r="O229" s="17"/>
      <c r="P229" s="17"/>
      <c r="Q229" s="17"/>
      <c r="R229" s="17"/>
      <c r="S229" s="17"/>
      <c r="T229" s="17"/>
      <c r="U229" s="12"/>
      <c r="V229" s="12"/>
      <c r="W229" s="12"/>
      <c r="X229" s="12"/>
      <c r="Y229" s="12"/>
      <c r="Z229" s="12"/>
    </row>
    <row r="230" spans="1:26" ht="15" customHeight="1" x14ac:dyDescent="0.3">
      <c r="A230" s="26"/>
      <c r="B230" s="17"/>
      <c r="C230" s="17"/>
      <c r="D230" s="17"/>
      <c r="E230" s="17"/>
      <c r="F230" s="17"/>
      <c r="G230" s="17"/>
      <c r="H230" s="17"/>
      <c r="I230" s="17"/>
      <c r="J230" s="17"/>
      <c r="K230" s="17"/>
      <c r="L230" s="17"/>
      <c r="M230" s="17"/>
      <c r="N230" s="17"/>
      <c r="O230" s="17"/>
      <c r="P230" s="17"/>
      <c r="Q230" s="17"/>
      <c r="R230" s="17"/>
      <c r="S230" s="17"/>
      <c r="T230" s="17"/>
      <c r="U230" s="12"/>
      <c r="V230" s="12"/>
      <c r="W230" s="12"/>
      <c r="X230" s="12"/>
      <c r="Y230" s="12"/>
      <c r="Z230" s="12"/>
    </row>
    <row r="231" spans="1:26" ht="15" customHeight="1" x14ac:dyDescent="0.3">
      <c r="A231" s="26"/>
      <c r="B231" s="17"/>
      <c r="C231" s="17"/>
      <c r="D231" s="17"/>
      <c r="E231" s="17"/>
      <c r="F231" s="17"/>
      <c r="G231" s="17"/>
      <c r="H231" s="17"/>
      <c r="I231" s="17"/>
      <c r="J231" s="17"/>
      <c r="K231" s="17"/>
      <c r="L231" s="17"/>
      <c r="M231" s="17"/>
      <c r="N231" s="17"/>
      <c r="O231" s="17"/>
      <c r="P231" s="17"/>
      <c r="Q231" s="17"/>
      <c r="R231" s="17"/>
      <c r="S231" s="17"/>
      <c r="T231" s="17"/>
      <c r="U231" s="12"/>
      <c r="V231" s="12"/>
      <c r="W231" s="12"/>
      <c r="X231" s="12"/>
      <c r="Y231" s="12"/>
      <c r="Z231" s="12"/>
    </row>
    <row r="232" spans="1:26" ht="15" customHeight="1" x14ac:dyDescent="0.3">
      <c r="A232" s="26"/>
      <c r="B232" s="17"/>
      <c r="C232" s="17"/>
      <c r="D232" s="17"/>
      <c r="E232" s="17"/>
      <c r="F232" s="17"/>
      <c r="G232" s="17"/>
      <c r="H232" s="17"/>
      <c r="I232" s="17"/>
      <c r="J232" s="17"/>
      <c r="K232" s="17"/>
      <c r="L232" s="17"/>
      <c r="M232" s="17"/>
      <c r="N232" s="17"/>
      <c r="O232" s="17"/>
      <c r="P232" s="17"/>
      <c r="Q232" s="17"/>
      <c r="R232" s="17"/>
      <c r="S232" s="17"/>
      <c r="T232" s="17"/>
      <c r="U232" s="12"/>
      <c r="V232" s="12"/>
      <c r="W232" s="12"/>
      <c r="X232" s="12"/>
      <c r="Y232" s="12"/>
      <c r="Z232" s="12"/>
    </row>
    <row r="233" spans="1:26" ht="15" customHeight="1" x14ac:dyDescent="0.3">
      <c r="A233" s="26"/>
      <c r="B233" s="17"/>
      <c r="C233" s="17"/>
      <c r="D233" s="17"/>
      <c r="E233" s="17"/>
      <c r="F233" s="17"/>
      <c r="G233" s="17"/>
      <c r="H233" s="17"/>
      <c r="I233" s="17"/>
      <c r="J233" s="17"/>
      <c r="K233" s="17"/>
      <c r="L233" s="17"/>
      <c r="M233" s="17"/>
      <c r="N233" s="17"/>
      <c r="O233" s="17"/>
      <c r="P233" s="17"/>
      <c r="Q233" s="17"/>
      <c r="R233" s="17"/>
      <c r="S233" s="17"/>
      <c r="T233" s="17"/>
      <c r="U233" s="12"/>
      <c r="V233" s="12"/>
      <c r="W233" s="12"/>
      <c r="X233" s="12"/>
      <c r="Y233" s="12"/>
      <c r="Z233" s="12"/>
    </row>
    <row r="234" spans="1:26" ht="15" customHeight="1" x14ac:dyDescent="0.3">
      <c r="A234" s="26"/>
      <c r="B234" s="17"/>
      <c r="C234" s="17"/>
      <c r="D234" s="17"/>
      <c r="E234" s="17"/>
      <c r="F234" s="17"/>
      <c r="G234" s="17"/>
      <c r="H234" s="17"/>
      <c r="I234" s="17"/>
      <c r="J234" s="17"/>
      <c r="K234" s="17"/>
      <c r="L234" s="17"/>
      <c r="M234" s="17"/>
      <c r="N234" s="17"/>
      <c r="O234" s="17"/>
      <c r="P234" s="17"/>
      <c r="Q234" s="17"/>
      <c r="R234" s="17"/>
      <c r="S234" s="17"/>
      <c r="T234" s="17"/>
      <c r="U234" s="12"/>
      <c r="V234" s="12"/>
      <c r="W234" s="12"/>
      <c r="X234" s="12"/>
      <c r="Y234" s="12"/>
      <c r="Z234" s="12"/>
    </row>
    <row r="235" spans="1:26" ht="15" customHeight="1" x14ac:dyDescent="0.3">
      <c r="A235" s="26"/>
      <c r="B235" s="17"/>
      <c r="C235" s="17"/>
      <c r="D235" s="17"/>
      <c r="E235" s="17"/>
      <c r="F235" s="17"/>
      <c r="G235" s="17"/>
      <c r="H235" s="17"/>
      <c r="I235" s="17"/>
      <c r="J235" s="17"/>
      <c r="K235" s="17"/>
      <c r="L235" s="17"/>
      <c r="M235" s="17"/>
      <c r="N235" s="17"/>
      <c r="O235" s="17"/>
      <c r="P235" s="17"/>
      <c r="Q235" s="17"/>
      <c r="R235" s="17"/>
      <c r="S235" s="17"/>
      <c r="T235" s="17"/>
      <c r="U235" s="12"/>
      <c r="V235" s="12"/>
      <c r="W235" s="12"/>
      <c r="X235" s="12"/>
      <c r="Y235" s="12"/>
      <c r="Z235" s="12"/>
    </row>
    <row r="236" spans="1:26" ht="15" customHeight="1" x14ac:dyDescent="0.3">
      <c r="A236" s="26"/>
      <c r="B236" s="17"/>
      <c r="C236" s="17"/>
      <c r="D236" s="17"/>
      <c r="E236" s="17"/>
      <c r="F236" s="17"/>
      <c r="G236" s="17"/>
      <c r="H236" s="17"/>
      <c r="I236" s="17"/>
      <c r="J236" s="17"/>
      <c r="K236" s="17"/>
      <c r="L236" s="17"/>
      <c r="M236" s="17"/>
      <c r="N236" s="17"/>
      <c r="O236" s="17"/>
      <c r="P236" s="17"/>
      <c r="Q236" s="17"/>
      <c r="R236" s="17"/>
      <c r="S236" s="17"/>
      <c r="T236" s="17"/>
      <c r="U236" s="12"/>
      <c r="V236" s="12"/>
      <c r="W236" s="12"/>
      <c r="X236" s="12"/>
      <c r="Y236" s="12"/>
      <c r="Z236" s="12"/>
    </row>
    <row r="237" spans="1:26" ht="15" customHeight="1" x14ac:dyDescent="0.3">
      <c r="A237" s="26"/>
      <c r="B237" s="17"/>
      <c r="C237" s="17"/>
      <c r="D237" s="17"/>
      <c r="E237" s="17"/>
      <c r="F237" s="17"/>
      <c r="G237" s="17"/>
      <c r="H237" s="17"/>
      <c r="I237" s="17"/>
      <c r="J237" s="17"/>
      <c r="K237" s="17"/>
      <c r="L237" s="17"/>
      <c r="M237" s="17"/>
      <c r="N237" s="17"/>
      <c r="O237" s="17"/>
      <c r="P237" s="17"/>
      <c r="Q237" s="17"/>
      <c r="R237" s="17"/>
      <c r="S237" s="17"/>
      <c r="T237" s="17"/>
      <c r="U237" s="12"/>
      <c r="V237" s="12"/>
      <c r="W237" s="12"/>
      <c r="X237" s="12"/>
      <c r="Y237" s="12"/>
      <c r="Z237" s="12"/>
    </row>
    <row r="238" spans="1:26" ht="15" customHeight="1" x14ac:dyDescent="0.3">
      <c r="A238" s="26"/>
      <c r="B238" s="17"/>
      <c r="C238" s="17"/>
      <c r="D238" s="17"/>
      <c r="E238" s="17"/>
      <c r="F238" s="17"/>
      <c r="G238" s="17"/>
      <c r="H238" s="17"/>
      <c r="I238" s="17"/>
      <c r="J238" s="17"/>
      <c r="K238" s="17"/>
      <c r="L238" s="17"/>
      <c r="M238" s="17"/>
      <c r="N238" s="17"/>
      <c r="O238" s="17"/>
      <c r="P238" s="17"/>
      <c r="Q238" s="17"/>
      <c r="R238" s="17"/>
      <c r="S238" s="17"/>
      <c r="T238" s="17"/>
      <c r="U238" s="12"/>
      <c r="V238" s="12"/>
      <c r="W238" s="12"/>
      <c r="X238" s="12"/>
      <c r="Y238" s="12"/>
      <c r="Z238" s="12"/>
    </row>
    <row r="239" spans="1:26" ht="15" customHeight="1" x14ac:dyDescent="0.3">
      <c r="A239" s="26"/>
      <c r="B239" s="17"/>
      <c r="C239" s="17"/>
      <c r="D239" s="17"/>
      <c r="E239" s="17"/>
      <c r="F239" s="17"/>
      <c r="G239" s="17"/>
      <c r="H239" s="17"/>
      <c r="I239" s="17"/>
      <c r="J239" s="17"/>
      <c r="K239" s="17"/>
      <c r="L239" s="17"/>
      <c r="M239" s="17"/>
      <c r="N239" s="17"/>
      <c r="O239" s="17"/>
      <c r="P239" s="17"/>
      <c r="Q239" s="17"/>
      <c r="R239" s="17"/>
      <c r="S239" s="17"/>
      <c r="T239" s="17"/>
      <c r="U239" s="12"/>
      <c r="V239" s="12"/>
      <c r="W239" s="12"/>
      <c r="X239" s="12"/>
      <c r="Y239" s="12"/>
      <c r="Z239" s="12"/>
    </row>
    <row r="240" spans="1:26" ht="15" customHeight="1" x14ac:dyDescent="0.3">
      <c r="A240" s="26"/>
      <c r="B240" s="17"/>
      <c r="C240" s="17"/>
      <c r="D240" s="17"/>
      <c r="E240" s="17"/>
      <c r="F240" s="17"/>
      <c r="G240" s="17"/>
      <c r="H240" s="17"/>
      <c r="I240" s="17"/>
      <c r="J240" s="17"/>
      <c r="K240" s="17"/>
      <c r="L240" s="17"/>
      <c r="M240" s="17"/>
      <c r="N240" s="17"/>
      <c r="O240" s="17"/>
      <c r="P240" s="17"/>
      <c r="Q240" s="17"/>
      <c r="R240" s="17"/>
      <c r="S240" s="17"/>
      <c r="T240" s="17"/>
      <c r="U240" s="12"/>
      <c r="V240" s="12"/>
      <c r="W240" s="12"/>
      <c r="X240" s="12"/>
      <c r="Y240" s="12"/>
      <c r="Z240" s="12"/>
    </row>
    <row r="241" spans="1:26" ht="15" customHeight="1" x14ac:dyDescent="0.3">
      <c r="A241" s="26"/>
      <c r="B241" s="17"/>
      <c r="C241" s="17"/>
      <c r="D241" s="17"/>
      <c r="E241" s="17"/>
      <c r="F241" s="17"/>
      <c r="G241" s="17"/>
      <c r="H241" s="17"/>
      <c r="I241" s="17"/>
      <c r="J241" s="17"/>
      <c r="K241" s="17"/>
      <c r="L241" s="17"/>
      <c r="M241" s="17"/>
      <c r="N241" s="17"/>
      <c r="O241" s="17"/>
      <c r="P241" s="17"/>
      <c r="Q241" s="17"/>
      <c r="R241" s="17"/>
      <c r="S241" s="17"/>
      <c r="T241" s="17"/>
      <c r="U241" s="12"/>
      <c r="V241" s="12"/>
      <c r="W241" s="12"/>
      <c r="X241" s="12"/>
      <c r="Y241" s="12"/>
      <c r="Z241" s="12"/>
    </row>
    <row r="242" spans="1:26" ht="15" customHeight="1" x14ac:dyDescent="0.3">
      <c r="A242" s="26"/>
      <c r="B242" s="17"/>
      <c r="C242" s="17"/>
      <c r="D242" s="17"/>
      <c r="E242" s="17"/>
      <c r="F242" s="17"/>
      <c r="G242" s="17"/>
      <c r="H242" s="17"/>
      <c r="I242" s="17"/>
      <c r="J242" s="17"/>
      <c r="K242" s="17"/>
      <c r="L242" s="17"/>
      <c r="M242" s="17"/>
      <c r="N242" s="17"/>
      <c r="O242" s="17"/>
      <c r="P242" s="17"/>
      <c r="Q242" s="17"/>
      <c r="R242" s="17"/>
      <c r="S242" s="17"/>
      <c r="T242" s="17"/>
      <c r="U242" s="12"/>
      <c r="V242" s="12"/>
      <c r="W242" s="12"/>
      <c r="X242" s="12"/>
      <c r="Y242" s="12"/>
      <c r="Z242" s="12"/>
    </row>
    <row r="243" spans="1:26" ht="15" customHeight="1" x14ac:dyDescent="0.3">
      <c r="A243" s="26"/>
      <c r="B243" s="17"/>
      <c r="C243" s="17"/>
      <c r="D243" s="17"/>
      <c r="E243" s="17"/>
      <c r="F243" s="17"/>
      <c r="G243" s="17"/>
      <c r="H243" s="17"/>
      <c r="I243" s="17"/>
      <c r="J243" s="17"/>
      <c r="K243" s="17"/>
      <c r="L243" s="17"/>
      <c r="M243" s="17"/>
      <c r="N243" s="17"/>
      <c r="O243" s="17"/>
      <c r="P243" s="17"/>
      <c r="Q243" s="17"/>
      <c r="R243" s="17"/>
      <c r="S243" s="17"/>
      <c r="T243" s="17"/>
      <c r="U243" s="12"/>
      <c r="V243" s="12"/>
      <c r="W243" s="12"/>
      <c r="X243" s="12"/>
      <c r="Y243" s="12"/>
      <c r="Z243" s="12"/>
    </row>
    <row r="244" spans="1:26" ht="15" customHeight="1" x14ac:dyDescent="0.3">
      <c r="A244" s="26"/>
      <c r="B244" s="17"/>
      <c r="C244" s="17"/>
      <c r="D244" s="17"/>
      <c r="E244" s="17"/>
      <c r="F244" s="17"/>
      <c r="G244" s="17"/>
      <c r="H244" s="17"/>
      <c r="I244" s="17"/>
      <c r="J244" s="17"/>
      <c r="K244" s="17"/>
      <c r="L244" s="17"/>
      <c r="M244" s="17"/>
      <c r="N244" s="17"/>
      <c r="O244" s="17"/>
      <c r="P244" s="17"/>
      <c r="Q244" s="17"/>
      <c r="R244" s="17"/>
      <c r="S244" s="17"/>
      <c r="T244" s="17"/>
      <c r="U244" s="12"/>
      <c r="V244" s="12"/>
      <c r="W244" s="12"/>
      <c r="X244" s="12"/>
      <c r="Y244" s="12"/>
      <c r="Z244" s="12"/>
    </row>
    <row r="245" spans="1:26" ht="15" customHeight="1" x14ac:dyDescent="0.3">
      <c r="A245" s="26"/>
      <c r="B245" s="17"/>
      <c r="C245" s="17"/>
      <c r="D245" s="17"/>
      <c r="E245" s="17"/>
      <c r="F245" s="17"/>
      <c r="G245" s="17"/>
      <c r="H245" s="17"/>
      <c r="I245" s="17"/>
      <c r="J245" s="17"/>
      <c r="K245" s="17"/>
      <c r="L245" s="17"/>
      <c r="M245" s="17"/>
      <c r="N245" s="17"/>
      <c r="O245" s="17"/>
      <c r="P245" s="17"/>
      <c r="Q245" s="17"/>
      <c r="R245" s="17"/>
      <c r="S245" s="17"/>
      <c r="T245" s="17"/>
      <c r="U245" s="12"/>
      <c r="V245" s="12"/>
      <c r="W245" s="12"/>
      <c r="X245" s="12"/>
      <c r="Y245" s="12"/>
      <c r="Z245" s="12"/>
    </row>
    <row r="246" spans="1:26" ht="15" customHeight="1" x14ac:dyDescent="0.3">
      <c r="A246" s="26"/>
      <c r="B246" s="17"/>
      <c r="C246" s="17"/>
      <c r="D246" s="17"/>
      <c r="E246" s="17"/>
      <c r="F246" s="17"/>
      <c r="G246" s="17"/>
      <c r="H246" s="17"/>
      <c r="I246" s="17"/>
      <c r="J246" s="17"/>
      <c r="K246" s="17"/>
      <c r="L246" s="17"/>
      <c r="M246" s="17"/>
      <c r="N246" s="17"/>
      <c r="O246" s="17"/>
      <c r="P246" s="17"/>
      <c r="Q246" s="17"/>
      <c r="R246" s="17"/>
      <c r="S246" s="17"/>
      <c r="T246" s="17"/>
      <c r="U246" s="12"/>
      <c r="V246" s="12"/>
      <c r="W246" s="12"/>
      <c r="X246" s="12"/>
      <c r="Y246" s="12"/>
      <c r="Z246" s="12"/>
    </row>
    <row r="247" spans="1:26" ht="15" customHeight="1" x14ac:dyDescent="0.3">
      <c r="A247" s="27"/>
      <c r="B247" s="19"/>
      <c r="C247" s="19"/>
      <c r="D247" s="19"/>
      <c r="E247" s="19"/>
      <c r="F247" s="19"/>
      <c r="G247" s="19"/>
      <c r="H247" s="19"/>
      <c r="I247" s="19"/>
      <c r="J247" s="17"/>
      <c r="K247" s="17"/>
      <c r="L247" s="17"/>
      <c r="M247" s="17"/>
      <c r="N247" s="17"/>
      <c r="O247" s="17"/>
      <c r="P247" s="17"/>
      <c r="Q247" s="17"/>
      <c r="R247" s="17"/>
      <c r="S247" s="17"/>
      <c r="T247" s="17"/>
      <c r="U247" s="12"/>
      <c r="V247" s="12"/>
      <c r="W247" s="12"/>
      <c r="X247" s="12"/>
      <c r="Y247" s="12"/>
      <c r="Z247" s="12"/>
    </row>
    <row r="248" spans="1:26" ht="15" customHeight="1" x14ac:dyDescent="0.3">
      <c r="A248" s="27"/>
      <c r="B248" s="19"/>
      <c r="C248" s="19"/>
      <c r="D248" s="19"/>
      <c r="E248" s="19"/>
      <c r="F248" s="19"/>
      <c r="G248" s="19"/>
      <c r="H248" s="19"/>
      <c r="I248" s="19"/>
      <c r="J248" s="17"/>
      <c r="K248" s="17"/>
      <c r="L248" s="17"/>
      <c r="M248" s="17"/>
      <c r="N248" s="17"/>
      <c r="O248" s="17"/>
      <c r="P248" s="17"/>
      <c r="Q248" s="17"/>
      <c r="R248" s="17"/>
      <c r="S248" s="17"/>
      <c r="T248" s="17"/>
      <c r="U248" s="12"/>
      <c r="V248" s="12"/>
      <c r="W248" s="12"/>
      <c r="X248" s="12"/>
      <c r="Y248" s="12"/>
      <c r="Z248" s="12"/>
    </row>
    <row r="249" spans="1:26" ht="15" customHeight="1" x14ac:dyDescent="0.3">
      <c r="A249" s="26"/>
      <c r="B249" s="17"/>
      <c r="C249" s="17"/>
      <c r="D249" s="17"/>
      <c r="E249" s="17"/>
      <c r="F249" s="17"/>
      <c r="G249" s="17"/>
      <c r="H249" s="17"/>
      <c r="I249" s="17"/>
      <c r="J249" s="17"/>
      <c r="K249" s="17"/>
      <c r="L249" s="17"/>
      <c r="M249" s="17"/>
      <c r="N249" s="17"/>
      <c r="O249" s="17"/>
      <c r="P249" s="17"/>
      <c r="Q249" s="17"/>
      <c r="R249" s="17"/>
      <c r="S249" s="17"/>
      <c r="T249" s="17"/>
      <c r="U249" s="12"/>
      <c r="V249" s="12"/>
      <c r="W249" s="12"/>
      <c r="X249" s="12"/>
      <c r="Y249" s="12"/>
      <c r="Z249" s="12"/>
    </row>
    <row r="250" spans="1:26" ht="15" customHeight="1" x14ac:dyDescent="0.3">
      <c r="A250" s="26"/>
      <c r="B250" s="17"/>
      <c r="C250" s="17"/>
      <c r="D250" s="17"/>
      <c r="E250" s="17"/>
      <c r="F250" s="17"/>
      <c r="G250" s="17"/>
      <c r="H250" s="17"/>
      <c r="I250" s="17"/>
      <c r="J250" s="17"/>
      <c r="K250" s="17"/>
      <c r="L250" s="17"/>
      <c r="M250" s="17"/>
      <c r="N250" s="17"/>
      <c r="O250" s="17"/>
      <c r="P250" s="17"/>
      <c r="Q250" s="17"/>
      <c r="R250" s="17"/>
      <c r="S250" s="17"/>
      <c r="T250" s="17"/>
      <c r="U250" s="12"/>
      <c r="V250" s="12"/>
      <c r="W250" s="12"/>
      <c r="X250" s="12"/>
      <c r="Y250" s="12"/>
      <c r="Z250" s="12"/>
    </row>
    <row r="251" spans="1:26" ht="15" customHeight="1" x14ac:dyDescent="0.3">
      <c r="A251" s="26"/>
      <c r="B251" s="17"/>
      <c r="C251" s="17"/>
      <c r="D251" s="17"/>
      <c r="E251" s="17"/>
      <c r="F251" s="17"/>
      <c r="G251" s="17"/>
      <c r="H251" s="17"/>
      <c r="I251" s="17"/>
      <c r="J251" s="17"/>
      <c r="K251" s="17"/>
      <c r="L251" s="17"/>
      <c r="M251" s="17"/>
      <c r="N251" s="17"/>
      <c r="O251" s="17"/>
      <c r="P251" s="17"/>
      <c r="Q251" s="17"/>
      <c r="R251" s="17"/>
      <c r="S251" s="17"/>
      <c r="T251" s="17"/>
      <c r="U251" s="12"/>
      <c r="V251" s="12"/>
      <c r="W251" s="12"/>
      <c r="X251" s="12"/>
      <c r="Y251" s="12"/>
      <c r="Z251" s="12"/>
    </row>
    <row r="252" spans="1:26" ht="15" customHeight="1" x14ac:dyDescent="0.3">
      <c r="A252" s="26"/>
      <c r="B252" s="17"/>
      <c r="C252" s="17"/>
      <c r="D252" s="17"/>
      <c r="E252" s="17"/>
      <c r="F252" s="17"/>
      <c r="G252" s="17"/>
      <c r="H252" s="17"/>
      <c r="I252" s="17"/>
      <c r="J252" s="17"/>
      <c r="K252" s="17"/>
      <c r="L252" s="17"/>
      <c r="M252" s="17"/>
      <c r="N252" s="17"/>
      <c r="O252" s="17"/>
      <c r="P252" s="17"/>
      <c r="Q252" s="17"/>
      <c r="R252" s="17"/>
      <c r="S252" s="17"/>
      <c r="T252" s="17"/>
      <c r="U252" s="12"/>
      <c r="V252" s="12"/>
      <c r="W252" s="12"/>
      <c r="X252" s="12"/>
      <c r="Y252" s="12"/>
      <c r="Z252" s="12"/>
    </row>
    <row r="253" spans="1:26" ht="15" customHeight="1" x14ac:dyDescent="0.3">
      <c r="A253" s="26"/>
      <c r="B253" s="17"/>
      <c r="C253" s="17"/>
      <c r="D253" s="17"/>
      <c r="E253" s="17"/>
      <c r="F253" s="17"/>
      <c r="G253" s="17"/>
      <c r="H253" s="17"/>
      <c r="I253" s="17"/>
      <c r="J253" s="17"/>
      <c r="K253" s="17"/>
      <c r="L253" s="17"/>
      <c r="M253" s="17"/>
      <c r="N253" s="17"/>
      <c r="O253" s="17"/>
      <c r="P253" s="17"/>
      <c r="Q253" s="17"/>
      <c r="R253" s="17"/>
      <c r="S253" s="17"/>
      <c r="T253" s="17"/>
      <c r="U253" s="12"/>
      <c r="V253" s="12"/>
      <c r="W253" s="12"/>
      <c r="X253" s="12"/>
      <c r="Y253" s="12"/>
      <c r="Z253" s="12"/>
    </row>
    <row r="254" spans="1:26" ht="15" customHeight="1" x14ac:dyDescent="0.3">
      <c r="A254" s="26"/>
      <c r="B254" s="17"/>
      <c r="C254" s="17"/>
      <c r="D254" s="17"/>
      <c r="E254" s="17"/>
      <c r="F254" s="17"/>
      <c r="G254" s="17"/>
      <c r="H254" s="17"/>
      <c r="I254" s="17"/>
      <c r="J254" s="17"/>
      <c r="K254" s="17"/>
      <c r="L254" s="17"/>
      <c r="M254" s="17"/>
      <c r="N254" s="17"/>
      <c r="O254" s="17"/>
      <c r="P254" s="17"/>
      <c r="Q254" s="17"/>
      <c r="R254" s="17"/>
      <c r="S254" s="17"/>
      <c r="T254" s="17"/>
      <c r="U254" s="12"/>
      <c r="V254" s="12"/>
      <c r="W254" s="12"/>
      <c r="X254" s="12"/>
      <c r="Y254" s="12"/>
      <c r="Z254" s="12"/>
    </row>
    <row r="255" spans="1:26" ht="15" customHeight="1" x14ac:dyDescent="0.3">
      <c r="A255" s="26"/>
      <c r="B255" s="17"/>
      <c r="C255" s="17"/>
      <c r="D255" s="17"/>
      <c r="E255" s="17"/>
      <c r="F255" s="17"/>
      <c r="G255" s="17"/>
      <c r="H255" s="17"/>
      <c r="I255" s="17"/>
      <c r="J255" s="17"/>
      <c r="K255" s="17"/>
      <c r="L255" s="17"/>
      <c r="M255" s="17"/>
      <c r="N255" s="17"/>
      <c r="O255" s="17"/>
      <c r="P255" s="17"/>
      <c r="Q255" s="17"/>
      <c r="R255" s="17"/>
      <c r="S255" s="17"/>
      <c r="T255" s="17"/>
      <c r="U255" s="12"/>
      <c r="V255" s="12"/>
      <c r="W255" s="12"/>
      <c r="X255" s="12"/>
      <c r="Y255" s="12"/>
      <c r="Z255" s="12"/>
    </row>
    <row r="256" spans="1:26" ht="15" customHeight="1" x14ac:dyDescent="0.3">
      <c r="A256" s="26"/>
      <c r="B256" s="17"/>
      <c r="C256" s="17"/>
      <c r="D256" s="17"/>
      <c r="E256" s="17"/>
      <c r="F256" s="17"/>
      <c r="G256" s="17"/>
      <c r="H256" s="17"/>
      <c r="I256" s="17"/>
      <c r="J256" s="17"/>
      <c r="K256" s="17"/>
      <c r="L256" s="17"/>
      <c r="M256" s="17"/>
      <c r="N256" s="17"/>
      <c r="O256" s="17"/>
      <c r="P256" s="17"/>
      <c r="Q256" s="17"/>
      <c r="R256" s="17"/>
      <c r="S256" s="17"/>
      <c r="T256" s="17"/>
      <c r="U256" s="12"/>
      <c r="V256" s="12"/>
      <c r="W256" s="12"/>
      <c r="X256" s="12"/>
      <c r="Y256" s="12"/>
      <c r="Z256" s="12"/>
    </row>
    <row r="257" spans="1:26" ht="15" customHeight="1" x14ac:dyDescent="0.3">
      <c r="A257" s="26"/>
      <c r="B257" s="17"/>
      <c r="C257" s="17"/>
      <c r="D257" s="17"/>
      <c r="E257" s="17"/>
      <c r="F257" s="17"/>
      <c r="G257" s="17"/>
      <c r="H257" s="17"/>
      <c r="I257" s="17"/>
      <c r="J257" s="17"/>
      <c r="K257" s="17"/>
      <c r="L257" s="17"/>
      <c r="M257" s="17"/>
      <c r="N257" s="17"/>
      <c r="O257" s="17"/>
      <c r="P257" s="17"/>
      <c r="Q257" s="17"/>
      <c r="R257" s="17"/>
      <c r="S257" s="17"/>
      <c r="T257" s="17"/>
      <c r="U257" s="12"/>
      <c r="V257" s="12"/>
      <c r="W257" s="12"/>
      <c r="X257" s="12"/>
      <c r="Y257" s="12"/>
      <c r="Z257" s="12"/>
    </row>
    <row r="258" spans="1:26" ht="15" customHeight="1" x14ac:dyDescent="0.3">
      <c r="A258" s="26"/>
      <c r="B258" s="17"/>
      <c r="C258" s="17"/>
      <c r="D258" s="17"/>
      <c r="E258" s="17"/>
      <c r="F258" s="17"/>
      <c r="G258" s="17"/>
      <c r="H258" s="17"/>
      <c r="I258" s="17"/>
      <c r="J258" s="17"/>
      <c r="K258" s="17"/>
      <c r="L258" s="17"/>
      <c r="M258" s="17"/>
      <c r="N258" s="17"/>
      <c r="O258" s="17"/>
      <c r="P258" s="17"/>
      <c r="Q258" s="17"/>
      <c r="R258" s="17"/>
      <c r="S258" s="17"/>
      <c r="T258" s="17"/>
      <c r="U258" s="12"/>
      <c r="V258" s="12"/>
      <c r="W258" s="12"/>
      <c r="X258" s="12"/>
      <c r="Y258" s="12"/>
      <c r="Z258" s="12"/>
    </row>
    <row r="259" spans="1:26" ht="15" customHeight="1" x14ac:dyDescent="0.3">
      <c r="A259" s="26"/>
      <c r="B259" s="17"/>
      <c r="C259" s="17"/>
      <c r="D259" s="17"/>
      <c r="E259" s="17"/>
      <c r="F259" s="17"/>
      <c r="G259" s="17"/>
      <c r="H259" s="17"/>
      <c r="I259" s="17"/>
      <c r="J259" s="17"/>
      <c r="K259" s="17"/>
      <c r="L259" s="17"/>
      <c r="M259" s="17"/>
      <c r="N259" s="17"/>
      <c r="O259" s="17"/>
      <c r="P259" s="17"/>
      <c r="Q259" s="17"/>
      <c r="R259" s="17"/>
      <c r="S259" s="17"/>
      <c r="T259" s="17"/>
      <c r="U259" s="12"/>
      <c r="V259" s="12"/>
      <c r="W259" s="12"/>
      <c r="X259" s="12"/>
      <c r="Y259" s="12"/>
      <c r="Z259" s="12"/>
    </row>
    <row r="260" spans="1:26" ht="15" customHeight="1" x14ac:dyDescent="0.3">
      <c r="A260" s="26"/>
      <c r="B260" s="17"/>
      <c r="C260" s="17"/>
      <c r="D260" s="17"/>
      <c r="E260" s="17"/>
      <c r="F260" s="17"/>
      <c r="G260" s="17"/>
      <c r="H260" s="17"/>
      <c r="I260" s="17"/>
      <c r="J260" s="17"/>
      <c r="K260" s="17"/>
      <c r="L260" s="17"/>
      <c r="M260" s="17"/>
      <c r="N260" s="17"/>
      <c r="O260" s="17"/>
      <c r="P260" s="17"/>
      <c r="Q260" s="17"/>
      <c r="R260" s="17"/>
      <c r="S260" s="17"/>
      <c r="T260" s="17"/>
      <c r="U260" s="12"/>
      <c r="V260" s="12"/>
      <c r="W260" s="12"/>
      <c r="X260" s="12"/>
      <c r="Y260" s="12"/>
      <c r="Z260" s="12"/>
    </row>
    <row r="261" spans="1:26" ht="15" customHeight="1" x14ac:dyDescent="0.3">
      <c r="A261" s="26"/>
      <c r="B261" s="17"/>
      <c r="C261" s="17"/>
      <c r="D261" s="17"/>
      <c r="E261" s="17"/>
      <c r="F261" s="17"/>
      <c r="G261" s="17"/>
      <c r="H261" s="17"/>
      <c r="I261" s="17"/>
      <c r="J261" s="17"/>
      <c r="K261" s="17"/>
      <c r="L261" s="17"/>
      <c r="M261" s="17"/>
      <c r="N261" s="17"/>
      <c r="O261" s="17"/>
      <c r="P261" s="17"/>
      <c r="Q261" s="17"/>
      <c r="R261" s="17"/>
      <c r="S261" s="17"/>
      <c r="T261" s="17"/>
      <c r="U261" s="12"/>
      <c r="V261" s="12"/>
      <c r="W261" s="12"/>
      <c r="X261" s="12"/>
      <c r="Y261" s="12"/>
      <c r="Z261" s="12"/>
    </row>
    <row r="262" spans="1:26" ht="15" customHeight="1" x14ac:dyDescent="0.3">
      <c r="A262" s="26"/>
      <c r="B262" s="17"/>
      <c r="C262" s="17"/>
      <c r="D262" s="17"/>
      <c r="E262" s="17"/>
      <c r="F262" s="17"/>
      <c r="G262" s="17"/>
      <c r="H262" s="17"/>
      <c r="I262" s="17"/>
      <c r="J262" s="17"/>
      <c r="K262" s="17"/>
      <c r="L262" s="17"/>
      <c r="M262" s="17"/>
      <c r="N262" s="17"/>
      <c r="O262" s="17"/>
      <c r="P262" s="17"/>
      <c r="Q262" s="17"/>
      <c r="R262" s="17"/>
      <c r="S262" s="17"/>
      <c r="T262" s="17"/>
      <c r="U262" s="12"/>
      <c r="V262" s="12"/>
      <c r="W262" s="12"/>
      <c r="X262" s="12"/>
      <c r="Y262" s="12"/>
      <c r="Z262" s="12"/>
    </row>
    <row r="263" spans="1:26" ht="15" customHeight="1" x14ac:dyDescent="0.3">
      <c r="A263" s="26"/>
      <c r="B263" s="17"/>
      <c r="C263" s="17"/>
      <c r="D263" s="17"/>
      <c r="E263" s="17"/>
      <c r="F263" s="17"/>
      <c r="G263" s="17"/>
      <c r="H263" s="17"/>
      <c r="I263" s="17"/>
      <c r="J263" s="17"/>
      <c r="K263" s="17"/>
      <c r="L263" s="17"/>
      <c r="M263" s="17"/>
      <c r="N263" s="17"/>
      <c r="O263" s="17"/>
      <c r="P263" s="17"/>
      <c r="Q263" s="17"/>
      <c r="R263" s="17"/>
      <c r="S263" s="17"/>
      <c r="T263" s="17"/>
      <c r="U263" s="12"/>
      <c r="V263" s="12"/>
      <c r="W263" s="12"/>
      <c r="X263" s="12"/>
      <c r="Y263" s="12"/>
      <c r="Z263" s="12"/>
    </row>
    <row r="264" spans="1:26" ht="15" customHeight="1" x14ac:dyDescent="0.3">
      <c r="A264" s="26"/>
      <c r="B264" s="17"/>
      <c r="C264" s="17"/>
      <c r="D264" s="17"/>
      <c r="E264" s="17"/>
      <c r="F264" s="17"/>
      <c r="G264" s="17"/>
      <c r="H264" s="17"/>
      <c r="I264" s="17"/>
      <c r="J264" s="17"/>
      <c r="K264" s="17"/>
      <c r="L264" s="17"/>
      <c r="M264" s="17"/>
      <c r="N264" s="17"/>
      <c r="O264" s="17"/>
      <c r="P264" s="17"/>
      <c r="Q264" s="17"/>
      <c r="R264" s="17"/>
      <c r="S264" s="17"/>
      <c r="T264" s="17"/>
      <c r="U264" s="12"/>
      <c r="V264" s="12"/>
      <c r="W264" s="12"/>
      <c r="X264" s="12"/>
      <c r="Y264" s="12"/>
      <c r="Z264" s="12"/>
    </row>
    <row r="265" spans="1:26" ht="15" customHeight="1" x14ac:dyDescent="0.3">
      <c r="A265" s="26"/>
      <c r="B265" s="17"/>
      <c r="C265" s="17"/>
      <c r="D265" s="17"/>
      <c r="E265" s="17"/>
      <c r="F265" s="17"/>
      <c r="G265" s="17"/>
      <c r="H265" s="17"/>
      <c r="I265" s="17"/>
      <c r="J265" s="17"/>
      <c r="K265" s="17"/>
      <c r="L265" s="17"/>
      <c r="M265" s="17"/>
      <c r="N265" s="17"/>
      <c r="O265" s="17"/>
      <c r="P265" s="17"/>
      <c r="Q265" s="17"/>
      <c r="R265" s="17"/>
      <c r="S265" s="17"/>
      <c r="T265" s="17"/>
      <c r="U265" s="12"/>
      <c r="V265" s="12"/>
      <c r="W265" s="12"/>
      <c r="X265" s="12"/>
      <c r="Y265" s="12"/>
      <c r="Z265" s="12"/>
    </row>
    <row r="266" spans="1:26" ht="15" customHeight="1" x14ac:dyDescent="0.3">
      <c r="A266" s="26"/>
      <c r="B266" s="17"/>
      <c r="C266" s="17"/>
      <c r="D266" s="17"/>
      <c r="E266" s="17"/>
      <c r="F266" s="17"/>
      <c r="G266" s="17"/>
      <c r="H266" s="17"/>
      <c r="I266" s="17"/>
      <c r="J266" s="17"/>
      <c r="K266" s="17"/>
      <c r="L266" s="17"/>
      <c r="M266" s="17"/>
      <c r="N266" s="17"/>
      <c r="O266" s="17"/>
      <c r="P266" s="17"/>
      <c r="Q266" s="17"/>
      <c r="R266" s="17"/>
      <c r="S266" s="17"/>
      <c r="T266" s="17"/>
      <c r="U266" s="12"/>
      <c r="V266" s="12"/>
      <c r="W266" s="12"/>
      <c r="X266" s="12"/>
      <c r="Y266" s="12"/>
      <c r="Z266" s="12"/>
    </row>
    <row r="267" spans="1:26" ht="15" customHeight="1" x14ac:dyDescent="0.3">
      <c r="A267" s="26"/>
      <c r="B267" s="17"/>
      <c r="C267" s="17"/>
      <c r="D267" s="17"/>
      <c r="E267" s="17"/>
      <c r="F267" s="17"/>
      <c r="G267" s="17"/>
      <c r="H267" s="17"/>
      <c r="I267" s="17"/>
      <c r="J267" s="17"/>
      <c r="K267" s="17"/>
      <c r="L267" s="17"/>
      <c r="M267" s="17"/>
      <c r="N267" s="17"/>
      <c r="O267" s="17"/>
      <c r="P267" s="17"/>
      <c r="Q267" s="17"/>
      <c r="R267" s="17"/>
      <c r="S267" s="17"/>
      <c r="T267" s="17"/>
      <c r="U267" s="12"/>
      <c r="V267" s="12"/>
      <c r="W267" s="12"/>
      <c r="X267" s="12"/>
      <c r="Y267" s="12"/>
      <c r="Z267" s="12"/>
    </row>
    <row r="268" spans="1:26" ht="15" customHeight="1" x14ac:dyDescent="0.3">
      <c r="A268" s="26"/>
      <c r="B268" s="17"/>
      <c r="C268" s="17"/>
      <c r="D268" s="17"/>
      <c r="E268" s="17"/>
      <c r="F268" s="17"/>
      <c r="G268" s="17"/>
      <c r="H268" s="17"/>
      <c r="I268" s="17"/>
      <c r="J268" s="17"/>
      <c r="K268" s="17"/>
      <c r="L268" s="17"/>
      <c r="M268" s="17"/>
      <c r="N268" s="17"/>
      <c r="O268" s="17"/>
      <c r="P268" s="17"/>
      <c r="Q268" s="17"/>
      <c r="R268" s="17"/>
      <c r="S268" s="17"/>
      <c r="T268" s="17"/>
      <c r="U268" s="12"/>
      <c r="V268" s="12"/>
      <c r="W268" s="12"/>
      <c r="X268" s="12"/>
      <c r="Y268" s="12"/>
      <c r="Z268" s="12"/>
    </row>
    <row r="269" spans="1:26" ht="15" customHeight="1" x14ac:dyDescent="0.3">
      <c r="A269" s="26"/>
      <c r="B269" s="17"/>
      <c r="C269" s="17"/>
      <c r="D269" s="17"/>
      <c r="E269" s="17"/>
      <c r="F269" s="17"/>
      <c r="G269" s="17"/>
      <c r="H269" s="17"/>
      <c r="I269" s="17"/>
      <c r="J269" s="17"/>
      <c r="K269" s="17"/>
      <c r="L269" s="17"/>
      <c r="M269" s="17"/>
      <c r="N269" s="17"/>
      <c r="O269" s="17"/>
      <c r="P269" s="17"/>
      <c r="Q269" s="17"/>
      <c r="R269" s="17"/>
      <c r="S269" s="17"/>
      <c r="T269" s="17"/>
      <c r="U269" s="12"/>
      <c r="V269" s="12"/>
      <c r="W269" s="12"/>
      <c r="X269" s="12"/>
      <c r="Y269" s="12"/>
      <c r="Z269" s="12"/>
    </row>
    <row r="270" spans="1:26" ht="15" customHeight="1" x14ac:dyDescent="0.3">
      <c r="A270" s="26"/>
      <c r="B270" s="17"/>
      <c r="C270" s="17"/>
      <c r="D270" s="17"/>
      <c r="E270" s="17"/>
      <c r="F270" s="17"/>
      <c r="G270" s="17"/>
      <c r="H270" s="17"/>
      <c r="I270" s="17"/>
      <c r="J270" s="17"/>
      <c r="K270" s="17"/>
      <c r="L270" s="17"/>
      <c r="M270" s="17"/>
      <c r="N270" s="17"/>
      <c r="O270" s="17"/>
      <c r="P270" s="17"/>
      <c r="Q270" s="17"/>
      <c r="R270" s="17"/>
      <c r="S270" s="17"/>
      <c r="T270" s="17"/>
      <c r="U270" s="12"/>
      <c r="V270" s="12"/>
      <c r="W270" s="12"/>
      <c r="X270" s="12"/>
      <c r="Y270" s="12"/>
      <c r="Z270" s="12"/>
    </row>
    <row r="271" spans="1:26" ht="15" customHeight="1" x14ac:dyDescent="0.3">
      <c r="A271" s="26"/>
      <c r="B271" s="17"/>
      <c r="C271" s="17"/>
      <c r="D271" s="17"/>
      <c r="E271" s="17"/>
      <c r="F271" s="17"/>
      <c r="G271" s="17"/>
      <c r="H271" s="17"/>
      <c r="I271" s="17"/>
      <c r="J271" s="17"/>
      <c r="K271" s="17"/>
      <c r="L271" s="17"/>
      <c r="M271" s="17"/>
      <c r="N271" s="17"/>
      <c r="O271" s="17"/>
      <c r="P271" s="17"/>
      <c r="Q271" s="17"/>
      <c r="R271" s="17"/>
      <c r="S271" s="17"/>
      <c r="T271" s="17"/>
      <c r="U271" s="12"/>
      <c r="V271" s="12"/>
      <c r="W271" s="12"/>
      <c r="X271" s="12"/>
      <c r="Y271" s="12"/>
      <c r="Z271" s="12"/>
    </row>
    <row r="272" spans="1:26" ht="15" customHeight="1" x14ac:dyDescent="0.3">
      <c r="A272" s="26"/>
      <c r="B272" s="17"/>
      <c r="C272" s="17"/>
      <c r="D272" s="17"/>
      <c r="E272" s="17"/>
      <c r="F272" s="17"/>
      <c r="G272" s="17"/>
      <c r="H272" s="17"/>
      <c r="I272" s="17"/>
      <c r="J272" s="17"/>
      <c r="K272" s="17"/>
      <c r="L272" s="17"/>
      <c r="M272" s="17"/>
      <c r="N272" s="17"/>
      <c r="O272" s="17"/>
      <c r="P272" s="17"/>
      <c r="Q272" s="17"/>
      <c r="R272" s="17"/>
      <c r="S272" s="17"/>
      <c r="T272" s="17"/>
      <c r="U272" s="12"/>
      <c r="V272" s="12"/>
      <c r="W272" s="12"/>
      <c r="X272" s="12"/>
      <c r="Y272" s="12"/>
      <c r="Z272" s="12"/>
    </row>
    <row r="273" spans="1:26" ht="15" customHeight="1" x14ac:dyDescent="0.3">
      <c r="A273" s="26"/>
      <c r="B273" s="17"/>
      <c r="C273" s="17"/>
      <c r="D273" s="17"/>
      <c r="E273" s="17"/>
      <c r="F273" s="17"/>
      <c r="G273" s="17"/>
      <c r="H273" s="17"/>
      <c r="I273" s="17"/>
      <c r="J273" s="17"/>
      <c r="K273" s="17"/>
      <c r="L273" s="17"/>
      <c r="M273" s="17"/>
      <c r="N273" s="17"/>
      <c r="O273" s="17"/>
      <c r="P273" s="17"/>
      <c r="Q273" s="17"/>
      <c r="R273" s="17"/>
      <c r="S273" s="17"/>
      <c r="T273" s="17"/>
      <c r="U273" s="12"/>
      <c r="V273" s="12"/>
      <c r="W273" s="12"/>
      <c r="X273" s="12"/>
      <c r="Y273" s="12"/>
      <c r="Z273" s="12"/>
    </row>
    <row r="274" spans="1:26" ht="15" customHeight="1" x14ac:dyDescent="0.3">
      <c r="A274" s="26"/>
      <c r="B274" s="17"/>
      <c r="C274" s="17"/>
      <c r="D274" s="17"/>
      <c r="E274" s="17"/>
      <c r="F274" s="17"/>
      <c r="G274" s="17"/>
      <c r="H274" s="17"/>
      <c r="I274" s="17"/>
      <c r="J274" s="17"/>
      <c r="K274" s="17"/>
      <c r="L274" s="17"/>
      <c r="M274" s="17"/>
      <c r="N274" s="17"/>
      <c r="O274" s="17"/>
      <c r="P274" s="17"/>
      <c r="Q274" s="17"/>
      <c r="R274" s="17"/>
      <c r="S274" s="17"/>
      <c r="T274" s="17"/>
      <c r="U274" s="12"/>
      <c r="V274" s="12"/>
      <c r="W274" s="12"/>
      <c r="X274" s="12"/>
      <c r="Y274" s="12"/>
      <c r="Z274" s="12"/>
    </row>
    <row r="275" spans="1:26" ht="15" customHeight="1" x14ac:dyDescent="0.3">
      <c r="A275" s="26"/>
      <c r="B275" s="17"/>
      <c r="C275" s="17"/>
      <c r="D275" s="17"/>
      <c r="E275" s="17"/>
      <c r="F275" s="17"/>
      <c r="G275" s="17"/>
      <c r="H275" s="17"/>
      <c r="I275" s="17"/>
      <c r="J275" s="17"/>
      <c r="K275" s="17"/>
      <c r="L275" s="17"/>
      <c r="M275" s="17"/>
      <c r="N275" s="17"/>
      <c r="O275" s="17"/>
      <c r="P275" s="17"/>
      <c r="Q275" s="17"/>
      <c r="R275" s="17"/>
      <c r="S275" s="17"/>
      <c r="T275" s="17"/>
      <c r="U275" s="12"/>
      <c r="V275" s="12"/>
      <c r="W275" s="12"/>
      <c r="X275" s="12"/>
      <c r="Y275" s="12"/>
      <c r="Z275" s="12"/>
    </row>
    <row r="276" spans="1:26" ht="15" customHeight="1" x14ac:dyDescent="0.3">
      <c r="A276" s="26"/>
      <c r="B276" s="17"/>
      <c r="C276" s="17"/>
      <c r="D276" s="17"/>
      <c r="E276" s="17"/>
      <c r="F276" s="17"/>
      <c r="G276" s="17"/>
      <c r="H276" s="17"/>
      <c r="I276" s="17"/>
      <c r="J276" s="17"/>
      <c r="K276" s="17"/>
      <c r="L276" s="17"/>
      <c r="M276" s="17"/>
      <c r="N276" s="17"/>
      <c r="O276" s="17"/>
      <c r="P276" s="17"/>
      <c r="Q276" s="17"/>
      <c r="R276" s="17"/>
      <c r="S276" s="17"/>
      <c r="T276" s="17"/>
      <c r="U276" s="21"/>
      <c r="V276" s="21"/>
      <c r="W276" s="21"/>
      <c r="X276" s="21"/>
      <c r="Y276" s="21"/>
      <c r="Z276" s="21"/>
    </row>
    <row r="277" spans="1:26" ht="15" customHeight="1" x14ac:dyDescent="0.3">
      <c r="A277" s="26"/>
      <c r="B277" s="17"/>
      <c r="C277" s="17"/>
      <c r="D277" s="17"/>
      <c r="E277" s="17"/>
      <c r="F277" s="17"/>
      <c r="G277" s="17"/>
      <c r="H277" s="17"/>
      <c r="I277" s="17"/>
      <c r="J277" s="17"/>
      <c r="K277" s="17"/>
      <c r="L277" s="17"/>
      <c r="M277" s="17"/>
      <c r="N277" s="17"/>
      <c r="O277" s="17"/>
      <c r="P277" s="17"/>
      <c r="Q277" s="17"/>
      <c r="R277" s="17"/>
      <c r="S277" s="17"/>
      <c r="T277" s="17"/>
      <c r="U277" s="12"/>
      <c r="V277" s="12"/>
      <c r="W277" s="12"/>
      <c r="X277" s="12"/>
      <c r="Y277" s="12"/>
      <c r="Z277" s="12"/>
    </row>
    <row r="278" spans="1:26" ht="15" customHeight="1" x14ac:dyDescent="0.3">
      <c r="A278" s="26"/>
      <c r="B278" s="17"/>
      <c r="C278" s="17"/>
      <c r="D278" s="17"/>
      <c r="E278" s="17"/>
      <c r="F278" s="17"/>
      <c r="G278" s="17"/>
      <c r="H278" s="17"/>
      <c r="I278" s="17"/>
      <c r="J278" s="17"/>
      <c r="K278" s="17"/>
      <c r="L278" s="17"/>
      <c r="M278" s="17"/>
      <c r="N278" s="17"/>
      <c r="O278" s="17"/>
      <c r="P278" s="17"/>
      <c r="Q278" s="17"/>
      <c r="R278" s="17"/>
      <c r="S278" s="17"/>
      <c r="T278" s="17"/>
      <c r="U278" s="12"/>
      <c r="V278" s="12"/>
      <c r="W278" s="12"/>
      <c r="X278" s="12"/>
      <c r="Y278" s="12"/>
      <c r="Z278" s="12"/>
    </row>
    <row r="279" spans="1:26" ht="15" customHeight="1" x14ac:dyDescent="0.3">
      <c r="A279" s="26"/>
      <c r="B279" s="17"/>
      <c r="C279" s="17"/>
      <c r="D279" s="17"/>
      <c r="E279" s="17"/>
      <c r="F279" s="17"/>
      <c r="G279" s="17"/>
      <c r="H279" s="17"/>
      <c r="I279" s="17"/>
      <c r="J279" s="17"/>
      <c r="K279" s="17"/>
      <c r="L279" s="17"/>
      <c r="M279" s="17"/>
      <c r="N279" s="17"/>
      <c r="O279" s="17"/>
      <c r="P279" s="17"/>
      <c r="Q279" s="17"/>
      <c r="R279" s="17"/>
      <c r="S279" s="17"/>
      <c r="T279" s="17"/>
      <c r="U279" s="12"/>
      <c r="V279" s="12"/>
      <c r="W279" s="12"/>
      <c r="X279" s="12"/>
      <c r="Y279" s="12"/>
      <c r="Z279" s="12"/>
    </row>
    <row r="280" spans="1:26" ht="15" customHeight="1" x14ac:dyDescent="0.3">
      <c r="A280" s="26"/>
      <c r="B280" s="17"/>
      <c r="C280" s="17"/>
      <c r="D280" s="17"/>
      <c r="E280" s="17"/>
      <c r="F280" s="17"/>
      <c r="G280" s="17"/>
      <c r="H280" s="17"/>
      <c r="I280" s="17"/>
      <c r="J280" s="17"/>
      <c r="K280" s="17"/>
      <c r="L280" s="17"/>
      <c r="M280" s="17"/>
      <c r="N280" s="17"/>
      <c r="O280" s="17"/>
      <c r="P280" s="17"/>
      <c r="Q280" s="17"/>
      <c r="R280" s="17"/>
      <c r="S280" s="17"/>
      <c r="T280" s="17"/>
      <c r="U280" s="12"/>
      <c r="V280" s="12"/>
      <c r="W280" s="12"/>
      <c r="X280" s="12"/>
      <c r="Y280" s="12"/>
      <c r="Z280" s="12"/>
    </row>
    <row r="281" spans="1:26" ht="15" customHeight="1" x14ac:dyDescent="0.3">
      <c r="A281" s="26"/>
      <c r="B281" s="17"/>
      <c r="C281" s="17"/>
      <c r="D281" s="17"/>
      <c r="E281" s="17"/>
      <c r="F281" s="17"/>
      <c r="G281" s="17"/>
      <c r="H281" s="17"/>
      <c r="I281" s="17"/>
      <c r="J281" s="17"/>
      <c r="K281" s="17"/>
      <c r="L281" s="17"/>
      <c r="M281" s="17"/>
      <c r="N281" s="17"/>
      <c r="O281" s="17"/>
      <c r="P281" s="17"/>
      <c r="Q281" s="17"/>
      <c r="R281" s="17"/>
      <c r="S281" s="17"/>
      <c r="T281" s="17"/>
      <c r="U281" s="12"/>
      <c r="V281" s="12"/>
      <c r="W281" s="12"/>
      <c r="X281" s="12"/>
      <c r="Y281" s="12"/>
      <c r="Z281" s="12"/>
    </row>
    <row r="282" spans="1:26" ht="15" customHeight="1" x14ac:dyDescent="0.3">
      <c r="A282" s="26"/>
      <c r="B282" s="17"/>
      <c r="C282" s="17"/>
      <c r="D282" s="17"/>
      <c r="E282" s="17"/>
      <c r="F282" s="17"/>
      <c r="G282" s="17"/>
      <c r="H282" s="17"/>
      <c r="I282" s="17"/>
      <c r="J282" s="17"/>
      <c r="K282" s="17"/>
      <c r="L282" s="17"/>
      <c r="M282" s="17"/>
      <c r="N282" s="17"/>
      <c r="O282" s="17"/>
      <c r="P282" s="17"/>
      <c r="Q282" s="17"/>
      <c r="R282" s="17"/>
      <c r="S282" s="17"/>
      <c r="T282" s="17"/>
      <c r="U282" s="12"/>
      <c r="V282" s="12"/>
      <c r="W282" s="12"/>
      <c r="X282" s="12"/>
      <c r="Y282" s="12"/>
      <c r="Z282" s="12"/>
    </row>
    <row r="283" spans="1:26" ht="15" customHeight="1" x14ac:dyDescent="0.3">
      <c r="A283" s="26"/>
      <c r="B283" s="17"/>
      <c r="C283" s="17"/>
      <c r="D283" s="17"/>
      <c r="E283" s="17"/>
      <c r="F283" s="17"/>
      <c r="G283" s="17"/>
      <c r="H283" s="17"/>
      <c r="I283" s="17"/>
      <c r="J283" s="17"/>
      <c r="K283" s="17"/>
      <c r="L283" s="17"/>
      <c r="M283" s="17"/>
      <c r="N283" s="17"/>
      <c r="O283" s="17"/>
      <c r="P283" s="17"/>
      <c r="Q283" s="17"/>
      <c r="R283" s="17"/>
      <c r="S283" s="17"/>
      <c r="T283" s="17"/>
      <c r="U283" s="12"/>
      <c r="V283" s="12"/>
      <c r="W283" s="12"/>
      <c r="X283" s="12"/>
      <c r="Y283" s="12"/>
      <c r="Z283" s="12"/>
    </row>
    <row r="284" spans="1:26" ht="15" customHeight="1" x14ac:dyDescent="0.3">
      <c r="A284" s="26"/>
      <c r="B284" s="17"/>
      <c r="C284" s="17"/>
      <c r="D284" s="17"/>
      <c r="E284" s="17"/>
      <c r="F284" s="17"/>
      <c r="G284" s="17"/>
      <c r="H284" s="17"/>
      <c r="I284" s="17"/>
      <c r="J284" s="17"/>
      <c r="K284" s="17"/>
      <c r="L284" s="17"/>
      <c r="M284" s="17"/>
      <c r="N284" s="17"/>
      <c r="O284" s="17"/>
      <c r="P284" s="17"/>
      <c r="Q284" s="17"/>
      <c r="R284" s="17"/>
      <c r="S284" s="17"/>
      <c r="T284" s="17"/>
      <c r="U284" s="12"/>
      <c r="V284" s="12"/>
      <c r="W284" s="12"/>
      <c r="X284" s="12"/>
      <c r="Y284" s="12"/>
      <c r="Z284" s="12"/>
    </row>
    <row r="285" spans="1:26" ht="15" customHeight="1" x14ac:dyDescent="0.3">
      <c r="A285" s="26"/>
      <c r="B285" s="17"/>
      <c r="C285" s="17"/>
      <c r="D285" s="17"/>
      <c r="E285" s="17"/>
      <c r="F285" s="17"/>
      <c r="G285" s="17"/>
      <c r="H285" s="17"/>
      <c r="I285" s="17"/>
      <c r="J285" s="17"/>
      <c r="K285" s="17"/>
      <c r="L285" s="17"/>
      <c r="M285" s="17"/>
      <c r="N285" s="17"/>
      <c r="O285" s="17"/>
      <c r="P285" s="17"/>
      <c r="Q285" s="17"/>
      <c r="R285" s="17"/>
      <c r="S285" s="17"/>
      <c r="T285" s="17"/>
      <c r="U285" s="12"/>
      <c r="V285" s="12"/>
      <c r="W285" s="12"/>
      <c r="X285" s="12"/>
      <c r="Y285" s="12"/>
      <c r="Z285" s="12"/>
    </row>
    <row r="286" spans="1:26" ht="15" customHeight="1" x14ac:dyDescent="0.3">
      <c r="A286" s="26"/>
      <c r="B286" s="17"/>
      <c r="C286" s="17"/>
      <c r="D286" s="17"/>
      <c r="E286" s="17"/>
      <c r="F286" s="17"/>
      <c r="G286" s="17"/>
      <c r="H286" s="17"/>
      <c r="I286" s="17"/>
      <c r="J286" s="17"/>
      <c r="K286" s="17"/>
      <c r="L286" s="17"/>
      <c r="M286" s="17"/>
      <c r="N286" s="17"/>
      <c r="O286" s="17"/>
      <c r="P286" s="17"/>
      <c r="Q286" s="17"/>
      <c r="R286" s="17"/>
      <c r="S286" s="17"/>
      <c r="T286" s="17"/>
      <c r="U286" s="12"/>
      <c r="V286" s="12"/>
      <c r="W286" s="12"/>
      <c r="X286" s="12"/>
      <c r="Y286" s="12"/>
      <c r="Z286" s="12"/>
    </row>
    <row r="287" spans="1:26" ht="15" customHeight="1" x14ac:dyDescent="0.3">
      <c r="A287" s="26"/>
      <c r="B287" s="17"/>
      <c r="C287" s="17"/>
      <c r="D287" s="17"/>
      <c r="E287" s="17"/>
      <c r="F287" s="17"/>
      <c r="G287" s="17"/>
      <c r="H287" s="17"/>
      <c r="I287" s="17"/>
      <c r="J287" s="17"/>
      <c r="K287" s="17"/>
      <c r="L287" s="17"/>
      <c r="M287" s="17"/>
      <c r="N287" s="17"/>
      <c r="O287" s="17"/>
      <c r="P287" s="17"/>
      <c r="Q287" s="17"/>
      <c r="R287" s="17"/>
      <c r="S287" s="17"/>
      <c r="T287" s="17"/>
      <c r="U287" s="12"/>
      <c r="V287" s="12"/>
      <c r="W287" s="12"/>
      <c r="X287" s="12"/>
      <c r="Y287" s="12"/>
      <c r="Z287" s="12"/>
    </row>
    <row r="288" spans="1:26" ht="15" customHeight="1" x14ac:dyDescent="0.3">
      <c r="A288" s="26"/>
      <c r="B288" s="17"/>
      <c r="C288" s="17"/>
      <c r="D288" s="17"/>
      <c r="E288" s="17"/>
      <c r="F288" s="17"/>
      <c r="G288" s="17"/>
      <c r="H288" s="17"/>
      <c r="I288" s="17"/>
      <c r="J288" s="17"/>
      <c r="K288" s="17"/>
      <c r="L288" s="17"/>
      <c r="M288" s="17"/>
      <c r="N288" s="17"/>
      <c r="O288" s="17"/>
      <c r="P288" s="17"/>
      <c r="Q288" s="17"/>
      <c r="R288" s="17"/>
      <c r="S288" s="17"/>
      <c r="T288" s="17"/>
      <c r="U288" s="12"/>
      <c r="V288" s="12"/>
      <c r="W288" s="12"/>
      <c r="X288" s="12"/>
      <c r="Y288" s="12"/>
      <c r="Z288" s="12"/>
    </row>
    <row r="289" spans="1:26" ht="15" customHeight="1" x14ac:dyDescent="0.3">
      <c r="A289" s="26"/>
      <c r="B289" s="17"/>
      <c r="C289" s="17"/>
      <c r="D289" s="17"/>
      <c r="E289" s="17"/>
      <c r="F289" s="17"/>
      <c r="G289" s="17"/>
      <c r="H289" s="17"/>
      <c r="I289" s="17"/>
      <c r="J289" s="17"/>
      <c r="K289" s="17"/>
      <c r="L289" s="17"/>
      <c r="M289" s="17"/>
      <c r="N289" s="17"/>
      <c r="O289" s="17"/>
      <c r="P289" s="17"/>
      <c r="Q289" s="17"/>
      <c r="R289" s="17"/>
      <c r="S289" s="17"/>
      <c r="T289" s="17"/>
      <c r="U289" s="12"/>
      <c r="V289" s="12"/>
      <c r="W289" s="12"/>
      <c r="X289" s="12"/>
      <c r="Y289" s="12"/>
      <c r="Z289" s="12"/>
    </row>
    <row r="290" spans="1:26" ht="15" customHeight="1" x14ac:dyDescent="0.3">
      <c r="A290" s="27"/>
      <c r="B290" s="19"/>
      <c r="C290" s="19"/>
      <c r="D290" s="19"/>
      <c r="E290" s="19"/>
      <c r="F290" s="19"/>
      <c r="G290" s="19"/>
      <c r="H290" s="19"/>
      <c r="I290" s="19"/>
      <c r="J290" s="17"/>
      <c r="K290" s="17"/>
      <c r="L290" s="17"/>
      <c r="M290" s="17"/>
      <c r="N290" s="17"/>
      <c r="O290" s="17"/>
      <c r="P290" s="17"/>
      <c r="Q290" s="17"/>
      <c r="R290" s="17"/>
      <c r="S290" s="17"/>
      <c r="T290" s="17"/>
      <c r="U290" s="12"/>
      <c r="V290" s="12"/>
      <c r="W290" s="12"/>
      <c r="X290" s="12"/>
      <c r="Y290" s="12"/>
      <c r="Z290" s="12"/>
    </row>
    <row r="291" spans="1:26" ht="15" customHeight="1" x14ac:dyDescent="0.3">
      <c r="A291" s="26"/>
      <c r="B291" s="17"/>
      <c r="C291" s="17"/>
      <c r="D291" s="17"/>
      <c r="E291" s="17"/>
      <c r="F291" s="17"/>
      <c r="G291" s="17"/>
      <c r="H291" s="17"/>
      <c r="I291" s="17"/>
      <c r="J291" s="17"/>
      <c r="K291" s="17"/>
      <c r="L291" s="17"/>
      <c r="M291" s="17"/>
      <c r="N291" s="17"/>
      <c r="O291" s="17"/>
      <c r="P291" s="17"/>
      <c r="Q291" s="17"/>
      <c r="R291" s="17"/>
      <c r="S291" s="17"/>
      <c r="T291" s="17"/>
      <c r="U291" s="12"/>
      <c r="V291" s="12"/>
      <c r="W291" s="12"/>
      <c r="X291" s="12"/>
      <c r="Y291" s="12"/>
      <c r="Z291" s="12"/>
    </row>
    <row r="292" spans="1:26" ht="15" customHeight="1" x14ac:dyDescent="0.3">
      <c r="A292" s="26"/>
      <c r="B292" s="17"/>
      <c r="C292" s="17"/>
      <c r="D292" s="17"/>
      <c r="E292" s="17"/>
      <c r="F292" s="17"/>
      <c r="G292" s="17"/>
      <c r="H292" s="17"/>
      <c r="I292" s="17"/>
      <c r="J292" s="17"/>
      <c r="K292" s="17"/>
      <c r="L292" s="17"/>
      <c r="M292" s="17"/>
      <c r="N292" s="17"/>
      <c r="O292" s="17"/>
      <c r="P292" s="17"/>
      <c r="Q292" s="17"/>
      <c r="R292" s="17"/>
      <c r="S292" s="17"/>
      <c r="T292" s="17"/>
      <c r="U292" s="12"/>
      <c r="V292" s="12"/>
      <c r="W292" s="12"/>
      <c r="X292" s="12"/>
      <c r="Y292" s="12"/>
      <c r="Z292" s="12"/>
    </row>
    <row r="293" spans="1:26" ht="15" customHeight="1" x14ac:dyDescent="0.3">
      <c r="A293" s="26"/>
      <c r="B293" s="17"/>
      <c r="C293" s="17"/>
      <c r="D293" s="17"/>
      <c r="E293" s="17"/>
      <c r="F293" s="17"/>
      <c r="G293" s="17"/>
      <c r="H293" s="17"/>
      <c r="I293" s="17"/>
      <c r="J293" s="17"/>
      <c r="K293" s="17"/>
      <c r="L293" s="17"/>
      <c r="M293" s="17"/>
      <c r="N293" s="17"/>
      <c r="O293" s="17"/>
      <c r="P293" s="17"/>
      <c r="Q293" s="17"/>
      <c r="R293" s="17"/>
      <c r="S293" s="17"/>
      <c r="T293" s="17"/>
      <c r="U293" s="12"/>
      <c r="V293" s="12"/>
      <c r="W293" s="12"/>
      <c r="X293" s="12"/>
      <c r="Y293" s="12"/>
      <c r="Z293" s="12"/>
    </row>
    <row r="294" spans="1:26" ht="15" customHeight="1" x14ac:dyDescent="0.3">
      <c r="A294" s="26"/>
      <c r="B294" s="17"/>
      <c r="C294" s="17"/>
      <c r="D294" s="17"/>
      <c r="E294" s="17"/>
      <c r="F294" s="17"/>
      <c r="G294" s="17"/>
      <c r="H294" s="17"/>
      <c r="I294" s="17"/>
      <c r="J294" s="17"/>
      <c r="K294" s="17"/>
      <c r="L294" s="17"/>
      <c r="M294" s="17"/>
      <c r="N294" s="17"/>
      <c r="O294" s="17"/>
      <c r="P294" s="17"/>
      <c r="Q294" s="17"/>
      <c r="R294" s="17"/>
      <c r="S294" s="17"/>
      <c r="T294" s="17"/>
      <c r="U294" s="12"/>
      <c r="V294" s="12"/>
      <c r="W294" s="12"/>
      <c r="X294" s="12"/>
      <c r="Y294" s="12"/>
      <c r="Z294" s="12"/>
    </row>
    <row r="295" spans="1:26" ht="15" customHeight="1" x14ac:dyDescent="0.3">
      <c r="A295" s="26"/>
      <c r="B295" s="17"/>
      <c r="C295" s="17"/>
      <c r="D295" s="17"/>
      <c r="E295" s="17"/>
      <c r="F295" s="17"/>
      <c r="G295" s="17"/>
      <c r="H295" s="17"/>
      <c r="I295" s="17"/>
      <c r="J295" s="17"/>
      <c r="K295" s="17"/>
      <c r="L295" s="17"/>
      <c r="M295" s="17"/>
      <c r="N295" s="17"/>
      <c r="O295" s="17"/>
      <c r="P295" s="17"/>
      <c r="Q295" s="17"/>
      <c r="R295" s="17"/>
      <c r="S295" s="17"/>
      <c r="T295" s="17"/>
      <c r="U295" s="12"/>
      <c r="V295" s="12"/>
      <c r="W295" s="12"/>
      <c r="X295" s="12"/>
      <c r="Y295" s="12"/>
      <c r="Z295" s="12"/>
    </row>
    <row r="296" spans="1:26" ht="15" customHeight="1" x14ac:dyDescent="0.3">
      <c r="A296" s="26"/>
      <c r="B296" s="17"/>
      <c r="C296" s="17"/>
      <c r="D296" s="17"/>
      <c r="E296" s="17"/>
      <c r="F296" s="17"/>
      <c r="G296" s="17"/>
      <c r="H296" s="17"/>
      <c r="I296" s="17"/>
      <c r="J296" s="17"/>
      <c r="K296" s="17"/>
      <c r="L296" s="17"/>
      <c r="M296" s="17"/>
      <c r="N296" s="17"/>
      <c r="O296" s="17"/>
      <c r="P296" s="17"/>
      <c r="Q296" s="17"/>
      <c r="R296" s="17"/>
      <c r="S296" s="17"/>
      <c r="T296" s="17"/>
      <c r="U296" s="12"/>
      <c r="V296" s="12"/>
      <c r="W296" s="12"/>
      <c r="X296" s="12"/>
      <c r="Y296" s="12"/>
      <c r="Z296" s="12"/>
    </row>
    <row r="297" spans="1:26" ht="15" customHeight="1" x14ac:dyDescent="0.3">
      <c r="A297" s="26"/>
      <c r="B297" s="17"/>
      <c r="C297" s="17"/>
      <c r="D297" s="17"/>
      <c r="E297" s="17"/>
      <c r="F297" s="17"/>
      <c r="G297" s="17"/>
      <c r="H297" s="17"/>
      <c r="I297" s="17"/>
      <c r="J297" s="17"/>
      <c r="K297" s="17"/>
      <c r="L297" s="17"/>
      <c r="M297" s="17"/>
      <c r="N297" s="17"/>
      <c r="O297" s="17"/>
      <c r="P297" s="17"/>
      <c r="Q297" s="17"/>
      <c r="R297" s="17"/>
      <c r="S297" s="17"/>
      <c r="T297" s="17"/>
      <c r="U297" s="12"/>
      <c r="V297" s="12"/>
      <c r="W297" s="12"/>
      <c r="X297" s="12"/>
      <c r="Y297" s="12"/>
      <c r="Z297" s="12"/>
    </row>
    <row r="298" spans="1:26" ht="15" customHeight="1" x14ac:dyDescent="0.3">
      <c r="A298" s="26"/>
      <c r="B298" s="17"/>
      <c r="C298" s="17"/>
      <c r="D298" s="17"/>
      <c r="E298" s="17"/>
      <c r="F298" s="17"/>
      <c r="G298" s="17"/>
      <c r="H298" s="17"/>
      <c r="I298" s="17"/>
      <c r="J298" s="17"/>
      <c r="K298" s="17"/>
      <c r="L298" s="17"/>
      <c r="M298" s="17"/>
      <c r="N298" s="17"/>
      <c r="O298" s="17"/>
      <c r="P298" s="17"/>
      <c r="Q298" s="17"/>
      <c r="R298" s="17"/>
      <c r="S298" s="17"/>
      <c r="T298" s="17"/>
      <c r="U298" s="12"/>
      <c r="V298" s="12"/>
      <c r="W298" s="12"/>
      <c r="X298" s="12"/>
      <c r="Y298" s="12"/>
      <c r="Z298" s="12"/>
    </row>
    <row r="299" spans="1:26" ht="15" customHeight="1" x14ac:dyDescent="0.3">
      <c r="A299" s="26"/>
      <c r="B299" s="17"/>
      <c r="C299" s="17"/>
      <c r="D299" s="17"/>
      <c r="E299" s="17"/>
      <c r="F299" s="17"/>
      <c r="G299" s="17"/>
      <c r="H299" s="17"/>
      <c r="I299" s="17"/>
      <c r="J299" s="17"/>
      <c r="K299" s="17"/>
      <c r="L299" s="17"/>
      <c r="M299" s="17"/>
      <c r="N299" s="17"/>
      <c r="O299" s="17"/>
      <c r="P299" s="17"/>
      <c r="Q299" s="17"/>
      <c r="R299" s="17"/>
      <c r="S299" s="17"/>
      <c r="T299" s="17"/>
      <c r="U299" s="12"/>
      <c r="V299" s="12"/>
      <c r="W299" s="12"/>
      <c r="X299" s="12"/>
      <c r="Y299" s="12"/>
      <c r="Z299" s="12"/>
    </row>
    <row r="300" spans="1:26" ht="15" customHeight="1" x14ac:dyDescent="0.3">
      <c r="A300" s="26"/>
      <c r="B300" s="17"/>
      <c r="C300" s="17"/>
      <c r="D300" s="17"/>
      <c r="E300" s="17"/>
      <c r="F300" s="17"/>
      <c r="G300" s="17"/>
      <c r="H300" s="17"/>
      <c r="I300" s="17"/>
      <c r="J300" s="17"/>
      <c r="K300" s="17"/>
      <c r="L300" s="17"/>
      <c r="M300" s="17"/>
      <c r="N300" s="17"/>
      <c r="O300" s="17"/>
      <c r="P300" s="17"/>
      <c r="Q300" s="17"/>
      <c r="R300" s="17"/>
      <c r="S300" s="17"/>
      <c r="T300" s="17"/>
      <c r="U300" s="12"/>
      <c r="V300" s="12"/>
      <c r="W300" s="12"/>
      <c r="X300" s="12"/>
      <c r="Y300" s="12"/>
      <c r="Z300" s="12"/>
    </row>
    <row r="301" spans="1:26" ht="15" customHeight="1" x14ac:dyDescent="0.3">
      <c r="A301" s="26"/>
      <c r="B301" s="17"/>
      <c r="C301" s="17"/>
      <c r="D301" s="17"/>
      <c r="E301" s="17"/>
      <c r="F301" s="17"/>
      <c r="G301" s="17"/>
      <c r="H301" s="17"/>
      <c r="I301" s="17"/>
      <c r="J301" s="17"/>
      <c r="K301" s="17"/>
      <c r="L301" s="17"/>
      <c r="M301" s="17"/>
      <c r="N301" s="17"/>
      <c r="O301" s="17"/>
      <c r="P301" s="17"/>
      <c r="Q301" s="17"/>
      <c r="R301" s="17"/>
      <c r="S301" s="17"/>
      <c r="T301" s="17"/>
      <c r="U301" s="12"/>
      <c r="V301" s="12"/>
      <c r="W301" s="12"/>
      <c r="X301" s="12"/>
      <c r="Y301" s="12"/>
      <c r="Z301" s="12"/>
    </row>
    <row r="302" spans="1:26" ht="15" customHeight="1" x14ac:dyDescent="0.3">
      <c r="A302" s="26"/>
      <c r="B302" s="17"/>
      <c r="C302" s="17"/>
      <c r="D302" s="17"/>
      <c r="E302" s="17"/>
      <c r="F302" s="17"/>
      <c r="G302" s="17"/>
      <c r="H302" s="17"/>
      <c r="I302" s="17"/>
      <c r="J302" s="17"/>
      <c r="K302" s="17"/>
      <c r="L302" s="17"/>
      <c r="M302" s="17"/>
      <c r="N302" s="17"/>
      <c r="O302" s="17"/>
      <c r="P302" s="17"/>
      <c r="Q302" s="17"/>
      <c r="R302" s="17"/>
      <c r="S302" s="17"/>
      <c r="T302" s="17"/>
      <c r="U302" s="12"/>
      <c r="V302" s="12"/>
      <c r="W302" s="12"/>
      <c r="X302" s="12"/>
      <c r="Y302" s="12"/>
      <c r="Z302" s="12"/>
    </row>
    <row r="303" spans="1:26" ht="15" customHeight="1" x14ac:dyDescent="0.3">
      <c r="A303" s="26"/>
      <c r="B303" s="17"/>
      <c r="C303" s="17"/>
      <c r="D303" s="17"/>
      <c r="E303" s="17"/>
      <c r="F303" s="17"/>
      <c r="G303" s="17"/>
      <c r="H303" s="17"/>
      <c r="I303" s="17"/>
      <c r="J303" s="17"/>
      <c r="K303" s="17"/>
      <c r="L303" s="17"/>
      <c r="M303" s="17"/>
      <c r="N303" s="17"/>
      <c r="O303" s="17"/>
      <c r="P303" s="17"/>
      <c r="Q303" s="17"/>
      <c r="R303" s="17"/>
      <c r="S303" s="17"/>
      <c r="T303" s="17"/>
      <c r="U303" s="12"/>
      <c r="V303" s="12"/>
      <c r="W303" s="12"/>
      <c r="X303" s="12"/>
      <c r="Y303" s="12"/>
      <c r="Z303" s="12"/>
    </row>
    <row r="304" spans="1:26" ht="15" customHeight="1" x14ac:dyDescent="0.3">
      <c r="A304" s="26"/>
      <c r="B304" s="17"/>
      <c r="C304" s="17"/>
      <c r="D304" s="17"/>
      <c r="E304" s="17"/>
      <c r="F304" s="17"/>
      <c r="G304" s="17"/>
      <c r="H304" s="17"/>
      <c r="I304" s="17"/>
      <c r="J304" s="17"/>
      <c r="K304" s="17"/>
      <c r="L304" s="17"/>
      <c r="M304" s="17"/>
      <c r="N304" s="17"/>
      <c r="O304" s="17"/>
      <c r="P304" s="17"/>
      <c r="Q304" s="17"/>
      <c r="R304" s="17"/>
      <c r="S304" s="17"/>
      <c r="T304" s="17"/>
      <c r="U304" s="12"/>
      <c r="V304" s="12"/>
      <c r="W304" s="12"/>
      <c r="X304" s="12"/>
      <c r="Y304" s="12"/>
      <c r="Z304" s="12"/>
    </row>
    <row r="305" spans="1:26" ht="15" customHeight="1" x14ac:dyDescent="0.3">
      <c r="A305" s="26"/>
      <c r="B305" s="17"/>
      <c r="C305" s="17"/>
      <c r="D305" s="17"/>
      <c r="E305" s="17"/>
      <c r="F305" s="17"/>
      <c r="G305" s="17"/>
      <c r="H305" s="17"/>
      <c r="I305" s="17"/>
      <c r="J305" s="17"/>
      <c r="K305" s="17"/>
      <c r="L305" s="17"/>
      <c r="M305" s="17"/>
      <c r="N305" s="17"/>
      <c r="O305" s="17"/>
      <c r="P305" s="17"/>
      <c r="Q305" s="17"/>
      <c r="R305" s="17"/>
      <c r="S305" s="17"/>
      <c r="T305" s="17"/>
      <c r="U305" s="12"/>
      <c r="V305" s="12"/>
      <c r="W305" s="12"/>
      <c r="X305" s="12"/>
      <c r="Y305" s="12"/>
      <c r="Z305" s="12"/>
    </row>
    <row r="306" spans="1:26" ht="15" customHeight="1" x14ac:dyDescent="0.3">
      <c r="A306" s="26"/>
      <c r="B306" s="17"/>
      <c r="C306" s="17"/>
      <c r="D306" s="17"/>
      <c r="E306" s="17"/>
      <c r="F306" s="17"/>
      <c r="G306" s="17"/>
      <c r="H306" s="17"/>
      <c r="I306" s="17"/>
      <c r="J306" s="17"/>
      <c r="K306" s="17"/>
      <c r="L306" s="17"/>
      <c r="M306" s="17"/>
      <c r="N306" s="17"/>
      <c r="O306" s="17"/>
      <c r="P306" s="17"/>
      <c r="Q306" s="17"/>
      <c r="R306" s="17"/>
      <c r="S306" s="17"/>
      <c r="T306" s="17"/>
      <c r="U306" s="12"/>
      <c r="V306" s="12"/>
      <c r="W306" s="12"/>
      <c r="X306" s="12"/>
      <c r="Y306" s="12"/>
      <c r="Z306" s="12"/>
    </row>
    <row r="307" spans="1:26" ht="15" customHeight="1" x14ac:dyDescent="0.3">
      <c r="A307" s="26"/>
      <c r="B307" s="17"/>
      <c r="C307" s="17"/>
      <c r="D307" s="17"/>
      <c r="E307" s="17"/>
      <c r="F307" s="17"/>
      <c r="G307" s="17"/>
      <c r="H307" s="17"/>
      <c r="I307" s="17"/>
      <c r="J307" s="17"/>
      <c r="K307" s="17"/>
      <c r="L307" s="17"/>
      <c r="M307" s="17"/>
      <c r="N307" s="17"/>
      <c r="O307" s="17"/>
      <c r="P307" s="17"/>
      <c r="Q307" s="17"/>
      <c r="R307" s="17"/>
      <c r="S307" s="17"/>
      <c r="T307" s="17"/>
      <c r="U307" s="12"/>
      <c r="V307" s="12"/>
      <c r="W307" s="12"/>
      <c r="X307" s="12"/>
      <c r="Y307" s="12"/>
      <c r="Z307" s="12"/>
    </row>
    <row r="308" spans="1:26" ht="15" customHeight="1" x14ac:dyDescent="0.3">
      <c r="A308" s="26"/>
      <c r="B308" s="17"/>
      <c r="C308" s="17"/>
      <c r="D308" s="17"/>
      <c r="E308" s="17"/>
      <c r="F308" s="17"/>
      <c r="G308" s="17"/>
      <c r="H308" s="17"/>
      <c r="I308" s="17"/>
      <c r="J308" s="17"/>
      <c r="K308" s="17"/>
      <c r="L308" s="17"/>
      <c r="M308" s="17"/>
      <c r="N308" s="17"/>
      <c r="O308" s="17"/>
      <c r="P308" s="17"/>
      <c r="Q308" s="17"/>
      <c r="R308" s="17"/>
      <c r="S308" s="17"/>
      <c r="T308" s="17"/>
      <c r="U308" s="12"/>
      <c r="V308" s="12"/>
      <c r="W308" s="12"/>
      <c r="X308" s="12"/>
      <c r="Y308" s="12"/>
      <c r="Z308" s="12"/>
    </row>
    <row r="309" spans="1:26" ht="15" customHeight="1" x14ac:dyDescent="0.3">
      <c r="A309" s="26"/>
      <c r="B309" s="17"/>
      <c r="C309" s="17"/>
      <c r="D309" s="17"/>
      <c r="E309" s="17"/>
      <c r="F309" s="17"/>
      <c r="G309" s="17"/>
      <c r="H309" s="17"/>
      <c r="I309" s="17"/>
      <c r="J309" s="17"/>
      <c r="K309" s="17"/>
      <c r="L309" s="17"/>
      <c r="M309" s="17"/>
      <c r="N309" s="17"/>
      <c r="O309" s="17"/>
      <c r="P309" s="17"/>
      <c r="Q309" s="17"/>
      <c r="R309" s="17"/>
      <c r="S309" s="17"/>
      <c r="T309" s="17"/>
      <c r="U309" s="12"/>
      <c r="V309" s="12"/>
      <c r="W309" s="12"/>
      <c r="X309" s="12"/>
      <c r="Y309" s="12"/>
      <c r="Z309" s="12"/>
    </row>
    <row r="310" spans="1:26" ht="15" customHeight="1" x14ac:dyDescent="0.3">
      <c r="A310" s="26"/>
      <c r="B310" s="17"/>
      <c r="C310" s="17"/>
      <c r="D310" s="17"/>
      <c r="E310" s="17"/>
      <c r="F310" s="17"/>
      <c r="G310" s="17"/>
      <c r="H310" s="17"/>
      <c r="I310" s="17"/>
      <c r="J310" s="17"/>
      <c r="K310" s="17"/>
      <c r="L310" s="17"/>
      <c r="M310" s="17"/>
      <c r="N310" s="17"/>
      <c r="O310" s="17"/>
      <c r="P310" s="17"/>
      <c r="Q310" s="17"/>
      <c r="R310" s="17"/>
      <c r="S310" s="17"/>
      <c r="T310" s="17"/>
      <c r="U310" s="12"/>
      <c r="V310" s="12"/>
      <c r="W310" s="12"/>
      <c r="X310" s="12"/>
      <c r="Y310" s="12"/>
      <c r="Z310" s="12"/>
    </row>
    <row r="311" spans="1:26" ht="15" customHeight="1" x14ac:dyDescent="0.3">
      <c r="A311" s="26"/>
      <c r="B311" s="17"/>
      <c r="C311" s="17"/>
      <c r="D311" s="17"/>
      <c r="E311" s="17"/>
      <c r="F311" s="17"/>
      <c r="G311" s="17"/>
      <c r="H311" s="17"/>
      <c r="I311" s="17"/>
      <c r="J311" s="17"/>
      <c r="K311" s="17"/>
      <c r="L311" s="17"/>
      <c r="M311" s="17"/>
      <c r="N311" s="17"/>
      <c r="O311" s="17"/>
      <c r="P311" s="17"/>
      <c r="Q311" s="17"/>
      <c r="R311" s="17"/>
      <c r="S311" s="17"/>
      <c r="T311" s="17"/>
      <c r="U311" s="12"/>
      <c r="V311" s="12"/>
      <c r="W311" s="12"/>
      <c r="X311" s="12"/>
      <c r="Y311" s="12"/>
      <c r="Z311" s="12"/>
    </row>
    <row r="312" spans="1:26" ht="15" customHeight="1" x14ac:dyDescent="0.3">
      <c r="A312" s="26"/>
      <c r="B312" s="17"/>
      <c r="C312" s="17"/>
      <c r="D312" s="17"/>
      <c r="E312" s="17"/>
      <c r="F312" s="17"/>
      <c r="G312" s="17"/>
      <c r="H312" s="17"/>
      <c r="I312" s="17"/>
      <c r="J312" s="17"/>
      <c r="K312" s="17"/>
      <c r="L312" s="17"/>
      <c r="M312" s="17"/>
      <c r="N312" s="17"/>
      <c r="O312" s="17"/>
      <c r="P312" s="17"/>
      <c r="Q312" s="17"/>
      <c r="R312" s="17"/>
      <c r="S312" s="17"/>
      <c r="T312" s="17"/>
      <c r="U312" s="12"/>
      <c r="V312" s="12"/>
      <c r="W312" s="12"/>
      <c r="X312" s="12"/>
      <c r="Y312" s="12"/>
      <c r="Z312" s="12"/>
    </row>
    <row r="313" spans="1:26" ht="15" customHeight="1" x14ac:dyDescent="0.3">
      <c r="A313" s="26"/>
      <c r="B313" s="17"/>
      <c r="C313" s="17"/>
      <c r="D313" s="17"/>
      <c r="E313" s="17"/>
      <c r="F313" s="17"/>
      <c r="G313" s="17"/>
      <c r="H313" s="17"/>
      <c r="I313" s="17"/>
      <c r="J313" s="17"/>
      <c r="K313" s="17"/>
      <c r="L313" s="17"/>
      <c r="M313" s="17"/>
      <c r="N313" s="17"/>
      <c r="O313" s="17"/>
      <c r="P313" s="17"/>
      <c r="Q313" s="17"/>
      <c r="R313" s="17"/>
      <c r="S313" s="17"/>
      <c r="T313" s="17"/>
      <c r="U313" s="12"/>
      <c r="V313" s="12"/>
      <c r="W313" s="12"/>
      <c r="X313" s="12"/>
      <c r="Y313" s="12"/>
      <c r="Z313" s="12"/>
    </row>
    <row r="314" spans="1:26" ht="15" customHeight="1" x14ac:dyDescent="0.3">
      <c r="A314" s="26"/>
      <c r="B314" s="17"/>
      <c r="C314" s="17"/>
      <c r="D314" s="17"/>
      <c r="E314" s="17"/>
      <c r="F314" s="17"/>
      <c r="G314" s="17"/>
      <c r="H314" s="17"/>
      <c r="I314" s="17"/>
      <c r="J314" s="17"/>
      <c r="K314" s="17"/>
      <c r="L314" s="17"/>
      <c r="M314" s="17"/>
      <c r="N314" s="17"/>
      <c r="O314" s="17"/>
      <c r="P314" s="17"/>
      <c r="Q314" s="17"/>
      <c r="R314" s="17"/>
      <c r="S314" s="17"/>
      <c r="T314" s="17"/>
      <c r="U314" s="12"/>
      <c r="V314" s="12"/>
      <c r="W314" s="12"/>
      <c r="X314" s="12"/>
      <c r="Y314" s="12"/>
      <c r="Z314" s="12"/>
    </row>
    <row r="315" spans="1:26" ht="15" customHeight="1" x14ac:dyDescent="0.3">
      <c r="A315" s="26"/>
      <c r="B315" s="17"/>
      <c r="C315" s="17"/>
      <c r="D315" s="17"/>
      <c r="E315" s="17"/>
      <c r="F315" s="17"/>
      <c r="G315" s="17"/>
      <c r="H315" s="17"/>
      <c r="I315" s="17"/>
      <c r="J315" s="17"/>
      <c r="K315" s="17"/>
      <c r="L315" s="17"/>
      <c r="M315" s="17"/>
      <c r="N315" s="17"/>
      <c r="O315" s="17"/>
      <c r="P315" s="17"/>
      <c r="Q315" s="17"/>
      <c r="R315" s="17"/>
      <c r="S315" s="17"/>
      <c r="T315" s="17"/>
      <c r="U315" s="12"/>
      <c r="V315" s="12"/>
      <c r="W315" s="12"/>
      <c r="X315" s="12"/>
      <c r="Y315" s="12"/>
      <c r="Z315" s="12"/>
    </row>
    <row r="316" spans="1:26" ht="15" customHeight="1" x14ac:dyDescent="0.3">
      <c r="A316" s="26"/>
      <c r="B316" s="17"/>
      <c r="C316" s="17"/>
      <c r="D316" s="17"/>
      <c r="E316" s="17"/>
      <c r="F316" s="17"/>
      <c r="G316" s="17"/>
      <c r="H316" s="17"/>
      <c r="I316" s="17"/>
      <c r="J316" s="17"/>
      <c r="K316" s="17"/>
      <c r="L316" s="17"/>
      <c r="M316" s="17"/>
      <c r="N316" s="17"/>
      <c r="O316" s="17"/>
      <c r="P316" s="17"/>
      <c r="Q316" s="17"/>
      <c r="R316" s="17"/>
      <c r="S316" s="17"/>
      <c r="T316" s="17"/>
      <c r="U316" s="12"/>
      <c r="V316" s="12"/>
      <c r="W316" s="12"/>
      <c r="X316" s="12"/>
      <c r="Y316" s="12"/>
      <c r="Z316" s="12"/>
    </row>
    <row r="317" spans="1:26" ht="15" customHeight="1" x14ac:dyDescent="0.3">
      <c r="A317" s="26"/>
      <c r="B317" s="17"/>
      <c r="C317" s="17"/>
      <c r="D317" s="17"/>
      <c r="E317" s="17"/>
      <c r="F317" s="17"/>
      <c r="G317" s="17"/>
      <c r="H317" s="17"/>
      <c r="I317" s="17"/>
      <c r="J317" s="17"/>
      <c r="K317" s="17"/>
      <c r="L317" s="17"/>
      <c r="M317" s="17"/>
      <c r="N317" s="17"/>
      <c r="O317" s="17"/>
      <c r="P317" s="17"/>
      <c r="Q317" s="17"/>
      <c r="R317" s="17"/>
      <c r="S317" s="17"/>
      <c r="T317" s="17"/>
      <c r="U317" s="12"/>
      <c r="V317" s="12"/>
      <c r="W317" s="12"/>
      <c r="X317" s="12"/>
      <c r="Y317" s="12"/>
      <c r="Z317" s="12"/>
    </row>
    <row r="318" spans="1:26" ht="15" customHeight="1" x14ac:dyDescent="0.3">
      <c r="A318" s="26"/>
      <c r="B318" s="17"/>
      <c r="C318" s="17"/>
      <c r="D318" s="17"/>
      <c r="E318" s="17"/>
      <c r="F318" s="17"/>
      <c r="G318" s="17"/>
      <c r="H318" s="17"/>
      <c r="I318" s="17"/>
      <c r="J318" s="17"/>
      <c r="K318" s="17"/>
      <c r="L318" s="17"/>
      <c r="M318" s="17"/>
      <c r="N318" s="17"/>
      <c r="O318" s="17"/>
      <c r="P318" s="17"/>
      <c r="Q318" s="17"/>
      <c r="R318" s="17"/>
      <c r="S318" s="17"/>
      <c r="T318" s="17"/>
      <c r="U318" s="12"/>
      <c r="V318" s="12"/>
      <c r="W318" s="12"/>
      <c r="X318" s="12"/>
      <c r="Y318" s="12"/>
      <c r="Z318" s="12"/>
    </row>
    <row r="319" spans="1:26" ht="15" customHeight="1" x14ac:dyDescent="0.3">
      <c r="A319" s="26"/>
      <c r="B319" s="17"/>
      <c r="C319" s="17"/>
      <c r="D319" s="17"/>
      <c r="E319" s="17"/>
      <c r="F319" s="17"/>
      <c r="G319" s="17"/>
      <c r="H319" s="17"/>
      <c r="I319" s="17"/>
      <c r="J319" s="17"/>
      <c r="K319" s="17"/>
      <c r="L319" s="17"/>
      <c r="M319" s="17"/>
      <c r="N319" s="17"/>
      <c r="O319" s="17"/>
      <c r="P319" s="17"/>
      <c r="Q319" s="17"/>
      <c r="R319" s="17"/>
      <c r="S319" s="17"/>
      <c r="T319" s="17"/>
      <c r="U319" s="12"/>
      <c r="V319" s="12"/>
      <c r="W319" s="12"/>
      <c r="X319" s="12"/>
      <c r="Y319" s="12"/>
      <c r="Z319" s="12"/>
    </row>
    <row r="320" spans="1:26" ht="15" customHeight="1" x14ac:dyDescent="0.3">
      <c r="A320" s="26"/>
      <c r="B320" s="17"/>
      <c r="C320" s="17"/>
      <c r="D320" s="17"/>
      <c r="E320" s="17"/>
      <c r="F320" s="17"/>
      <c r="G320" s="17"/>
      <c r="H320" s="17"/>
      <c r="I320" s="17"/>
      <c r="J320" s="17"/>
      <c r="K320" s="17"/>
      <c r="L320" s="17"/>
      <c r="M320" s="17"/>
      <c r="N320" s="17"/>
      <c r="O320" s="17"/>
      <c r="P320" s="17"/>
      <c r="Q320" s="17"/>
      <c r="R320" s="17"/>
      <c r="S320" s="17"/>
      <c r="T320" s="17"/>
      <c r="U320" s="12"/>
      <c r="V320" s="12"/>
      <c r="W320" s="12"/>
      <c r="X320" s="12"/>
      <c r="Y320" s="12"/>
      <c r="Z320" s="12"/>
    </row>
    <row r="321" spans="1:26" ht="15" customHeight="1" x14ac:dyDescent="0.3">
      <c r="A321" s="26"/>
      <c r="B321" s="17"/>
      <c r="C321" s="17"/>
      <c r="D321" s="17"/>
      <c r="E321" s="17"/>
      <c r="F321" s="17"/>
      <c r="G321" s="17"/>
      <c r="H321" s="17"/>
      <c r="I321" s="17"/>
      <c r="J321" s="17"/>
      <c r="K321" s="17"/>
      <c r="L321" s="17"/>
      <c r="M321" s="17"/>
      <c r="N321" s="17"/>
      <c r="O321" s="17"/>
      <c r="P321" s="17"/>
      <c r="Q321" s="17"/>
      <c r="R321" s="17"/>
      <c r="S321" s="17"/>
      <c r="T321" s="17"/>
      <c r="U321" s="12"/>
      <c r="V321" s="12"/>
      <c r="W321" s="12"/>
      <c r="X321" s="12"/>
      <c r="Y321" s="12"/>
      <c r="Z321" s="12"/>
    </row>
    <row r="322" spans="1:26" ht="15" customHeight="1" x14ac:dyDescent="0.3">
      <c r="A322" s="26"/>
      <c r="B322" s="17"/>
      <c r="C322" s="17"/>
      <c r="D322" s="17"/>
      <c r="E322" s="17"/>
      <c r="F322" s="17"/>
      <c r="G322" s="17"/>
      <c r="H322" s="17"/>
      <c r="I322" s="17"/>
      <c r="J322" s="17"/>
      <c r="K322" s="17"/>
      <c r="L322" s="17"/>
      <c r="M322" s="17"/>
      <c r="N322" s="17"/>
      <c r="O322" s="17"/>
      <c r="P322" s="17"/>
      <c r="Q322" s="17"/>
      <c r="R322" s="17"/>
      <c r="S322" s="17"/>
      <c r="T322" s="17"/>
      <c r="U322" s="12"/>
      <c r="V322" s="12"/>
      <c r="W322" s="12"/>
      <c r="X322" s="12"/>
      <c r="Y322" s="12"/>
      <c r="Z322" s="12"/>
    </row>
    <row r="323" spans="1:26" ht="15" customHeight="1" x14ac:dyDescent="0.3">
      <c r="A323" s="26"/>
      <c r="B323" s="17"/>
      <c r="C323" s="17"/>
      <c r="D323" s="17"/>
      <c r="E323" s="17"/>
      <c r="F323" s="17"/>
      <c r="G323" s="17"/>
      <c r="H323" s="17"/>
      <c r="I323" s="17"/>
      <c r="J323" s="17"/>
      <c r="K323" s="17"/>
      <c r="L323" s="17"/>
      <c r="M323" s="17"/>
      <c r="N323" s="17"/>
      <c r="O323" s="17"/>
      <c r="P323" s="17"/>
      <c r="Q323" s="17"/>
      <c r="R323" s="17"/>
      <c r="S323" s="17"/>
      <c r="T323" s="17"/>
      <c r="U323" s="12"/>
      <c r="V323" s="12"/>
      <c r="W323" s="12"/>
      <c r="X323" s="12"/>
      <c r="Y323" s="12"/>
      <c r="Z323" s="12"/>
    </row>
    <row r="324" spans="1:26" ht="15" customHeight="1" x14ac:dyDescent="0.3">
      <c r="A324" s="26"/>
      <c r="B324" s="17"/>
      <c r="C324" s="17"/>
      <c r="D324" s="17"/>
      <c r="E324" s="17"/>
      <c r="F324" s="17"/>
      <c r="G324" s="17"/>
      <c r="H324" s="17"/>
      <c r="I324" s="17"/>
      <c r="J324" s="17"/>
      <c r="K324" s="17"/>
      <c r="L324" s="17"/>
      <c r="M324" s="17"/>
      <c r="N324" s="17"/>
      <c r="O324" s="17"/>
      <c r="P324" s="17"/>
      <c r="Q324" s="17"/>
      <c r="R324" s="17"/>
      <c r="S324" s="17"/>
      <c r="T324" s="17"/>
      <c r="U324" s="12"/>
      <c r="V324" s="12"/>
      <c r="W324" s="12"/>
      <c r="X324" s="12"/>
      <c r="Y324" s="12"/>
      <c r="Z324" s="12"/>
    </row>
    <row r="325" spans="1:26" ht="15" customHeight="1" x14ac:dyDescent="0.3">
      <c r="A325" s="26"/>
      <c r="B325" s="17"/>
      <c r="C325" s="17"/>
      <c r="D325" s="17"/>
      <c r="E325" s="17"/>
      <c r="F325" s="17"/>
      <c r="G325" s="17"/>
      <c r="H325" s="17"/>
      <c r="I325" s="17"/>
      <c r="J325" s="17"/>
      <c r="K325" s="17"/>
      <c r="L325" s="17"/>
      <c r="M325" s="17"/>
      <c r="N325" s="17"/>
      <c r="O325" s="17"/>
      <c r="P325" s="17"/>
      <c r="Q325" s="17"/>
      <c r="R325" s="17"/>
      <c r="S325" s="17"/>
      <c r="T325" s="17"/>
      <c r="U325" s="12"/>
      <c r="V325" s="12"/>
      <c r="W325" s="12"/>
      <c r="X325" s="12"/>
      <c r="Y325" s="12"/>
      <c r="Z325" s="12"/>
    </row>
    <row r="326" spans="1:26" ht="15" customHeight="1" x14ac:dyDescent="0.3">
      <c r="A326" s="26"/>
      <c r="B326" s="17"/>
      <c r="C326" s="17"/>
      <c r="D326" s="17"/>
      <c r="E326" s="17"/>
      <c r="F326" s="17"/>
      <c r="G326" s="17"/>
      <c r="H326" s="17"/>
      <c r="I326" s="17"/>
      <c r="J326" s="17"/>
      <c r="K326" s="17"/>
      <c r="L326" s="17"/>
      <c r="M326" s="17"/>
      <c r="N326" s="17"/>
      <c r="O326" s="17"/>
      <c r="P326" s="17"/>
      <c r="Q326" s="17"/>
      <c r="R326" s="17"/>
      <c r="S326" s="17"/>
      <c r="T326" s="17"/>
      <c r="U326" s="12"/>
      <c r="V326" s="12"/>
      <c r="W326" s="12"/>
      <c r="X326" s="12"/>
      <c r="Y326" s="12"/>
      <c r="Z326" s="12"/>
    </row>
    <row r="327" spans="1:26" ht="15" customHeight="1" x14ac:dyDescent="0.3">
      <c r="A327" s="26"/>
      <c r="B327" s="17"/>
      <c r="C327" s="17"/>
      <c r="D327" s="17"/>
      <c r="E327" s="17"/>
      <c r="F327" s="17"/>
      <c r="G327" s="17"/>
      <c r="H327" s="17"/>
      <c r="I327" s="17"/>
      <c r="J327" s="17"/>
      <c r="K327" s="17"/>
      <c r="L327" s="17"/>
      <c r="M327" s="17"/>
      <c r="N327" s="17"/>
      <c r="O327" s="17"/>
      <c r="P327" s="17"/>
      <c r="Q327" s="17"/>
      <c r="R327" s="17"/>
      <c r="S327" s="17"/>
      <c r="T327" s="17"/>
      <c r="U327" s="12"/>
      <c r="V327" s="12"/>
      <c r="W327" s="12"/>
      <c r="X327" s="12"/>
      <c r="Y327" s="12"/>
      <c r="Z327" s="12"/>
    </row>
    <row r="328" spans="1:26" ht="15" customHeight="1" x14ac:dyDescent="0.3">
      <c r="A328" s="26"/>
      <c r="B328" s="17"/>
      <c r="C328" s="17"/>
      <c r="D328" s="17"/>
      <c r="E328" s="17"/>
      <c r="F328" s="17"/>
      <c r="G328" s="17"/>
      <c r="H328" s="17"/>
      <c r="I328" s="17"/>
      <c r="J328" s="17"/>
      <c r="K328" s="17"/>
      <c r="L328" s="17"/>
      <c r="M328" s="17"/>
      <c r="N328" s="17"/>
      <c r="O328" s="17"/>
      <c r="P328" s="17"/>
      <c r="Q328" s="17"/>
      <c r="R328" s="17"/>
      <c r="S328" s="17"/>
      <c r="T328" s="17"/>
      <c r="U328" s="12"/>
      <c r="V328" s="12"/>
      <c r="W328" s="12"/>
      <c r="X328" s="12"/>
      <c r="Y328" s="12"/>
      <c r="Z328" s="12"/>
    </row>
    <row r="329" spans="1:26" ht="15" customHeight="1" x14ac:dyDescent="0.3">
      <c r="A329" s="26"/>
      <c r="B329" s="17"/>
      <c r="C329" s="17"/>
      <c r="D329" s="17"/>
      <c r="E329" s="17"/>
      <c r="F329" s="17"/>
      <c r="G329" s="17"/>
      <c r="H329" s="17"/>
      <c r="I329" s="17"/>
      <c r="J329" s="17"/>
      <c r="K329" s="17"/>
      <c r="L329" s="17"/>
      <c r="M329" s="17"/>
      <c r="N329" s="17"/>
      <c r="O329" s="17"/>
      <c r="P329" s="17"/>
      <c r="Q329" s="17"/>
      <c r="R329" s="17"/>
      <c r="S329" s="17"/>
      <c r="T329" s="17"/>
      <c r="U329" s="12"/>
      <c r="V329" s="12"/>
      <c r="W329" s="12"/>
      <c r="X329" s="12"/>
      <c r="Y329" s="12"/>
      <c r="Z329" s="12"/>
    </row>
    <row r="330" spans="1:26" ht="15" customHeight="1" x14ac:dyDescent="0.3">
      <c r="A330" s="26"/>
      <c r="B330" s="17"/>
      <c r="C330" s="17"/>
      <c r="D330" s="17"/>
      <c r="E330" s="17"/>
      <c r="F330" s="17"/>
      <c r="G330" s="17"/>
      <c r="H330" s="17"/>
      <c r="I330" s="17"/>
      <c r="J330" s="17"/>
      <c r="K330" s="17"/>
      <c r="L330" s="17"/>
      <c r="M330" s="17"/>
      <c r="N330" s="17"/>
      <c r="O330" s="17"/>
      <c r="P330" s="17"/>
      <c r="Q330" s="17"/>
      <c r="R330" s="17"/>
      <c r="S330" s="17"/>
      <c r="T330" s="17"/>
      <c r="U330" s="12"/>
      <c r="V330" s="12"/>
      <c r="W330" s="12"/>
      <c r="X330" s="12"/>
      <c r="Y330" s="12"/>
      <c r="Z330" s="12"/>
    </row>
    <row r="331" spans="1:26" ht="15" customHeight="1" x14ac:dyDescent="0.3">
      <c r="A331" s="26"/>
      <c r="B331" s="17"/>
      <c r="C331" s="17"/>
      <c r="D331" s="17"/>
      <c r="E331" s="17"/>
      <c r="F331" s="17"/>
      <c r="G331" s="17"/>
      <c r="H331" s="17"/>
      <c r="I331" s="17"/>
      <c r="J331" s="17"/>
      <c r="K331" s="17"/>
      <c r="L331" s="17"/>
      <c r="M331" s="17"/>
      <c r="N331" s="17"/>
      <c r="O331" s="17"/>
      <c r="P331" s="17"/>
      <c r="Q331" s="17"/>
      <c r="R331" s="17"/>
      <c r="S331" s="17"/>
      <c r="T331" s="17"/>
      <c r="U331" s="12"/>
      <c r="V331" s="12"/>
      <c r="W331" s="12"/>
      <c r="X331" s="12"/>
      <c r="Y331" s="12"/>
      <c r="Z331" s="12"/>
    </row>
    <row r="332" spans="1:26" ht="15" customHeight="1" x14ac:dyDescent="0.3">
      <c r="A332" s="26"/>
      <c r="B332" s="17"/>
      <c r="C332" s="17"/>
      <c r="D332" s="17"/>
      <c r="E332" s="17"/>
      <c r="F332" s="17"/>
      <c r="G332" s="17"/>
      <c r="H332" s="17"/>
      <c r="I332" s="17"/>
      <c r="J332" s="17"/>
      <c r="K332" s="17"/>
      <c r="L332" s="17"/>
      <c r="M332" s="17"/>
      <c r="N332" s="17"/>
      <c r="O332" s="17"/>
      <c r="P332" s="17"/>
      <c r="Q332" s="17"/>
      <c r="R332" s="17"/>
      <c r="S332" s="17"/>
      <c r="T332" s="17"/>
      <c r="U332" s="12"/>
      <c r="V332" s="12"/>
      <c r="W332" s="12"/>
      <c r="X332" s="12"/>
      <c r="Y332" s="12"/>
      <c r="Z332" s="12"/>
    </row>
    <row r="333" spans="1:26" ht="15" customHeight="1" x14ac:dyDescent="0.3">
      <c r="A333" s="26"/>
      <c r="B333" s="17"/>
      <c r="C333" s="17"/>
      <c r="D333" s="17"/>
      <c r="E333" s="17"/>
      <c r="F333" s="17"/>
      <c r="G333" s="17"/>
      <c r="H333" s="17"/>
      <c r="I333" s="17"/>
      <c r="J333" s="17"/>
      <c r="K333" s="17"/>
      <c r="L333" s="17"/>
      <c r="M333" s="17"/>
      <c r="N333" s="17"/>
      <c r="O333" s="17"/>
      <c r="P333" s="17"/>
      <c r="Q333" s="17"/>
      <c r="R333" s="17"/>
      <c r="S333" s="17"/>
      <c r="T333" s="17"/>
      <c r="U333" s="12"/>
      <c r="V333" s="12"/>
      <c r="W333" s="12"/>
      <c r="X333" s="12"/>
      <c r="Y333" s="12"/>
      <c r="Z333" s="12"/>
    </row>
    <row r="334" spans="1:26" ht="15" customHeight="1" x14ac:dyDescent="0.3">
      <c r="A334" s="26"/>
      <c r="B334" s="17"/>
      <c r="C334" s="17"/>
      <c r="D334" s="17"/>
      <c r="E334" s="17"/>
      <c r="F334" s="17"/>
      <c r="G334" s="17"/>
      <c r="H334" s="17"/>
      <c r="I334" s="17"/>
      <c r="J334" s="17"/>
      <c r="K334" s="17"/>
      <c r="L334" s="17"/>
      <c r="M334" s="17"/>
      <c r="N334" s="17"/>
      <c r="O334" s="17"/>
      <c r="P334" s="17"/>
      <c r="Q334" s="17"/>
      <c r="R334" s="17"/>
      <c r="S334" s="17"/>
      <c r="T334" s="17"/>
      <c r="U334" s="12"/>
      <c r="V334" s="12"/>
      <c r="W334" s="12"/>
      <c r="X334" s="12"/>
      <c r="Y334" s="12"/>
      <c r="Z334" s="12"/>
    </row>
    <row r="335" spans="1:26" ht="15" customHeight="1" x14ac:dyDescent="0.3">
      <c r="A335" s="26"/>
      <c r="B335" s="17"/>
      <c r="C335" s="17"/>
      <c r="D335" s="17"/>
      <c r="E335" s="17"/>
      <c r="F335" s="17"/>
      <c r="G335" s="17"/>
      <c r="H335" s="17"/>
      <c r="I335" s="17"/>
      <c r="J335" s="17"/>
      <c r="K335" s="17"/>
      <c r="L335" s="17"/>
      <c r="M335" s="17"/>
      <c r="N335" s="17"/>
      <c r="O335" s="17"/>
      <c r="P335" s="17"/>
      <c r="Q335" s="17"/>
      <c r="R335" s="17"/>
      <c r="S335" s="17"/>
      <c r="T335" s="17"/>
      <c r="U335" s="12"/>
      <c r="V335" s="12"/>
      <c r="W335" s="12"/>
      <c r="X335" s="12"/>
      <c r="Y335" s="12"/>
      <c r="Z335" s="12"/>
    </row>
    <row r="336" spans="1:26" ht="15" customHeight="1" x14ac:dyDescent="0.3">
      <c r="A336" s="26"/>
      <c r="B336" s="17"/>
      <c r="C336" s="17"/>
      <c r="D336" s="17"/>
      <c r="E336" s="17"/>
      <c r="F336" s="17"/>
      <c r="G336" s="17"/>
      <c r="H336" s="17"/>
      <c r="I336" s="17"/>
      <c r="J336" s="17"/>
      <c r="K336" s="17"/>
      <c r="L336" s="17"/>
      <c r="M336" s="17"/>
      <c r="N336" s="17"/>
      <c r="O336" s="17"/>
      <c r="P336" s="17"/>
      <c r="Q336" s="17"/>
      <c r="R336" s="17"/>
      <c r="S336" s="17"/>
      <c r="T336" s="17"/>
      <c r="U336" s="12"/>
      <c r="V336" s="12"/>
      <c r="W336" s="12"/>
      <c r="X336" s="12"/>
      <c r="Y336" s="12"/>
      <c r="Z336" s="12"/>
    </row>
    <row r="337" spans="1:26" ht="15" customHeight="1" x14ac:dyDescent="0.3">
      <c r="A337" s="26"/>
      <c r="B337" s="17"/>
      <c r="C337" s="17"/>
      <c r="D337" s="17"/>
      <c r="E337" s="17"/>
      <c r="F337" s="17"/>
      <c r="G337" s="17"/>
      <c r="H337" s="17"/>
      <c r="I337" s="17"/>
      <c r="J337" s="17"/>
      <c r="K337" s="17"/>
      <c r="L337" s="17"/>
      <c r="M337" s="17"/>
      <c r="N337" s="17"/>
      <c r="O337" s="17"/>
      <c r="P337" s="17"/>
      <c r="Q337" s="17"/>
      <c r="R337" s="17"/>
      <c r="S337" s="17"/>
      <c r="T337" s="17"/>
      <c r="U337" s="12"/>
      <c r="V337" s="12"/>
      <c r="W337" s="12"/>
      <c r="X337" s="12"/>
      <c r="Y337" s="12"/>
      <c r="Z337" s="12"/>
    </row>
    <row r="338" spans="1:26" ht="15" customHeight="1" x14ac:dyDescent="0.3">
      <c r="A338" s="26"/>
      <c r="B338" s="17"/>
      <c r="C338" s="17"/>
      <c r="D338" s="17"/>
      <c r="E338" s="17"/>
      <c r="F338" s="17"/>
      <c r="G338" s="17"/>
      <c r="H338" s="17"/>
      <c r="I338" s="17"/>
      <c r="J338" s="17"/>
      <c r="K338" s="17"/>
      <c r="L338" s="17"/>
      <c r="M338" s="17"/>
      <c r="N338" s="17"/>
      <c r="O338" s="17"/>
      <c r="P338" s="17"/>
      <c r="Q338" s="17"/>
      <c r="R338" s="17"/>
      <c r="S338" s="17"/>
      <c r="T338" s="17"/>
      <c r="U338" s="12"/>
      <c r="V338" s="12"/>
      <c r="W338" s="12"/>
      <c r="X338" s="12"/>
      <c r="Y338" s="12"/>
      <c r="Z338" s="12"/>
    </row>
    <row r="339" spans="1:26" ht="15" customHeight="1" x14ac:dyDescent="0.3">
      <c r="A339" s="26"/>
      <c r="B339" s="17"/>
      <c r="C339" s="17"/>
      <c r="D339" s="17"/>
      <c r="E339" s="17"/>
      <c r="F339" s="17"/>
      <c r="G339" s="17"/>
      <c r="H339" s="17"/>
      <c r="I339" s="17"/>
      <c r="J339" s="17"/>
      <c r="K339" s="17"/>
      <c r="L339" s="17"/>
      <c r="M339" s="17"/>
      <c r="N339" s="17"/>
      <c r="O339" s="17"/>
      <c r="P339" s="17"/>
      <c r="Q339" s="17"/>
      <c r="R339" s="17"/>
      <c r="S339" s="17"/>
      <c r="T339" s="17"/>
      <c r="U339" s="12"/>
      <c r="V339" s="12"/>
      <c r="W339" s="12"/>
      <c r="X339" s="12"/>
      <c r="Y339" s="12"/>
      <c r="Z339" s="12"/>
    </row>
    <row r="340" spans="1:26" ht="15" customHeight="1" x14ac:dyDescent="0.3">
      <c r="A340" s="26"/>
      <c r="B340" s="17"/>
      <c r="C340" s="17"/>
      <c r="D340" s="17"/>
      <c r="E340" s="17"/>
      <c r="F340" s="17"/>
      <c r="G340" s="17"/>
      <c r="H340" s="17"/>
      <c r="I340" s="17"/>
      <c r="J340" s="17"/>
      <c r="K340" s="17"/>
      <c r="L340" s="17"/>
      <c r="M340" s="17"/>
      <c r="N340" s="17"/>
      <c r="O340" s="17"/>
      <c r="P340" s="17"/>
      <c r="Q340" s="17"/>
      <c r="R340" s="17"/>
      <c r="S340" s="17"/>
      <c r="T340" s="17"/>
      <c r="U340" s="12"/>
      <c r="V340" s="12"/>
      <c r="W340" s="12"/>
      <c r="X340" s="12"/>
      <c r="Y340" s="12"/>
      <c r="Z340" s="12"/>
    </row>
    <row r="341" spans="1:26" ht="15" customHeight="1" x14ac:dyDescent="0.3">
      <c r="A341" s="26"/>
      <c r="B341" s="17"/>
      <c r="C341" s="17"/>
      <c r="D341" s="17"/>
      <c r="E341" s="17"/>
      <c r="F341" s="17"/>
      <c r="G341" s="17"/>
      <c r="H341" s="17"/>
      <c r="I341" s="17"/>
      <c r="J341" s="17"/>
      <c r="K341" s="17"/>
      <c r="L341" s="17"/>
      <c r="M341" s="17"/>
      <c r="N341" s="17"/>
      <c r="O341" s="17"/>
      <c r="P341" s="17"/>
      <c r="Q341" s="17"/>
      <c r="R341" s="17"/>
      <c r="S341" s="17"/>
      <c r="T341" s="17"/>
      <c r="U341" s="12"/>
      <c r="V341" s="12"/>
      <c r="W341" s="12"/>
      <c r="X341" s="12"/>
      <c r="Y341" s="12"/>
      <c r="Z341" s="12"/>
    </row>
    <row r="342" spans="1:26" ht="15" customHeight="1" x14ac:dyDescent="0.3">
      <c r="A342" s="26"/>
      <c r="B342" s="17"/>
      <c r="C342" s="17"/>
      <c r="D342" s="17"/>
      <c r="E342" s="17"/>
      <c r="F342" s="17"/>
      <c r="G342" s="17"/>
      <c r="H342" s="17"/>
      <c r="I342" s="17"/>
      <c r="J342" s="17"/>
      <c r="K342" s="17"/>
      <c r="L342" s="17"/>
      <c r="M342" s="17"/>
      <c r="N342" s="17"/>
      <c r="O342" s="17"/>
      <c r="P342" s="17"/>
      <c r="Q342" s="17"/>
      <c r="R342" s="17"/>
      <c r="S342" s="17"/>
      <c r="T342" s="17"/>
      <c r="U342" s="12"/>
      <c r="V342" s="12"/>
      <c r="W342" s="12"/>
      <c r="X342" s="12"/>
      <c r="Y342" s="12"/>
      <c r="Z342" s="12"/>
    </row>
    <row r="343" spans="1:26" ht="15" customHeight="1" x14ac:dyDescent="0.3">
      <c r="A343" s="26"/>
      <c r="B343" s="17"/>
      <c r="C343" s="17"/>
      <c r="D343" s="17"/>
      <c r="E343" s="17"/>
      <c r="F343" s="17"/>
      <c r="G343" s="17"/>
      <c r="H343" s="17"/>
      <c r="I343" s="17"/>
      <c r="J343" s="17"/>
      <c r="K343" s="17"/>
      <c r="L343" s="17"/>
      <c r="M343" s="17"/>
      <c r="N343" s="17"/>
      <c r="O343" s="17"/>
      <c r="P343" s="17"/>
      <c r="Q343" s="17"/>
      <c r="R343" s="17"/>
      <c r="S343" s="17"/>
      <c r="T343" s="17"/>
      <c r="U343" s="12"/>
      <c r="V343" s="12"/>
      <c r="W343" s="12"/>
      <c r="X343" s="12"/>
      <c r="Y343" s="12"/>
      <c r="Z343" s="12"/>
    </row>
    <row r="344" spans="1:26" ht="15" customHeight="1" x14ac:dyDescent="0.3">
      <c r="A344" s="26"/>
      <c r="B344" s="17"/>
      <c r="C344" s="17"/>
      <c r="D344" s="17"/>
      <c r="E344" s="17"/>
      <c r="F344" s="17"/>
      <c r="G344" s="17"/>
      <c r="H344" s="17"/>
      <c r="I344" s="17"/>
      <c r="J344" s="17"/>
      <c r="K344" s="17"/>
      <c r="L344" s="17"/>
      <c r="M344" s="17"/>
      <c r="N344" s="17"/>
      <c r="O344" s="17"/>
      <c r="P344" s="17"/>
      <c r="Q344" s="17"/>
      <c r="R344" s="17"/>
      <c r="S344" s="17"/>
      <c r="T344" s="17"/>
      <c r="U344" s="12"/>
      <c r="V344" s="12"/>
      <c r="W344" s="12"/>
      <c r="X344" s="12"/>
      <c r="Y344" s="12"/>
      <c r="Z344" s="12"/>
    </row>
    <row r="345" spans="1:26" ht="15" customHeight="1" x14ac:dyDescent="0.3">
      <c r="A345" s="26"/>
      <c r="B345" s="17"/>
      <c r="C345" s="17"/>
      <c r="D345" s="17"/>
      <c r="E345" s="17"/>
      <c r="F345" s="17"/>
      <c r="G345" s="17"/>
      <c r="H345" s="17"/>
      <c r="I345" s="17"/>
      <c r="J345" s="17"/>
      <c r="K345" s="17"/>
      <c r="L345" s="17"/>
      <c r="M345" s="17"/>
      <c r="N345" s="17"/>
      <c r="O345" s="17"/>
      <c r="P345" s="17"/>
      <c r="Q345" s="17"/>
      <c r="R345" s="17"/>
      <c r="S345" s="17"/>
      <c r="T345" s="17"/>
      <c r="U345" s="12"/>
      <c r="V345" s="12"/>
      <c r="W345" s="12"/>
      <c r="X345" s="12"/>
      <c r="Y345" s="12"/>
      <c r="Z345" s="12"/>
    </row>
    <row r="346" spans="1:26" ht="15" customHeight="1" x14ac:dyDescent="0.3">
      <c r="A346" s="26"/>
      <c r="B346" s="17"/>
      <c r="C346" s="17"/>
      <c r="D346" s="17"/>
      <c r="E346" s="17"/>
      <c r="F346" s="17"/>
      <c r="G346" s="17"/>
      <c r="H346" s="17"/>
      <c r="I346" s="17"/>
      <c r="J346" s="17"/>
      <c r="K346" s="17"/>
      <c r="L346" s="17"/>
      <c r="M346" s="17"/>
      <c r="N346" s="17"/>
      <c r="O346" s="17"/>
      <c r="P346" s="17"/>
      <c r="Q346" s="17"/>
      <c r="R346" s="17"/>
      <c r="S346" s="17"/>
      <c r="T346" s="17"/>
      <c r="U346" s="12"/>
      <c r="V346" s="12"/>
      <c r="W346" s="12"/>
      <c r="X346" s="12"/>
      <c r="Y346" s="12"/>
      <c r="Z346" s="12"/>
    </row>
    <row r="347" spans="1:26" ht="15" customHeight="1" x14ac:dyDescent="0.3">
      <c r="A347" s="26"/>
      <c r="B347" s="17"/>
      <c r="C347" s="17"/>
      <c r="D347" s="17"/>
      <c r="E347" s="17"/>
      <c r="F347" s="17"/>
      <c r="G347" s="17"/>
      <c r="H347" s="17"/>
      <c r="I347" s="17"/>
      <c r="J347" s="17"/>
      <c r="K347" s="17"/>
      <c r="L347" s="17"/>
      <c r="M347" s="17"/>
      <c r="N347" s="17"/>
      <c r="O347" s="17"/>
      <c r="P347" s="17"/>
      <c r="Q347" s="17"/>
      <c r="R347" s="17"/>
      <c r="S347" s="17"/>
      <c r="T347" s="17"/>
      <c r="U347" s="12"/>
      <c r="V347" s="12"/>
      <c r="W347" s="12"/>
      <c r="X347" s="12"/>
      <c r="Y347" s="12"/>
      <c r="Z347" s="12"/>
    </row>
    <row r="348" spans="1:26" ht="15" customHeight="1" x14ac:dyDescent="0.3">
      <c r="A348" s="26"/>
      <c r="B348" s="17"/>
      <c r="C348" s="17"/>
      <c r="D348" s="17"/>
      <c r="E348" s="17"/>
      <c r="F348" s="17"/>
      <c r="G348" s="17"/>
      <c r="H348" s="17"/>
      <c r="I348" s="17"/>
      <c r="J348" s="17"/>
      <c r="K348" s="17"/>
      <c r="L348" s="17"/>
      <c r="M348" s="17"/>
      <c r="N348" s="17"/>
      <c r="O348" s="17"/>
      <c r="P348" s="17"/>
      <c r="Q348" s="17"/>
      <c r="R348" s="17"/>
      <c r="S348" s="17"/>
      <c r="T348" s="17"/>
      <c r="U348" s="12"/>
      <c r="V348" s="12"/>
      <c r="W348" s="12"/>
      <c r="X348" s="12"/>
      <c r="Y348" s="12"/>
      <c r="Z348" s="12"/>
    </row>
    <row r="349" spans="1:26" ht="15" customHeight="1" x14ac:dyDescent="0.3">
      <c r="A349" s="26"/>
      <c r="B349" s="17"/>
      <c r="C349" s="17"/>
      <c r="D349" s="17"/>
      <c r="E349" s="17"/>
      <c r="F349" s="17"/>
      <c r="G349" s="17"/>
      <c r="H349" s="17"/>
      <c r="I349" s="17"/>
      <c r="J349" s="17"/>
      <c r="K349" s="17"/>
      <c r="L349" s="17"/>
      <c r="M349" s="17"/>
      <c r="N349" s="17"/>
      <c r="O349" s="17"/>
      <c r="P349" s="17"/>
      <c r="Q349" s="17"/>
      <c r="R349" s="17"/>
      <c r="S349" s="17"/>
      <c r="T349" s="17"/>
      <c r="U349" s="12"/>
      <c r="V349" s="12"/>
      <c r="W349" s="12"/>
      <c r="X349" s="12"/>
      <c r="Y349" s="12"/>
      <c r="Z349" s="12"/>
    </row>
    <row r="350" spans="1:26" ht="15" customHeight="1" x14ac:dyDescent="0.3">
      <c r="A350" s="26"/>
      <c r="B350" s="17"/>
      <c r="C350" s="17"/>
      <c r="D350" s="17"/>
      <c r="E350" s="17"/>
      <c r="F350" s="17"/>
      <c r="G350" s="17"/>
      <c r="H350" s="17"/>
      <c r="I350" s="17"/>
      <c r="J350" s="17"/>
      <c r="K350" s="17"/>
      <c r="L350" s="17"/>
      <c r="M350" s="17"/>
      <c r="N350" s="17"/>
      <c r="O350" s="17"/>
      <c r="P350" s="17"/>
      <c r="Q350" s="17"/>
      <c r="R350" s="17"/>
      <c r="S350" s="17"/>
      <c r="T350" s="17"/>
      <c r="U350" s="12"/>
      <c r="V350" s="12"/>
      <c r="W350" s="12"/>
      <c r="X350" s="12"/>
      <c r="Y350" s="12"/>
      <c r="Z350" s="12"/>
    </row>
    <row r="351" spans="1:26" ht="15" customHeight="1" x14ac:dyDescent="0.3">
      <c r="A351" s="26"/>
      <c r="B351" s="17"/>
      <c r="C351" s="17"/>
      <c r="D351" s="17"/>
      <c r="E351" s="17"/>
      <c r="F351" s="17"/>
      <c r="G351" s="17"/>
      <c r="H351" s="17"/>
      <c r="I351" s="17"/>
      <c r="J351" s="17"/>
      <c r="K351" s="17"/>
      <c r="L351" s="17"/>
      <c r="M351" s="17"/>
      <c r="N351" s="17"/>
      <c r="O351" s="17"/>
      <c r="P351" s="17"/>
      <c r="Q351" s="17"/>
      <c r="R351" s="17"/>
      <c r="S351" s="17"/>
      <c r="T351" s="17"/>
      <c r="U351" s="12"/>
      <c r="V351" s="12"/>
      <c r="W351" s="12"/>
      <c r="X351" s="12"/>
      <c r="Y351" s="12"/>
      <c r="Z351" s="12"/>
    </row>
    <row r="352" spans="1:26" ht="15" customHeight="1" x14ac:dyDescent="0.3">
      <c r="A352" s="26"/>
      <c r="B352" s="17"/>
      <c r="C352" s="17"/>
      <c r="D352" s="17"/>
      <c r="E352" s="17"/>
      <c r="F352" s="17"/>
      <c r="G352" s="17"/>
      <c r="H352" s="17"/>
      <c r="I352" s="17"/>
      <c r="J352" s="17"/>
      <c r="K352" s="17"/>
      <c r="L352" s="17"/>
      <c r="M352" s="17"/>
      <c r="N352" s="17"/>
      <c r="O352" s="17"/>
      <c r="P352" s="17"/>
      <c r="Q352" s="17"/>
      <c r="R352" s="17"/>
      <c r="S352" s="17"/>
      <c r="T352" s="17"/>
      <c r="U352" s="12"/>
      <c r="V352" s="12"/>
      <c r="W352" s="12"/>
      <c r="X352" s="12"/>
      <c r="Y352" s="12"/>
      <c r="Z352" s="12"/>
    </row>
    <row r="353" spans="1:26" ht="15" customHeight="1" x14ac:dyDescent="0.3">
      <c r="A353" s="26"/>
      <c r="B353" s="17"/>
      <c r="C353" s="17"/>
      <c r="D353" s="17"/>
      <c r="E353" s="17"/>
      <c r="F353" s="17"/>
      <c r="G353" s="17"/>
      <c r="H353" s="17"/>
      <c r="I353" s="17"/>
      <c r="J353" s="17"/>
      <c r="K353" s="17"/>
      <c r="L353" s="17"/>
      <c r="M353" s="17"/>
      <c r="N353" s="17"/>
      <c r="O353" s="17"/>
      <c r="P353" s="17"/>
      <c r="Q353" s="17"/>
      <c r="R353" s="17"/>
      <c r="S353" s="17"/>
      <c r="T353" s="17"/>
      <c r="U353" s="12"/>
      <c r="V353" s="12"/>
      <c r="W353" s="12"/>
      <c r="X353" s="12"/>
      <c r="Y353" s="12"/>
      <c r="Z353" s="12"/>
    </row>
    <row r="354" spans="1:26" ht="15" customHeight="1" x14ac:dyDescent="0.3">
      <c r="A354" s="26"/>
      <c r="B354" s="17"/>
      <c r="C354" s="17"/>
      <c r="D354" s="17"/>
      <c r="E354" s="17"/>
      <c r="F354" s="17"/>
      <c r="G354" s="17"/>
      <c r="H354" s="17"/>
      <c r="I354" s="17"/>
      <c r="J354" s="17"/>
      <c r="K354" s="17"/>
      <c r="L354" s="17"/>
      <c r="M354" s="17"/>
      <c r="N354" s="17"/>
      <c r="O354" s="17"/>
      <c r="P354" s="17"/>
      <c r="Q354" s="17"/>
      <c r="R354" s="17"/>
      <c r="S354" s="17"/>
      <c r="T354" s="17"/>
      <c r="U354" s="12"/>
      <c r="V354" s="12"/>
      <c r="W354" s="12"/>
      <c r="X354" s="12"/>
      <c r="Y354" s="12"/>
      <c r="Z354" s="12"/>
    </row>
    <row r="355" spans="1:26" ht="15" customHeight="1" x14ac:dyDescent="0.3">
      <c r="A355" s="26"/>
      <c r="B355" s="17"/>
      <c r="C355" s="17"/>
      <c r="D355" s="17"/>
      <c r="E355" s="17"/>
      <c r="F355" s="17"/>
      <c r="G355" s="17"/>
      <c r="H355" s="17"/>
      <c r="I355" s="17"/>
      <c r="J355" s="17"/>
      <c r="K355" s="17"/>
      <c r="L355" s="17"/>
      <c r="M355" s="17"/>
      <c r="N355" s="17"/>
      <c r="O355" s="17"/>
      <c r="P355" s="17"/>
      <c r="Q355" s="17"/>
      <c r="R355" s="17"/>
      <c r="S355" s="17"/>
      <c r="T355" s="17"/>
      <c r="U355" s="12"/>
      <c r="V355" s="12"/>
      <c r="W355" s="12"/>
      <c r="X355" s="12"/>
      <c r="Y355" s="12"/>
      <c r="Z355" s="12"/>
    </row>
    <row r="356" spans="1:26" ht="15" customHeight="1" x14ac:dyDescent="0.3">
      <c r="A356" s="26"/>
      <c r="B356" s="17"/>
      <c r="C356" s="17"/>
      <c r="D356" s="17"/>
      <c r="E356" s="17"/>
      <c r="F356" s="17"/>
      <c r="G356" s="17"/>
      <c r="H356" s="17"/>
      <c r="I356" s="17"/>
      <c r="J356" s="17"/>
      <c r="K356" s="17"/>
      <c r="L356" s="17"/>
      <c r="M356" s="17"/>
      <c r="N356" s="17"/>
      <c r="O356" s="17"/>
      <c r="P356" s="17"/>
      <c r="Q356" s="17"/>
      <c r="R356" s="17"/>
      <c r="S356" s="17"/>
      <c r="T356" s="17"/>
      <c r="U356" s="12"/>
      <c r="V356" s="12"/>
      <c r="W356" s="12"/>
      <c r="X356" s="12"/>
      <c r="Y356" s="12"/>
      <c r="Z356" s="12"/>
    </row>
    <row r="357" spans="1:26" ht="15" customHeight="1" x14ac:dyDescent="0.3">
      <c r="A357" s="26"/>
      <c r="B357" s="17"/>
      <c r="C357" s="17"/>
      <c r="D357" s="17"/>
      <c r="E357" s="17"/>
      <c r="F357" s="17"/>
      <c r="G357" s="17"/>
      <c r="H357" s="17"/>
      <c r="I357" s="17"/>
      <c r="J357" s="17"/>
      <c r="K357" s="17"/>
      <c r="L357" s="17"/>
      <c r="M357" s="17"/>
      <c r="N357" s="17"/>
      <c r="O357" s="17"/>
      <c r="P357" s="17"/>
      <c r="Q357" s="17"/>
      <c r="R357" s="17"/>
      <c r="S357" s="17"/>
      <c r="T357" s="17"/>
      <c r="U357" s="12"/>
      <c r="V357" s="12"/>
      <c r="W357" s="12"/>
      <c r="X357" s="12"/>
      <c r="Y357" s="12"/>
      <c r="Z357" s="12"/>
    </row>
    <row r="358" spans="1:26" ht="15" customHeight="1" x14ac:dyDescent="0.3">
      <c r="A358" s="26"/>
      <c r="B358" s="17"/>
      <c r="C358" s="17"/>
      <c r="D358" s="17"/>
      <c r="E358" s="17"/>
      <c r="F358" s="17"/>
      <c r="G358" s="17"/>
      <c r="H358" s="17"/>
      <c r="I358" s="17"/>
      <c r="J358" s="17"/>
      <c r="K358" s="17"/>
      <c r="L358" s="17"/>
      <c r="M358" s="17"/>
      <c r="N358" s="17"/>
      <c r="O358" s="17"/>
      <c r="P358" s="17"/>
      <c r="Q358" s="17"/>
      <c r="R358" s="17"/>
      <c r="S358" s="17"/>
      <c r="T358" s="17"/>
      <c r="U358" s="12"/>
      <c r="V358" s="12"/>
      <c r="W358" s="12"/>
      <c r="X358" s="12"/>
      <c r="Y358" s="12"/>
      <c r="Z358" s="12"/>
    </row>
    <row r="359" spans="1:26" ht="15" customHeight="1" x14ac:dyDescent="0.3">
      <c r="A359" s="26"/>
      <c r="B359" s="17"/>
      <c r="C359" s="17"/>
      <c r="D359" s="17"/>
      <c r="E359" s="17"/>
      <c r="F359" s="17"/>
      <c r="G359" s="17"/>
      <c r="H359" s="17"/>
      <c r="I359" s="17"/>
      <c r="J359" s="17"/>
      <c r="K359" s="17"/>
      <c r="L359" s="17"/>
      <c r="M359" s="17"/>
      <c r="N359" s="17"/>
      <c r="O359" s="17"/>
      <c r="P359" s="17"/>
      <c r="Q359" s="17"/>
      <c r="R359" s="17"/>
      <c r="S359" s="17"/>
      <c r="T359" s="17"/>
      <c r="U359" s="12"/>
      <c r="V359" s="12"/>
      <c r="W359" s="12"/>
      <c r="X359" s="12"/>
      <c r="Y359" s="12"/>
      <c r="Z359" s="12"/>
    </row>
    <row r="360" spans="1:26" ht="15" customHeight="1" x14ac:dyDescent="0.3">
      <c r="A360" s="26"/>
      <c r="B360" s="17"/>
      <c r="C360" s="17"/>
      <c r="D360" s="17"/>
      <c r="E360" s="17"/>
      <c r="F360" s="17"/>
      <c r="G360" s="17"/>
      <c r="H360" s="17"/>
      <c r="I360" s="17"/>
      <c r="J360" s="17"/>
      <c r="K360" s="17"/>
      <c r="L360" s="17"/>
      <c r="M360" s="17"/>
      <c r="N360" s="17"/>
      <c r="O360" s="17"/>
      <c r="P360" s="17"/>
      <c r="Q360" s="17"/>
      <c r="R360" s="17"/>
      <c r="S360" s="17"/>
      <c r="T360" s="17"/>
      <c r="U360" s="12"/>
      <c r="V360" s="12"/>
      <c r="W360" s="12"/>
      <c r="X360" s="12"/>
      <c r="Y360" s="12"/>
      <c r="Z360" s="12"/>
    </row>
    <row r="361" spans="1:26" ht="15" customHeight="1" x14ac:dyDescent="0.3">
      <c r="A361" s="26"/>
      <c r="B361" s="17"/>
      <c r="C361" s="17"/>
      <c r="D361" s="17"/>
      <c r="E361" s="17"/>
      <c r="F361" s="17"/>
      <c r="G361" s="17"/>
      <c r="H361" s="17"/>
      <c r="I361" s="17"/>
      <c r="J361" s="17"/>
      <c r="K361" s="17"/>
      <c r="L361" s="17"/>
      <c r="M361" s="17"/>
      <c r="N361" s="17"/>
      <c r="O361" s="17"/>
      <c r="P361" s="17"/>
      <c r="Q361" s="17"/>
      <c r="R361" s="17"/>
      <c r="S361" s="17"/>
      <c r="T361" s="17"/>
      <c r="U361" s="12"/>
      <c r="V361" s="12"/>
      <c r="W361" s="12"/>
      <c r="X361" s="12"/>
      <c r="Y361" s="12"/>
      <c r="Z361" s="12"/>
    </row>
    <row r="362" spans="1:26" ht="15" customHeight="1" x14ac:dyDescent="0.3">
      <c r="A362" s="26"/>
      <c r="B362" s="17"/>
      <c r="C362" s="17"/>
      <c r="D362" s="17"/>
      <c r="E362" s="17"/>
      <c r="F362" s="17"/>
      <c r="G362" s="17"/>
      <c r="H362" s="17"/>
      <c r="I362" s="17"/>
      <c r="J362" s="17"/>
      <c r="K362" s="17"/>
      <c r="L362" s="17"/>
      <c r="M362" s="17"/>
      <c r="N362" s="17"/>
      <c r="O362" s="17"/>
      <c r="P362" s="17"/>
      <c r="Q362" s="17"/>
      <c r="R362" s="17"/>
      <c r="S362" s="17"/>
      <c r="T362" s="17"/>
      <c r="U362" s="12"/>
      <c r="V362" s="12"/>
      <c r="W362" s="12"/>
      <c r="X362" s="12"/>
      <c r="Y362" s="12"/>
      <c r="Z362" s="12"/>
    </row>
    <row r="363" spans="1:26" ht="15" customHeight="1" x14ac:dyDescent="0.3">
      <c r="A363" s="26"/>
      <c r="B363" s="17"/>
      <c r="C363" s="17"/>
      <c r="D363" s="17"/>
      <c r="E363" s="17"/>
      <c r="F363" s="17"/>
      <c r="G363" s="17"/>
      <c r="H363" s="17"/>
      <c r="I363" s="17"/>
      <c r="J363" s="17"/>
      <c r="K363" s="17"/>
      <c r="L363" s="17"/>
      <c r="M363" s="17"/>
      <c r="N363" s="17"/>
      <c r="O363" s="17"/>
      <c r="P363" s="17"/>
      <c r="Q363" s="17"/>
      <c r="R363" s="17"/>
      <c r="S363" s="17"/>
      <c r="T363" s="17"/>
      <c r="U363" s="12"/>
      <c r="V363" s="12"/>
      <c r="W363" s="12"/>
      <c r="X363" s="12"/>
      <c r="Y363" s="12"/>
      <c r="Z363" s="12"/>
    </row>
    <row r="364" spans="1:26" ht="15" customHeight="1" x14ac:dyDescent="0.3">
      <c r="A364" s="26"/>
      <c r="B364" s="17"/>
      <c r="C364" s="17"/>
      <c r="D364" s="17"/>
      <c r="E364" s="17"/>
      <c r="F364" s="17"/>
      <c r="G364" s="17"/>
      <c r="H364" s="17"/>
      <c r="I364" s="17"/>
      <c r="J364" s="17"/>
      <c r="K364" s="17"/>
      <c r="L364" s="17"/>
      <c r="M364" s="17"/>
      <c r="N364" s="17"/>
      <c r="O364" s="17"/>
      <c r="P364" s="17"/>
      <c r="Q364" s="17"/>
      <c r="R364" s="17"/>
      <c r="S364" s="17"/>
      <c r="T364" s="17"/>
      <c r="U364" s="12"/>
      <c r="V364" s="12"/>
      <c r="W364" s="12"/>
      <c r="X364" s="12"/>
      <c r="Y364" s="12"/>
      <c r="Z364" s="12"/>
    </row>
    <row r="365" spans="1:26" ht="15" customHeight="1" x14ac:dyDescent="0.3">
      <c r="A365" s="26"/>
      <c r="B365" s="17"/>
      <c r="C365" s="17"/>
      <c r="D365" s="17"/>
      <c r="E365" s="17"/>
      <c r="F365" s="17"/>
      <c r="G365" s="17"/>
      <c r="H365" s="17"/>
      <c r="I365" s="17"/>
      <c r="J365" s="17"/>
      <c r="K365" s="17"/>
      <c r="L365" s="17"/>
      <c r="M365" s="17"/>
      <c r="N365" s="17"/>
      <c r="O365" s="17"/>
      <c r="P365" s="17"/>
      <c r="Q365" s="17"/>
      <c r="R365" s="17"/>
      <c r="S365" s="17"/>
      <c r="T365" s="17"/>
      <c r="U365" s="12"/>
      <c r="V365" s="12"/>
      <c r="W365" s="12"/>
      <c r="X365" s="12"/>
      <c r="Y365" s="12"/>
      <c r="Z365" s="12"/>
    </row>
    <row r="366" spans="1:26" ht="15" customHeight="1" x14ac:dyDescent="0.3">
      <c r="A366" s="26"/>
      <c r="B366" s="17"/>
      <c r="C366" s="17"/>
      <c r="D366" s="17"/>
      <c r="E366" s="17"/>
      <c r="F366" s="17"/>
      <c r="G366" s="17"/>
      <c r="H366" s="17"/>
      <c r="I366" s="17"/>
      <c r="J366" s="17"/>
      <c r="K366" s="17"/>
      <c r="L366" s="17"/>
      <c r="M366" s="17"/>
      <c r="N366" s="17"/>
      <c r="O366" s="17"/>
      <c r="P366" s="17"/>
      <c r="Q366" s="17"/>
      <c r="R366" s="17"/>
      <c r="S366" s="17"/>
      <c r="T366" s="17"/>
      <c r="U366" s="12"/>
      <c r="V366" s="12"/>
      <c r="W366" s="12"/>
      <c r="X366" s="12"/>
      <c r="Y366" s="12"/>
      <c r="Z366" s="12"/>
    </row>
    <row r="367" spans="1:26" ht="15" customHeight="1" x14ac:dyDescent="0.3">
      <c r="A367" s="26"/>
      <c r="B367" s="17"/>
      <c r="C367" s="17"/>
      <c r="D367" s="17"/>
      <c r="E367" s="17"/>
      <c r="F367" s="17"/>
      <c r="G367" s="17"/>
      <c r="H367" s="17"/>
      <c r="I367" s="17"/>
      <c r="J367" s="17"/>
      <c r="K367" s="17"/>
      <c r="L367" s="17"/>
      <c r="M367" s="17"/>
      <c r="N367" s="17"/>
      <c r="O367" s="17"/>
      <c r="P367" s="17"/>
      <c r="Q367" s="17"/>
      <c r="R367" s="17"/>
      <c r="S367" s="17"/>
      <c r="T367" s="17"/>
      <c r="U367" s="12"/>
      <c r="V367" s="12"/>
      <c r="W367" s="12"/>
      <c r="X367" s="12"/>
      <c r="Y367" s="12"/>
      <c r="Z367" s="12"/>
    </row>
    <row r="368" spans="1:26" ht="15" customHeight="1" x14ac:dyDescent="0.3">
      <c r="A368" s="26"/>
      <c r="B368" s="17"/>
      <c r="C368" s="17"/>
      <c r="D368" s="17"/>
      <c r="E368" s="17"/>
      <c r="F368" s="17"/>
      <c r="G368" s="17"/>
      <c r="H368" s="17"/>
      <c r="I368" s="17"/>
      <c r="J368" s="17"/>
      <c r="K368" s="17"/>
      <c r="L368" s="17"/>
      <c r="M368" s="17"/>
      <c r="N368" s="17"/>
      <c r="O368" s="17"/>
      <c r="P368" s="17"/>
      <c r="Q368" s="17"/>
      <c r="R368" s="17"/>
      <c r="S368" s="17"/>
      <c r="T368" s="17"/>
      <c r="U368" s="12"/>
      <c r="V368" s="12"/>
      <c r="W368" s="12"/>
      <c r="X368" s="12"/>
      <c r="Y368" s="12"/>
      <c r="Z368" s="12"/>
    </row>
    <row r="369" spans="1:26" ht="15" customHeight="1" x14ac:dyDescent="0.3">
      <c r="A369" s="26"/>
      <c r="B369" s="17"/>
      <c r="C369" s="17"/>
      <c r="D369" s="17"/>
      <c r="E369" s="17"/>
      <c r="F369" s="17"/>
      <c r="G369" s="17"/>
      <c r="H369" s="17"/>
      <c r="I369" s="17"/>
      <c r="J369" s="17"/>
      <c r="K369" s="17"/>
      <c r="L369" s="17"/>
      <c r="M369" s="17"/>
      <c r="N369" s="17"/>
      <c r="O369" s="17"/>
      <c r="P369" s="17"/>
      <c r="Q369" s="17"/>
      <c r="R369" s="17"/>
      <c r="S369" s="17"/>
      <c r="T369" s="17"/>
      <c r="U369" s="12"/>
      <c r="V369" s="12"/>
      <c r="W369" s="12"/>
      <c r="X369" s="12"/>
      <c r="Y369" s="12"/>
      <c r="Z369" s="12"/>
    </row>
    <row r="370" spans="1:26" ht="15" customHeight="1" x14ac:dyDescent="0.3">
      <c r="A370" s="26"/>
      <c r="B370" s="17"/>
      <c r="C370" s="17"/>
      <c r="D370" s="17"/>
      <c r="E370" s="17"/>
      <c r="F370" s="17"/>
      <c r="G370" s="17"/>
      <c r="H370" s="17"/>
      <c r="I370" s="17"/>
      <c r="J370" s="17"/>
      <c r="K370" s="17"/>
      <c r="L370" s="17"/>
      <c r="M370" s="17"/>
      <c r="N370" s="17"/>
      <c r="O370" s="17"/>
      <c r="P370" s="17"/>
      <c r="Q370" s="17"/>
      <c r="R370" s="17"/>
      <c r="S370" s="17"/>
      <c r="T370" s="17"/>
      <c r="U370" s="12"/>
      <c r="V370" s="12"/>
      <c r="W370" s="12"/>
      <c r="X370" s="12"/>
      <c r="Y370" s="12"/>
      <c r="Z370" s="12"/>
    </row>
    <row r="371" spans="1:26" ht="15" customHeight="1" x14ac:dyDescent="0.3">
      <c r="A371" s="26"/>
      <c r="B371" s="17"/>
      <c r="C371" s="17"/>
      <c r="D371" s="17"/>
      <c r="E371" s="17"/>
      <c r="F371" s="17"/>
      <c r="G371" s="17"/>
      <c r="H371" s="17"/>
      <c r="I371" s="17"/>
      <c r="J371" s="17"/>
      <c r="K371" s="17"/>
      <c r="L371" s="17"/>
      <c r="M371" s="17"/>
      <c r="N371" s="17"/>
      <c r="O371" s="17"/>
      <c r="P371" s="17"/>
      <c r="Q371" s="17"/>
      <c r="R371" s="17"/>
      <c r="S371" s="17"/>
      <c r="T371" s="17"/>
      <c r="U371" s="12"/>
      <c r="V371" s="12"/>
      <c r="W371" s="12"/>
      <c r="X371" s="12"/>
      <c r="Y371" s="12"/>
      <c r="Z371" s="12"/>
    </row>
    <row r="372" spans="1:26" ht="15" customHeight="1" x14ac:dyDescent="0.3">
      <c r="A372" s="26"/>
      <c r="B372" s="17"/>
      <c r="C372" s="17"/>
      <c r="D372" s="17"/>
      <c r="E372" s="17"/>
      <c r="F372" s="17"/>
      <c r="G372" s="17"/>
      <c r="H372" s="17"/>
      <c r="I372" s="17"/>
      <c r="J372" s="17"/>
      <c r="K372" s="17"/>
      <c r="L372" s="17"/>
      <c r="M372" s="17"/>
      <c r="N372" s="17"/>
      <c r="O372" s="17"/>
      <c r="P372" s="17"/>
      <c r="Q372" s="17"/>
      <c r="R372" s="17"/>
      <c r="S372" s="17"/>
      <c r="T372" s="17"/>
      <c r="U372" s="12"/>
      <c r="V372" s="12"/>
      <c r="W372" s="12"/>
      <c r="X372" s="12"/>
      <c r="Y372" s="12"/>
      <c r="Z372" s="12"/>
    </row>
    <row r="373" spans="1:26" ht="15" customHeight="1" x14ac:dyDescent="0.3">
      <c r="A373" s="26"/>
      <c r="B373" s="17"/>
      <c r="C373" s="17"/>
      <c r="D373" s="17"/>
      <c r="E373" s="17"/>
      <c r="F373" s="17"/>
      <c r="G373" s="17"/>
      <c r="H373" s="17"/>
      <c r="I373" s="17"/>
      <c r="J373" s="17"/>
      <c r="K373" s="17"/>
      <c r="L373" s="17"/>
      <c r="M373" s="17"/>
      <c r="N373" s="17"/>
      <c r="O373" s="17"/>
      <c r="P373" s="17"/>
      <c r="Q373" s="17"/>
      <c r="R373" s="17"/>
      <c r="S373" s="17"/>
      <c r="T373" s="17"/>
      <c r="U373" s="12"/>
      <c r="V373" s="12"/>
      <c r="W373" s="12"/>
      <c r="X373" s="12"/>
      <c r="Y373" s="12"/>
      <c r="Z373" s="12"/>
    </row>
    <row r="374" spans="1:26" ht="15" customHeight="1" x14ac:dyDescent="0.3">
      <c r="A374" s="26"/>
      <c r="B374" s="17"/>
      <c r="C374" s="17"/>
      <c r="D374" s="17"/>
      <c r="E374" s="17"/>
      <c r="F374" s="17"/>
      <c r="G374" s="17"/>
      <c r="H374" s="17"/>
      <c r="I374" s="17"/>
      <c r="J374" s="17"/>
      <c r="K374" s="17"/>
      <c r="L374" s="17"/>
      <c r="M374" s="17"/>
      <c r="N374" s="17"/>
      <c r="O374" s="17"/>
      <c r="P374" s="17"/>
      <c r="Q374" s="17"/>
      <c r="R374" s="17"/>
      <c r="S374" s="17"/>
      <c r="T374" s="17"/>
      <c r="U374" s="12"/>
      <c r="V374" s="12"/>
      <c r="W374" s="12"/>
      <c r="X374" s="12"/>
      <c r="Y374" s="12"/>
      <c r="Z374" s="12"/>
    </row>
    <row r="375" spans="1:26" ht="15" customHeight="1" x14ac:dyDescent="0.3">
      <c r="A375" s="26"/>
      <c r="B375" s="17"/>
      <c r="C375" s="17"/>
      <c r="D375" s="17"/>
      <c r="E375" s="17"/>
      <c r="F375" s="17"/>
      <c r="G375" s="17"/>
      <c r="H375" s="17"/>
      <c r="I375" s="17"/>
      <c r="J375" s="17"/>
      <c r="K375" s="17"/>
      <c r="L375" s="17"/>
      <c r="M375" s="17"/>
      <c r="N375" s="17"/>
      <c r="O375" s="17"/>
      <c r="P375" s="17"/>
      <c r="Q375" s="17"/>
      <c r="R375" s="17"/>
      <c r="S375" s="17"/>
      <c r="T375" s="17"/>
      <c r="U375" s="12"/>
      <c r="V375" s="12"/>
      <c r="W375" s="12"/>
      <c r="X375" s="12"/>
      <c r="Y375" s="12"/>
      <c r="Z375" s="12"/>
    </row>
    <row r="376" spans="1:26" ht="15" customHeight="1" x14ac:dyDescent="0.3">
      <c r="A376" s="26"/>
      <c r="B376" s="17"/>
      <c r="C376" s="17"/>
      <c r="D376" s="17"/>
      <c r="E376" s="17"/>
      <c r="F376" s="17"/>
      <c r="G376" s="17"/>
      <c r="H376" s="17"/>
      <c r="I376" s="17"/>
      <c r="J376" s="17"/>
      <c r="K376" s="17"/>
      <c r="L376" s="17"/>
      <c r="M376" s="17"/>
      <c r="N376" s="17"/>
      <c r="O376" s="17"/>
      <c r="P376" s="17"/>
      <c r="Q376" s="17"/>
      <c r="R376" s="17"/>
      <c r="S376" s="17"/>
      <c r="T376" s="17"/>
      <c r="U376" s="12"/>
      <c r="V376" s="12"/>
      <c r="W376" s="12"/>
      <c r="X376" s="12"/>
      <c r="Y376" s="12"/>
      <c r="Z376" s="12"/>
    </row>
    <row r="377" spans="1:26" ht="15" customHeight="1" x14ac:dyDescent="0.3">
      <c r="A377" s="26"/>
      <c r="B377" s="17"/>
      <c r="C377" s="17"/>
      <c r="D377" s="17"/>
      <c r="E377" s="17"/>
      <c r="F377" s="17"/>
      <c r="G377" s="17"/>
      <c r="H377" s="17"/>
      <c r="I377" s="17"/>
      <c r="J377" s="17"/>
      <c r="K377" s="17"/>
      <c r="L377" s="17"/>
      <c r="M377" s="17"/>
      <c r="N377" s="17"/>
      <c r="O377" s="17"/>
      <c r="P377" s="17"/>
      <c r="Q377" s="17"/>
      <c r="R377" s="17"/>
      <c r="S377" s="17"/>
      <c r="T377" s="17"/>
      <c r="U377" s="12"/>
      <c r="V377" s="12"/>
      <c r="W377" s="12"/>
      <c r="X377" s="12"/>
      <c r="Y377" s="12"/>
      <c r="Z377" s="12"/>
    </row>
    <row r="378" spans="1:26" ht="15" customHeight="1" x14ac:dyDescent="0.3">
      <c r="A378" s="26"/>
      <c r="B378" s="17"/>
      <c r="C378" s="17"/>
      <c r="D378" s="17"/>
      <c r="E378" s="17"/>
      <c r="F378" s="17"/>
      <c r="G378" s="17"/>
      <c r="H378" s="17"/>
      <c r="I378" s="17"/>
      <c r="J378" s="17"/>
      <c r="K378" s="17"/>
      <c r="L378" s="17"/>
      <c r="M378" s="17"/>
      <c r="N378" s="17"/>
      <c r="O378" s="17"/>
      <c r="P378" s="17"/>
      <c r="Q378" s="17"/>
      <c r="R378" s="17"/>
      <c r="S378" s="17"/>
      <c r="T378" s="17"/>
      <c r="U378" s="12"/>
      <c r="V378" s="12"/>
      <c r="W378" s="12"/>
      <c r="X378" s="12"/>
      <c r="Y378" s="12"/>
      <c r="Z378" s="12"/>
    </row>
    <row r="379" spans="1:26" ht="15" customHeight="1" x14ac:dyDescent="0.3">
      <c r="A379" s="26"/>
      <c r="B379" s="17"/>
      <c r="C379" s="17"/>
      <c r="D379" s="17"/>
      <c r="E379" s="17"/>
      <c r="F379" s="17"/>
      <c r="G379" s="17"/>
      <c r="H379" s="17"/>
      <c r="I379" s="17"/>
      <c r="J379" s="17"/>
      <c r="K379" s="17"/>
      <c r="L379" s="17"/>
      <c r="M379" s="17"/>
      <c r="N379" s="17"/>
      <c r="O379" s="17"/>
      <c r="P379" s="17"/>
      <c r="Q379" s="17"/>
      <c r="R379" s="17"/>
      <c r="S379" s="17"/>
      <c r="T379" s="17"/>
      <c r="U379" s="12"/>
      <c r="V379" s="12"/>
      <c r="W379" s="12"/>
      <c r="X379" s="12"/>
      <c r="Y379" s="12"/>
      <c r="Z379" s="12"/>
    </row>
    <row r="380" spans="1:26" ht="15" customHeight="1" x14ac:dyDescent="0.3">
      <c r="A380" s="26"/>
      <c r="B380" s="17"/>
      <c r="C380" s="17"/>
      <c r="D380" s="17"/>
      <c r="E380" s="17"/>
      <c r="F380" s="17"/>
      <c r="G380" s="17"/>
      <c r="H380" s="17"/>
      <c r="I380" s="17"/>
      <c r="J380" s="17"/>
      <c r="K380" s="17"/>
      <c r="L380" s="17"/>
      <c r="M380" s="17"/>
      <c r="N380" s="17"/>
      <c r="O380" s="17"/>
      <c r="P380" s="17"/>
      <c r="Q380" s="17"/>
      <c r="R380" s="17"/>
      <c r="S380" s="17"/>
      <c r="T380" s="17"/>
      <c r="U380" s="12"/>
      <c r="V380" s="12"/>
      <c r="W380" s="12"/>
      <c r="X380" s="12"/>
      <c r="Y380" s="12"/>
      <c r="Z380" s="12"/>
    </row>
    <row r="381" spans="1:26" ht="15" customHeight="1" x14ac:dyDescent="0.3">
      <c r="A381" s="26"/>
      <c r="B381" s="17"/>
      <c r="C381" s="17"/>
      <c r="D381" s="17"/>
      <c r="E381" s="17"/>
      <c r="F381" s="17"/>
      <c r="G381" s="17"/>
      <c r="H381" s="17"/>
      <c r="I381" s="17"/>
      <c r="J381" s="17"/>
      <c r="K381" s="17"/>
      <c r="L381" s="17"/>
      <c r="M381" s="17"/>
      <c r="N381" s="17"/>
      <c r="O381" s="17"/>
      <c r="P381" s="17"/>
      <c r="Q381" s="17"/>
      <c r="R381" s="17"/>
      <c r="S381" s="17"/>
      <c r="T381" s="17"/>
      <c r="U381" s="12"/>
      <c r="V381" s="12"/>
      <c r="W381" s="12"/>
      <c r="X381" s="12"/>
      <c r="Y381" s="12"/>
      <c r="Z381" s="12"/>
    </row>
    <row r="382" spans="1:26" ht="15" customHeight="1" x14ac:dyDescent="0.3">
      <c r="A382" s="26"/>
      <c r="B382" s="17"/>
      <c r="C382" s="17"/>
      <c r="D382" s="17"/>
      <c r="E382" s="17"/>
      <c r="F382" s="17"/>
      <c r="G382" s="17"/>
      <c r="H382" s="17"/>
      <c r="I382" s="17"/>
      <c r="J382" s="17"/>
      <c r="K382" s="17"/>
      <c r="L382" s="17"/>
      <c r="M382" s="17"/>
      <c r="N382" s="17"/>
      <c r="O382" s="17"/>
      <c r="P382" s="17"/>
      <c r="Q382" s="17"/>
      <c r="R382" s="17"/>
      <c r="S382" s="17"/>
      <c r="T382" s="17"/>
      <c r="U382" s="12"/>
      <c r="V382" s="12"/>
      <c r="W382" s="12"/>
      <c r="X382" s="12"/>
      <c r="Y382" s="12"/>
      <c r="Z382" s="12"/>
    </row>
    <row r="383" spans="1:26" ht="15" customHeight="1" x14ac:dyDescent="0.3">
      <c r="A383" s="26"/>
      <c r="B383" s="17"/>
      <c r="C383" s="17"/>
      <c r="D383" s="17"/>
      <c r="E383" s="17"/>
      <c r="F383" s="17"/>
      <c r="G383" s="17"/>
      <c r="H383" s="17"/>
      <c r="I383" s="17"/>
      <c r="J383" s="17"/>
      <c r="K383" s="17"/>
      <c r="L383" s="17"/>
      <c r="M383" s="17"/>
      <c r="N383" s="17"/>
      <c r="O383" s="17"/>
      <c r="P383" s="17"/>
      <c r="Q383" s="17"/>
      <c r="R383" s="17"/>
      <c r="S383" s="17"/>
      <c r="T383" s="17"/>
      <c r="U383" s="12"/>
      <c r="V383" s="12"/>
      <c r="W383" s="12"/>
      <c r="X383" s="12"/>
      <c r="Y383" s="12"/>
      <c r="Z383" s="12"/>
    </row>
    <row r="384" spans="1:26" ht="15" customHeight="1" x14ac:dyDescent="0.3">
      <c r="A384" s="26"/>
      <c r="B384" s="17"/>
      <c r="C384" s="17"/>
      <c r="D384" s="17"/>
      <c r="E384" s="17"/>
      <c r="F384" s="17"/>
      <c r="G384" s="17"/>
      <c r="H384" s="17"/>
      <c r="I384" s="17"/>
      <c r="J384" s="17"/>
      <c r="K384" s="17"/>
      <c r="L384" s="17"/>
      <c r="M384" s="17"/>
      <c r="N384" s="17"/>
      <c r="O384" s="17"/>
      <c r="P384" s="17"/>
      <c r="Q384" s="17"/>
      <c r="R384" s="17"/>
      <c r="S384" s="17"/>
      <c r="T384" s="17"/>
      <c r="U384" s="12"/>
      <c r="V384" s="12"/>
      <c r="W384" s="12"/>
      <c r="X384" s="12"/>
      <c r="Y384" s="12"/>
      <c r="Z384" s="12"/>
    </row>
    <row r="385" spans="1:26" ht="15" customHeight="1" x14ac:dyDescent="0.3">
      <c r="A385" s="26"/>
      <c r="B385" s="17"/>
      <c r="C385" s="17"/>
      <c r="D385" s="17"/>
      <c r="E385" s="17"/>
      <c r="F385" s="17"/>
      <c r="G385" s="17"/>
      <c r="H385" s="17"/>
      <c r="I385" s="17"/>
      <c r="J385" s="17"/>
      <c r="K385" s="17"/>
      <c r="L385" s="17"/>
      <c r="M385" s="17"/>
      <c r="N385" s="17"/>
      <c r="O385" s="17"/>
      <c r="P385" s="17"/>
      <c r="Q385" s="17"/>
      <c r="R385" s="17"/>
      <c r="S385" s="17"/>
      <c r="T385" s="17"/>
      <c r="U385" s="12"/>
      <c r="V385" s="12"/>
      <c r="W385" s="12"/>
      <c r="X385" s="12"/>
      <c r="Y385" s="12"/>
      <c r="Z385" s="12"/>
    </row>
    <row r="386" spans="1:26" ht="15" customHeight="1" x14ac:dyDescent="0.3">
      <c r="A386" s="26"/>
      <c r="B386" s="17"/>
      <c r="C386" s="17"/>
      <c r="D386" s="17"/>
      <c r="E386" s="17"/>
      <c r="F386" s="17"/>
      <c r="G386" s="17"/>
      <c r="H386" s="17"/>
      <c r="I386" s="17"/>
      <c r="J386" s="17"/>
      <c r="K386" s="17"/>
      <c r="L386" s="17"/>
      <c r="M386" s="17"/>
      <c r="N386" s="17"/>
      <c r="O386" s="17"/>
      <c r="P386" s="17"/>
      <c r="Q386" s="17"/>
      <c r="R386" s="17"/>
      <c r="S386" s="17"/>
      <c r="T386" s="17"/>
      <c r="U386" s="12"/>
      <c r="V386" s="12"/>
      <c r="W386" s="12"/>
      <c r="X386" s="12"/>
      <c r="Y386" s="12"/>
      <c r="Z386" s="12"/>
    </row>
    <row r="387" spans="1:26" ht="15" customHeight="1" x14ac:dyDescent="0.3">
      <c r="A387" s="26"/>
      <c r="B387" s="17"/>
      <c r="C387" s="17"/>
      <c r="D387" s="17"/>
      <c r="E387" s="17"/>
      <c r="F387" s="17"/>
      <c r="G387" s="17"/>
      <c r="H387" s="17"/>
      <c r="I387" s="17"/>
      <c r="J387" s="17"/>
      <c r="K387" s="17"/>
      <c r="L387" s="17"/>
      <c r="M387" s="17"/>
      <c r="N387" s="17"/>
      <c r="O387" s="17"/>
      <c r="P387" s="17"/>
      <c r="Q387" s="17"/>
      <c r="R387" s="17"/>
      <c r="S387" s="17"/>
      <c r="T387" s="17"/>
      <c r="U387" s="12"/>
      <c r="V387" s="12"/>
      <c r="W387" s="12"/>
      <c r="X387" s="12"/>
      <c r="Y387" s="12"/>
      <c r="Z387" s="12"/>
    </row>
    <row r="388" spans="1:26" ht="15" customHeight="1" x14ac:dyDescent="0.3">
      <c r="A388" s="26"/>
      <c r="B388" s="17"/>
      <c r="C388" s="17"/>
      <c r="D388" s="17"/>
      <c r="E388" s="17"/>
      <c r="F388" s="17"/>
      <c r="G388" s="17"/>
      <c r="H388" s="17"/>
      <c r="I388" s="17"/>
      <c r="J388" s="17"/>
      <c r="K388" s="17"/>
      <c r="L388" s="17"/>
      <c r="M388" s="17"/>
      <c r="N388" s="17"/>
      <c r="O388" s="17"/>
      <c r="P388" s="17"/>
      <c r="Q388" s="17"/>
      <c r="R388" s="17"/>
      <c r="S388" s="17"/>
      <c r="T388" s="17"/>
      <c r="U388" s="12"/>
      <c r="V388" s="12"/>
      <c r="W388" s="12"/>
      <c r="X388" s="12"/>
      <c r="Y388" s="12"/>
      <c r="Z388" s="12"/>
    </row>
    <row r="389" spans="1:26" ht="15" customHeight="1" x14ac:dyDescent="0.3">
      <c r="A389" s="26"/>
      <c r="B389" s="17"/>
      <c r="C389" s="17"/>
      <c r="D389" s="17"/>
      <c r="E389" s="17"/>
      <c r="F389" s="17"/>
      <c r="G389" s="17"/>
      <c r="H389" s="17"/>
      <c r="I389" s="17"/>
      <c r="J389" s="17"/>
      <c r="K389" s="17"/>
      <c r="L389" s="17"/>
      <c r="M389" s="17"/>
      <c r="N389" s="17"/>
      <c r="O389" s="17"/>
      <c r="P389" s="17"/>
      <c r="Q389" s="17"/>
      <c r="R389" s="17"/>
      <c r="S389" s="17"/>
      <c r="T389" s="17"/>
      <c r="U389" s="12"/>
      <c r="V389" s="12"/>
      <c r="W389" s="12"/>
      <c r="X389" s="12"/>
      <c r="Y389" s="12"/>
      <c r="Z389" s="12"/>
    </row>
    <row r="390" spans="1:26" ht="15" customHeight="1" x14ac:dyDescent="0.3">
      <c r="A390" s="26"/>
      <c r="B390" s="17"/>
      <c r="C390" s="17"/>
      <c r="D390" s="17"/>
      <c r="E390" s="17"/>
      <c r="F390" s="17"/>
      <c r="G390" s="17"/>
      <c r="H390" s="17"/>
      <c r="I390" s="17"/>
      <c r="J390" s="17"/>
      <c r="K390" s="17"/>
      <c r="L390" s="17"/>
      <c r="M390" s="17"/>
      <c r="N390" s="17"/>
      <c r="O390" s="17"/>
      <c r="P390" s="17"/>
      <c r="Q390" s="17"/>
      <c r="R390" s="17"/>
      <c r="S390" s="17"/>
      <c r="T390" s="17"/>
      <c r="U390" s="12"/>
      <c r="V390" s="12"/>
      <c r="W390" s="12"/>
      <c r="X390" s="12"/>
      <c r="Y390" s="12"/>
      <c r="Z390" s="12"/>
    </row>
    <row r="391" spans="1:26" ht="15" customHeight="1" x14ac:dyDescent="0.3">
      <c r="A391" s="26"/>
      <c r="B391" s="17"/>
      <c r="C391" s="17"/>
      <c r="D391" s="17"/>
      <c r="E391" s="17"/>
      <c r="F391" s="17"/>
      <c r="G391" s="17"/>
      <c r="H391" s="17"/>
      <c r="I391" s="17"/>
      <c r="J391" s="17"/>
      <c r="K391" s="17"/>
      <c r="L391" s="17"/>
      <c r="M391" s="17"/>
      <c r="N391" s="17"/>
      <c r="O391" s="17"/>
      <c r="P391" s="17"/>
      <c r="Q391" s="17"/>
      <c r="R391" s="17"/>
      <c r="S391" s="17"/>
      <c r="T391" s="17"/>
      <c r="U391" s="12"/>
      <c r="V391" s="12"/>
      <c r="W391" s="12"/>
      <c r="X391" s="12"/>
      <c r="Y391" s="12"/>
      <c r="Z391" s="12"/>
    </row>
    <row r="392" spans="1:26" ht="15" customHeight="1" x14ac:dyDescent="0.3">
      <c r="A392" s="26"/>
      <c r="B392" s="17"/>
      <c r="C392" s="17"/>
      <c r="D392" s="17"/>
      <c r="E392" s="17"/>
      <c r="F392" s="17"/>
      <c r="G392" s="17"/>
      <c r="H392" s="17"/>
      <c r="I392" s="17"/>
      <c r="J392" s="17"/>
      <c r="K392" s="17"/>
      <c r="L392" s="17"/>
      <c r="M392" s="17"/>
      <c r="N392" s="17"/>
      <c r="O392" s="17"/>
      <c r="P392" s="17"/>
      <c r="Q392" s="17"/>
      <c r="R392" s="17"/>
      <c r="S392" s="17"/>
      <c r="T392" s="17"/>
      <c r="U392" s="12"/>
      <c r="V392" s="12"/>
      <c r="W392" s="12"/>
      <c r="X392" s="12"/>
      <c r="Y392" s="12"/>
      <c r="Z392" s="12"/>
    </row>
    <row r="393" spans="1:26" ht="15" customHeight="1" x14ac:dyDescent="0.3">
      <c r="A393" s="26"/>
      <c r="B393" s="17"/>
      <c r="C393" s="17"/>
      <c r="D393" s="17"/>
      <c r="E393" s="17"/>
      <c r="F393" s="17"/>
      <c r="G393" s="17"/>
      <c r="H393" s="17"/>
      <c r="I393" s="17"/>
      <c r="J393" s="17"/>
      <c r="K393" s="17"/>
      <c r="L393" s="17"/>
      <c r="M393" s="17"/>
      <c r="N393" s="17"/>
      <c r="O393" s="17"/>
      <c r="P393" s="17"/>
      <c r="Q393" s="17"/>
      <c r="R393" s="17"/>
      <c r="S393" s="17"/>
      <c r="T393" s="17"/>
      <c r="U393" s="12"/>
      <c r="V393" s="12"/>
      <c r="W393" s="12"/>
      <c r="X393" s="12"/>
      <c r="Y393" s="12"/>
      <c r="Z393" s="12"/>
    </row>
    <row r="394" spans="1:26" ht="15" customHeight="1" x14ac:dyDescent="0.3">
      <c r="A394" s="26"/>
      <c r="B394" s="17"/>
      <c r="C394" s="17"/>
      <c r="D394" s="17"/>
      <c r="E394" s="17"/>
      <c r="F394" s="17"/>
      <c r="G394" s="17"/>
      <c r="H394" s="17"/>
      <c r="I394" s="17"/>
      <c r="J394" s="17"/>
      <c r="K394" s="17"/>
      <c r="L394" s="17"/>
      <c r="M394" s="17"/>
      <c r="N394" s="17"/>
      <c r="O394" s="17"/>
      <c r="P394" s="17"/>
      <c r="Q394" s="17"/>
      <c r="R394" s="17"/>
      <c r="S394" s="17"/>
      <c r="T394" s="17"/>
      <c r="U394" s="12"/>
      <c r="V394" s="12"/>
      <c r="W394" s="12"/>
      <c r="X394" s="12"/>
      <c r="Y394" s="12"/>
      <c r="Z394" s="12"/>
    </row>
    <row r="395" spans="1:26" ht="15" customHeight="1" x14ac:dyDescent="0.3">
      <c r="A395" s="26"/>
      <c r="B395" s="17"/>
      <c r="C395" s="17"/>
      <c r="D395" s="17"/>
      <c r="E395" s="17"/>
      <c r="F395" s="17"/>
      <c r="G395" s="17"/>
      <c r="H395" s="17"/>
      <c r="I395" s="17"/>
      <c r="J395" s="17"/>
      <c r="K395" s="17"/>
      <c r="L395" s="17"/>
      <c r="M395" s="17"/>
      <c r="N395" s="17"/>
      <c r="O395" s="17"/>
      <c r="P395" s="17"/>
      <c r="Q395" s="17"/>
      <c r="R395" s="17"/>
      <c r="S395" s="17"/>
      <c r="T395" s="17"/>
      <c r="U395" s="12"/>
      <c r="V395" s="12"/>
      <c r="W395" s="12"/>
      <c r="X395" s="12"/>
      <c r="Y395" s="12"/>
      <c r="Z395" s="12"/>
    </row>
    <row r="396" spans="1:26" ht="15" customHeight="1" x14ac:dyDescent="0.3">
      <c r="A396" s="26"/>
      <c r="B396" s="17"/>
      <c r="C396" s="17"/>
      <c r="D396" s="17"/>
      <c r="E396" s="17"/>
      <c r="F396" s="17"/>
      <c r="G396" s="17"/>
      <c r="H396" s="17"/>
      <c r="I396" s="17"/>
      <c r="J396" s="17"/>
      <c r="K396" s="17"/>
      <c r="L396" s="17"/>
      <c r="M396" s="17"/>
      <c r="N396" s="17"/>
      <c r="O396" s="17"/>
      <c r="P396" s="17"/>
      <c r="Q396" s="17"/>
      <c r="R396" s="17"/>
      <c r="S396" s="17"/>
      <c r="T396" s="17"/>
      <c r="U396" s="12"/>
      <c r="V396" s="12"/>
      <c r="W396" s="12"/>
      <c r="X396" s="12"/>
      <c r="Y396" s="12"/>
      <c r="Z396" s="12"/>
    </row>
    <row r="397" spans="1:26" ht="15" customHeight="1" x14ac:dyDescent="0.3">
      <c r="A397" s="26"/>
      <c r="B397" s="17"/>
      <c r="C397" s="17"/>
      <c r="D397" s="17"/>
      <c r="E397" s="17"/>
      <c r="F397" s="17"/>
      <c r="G397" s="17"/>
      <c r="H397" s="17"/>
      <c r="I397" s="17"/>
      <c r="J397" s="17"/>
      <c r="K397" s="17"/>
      <c r="L397" s="17"/>
      <c r="M397" s="17"/>
      <c r="N397" s="17"/>
      <c r="O397" s="17"/>
      <c r="P397" s="17"/>
      <c r="Q397" s="17"/>
      <c r="R397" s="17"/>
      <c r="S397" s="17"/>
      <c r="T397" s="17"/>
      <c r="U397" s="12"/>
      <c r="V397" s="12"/>
      <c r="W397" s="12"/>
      <c r="X397" s="12"/>
      <c r="Y397" s="12"/>
      <c r="Z397" s="12"/>
    </row>
    <row r="398" spans="1:26" ht="15" customHeight="1" x14ac:dyDescent="0.3">
      <c r="A398" s="26"/>
      <c r="B398" s="17"/>
      <c r="C398" s="17"/>
      <c r="D398" s="17"/>
      <c r="E398" s="17"/>
      <c r="F398" s="17"/>
      <c r="G398" s="17"/>
      <c r="H398" s="17"/>
      <c r="I398" s="17"/>
      <c r="J398" s="17"/>
      <c r="K398" s="17"/>
      <c r="L398" s="17"/>
      <c r="M398" s="17"/>
      <c r="N398" s="17"/>
      <c r="O398" s="17"/>
      <c r="P398" s="17"/>
      <c r="Q398" s="17"/>
      <c r="R398" s="17"/>
      <c r="S398" s="17"/>
      <c r="T398" s="17"/>
      <c r="U398" s="12"/>
      <c r="V398" s="12"/>
      <c r="W398" s="12"/>
      <c r="X398" s="12"/>
      <c r="Y398" s="12"/>
      <c r="Z398" s="12"/>
    </row>
    <row r="399" spans="1:26" ht="15" customHeight="1" x14ac:dyDescent="0.3">
      <c r="A399" s="26"/>
      <c r="B399" s="17"/>
      <c r="C399" s="17"/>
      <c r="D399" s="17"/>
      <c r="E399" s="17"/>
      <c r="F399" s="17"/>
      <c r="G399" s="17"/>
      <c r="H399" s="17"/>
      <c r="I399" s="17"/>
      <c r="J399" s="17"/>
      <c r="K399" s="17"/>
      <c r="L399" s="17"/>
      <c r="M399" s="17"/>
      <c r="N399" s="17"/>
      <c r="O399" s="17"/>
      <c r="P399" s="17"/>
      <c r="Q399" s="17"/>
      <c r="R399" s="17"/>
      <c r="S399" s="17"/>
      <c r="T399" s="17"/>
      <c r="U399" s="12"/>
      <c r="V399" s="12"/>
      <c r="W399" s="12"/>
      <c r="X399" s="12"/>
      <c r="Y399" s="12"/>
      <c r="Z399" s="12"/>
    </row>
    <row r="400" spans="1:26" ht="15" customHeight="1" x14ac:dyDescent="0.3">
      <c r="A400" s="26"/>
      <c r="B400" s="17"/>
      <c r="C400" s="17"/>
      <c r="D400" s="17"/>
      <c r="E400" s="17"/>
      <c r="F400" s="17"/>
      <c r="G400" s="17"/>
      <c r="H400" s="17"/>
      <c r="I400" s="17"/>
      <c r="J400" s="17"/>
      <c r="K400" s="17"/>
      <c r="L400" s="17"/>
      <c r="M400" s="17"/>
      <c r="N400" s="17"/>
      <c r="O400" s="17"/>
      <c r="P400" s="17"/>
      <c r="Q400" s="17"/>
      <c r="R400" s="17"/>
      <c r="S400" s="17"/>
      <c r="T400" s="17"/>
      <c r="U400" s="12"/>
      <c r="V400" s="12"/>
      <c r="W400" s="12"/>
      <c r="X400" s="12"/>
      <c r="Y400" s="12"/>
      <c r="Z400" s="12"/>
    </row>
    <row r="401" spans="1:26" ht="15" customHeight="1" x14ac:dyDescent="0.3">
      <c r="A401" s="26"/>
      <c r="B401" s="17"/>
      <c r="C401" s="17"/>
      <c r="D401" s="17"/>
      <c r="E401" s="17"/>
      <c r="F401" s="17"/>
      <c r="G401" s="17"/>
      <c r="H401" s="17"/>
      <c r="I401" s="17"/>
      <c r="J401" s="17"/>
      <c r="K401" s="17"/>
      <c r="L401" s="17"/>
      <c r="M401" s="17"/>
      <c r="N401" s="17"/>
      <c r="O401" s="17"/>
      <c r="P401" s="17"/>
      <c r="Q401" s="17"/>
      <c r="R401" s="17"/>
      <c r="S401" s="17"/>
      <c r="T401" s="17"/>
      <c r="U401" s="12"/>
      <c r="V401" s="12"/>
      <c r="W401" s="12"/>
      <c r="X401" s="12"/>
      <c r="Y401" s="12"/>
      <c r="Z401" s="12"/>
    </row>
    <row r="402" spans="1:26" ht="15" customHeight="1" x14ac:dyDescent="0.3">
      <c r="A402" s="26"/>
      <c r="B402" s="17"/>
      <c r="C402" s="17"/>
      <c r="D402" s="17"/>
      <c r="E402" s="17"/>
      <c r="F402" s="17"/>
      <c r="G402" s="17"/>
      <c r="H402" s="17"/>
      <c r="I402" s="17"/>
      <c r="J402" s="17"/>
      <c r="K402" s="17"/>
      <c r="L402" s="17"/>
      <c r="M402" s="17"/>
      <c r="N402" s="17"/>
      <c r="O402" s="17"/>
      <c r="P402" s="17"/>
      <c r="Q402" s="17"/>
      <c r="R402" s="17"/>
      <c r="S402" s="17"/>
      <c r="T402" s="17"/>
      <c r="U402" s="12"/>
      <c r="V402" s="12"/>
      <c r="W402" s="12"/>
      <c r="X402" s="12"/>
      <c r="Y402" s="12"/>
      <c r="Z402" s="12"/>
    </row>
    <row r="403" spans="1:26" ht="15" customHeight="1" x14ac:dyDescent="0.3">
      <c r="A403" s="26"/>
      <c r="B403" s="17"/>
      <c r="C403" s="17"/>
      <c r="D403" s="17"/>
      <c r="E403" s="17"/>
      <c r="F403" s="17"/>
      <c r="G403" s="17"/>
      <c r="H403" s="17"/>
      <c r="I403" s="17"/>
      <c r="J403" s="17"/>
      <c r="K403" s="17"/>
      <c r="L403" s="17"/>
      <c r="M403" s="17"/>
      <c r="N403" s="17"/>
      <c r="O403" s="17"/>
      <c r="P403" s="17"/>
      <c r="Q403" s="17"/>
      <c r="R403" s="17"/>
      <c r="S403" s="17"/>
      <c r="T403" s="17"/>
      <c r="U403" s="12"/>
      <c r="V403" s="12"/>
      <c r="W403" s="12"/>
      <c r="X403" s="12"/>
      <c r="Y403" s="12"/>
      <c r="Z403" s="12"/>
    </row>
    <row r="404" spans="1:26" ht="15" customHeight="1" x14ac:dyDescent="0.3">
      <c r="A404" s="26"/>
      <c r="B404" s="17"/>
      <c r="C404" s="17"/>
      <c r="D404" s="17"/>
      <c r="E404" s="17"/>
      <c r="F404" s="17"/>
      <c r="G404" s="17"/>
      <c r="H404" s="17"/>
      <c r="I404" s="17"/>
      <c r="J404" s="17"/>
      <c r="K404" s="17"/>
      <c r="L404" s="17"/>
      <c r="M404" s="17"/>
      <c r="N404" s="17"/>
      <c r="O404" s="17"/>
      <c r="P404" s="17"/>
      <c r="Q404" s="17"/>
      <c r="R404" s="17"/>
      <c r="S404" s="17"/>
      <c r="T404" s="17"/>
      <c r="U404" s="12"/>
      <c r="V404" s="12"/>
      <c r="W404" s="12"/>
      <c r="X404" s="12"/>
      <c r="Y404" s="12"/>
      <c r="Z404" s="12"/>
    </row>
    <row r="405" spans="1:26" ht="15" customHeight="1" x14ac:dyDescent="0.3">
      <c r="A405" s="26"/>
      <c r="B405" s="17"/>
      <c r="C405" s="17"/>
      <c r="D405" s="17"/>
      <c r="E405" s="17"/>
      <c r="F405" s="17"/>
      <c r="G405" s="17"/>
      <c r="H405" s="17"/>
      <c r="I405" s="17"/>
      <c r="J405" s="17"/>
      <c r="K405" s="17"/>
      <c r="L405" s="17"/>
      <c r="M405" s="17"/>
      <c r="N405" s="17"/>
      <c r="O405" s="17"/>
      <c r="P405" s="17"/>
      <c r="Q405" s="17"/>
      <c r="R405" s="17"/>
      <c r="S405" s="17"/>
      <c r="T405" s="17"/>
      <c r="U405" s="12"/>
      <c r="V405" s="12"/>
      <c r="W405" s="12"/>
      <c r="X405" s="12"/>
      <c r="Y405" s="12"/>
      <c r="Z405" s="12"/>
    </row>
    <row r="406" spans="1:26" ht="15" customHeight="1" x14ac:dyDescent="0.3">
      <c r="A406" s="26"/>
      <c r="B406" s="17"/>
      <c r="C406" s="17"/>
      <c r="D406" s="17"/>
      <c r="E406" s="17"/>
      <c r="F406" s="17"/>
      <c r="G406" s="17"/>
      <c r="H406" s="17"/>
      <c r="I406" s="17"/>
      <c r="J406" s="17"/>
      <c r="K406" s="17"/>
      <c r="L406" s="17"/>
      <c r="M406" s="17"/>
      <c r="N406" s="17"/>
      <c r="O406" s="17"/>
      <c r="P406" s="17"/>
      <c r="Q406" s="17"/>
      <c r="R406" s="17"/>
      <c r="S406" s="17"/>
      <c r="T406" s="17"/>
      <c r="U406" s="12"/>
      <c r="V406" s="12"/>
      <c r="W406" s="12"/>
      <c r="X406" s="12"/>
      <c r="Y406" s="12"/>
      <c r="Z406" s="12"/>
    </row>
    <row r="407" spans="1:26" ht="15" customHeight="1" x14ac:dyDescent="0.3">
      <c r="A407" s="26"/>
      <c r="B407" s="17"/>
      <c r="C407" s="17"/>
      <c r="D407" s="17"/>
      <c r="E407" s="17"/>
      <c r="F407" s="17"/>
      <c r="G407" s="17"/>
      <c r="H407" s="17"/>
      <c r="I407" s="17"/>
      <c r="J407" s="17"/>
      <c r="K407" s="17"/>
      <c r="L407" s="17"/>
      <c r="M407" s="17"/>
      <c r="N407" s="17"/>
      <c r="O407" s="17"/>
      <c r="P407" s="17"/>
      <c r="Q407" s="17"/>
      <c r="R407" s="17"/>
      <c r="S407" s="17"/>
      <c r="T407" s="17"/>
      <c r="U407" s="12"/>
      <c r="V407" s="12"/>
      <c r="W407" s="12"/>
      <c r="X407" s="12"/>
      <c r="Y407" s="12"/>
      <c r="Z407" s="12"/>
    </row>
    <row r="408" spans="1:26" ht="15" customHeight="1" x14ac:dyDescent="0.3">
      <c r="A408" s="26"/>
      <c r="B408" s="17"/>
      <c r="C408" s="17"/>
      <c r="D408" s="17"/>
      <c r="E408" s="17"/>
      <c r="F408" s="17"/>
      <c r="G408" s="17"/>
      <c r="H408" s="17"/>
      <c r="I408" s="17"/>
      <c r="J408" s="17"/>
      <c r="K408" s="17"/>
      <c r="L408" s="17"/>
      <c r="M408" s="17"/>
      <c r="N408" s="17"/>
      <c r="O408" s="17"/>
      <c r="P408" s="17"/>
      <c r="Q408" s="17"/>
      <c r="R408" s="17"/>
      <c r="S408" s="17"/>
      <c r="T408" s="17"/>
      <c r="U408" s="12"/>
      <c r="V408" s="12"/>
      <c r="W408" s="12"/>
      <c r="X408" s="12"/>
      <c r="Y408" s="12"/>
      <c r="Z408" s="12"/>
    </row>
    <row r="409" spans="1:26" ht="15" customHeight="1" x14ac:dyDescent="0.3">
      <c r="A409" s="26"/>
      <c r="B409" s="17"/>
      <c r="C409" s="17"/>
      <c r="D409" s="17"/>
      <c r="E409" s="17"/>
      <c r="F409" s="17"/>
      <c r="G409" s="17"/>
      <c r="H409" s="17"/>
      <c r="I409" s="17"/>
      <c r="J409" s="17"/>
      <c r="K409" s="17"/>
      <c r="L409" s="17"/>
      <c r="M409" s="17"/>
      <c r="N409" s="17"/>
      <c r="O409" s="17"/>
      <c r="P409" s="17"/>
      <c r="Q409" s="17"/>
      <c r="R409" s="17"/>
      <c r="S409" s="17"/>
      <c r="T409" s="17"/>
      <c r="U409" s="12"/>
      <c r="V409" s="12"/>
      <c r="W409" s="12"/>
      <c r="X409" s="12"/>
      <c r="Y409" s="12"/>
      <c r="Z409" s="12"/>
    </row>
    <row r="410" spans="1:26" ht="15" customHeight="1" x14ac:dyDescent="0.3">
      <c r="A410" s="26"/>
      <c r="B410" s="17"/>
      <c r="C410" s="17"/>
      <c r="D410" s="17"/>
      <c r="E410" s="17"/>
      <c r="F410" s="17"/>
      <c r="G410" s="17"/>
      <c r="H410" s="17"/>
      <c r="I410" s="17"/>
      <c r="J410" s="17"/>
      <c r="K410" s="17"/>
      <c r="L410" s="17"/>
      <c r="M410" s="17"/>
      <c r="N410" s="17"/>
      <c r="O410" s="17"/>
      <c r="P410" s="17"/>
      <c r="Q410" s="17"/>
      <c r="R410" s="17"/>
      <c r="S410" s="17"/>
      <c r="T410" s="17"/>
      <c r="U410" s="12"/>
      <c r="V410" s="12"/>
      <c r="W410" s="12"/>
      <c r="X410" s="12"/>
      <c r="Y410" s="12"/>
      <c r="Z410" s="12"/>
    </row>
    <row r="411" spans="1:26" ht="15" customHeight="1" x14ac:dyDescent="0.3">
      <c r="A411" s="26"/>
      <c r="B411" s="17"/>
      <c r="C411" s="17"/>
      <c r="D411" s="17"/>
      <c r="E411" s="17"/>
      <c r="F411" s="17"/>
      <c r="G411" s="17"/>
      <c r="H411" s="17"/>
      <c r="I411" s="17"/>
      <c r="J411" s="17"/>
      <c r="K411" s="17"/>
      <c r="L411" s="17"/>
      <c r="M411" s="17"/>
      <c r="N411" s="17"/>
      <c r="O411" s="17"/>
      <c r="P411" s="17"/>
      <c r="Q411" s="17"/>
      <c r="R411" s="17"/>
      <c r="S411" s="17"/>
      <c r="T411" s="17"/>
      <c r="U411" s="12"/>
      <c r="V411" s="12"/>
      <c r="W411" s="12"/>
      <c r="X411" s="12"/>
      <c r="Y411" s="12"/>
      <c r="Z411" s="12"/>
    </row>
    <row r="412" spans="1:26" ht="15" customHeight="1" x14ac:dyDescent="0.3">
      <c r="A412" s="26"/>
      <c r="B412" s="17"/>
      <c r="C412" s="17"/>
      <c r="D412" s="17"/>
      <c r="E412" s="17"/>
      <c r="F412" s="17"/>
      <c r="G412" s="17"/>
      <c r="H412" s="17"/>
      <c r="I412" s="17"/>
      <c r="J412" s="17"/>
      <c r="K412" s="17"/>
      <c r="L412" s="17"/>
      <c r="M412" s="17"/>
      <c r="N412" s="17"/>
      <c r="O412" s="17"/>
      <c r="P412" s="17"/>
      <c r="Q412" s="17"/>
      <c r="R412" s="17"/>
      <c r="S412" s="17"/>
      <c r="T412" s="17"/>
      <c r="U412" s="12"/>
      <c r="V412" s="12"/>
      <c r="W412" s="12"/>
      <c r="X412" s="12"/>
      <c r="Y412" s="12"/>
      <c r="Z412" s="12"/>
    </row>
    <row r="413" spans="1:26" ht="15" customHeight="1" x14ac:dyDescent="0.3">
      <c r="A413" s="26"/>
      <c r="B413" s="17"/>
      <c r="C413" s="17"/>
      <c r="D413" s="17"/>
      <c r="E413" s="17"/>
      <c r="F413" s="17"/>
      <c r="G413" s="17"/>
      <c r="H413" s="17"/>
      <c r="I413" s="17"/>
      <c r="J413" s="17"/>
      <c r="K413" s="17"/>
      <c r="L413" s="17"/>
      <c r="M413" s="17"/>
      <c r="N413" s="17"/>
      <c r="O413" s="17"/>
      <c r="P413" s="17"/>
      <c r="Q413" s="17"/>
      <c r="R413" s="17"/>
      <c r="S413" s="17"/>
      <c r="T413" s="17"/>
      <c r="U413" s="12"/>
      <c r="V413" s="12"/>
      <c r="W413" s="12"/>
      <c r="X413" s="12"/>
      <c r="Y413" s="12"/>
      <c r="Z413" s="12"/>
    </row>
    <row r="414" spans="1:26" ht="15" customHeight="1" x14ac:dyDescent="0.3">
      <c r="A414" s="26"/>
      <c r="B414" s="17"/>
      <c r="C414" s="17"/>
      <c r="D414" s="17"/>
      <c r="E414" s="17"/>
      <c r="F414" s="17"/>
      <c r="G414" s="17"/>
      <c r="H414" s="17"/>
      <c r="I414" s="17"/>
      <c r="J414" s="17"/>
      <c r="K414" s="17"/>
      <c r="L414" s="17"/>
      <c r="M414" s="17"/>
      <c r="N414" s="17"/>
      <c r="O414" s="17"/>
      <c r="P414" s="17"/>
      <c r="Q414" s="17"/>
      <c r="R414" s="17"/>
      <c r="S414" s="17"/>
      <c r="T414" s="17"/>
      <c r="U414" s="12"/>
      <c r="V414" s="12"/>
      <c r="W414" s="12"/>
      <c r="X414" s="12"/>
      <c r="Y414" s="12"/>
      <c r="Z414" s="12"/>
    </row>
    <row r="415" spans="1:26" ht="15" customHeight="1" x14ac:dyDescent="0.3">
      <c r="A415" s="26"/>
      <c r="B415" s="17"/>
      <c r="C415" s="17"/>
      <c r="D415" s="17"/>
      <c r="E415" s="17"/>
      <c r="F415" s="17"/>
      <c r="G415" s="17"/>
      <c r="H415" s="17"/>
      <c r="I415" s="17"/>
      <c r="J415" s="17"/>
      <c r="K415" s="17"/>
      <c r="L415" s="17"/>
      <c r="M415" s="17"/>
      <c r="N415" s="17"/>
      <c r="O415" s="17"/>
      <c r="P415" s="17"/>
      <c r="Q415" s="17"/>
      <c r="R415" s="17"/>
      <c r="S415" s="17"/>
      <c r="T415" s="17"/>
      <c r="U415" s="12"/>
      <c r="V415" s="12"/>
      <c r="W415" s="12"/>
      <c r="X415" s="12"/>
      <c r="Y415" s="12"/>
      <c r="Z415" s="12"/>
    </row>
    <row r="416" spans="1:26" ht="15" customHeight="1" x14ac:dyDescent="0.3">
      <c r="A416" s="26"/>
      <c r="B416" s="17"/>
      <c r="C416" s="17"/>
      <c r="D416" s="17"/>
      <c r="E416" s="17"/>
      <c r="F416" s="17"/>
      <c r="G416" s="17"/>
      <c r="H416" s="17"/>
      <c r="I416" s="17"/>
      <c r="J416" s="17"/>
      <c r="K416" s="17"/>
      <c r="L416" s="17"/>
      <c r="M416" s="17"/>
      <c r="N416" s="17"/>
      <c r="O416" s="17"/>
      <c r="P416" s="17"/>
      <c r="Q416" s="17"/>
      <c r="R416" s="17"/>
      <c r="S416" s="17"/>
      <c r="T416" s="17"/>
      <c r="U416" s="12"/>
      <c r="V416" s="12"/>
      <c r="W416" s="12"/>
      <c r="X416" s="12"/>
      <c r="Y416" s="12"/>
      <c r="Z416" s="12"/>
    </row>
    <row r="417" spans="1:26" ht="15" customHeight="1" x14ac:dyDescent="0.3">
      <c r="A417" s="26"/>
      <c r="B417" s="17"/>
      <c r="C417" s="17"/>
      <c r="D417" s="17"/>
      <c r="E417" s="17"/>
      <c r="F417" s="17"/>
      <c r="G417" s="17"/>
      <c r="H417" s="17"/>
      <c r="I417" s="17"/>
      <c r="J417" s="17"/>
      <c r="K417" s="17"/>
      <c r="L417" s="17"/>
      <c r="M417" s="17"/>
      <c r="N417" s="17"/>
      <c r="O417" s="17"/>
      <c r="P417" s="17"/>
      <c r="Q417" s="17"/>
      <c r="R417" s="17"/>
      <c r="S417" s="17"/>
      <c r="T417" s="17"/>
      <c r="U417" s="12"/>
      <c r="V417" s="12"/>
      <c r="W417" s="12"/>
      <c r="X417" s="12"/>
      <c r="Y417" s="12"/>
      <c r="Z417" s="12"/>
    </row>
    <row r="418" spans="1:26" ht="15" customHeight="1" x14ac:dyDescent="0.3">
      <c r="A418" s="26"/>
      <c r="B418" s="17"/>
      <c r="C418" s="17"/>
      <c r="D418" s="17"/>
      <c r="E418" s="17"/>
      <c r="F418" s="17"/>
      <c r="G418" s="17"/>
      <c r="H418" s="17"/>
      <c r="I418" s="17"/>
      <c r="J418" s="17"/>
      <c r="K418" s="17"/>
      <c r="L418" s="17"/>
      <c r="M418" s="17"/>
      <c r="N418" s="17"/>
      <c r="O418" s="17"/>
      <c r="P418" s="17"/>
      <c r="Q418" s="17"/>
      <c r="R418" s="17"/>
      <c r="S418" s="17"/>
      <c r="T418" s="17"/>
      <c r="U418" s="12"/>
      <c r="V418" s="12"/>
      <c r="W418" s="12"/>
      <c r="X418" s="12"/>
      <c r="Y418" s="12"/>
      <c r="Z418" s="12"/>
    </row>
    <row r="419" spans="1:26" ht="15" customHeight="1" x14ac:dyDescent="0.3">
      <c r="A419" s="26"/>
      <c r="B419" s="17"/>
      <c r="C419" s="17"/>
      <c r="D419" s="17"/>
      <c r="E419" s="17"/>
      <c r="F419" s="17"/>
      <c r="G419" s="17"/>
      <c r="H419" s="17"/>
      <c r="I419" s="17"/>
      <c r="J419" s="17"/>
      <c r="K419" s="17"/>
      <c r="L419" s="17"/>
      <c r="M419" s="17"/>
      <c r="N419" s="17"/>
      <c r="O419" s="17"/>
      <c r="P419" s="17"/>
      <c r="Q419" s="17"/>
      <c r="R419" s="17"/>
      <c r="S419" s="17"/>
      <c r="T419" s="17"/>
      <c r="U419" s="12"/>
      <c r="V419" s="12"/>
      <c r="W419" s="12"/>
      <c r="X419" s="12"/>
      <c r="Y419" s="12"/>
      <c r="Z419" s="12"/>
    </row>
    <row r="420" spans="1:26" ht="15" customHeight="1" x14ac:dyDescent="0.3">
      <c r="A420" s="26"/>
      <c r="B420" s="17"/>
      <c r="C420" s="17"/>
      <c r="D420" s="17"/>
      <c r="E420" s="17"/>
      <c r="F420" s="17"/>
      <c r="G420" s="17"/>
      <c r="H420" s="17"/>
      <c r="I420" s="17"/>
      <c r="J420" s="17"/>
      <c r="K420" s="17"/>
      <c r="L420" s="17"/>
      <c r="M420" s="17"/>
      <c r="N420" s="17"/>
      <c r="O420" s="17"/>
      <c r="P420" s="17"/>
      <c r="Q420" s="17"/>
      <c r="R420" s="17"/>
      <c r="S420" s="17"/>
      <c r="T420" s="17"/>
      <c r="U420" s="12"/>
      <c r="V420" s="12"/>
      <c r="W420" s="12"/>
      <c r="X420" s="12"/>
      <c r="Y420" s="12"/>
      <c r="Z420" s="12"/>
    </row>
    <row r="421" spans="1:26" ht="15" customHeight="1" x14ac:dyDescent="0.3">
      <c r="A421" s="26"/>
      <c r="B421" s="17"/>
      <c r="C421" s="17"/>
      <c r="D421" s="17"/>
      <c r="E421" s="17"/>
      <c r="F421" s="17"/>
      <c r="G421" s="17"/>
      <c r="H421" s="17"/>
      <c r="I421" s="17"/>
      <c r="J421" s="17"/>
      <c r="K421" s="17"/>
      <c r="L421" s="17"/>
      <c r="M421" s="17"/>
      <c r="N421" s="17"/>
      <c r="O421" s="17"/>
      <c r="P421" s="17"/>
      <c r="Q421" s="17"/>
      <c r="R421" s="17"/>
      <c r="S421" s="17"/>
      <c r="T421" s="17"/>
      <c r="U421" s="12"/>
      <c r="V421" s="12"/>
      <c r="W421" s="12"/>
      <c r="X421" s="12"/>
      <c r="Y421" s="12"/>
      <c r="Z421" s="12"/>
    </row>
    <row r="422" spans="1:26" ht="15" customHeight="1" x14ac:dyDescent="0.3">
      <c r="A422" s="26"/>
      <c r="B422" s="17"/>
      <c r="C422" s="17"/>
      <c r="D422" s="17"/>
      <c r="E422" s="17"/>
      <c r="F422" s="17"/>
      <c r="G422" s="17"/>
      <c r="H422" s="17"/>
      <c r="I422" s="17"/>
      <c r="J422" s="17"/>
      <c r="K422" s="17"/>
      <c r="L422" s="17"/>
      <c r="M422" s="17"/>
      <c r="N422" s="17"/>
      <c r="O422" s="17"/>
      <c r="P422" s="17"/>
      <c r="Q422" s="17"/>
      <c r="R422" s="17"/>
      <c r="S422" s="17"/>
      <c r="T422" s="17"/>
      <c r="U422" s="12"/>
      <c r="V422" s="12"/>
      <c r="W422" s="12"/>
      <c r="X422" s="12"/>
      <c r="Y422" s="12"/>
      <c r="Z422" s="12"/>
    </row>
    <row r="423" spans="1:26" ht="15" customHeight="1" x14ac:dyDescent="0.3">
      <c r="A423" s="26"/>
      <c r="B423" s="17"/>
      <c r="C423" s="17"/>
      <c r="D423" s="17"/>
      <c r="E423" s="17"/>
      <c r="F423" s="17"/>
      <c r="G423" s="17"/>
      <c r="H423" s="17"/>
      <c r="I423" s="17"/>
      <c r="J423" s="17"/>
      <c r="K423" s="17"/>
      <c r="L423" s="17"/>
      <c r="M423" s="17"/>
      <c r="N423" s="17"/>
      <c r="O423" s="17"/>
      <c r="P423" s="17"/>
      <c r="Q423" s="17"/>
      <c r="R423" s="17"/>
      <c r="S423" s="17"/>
      <c r="T423" s="17"/>
      <c r="U423" s="12"/>
      <c r="V423" s="12"/>
      <c r="W423" s="12"/>
      <c r="X423" s="12"/>
      <c r="Y423" s="12"/>
      <c r="Z423" s="12"/>
    </row>
    <row r="424" spans="1:26" ht="15" customHeight="1" x14ac:dyDescent="0.3">
      <c r="A424" s="26"/>
      <c r="B424" s="17"/>
      <c r="C424" s="17"/>
      <c r="D424" s="17"/>
      <c r="E424" s="17"/>
      <c r="F424" s="17"/>
      <c r="G424" s="17"/>
      <c r="H424" s="17"/>
      <c r="I424" s="17"/>
      <c r="J424" s="17"/>
      <c r="K424" s="17"/>
      <c r="L424" s="17"/>
      <c r="M424" s="17"/>
      <c r="N424" s="17"/>
      <c r="O424" s="17"/>
      <c r="P424" s="17"/>
      <c r="Q424" s="17"/>
      <c r="R424" s="17"/>
      <c r="S424" s="17"/>
      <c r="T424" s="17"/>
      <c r="U424" s="12"/>
      <c r="V424" s="12"/>
      <c r="W424" s="12"/>
      <c r="X424" s="12"/>
      <c r="Y424" s="12"/>
      <c r="Z424" s="12"/>
    </row>
    <row r="425" spans="1:26" ht="15" customHeight="1" x14ac:dyDescent="0.3">
      <c r="A425" s="26"/>
      <c r="B425" s="17"/>
      <c r="C425" s="17"/>
      <c r="D425" s="17"/>
      <c r="E425" s="17"/>
      <c r="F425" s="17"/>
      <c r="G425" s="17"/>
      <c r="H425" s="17"/>
      <c r="I425" s="17"/>
      <c r="J425" s="17"/>
      <c r="K425" s="17"/>
      <c r="L425" s="17"/>
      <c r="M425" s="17"/>
      <c r="N425" s="17"/>
      <c r="O425" s="17"/>
      <c r="P425" s="17"/>
      <c r="Q425" s="17"/>
      <c r="R425" s="17"/>
      <c r="S425" s="17"/>
      <c r="T425" s="17"/>
      <c r="U425" s="12"/>
      <c r="V425" s="12"/>
      <c r="W425" s="12"/>
      <c r="X425" s="12"/>
      <c r="Y425" s="12"/>
      <c r="Z425" s="12"/>
    </row>
    <row r="426" spans="1:26" ht="15" customHeight="1" x14ac:dyDescent="0.3">
      <c r="A426" s="26"/>
      <c r="B426" s="17"/>
      <c r="C426" s="17"/>
      <c r="D426" s="17"/>
      <c r="E426" s="17"/>
      <c r="F426" s="17"/>
      <c r="G426" s="17"/>
      <c r="H426" s="17"/>
      <c r="I426" s="17"/>
      <c r="J426" s="17"/>
      <c r="K426" s="17"/>
      <c r="L426" s="17"/>
      <c r="M426" s="17"/>
      <c r="N426" s="17"/>
      <c r="O426" s="17"/>
      <c r="P426" s="17"/>
      <c r="Q426" s="17"/>
      <c r="R426" s="17"/>
      <c r="S426" s="17"/>
      <c r="T426" s="17"/>
      <c r="U426" s="12"/>
      <c r="V426" s="12"/>
      <c r="W426" s="12"/>
      <c r="X426" s="12"/>
      <c r="Y426" s="12"/>
      <c r="Z426" s="12"/>
    </row>
    <row r="427" spans="1:26" ht="15" customHeight="1" x14ac:dyDescent="0.3">
      <c r="A427" s="26"/>
      <c r="B427" s="17"/>
      <c r="C427" s="17"/>
      <c r="D427" s="17"/>
      <c r="E427" s="17"/>
      <c r="F427" s="17"/>
      <c r="G427" s="17"/>
      <c r="H427" s="17"/>
      <c r="I427" s="17"/>
      <c r="J427" s="17"/>
      <c r="K427" s="17"/>
      <c r="L427" s="17"/>
      <c r="M427" s="17"/>
      <c r="N427" s="17"/>
      <c r="O427" s="17"/>
      <c r="P427" s="17"/>
      <c r="Q427" s="17"/>
      <c r="R427" s="17"/>
      <c r="S427" s="17"/>
      <c r="T427" s="17"/>
      <c r="U427" s="12"/>
      <c r="V427" s="12"/>
      <c r="W427" s="12"/>
      <c r="X427" s="12"/>
      <c r="Y427" s="12"/>
      <c r="Z427" s="12"/>
    </row>
    <row r="428" spans="1:26" ht="15" customHeight="1" x14ac:dyDescent="0.3">
      <c r="A428" s="26"/>
      <c r="B428" s="17"/>
      <c r="C428" s="17"/>
      <c r="D428" s="17"/>
      <c r="E428" s="17"/>
      <c r="F428" s="17"/>
      <c r="G428" s="17"/>
      <c r="H428" s="17"/>
      <c r="I428" s="17"/>
      <c r="J428" s="17"/>
      <c r="K428" s="17"/>
      <c r="L428" s="17"/>
      <c r="M428" s="17"/>
      <c r="N428" s="17"/>
      <c r="O428" s="17"/>
      <c r="P428" s="17"/>
      <c r="Q428" s="17"/>
      <c r="R428" s="17"/>
      <c r="S428" s="17"/>
      <c r="T428" s="17"/>
      <c r="U428" s="12"/>
      <c r="V428" s="12"/>
      <c r="W428" s="12"/>
      <c r="X428" s="12"/>
      <c r="Y428" s="12"/>
      <c r="Z428" s="12"/>
    </row>
    <row r="429" spans="1:26" ht="15" customHeight="1" x14ac:dyDescent="0.3">
      <c r="A429" s="26"/>
      <c r="B429" s="17"/>
      <c r="C429" s="17"/>
      <c r="D429" s="17"/>
      <c r="E429" s="17"/>
      <c r="F429" s="17"/>
      <c r="G429" s="17"/>
      <c r="H429" s="17"/>
      <c r="I429" s="17"/>
      <c r="J429" s="17"/>
      <c r="K429" s="17"/>
      <c r="L429" s="17"/>
      <c r="M429" s="17"/>
      <c r="N429" s="17"/>
      <c r="O429" s="17"/>
      <c r="P429" s="17"/>
      <c r="Q429" s="17"/>
      <c r="R429" s="17"/>
      <c r="S429" s="17"/>
      <c r="T429" s="17"/>
      <c r="U429" s="12"/>
      <c r="V429" s="12"/>
      <c r="W429" s="12"/>
      <c r="X429" s="12"/>
      <c r="Y429" s="12"/>
      <c r="Z429" s="12"/>
    </row>
    <row r="430" spans="1:26" ht="15" customHeight="1" x14ac:dyDescent="0.3">
      <c r="A430" s="26"/>
      <c r="B430" s="17"/>
      <c r="C430" s="17"/>
      <c r="D430" s="17"/>
      <c r="E430" s="17"/>
      <c r="F430" s="17"/>
      <c r="G430" s="17"/>
      <c r="H430" s="17"/>
      <c r="I430" s="17"/>
      <c r="J430" s="17"/>
      <c r="K430" s="17"/>
      <c r="L430" s="17"/>
      <c r="M430" s="17"/>
      <c r="N430" s="17"/>
      <c r="O430" s="17"/>
      <c r="P430" s="17"/>
      <c r="Q430" s="17"/>
      <c r="R430" s="17"/>
      <c r="S430" s="17"/>
      <c r="T430" s="17"/>
      <c r="U430" s="12"/>
      <c r="V430" s="12"/>
      <c r="W430" s="12"/>
      <c r="X430" s="12"/>
      <c r="Y430" s="12"/>
      <c r="Z430" s="12"/>
    </row>
    <row r="431" spans="1:26" ht="15" customHeight="1" x14ac:dyDescent="0.3">
      <c r="A431" s="26"/>
      <c r="B431" s="17"/>
      <c r="C431" s="17"/>
      <c r="D431" s="17"/>
      <c r="E431" s="17"/>
      <c r="F431" s="17"/>
      <c r="G431" s="17"/>
      <c r="H431" s="17"/>
      <c r="I431" s="17"/>
      <c r="J431" s="17"/>
      <c r="K431" s="17"/>
      <c r="L431" s="17"/>
      <c r="M431" s="17"/>
      <c r="N431" s="17"/>
      <c r="O431" s="17"/>
      <c r="P431" s="17"/>
      <c r="Q431" s="17"/>
      <c r="R431" s="17"/>
      <c r="S431" s="17"/>
      <c r="T431" s="17"/>
      <c r="U431" s="12"/>
      <c r="V431" s="12"/>
      <c r="W431" s="12"/>
      <c r="X431" s="12"/>
      <c r="Y431" s="12"/>
      <c r="Z431" s="12"/>
    </row>
    <row r="432" spans="1:26" ht="15" customHeight="1" x14ac:dyDescent="0.3">
      <c r="A432" s="26"/>
      <c r="B432" s="17"/>
      <c r="C432" s="17"/>
      <c r="D432" s="17"/>
      <c r="E432" s="17"/>
      <c r="F432" s="17"/>
      <c r="G432" s="17"/>
      <c r="H432" s="17"/>
      <c r="I432" s="17"/>
      <c r="J432" s="17"/>
      <c r="K432" s="17"/>
      <c r="L432" s="17"/>
      <c r="M432" s="17"/>
      <c r="N432" s="17"/>
      <c r="O432" s="17"/>
      <c r="P432" s="17"/>
      <c r="Q432" s="17"/>
      <c r="R432" s="17"/>
      <c r="S432" s="17"/>
      <c r="T432" s="17"/>
      <c r="U432" s="12"/>
      <c r="V432" s="12"/>
      <c r="W432" s="12"/>
      <c r="X432" s="12"/>
      <c r="Y432" s="12"/>
      <c r="Z432" s="12"/>
    </row>
    <row r="433" spans="1:26" ht="15" customHeight="1" x14ac:dyDescent="0.3">
      <c r="A433" s="26"/>
      <c r="B433" s="17"/>
      <c r="C433" s="17"/>
      <c r="D433" s="17"/>
      <c r="E433" s="17"/>
      <c r="F433" s="17"/>
      <c r="G433" s="17"/>
      <c r="H433" s="17"/>
      <c r="I433" s="17"/>
      <c r="J433" s="17"/>
      <c r="K433" s="17"/>
      <c r="L433" s="17"/>
      <c r="M433" s="17"/>
      <c r="N433" s="17"/>
      <c r="O433" s="17"/>
      <c r="P433" s="17"/>
      <c r="Q433" s="17"/>
      <c r="R433" s="17"/>
      <c r="S433" s="17"/>
      <c r="T433" s="17"/>
      <c r="U433" s="12"/>
      <c r="V433" s="12"/>
      <c r="W433" s="12"/>
      <c r="X433" s="12"/>
      <c r="Y433" s="12"/>
      <c r="Z433" s="12"/>
    </row>
    <row r="434" spans="1:26" ht="15" customHeight="1" x14ac:dyDescent="0.3">
      <c r="A434" s="26"/>
      <c r="B434" s="17"/>
      <c r="C434" s="17"/>
      <c r="D434" s="17"/>
      <c r="E434" s="17"/>
      <c r="F434" s="17"/>
      <c r="G434" s="17"/>
      <c r="H434" s="17"/>
      <c r="I434" s="17"/>
      <c r="J434" s="17"/>
      <c r="K434" s="17"/>
      <c r="L434" s="17"/>
      <c r="M434" s="17"/>
      <c r="N434" s="17"/>
      <c r="O434" s="17"/>
      <c r="P434" s="17"/>
      <c r="Q434" s="17"/>
      <c r="R434" s="17"/>
      <c r="S434" s="17"/>
      <c r="T434" s="17"/>
      <c r="U434" s="12"/>
      <c r="V434" s="12"/>
      <c r="W434" s="12"/>
      <c r="X434" s="12"/>
      <c r="Y434" s="12"/>
      <c r="Z434" s="12"/>
    </row>
    <row r="435" spans="1:26" ht="15" customHeight="1" x14ac:dyDescent="0.3">
      <c r="A435" s="26"/>
      <c r="B435" s="17"/>
      <c r="C435" s="17"/>
      <c r="D435" s="17"/>
      <c r="E435" s="17"/>
      <c r="F435" s="17"/>
      <c r="G435" s="17"/>
      <c r="H435" s="17"/>
      <c r="I435" s="17"/>
      <c r="J435" s="17"/>
      <c r="K435" s="17"/>
      <c r="L435" s="17"/>
      <c r="M435" s="17"/>
      <c r="N435" s="17"/>
      <c r="O435" s="17"/>
      <c r="P435" s="17"/>
      <c r="Q435" s="17"/>
      <c r="R435" s="17"/>
      <c r="S435" s="17"/>
      <c r="T435" s="17"/>
      <c r="U435" s="12"/>
      <c r="V435" s="12"/>
      <c r="W435" s="12"/>
      <c r="X435" s="12"/>
      <c r="Y435" s="12"/>
      <c r="Z435" s="12"/>
    </row>
    <row r="436" spans="1:26" ht="15" customHeight="1" x14ac:dyDescent="0.3">
      <c r="A436" s="26"/>
      <c r="B436" s="17"/>
      <c r="C436" s="17"/>
      <c r="D436" s="17"/>
      <c r="E436" s="17"/>
      <c r="F436" s="17"/>
      <c r="G436" s="17"/>
      <c r="H436" s="17"/>
      <c r="I436" s="17"/>
      <c r="J436" s="17"/>
      <c r="K436" s="17"/>
      <c r="L436" s="17"/>
      <c r="M436" s="17"/>
      <c r="N436" s="17"/>
      <c r="O436" s="17"/>
      <c r="P436" s="17"/>
      <c r="Q436" s="17"/>
      <c r="R436" s="17"/>
      <c r="S436" s="17"/>
      <c r="T436" s="17"/>
      <c r="U436" s="12"/>
      <c r="V436" s="12"/>
      <c r="W436" s="12"/>
      <c r="X436" s="12"/>
      <c r="Y436" s="12"/>
      <c r="Z436" s="12"/>
    </row>
    <row r="437" spans="1:26" ht="15" customHeight="1" x14ac:dyDescent="0.3">
      <c r="A437" s="26"/>
      <c r="B437" s="17"/>
      <c r="C437" s="17"/>
      <c r="D437" s="17"/>
      <c r="E437" s="17"/>
      <c r="F437" s="17"/>
      <c r="G437" s="17"/>
      <c r="H437" s="17"/>
      <c r="I437" s="17"/>
      <c r="J437" s="17"/>
      <c r="K437" s="17"/>
      <c r="L437" s="17"/>
      <c r="M437" s="17"/>
      <c r="N437" s="17"/>
      <c r="O437" s="17"/>
      <c r="P437" s="17"/>
      <c r="Q437" s="17"/>
      <c r="R437" s="17"/>
      <c r="S437" s="17"/>
      <c r="T437" s="17"/>
      <c r="U437" s="12"/>
      <c r="V437" s="12"/>
      <c r="W437" s="12"/>
      <c r="X437" s="12"/>
      <c r="Y437" s="12"/>
      <c r="Z437" s="12"/>
    </row>
    <row r="438" spans="1:26" ht="15" customHeight="1" x14ac:dyDescent="0.3">
      <c r="A438" s="26"/>
      <c r="B438" s="17"/>
      <c r="C438" s="17"/>
      <c r="D438" s="17"/>
      <c r="E438" s="17"/>
      <c r="F438" s="17"/>
      <c r="G438" s="17"/>
      <c r="H438" s="17"/>
      <c r="I438" s="17"/>
      <c r="J438" s="17"/>
      <c r="K438" s="17"/>
      <c r="L438" s="17"/>
      <c r="M438" s="17"/>
      <c r="N438" s="17"/>
      <c r="O438" s="17"/>
      <c r="P438" s="17"/>
      <c r="Q438" s="17"/>
      <c r="R438" s="17"/>
      <c r="S438" s="17"/>
      <c r="T438" s="17"/>
      <c r="U438" s="12"/>
      <c r="V438" s="12"/>
      <c r="W438" s="12"/>
      <c r="X438" s="12"/>
      <c r="Y438" s="12"/>
      <c r="Z438" s="12"/>
    </row>
    <row r="439" spans="1:26" ht="15" customHeight="1" x14ac:dyDescent="0.3">
      <c r="A439" s="26"/>
      <c r="B439" s="17"/>
      <c r="C439" s="17"/>
      <c r="D439" s="17"/>
      <c r="E439" s="17"/>
      <c r="F439" s="17"/>
      <c r="G439" s="17"/>
      <c r="H439" s="17"/>
      <c r="I439" s="17"/>
      <c r="J439" s="17"/>
      <c r="K439" s="17"/>
      <c r="L439" s="17"/>
      <c r="M439" s="17"/>
      <c r="N439" s="17"/>
      <c r="O439" s="17"/>
      <c r="P439" s="17"/>
      <c r="Q439" s="17"/>
      <c r="R439" s="17"/>
      <c r="S439" s="17"/>
      <c r="T439" s="17"/>
      <c r="U439" s="12"/>
      <c r="V439" s="12"/>
      <c r="W439" s="12"/>
      <c r="X439" s="12"/>
      <c r="Y439" s="12"/>
      <c r="Z439" s="12"/>
    </row>
    <row r="440" spans="1:26" ht="15" customHeight="1" x14ac:dyDescent="0.3">
      <c r="A440" s="26"/>
      <c r="B440" s="17"/>
      <c r="C440" s="17"/>
      <c r="D440" s="17"/>
      <c r="E440" s="17"/>
      <c r="F440" s="17"/>
      <c r="G440" s="17"/>
      <c r="H440" s="17"/>
      <c r="I440" s="17"/>
      <c r="J440" s="17"/>
      <c r="K440" s="17"/>
      <c r="L440" s="17"/>
      <c r="M440" s="17"/>
      <c r="N440" s="17"/>
      <c r="O440" s="17"/>
      <c r="P440" s="17"/>
      <c r="Q440" s="17"/>
      <c r="R440" s="17"/>
      <c r="S440" s="17"/>
      <c r="T440" s="17"/>
      <c r="U440" s="12"/>
      <c r="V440" s="12"/>
      <c r="W440" s="12"/>
      <c r="X440" s="12"/>
      <c r="Y440" s="12"/>
      <c r="Z440" s="12"/>
    </row>
    <row r="441" spans="1:26" ht="15" customHeight="1" x14ac:dyDescent="0.3">
      <c r="A441" s="26"/>
      <c r="B441" s="17"/>
      <c r="C441" s="17"/>
      <c r="D441" s="17"/>
      <c r="E441" s="17"/>
      <c r="F441" s="17"/>
      <c r="G441" s="17"/>
      <c r="H441" s="17"/>
      <c r="I441" s="17"/>
      <c r="J441" s="17"/>
      <c r="K441" s="17"/>
      <c r="L441" s="17"/>
      <c r="M441" s="17"/>
      <c r="N441" s="17"/>
      <c r="O441" s="17"/>
      <c r="P441" s="17"/>
      <c r="Q441" s="17"/>
      <c r="R441" s="17"/>
      <c r="S441" s="17"/>
      <c r="T441" s="17"/>
      <c r="U441" s="12"/>
      <c r="V441" s="12"/>
      <c r="W441" s="12"/>
      <c r="X441" s="12"/>
      <c r="Y441" s="12"/>
      <c r="Z441" s="12"/>
    </row>
    <row r="442" spans="1:26" ht="15" customHeight="1" x14ac:dyDescent="0.3">
      <c r="A442" s="26"/>
      <c r="B442" s="17"/>
      <c r="C442" s="17"/>
      <c r="D442" s="17"/>
      <c r="E442" s="17"/>
      <c r="F442" s="17"/>
      <c r="G442" s="17"/>
      <c r="H442" s="17"/>
      <c r="I442" s="17"/>
      <c r="J442" s="17"/>
      <c r="K442" s="17"/>
      <c r="L442" s="17"/>
      <c r="M442" s="17"/>
      <c r="N442" s="17"/>
      <c r="O442" s="17"/>
      <c r="P442" s="17"/>
      <c r="Q442" s="17"/>
      <c r="R442" s="17"/>
      <c r="S442" s="17"/>
      <c r="T442" s="17"/>
      <c r="U442" s="12"/>
      <c r="V442" s="12"/>
      <c r="W442" s="12"/>
      <c r="X442" s="12"/>
      <c r="Y442" s="12"/>
      <c r="Z442" s="12"/>
    </row>
    <row r="443" spans="1:26" ht="15" customHeight="1" x14ac:dyDescent="0.3">
      <c r="A443" s="26"/>
      <c r="B443" s="17"/>
      <c r="C443" s="17"/>
      <c r="D443" s="17"/>
      <c r="E443" s="17"/>
      <c r="F443" s="17"/>
      <c r="G443" s="17"/>
      <c r="H443" s="17"/>
      <c r="I443" s="17"/>
      <c r="J443" s="17"/>
      <c r="K443" s="17"/>
      <c r="L443" s="17"/>
      <c r="M443" s="17"/>
      <c r="N443" s="17"/>
      <c r="O443" s="17"/>
      <c r="P443" s="17"/>
      <c r="Q443" s="17"/>
      <c r="R443" s="17"/>
      <c r="S443" s="17"/>
      <c r="T443" s="17"/>
      <c r="U443" s="12"/>
      <c r="V443" s="12"/>
      <c r="W443" s="12"/>
      <c r="X443" s="12"/>
      <c r="Y443" s="12"/>
      <c r="Z443" s="12"/>
    </row>
    <row r="444" spans="1:26" ht="15" customHeight="1" x14ac:dyDescent="0.3">
      <c r="A444" s="26"/>
      <c r="B444" s="17"/>
      <c r="C444" s="17"/>
      <c r="D444" s="17"/>
      <c r="E444" s="17"/>
      <c r="F444" s="17"/>
      <c r="G444" s="17"/>
      <c r="H444" s="17"/>
      <c r="I444" s="17"/>
      <c r="J444" s="17"/>
      <c r="K444" s="17"/>
      <c r="L444" s="17"/>
      <c r="M444" s="17"/>
      <c r="N444" s="17"/>
      <c r="O444" s="17"/>
      <c r="P444" s="17"/>
      <c r="Q444" s="17"/>
      <c r="R444" s="17"/>
      <c r="S444" s="17"/>
      <c r="T444" s="17"/>
      <c r="U444" s="12"/>
      <c r="V444" s="12"/>
      <c r="W444" s="12"/>
      <c r="X444" s="12"/>
      <c r="Y444" s="12"/>
      <c r="Z444" s="12"/>
    </row>
    <row r="445" spans="1:26" ht="15" customHeight="1" x14ac:dyDescent="0.3">
      <c r="A445" s="26"/>
      <c r="B445" s="17"/>
      <c r="C445" s="17"/>
      <c r="D445" s="17"/>
      <c r="E445" s="17"/>
      <c r="F445" s="17"/>
      <c r="G445" s="17"/>
      <c r="H445" s="17"/>
      <c r="I445" s="17"/>
      <c r="J445" s="17"/>
      <c r="K445" s="17"/>
      <c r="L445" s="17"/>
      <c r="M445" s="17"/>
      <c r="N445" s="17"/>
      <c r="O445" s="17"/>
      <c r="P445" s="17"/>
      <c r="Q445" s="17"/>
      <c r="R445" s="17"/>
      <c r="S445" s="17"/>
      <c r="T445" s="17"/>
      <c r="U445" s="12"/>
      <c r="V445" s="12"/>
      <c r="W445" s="12"/>
      <c r="X445" s="12"/>
      <c r="Y445" s="12"/>
      <c r="Z445" s="12"/>
    </row>
    <row r="446" spans="1:26" ht="15" customHeight="1" x14ac:dyDescent="0.3">
      <c r="A446" s="26"/>
      <c r="B446" s="17"/>
      <c r="C446" s="17"/>
      <c r="D446" s="17"/>
      <c r="E446" s="17"/>
      <c r="F446" s="17"/>
      <c r="G446" s="17"/>
      <c r="H446" s="17"/>
      <c r="I446" s="17"/>
      <c r="J446" s="17"/>
      <c r="K446" s="17"/>
      <c r="L446" s="17"/>
      <c r="M446" s="17"/>
      <c r="N446" s="17"/>
      <c r="O446" s="17"/>
      <c r="P446" s="17"/>
      <c r="Q446" s="17"/>
      <c r="R446" s="17"/>
      <c r="S446" s="17"/>
      <c r="T446" s="17"/>
      <c r="U446" s="12"/>
      <c r="V446" s="12"/>
      <c r="W446" s="12"/>
      <c r="X446" s="12"/>
      <c r="Y446" s="12"/>
      <c r="Z446" s="12"/>
    </row>
    <row r="447" spans="1:26" ht="15" customHeight="1" x14ac:dyDescent="0.3">
      <c r="A447" s="26"/>
      <c r="B447" s="17"/>
      <c r="C447" s="17"/>
      <c r="D447" s="17"/>
      <c r="E447" s="17"/>
      <c r="F447" s="17"/>
      <c r="G447" s="17"/>
      <c r="H447" s="17"/>
      <c r="I447" s="17"/>
      <c r="J447" s="17"/>
      <c r="K447" s="17"/>
      <c r="L447" s="17"/>
      <c r="M447" s="17"/>
      <c r="N447" s="17"/>
      <c r="O447" s="17"/>
      <c r="P447" s="17"/>
      <c r="Q447" s="17"/>
      <c r="R447" s="17"/>
      <c r="S447" s="17"/>
      <c r="T447" s="17"/>
      <c r="U447" s="12"/>
      <c r="V447" s="12"/>
      <c r="W447" s="12"/>
      <c r="X447" s="12"/>
      <c r="Y447" s="12"/>
      <c r="Z447" s="12"/>
    </row>
    <row r="448" spans="1:26" ht="15" customHeight="1" x14ac:dyDescent="0.3">
      <c r="A448" s="26"/>
      <c r="B448" s="17"/>
      <c r="C448" s="17"/>
      <c r="D448" s="17"/>
      <c r="E448" s="17"/>
      <c r="F448" s="17"/>
      <c r="G448" s="17"/>
      <c r="H448" s="17"/>
      <c r="I448" s="17"/>
      <c r="J448" s="17"/>
      <c r="K448" s="17"/>
      <c r="L448" s="17"/>
      <c r="M448" s="17"/>
      <c r="N448" s="17"/>
      <c r="O448" s="17"/>
      <c r="P448" s="17"/>
      <c r="Q448" s="17"/>
      <c r="R448" s="17"/>
      <c r="S448" s="17"/>
      <c r="T448" s="17"/>
      <c r="U448" s="12"/>
      <c r="V448" s="12"/>
      <c r="W448" s="12"/>
      <c r="X448" s="12"/>
      <c r="Y448" s="12"/>
      <c r="Z448" s="12"/>
    </row>
    <row r="449" spans="1:26" ht="15" customHeight="1" x14ac:dyDescent="0.3">
      <c r="A449" s="26"/>
      <c r="B449" s="17"/>
      <c r="C449" s="17"/>
      <c r="D449" s="17"/>
      <c r="E449" s="17"/>
      <c r="F449" s="17"/>
      <c r="G449" s="17"/>
      <c r="H449" s="17"/>
      <c r="I449" s="17"/>
      <c r="J449" s="17"/>
      <c r="K449" s="17"/>
      <c r="L449" s="17"/>
      <c r="M449" s="17"/>
      <c r="N449" s="17"/>
      <c r="O449" s="17"/>
      <c r="P449" s="17"/>
      <c r="Q449" s="17"/>
      <c r="R449" s="17"/>
      <c r="S449" s="17"/>
      <c r="T449" s="17"/>
      <c r="U449" s="12"/>
      <c r="V449" s="12"/>
      <c r="W449" s="12"/>
      <c r="X449" s="12"/>
      <c r="Y449" s="12"/>
      <c r="Z449" s="12"/>
    </row>
    <row r="450" spans="1:26" ht="15" customHeight="1" x14ac:dyDescent="0.3">
      <c r="A450" s="26"/>
      <c r="B450" s="17"/>
      <c r="C450" s="17"/>
      <c r="D450" s="17"/>
      <c r="E450" s="17"/>
      <c r="F450" s="17"/>
      <c r="G450" s="17"/>
      <c r="H450" s="17"/>
      <c r="I450" s="17"/>
      <c r="J450" s="17"/>
      <c r="K450" s="17"/>
      <c r="L450" s="17"/>
      <c r="M450" s="17"/>
      <c r="N450" s="17"/>
      <c r="O450" s="17"/>
      <c r="P450" s="17"/>
      <c r="Q450" s="17"/>
      <c r="R450" s="17"/>
      <c r="S450" s="17"/>
      <c r="T450" s="17"/>
      <c r="U450" s="12"/>
      <c r="V450" s="12"/>
      <c r="W450" s="12"/>
      <c r="X450" s="12"/>
      <c r="Y450" s="12"/>
      <c r="Z450" s="12"/>
    </row>
    <row r="451" spans="1:26" ht="15" customHeight="1" x14ac:dyDescent="0.3">
      <c r="A451" s="26"/>
      <c r="B451" s="17"/>
      <c r="C451" s="17"/>
      <c r="D451" s="17"/>
      <c r="E451" s="17"/>
      <c r="F451" s="17"/>
      <c r="G451" s="17"/>
      <c r="H451" s="17"/>
      <c r="I451" s="17"/>
      <c r="J451" s="17"/>
      <c r="K451" s="17"/>
      <c r="L451" s="17"/>
      <c r="M451" s="17"/>
      <c r="N451" s="17"/>
      <c r="O451" s="17"/>
      <c r="P451" s="17"/>
      <c r="Q451" s="17"/>
      <c r="R451" s="17"/>
      <c r="S451" s="17"/>
      <c r="T451" s="17"/>
      <c r="U451" s="12"/>
      <c r="V451" s="12"/>
      <c r="W451" s="12"/>
      <c r="X451" s="12"/>
      <c r="Y451" s="12"/>
      <c r="Z451" s="12"/>
    </row>
    <row r="452" spans="1:26" ht="15" customHeight="1" x14ac:dyDescent="0.3">
      <c r="A452" s="26"/>
      <c r="B452" s="17"/>
      <c r="C452" s="17"/>
      <c r="D452" s="17"/>
      <c r="E452" s="17"/>
      <c r="F452" s="17"/>
      <c r="G452" s="17"/>
      <c r="H452" s="17"/>
      <c r="I452" s="17"/>
      <c r="J452" s="17"/>
      <c r="K452" s="17"/>
      <c r="L452" s="17"/>
      <c r="M452" s="17"/>
      <c r="N452" s="17"/>
      <c r="O452" s="17"/>
      <c r="P452" s="17"/>
      <c r="Q452" s="17"/>
      <c r="R452" s="17"/>
      <c r="S452" s="17"/>
      <c r="T452" s="17"/>
      <c r="U452" s="12"/>
      <c r="V452" s="12"/>
      <c r="W452" s="12"/>
      <c r="X452" s="12"/>
      <c r="Y452" s="12"/>
      <c r="Z452" s="12"/>
    </row>
    <row r="453" spans="1:26" ht="15" customHeight="1" x14ac:dyDescent="0.3">
      <c r="A453" s="26"/>
      <c r="B453" s="17"/>
      <c r="C453" s="17"/>
      <c r="D453" s="17"/>
      <c r="E453" s="17"/>
      <c r="F453" s="17"/>
      <c r="G453" s="17"/>
      <c r="H453" s="17"/>
      <c r="I453" s="17"/>
      <c r="J453" s="17"/>
      <c r="K453" s="17"/>
      <c r="L453" s="17"/>
      <c r="M453" s="17"/>
      <c r="N453" s="17"/>
      <c r="O453" s="17"/>
      <c r="P453" s="17"/>
      <c r="Q453" s="17"/>
      <c r="R453" s="17"/>
      <c r="S453" s="17"/>
      <c r="T453" s="17"/>
      <c r="U453" s="12"/>
      <c r="V453" s="12"/>
      <c r="W453" s="12"/>
      <c r="X453" s="12"/>
      <c r="Y453" s="12"/>
      <c r="Z453" s="12"/>
    </row>
    <row r="454" spans="1:26" ht="15" customHeight="1" x14ac:dyDescent="0.3">
      <c r="A454" s="26"/>
      <c r="B454" s="17"/>
      <c r="C454" s="17"/>
      <c r="D454" s="17"/>
      <c r="E454" s="17"/>
      <c r="F454" s="17"/>
      <c r="G454" s="17"/>
      <c r="H454" s="17"/>
      <c r="I454" s="17"/>
      <c r="J454" s="17"/>
      <c r="K454" s="17"/>
      <c r="L454" s="17"/>
      <c r="M454" s="17"/>
      <c r="N454" s="17"/>
      <c r="O454" s="17"/>
      <c r="P454" s="17"/>
      <c r="Q454" s="17"/>
      <c r="R454" s="17"/>
      <c r="S454" s="17"/>
      <c r="T454" s="17"/>
      <c r="U454" s="12"/>
      <c r="V454" s="12"/>
      <c r="W454" s="12"/>
      <c r="X454" s="12"/>
      <c r="Y454" s="12"/>
      <c r="Z454" s="12"/>
    </row>
    <row r="455" spans="1:26" ht="15" customHeight="1" x14ac:dyDescent="0.3">
      <c r="A455" s="26"/>
      <c r="B455" s="17"/>
      <c r="C455" s="17"/>
      <c r="D455" s="17"/>
      <c r="E455" s="17"/>
      <c r="F455" s="17"/>
      <c r="G455" s="17"/>
      <c r="H455" s="17"/>
      <c r="I455" s="17"/>
      <c r="J455" s="17"/>
      <c r="K455" s="17"/>
      <c r="L455" s="17"/>
      <c r="M455" s="17"/>
      <c r="N455" s="17"/>
      <c r="O455" s="17"/>
      <c r="P455" s="17"/>
      <c r="Q455" s="17"/>
      <c r="R455" s="17"/>
      <c r="S455" s="17"/>
      <c r="T455" s="17"/>
      <c r="U455" s="12"/>
      <c r="V455" s="12"/>
      <c r="W455" s="12"/>
      <c r="X455" s="12"/>
      <c r="Y455" s="12"/>
      <c r="Z455" s="12"/>
    </row>
    <row r="456" spans="1:26" ht="15" customHeight="1" x14ac:dyDescent="0.3">
      <c r="A456" s="26"/>
      <c r="B456" s="17"/>
      <c r="C456" s="17"/>
      <c r="D456" s="17"/>
      <c r="E456" s="17"/>
      <c r="F456" s="17"/>
      <c r="G456" s="17"/>
      <c r="H456" s="17"/>
      <c r="I456" s="17"/>
      <c r="J456" s="17"/>
      <c r="K456" s="17"/>
      <c r="L456" s="17"/>
      <c r="M456" s="17"/>
      <c r="N456" s="17"/>
      <c r="O456" s="17"/>
      <c r="P456" s="17"/>
      <c r="Q456" s="17"/>
      <c r="R456" s="17"/>
      <c r="S456" s="17"/>
      <c r="T456" s="17"/>
      <c r="U456" s="12"/>
      <c r="V456" s="12"/>
      <c r="W456" s="12"/>
      <c r="X456" s="12"/>
      <c r="Y456" s="12"/>
      <c r="Z456" s="12"/>
    </row>
    <row r="457" spans="1:26" ht="15" customHeight="1" x14ac:dyDescent="0.3">
      <c r="A457" s="26"/>
      <c r="B457" s="17"/>
      <c r="C457" s="17"/>
      <c r="D457" s="17"/>
      <c r="E457" s="17"/>
      <c r="F457" s="17"/>
      <c r="G457" s="17"/>
      <c r="H457" s="17"/>
      <c r="I457" s="17"/>
      <c r="J457" s="17"/>
      <c r="K457" s="17"/>
      <c r="L457" s="17"/>
      <c r="M457" s="17"/>
      <c r="N457" s="17"/>
      <c r="O457" s="17"/>
      <c r="P457" s="17"/>
      <c r="Q457" s="17"/>
      <c r="R457" s="17"/>
      <c r="S457" s="17"/>
      <c r="T457" s="17"/>
      <c r="U457" s="12"/>
      <c r="V457" s="12"/>
      <c r="W457" s="12"/>
      <c r="X457" s="12"/>
      <c r="Y457" s="12"/>
      <c r="Z457" s="12"/>
    </row>
    <row r="458" spans="1:26" ht="15" customHeight="1" x14ac:dyDescent="0.3">
      <c r="A458" s="26"/>
      <c r="B458" s="17"/>
      <c r="C458" s="17"/>
      <c r="D458" s="17"/>
      <c r="E458" s="17"/>
      <c r="F458" s="17"/>
      <c r="G458" s="17"/>
      <c r="H458" s="17"/>
      <c r="I458" s="17"/>
      <c r="J458" s="17"/>
      <c r="K458" s="17"/>
      <c r="L458" s="17"/>
      <c r="M458" s="17"/>
      <c r="N458" s="17"/>
      <c r="O458" s="17"/>
      <c r="P458" s="17"/>
      <c r="Q458" s="17"/>
      <c r="R458" s="17"/>
      <c r="S458" s="17"/>
      <c r="T458" s="17"/>
      <c r="U458" s="12"/>
      <c r="V458" s="12"/>
      <c r="W458" s="12"/>
      <c r="X458" s="12"/>
      <c r="Y458" s="12"/>
      <c r="Z458" s="12"/>
    </row>
    <row r="459" spans="1:26" ht="15" customHeight="1" x14ac:dyDescent="0.3">
      <c r="A459" s="26"/>
      <c r="B459" s="17"/>
      <c r="C459" s="17"/>
      <c r="D459" s="17"/>
      <c r="E459" s="17"/>
      <c r="F459" s="17"/>
      <c r="G459" s="17"/>
      <c r="H459" s="17"/>
      <c r="I459" s="17"/>
      <c r="J459" s="17"/>
      <c r="K459" s="17"/>
      <c r="L459" s="17"/>
      <c r="M459" s="17"/>
      <c r="N459" s="17"/>
      <c r="O459" s="17"/>
      <c r="P459" s="17"/>
      <c r="Q459" s="17"/>
      <c r="R459" s="17"/>
      <c r="S459" s="17"/>
      <c r="T459" s="17"/>
      <c r="U459" s="12"/>
      <c r="V459" s="12"/>
      <c r="W459" s="12"/>
      <c r="X459" s="12"/>
      <c r="Y459" s="12"/>
      <c r="Z459" s="12"/>
    </row>
    <row r="460" spans="1:26" ht="15" customHeight="1" x14ac:dyDescent="0.3">
      <c r="A460" s="26"/>
      <c r="B460" s="17"/>
      <c r="C460" s="17"/>
      <c r="D460" s="17"/>
      <c r="E460" s="17"/>
      <c r="F460" s="17"/>
      <c r="G460" s="17"/>
      <c r="H460" s="17"/>
      <c r="I460" s="17"/>
      <c r="J460" s="17"/>
      <c r="K460" s="17"/>
      <c r="L460" s="17"/>
      <c r="M460" s="17"/>
      <c r="N460" s="17"/>
      <c r="O460" s="17"/>
      <c r="P460" s="17"/>
      <c r="Q460" s="17"/>
      <c r="R460" s="17"/>
      <c r="S460" s="17"/>
      <c r="T460" s="17"/>
      <c r="U460" s="12"/>
      <c r="V460" s="12"/>
      <c r="W460" s="12"/>
      <c r="X460" s="12"/>
      <c r="Y460" s="12"/>
      <c r="Z460" s="12"/>
    </row>
    <row r="461" spans="1:26" ht="15" customHeight="1" x14ac:dyDescent="0.3">
      <c r="A461" s="26"/>
      <c r="B461" s="17"/>
      <c r="C461" s="17"/>
      <c r="D461" s="17"/>
      <c r="E461" s="17"/>
      <c r="F461" s="17"/>
      <c r="G461" s="17"/>
      <c r="H461" s="17"/>
      <c r="I461" s="17"/>
      <c r="J461" s="17"/>
      <c r="K461" s="17"/>
      <c r="L461" s="17"/>
      <c r="M461" s="17"/>
      <c r="N461" s="17"/>
      <c r="O461" s="17"/>
      <c r="P461" s="17"/>
      <c r="Q461" s="17"/>
      <c r="R461" s="17"/>
      <c r="S461" s="17"/>
      <c r="T461" s="17"/>
      <c r="U461" s="12"/>
      <c r="V461" s="12"/>
      <c r="W461" s="12"/>
      <c r="X461" s="12"/>
      <c r="Y461" s="12"/>
      <c r="Z461" s="12"/>
    </row>
    <row r="462" spans="1:26" ht="15" customHeight="1" x14ac:dyDescent="0.3">
      <c r="A462" s="26"/>
      <c r="B462" s="17"/>
      <c r="C462" s="17"/>
      <c r="D462" s="17"/>
      <c r="E462" s="17"/>
      <c r="F462" s="17"/>
      <c r="G462" s="17"/>
      <c r="H462" s="17"/>
      <c r="I462" s="17"/>
      <c r="J462" s="17"/>
      <c r="K462" s="17"/>
      <c r="L462" s="17"/>
      <c r="M462" s="17"/>
      <c r="N462" s="17"/>
      <c r="O462" s="17"/>
      <c r="P462" s="17"/>
      <c r="Q462" s="17"/>
      <c r="R462" s="17"/>
      <c r="S462" s="17"/>
      <c r="T462" s="17"/>
      <c r="U462" s="12"/>
      <c r="V462" s="12"/>
      <c r="W462" s="12"/>
      <c r="X462" s="12"/>
      <c r="Y462" s="12"/>
      <c r="Z462" s="12"/>
    </row>
    <row r="463" spans="1:26" ht="15" customHeight="1" x14ac:dyDescent="0.3">
      <c r="A463" s="26"/>
      <c r="B463" s="17"/>
      <c r="C463" s="17"/>
      <c r="D463" s="17"/>
      <c r="E463" s="17"/>
      <c r="F463" s="17"/>
      <c r="G463" s="17"/>
      <c r="H463" s="17"/>
      <c r="I463" s="17"/>
      <c r="J463" s="17"/>
      <c r="K463" s="17"/>
      <c r="L463" s="17"/>
      <c r="M463" s="17"/>
      <c r="N463" s="17"/>
      <c r="O463" s="17"/>
      <c r="P463" s="17"/>
      <c r="Q463" s="17"/>
      <c r="R463" s="17"/>
      <c r="S463" s="17"/>
      <c r="T463" s="17"/>
      <c r="U463" s="12"/>
      <c r="V463" s="12"/>
      <c r="W463" s="12"/>
      <c r="X463" s="12"/>
      <c r="Y463" s="12"/>
      <c r="Z463" s="12"/>
    </row>
    <row r="464" spans="1:26" ht="15" customHeight="1" x14ac:dyDescent="0.3">
      <c r="A464" s="26"/>
      <c r="B464" s="17"/>
      <c r="C464" s="17"/>
      <c r="D464" s="17"/>
      <c r="E464" s="17"/>
      <c r="F464" s="17"/>
      <c r="G464" s="17"/>
      <c r="H464" s="17"/>
      <c r="I464" s="17"/>
      <c r="J464" s="17"/>
      <c r="K464" s="17"/>
      <c r="L464" s="17"/>
      <c r="M464" s="17"/>
      <c r="N464" s="17"/>
      <c r="O464" s="17"/>
      <c r="P464" s="17"/>
      <c r="Q464" s="17"/>
      <c r="R464" s="17"/>
      <c r="S464" s="17"/>
      <c r="T464" s="17"/>
      <c r="U464" s="12"/>
      <c r="V464" s="12"/>
      <c r="W464" s="12"/>
      <c r="X464" s="12"/>
      <c r="Y464" s="12"/>
      <c r="Z464" s="12"/>
    </row>
    <row r="465" spans="1:26" ht="15" customHeight="1" x14ac:dyDescent="0.3">
      <c r="A465" s="26"/>
      <c r="B465" s="17"/>
      <c r="C465" s="17"/>
      <c r="D465" s="17"/>
      <c r="E465" s="17"/>
      <c r="F465" s="17"/>
      <c r="G465" s="17"/>
      <c r="H465" s="17"/>
      <c r="I465" s="17"/>
      <c r="J465" s="17"/>
      <c r="K465" s="17"/>
      <c r="L465" s="17"/>
      <c r="M465" s="17"/>
      <c r="N465" s="17"/>
      <c r="O465" s="17"/>
      <c r="P465" s="17"/>
      <c r="Q465" s="17"/>
      <c r="R465" s="17"/>
      <c r="S465" s="17"/>
      <c r="T465" s="17"/>
      <c r="U465" s="12"/>
      <c r="V465" s="12"/>
      <c r="W465" s="12"/>
      <c r="X465" s="12"/>
      <c r="Y465" s="12"/>
      <c r="Z465" s="12"/>
    </row>
    <row r="466" spans="1:26" ht="15" customHeight="1" x14ac:dyDescent="0.3">
      <c r="A466" s="26"/>
      <c r="B466" s="17"/>
      <c r="C466" s="17"/>
      <c r="D466" s="17"/>
      <c r="E466" s="17"/>
      <c r="F466" s="17"/>
      <c r="G466" s="17"/>
      <c r="H466" s="17"/>
      <c r="I466" s="17"/>
      <c r="J466" s="17"/>
      <c r="K466" s="17"/>
      <c r="L466" s="17"/>
      <c r="M466" s="17"/>
      <c r="N466" s="17"/>
      <c r="O466" s="17"/>
      <c r="P466" s="17"/>
      <c r="Q466" s="17"/>
      <c r="R466" s="17"/>
      <c r="S466" s="17"/>
      <c r="T466" s="17"/>
      <c r="U466" s="12"/>
      <c r="V466" s="12"/>
      <c r="W466" s="12"/>
      <c r="X466" s="12"/>
      <c r="Y466" s="12"/>
      <c r="Z466" s="12"/>
    </row>
    <row r="467" spans="1:26" ht="15" customHeight="1" x14ac:dyDescent="0.3">
      <c r="A467" s="26"/>
      <c r="B467" s="17"/>
      <c r="C467" s="17"/>
      <c r="D467" s="17"/>
      <c r="E467" s="17"/>
      <c r="F467" s="17"/>
      <c r="G467" s="17"/>
      <c r="H467" s="17"/>
      <c r="I467" s="17"/>
      <c r="J467" s="17"/>
      <c r="K467" s="17"/>
      <c r="L467" s="17"/>
      <c r="M467" s="17"/>
      <c r="N467" s="17"/>
      <c r="O467" s="17"/>
      <c r="P467" s="17"/>
      <c r="Q467" s="17"/>
      <c r="R467" s="17"/>
      <c r="S467" s="17"/>
      <c r="T467" s="17"/>
      <c r="U467" s="12"/>
      <c r="V467" s="12"/>
      <c r="W467" s="12"/>
      <c r="X467" s="12"/>
      <c r="Y467" s="12"/>
      <c r="Z467" s="12"/>
    </row>
    <row r="468" spans="1:26" ht="15" customHeight="1" x14ac:dyDescent="0.3">
      <c r="A468" s="26"/>
      <c r="B468" s="17"/>
      <c r="C468" s="17"/>
      <c r="D468" s="17"/>
      <c r="E468" s="17"/>
      <c r="F468" s="17"/>
      <c r="G468" s="17"/>
      <c r="H468" s="17"/>
      <c r="I468" s="17"/>
      <c r="J468" s="17"/>
      <c r="K468" s="17"/>
      <c r="L468" s="17"/>
      <c r="M468" s="17"/>
      <c r="N468" s="17"/>
      <c r="O468" s="17"/>
      <c r="P468" s="17"/>
      <c r="Q468" s="17"/>
      <c r="R468" s="17"/>
      <c r="S468" s="17"/>
      <c r="T468" s="17"/>
      <c r="U468" s="12"/>
      <c r="V468" s="12"/>
      <c r="W468" s="12"/>
      <c r="X468" s="12"/>
      <c r="Y468" s="12"/>
      <c r="Z468" s="12"/>
    </row>
    <row r="469" spans="1:26" ht="15" customHeight="1" x14ac:dyDescent="0.3">
      <c r="A469" s="26"/>
      <c r="B469" s="17"/>
      <c r="C469" s="17"/>
      <c r="D469" s="17"/>
      <c r="E469" s="17"/>
      <c r="F469" s="17"/>
      <c r="G469" s="17"/>
      <c r="H469" s="17"/>
      <c r="I469" s="17"/>
      <c r="J469" s="17"/>
      <c r="K469" s="17"/>
      <c r="L469" s="17"/>
      <c r="M469" s="17"/>
      <c r="N469" s="17"/>
      <c r="O469" s="17"/>
      <c r="P469" s="17"/>
      <c r="Q469" s="17"/>
      <c r="R469" s="17"/>
      <c r="S469" s="17"/>
      <c r="T469" s="17"/>
      <c r="U469" s="12"/>
      <c r="V469" s="12"/>
      <c r="W469" s="12"/>
      <c r="X469" s="12"/>
      <c r="Y469" s="12"/>
      <c r="Z469" s="12"/>
    </row>
    <row r="470" spans="1:26" ht="15" customHeight="1" x14ac:dyDescent="0.3">
      <c r="A470" s="29"/>
      <c r="B470" s="17"/>
      <c r="C470" s="17"/>
      <c r="D470" s="17"/>
      <c r="E470" s="17"/>
      <c r="F470" s="17"/>
      <c r="G470" s="17"/>
      <c r="H470" s="17"/>
      <c r="I470" s="17"/>
      <c r="J470" s="17"/>
      <c r="K470" s="17"/>
      <c r="L470" s="17"/>
      <c r="M470" s="17"/>
      <c r="N470" s="17"/>
      <c r="O470" s="17"/>
      <c r="P470" s="17"/>
      <c r="Q470" s="17"/>
      <c r="R470" s="17"/>
      <c r="S470" s="17"/>
      <c r="T470" s="17"/>
      <c r="U470" s="12"/>
      <c r="V470" s="12"/>
      <c r="W470" s="12"/>
      <c r="X470" s="12"/>
      <c r="Y470" s="12"/>
      <c r="Z470" s="12"/>
    </row>
    <row r="471" spans="1:26" ht="15" customHeight="1" x14ac:dyDescent="0.3">
      <c r="A471" s="29"/>
      <c r="B471" s="17"/>
      <c r="C471" s="17"/>
      <c r="D471" s="17"/>
      <c r="E471" s="17"/>
      <c r="F471" s="17"/>
      <c r="G471" s="17"/>
      <c r="H471" s="17"/>
      <c r="I471" s="17"/>
      <c r="J471" s="17"/>
      <c r="K471" s="17"/>
      <c r="L471" s="17"/>
      <c r="M471" s="17"/>
      <c r="N471" s="17"/>
      <c r="O471" s="17"/>
      <c r="P471" s="17"/>
      <c r="Q471" s="17"/>
      <c r="R471" s="17"/>
      <c r="S471" s="17"/>
      <c r="T471" s="17"/>
      <c r="U471" s="12"/>
      <c r="V471" s="12"/>
      <c r="W471" s="12"/>
      <c r="X471" s="12"/>
      <c r="Y471" s="12"/>
      <c r="Z471" s="12"/>
    </row>
    <row r="472" spans="1:26" ht="15" customHeight="1" x14ac:dyDescent="0.3">
      <c r="A472" s="26"/>
      <c r="B472" s="17"/>
      <c r="C472" s="17"/>
      <c r="D472" s="17"/>
      <c r="E472" s="17"/>
      <c r="F472" s="17"/>
      <c r="G472" s="17"/>
      <c r="H472" s="17"/>
      <c r="I472" s="17"/>
      <c r="J472" s="17"/>
      <c r="K472" s="17"/>
      <c r="L472" s="17"/>
      <c r="M472" s="17"/>
      <c r="N472" s="17"/>
      <c r="O472" s="17"/>
      <c r="P472" s="17"/>
      <c r="Q472" s="17"/>
      <c r="R472" s="17"/>
      <c r="S472" s="17"/>
      <c r="T472" s="17"/>
      <c r="U472" s="12"/>
      <c r="V472" s="12"/>
      <c r="W472" s="12"/>
      <c r="X472" s="12"/>
      <c r="Y472" s="12"/>
      <c r="Z472" s="12"/>
    </row>
    <row r="473" spans="1:26" ht="15" customHeight="1" x14ac:dyDescent="0.3">
      <c r="A473" s="26"/>
      <c r="B473" s="17"/>
      <c r="C473" s="17"/>
      <c r="D473" s="17"/>
      <c r="E473" s="17"/>
      <c r="F473" s="17"/>
      <c r="G473" s="17"/>
      <c r="H473" s="17"/>
      <c r="I473" s="17"/>
      <c r="J473" s="17"/>
      <c r="K473" s="17"/>
      <c r="L473" s="17"/>
      <c r="M473" s="17"/>
      <c r="N473" s="17"/>
      <c r="O473" s="17"/>
      <c r="P473" s="17"/>
      <c r="Q473" s="17"/>
      <c r="R473" s="17"/>
      <c r="S473" s="17"/>
      <c r="T473" s="17"/>
      <c r="U473" s="12"/>
      <c r="V473" s="12"/>
      <c r="W473" s="12"/>
      <c r="X473" s="12"/>
      <c r="Y473" s="12"/>
      <c r="Z473" s="12"/>
    </row>
    <row r="474" spans="1:26" ht="15" customHeight="1" x14ac:dyDescent="0.3">
      <c r="A474" s="26"/>
      <c r="B474" s="17"/>
      <c r="C474" s="17"/>
      <c r="D474" s="17"/>
      <c r="E474" s="17"/>
      <c r="F474" s="17"/>
      <c r="G474" s="17"/>
      <c r="H474" s="17"/>
      <c r="I474" s="17"/>
      <c r="J474" s="17"/>
      <c r="K474" s="17"/>
      <c r="L474" s="17"/>
      <c r="M474" s="17"/>
      <c r="N474" s="17"/>
      <c r="O474" s="17"/>
      <c r="P474" s="17"/>
      <c r="Q474" s="17"/>
      <c r="R474" s="17"/>
      <c r="S474" s="17"/>
      <c r="T474" s="17"/>
      <c r="U474" s="12"/>
      <c r="V474" s="12"/>
      <c r="W474" s="12"/>
      <c r="X474" s="12"/>
      <c r="Y474" s="12"/>
      <c r="Z474" s="12"/>
    </row>
    <row r="475" spans="1:26" ht="15" customHeight="1" x14ac:dyDescent="0.3">
      <c r="A475" s="26"/>
      <c r="B475" s="17"/>
      <c r="C475" s="17"/>
      <c r="D475" s="17"/>
      <c r="E475" s="17"/>
      <c r="F475" s="17"/>
      <c r="G475" s="17"/>
      <c r="H475" s="17"/>
      <c r="I475" s="17"/>
      <c r="J475" s="17"/>
      <c r="K475" s="17"/>
      <c r="L475" s="17"/>
      <c r="M475" s="17"/>
      <c r="N475" s="17"/>
      <c r="O475" s="17"/>
      <c r="P475" s="17"/>
      <c r="Q475" s="17"/>
      <c r="R475" s="17"/>
      <c r="S475" s="17"/>
      <c r="T475" s="17"/>
      <c r="U475" s="12"/>
      <c r="V475" s="12"/>
      <c r="W475" s="12"/>
      <c r="X475" s="12"/>
      <c r="Y475" s="12"/>
      <c r="Z475" s="12"/>
    </row>
    <row r="476" spans="1:26" ht="15" customHeight="1" x14ac:dyDescent="0.3">
      <c r="A476" s="26"/>
      <c r="B476" s="17"/>
      <c r="C476" s="17"/>
      <c r="D476" s="17"/>
      <c r="E476" s="17"/>
      <c r="F476" s="17"/>
      <c r="G476" s="17"/>
      <c r="H476" s="17"/>
      <c r="I476" s="17"/>
      <c r="J476" s="17"/>
      <c r="K476" s="17"/>
      <c r="L476" s="17"/>
      <c r="M476" s="17"/>
      <c r="N476" s="17"/>
      <c r="O476" s="17"/>
      <c r="P476" s="17"/>
      <c r="Q476" s="17"/>
      <c r="R476" s="17"/>
      <c r="S476" s="17"/>
      <c r="T476" s="17"/>
      <c r="U476" s="12"/>
      <c r="V476" s="12"/>
      <c r="W476" s="12"/>
      <c r="X476" s="12"/>
      <c r="Y476" s="12"/>
      <c r="Z476" s="12"/>
    </row>
    <row r="477" spans="1:26" ht="15" customHeight="1" x14ac:dyDescent="0.3">
      <c r="A477" s="26"/>
      <c r="B477" s="17"/>
      <c r="C477" s="17"/>
      <c r="D477" s="17"/>
      <c r="E477" s="17"/>
      <c r="F477" s="17"/>
      <c r="G477" s="17"/>
      <c r="H477" s="17"/>
      <c r="I477" s="17"/>
      <c r="J477" s="17"/>
      <c r="K477" s="17"/>
      <c r="L477" s="17"/>
      <c r="M477" s="17"/>
      <c r="N477" s="17"/>
      <c r="O477" s="17"/>
      <c r="P477" s="17"/>
      <c r="Q477" s="17"/>
      <c r="R477" s="17"/>
      <c r="S477" s="17"/>
      <c r="T477" s="17"/>
      <c r="U477" s="12"/>
      <c r="V477" s="12"/>
      <c r="W477" s="12"/>
      <c r="X477" s="12"/>
      <c r="Y477" s="12"/>
      <c r="Z477" s="12"/>
    </row>
    <row r="478" spans="1:26" ht="15" customHeight="1" x14ac:dyDescent="0.3">
      <c r="A478" s="26"/>
      <c r="B478" s="17"/>
      <c r="C478" s="17"/>
      <c r="D478" s="17"/>
      <c r="E478" s="17"/>
      <c r="F478" s="17"/>
      <c r="G478" s="17"/>
      <c r="H478" s="17"/>
      <c r="I478" s="17"/>
      <c r="J478" s="17"/>
      <c r="K478" s="17"/>
      <c r="L478" s="17"/>
      <c r="M478" s="17"/>
      <c r="N478" s="17"/>
      <c r="O478" s="17"/>
      <c r="P478" s="17"/>
      <c r="Q478" s="17"/>
      <c r="R478" s="17"/>
      <c r="S478" s="17"/>
      <c r="T478" s="17"/>
      <c r="U478" s="12"/>
      <c r="V478" s="12"/>
      <c r="W478" s="12"/>
      <c r="X478" s="12"/>
      <c r="Y478" s="12"/>
      <c r="Z478" s="12"/>
    </row>
    <row r="479" spans="1:26" ht="15" customHeight="1" x14ac:dyDescent="0.3">
      <c r="A479" s="27"/>
      <c r="B479" s="17"/>
      <c r="C479" s="17"/>
      <c r="D479" s="17"/>
      <c r="E479" s="17"/>
      <c r="F479" s="17"/>
      <c r="G479" s="17"/>
      <c r="H479" s="17"/>
      <c r="I479" s="17"/>
      <c r="J479" s="17"/>
      <c r="K479" s="17"/>
      <c r="L479" s="17"/>
      <c r="M479" s="17"/>
      <c r="N479" s="17"/>
      <c r="O479" s="17"/>
      <c r="P479" s="17"/>
      <c r="Q479" s="17"/>
      <c r="R479" s="17"/>
      <c r="S479" s="17"/>
      <c r="T479" s="17"/>
      <c r="U479" s="12"/>
      <c r="V479" s="12"/>
      <c r="W479" s="12"/>
      <c r="X479" s="12"/>
      <c r="Y479" s="12"/>
      <c r="Z479" s="12"/>
    </row>
    <row r="480" spans="1:26" ht="15" customHeight="1" x14ac:dyDescent="0.3">
      <c r="A480" s="26"/>
      <c r="B480" s="17"/>
      <c r="C480" s="17"/>
      <c r="D480" s="17"/>
      <c r="E480" s="17"/>
      <c r="F480" s="17"/>
      <c r="G480" s="17"/>
      <c r="H480" s="17"/>
      <c r="I480" s="17"/>
      <c r="J480" s="17"/>
      <c r="K480" s="17"/>
      <c r="L480" s="17"/>
      <c r="M480" s="17"/>
      <c r="N480" s="17"/>
      <c r="O480" s="17"/>
      <c r="P480" s="17"/>
      <c r="Q480" s="17"/>
      <c r="R480" s="17"/>
      <c r="S480" s="17"/>
      <c r="T480" s="17"/>
      <c r="U480" s="12"/>
      <c r="V480" s="12"/>
      <c r="W480" s="12"/>
      <c r="X480" s="12"/>
      <c r="Y480" s="12"/>
      <c r="Z480" s="12"/>
    </row>
    <row r="481" spans="1:26" ht="15" customHeight="1" x14ac:dyDescent="0.3">
      <c r="A481" s="26"/>
      <c r="B481" s="17"/>
      <c r="C481" s="17"/>
      <c r="D481" s="17"/>
      <c r="E481" s="17"/>
      <c r="F481" s="17"/>
      <c r="G481" s="17"/>
      <c r="H481" s="17"/>
      <c r="I481" s="17"/>
      <c r="J481" s="17"/>
      <c r="K481" s="17"/>
      <c r="L481" s="17"/>
      <c r="M481" s="17"/>
      <c r="N481" s="17"/>
      <c r="O481" s="17"/>
      <c r="P481" s="17"/>
      <c r="Q481" s="17"/>
      <c r="R481" s="17"/>
      <c r="S481" s="17"/>
      <c r="T481" s="17"/>
      <c r="U481" s="12"/>
      <c r="V481" s="12"/>
      <c r="W481" s="12"/>
      <c r="X481" s="12"/>
      <c r="Y481" s="12"/>
      <c r="Z481" s="12"/>
    </row>
    <row r="482" spans="1:26" ht="15" customHeight="1" x14ac:dyDescent="0.3">
      <c r="A482" s="26"/>
      <c r="B482" s="17"/>
      <c r="C482" s="17"/>
      <c r="D482" s="17"/>
      <c r="E482" s="17"/>
      <c r="F482" s="17"/>
      <c r="G482" s="17"/>
      <c r="H482" s="17"/>
      <c r="I482" s="17"/>
      <c r="J482" s="17"/>
      <c r="K482" s="17"/>
      <c r="L482" s="17"/>
      <c r="M482" s="17"/>
      <c r="N482" s="17"/>
      <c r="O482" s="17"/>
      <c r="P482" s="17"/>
      <c r="Q482" s="17"/>
      <c r="R482" s="17"/>
      <c r="S482" s="17"/>
      <c r="T482" s="17"/>
      <c r="U482" s="12"/>
      <c r="V482" s="12"/>
      <c r="W482" s="12"/>
      <c r="X482" s="12"/>
      <c r="Y482" s="12"/>
      <c r="Z482" s="12"/>
    </row>
    <row r="483" spans="1:26" ht="15" customHeight="1" x14ac:dyDescent="0.3">
      <c r="A483" s="26"/>
      <c r="B483" s="17"/>
      <c r="C483" s="17"/>
      <c r="D483" s="17"/>
      <c r="E483" s="17"/>
      <c r="F483" s="17"/>
      <c r="G483" s="17"/>
      <c r="H483" s="17"/>
      <c r="I483" s="17"/>
      <c r="J483" s="17"/>
      <c r="K483" s="17"/>
      <c r="L483" s="17"/>
      <c r="M483" s="17"/>
      <c r="N483" s="17"/>
      <c r="O483" s="17"/>
      <c r="P483" s="17"/>
      <c r="Q483" s="17"/>
      <c r="R483" s="17"/>
      <c r="S483" s="17"/>
      <c r="T483" s="17"/>
      <c r="U483" s="12"/>
      <c r="V483" s="12"/>
      <c r="W483" s="12"/>
      <c r="X483" s="12"/>
      <c r="Y483" s="12"/>
      <c r="Z483" s="12"/>
    </row>
    <row r="484" spans="1:26" ht="15" customHeight="1" x14ac:dyDescent="0.3">
      <c r="A484" s="26"/>
      <c r="B484" s="17"/>
      <c r="C484" s="17"/>
      <c r="D484" s="17"/>
      <c r="E484" s="17"/>
      <c r="F484" s="17"/>
      <c r="G484" s="17"/>
      <c r="H484" s="17"/>
      <c r="I484" s="17"/>
      <c r="J484" s="17"/>
      <c r="K484" s="17"/>
      <c r="L484" s="17"/>
      <c r="M484" s="17"/>
      <c r="N484" s="17"/>
      <c r="O484" s="17"/>
      <c r="P484" s="17"/>
      <c r="Q484" s="17"/>
      <c r="R484" s="17"/>
      <c r="S484" s="17"/>
      <c r="T484" s="17"/>
      <c r="U484" s="12"/>
      <c r="V484" s="12"/>
      <c r="W484" s="12"/>
      <c r="X484" s="12"/>
      <c r="Y484" s="12"/>
      <c r="Z484" s="12"/>
    </row>
    <row r="485" spans="1:26" ht="15" customHeight="1" x14ac:dyDescent="0.3">
      <c r="A485" s="26"/>
      <c r="B485" s="17"/>
      <c r="C485" s="17"/>
      <c r="D485" s="17"/>
      <c r="E485" s="17"/>
      <c r="F485" s="17"/>
      <c r="G485" s="17"/>
      <c r="H485" s="17"/>
      <c r="I485" s="17"/>
      <c r="J485" s="17"/>
      <c r="K485" s="17"/>
      <c r="L485" s="17"/>
      <c r="M485" s="17"/>
      <c r="N485" s="17"/>
      <c r="O485" s="17"/>
      <c r="P485" s="17"/>
      <c r="Q485" s="17"/>
      <c r="R485" s="17"/>
      <c r="S485" s="17"/>
      <c r="T485" s="17"/>
      <c r="U485" s="12"/>
      <c r="V485" s="12"/>
      <c r="W485" s="12"/>
      <c r="X485" s="12"/>
      <c r="Y485" s="12"/>
      <c r="Z485" s="12"/>
    </row>
    <row r="486" spans="1:26" ht="15" customHeight="1" x14ac:dyDescent="0.3">
      <c r="A486" s="26"/>
      <c r="B486" s="17"/>
      <c r="C486" s="17"/>
      <c r="D486" s="17"/>
      <c r="E486" s="17"/>
      <c r="F486" s="17"/>
      <c r="G486" s="17"/>
      <c r="H486" s="17"/>
      <c r="I486" s="17"/>
      <c r="J486" s="17"/>
      <c r="K486" s="17"/>
      <c r="L486" s="17"/>
      <c r="M486" s="17"/>
      <c r="N486" s="17"/>
      <c r="O486" s="17"/>
      <c r="P486" s="17"/>
      <c r="Q486" s="17"/>
      <c r="R486" s="17"/>
      <c r="S486" s="17"/>
      <c r="T486" s="17"/>
      <c r="U486" s="12"/>
      <c r="V486" s="12"/>
      <c r="W486" s="12"/>
      <c r="X486" s="12"/>
      <c r="Y486" s="12"/>
      <c r="Z486" s="12"/>
    </row>
    <row r="487" spans="1:26" ht="15" customHeight="1" x14ac:dyDescent="0.3">
      <c r="A487" s="26"/>
      <c r="B487" s="17"/>
      <c r="C487" s="17"/>
      <c r="D487" s="17"/>
      <c r="E487" s="17"/>
      <c r="F487" s="17"/>
      <c r="G487" s="17"/>
      <c r="H487" s="17"/>
      <c r="I487" s="17"/>
      <c r="J487" s="17"/>
      <c r="K487" s="17"/>
      <c r="L487" s="17"/>
      <c r="M487" s="17"/>
      <c r="N487" s="17"/>
      <c r="O487" s="17"/>
      <c r="P487" s="17"/>
      <c r="Q487" s="17"/>
      <c r="R487" s="17"/>
      <c r="S487" s="17"/>
      <c r="T487" s="17"/>
      <c r="U487" s="12"/>
      <c r="V487" s="12"/>
      <c r="W487" s="12"/>
      <c r="X487" s="12"/>
      <c r="Y487" s="12"/>
      <c r="Z487" s="12"/>
    </row>
    <row r="488" spans="1:26" ht="15" customHeight="1" x14ac:dyDescent="0.3">
      <c r="A488" s="26"/>
      <c r="B488" s="17"/>
      <c r="C488" s="17"/>
      <c r="D488" s="17"/>
      <c r="E488" s="17"/>
      <c r="F488" s="17"/>
      <c r="G488" s="17"/>
      <c r="H488" s="17"/>
      <c r="I488" s="17"/>
      <c r="J488" s="17"/>
      <c r="K488" s="17"/>
      <c r="L488" s="17"/>
      <c r="M488" s="17"/>
      <c r="N488" s="17"/>
      <c r="O488" s="17"/>
      <c r="P488" s="17"/>
      <c r="Q488" s="17"/>
      <c r="R488" s="17"/>
      <c r="S488" s="17"/>
      <c r="T488" s="17"/>
      <c r="U488" s="12"/>
      <c r="V488" s="12"/>
      <c r="W488" s="12"/>
      <c r="X488" s="12"/>
      <c r="Y488" s="12"/>
      <c r="Z488" s="12"/>
    </row>
    <row r="489" spans="1:26" ht="15" customHeight="1" x14ac:dyDescent="0.3">
      <c r="A489" s="26"/>
      <c r="B489" s="17"/>
      <c r="C489" s="17"/>
      <c r="D489" s="17"/>
      <c r="E489" s="17"/>
      <c r="F489" s="17"/>
      <c r="G489" s="17"/>
      <c r="H489" s="17"/>
      <c r="I489" s="17"/>
      <c r="J489" s="17"/>
      <c r="K489" s="17"/>
      <c r="L489" s="17"/>
      <c r="M489" s="17"/>
      <c r="N489" s="17"/>
      <c r="O489" s="17"/>
      <c r="P489" s="17"/>
      <c r="Q489" s="17"/>
      <c r="R489" s="17"/>
      <c r="S489" s="17"/>
      <c r="T489" s="17"/>
      <c r="U489" s="12"/>
      <c r="V489" s="12"/>
      <c r="W489" s="12"/>
      <c r="X489" s="12"/>
      <c r="Y489" s="12"/>
      <c r="Z489" s="12"/>
    </row>
    <row r="490" spans="1:26" ht="15" customHeight="1" x14ac:dyDescent="0.3">
      <c r="A490" s="26"/>
      <c r="B490" s="17"/>
      <c r="C490" s="17"/>
      <c r="D490" s="17"/>
      <c r="E490" s="17"/>
      <c r="F490" s="17"/>
      <c r="G490" s="17"/>
      <c r="H490" s="17"/>
      <c r="I490" s="17"/>
      <c r="J490" s="17"/>
      <c r="K490" s="17"/>
      <c r="L490" s="17"/>
      <c r="M490" s="17"/>
      <c r="N490" s="17"/>
      <c r="O490" s="17"/>
      <c r="P490" s="17"/>
      <c r="Q490" s="17"/>
      <c r="R490" s="17"/>
      <c r="S490" s="17"/>
      <c r="T490" s="17"/>
      <c r="U490" s="12"/>
      <c r="V490" s="12"/>
      <c r="W490" s="12"/>
      <c r="X490" s="12"/>
      <c r="Y490" s="12"/>
      <c r="Z490" s="12"/>
    </row>
    <row r="491" spans="1:26" ht="15" customHeight="1" x14ac:dyDescent="0.3">
      <c r="A491" s="26"/>
      <c r="B491" s="17"/>
      <c r="C491" s="17"/>
      <c r="D491" s="17"/>
      <c r="E491" s="17"/>
      <c r="F491" s="17"/>
      <c r="G491" s="17"/>
      <c r="H491" s="17"/>
      <c r="I491" s="17"/>
      <c r="J491" s="17"/>
      <c r="K491" s="17"/>
      <c r="L491" s="17"/>
      <c r="M491" s="17"/>
      <c r="N491" s="17"/>
      <c r="O491" s="17"/>
      <c r="P491" s="17"/>
      <c r="Q491" s="17"/>
      <c r="R491" s="17"/>
      <c r="S491" s="17"/>
      <c r="T491" s="17"/>
      <c r="U491" s="12"/>
      <c r="V491" s="12"/>
      <c r="W491" s="12"/>
      <c r="X491" s="12"/>
      <c r="Y491" s="12"/>
      <c r="Z491" s="12"/>
    </row>
    <row r="492" spans="1:26" ht="15" customHeight="1" x14ac:dyDescent="0.3">
      <c r="A492" s="26"/>
      <c r="B492" s="17"/>
      <c r="C492" s="17"/>
      <c r="D492" s="17"/>
      <c r="E492" s="17"/>
      <c r="F492" s="17"/>
      <c r="G492" s="17"/>
      <c r="H492" s="17"/>
      <c r="I492" s="17"/>
      <c r="J492" s="17"/>
      <c r="K492" s="17"/>
      <c r="L492" s="17"/>
      <c r="M492" s="17"/>
      <c r="N492" s="17"/>
      <c r="O492" s="17"/>
      <c r="P492" s="17"/>
      <c r="Q492" s="17"/>
      <c r="R492" s="17"/>
      <c r="S492" s="17"/>
      <c r="T492" s="17"/>
      <c r="U492" s="12"/>
      <c r="V492" s="12"/>
      <c r="W492" s="12"/>
      <c r="X492" s="12"/>
      <c r="Y492" s="12"/>
      <c r="Z492" s="12"/>
    </row>
    <row r="493" spans="1:26" ht="15" customHeight="1" x14ac:dyDescent="0.3">
      <c r="A493" s="26"/>
      <c r="B493" s="17"/>
      <c r="C493" s="17"/>
      <c r="D493" s="17"/>
      <c r="E493" s="17"/>
      <c r="F493" s="17"/>
      <c r="G493" s="17"/>
      <c r="H493" s="17"/>
      <c r="I493" s="17"/>
      <c r="J493" s="17"/>
      <c r="K493" s="17"/>
      <c r="L493" s="17"/>
      <c r="M493" s="17"/>
      <c r="N493" s="17"/>
      <c r="O493" s="17"/>
      <c r="P493" s="17"/>
      <c r="Q493" s="17"/>
      <c r="R493" s="17"/>
      <c r="S493" s="17"/>
      <c r="T493" s="17"/>
      <c r="U493" s="12"/>
      <c r="V493" s="12"/>
      <c r="W493" s="12"/>
      <c r="X493" s="12"/>
      <c r="Y493" s="12"/>
      <c r="Z493" s="12"/>
    </row>
    <row r="494" spans="1:26" ht="15" customHeight="1" x14ac:dyDescent="0.3">
      <c r="A494" s="26"/>
      <c r="B494" s="17"/>
      <c r="C494" s="17"/>
      <c r="D494" s="17"/>
      <c r="E494" s="17"/>
      <c r="F494" s="17"/>
      <c r="G494" s="17"/>
      <c r="H494" s="17"/>
      <c r="I494" s="17"/>
      <c r="J494" s="17"/>
      <c r="K494" s="17"/>
      <c r="L494" s="17"/>
      <c r="M494" s="17"/>
      <c r="N494" s="17"/>
      <c r="O494" s="17"/>
      <c r="P494" s="17"/>
      <c r="Q494" s="17"/>
      <c r="R494" s="17"/>
      <c r="S494" s="17"/>
      <c r="T494" s="17"/>
      <c r="U494" s="12"/>
      <c r="V494" s="12"/>
      <c r="W494" s="12"/>
      <c r="X494" s="12"/>
      <c r="Y494" s="12"/>
      <c r="Z494" s="12"/>
    </row>
    <row r="495" spans="1:26" ht="15" customHeight="1" x14ac:dyDescent="0.3">
      <c r="A495" s="26"/>
      <c r="B495" s="17"/>
      <c r="C495" s="17"/>
      <c r="D495" s="17"/>
      <c r="E495" s="17"/>
      <c r="F495" s="17"/>
      <c r="G495" s="17"/>
      <c r="H495" s="17"/>
      <c r="I495" s="17"/>
      <c r="J495" s="17"/>
      <c r="K495" s="17"/>
      <c r="L495" s="17"/>
      <c r="M495" s="17"/>
      <c r="N495" s="17"/>
      <c r="O495" s="17"/>
      <c r="P495" s="17"/>
      <c r="Q495" s="17"/>
      <c r="R495" s="17"/>
      <c r="S495" s="17"/>
      <c r="T495" s="17"/>
      <c r="U495" s="12"/>
      <c r="V495" s="12"/>
      <c r="W495" s="12"/>
      <c r="X495" s="12"/>
      <c r="Y495" s="12"/>
      <c r="Z495" s="12"/>
    </row>
    <row r="496" spans="1:26" ht="15" customHeight="1" x14ac:dyDescent="0.3">
      <c r="A496" s="26"/>
      <c r="B496" s="17"/>
      <c r="C496" s="17"/>
      <c r="D496" s="17"/>
      <c r="E496" s="17"/>
      <c r="F496" s="17"/>
      <c r="G496" s="17"/>
      <c r="H496" s="17"/>
      <c r="I496" s="17"/>
      <c r="J496" s="17"/>
      <c r="K496" s="17"/>
      <c r="L496" s="17"/>
      <c r="M496" s="17"/>
      <c r="N496" s="17"/>
      <c r="O496" s="17"/>
      <c r="P496" s="17"/>
      <c r="Q496" s="17"/>
      <c r="R496" s="17"/>
      <c r="S496" s="17"/>
      <c r="T496" s="17"/>
      <c r="U496" s="12"/>
      <c r="V496" s="12"/>
      <c r="W496" s="12"/>
      <c r="X496" s="12"/>
      <c r="Y496" s="12"/>
      <c r="Z496" s="12"/>
    </row>
    <row r="497" spans="1:26" ht="15" customHeight="1" x14ac:dyDescent="0.3">
      <c r="A497" s="26"/>
      <c r="B497" s="17"/>
      <c r="C497" s="17"/>
      <c r="D497" s="17"/>
      <c r="E497" s="17"/>
      <c r="F497" s="17"/>
      <c r="G497" s="17"/>
      <c r="H497" s="17"/>
      <c r="I497" s="17"/>
      <c r="J497" s="17"/>
      <c r="K497" s="17"/>
      <c r="L497" s="17"/>
      <c r="M497" s="17"/>
      <c r="N497" s="17"/>
      <c r="O497" s="17"/>
      <c r="P497" s="17"/>
      <c r="Q497" s="17"/>
      <c r="R497" s="17"/>
      <c r="S497" s="17"/>
      <c r="T497" s="17"/>
      <c r="U497" s="12"/>
      <c r="V497" s="12"/>
      <c r="W497" s="12"/>
      <c r="X497" s="12"/>
      <c r="Y497" s="12"/>
      <c r="Z497" s="12"/>
    </row>
    <row r="498" spans="1:26" ht="15" customHeight="1" x14ac:dyDescent="0.3">
      <c r="A498" s="26"/>
      <c r="B498" s="17"/>
      <c r="C498" s="17"/>
      <c r="D498" s="17"/>
      <c r="E498" s="17"/>
      <c r="F498" s="17"/>
      <c r="G498" s="17"/>
      <c r="H498" s="17"/>
      <c r="I498" s="17"/>
      <c r="J498" s="17"/>
      <c r="K498" s="17"/>
      <c r="L498" s="17"/>
      <c r="M498" s="17"/>
      <c r="N498" s="17"/>
      <c r="O498" s="17"/>
      <c r="P498" s="17"/>
      <c r="Q498" s="17"/>
      <c r="R498" s="17"/>
      <c r="S498" s="17"/>
      <c r="T498" s="17"/>
      <c r="U498" s="12"/>
      <c r="V498" s="12"/>
      <c r="W498" s="12"/>
      <c r="X498" s="12"/>
      <c r="Y498" s="12"/>
      <c r="Z498" s="12"/>
    </row>
    <row r="499" spans="1:26" ht="15" customHeight="1" x14ac:dyDescent="0.3">
      <c r="A499" s="26"/>
      <c r="B499" s="17"/>
      <c r="C499" s="17"/>
      <c r="D499" s="17"/>
      <c r="E499" s="17"/>
      <c r="F499" s="17"/>
      <c r="G499" s="17"/>
      <c r="H499" s="17"/>
      <c r="I499" s="17"/>
      <c r="J499" s="17"/>
      <c r="K499" s="17"/>
      <c r="L499" s="17"/>
      <c r="M499" s="17"/>
      <c r="N499" s="17"/>
      <c r="O499" s="17"/>
      <c r="P499" s="17"/>
      <c r="Q499" s="17"/>
      <c r="R499" s="17"/>
      <c r="S499" s="17"/>
      <c r="T499" s="17"/>
      <c r="U499" s="12"/>
      <c r="V499" s="12"/>
      <c r="W499" s="12"/>
      <c r="X499" s="12"/>
      <c r="Y499" s="12"/>
      <c r="Z499" s="12"/>
    </row>
    <row r="500" spans="1:26" ht="15" customHeight="1" x14ac:dyDescent="0.3">
      <c r="A500" s="26"/>
      <c r="B500" s="17"/>
      <c r="C500" s="17"/>
      <c r="D500" s="17"/>
      <c r="E500" s="17"/>
      <c r="F500" s="17"/>
      <c r="G500" s="17"/>
      <c r="H500" s="17"/>
      <c r="I500" s="17"/>
      <c r="J500" s="17"/>
      <c r="K500" s="17"/>
      <c r="L500" s="17"/>
      <c r="M500" s="17"/>
      <c r="N500" s="17"/>
      <c r="O500" s="17"/>
      <c r="P500" s="17"/>
      <c r="Q500" s="17"/>
      <c r="R500" s="17"/>
      <c r="S500" s="17"/>
      <c r="T500" s="17"/>
      <c r="U500" s="12"/>
      <c r="V500" s="12"/>
      <c r="W500" s="12"/>
      <c r="X500" s="12"/>
      <c r="Y500" s="12"/>
      <c r="Z500" s="12"/>
    </row>
    <row r="501" spans="1:26" ht="15" customHeight="1" x14ac:dyDescent="0.3">
      <c r="A501" s="26"/>
      <c r="B501" s="17"/>
      <c r="C501" s="17"/>
      <c r="D501" s="17"/>
      <c r="E501" s="17"/>
      <c r="F501" s="17"/>
      <c r="G501" s="17"/>
      <c r="H501" s="17"/>
      <c r="I501" s="17"/>
      <c r="J501" s="17"/>
      <c r="K501" s="17"/>
      <c r="L501" s="17"/>
      <c r="M501" s="17"/>
      <c r="N501" s="17"/>
      <c r="O501" s="17"/>
      <c r="P501" s="17"/>
      <c r="Q501" s="17"/>
      <c r="R501" s="17"/>
      <c r="S501" s="17"/>
      <c r="T501" s="17"/>
      <c r="U501" s="12"/>
      <c r="V501" s="12"/>
      <c r="W501" s="12"/>
      <c r="X501" s="12"/>
      <c r="Y501" s="12"/>
      <c r="Z501" s="12"/>
    </row>
    <row r="502" spans="1:26" ht="15" customHeight="1" x14ac:dyDescent="0.3">
      <c r="A502" s="26"/>
      <c r="B502" s="17"/>
      <c r="C502" s="17"/>
      <c r="D502" s="17"/>
      <c r="E502" s="17"/>
      <c r="F502" s="17"/>
      <c r="G502" s="17"/>
      <c r="H502" s="17"/>
      <c r="I502" s="17"/>
      <c r="J502" s="17"/>
      <c r="K502" s="17"/>
      <c r="L502" s="17"/>
      <c r="M502" s="17"/>
      <c r="N502" s="17"/>
      <c r="O502" s="17"/>
      <c r="P502" s="17"/>
      <c r="Q502" s="17"/>
      <c r="R502" s="17"/>
      <c r="S502" s="17"/>
      <c r="T502" s="17"/>
      <c r="U502" s="12"/>
      <c r="V502" s="12"/>
      <c r="W502" s="12"/>
      <c r="X502" s="12"/>
      <c r="Y502" s="12"/>
      <c r="Z502" s="12"/>
    </row>
    <row r="503" spans="1:26" ht="15" customHeight="1" x14ac:dyDescent="0.3">
      <c r="A503" s="26"/>
      <c r="B503" s="17"/>
      <c r="C503" s="17"/>
      <c r="D503" s="17"/>
      <c r="E503" s="17"/>
      <c r="F503" s="17"/>
      <c r="G503" s="17"/>
      <c r="H503" s="17"/>
      <c r="I503" s="17"/>
      <c r="J503" s="17"/>
      <c r="K503" s="17"/>
      <c r="L503" s="17"/>
      <c r="M503" s="17"/>
      <c r="N503" s="17"/>
      <c r="O503" s="17"/>
      <c r="P503" s="17"/>
      <c r="Q503" s="17"/>
      <c r="R503" s="17"/>
      <c r="S503" s="17"/>
      <c r="T503" s="17"/>
      <c r="U503" s="12"/>
      <c r="V503" s="12"/>
      <c r="W503" s="12"/>
      <c r="X503" s="12"/>
      <c r="Y503" s="12"/>
      <c r="Z503" s="12"/>
    </row>
    <row r="504" spans="1:26" ht="15" customHeight="1" x14ac:dyDescent="0.3">
      <c r="A504" s="26"/>
      <c r="B504" s="17"/>
      <c r="C504" s="17"/>
      <c r="D504" s="17"/>
      <c r="E504" s="17"/>
      <c r="F504" s="17"/>
      <c r="G504" s="17"/>
      <c r="H504" s="17"/>
      <c r="I504" s="17"/>
      <c r="J504" s="17"/>
      <c r="K504" s="17"/>
      <c r="L504" s="17"/>
      <c r="M504" s="17"/>
      <c r="N504" s="17"/>
      <c r="O504" s="17"/>
      <c r="P504" s="17"/>
      <c r="Q504" s="17"/>
      <c r="R504" s="17"/>
      <c r="S504" s="17"/>
      <c r="T504" s="17"/>
      <c r="U504" s="12"/>
      <c r="V504" s="12"/>
      <c r="W504" s="12"/>
      <c r="X504" s="12"/>
      <c r="Y504" s="12"/>
      <c r="Z504" s="12"/>
    </row>
    <row r="505" spans="1:26" ht="15" customHeight="1" x14ac:dyDescent="0.3">
      <c r="A505" s="26"/>
      <c r="B505" s="17"/>
      <c r="C505" s="17"/>
      <c r="D505" s="17"/>
      <c r="E505" s="17"/>
      <c r="F505" s="17"/>
      <c r="G505" s="17"/>
      <c r="H505" s="17"/>
      <c r="I505" s="17"/>
      <c r="J505" s="17"/>
      <c r="K505" s="17"/>
      <c r="L505" s="17"/>
      <c r="M505" s="17"/>
      <c r="N505" s="17"/>
      <c r="O505" s="17"/>
      <c r="P505" s="17"/>
      <c r="Q505" s="17"/>
      <c r="R505" s="17"/>
      <c r="S505" s="17"/>
      <c r="T505" s="17"/>
      <c r="U505" s="12"/>
      <c r="V505" s="12"/>
      <c r="W505" s="12"/>
      <c r="X505" s="12"/>
      <c r="Y505" s="12"/>
      <c r="Z505" s="12"/>
    </row>
    <row r="506" spans="1:26" ht="15" customHeight="1" x14ac:dyDescent="0.3">
      <c r="A506" s="26"/>
      <c r="B506" s="17"/>
      <c r="C506" s="17"/>
      <c r="D506" s="17"/>
      <c r="E506" s="17"/>
      <c r="F506" s="17"/>
      <c r="G506" s="17"/>
      <c r="H506" s="17"/>
      <c r="I506" s="17"/>
      <c r="J506" s="17"/>
      <c r="K506" s="17"/>
      <c r="L506" s="17"/>
      <c r="M506" s="17"/>
      <c r="N506" s="17"/>
      <c r="O506" s="17"/>
      <c r="P506" s="17"/>
      <c r="Q506" s="17"/>
      <c r="R506" s="17"/>
      <c r="S506" s="17"/>
      <c r="T506" s="17"/>
      <c r="U506" s="12"/>
      <c r="V506" s="12"/>
      <c r="W506" s="12"/>
      <c r="X506" s="12"/>
      <c r="Y506" s="12"/>
      <c r="Z506" s="12"/>
    </row>
    <row r="507" spans="1:26" ht="15" customHeight="1" x14ac:dyDescent="0.3">
      <c r="A507" s="26"/>
      <c r="B507" s="17"/>
      <c r="C507" s="17"/>
      <c r="D507" s="17"/>
      <c r="E507" s="17"/>
      <c r="F507" s="17"/>
      <c r="G507" s="17"/>
      <c r="H507" s="17"/>
      <c r="I507" s="17"/>
      <c r="J507" s="17"/>
      <c r="K507" s="17"/>
      <c r="L507" s="17"/>
      <c r="M507" s="17"/>
      <c r="N507" s="17"/>
      <c r="O507" s="17"/>
      <c r="P507" s="17"/>
      <c r="Q507" s="17"/>
      <c r="R507" s="17"/>
      <c r="S507" s="17"/>
      <c r="T507" s="17"/>
      <c r="U507" s="12"/>
      <c r="V507" s="12"/>
      <c r="W507" s="12"/>
      <c r="X507" s="12"/>
      <c r="Y507" s="12"/>
      <c r="Z507" s="12"/>
    </row>
    <row r="508" spans="1:26" ht="15" customHeight="1" x14ac:dyDescent="0.3">
      <c r="A508" s="26"/>
      <c r="B508" s="17"/>
      <c r="C508" s="17"/>
      <c r="D508" s="17"/>
      <c r="E508" s="17"/>
      <c r="F508" s="17"/>
      <c r="G508" s="17"/>
      <c r="H508" s="17"/>
      <c r="I508" s="17"/>
      <c r="J508" s="17"/>
      <c r="K508" s="17"/>
      <c r="L508" s="17"/>
      <c r="M508" s="17"/>
      <c r="N508" s="17"/>
      <c r="O508" s="17"/>
      <c r="P508" s="17"/>
      <c r="Q508" s="17"/>
      <c r="R508" s="17"/>
      <c r="S508" s="17"/>
      <c r="T508" s="17"/>
      <c r="U508" s="12"/>
      <c r="V508" s="12"/>
      <c r="W508" s="12"/>
      <c r="X508" s="12"/>
      <c r="Y508" s="12"/>
      <c r="Z508" s="12"/>
    </row>
    <row r="509" spans="1:26" ht="15" customHeight="1" x14ac:dyDescent="0.3">
      <c r="A509" s="26"/>
      <c r="B509" s="17"/>
      <c r="C509" s="17"/>
      <c r="D509" s="17"/>
      <c r="E509" s="17"/>
      <c r="F509" s="17"/>
      <c r="G509" s="17"/>
      <c r="H509" s="17"/>
      <c r="I509" s="17"/>
      <c r="J509" s="17"/>
      <c r="K509" s="17"/>
      <c r="L509" s="17"/>
      <c r="M509" s="17"/>
      <c r="N509" s="17"/>
      <c r="O509" s="17"/>
      <c r="P509" s="17"/>
      <c r="Q509" s="17"/>
      <c r="R509" s="17"/>
      <c r="S509" s="17"/>
      <c r="T509" s="17"/>
      <c r="U509" s="12"/>
      <c r="V509" s="12"/>
      <c r="W509" s="12"/>
      <c r="X509" s="12"/>
      <c r="Y509" s="12"/>
      <c r="Z509" s="12"/>
    </row>
    <row r="510" spans="1:26" ht="15" customHeight="1" x14ac:dyDescent="0.3">
      <c r="A510" s="26"/>
      <c r="B510" s="17"/>
      <c r="C510" s="17"/>
      <c r="D510" s="17"/>
      <c r="E510" s="17"/>
      <c r="F510" s="17"/>
      <c r="G510" s="17"/>
      <c r="H510" s="17"/>
      <c r="I510" s="17"/>
      <c r="J510" s="17"/>
      <c r="K510" s="17"/>
      <c r="L510" s="17"/>
      <c r="M510" s="17"/>
      <c r="N510" s="17"/>
      <c r="O510" s="17"/>
      <c r="P510" s="17"/>
      <c r="Q510" s="17"/>
      <c r="R510" s="17"/>
      <c r="S510" s="17"/>
      <c r="T510" s="17"/>
      <c r="U510" s="12"/>
      <c r="V510" s="12"/>
      <c r="W510" s="12"/>
      <c r="X510" s="12"/>
      <c r="Y510" s="12"/>
      <c r="Z510" s="12"/>
    </row>
    <row r="511" spans="1:26" ht="15" customHeight="1" x14ac:dyDescent="0.3">
      <c r="A511" s="26"/>
      <c r="B511" s="17"/>
      <c r="C511" s="17"/>
      <c r="D511" s="17"/>
      <c r="E511" s="17"/>
      <c r="F511" s="17"/>
      <c r="G511" s="17"/>
      <c r="H511" s="17"/>
      <c r="I511" s="17"/>
      <c r="J511" s="17"/>
      <c r="K511" s="17"/>
      <c r="L511" s="17"/>
      <c r="M511" s="17"/>
      <c r="N511" s="17"/>
      <c r="O511" s="17"/>
      <c r="P511" s="17"/>
      <c r="Q511" s="17"/>
      <c r="R511" s="17"/>
      <c r="S511" s="17"/>
      <c r="T511" s="17"/>
      <c r="U511" s="12"/>
      <c r="V511" s="12"/>
      <c r="W511" s="12"/>
      <c r="X511" s="12"/>
      <c r="Y511" s="12"/>
      <c r="Z511" s="12"/>
    </row>
    <row r="512" spans="1:26" ht="15" customHeight="1" x14ac:dyDescent="0.3">
      <c r="A512" s="26"/>
      <c r="B512" s="17"/>
      <c r="C512" s="17"/>
      <c r="D512" s="17"/>
      <c r="E512" s="17"/>
      <c r="F512" s="17"/>
      <c r="G512" s="17"/>
      <c r="H512" s="17"/>
      <c r="I512" s="17"/>
      <c r="J512" s="17"/>
      <c r="K512" s="17"/>
      <c r="L512" s="17"/>
      <c r="M512" s="17"/>
      <c r="N512" s="17"/>
      <c r="O512" s="17"/>
      <c r="P512" s="17"/>
      <c r="Q512" s="17"/>
      <c r="R512" s="17"/>
      <c r="S512" s="17"/>
      <c r="T512" s="17"/>
      <c r="U512" s="12"/>
      <c r="V512" s="12"/>
      <c r="W512" s="12"/>
      <c r="X512" s="12"/>
      <c r="Y512" s="12"/>
      <c r="Z512" s="12"/>
    </row>
    <row r="513" spans="1:26" ht="15" customHeight="1" x14ac:dyDescent="0.3">
      <c r="A513" s="26"/>
      <c r="B513" s="17"/>
      <c r="C513" s="17"/>
      <c r="D513" s="17"/>
      <c r="E513" s="17"/>
      <c r="F513" s="17"/>
      <c r="G513" s="17"/>
      <c r="H513" s="17"/>
      <c r="I513" s="17"/>
      <c r="J513" s="17"/>
      <c r="K513" s="17"/>
      <c r="L513" s="17"/>
      <c r="M513" s="17"/>
      <c r="N513" s="17"/>
      <c r="O513" s="17"/>
      <c r="P513" s="17"/>
      <c r="Q513" s="17"/>
      <c r="R513" s="17"/>
      <c r="S513" s="17"/>
      <c r="T513" s="17"/>
      <c r="U513" s="12"/>
      <c r="V513" s="12"/>
      <c r="W513" s="12"/>
      <c r="X513" s="12"/>
      <c r="Y513" s="12"/>
      <c r="Z513" s="12"/>
    </row>
    <row r="514" spans="1:26" ht="15" customHeight="1" x14ac:dyDescent="0.3">
      <c r="A514" s="26"/>
      <c r="B514" s="17"/>
      <c r="C514" s="17"/>
      <c r="D514" s="17"/>
      <c r="E514" s="17"/>
      <c r="F514" s="17"/>
      <c r="G514" s="17"/>
      <c r="H514" s="17"/>
      <c r="I514" s="17"/>
      <c r="J514" s="17"/>
      <c r="K514" s="17"/>
      <c r="L514" s="17"/>
      <c r="M514" s="17"/>
      <c r="N514" s="17"/>
      <c r="O514" s="17"/>
      <c r="P514" s="17"/>
      <c r="Q514" s="17"/>
      <c r="R514" s="17"/>
      <c r="S514" s="17"/>
      <c r="T514" s="17"/>
      <c r="U514" s="12"/>
      <c r="V514" s="12"/>
      <c r="W514" s="12"/>
      <c r="X514" s="12"/>
      <c r="Y514" s="12"/>
      <c r="Z514" s="12"/>
    </row>
    <row r="515" spans="1:26" ht="15" customHeight="1" x14ac:dyDescent="0.3">
      <c r="A515" s="26"/>
      <c r="B515" s="17"/>
      <c r="C515" s="17"/>
      <c r="D515" s="17"/>
      <c r="E515" s="17"/>
      <c r="F515" s="17"/>
      <c r="G515" s="17"/>
      <c r="H515" s="17"/>
      <c r="I515" s="17"/>
      <c r="J515" s="17"/>
      <c r="K515" s="17"/>
      <c r="L515" s="17"/>
      <c r="M515" s="17"/>
      <c r="N515" s="17"/>
      <c r="O515" s="17"/>
      <c r="P515" s="17"/>
      <c r="Q515" s="17"/>
      <c r="R515" s="17"/>
      <c r="S515" s="17"/>
      <c r="T515" s="17"/>
      <c r="U515" s="12"/>
      <c r="V515" s="12"/>
      <c r="W515" s="12"/>
      <c r="X515" s="12"/>
      <c r="Y515" s="12"/>
      <c r="Z515" s="12"/>
    </row>
    <row r="516" spans="1:26" ht="15" customHeight="1" x14ac:dyDescent="0.3">
      <c r="A516" s="26"/>
      <c r="B516" s="17"/>
      <c r="C516" s="17"/>
      <c r="D516" s="17"/>
      <c r="E516" s="17"/>
      <c r="F516" s="17"/>
      <c r="G516" s="17"/>
      <c r="H516" s="17"/>
      <c r="I516" s="17"/>
      <c r="J516" s="17"/>
      <c r="K516" s="17"/>
      <c r="L516" s="17"/>
      <c r="M516" s="17"/>
      <c r="N516" s="17"/>
      <c r="O516" s="17"/>
      <c r="P516" s="17"/>
      <c r="Q516" s="17"/>
      <c r="R516" s="17"/>
      <c r="S516" s="17"/>
      <c r="T516" s="17"/>
      <c r="U516" s="12"/>
      <c r="V516" s="12"/>
      <c r="W516" s="12"/>
      <c r="X516" s="12"/>
      <c r="Y516" s="12"/>
      <c r="Z516" s="12"/>
    </row>
    <row r="517" spans="1:26" ht="15" customHeight="1" x14ac:dyDescent="0.3">
      <c r="A517" s="26"/>
      <c r="B517" s="17"/>
      <c r="C517" s="17"/>
      <c r="D517" s="17"/>
      <c r="E517" s="17"/>
      <c r="F517" s="17"/>
      <c r="G517" s="17"/>
      <c r="H517" s="17"/>
      <c r="I517" s="17"/>
      <c r="J517" s="17"/>
      <c r="K517" s="17"/>
      <c r="L517" s="17"/>
      <c r="M517" s="17"/>
      <c r="N517" s="17"/>
      <c r="O517" s="17"/>
      <c r="P517" s="17"/>
      <c r="Q517" s="17"/>
      <c r="R517" s="17"/>
      <c r="S517" s="17"/>
      <c r="T517" s="17"/>
      <c r="U517" s="12"/>
      <c r="V517" s="12"/>
      <c r="W517" s="12"/>
      <c r="X517" s="12"/>
      <c r="Y517" s="12"/>
      <c r="Z517" s="12"/>
    </row>
    <row r="518" spans="1:26" ht="15" customHeight="1" x14ac:dyDescent="0.3">
      <c r="A518" s="26"/>
      <c r="B518" s="17"/>
      <c r="C518" s="17"/>
      <c r="D518" s="17"/>
      <c r="E518" s="17"/>
      <c r="F518" s="17"/>
      <c r="G518" s="17"/>
      <c r="H518" s="17"/>
      <c r="I518" s="17"/>
      <c r="J518" s="17"/>
      <c r="K518" s="17"/>
      <c r="L518" s="17"/>
      <c r="M518" s="17"/>
      <c r="N518" s="17"/>
      <c r="O518" s="17"/>
      <c r="P518" s="17"/>
      <c r="Q518" s="17"/>
      <c r="R518" s="17"/>
      <c r="S518" s="17"/>
      <c r="T518" s="17"/>
      <c r="U518" s="12"/>
      <c r="V518" s="12"/>
      <c r="W518" s="12"/>
      <c r="X518" s="12"/>
      <c r="Y518" s="12"/>
      <c r="Z518" s="12"/>
    </row>
    <row r="519" spans="1:26" ht="15" customHeight="1" x14ac:dyDescent="0.3">
      <c r="A519" s="26"/>
      <c r="B519" s="17"/>
      <c r="C519" s="17"/>
      <c r="D519" s="17"/>
      <c r="E519" s="17"/>
      <c r="F519" s="17"/>
      <c r="G519" s="17"/>
      <c r="H519" s="17"/>
      <c r="I519" s="17"/>
      <c r="J519" s="17"/>
      <c r="K519" s="17"/>
      <c r="L519" s="17"/>
      <c r="M519" s="17"/>
      <c r="N519" s="17"/>
      <c r="O519" s="17"/>
      <c r="P519" s="17"/>
      <c r="Q519" s="17"/>
      <c r="R519" s="17"/>
      <c r="S519" s="17"/>
      <c r="T519" s="17"/>
      <c r="U519" s="12"/>
      <c r="V519" s="12"/>
      <c r="W519" s="12"/>
      <c r="X519" s="12"/>
      <c r="Y519" s="12"/>
      <c r="Z519" s="12"/>
    </row>
    <row r="520" spans="1:26" ht="15" customHeight="1" x14ac:dyDescent="0.3">
      <c r="A520" s="26"/>
      <c r="B520" s="17"/>
      <c r="C520" s="17"/>
      <c r="D520" s="17"/>
      <c r="E520" s="17"/>
      <c r="F520" s="17"/>
      <c r="G520" s="17"/>
      <c r="H520" s="17"/>
      <c r="I520" s="17"/>
      <c r="J520" s="17"/>
      <c r="K520" s="17"/>
      <c r="L520" s="17"/>
      <c r="M520" s="17"/>
      <c r="N520" s="17"/>
      <c r="O520" s="17"/>
      <c r="P520" s="17"/>
      <c r="Q520" s="17"/>
      <c r="R520" s="17"/>
      <c r="S520" s="17"/>
      <c r="T520" s="17"/>
      <c r="U520" s="12"/>
      <c r="V520" s="12"/>
      <c r="W520" s="12"/>
      <c r="X520" s="12"/>
      <c r="Y520" s="12"/>
      <c r="Z520" s="12"/>
    </row>
    <row r="521" spans="1:26" ht="15" customHeight="1" x14ac:dyDescent="0.3">
      <c r="A521" s="26"/>
      <c r="B521" s="17"/>
      <c r="C521" s="17"/>
      <c r="D521" s="17"/>
      <c r="E521" s="17"/>
      <c r="F521" s="17"/>
      <c r="G521" s="17"/>
      <c r="H521" s="17"/>
      <c r="I521" s="17"/>
      <c r="J521" s="17"/>
      <c r="K521" s="17"/>
      <c r="L521" s="17"/>
      <c r="M521" s="17"/>
      <c r="N521" s="17"/>
      <c r="O521" s="17"/>
      <c r="P521" s="17"/>
      <c r="Q521" s="17"/>
      <c r="R521" s="17"/>
      <c r="S521" s="17"/>
      <c r="T521" s="17"/>
      <c r="U521" s="12"/>
      <c r="V521" s="12"/>
      <c r="W521" s="12"/>
      <c r="X521" s="12"/>
      <c r="Y521" s="12"/>
      <c r="Z521" s="12"/>
    </row>
    <row r="522" spans="1:26" ht="15" customHeight="1" x14ac:dyDescent="0.3">
      <c r="A522" s="26"/>
      <c r="B522" s="17"/>
      <c r="C522" s="17"/>
      <c r="D522" s="17"/>
      <c r="E522" s="17"/>
      <c r="F522" s="17"/>
      <c r="G522" s="17"/>
      <c r="H522" s="17"/>
      <c r="I522" s="17"/>
      <c r="J522" s="17"/>
      <c r="K522" s="17"/>
      <c r="L522" s="17"/>
      <c r="M522" s="17"/>
      <c r="N522" s="17"/>
      <c r="O522" s="17"/>
      <c r="P522" s="17"/>
      <c r="Q522" s="17"/>
      <c r="R522" s="17"/>
      <c r="S522" s="17"/>
      <c r="T522" s="17"/>
      <c r="U522" s="12"/>
      <c r="V522" s="12"/>
      <c r="W522" s="12"/>
      <c r="X522" s="12"/>
      <c r="Y522" s="12"/>
      <c r="Z522" s="12"/>
    </row>
    <row r="523" spans="1:26" ht="15" customHeight="1" x14ac:dyDescent="0.3">
      <c r="A523" s="26"/>
      <c r="B523" s="17"/>
      <c r="C523" s="17"/>
      <c r="D523" s="17"/>
      <c r="E523" s="17"/>
      <c r="F523" s="17"/>
      <c r="G523" s="17"/>
      <c r="H523" s="17"/>
      <c r="I523" s="17"/>
      <c r="J523" s="17"/>
      <c r="K523" s="17"/>
      <c r="L523" s="17"/>
      <c r="M523" s="17"/>
      <c r="N523" s="17"/>
      <c r="O523" s="17"/>
      <c r="P523" s="17"/>
      <c r="Q523" s="17"/>
      <c r="R523" s="17"/>
      <c r="S523" s="17"/>
      <c r="T523" s="17"/>
      <c r="U523" s="12"/>
      <c r="V523" s="12"/>
      <c r="W523" s="12"/>
      <c r="X523" s="12"/>
      <c r="Y523" s="12"/>
      <c r="Z523" s="12"/>
    </row>
    <row r="524" spans="1:26" ht="15" customHeight="1" x14ac:dyDescent="0.3">
      <c r="A524" s="26"/>
      <c r="B524" s="17"/>
      <c r="C524" s="17"/>
      <c r="D524" s="17"/>
      <c r="E524" s="17"/>
      <c r="F524" s="17"/>
      <c r="G524" s="17"/>
      <c r="H524" s="17"/>
      <c r="I524" s="17"/>
      <c r="J524" s="17"/>
      <c r="K524" s="17"/>
      <c r="L524" s="17"/>
      <c r="M524" s="17"/>
      <c r="N524" s="17"/>
      <c r="O524" s="17"/>
      <c r="P524" s="17"/>
      <c r="Q524" s="17"/>
      <c r="R524" s="17"/>
      <c r="S524" s="17"/>
      <c r="T524" s="17"/>
      <c r="U524" s="12"/>
      <c r="V524" s="12"/>
      <c r="W524" s="12"/>
      <c r="X524" s="12"/>
      <c r="Y524" s="12"/>
      <c r="Z524" s="12"/>
    </row>
    <row r="525" spans="1:26" ht="15" customHeight="1" x14ac:dyDescent="0.3">
      <c r="A525" s="26"/>
      <c r="B525" s="17"/>
      <c r="C525" s="17"/>
      <c r="D525" s="17"/>
      <c r="E525" s="17"/>
      <c r="F525" s="17"/>
      <c r="G525" s="17"/>
      <c r="H525" s="17"/>
      <c r="I525" s="17"/>
      <c r="J525" s="17"/>
      <c r="K525" s="17"/>
      <c r="L525" s="17"/>
      <c r="M525" s="17"/>
      <c r="N525" s="17"/>
      <c r="O525" s="17"/>
      <c r="P525" s="17"/>
      <c r="Q525" s="17"/>
      <c r="R525" s="17"/>
      <c r="S525" s="17"/>
      <c r="T525" s="17"/>
      <c r="U525" s="12"/>
      <c r="V525" s="12"/>
      <c r="W525" s="12"/>
      <c r="X525" s="12"/>
      <c r="Y525" s="12"/>
      <c r="Z525" s="12"/>
    </row>
    <row r="526" spans="1:26" ht="15" customHeight="1" x14ac:dyDescent="0.3">
      <c r="A526" s="26"/>
      <c r="B526" s="17"/>
      <c r="C526" s="17"/>
      <c r="D526" s="17"/>
      <c r="E526" s="17"/>
      <c r="F526" s="17"/>
      <c r="G526" s="17"/>
      <c r="H526" s="17"/>
      <c r="I526" s="17"/>
      <c r="J526" s="17"/>
      <c r="K526" s="17"/>
      <c r="L526" s="17"/>
      <c r="M526" s="17"/>
      <c r="N526" s="17"/>
      <c r="O526" s="17"/>
      <c r="P526" s="17"/>
      <c r="Q526" s="17"/>
      <c r="R526" s="17"/>
      <c r="S526" s="17"/>
      <c r="T526" s="17"/>
      <c r="U526" s="12"/>
      <c r="V526" s="12"/>
      <c r="W526" s="12"/>
      <c r="X526" s="12"/>
      <c r="Y526" s="12"/>
      <c r="Z526" s="12"/>
    </row>
    <row r="527" spans="1:26" ht="15" customHeight="1" x14ac:dyDescent="0.3">
      <c r="A527" s="26"/>
      <c r="B527" s="17"/>
      <c r="C527" s="17"/>
      <c r="D527" s="17"/>
      <c r="E527" s="17"/>
      <c r="F527" s="17"/>
      <c r="G527" s="17"/>
      <c r="H527" s="17"/>
      <c r="I527" s="17"/>
      <c r="J527" s="17"/>
      <c r="K527" s="17"/>
      <c r="L527" s="17"/>
      <c r="M527" s="17"/>
      <c r="N527" s="17"/>
      <c r="O527" s="17"/>
      <c r="P527" s="17"/>
      <c r="Q527" s="17"/>
      <c r="R527" s="17"/>
      <c r="S527" s="17"/>
      <c r="T527" s="17"/>
      <c r="U527" s="12"/>
      <c r="V527" s="12"/>
      <c r="W527" s="12"/>
      <c r="X527" s="12"/>
      <c r="Y527" s="12"/>
      <c r="Z527" s="12"/>
    </row>
    <row r="528" spans="1:26" ht="15" customHeight="1" x14ac:dyDescent="0.3">
      <c r="A528" s="26"/>
      <c r="B528" s="17"/>
      <c r="C528" s="17"/>
      <c r="D528" s="17"/>
      <c r="E528" s="17"/>
      <c r="F528" s="17"/>
      <c r="G528" s="17"/>
      <c r="H528" s="17"/>
      <c r="I528" s="17"/>
      <c r="J528" s="17"/>
      <c r="K528" s="17"/>
      <c r="L528" s="17"/>
      <c r="M528" s="17"/>
      <c r="N528" s="17"/>
      <c r="O528" s="17"/>
      <c r="P528" s="17"/>
      <c r="Q528" s="17"/>
      <c r="R528" s="17"/>
      <c r="S528" s="17"/>
      <c r="T528" s="17"/>
      <c r="U528" s="12"/>
      <c r="V528" s="12"/>
      <c r="W528" s="12"/>
      <c r="X528" s="12"/>
      <c r="Y528" s="12"/>
      <c r="Z528" s="12"/>
    </row>
    <row r="529" spans="1:26" ht="15" customHeight="1" x14ac:dyDescent="0.3">
      <c r="A529" s="26"/>
      <c r="B529" s="17"/>
      <c r="C529" s="17"/>
      <c r="D529" s="17"/>
      <c r="E529" s="17"/>
      <c r="F529" s="17"/>
      <c r="G529" s="17"/>
      <c r="H529" s="17"/>
      <c r="I529" s="17"/>
      <c r="J529" s="17"/>
      <c r="K529" s="17"/>
      <c r="L529" s="17"/>
      <c r="M529" s="17"/>
      <c r="N529" s="17"/>
      <c r="O529" s="17"/>
      <c r="P529" s="17"/>
      <c r="Q529" s="17"/>
      <c r="R529" s="17"/>
      <c r="S529" s="17"/>
      <c r="T529" s="17"/>
      <c r="U529" s="12"/>
      <c r="V529" s="12"/>
      <c r="W529" s="12"/>
      <c r="X529" s="12"/>
      <c r="Y529" s="12"/>
      <c r="Z529" s="12"/>
    </row>
    <row r="530" spans="1:26" ht="15" customHeight="1" x14ac:dyDescent="0.3">
      <c r="A530" s="26"/>
      <c r="B530" s="17"/>
      <c r="C530" s="17"/>
      <c r="D530" s="17"/>
      <c r="E530" s="17"/>
      <c r="F530" s="17"/>
      <c r="G530" s="17"/>
      <c r="H530" s="17"/>
      <c r="I530" s="17"/>
      <c r="J530" s="17"/>
      <c r="K530" s="17"/>
      <c r="L530" s="17"/>
      <c r="M530" s="17"/>
      <c r="N530" s="17"/>
      <c r="O530" s="17"/>
      <c r="P530" s="17"/>
      <c r="Q530" s="17"/>
      <c r="R530" s="17"/>
      <c r="S530" s="17"/>
      <c r="T530" s="17"/>
      <c r="U530" s="12"/>
      <c r="V530" s="12"/>
      <c r="W530" s="12"/>
      <c r="X530" s="12"/>
      <c r="Y530" s="12"/>
      <c r="Z530" s="12"/>
    </row>
    <row r="531" spans="1:26" ht="15" customHeight="1" x14ac:dyDescent="0.3">
      <c r="A531" s="26"/>
      <c r="B531" s="17"/>
      <c r="C531" s="17"/>
      <c r="D531" s="17"/>
      <c r="E531" s="17"/>
      <c r="F531" s="17"/>
      <c r="G531" s="17"/>
      <c r="H531" s="17"/>
      <c r="I531" s="17"/>
      <c r="J531" s="17"/>
      <c r="K531" s="17"/>
      <c r="L531" s="17"/>
      <c r="M531" s="17"/>
      <c r="N531" s="17"/>
      <c r="O531" s="17"/>
      <c r="P531" s="17"/>
      <c r="Q531" s="17"/>
      <c r="R531" s="17"/>
      <c r="S531" s="17"/>
      <c r="T531" s="17"/>
      <c r="U531" s="12"/>
      <c r="V531" s="12"/>
      <c r="W531" s="12"/>
      <c r="X531" s="12"/>
      <c r="Y531" s="12"/>
      <c r="Z531" s="12"/>
    </row>
    <row r="532" spans="1:26" ht="15" customHeight="1" x14ac:dyDescent="0.3">
      <c r="A532" s="26"/>
      <c r="B532" s="17"/>
      <c r="C532" s="17"/>
      <c r="D532" s="17"/>
      <c r="E532" s="17"/>
      <c r="F532" s="17"/>
      <c r="G532" s="17"/>
      <c r="H532" s="17"/>
      <c r="I532" s="17"/>
      <c r="J532" s="17"/>
      <c r="K532" s="17"/>
      <c r="L532" s="17"/>
      <c r="M532" s="17"/>
      <c r="N532" s="17"/>
      <c r="O532" s="17"/>
      <c r="P532" s="17"/>
      <c r="Q532" s="17"/>
      <c r="R532" s="17"/>
      <c r="S532" s="17"/>
      <c r="T532" s="17"/>
      <c r="U532" s="12"/>
      <c r="V532" s="12"/>
      <c r="W532" s="12"/>
      <c r="X532" s="12"/>
      <c r="Y532" s="12"/>
      <c r="Z532" s="12"/>
    </row>
    <row r="533" spans="1:26" ht="15" customHeight="1" x14ac:dyDescent="0.3">
      <c r="A533" s="26"/>
      <c r="B533" s="17"/>
      <c r="C533" s="17"/>
      <c r="D533" s="17"/>
      <c r="E533" s="17"/>
      <c r="F533" s="17"/>
      <c r="G533" s="17"/>
      <c r="H533" s="17"/>
      <c r="I533" s="17"/>
      <c r="J533" s="17"/>
      <c r="K533" s="17"/>
      <c r="L533" s="17"/>
      <c r="M533" s="17"/>
      <c r="N533" s="17"/>
      <c r="O533" s="17"/>
      <c r="P533" s="17"/>
      <c r="Q533" s="17"/>
      <c r="R533" s="17"/>
      <c r="S533" s="17"/>
      <c r="T533" s="17"/>
      <c r="U533" s="12"/>
      <c r="V533" s="12"/>
      <c r="W533" s="12"/>
      <c r="X533" s="12"/>
      <c r="Y533" s="12"/>
      <c r="Z533" s="12"/>
    </row>
    <row r="534" spans="1:26" ht="15" customHeight="1" x14ac:dyDescent="0.3">
      <c r="A534" s="27"/>
      <c r="B534" s="19"/>
      <c r="C534" s="19"/>
      <c r="D534" s="19"/>
      <c r="E534" s="19"/>
      <c r="F534" s="19"/>
      <c r="G534" s="19"/>
      <c r="H534" s="19"/>
      <c r="I534" s="19"/>
      <c r="J534" s="19"/>
      <c r="K534" s="17"/>
      <c r="L534" s="17"/>
      <c r="M534" s="17"/>
      <c r="N534" s="17"/>
      <c r="O534" s="17"/>
      <c r="P534" s="17"/>
      <c r="Q534" s="17"/>
      <c r="R534" s="17"/>
      <c r="S534" s="17"/>
      <c r="T534" s="17"/>
      <c r="U534" s="12"/>
      <c r="V534" s="12"/>
      <c r="W534" s="12"/>
      <c r="X534" s="12"/>
      <c r="Y534" s="12"/>
      <c r="Z534" s="12"/>
    </row>
    <row r="535" spans="1:26" ht="15" customHeight="1" x14ac:dyDescent="0.3">
      <c r="A535" s="27"/>
      <c r="B535" s="19"/>
      <c r="C535" s="19"/>
      <c r="D535" s="19"/>
      <c r="E535" s="19"/>
      <c r="F535" s="19"/>
      <c r="G535" s="19"/>
      <c r="H535" s="19"/>
      <c r="I535" s="19"/>
      <c r="J535" s="19"/>
      <c r="K535" s="17"/>
      <c r="L535" s="17"/>
      <c r="M535" s="17"/>
      <c r="N535" s="17"/>
      <c r="O535" s="17"/>
      <c r="P535" s="17"/>
      <c r="Q535" s="17"/>
      <c r="R535" s="17"/>
      <c r="S535" s="17"/>
      <c r="T535" s="17"/>
      <c r="U535" s="12"/>
      <c r="V535" s="12"/>
      <c r="W535" s="12"/>
      <c r="X535" s="12"/>
      <c r="Y535" s="12"/>
      <c r="Z535" s="12"/>
    </row>
    <row r="536" spans="1:26" ht="15" customHeight="1" x14ac:dyDescent="0.3">
      <c r="A536" s="27"/>
      <c r="B536" s="19"/>
      <c r="C536" s="19"/>
      <c r="D536" s="19"/>
      <c r="E536" s="19"/>
      <c r="F536" s="19"/>
      <c r="G536" s="19"/>
      <c r="H536" s="19"/>
      <c r="I536" s="19"/>
      <c r="J536" s="19"/>
      <c r="K536" s="17"/>
      <c r="L536" s="17"/>
      <c r="M536" s="17"/>
      <c r="N536" s="17"/>
      <c r="O536" s="17"/>
      <c r="P536" s="17"/>
      <c r="Q536" s="17"/>
      <c r="R536" s="17"/>
      <c r="S536" s="17"/>
      <c r="T536" s="17"/>
      <c r="U536" s="12"/>
      <c r="V536" s="12"/>
      <c r="W536" s="12"/>
      <c r="X536" s="12"/>
      <c r="Y536" s="12"/>
      <c r="Z536" s="12"/>
    </row>
    <row r="537" spans="1:26" ht="15" customHeight="1" x14ac:dyDescent="0.3">
      <c r="A537" s="27"/>
      <c r="B537" s="19"/>
      <c r="C537" s="19"/>
      <c r="D537" s="19"/>
      <c r="E537" s="19"/>
      <c r="F537" s="19"/>
      <c r="G537" s="19"/>
      <c r="H537" s="19"/>
      <c r="I537" s="19"/>
      <c r="J537" s="19"/>
      <c r="K537" s="17"/>
      <c r="L537" s="17"/>
      <c r="M537" s="17"/>
      <c r="N537" s="17"/>
      <c r="O537" s="17"/>
      <c r="P537" s="17"/>
      <c r="Q537" s="17"/>
      <c r="R537" s="17"/>
      <c r="S537" s="17"/>
      <c r="T537" s="17"/>
      <c r="U537" s="12"/>
      <c r="V537" s="12"/>
      <c r="W537" s="12"/>
      <c r="X537" s="12"/>
      <c r="Y537" s="12"/>
      <c r="Z537" s="12"/>
    </row>
    <row r="538" spans="1:26" ht="15" customHeight="1" x14ac:dyDescent="0.3">
      <c r="A538" s="27"/>
      <c r="B538" s="19"/>
      <c r="C538" s="19"/>
      <c r="D538" s="19"/>
      <c r="E538" s="19"/>
      <c r="F538" s="19"/>
      <c r="G538" s="19"/>
      <c r="H538" s="19"/>
      <c r="I538" s="19"/>
      <c r="J538" s="19"/>
      <c r="K538" s="17"/>
      <c r="L538" s="17"/>
      <c r="M538" s="17"/>
      <c r="N538" s="17"/>
      <c r="O538" s="17"/>
      <c r="P538" s="17"/>
      <c r="Q538" s="17"/>
      <c r="R538" s="17"/>
      <c r="S538" s="17"/>
      <c r="T538" s="17"/>
      <c r="U538" s="12"/>
      <c r="V538" s="12"/>
      <c r="W538" s="12"/>
      <c r="X538" s="12"/>
      <c r="Y538" s="12"/>
      <c r="Z538" s="12"/>
    </row>
    <row r="539" spans="1:26" ht="15" customHeight="1" x14ac:dyDescent="0.3">
      <c r="A539" s="2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 customHeight="1" x14ac:dyDescent="0.3">
      <c r="A540" s="27"/>
      <c r="B540" s="18"/>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customHeight="1" x14ac:dyDescent="0.3">
      <c r="A541" s="2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 customHeight="1" x14ac:dyDescent="0.3">
      <c r="A542" s="2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 customHeight="1" x14ac:dyDescent="0.3">
      <c r="A543" s="2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 customHeight="1" x14ac:dyDescent="0.3">
      <c r="A544" s="2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 customHeight="1" x14ac:dyDescent="0.3">
      <c r="A545" s="2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 customHeight="1" x14ac:dyDescent="0.3">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 customHeight="1" x14ac:dyDescent="0.3">
      <c r="A547" s="2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 customHeight="1" x14ac:dyDescent="0.3">
      <c r="A548" s="2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 customHeight="1" x14ac:dyDescent="0.3">
      <c r="A549" s="2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 customHeight="1" x14ac:dyDescent="0.3">
      <c r="A550" s="2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 customHeight="1" x14ac:dyDescent="0.3">
      <c r="A551" s="2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 customHeight="1" x14ac:dyDescent="0.3">
      <c r="A552" s="2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 customHeight="1" x14ac:dyDescent="0.3">
      <c r="A553" s="2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 customHeight="1" x14ac:dyDescent="0.3">
      <c r="A554" s="2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 customHeight="1" x14ac:dyDescent="0.3">
      <c r="A555" s="2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 customHeight="1" x14ac:dyDescent="0.3">
      <c r="A556" s="2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 customHeight="1" x14ac:dyDescent="0.3">
      <c r="A557" s="2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 customHeight="1" x14ac:dyDescent="0.3">
      <c r="A558" s="2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 customHeight="1" x14ac:dyDescent="0.3">
      <c r="A559" s="2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 customHeight="1" x14ac:dyDescent="0.3">
      <c r="A560" s="2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 customHeight="1" x14ac:dyDescent="0.3">
      <c r="A561" s="2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 customHeight="1" x14ac:dyDescent="0.3">
      <c r="A562" s="2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 customHeight="1" x14ac:dyDescent="0.3">
      <c r="A563" s="2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 customHeight="1" x14ac:dyDescent="0.3">
      <c r="A564" s="2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 customHeight="1" x14ac:dyDescent="0.3">
      <c r="A565" s="2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 customHeight="1" x14ac:dyDescent="0.3">
      <c r="A566" s="2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 customHeight="1" x14ac:dyDescent="0.3">
      <c r="A567" s="2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 customHeight="1" x14ac:dyDescent="0.3">
      <c r="A568" s="2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 customHeight="1" x14ac:dyDescent="0.3">
      <c r="A569" s="2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 customHeight="1" x14ac:dyDescent="0.3">
      <c r="A570" s="2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 customHeight="1" x14ac:dyDescent="0.3">
      <c r="A571" s="2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 customHeight="1" x14ac:dyDescent="0.3">
      <c r="A572" s="2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 customHeight="1" x14ac:dyDescent="0.3">
      <c r="A573" s="2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 customHeight="1" x14ac:dyDescent="0.3">
      <c r="A574" s="2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 customHeight="1" x14ac:dyDescent="0.3">
      <c r="A575" s="2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 customHeight="1" x14ac:dyDescent="0.3">
      <c r="A576" s="2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 customHeight="1" x14ac:dyDescent="0.3">
      <c r="A577" s="2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 customHeight="1" x14ac:dyDescent="0.3">
      <c r="A578" s="2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 customHeight="1" x14ac:dyDescent="0.3">
      <c r="A579" s="2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 customHeight="1" x14ac:dyDescent="0.3">
      <c r="A580" s="2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 customHeight="1" x14ac:dyDescent="0.3">
      <c r="A581" s="2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 customHeight="1" x14ac:dyDescent="0.3">
      <c r="A582" s="2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 customHeight="1" x14ac:dyDescent="0.3">
      <c r="A583" s="2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 customHeight="1" x14ac:dyDescent="0.3">
      <c r="A584" s="2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 customHeight="1" x14ac:dyDescent="0.3">
      <c r="A585" s="2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 customHeight="1" x14ac:dyDescent="0.3">
      <c r="A586" s="2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 customHeight="1" x14ac:dyDescent="0.3">
      <c r="A587" s="2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 customHeight="1" x14ac:dyDescent="0.3">
      <c r="A588" s="2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 customHeight="1" x14ac:dyDescent="0.3">
      <c r="A589" s="2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 customHeight="1" x14ac:dyDescent="0.3">
      <c r="A590" s="2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 customHeight="1" x14ac:dyDescent="0.3">
      <c r="A591" s="2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 customHeight="1" x14ac:dyDescent="0.3">
      <c r="A592" s="2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 customHeight="1" x14ac:dyDescent="0.3">
      <c r="A593" s="2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 customHeight="1" x14ac:dyDescent="0.3">
      <c r="A594" s="2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 customHeight="1" x14ac:dyDescent="0.3">
      <c r="A595" s="2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 customHeight="1" x14ac:dyDescent="0.3">
      <c r="A596" s="2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 customHeight="1" x14ac:dyDescent="0.3">
      <c r="A597" s="2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 customHeight="1" x14ac:dyDescent="0.3">
      <c r="A598" s="2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 customHeight="1" x14ac:dyDescent="0.3">
      <c r="A599" s="2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 customHeight="1" x14ac:dyDescent="0.3">
      <c r="A600" s="2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 customHeight="1" x14ac:dyDescent="0.3">
      <c r="A601" s="2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 customHeight="1" x14ac:dyDescent="0.3">
      <c r="A602" s="2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 customHeight="1" x14ac:dyDescent="0.3">
      <c r="A603" s="2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 customHeight="1" x14ac:dyDescent="0.3">
      <c r="A604" s="2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 customHeight="1" x14ac:dyDescent="0.3">
      <c r="A605" s="2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 customHeight="1" x14ac:dyDescent="0.3">
      <c r="A606" s="2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 customHeight="1" x14ac:dyDescent="0.3">
      <c r="A607" s="2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 customHeight="1" x14ac:dyDescent="0.3">
      <c r="A608" s="2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 customHeight="1" x14ac:dyDescent="0.3">
      <c r="A609" s="2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 customHeight="1" x14ac:dyDescent="0.3">
      <c r="A610" s="2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 customHeight="1" x14ac:dyDescent="0.3">
      <c r="A611" s="2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 customHeight="1" x14ac:dyDescent="0.3">
      <c r="A612" s="2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 customHeight="1" x14ac:dyDescent="0.3">
      <c r="A613" s="2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 customHeight="1" x14ac:dyDescent="0.3">
      <c r="A614" s="2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 customHeight="1" x14ac:dyDescent="0.3">
      <c r="A615" s="2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 customHeight="1" x14ac:dyDescent="0.3">
      <c r="A616" s="2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 customHeight="1" x14ac:dyDescent="0.3">
      <c r="A617" s="2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 customHeight="1" x14ac:dyDescent="0.3">
      <c r="A618" s="2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 customHeight="1" x14ac:dyDescent="0.3">
      <c r="A619" s="2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 customHeight="1" x14ac:dyDescent="0.3">
      <c r="A620" s="2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 customHeight="1" x14ac:dyDescent="0.3">
      <c r="A621" s="2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 customHeight="1" x14ac:dyDescent="0.3">
      <c r="A622" s="2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 customHeight="1" x14ac:dyDescent="0.3">
      <c r="A623" s="2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 customHeight="1" x14ac:dyDescent="0.3">
      <c r="A624" s="2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 customHeight="1" x14ac:dyDescent="0.3">
      <c r="A625" s="2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 customHeight="1" x14ac:dyDescent="0.3">
      <c r="A626" s="2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 customHeight="1" x14ac:dyDescent="0.3">
      <c r="A627" s="2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 customHeight="1" x14ac:dyDescent="0.3">
      <c r="A628" s="2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 customHeight="1" x14ac:dyDescent="0.3">
      <c r="A629" s="2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 customHeight="1" x14ac:dyDescent="0.3">
      <c r="A630" s="2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 customHeight="1" x14ac:dyDescent="0.3">
      <c r="A631" s="2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 customHeight="1" x14ac:dyDescent="0.3">
      <c r="A632" s="2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 customHeight="1" x14ac:dyDescent="0.3">
      <c r="A633" s="2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 customHeight="1" x14ac:dyDescent="0.3">
      <c r="A634" s="2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 customHeight="1" x14ac:dyDescent="0.3">
      <c r="A635" s="2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 customHeight="1" x14ac:dyDescent="0.3">
      <c r="A636" s="2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 customHeight="1" x14ac:dyDescent="0.3">
      <c r="A637" s="2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 customHeight="1" x14ac:dyDescent="0.3">
      <c r="A638" s="2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 customHeight="1" x14ac:dyDescent="0.3">
      <c r="A639" s="2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 customHeight="1" x14ac:dyDescent="0.3">
      <c r="A640" s="2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 customHeight="1" x14ac:dyDescent="0.3">
      <c r="A641" s="2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 customHeight="1" x14ac:dyDescent="0.3">
      <c r="A642" s="2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 customHeight="1" x14ac:dyDescent="0.3">
      <c r="A643" s="2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 customHeight="1" x14ac:dyDescent="0.3">
      <c r="A644" s="2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 customHeight="1" x14ac:dyDescent="0.3">
      <c r="A645" s="2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 customHeight="1" x14ac:dyDescent="0.3">
      <c r="A646" s="2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 customHeight="1" x14ac:dyDescent="0.3">
      <c r="A647" s="2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 customHeight="1" x14ac:dyDescent="0.3">
      <c r="A648" s="2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 customHeight="1" x14ac:dyDescent="0.3">
      <c r="A649" s="2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 customHeight="1" x14ac:dyDescent="0.3">
      <c r="A650" s="2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 customHeight="1" x14ac:dyDescent="0.3">
      <c r="A651" s="2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 customHeight="1" x14ac:dyDescent="0.3">
      <c r="A652" s="2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 customHeight="1" x14ac:dyDescent="0.3">
      <c r="A653" s="2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 customHeight="1" x14ac:dyDescent="0.3">
      <c r="A654" s="2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 customHeight="1" x14ac:dyDescent="0.3">
      <c r="A655" s="2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 customHeight="1" x14ac:dyDescent="0.3">
      <c r="A656" s="2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 customHeight="1" x14ac:dyDescent="0.3">
      <c r="A657" s="2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 customHeight="1" x14ac:dyDescent="0.3">
      <c r="A658" s="2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 customHeight="1" x14ac:dyDescent="0.3">
      <c r="A659" s="2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 customHeight="1" x14ac:dyDescent="0.3">
      <c r="A660" s="2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 customHeight="1" x14ac:dyDescent="0.3">
      <c r="A661" s="2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 customHeight="1" x14ac:dyDescent="0.3">
      <c r="A662" s="2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 customHeight="1" x14ac:dyDescent="0.3">
      <c r="A663" s="2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 customHeight="1" x14ac:dyDescent="0.3">
      <c r="A664" s="2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 customHeight="1" x14ac:dyDescent="0.3">
      <c r="A665" s="2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 customHeight="1" x14ac:dyDescent="0.3">
      <c r="A666" s="2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 customHeight="1" x14ac:dyDescent="0.3">
      <c r="A667" s="2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 customHeight="1" x14ac:dyDescent="0.3">
      <c r="A668" s="2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 customHeight="1" x14ac:dyDescent="0.3">
      <c r="A669" s="2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 customHeight="1" x14ac:dyDescent="0.3">
      <c r="A670" s="2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 customHeight="1" x14ac:dyDescent="0.3">
      <c r="A671" s="2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 customHeight="1" x14ac:dyDescent="0.3">
      <c r="A672" s="2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 customHeight="1" x14ac:dyDescent="0.3">
      <c r="A673" s="2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 customHeight="1" x14ac:dyDescent="0.3">
      <c r="A674" s="2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 customHeight="1" x14ac:dyDescent="0.3">
      <c r="A675" s="2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 customHeight="1" x14ac:dyDescent="0.3">
      <c r="A676" s="2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 customHeight="1" x14ac:dyDescent="0.3">
      <c r="A677" s="2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 customHeight="1" x14ac:dyDescent="0.3">
      <c r="A678" s="2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 customHeight="1" x14ac:dyDescent="0.3">
      <c r="A679" s="2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 customHeight="1" x14ac:dyDescent="0.3">
      <c r="A680" s="2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 customHeight="1" x14ac:dyDescent="0.3">
      <c r="A681" s="2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 customHeight="1" x14ac:dyDescent="0.3">
      <c r="A682" s="2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 customHeight="1" x14ac:dyDescent="0.3">
      <c r="A683" s="2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 customHeight="1" x14ac:dyDescent="0.3">
      <c r="A684" s="2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 customHeight="1" x14ac:dyDescent="0.3">
      <c r="A685" s="2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 customHeight="1" x14ac:dyDescent="0.3">
      <c r="A686" s="2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 customHeight="1" x14ac:dyDescent="0.3">
      <c r="A687" s="2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 customHeight="1" x14ac:dyDescent="0.3">
      <c r="A688" s="2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 customHeight="1" x14ac:dyDescent="0.3">
      <c r="A689" s="2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 customHeight="1" x14ac:dyDescent="0.3">
      <c r="A690" s="2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 customHeight="1" x14ac:dyDescent="0.3">
      <c r="A691" s="2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 customHeight="1" x14ac:dyDescent="0.3">
      <c r="A692" s="2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 customHeight="1" x14ac:dyDescent="0.3">
      <c r="A693" s="2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 customHeight="1" x14ac:dyDescent="0.3">
      <c r="A694" s="2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 customHeight="1" x14ac:dyDescent="0.3">
      <c r="A695" s="2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 customHeight="1" x14ac:dyDescent="0.3">
      <c r="A696" s="2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 customHeight="1" x14ac:dyDescent="0.3">
      <c r="A697" s="2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 customHeight="1" x14ac:dyDescent="0.3">
      <c r="A698" s="2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 customHeight="1" x14ac:dyDescent="0.3">
      <c r="A699" s="2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 customHeight="1" x14ac:dyDescent="0.3">
      <c r="A700" s="2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 customHeight="1" x14ac:dyDescent="0.3">
      <c r="A701" s="2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 customHeight="1" x14ac:dyDescent="0.3">
      <c r="A702" s="2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 customHeight="1" x14ac:dyDescent="0.3">
      <c r="A703" s="2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 customHeight="1" x14ac:dyDescent="0.3">
      <c r="A704" s="2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 customHeight="1" x14ac:dyDescent="0.3">
      <c r="A705" s="2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 customHeight="1" x14ac:dyDescent="0.3">
      <c r="A706" s="2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 customHeight="1" x14ac:dyDescent="0.3">
      <c r="A707" s="2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 customHeight="1" x14ac:dyDescent="0.3">
      <c r="A708" s="2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 customHeight="1" x14ac:dyDescent="0.3">
      <c r="A709" s="2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 customHeight="1" x14ac:dyDescent="0.3">
      <c r="A710" s="2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 customHeight="1" x14ac:dyDescent="0.3">
      <c r="A711" s="2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 customHeight="1" x14ac:dyDescent="0.3">
      <c r="A712" s="2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 customHeight="1" x14ac:dyDescent="0.3">
      <c r="A713" s="2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 customHeight="1" x14ac:dyDescent="0.3">
      <c r="A714" s="2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 customHeight="1" x14ac:dyDescent="0.3">
      <c r="A715" s="2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 customHeight="1" x14ac:dyDescent="0.3">
      <c r="A716" s="2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 customHeight="1" x14ac:dyDescent="0.3">
      <c r="A717" s="2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 customHeight="1" x14ac:dyDescent="0.3">
      <c r="A718" s="2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 customHeight="1" x14ac:dyDescent="0.3">
      <c r="A719" s="2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 customHeight="1" x14ac:dyDescent="0.3">
      <c r="A720" s="2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 customHeight="1" x14ac:dyDescent="0.3">
      <c r="A721" s="2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 customHeight="1" x14ac:dyDescent="0.3">
      <c r="A722" s="2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 customHeight="1" x14ac:dyDescent="0.3">
      <c r="A723" s="2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 customHeight="1" x14ac:dyDescent="0.3">
      <c r="A724" s="2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 customHeight="1" x14ac:dyDescent="0.3">
      <c r="A725" s="2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 customHeight="1" x14ac:dyDescent="0.3">
      <c r="A726" s="2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 customHeight="1" x14ac:dyDescent="0.3">
      <c r="A727" s="2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 customHeight="1" x14ac:dyDescent="0.3">
      <c r="A728" s="2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 customHeight="1" x14ac:dyDescent="0.3">
      <c r="A729" s="2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 customHeight="1" x14ac:dyDescent="0.3">
      <c r="A730" s="2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 customHeight="1" x14ac:dyDescent="0.3">
      <c r="A731" s="2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 customHeight="1" x14ac:dyDescent="0.3">
      <c r="A732" s="2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 customHeight="1" x14ac:dyDescent="0.3">
      <c r="A733" s="2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 customHeight="1" x14ac:dyDescent="0.3">
      <c r="A734" s="2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 customHeight="1" x14ac:dyDescent="0.3">
      <c r="A735" s="2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 customHeight="1" x14ac:dyDescent="0.3">
      <c r="A736" s="2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 customHeight="1" x14ac:dyDescent="0.3">
      <c r="A737" s="2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 customHeight="1" x14ac:dyDescent="0.3">
      <c r="A738" s="2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 customHeight="1" x14ac:dyDescent="0.3">
      <c r="A739" s="2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 customHeight="1" x14ac:dyDescent="0.3">
      <c r="A740" s="2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 customHeight="1" x14ac:dyDescent="0.3">
      <c r="A741" s="2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 customHeight="1" x14ac:dyDescent="0.3">
      <c r="A742" s="2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 customHeight="1" x14ac:dyDescent="0.3">
      <c r="A743" s="2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 customHeight="1" x14ac:dyDescent="0.3">
      <c r="A744" s="2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 customHeight="1" x14ac:dyDescent="0.3">
      <c r="A745" s="2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 customHeight="1" x14ac:dyDescent="0.3">
      <c r="A746" s="2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 customHeight="1" x14ac:dyDescent="0.3">
      <c r="A747" s="2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 customHeight="1" x14ac:dyDescent="0.3">
      <c r="A748" s="2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 customHeight="1" x14ac:dyDescent="0.3">
      <c r="A749" s="2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 customHeight="1" x14ac:dyDescent="0.3">
      <c r="A750" s="2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 customHeight="1" x14ac:dyDescent="0.3">
      <c r="A751" s="2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 customHeight="1" x14ac:dyDescent="0.3">
      <c r="A752" s="2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 customHeight="1" x14ac:dyDescent="0.3">
      <c r="A753" s="2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 customHeight="1" x14ac:dyDescent="0.3">
      <c r="A754" s="2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 customHeight="1" x14ac:dyDescent="0.3">
      <c r="A755" s="2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 customHeight="1" x14ac:dyDescent="0.3">
      <c r="A756" s="2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 customHeight="1" x14ac:dyDescent="0.3">
      <c r="A757" s="2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 customHeight="1" x14ac:dyDescent="0.3">
      <c r="A758" s="2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 customHeight="1" x14ac:dyDescent="0.3">
      <c r="A759" s="2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 customHeight="1" x14ac:dyDescent="0.3">
      <c r="A760" s="2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 customHeight="1" x14ac:dyDescent="0.3">
      <c r="A761" s="2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 customHeight="1" x14ac:dyDescent="0.3">
      <c r="A762" s="2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 customHeight="1" x14ac:dyDescent="0.3">
      <c r="A763" s="2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 customHeight="1" x14ac:dyDescent="0.3">
      <c r="A764" s="2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 customHeight="1" x14ac:dyDescent="0.3">
      <c r="A765" s="2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 customHeight="1" x14ac:dyDescent="0.3">
      <c r="A766" s="2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 customHeight="1" x14ac:dyDescent="0.3">
      <c r="A767" s="2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 customHeight="1" x14ac:dyDescent="0.3">
      <c r="A768" s="2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 customHeight="1" x14ac:dyDescent="0.3">
      <c r="A769" s="2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 customHeight="1" x14ac:dyDescent="0.3">
      <c r="A770" s="2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 customHeight="1" x14ac:dyDescent="0.3">
      <c r="A771" s="2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 customHeight="1" x14ac:dyDescent="0.3">
      <c r="A772" s="2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 customHeight="1" x14ac:dyDescent="0.3">
      <c r="A773" s="2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 customHeight="1" x14ac:dyDescent="0.3">
      <c r="A774" s="2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 customHeight="1" x14ac:dyDescent="0.3">
      <c r="A775" s="2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 customHeight="1" x14ac:dyDescent="0.3">
      <c r="A776" s="2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 customHeight="1" x14ac:dyDescent="0.3">
      <c r="A777" s="2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 customHeight="1" x14ac:dyDescent="0.3">
      <c r="A778" s="2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 customHeight="1" x14ac:dyDescent="0.3">
      <c r="A779" s="2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 customHeight="1" x14ac:dyDescent="0.3">
      <c r="A780" s="2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 customHeight="1" x14ac:dyDescent="0.3">
      <c r="A781" s="2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 customHeight="1" x14ac:dyDescent="0.3">
      <c r="A782" s="2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 customHeight="1" x14ac:dyDescent="0.3">
      <c r="A783" s="2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 customHeight="1" x14ac:dyDescent="0.3">
      <c r="A784" s="2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 customHeight="1" x14ac:dyDescent="0.3">
      <c r="A785" s="2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 customHeight="1" x14ac:dyDescent="0.3">
      <c r="A786" s="2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 customHeight="1" x14ac:dyDescent="0.3">
      <c r="A787" s="2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 customHeight="1" x14ac:dyDescent="0.3">
      <c r="A788" s="2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 customHeight="1" x14ac:dyDescent="0.3">
      <c r="A789" s="2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 customHeight="1" x14ac:dyDescent="0.3">
      <c r="A790" s="2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 customHeight="1" x14ac:dyDescent="0.3">
      <c r="A791" s="2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 customHeight="1" x14ac:dyDescent="0.3">
      <c r="A792" s="2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 customHeight="1" x14ac:dyDescent="0.3">
      <c r="A793" s="2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 customHeight="1" x14ac:dyDescent="0.3">
      <c r="A794" s="2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 customHeight="1" x14ac:dyDescent="0.3">
      <c r="A795" s="2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 customHeight="1" x14ac:dyDescent="0.3">
      <c r="A796" s="2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 customHeight="1" x14ac:dyDescent="0.3">
      <c r="A797" s="2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 customHeight="1" x14ac:dyDescent="0.3">
      <c r="A798" s="2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 customHeight="1" x14ac:dyDescent="0.3">
      <c r="A799" s="2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 customHeight="1" x14ac:dyDescent="0.3">
      <c r="A800" s="2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 customHeight="1" x14ac:dyDescent="0.3">
      <c r="A801" s="2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 customHeight="1" x14ac:dyDescent="0.3">
      <c r="A802" s="2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 customHeight="1" x14ac:dyDescent="0.3">
      <c r="A803" s="2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 customHeight="1" x14ac:dyDescent="0.3">
      <c r="A804" s="2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 customHeight="1" x14ac:dyDescent="0.3">
      <c r="A805" s="2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 customHeight="1" x14ac:dyDescent="0.3">
      <c r="A806" s="2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 customHeight="1" x14ac:dyDescent="0.3">
      <c r="A807" s="2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 customHeight="1" x14ac:dyDescent="0.3">
      <c r="A808" s="2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 customHeight="1" x14ac:dyDescent="0.3">
      <c r="A809" s="2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 customHeight="1" x14ac:dyDescent="0.3">
      <c r="A810" s="2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 customHeight="1" x14ac:dyDescent="0.3">
      <c r="A811" s="2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 customHeight="1" x14ac:dyDescent="0.3">
      <c r="A812" s="2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 customHeight="1" x14ac:dyDescent="0.3">
      <c r="A813" s="2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 customHeight="1" x14ac:dyDescent="0.3">
      <c r="A814" s="2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 customHeight="1" x14ac:dyDescent="0.3">
      <c r="A815" s="2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 customHeight="1" x14ac:dyDescent="0.3">
      <c r="A816" s="2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 customHeight="1" x14ac:dyDescent="0.3">
      <c r="A817" s="2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 customHeight="1" x14ac:dyDescent="0.3">
      <c r="A818" s="2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 customHeight="1" x14ac:dyDescent="0.3">
      <c r="A819" s="2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 customHeight="1" x14ac:dyDescent="0.3">
      <c r="A820" s="2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 customHeight="1" x14ac:dyDescent="0.3">
      <c r="A821" s="2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 customHeight="1" x14ac:dyDescent="0.3">
      <c r="A822" s="2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 customHeight="1" x14ac:dyDescent="0.3">
      <c r="A823" s="2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 customHeight="1" x14ac:dyDescent="0.3">
      <c r="A824" s="2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 customHeight="1" x14ac:dyDescent="0.3">
      <c r="A825" s="2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 customHeight="1" x14ac:dyDescent="0.3">
      <c r="A826" s="2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 customHeight="1" x14ac:dyDescent="0.3">
      <c r="A827" s="2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 customHeight="1" x14ac:dyDescent="0.3">
      <c r="A828" s="2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 customHeight="1" x14ac:dyDescent="0.3">
      <c r="A829" s="2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 customHeight="1" x14ac:dyDescent="0.3">
      <c r="A830" s="2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 customHeight="1" x14ac:dyDescent="0.3">
      <c r="A831" s="2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 customHeight="1" x14ac:dyDescent="0.3">
      <c r="A832" s="2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 customHeight="1" x14ac:dyDescent="0.3">
      <c r="A833" s="2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 customHeight="1" x14ac:dyDescent="0.3">
      <c r="A834" s="2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 customHeight="1" x14ac:dyDescent="0.3">
      <c r="A835" s="2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 customHeight="1" x14ac:dyDescent="0.3">
      <c r="A836" s="2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 customHeight="1" x14ac:dyDescent="0.3">
      <c r="A837" s="2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 customHeight="1" x14ac:dyDescent="0.3">
      <c r="A838" s="2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 customHeight="1" x14ac:dyDescent="0.3">
      <c r="A839" s="2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 customHeight="1" x14ac:dyDescent="0.3">
      <c r="A840" s="2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 customHeight="1" x14ac:dyDescent="0.3">
      <c r="A841" s="2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 customHeight="1" x14ac:dyDescent="0.3">
      <c r="A842" s="2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 customHeight="1" x14ac:dyDescent="0.3">
      <c r="A843" s="2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 customHeight="1" x14ac:dyDescent="0.3">
      <c r="A844" s="2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 customHeight="1" x14ac:dyDescent="0.3">
      <c r="A845" s="2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 customHeight="1" x14ac:dyDescent="0.3">
      <c r="A846" s="2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 customHeight="1" x14ac:dyDescent="0.3">
      <c r="A847" s="2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 customHeight="1" x14ac:dyDescent="0.3">
      <c r="A848" s="2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 customHeight="1" x14ac:dyDescent="0.3">
      <c r="A849" s="2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 customHeight="1" x14ac:dyDescent="0.3">
      <c r="A850" s="2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 customHeight="1" x14ac:dyDescent="0.3">
      <c r="A851" s="2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 customHeight="1" x14ac:dyDescent="0.3">
      <c r="A852" s="2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 customHeight="1" x14ac:dyDescent="0.3">
      <c r="A853" s="2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 customHeight="1" x14ac:dyDescent="0.3">
      <c r="A854" s="2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 customHeight="1" x14ac:dyDescent="0.3">
      <c r="A855" s="2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 customHeight="1" x14ac:dyDescent="0.3">
      <c r="A856" s="2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 customHeight="1" x14ac:dyDescent="0.3">
      <c r="A857" s="2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 customHeight="1" x14ac:dyDescent="0.3">
      <c r="A858" s="2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 customHeight="1" x14ac:dyDescent="0.3">
      <c r="A859" s="2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 customHeight="1" x14ac:dyDescent="0.3">
      <c r="A860" s="2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 customHeight="1" x14ac:dyDescent="0.3">
      <c r="A861" s="2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 customHeight="1" x14ac:dyDescent="0.3">
      <c r="A862" s="2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 customHeight="1" x14ac:dyDescent="0.3">
      <c r="A863" s="2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 customHeight="1" x14ac:dyDescent="0.3">
      <c r="A864" s="2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 customHeight="1" x14ac:dyDescent="0.3">
      <c r="A865" s="2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 customHeight="1" x14ac:dyDescent="0.3">
      <c r="A866" s="2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 customHeight="1" x14ac:dyDescent="0.3">
      <c r="A867" s="2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 customHeight="1" x14ac:dyDescent="0.3">
      <c r="A868" s="2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 customHeight="1" x14ac:dyDescent="0.3">
      <c r="A869" s="2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 customHeight="1" x14ac:dyDescent="0.3">
      <c r="A870" s="2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 customHeight="1" x14ac:dyDescent="0.3">
      <c r="A871" s="2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 customHeight="1" x14ac:dyDescent="0.3">
      <c r="A872" s="2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 customHeight="1" x14ac:dyDescent="0.3">
      <c r="A873" s="2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 customHeight="1" x14ac:dyDescent="0.3">
      <c r="A874" s="2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 customHeight="1" x14ac:dyDescent="0.3">
      <c r="A875" s="2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 customHeight="1" x14ac:dyDescent="0.3">
      <c r="A876" s="2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 customHeight="1" x14ac:dyDescent="0.3">
      <c r="A877" s="2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 customHeight="1" x14ac:dyDescent="0.3">
      <c r="A878" s="2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 customHeight="1" x14ac:dyDescent="0.3">
      <c r="A879" s="2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 customHeight="1" x14ac:dyDescent="0.3">
      <c r="A880" s="2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 customHeight="1" x14ac:dyDescent="0.3">
      <c r="A881" s="2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 customHeight="1" x14ac:dyDescent="0.3">
      <c r="A882" s="2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 customHeight="1" x14ac:dyDescent="0.3">
      <c r="A883" s="2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 customHeight="1" x14ac:dyDescent="0.3">
      <c r="A884" s="2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 customHeight="1" x14ac:dyDescent="0.3">
      <c r="A885" s="2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 customHeight="1" x14ac:dyDescent="0.3">
      <c r="A886" s="2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 customHeight="1" x14ac:dyDescent="0.3">
      <c r="A887" s="2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 customHeight="1" x14ac:dyDescent="0.3">
      <c r="A888" s="2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 customHeight="1" x14ac:dyDescent="0.3">
      <c r="A889" s="2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 customHeight="1" x14ac:dyDescent="0.3">
      <c r="A890" s="2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 customHeight="1" x14ac:dyDescent="0.3">
      <c r="A891" s="2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 customHeight="1" x14ac:dyDescent="0.3">
      <c r="A892" s="2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 customHeight="1" x14ac:dyDescent="0.3">
      <c r="A893" s="2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 customHeight="1" x14ac:dyDescent="0.3">
      <c r="A894" s="2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 customHeight="1" x14ac:dyDescent="0.3">
      <c r="A895" s="2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 customHeight="1" x14ac:dyDescent="0.3">
      <c r="A896" s="2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 customHeight="1" x14ac:dyDescent="0.3">
      <c r="A897" s="2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 customHeight="1" x14ac:dyDescent="0.3">
      <c r="A898" s="2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 customHeight="1" x14ac:dyDescent="0.3">
      <c r="A899" s="2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 customHeight="1" x14ac:dyDescent="0.3">
      <c r="A900" s="2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 customHeight="1" x14ac:dyDescent="0.3">
      <c r="A901" s="2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 customHeight="1" x14ac:dyDescent="0.3">
      <c r="A902" s="2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 customHeight="1" x14ac:dyDescent="0.3">
      <c r="A903" s="2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 customHeight="1" x14ac:dyDescent="0.3">
      <c r="A904" s="2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 customHeight="1" x14ac:dyDescent="0.3">
      <c r="A905" s="2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 customHeight="1" x14ac:dyDescent="0.3">
      <c r="A906" s="2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 customHeight="1" x14ac:dyDescent="0.3">
      <c r="A907" s="2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 customHeight="1" x14ac:dyDescent="0.3">
      <c r="A908" s="2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 customHeight="1" x14ac:dyDescent="0.3">
      <c r="A909" s="2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 customHeight="1" x14ac:dyDescent="0.3">
      <c r="A910" s="2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 customHeight="1" x14ac:dyDescent="0.3">
      <c r="A911" s="2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 customHeight="1" x14ac:dyDescent="0.3">
      <c r="A912" s="2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 customHeight="1" x14ac:dyDescent="0.3">
      <c r="A913" s="2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 customHeight="1" x14ac:dyDescent="0.3">
      <c r="A914" s="2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 customHeight="1" x14ac:dyDescent="0.3">
      <c r="A915" s="2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 customHeight="1" x14ac:dyDescent="0.3">
      <c r="A916" s="2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 customHeight="1" x14ac:dyDescent="0.3">
      <c r="A917" s="2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 customHeight="1" x14ac:dyDescent="0.3">
      <c r="A918" s="2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 customHeight="1" x14ac:dyDescent="0.3">
      <c r="A919" s="2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 customHeight="1" x14ac:dyDescent="0.3">
      <c r="A920" s="2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 customHeight="1" x14ac:dyDescent="0.3">
      <c r="A921" s="2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 customHeight="1" x14ac:dyDescent="0.3">
      <c r="A922" s="2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 customHeight="1" x14ac:dyDescent="0.3">
      <c r="A923" s="2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 customHeight="1" x14ac:dyDescent="0.3">
      <c r="A924" s="2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 customHeight="1" x14ac:dyDescent="0.3">
      <c r="A925" s="2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 customHeight="1" x14ac:dyDescent="0.3">
      <c r="A926" s="2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 customHeight="1" x14ac:dyDescent="0.3">
      <c r="A927" s="2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 customHeight="1" x14ac:dyDescent="0.3">
      <c r="A928" s="2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 customHeight="1" x14ac:dyDescent="0.3">
      <c r="A929" s="2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 customHeight="1" x14ac:dyDescent="0.3">
      <c r="A930" s="2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 customHeight="1" x14ac:dyDescent="0.3">
      <c r="A931" s="2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 customHeight="1" x14ac:dyDescent="0.3">
      <c r="A932" s="2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 customHeight="1" x14ac:dyDescent="0.3">
      <c r="A933" s="2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 customHeight="1" x14ac:dyDescent="0.3">
      <c r="A934" s="2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 customHeight="1" x14ac:dyDescent="0.3">
      <c r="A935" s="2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 customHeight="1" x14ac:dyDescent="0.3">
      <c r="A936" s="2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 customHeight="1" x14ac:dyDescent="0.3">
      <c r="A937" s="2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 customHeight="1" x14ac:dyDescent="0.3">
      <c r="A938" s="2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 customHeight="1" x14ac:dyDescent="0.3">
      <c r="A939" s="2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 customHeight="1" x14ac:dyDescent="0.3">
      <c r="A940" s="2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 customHeight="1" x14ac:dyDescent="0.3">
      <c r="A941" s="2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 customHeight="1" x14ac:dyDescent="0.3">
      <c r="A942" s="2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 customHeight="1" x14ac:dyDescent="0.3">
      <c r="A943" s="2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 customHeight="1" x14ac:dyDescent="0.3">
      <c r="A944" s="2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 customHeight="1" x14ac:dyDescent="0.3">
      <c r="A945" s="2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 customHeight="1" x14ac:dyDescent="0.3">
      <c r="A946" s="2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 customHeight="1" x14ac:dyDescent="0.3">
      <c r="A947" s="2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 customHeight="1" x14ac:dyDescent="0.3">
      <c r="A948" s="2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 customHeight="1" x14ac:dyDescent="0.3">
      <c r="A949" s="2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 customHeight="1" x14ac:dyDescent="0.3">
      <c r="A950" s="2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 customHeight="1" x14ac:dyDescent="0.3">
      <c r="A951" s="2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 customHeight="1" x14ac:dyDescent="0.3">
      <c r="A952" s="2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 customHeight="1" x14ac:dyDescent="0.3">
      <c r="A953" s="2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 customHeight="1" x14ac:dyDescent="0.3">
      <c r="A954" s="2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 customHeight="1" x14ac:dyDescent="0.3">
      <c r="A955" s="2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 customHeight="1" x14ac:dyDescent="0.3">
      <c r="A956" s="2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 customHeight="1" x14ac:dyDescent="0.3">
      <c r="A957" s="2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 customHeight="1" x14ac:dyDescent="0.3">
      <c r="A958" s="2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 customHeight="1" x14ac:dyDescent="0.3">
      <c r="A959" s="2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 customHeight="1" x14ac:dyDescent="0.3">
      <c r="A960" s="2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 customHeight="1" x14ac:dyDescent="0.3">
      <c r="A961" s="2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 customHeight="1" x14ac:dyDescent="0.3">
      <c r="A962" s="2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 customHeight="1" x14ac:dyDescent="0.3">
      <c r="A963" s="2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 customHeight="1" x14ac:dyDescent="0.3">
      <c r="A964" s="2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 customHeight="1" x14ac:dyDescent="0.3">
      <c r="A965" s="2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 customHeight="1" x14ac:dyDescent="0.3">
      <c r="A966" s="2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 customHeight="1" x14ac:dyDescent="0.3">
      <c r="A967" s="2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 customHeight="1" x14ac:dyDescent="0.3">
      <c r="A968" s="2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 customHeight="1" x14ac:dyDescent="0.3">
      <c r="A969" s="2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 customHeight="1" x14ac:dyDescent="0.3">
      <c r="A970" s="2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 customHeight="1" x14ac:dyDescent="0.3">
      <c r="A971" s="2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 customHeight="1" x14ac:dyDescent="0.3">
      <c r="A972" s="2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 customHeight="1" x14ac:dyDescent="0.3">
      <c r="A973" s="2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 customHeight="1" x14ac:dyDescent="0.3">
      <c r="A974" s="2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 customHeight="1" x14ac:dyDescent="0.3">
      <c r="A975" s="2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 customHeight="1" x14ac:dyDescent="0.3">
      <c r="A976" s="2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 customHeight="1" x14ac:dyDescent="0.3">
      <c r="A977" s="2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 customHeight="1" x14ac:dyDescent="0.3">
      <c r="A978" s="2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 customHeight="1" x14ac:dyDescent="0.3">
      <c r="A979" s="2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 customHeight="1" x14ac:dyDescent="0.3">
      <c r="A980" s="2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 customHeight="1" x14ac:dyDescent="0.3">
      <c r="A981" s="2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 customHeight="1" x14ac:dyDescent="0.3">
      <c r="A982" s="2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 customHeight="1" x14ac:dyDescent="0.3">
      <c r="A983" s="2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 customHeight="1" x14ac:dyDescent="0.3">
      <c r="A984" s="2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 customHeight="1" x14ac:dyDescent="0.3">
      <c r="A985" s="2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 customHeight="1" x14ac:dyDescent="0.3">
      <c r="A986" s="2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 customHeight="1" x14ac:dyDescent="0.3">
      <c r="A987" s="2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 customHeight="1" x14ac:dyDescent="0.3">
      <c r="A988" s="2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 customHeight="1" x14ac:dyDescent="0.3">
      <c r="A989" s="2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 customHeight="1" x14ac:dyDescent="0.3">
      <c r="A990" s="2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 customHeight="1" x14ac:dyDescent="0.3">
      <c r="A991" s="2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 customHeight="1" x14ac:dyDescent="0.3">
      <c r="A992" s="2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 customHeight="1" x14ac:dyDescent="0.3">
      <c r="A993" s="2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 customHeight="1" x14ac:dyDescent="0.3">
      <c r="A994" s="2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 customHeight="1" x14ac:dyDescent="0.3">
      <c r="A995" s="2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 customHeight="1" x14ac:dyDescent="0.3">
      <c r="A996" s="2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 customHeight="1" x14ac:dyDescent="0.3">
      <c r="A997" s="2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 customHeight="1" x14ac:dyDescent="0.3">
      <c r="A998" s="2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 customHeight="1" x14ac:dyDescent="0.3">
      <c r="A999" s="2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 customHeight="1" x14ac:dyDescent="0.3">
      <c r="A1000" s="27"/>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6">
    <mergeCell ref="P1:T1"/>
    <mergeCell ref="A1:A2"/>
    <mergeCell ref="B1:D1"/>
    <mergeCell ref="E1:E2"/>
    <mergeCell ref="F1:J1"/>
    <mergeCell ref="K1:O1"/>
  </mergeCells>
  <hyperlinks>
    <hyperlink ref="A3" r:id="rId1" xr:uid="{00000000-0004-0000-0700-000000000000}"/>
    <hyperlink ref="A4" r:id="rId2" xr:uid="{00000000-0004-0000-0700-000001000000}"/>
    <hyperlink ref="A5" r:id="rId3" xr:uid="{00000000-0004-0000-0700-000002000000}"/>
    <hyperlink ref="A6" r:id="rId4" xr:uid="{00000000-0004-0000-0700-000003000000}"/>
    <hyperlink ref="A8" r:id="rId5" xr:uid="{00000000-0004-0000-0700-000004000000}"/>
    <hyperlink ref="A10" r:id="rId6" xr:uid="{00000000-0004-0000-0700-000005000000}"/>
    <hyperlink ref="A12" r:id="rId7" xr:uid="{00000000-0004-0000-0700-000006000000}"/>
    <hyperlink ref="A13" r:id="rId8" xr:uid="{00000000-0004-0000-0700-000007000000}"/>
    <hyperlink ref="A14" r:id="rId9" xr:uid="{00000000-0004-0000-0700-000008000000}"/>
    <hyperlink ref="A15" r:id="rId10" xr:uid="{00000000-0004-0000-0700-000009000000}"/>
    <hyperlink ref="A16" r:id="rId11" xr:uid="{00000000-0004-0000-0700-00000A000000}"/>
  </hyperlink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xSplit="1" ySplit="2" topLeftCell="B3" activePane="bottomRight" state="frozen"/>
      <selection pane="topRight" activeCell="B1" sqref="B1"/>
      <selection pane="bottomLeft" activeCell="A3" sqref="A3"/>
      <selection pane="bottomRight" activeCell="B540" sqref="B540:B548"/>
    </sheetView>
  </sheetViews>
  <sheetFormatPr defaultColWidth="12.6640625" defaultRowHeight="15" customHeight="1" x14ac:dyDescent="0.3"/>
  <cols>
    <col min="1" max="1" width="38.5" style="30" bestFit="1" customWidth="1"/>
    <col min="2" max="5" width="12.6640625" style="13" customWidth="1"/>
    <col min="6" max="6" width="13.1640625" style="13" customWidth="1"/>
    <col min="7" max="7" width="13.25" style="13" customWidth="1"/>
    <col min="8" max="10" width="10.5" style="13" customWidth="1"/>
    <col min="11" max="20" width="12.6640625" style="13" customWidth="1"/>
    <col min="21" max="21" width="68.5" style="13" customWidth="1"/>
    <col min="22" max="26" width="12.6640625" style="13" customWidth="1"/>
    <col min="27" max="16384" width="12.6640625" style="13"/>
  </cols>
  <sheetData>
    <row r="1" spans="1:26" ht="15" customHeight="1" x14ac:dyDescent="0.3">
      <c r="A1" s="37" t="s">
        <v>439</v>
      </c>
      <c r="B1" s="39" t="s">
        <v>24</v>
      </c>
      <c r="C1" s="35"/>
      <c r="D1" s="36"/>
      <c r="E1" s="34" t="s">
        <v>16</v>
      </c>
      <c r="F1" s="34" t="s">
        <v>26</v>
      </c>
      <c r="G1" s="35"/>
      <c r="H1" s="35"/>
      <c r="I1" s="35"/>
      <c r="J1" s="36"/>
      <c r="K1" s="34" t="s">
        <v>440</v>
      </c>
      <c r="L1" s="35"/>
      <c r="M1" s="35"/>
      <c r="N1" s="35"/>
      <c r="O1" s="36"/>
      <c r="P1" s="34" t="s">
        <v>28</v>
      </c>
      <c r="Q1" s="35"/>
      <c r="R1" s="35"/>
      <c r="S1" s="35"/>
      <c r="T1" s="36"/>
      <c r="U1" s="37" t="s">
        <v>441</v>
      </c>
      <c r="V1" s="12"/>
      <c r="W1" s="12"/>
      <c r="X1" s="12"/>
      <c r="Y1" s="12"/>
      <c r="Z1" s="12"/>
    </row>
    <row r="2" spans="1:26" ht="15" customHeight="1" x14ac:dyDescent="0.3">
      <c r="A2" s="38"/>
      <c r="B2" s="14" t="s">
        <v>29</v>
      </c>
      <c r="C2" s="15" t="s">
        <v>30</v>
      </c>
      <c r="D2" s="15" t="s">
        <v>31</v>
      </c>
      <c r="E2" s="36"/>
      <c r="F2" s="15" t="s">
        <v>32</v>
      </c>
      <c r="G2" s="15" t="s">
        <v>33</v>
      </c>
      <c r="H2" s="15" t="s">
        <v>19</v>
      </c>
      <c r="I2" s="15" t="s">
        <v>20</v>
      </c>
      <c r="J2" s="15" t="s">
        <v>21</v>
      </c>
      <c r="K2" s="15" t="s">
        <v>32</v>
      </c>
      <c r="L2" s="15" t="s">
        <v>33</v>
      </c>
      <c r="M2" s="15" t="s">
        <v>19</v>
      </c>
      <c r="N2" s="15" t="s">
        <v>20</v>
      </c>
      <c r="O2" s="15" t="s">
        <v>21</v>
      </c>
      <c r="P2" s="15" t="s">
        <v>32</v>
      </c>
      <c r="Q2" s="15" t="s">
        <v>33</v>
      </c>
      <c r="R2" s="15" t="s">
        <v>19</v>
      </c>
      <c r="S2" s="15" t="s">
        <v>20</v>
      </c>
      <c r="T2" s="15" t="s">
        <v>21</v>
      </c>
      <c r="U2" s="36"/>
      <c r="V2" s="12"/>
      <c r="W2" s="12"/>
      <c r="X2" s="12"/>
      <c r="Y2" s="12"/>
      <c r="Z2" s="12"/>
    </row>
    <row r="3" spans="1:26" ht="15" customHeight="1" x14ac:dyDescent="0.3">
      <c r="A3" s="26" t="s">
        <v>442</v>
      </c>
      <c r="B3" s="17">
        <v>17.600000000000001</v>
      </c>
      <c r="C3" s="17">
        <v>9.66</v>
      </c>
      <c r="D3" s="17">
        <v>3.97</v>
      </c>
      <c r="E3" s="17">
        <v>10.64</v>
      </c>
      <c r="F3" s="17">
        <f>SQRT((4*(HSP!$B$2-$B3)^2+(HSP!$C$2-$C3)^2+(HSP!$D$2-$D3)^2))</f>
        <v>6.7601849087136703</v>
      </c>
      <c r="G3" s="17">
        <f>SQRT((4*(HSP!$B$3-$B3)^2+(HSP!$C$3-$C3)^2+(HSP!$D$3-$D3)^2))</f>
        <v>4.2443963057188743</v>
      </c>
      <c r="H3" s="17">
        <f>SQRT((4*(HSP!$B$4-$B3)^2+(HSP!$C$4-$C3)^2+(HSP!$D$4-$D3)^2))</f>
        <v>7.5119171986916911</v>
      </c>
      <c r="I3" s="17">
        <f>SQRT((4*(HSP!$B$5-$B3)^2+(HSP!$C$5-$C3)^2+(HSP!$D$5-$D3)^2))</f>
        <v>8.9174435798607679</v>
      </c>
      <c r="J3" s="17">
        <f>SQRT((4*(HSP!$B$6-$B3)^2+(HSP!$C$6-$C3)^2+(HSP!$D$6-$D3)^2))</f>
        <v>5.6712344335250364</v>
      </c>
      <c r="K3" s="17">
        <f t="shared" ref="K3:K538" si="0">$F3/$E3</f>
        <v>0.63535572450316447</v>
      </c>
      <c r="L3" s="17">
        <f t="shared" ref="L3:L538" si="1">$G3/$E3</f>
        <v>0.39890942722921746</v>
      </c>
      <c r="M3" s="17">
        <f t="shared" ref="M3:M538" si="2">$H3/$E3</f>
        <v>0.7060072555161363</v>
      </c>
      <c r="N3" s="17">
        <f t="shared" ref="N3:N538" si="3">$I3/$E3</f>
        <v>0.83810559961097442</v>
      </c>
      <c r="O3" s="17">
        <f t="shared" ref="O3:O538" si="4">$J3/$E3</f>
        <v>0.53301075503054851</v>
      </c>
      <c r="P3" s="17">
        <f>$F3/HSP!$E$2</f>
        <v>0.41473527047323128</v>
      </c>
      <c r="Q3" s="17">
        <f>$G3/HSP!$E$3</f>
        <v>0.31439972634954622</v>
      </c>
      <c r="R3" s="17">
        <f>$H3/HSP!$E$4</f>
        <v>0.47244762255922584</v>
      </c>
      <c r="S3" s="17">
        <f>$I3/HSP!$E$5</f>
        <v>0.65090829050078602</v>
      </c>
      <c r="T3" s="17">
        <f>$J3/HSP!$E$6</f>
        <v>0.38319151577871868</v>
      </c>
      <c r="U3" s="18" t="s">
        <v>443</v>
      </c>
      <c r="V3" s="12"/>
      <c r="W3" s="12"/>
      <c r="X3" s="12"/>
      <c r="Y3" s="12"/>
      <c r="Z3" s="12"/>
    </row>
    <row r="4" spans="1:26" ht="15" customHeight="1" x14ac:dyDescent="0.3">
      <c r="A4" s="26" t="s">
        <v>444</v>
      </c>
      <c r="B4" s="17">
        <v>14.96</v>
      </c>
      <c r="C4" s="17">
        <v>18.329999999999998</v>
      </c>
      <c r="D4" s="17">
        <v>15.15</v>
      </c>
      <c r="E4" s="17">
        <v>16.22</v>
      </c>
      <c r="F4" s="17">
        <f>SQRT((4*(HSP!$B$2-$B4)^2+(HSP!$C$2-$C4)^2+(HSP!$D$2-$D4)^2))</f>
        <v>11.366802540732374</v>
      </c>
      <c r="G4" s="17">
        <f>SQRT((4*(HSP!$B$3-$B4)^2+(HSP!$C$3-$C4)^2+(HSP!$D$3-$D4)^2))</f>
        <v>12.819882994785871</v>
      </c>
      <c r="H4" s="17">
        <f>SQRT((4*(HSP!$B$4-$B4)^2+(HSP!$C$4-$C4)^2+(HSP!$D$4-$D4)^2))</f>
        <v>16.00691725473709</v>
      </c>
      <c r="I4" s="17">
        <f>SQRT((4*(HSP!$B$5-$B4)^2+(HSP!$C$5-$C4)^2+(HSP!$D$5-$D4)^2))</f>
        <v>7.0473328288083552</v>
      </c>
      <c r="J4" s="17">
        <f>SQRT((4*(HSP!$B$6-$B4)^2+(HSP!$C$6-$C4)^2+(HSP!$D$6-$D4)^2))</f>
        <v>16.422070515011193</v>
      </c>
      <c r="K4" s="17">
        <f t="shared" si="0"/>
        <v>0.70078930584046706</v>
      </c>
      <c r="L4" s="17">
        <f t="shared" si="1"/>
        <v>0.79037503050467772</v>
      </c>
      <c r="M4" s="17">
        <f t="shared" si="2"/>
        <v>0.98686296268416096</v>
      </c>
      <c r="N4" s="17">
        <f t="shared" si="3"/>
        <v>0.43448414480939307</v>
      </c>
      <c r="O4" s="17">
        <f t="shared" si="4"/>
        <v>1.0124581082004436</v>
      </c>
      <c r="P4" s="17">
        <f>$F4/HSP!$E$2</f>
        <v>0.69734984912468556</v>
      </c>
      <c r="Q4" s="17">
        <f>$G4/HSP!$E$3</f>
        <v>0.94962096257673123</v>
      </c>
      <c r="R4" s="17">
        <f>$H4/HSP!$E$4</f>
        <v>1.0067243556438421</v>
      </c>
      <c r="S4" s="17">
        <f>$I4/HSP!$E$5</f>
        <v>0.51440385611739825</v>
      </c>
      <c r="T4" s="17">
        <f>$J4/HSP!$E$6</f>
        <v>1.1095993591223778</v>
      </c>
      <c r="U4" s="18" t="s">
        <v>445</v>
      </c>
      <c r="V4" s="12"/>
      <c r="W4" s="12"/>
      <c r="X4" s="12"/>
      <c r="Y4" s="12"/>
      <c r="Z4" s="12"/>
    </row>
    <row r="5" spans="1:26" ht="15" customHeight="1" x14ac:dyDescent="0.3">
      <c r="A5" s="26" t="s">
        <v>446</v>
      </c>
      <c r="B5" s="17">
        <v>15.07</v>
      </c>
      <c r="C5" s="17">
        <v>20.440000000000001</v>
      </c>
      <c r="D5" s="17">
        <v>16.5</v>
      </c>
      <c r="E5" s="17">
        <v>18.12</v>
      </c>
      <c r="F5" s="17">
        <f>SQRT((4*(HSP!$B$2-$B5)^2+(HSP!$C$2-$C5)^2+(HSP!$D$2-$D5)^2))</f>
        <v>13.824413188269512</v>
      </c>
      <c r="G5" s="17">
        <f>SQRT((4*(HSP!$B$3-$B5)^2+(HSP!$C$3-$C5)^2+(HSP!$D$3-$D5)^2))</f>
        <v>15.225255334476332</v>
      </c>
      <c r="H5" s="17">
        <f>SQRT((4*(HSP!$B$4-$B5)^2+(HSP!$C$4-$C5)^2+(HSP!$D$4-$D5)^2))</f>
        <v>18.506960852608945</v>
      </c>
      <c r="I5" s="17">
        <f>SQRT((4*(HSP!$B$5-$B5)^2+(HSP!$C$5-$C5)^2+(HSP!$D$5-$D5)^2))</f>
        <v>9.528027078047165</v>
      </c>
      <c r="J5" s="17">
        <f>SQRT((4*(HSP!$B$6-$B5)^2+(HSP!$C$6-$C5)^2+(HSP!$D$6-$D5)^2))</f>
        <v>18.880217159768055</v>
      </c>
      <c r="K5" s="17">
        <f t="shared" si="0"/>
        <v>0.76293671016939901</v>
      </c>
      <c r="L5" s="17">
        <f t="shared" si="1"/>
        <v>0.84024587938611095</v>
      </c>
      <c r="M5" s="17">
        <f t="shared" si="2"/>
        <v>1.0213554554419946</v>
      </c>
      <c r="N5" s="17">
        <f t="shared" si="3"/>
        <v>0.52582930894300028</v>
      </c>
      <c r="O5" s="17">
        <f t="shared" si="4"/>
        <v>1.041954589391173</v>
      </c>
      <c r="P5" s="17">
        <f>$F5/HSP!$E$2</f>
        <v>0.84812350848279205</v>
      </c>
      <c r="Q5" s="17">
        <f>$G5/HSP!$E$3</f>
        <v>1.1277966914426913</v>
      </c>
      <c r="R5" s="17">
        <f>$H5/HSP!$E$4</f>
        <v>1.163959802050877</v>
      </c>
      <c r="S5" s="17">
        <f>$I5/HSP!$E$5</f>
        <v>0.69547642905453766</v>
      </c>
      <c r="T5" s="17">
        <f>$J5/HSP!$E$6</f>
        <v>1.2756903486329767</v>
      </c>
      <c r="U5" s="18" t="s">
        <v>445</v>
      </c>
      <c r="V5" s="12"/>
      <c r="W5" s="12"/>
      <c r="X5" s="12"/>
      <c r="Y5" s="12"/>
      <c r="Z5" s="12"/>
    </row>
    <row r="6" spans="1:26" ht="15" customHeight="1" x14ac:dyDescent="0.3">
      <c r="A6" s="26" t="s">
        <v>447</v>
      </c>
      <c r="B6" s="17">
        <v>18.399999999999999</v>
      </c>
      <c r="C6" s="17">
        <v>9.4</v>
      </c>
      <c r="D6" s="17">
        <v>10.1</v>
      </c>
      <c r="E6" s="17">
        <v>7</v>
      </c>
      <c r="F6" s="17">
        <f>SQRT((4*(HSP!$B$2-$B6)^2+(HSP!$C$2-$C6)^2+(HSP!$D$2-$D6)^2))</f>
        <v>8.2835982519675575</v>
      </c>
      <c r="G6" s="17">
        <f>SQRT((4*(HSP!$B$3-$B6)^2+(HSP!$C$3-$C6)^2+(HSP!$D$3-$D6)^2))</f>
        <v>6.9110346548110995</v>
      </c>
      <c r="H6" s="17">
        <f>SQRT((4*(HSP!$B$4-$B6)^2+(HSP!$C$4-$C6)^2+(HSP!$D$4-$D6)^2))</f>
        <v>8.6544786093675192</v>
      </c>
      <c r="I6" s="17">
        <f>SQRT((4*(HSP!$B$5-$B6)^2+(HSP!$C$5-$C6)^2+(HSP!$D$5-$D6)^2))</f>
        <v>7.1343465012571388</v>
      </c>
      <c r="J6" s="17">
        <f>SQRT((4*(HSP!$B$6-$B6)^2+(HSP!$C$6-$C6)^2+(HSP!$D$6-$D6)^2))</f>
        <v>9.3311842763927864</v>
      </c>
      <c r="K6" s="17">
        <f t="shared" si="0"/>
        <v>1.1833711788525083</v>
      </c>
      <c r="L6" s="17">
        <f t="shared" si="1"/>
        <v>0.98729066497301421</v>
      </c>
      <c r="M6" s="17">
        <f t="shared" si="2"/>
        <v>1.2363540870525027</v>
      </c>
      <c r="N6" s="17">
        <f t="shared" si="3"/>
        <v>1.0191923573224484</v>
      </c>
      <c r="O6" s="17">
        <f t="shared" si="4"/>
        <v>1.3330263251989696</v>
      </c>
      <c r="P6" s="17">
        <f>$F6/HSP!$E$2</f>
        <v>0.5081962117771508</v>
      </c>
      <c r="Q6" s="17">
        <f>$G6/HSP!$E$3</f>
        <v>0.51192849294897036</v>
      </c>
      <c r="R6" s="17">
        <f>$H6/HSP!$E$4</f>
        <v>0.54430683077783137</v>
      </c>
      <c r="S6" s="17">
        <f>$I6/HSP!$E$5</f>
        <v>0.52075521906986422</v>
      </c>
      <c r="T6" s="17">
        <f>$J6/HSP!$E$6</f>
        <v>0.6304854240805936</v>
      </c>
      <c r="U6" s="18" t="s">
        <v>35</v>
      </c>
      <c r="V6" s="12"/>
      <c r="W6" s="12"/>
      <c r="X6" s="12"/>
      <c r="Y6" s="12"/>
      <c r="Z6" s="12"/>
    </row>
    <row r="7" spans="1:26" ht="15" customHeight="1" x14ac:dyDescent="0.3">
      <c r="A7" s="26" t="s">
        <v>448</v>
      </c>
      <c r="B7" s="17">
        <v>19.399999999999999</v>
      </c>
      <c r="C7" s="17">
        <v>13.4</v>
      </c>
      <c r="D7" s="17">
        <v>18</v>
      </c>
      <c r="E7" s="17">
        <v>8.6</v>
      </c>
      <c r="F7" s="17">
        <f>SQRT((4*(HSP!$B$2-$B7)^2+(HSP!$C$2-$C7)^2+(HSP!$D$2-$D7)^2))</f>
        <v>14.907850280976126</v>
      </c>
      <c r="G7" s="17">
        <f>SQRT((4*(HSP!$B$3-$B7)^2+(HSP!$C$3-$C7)^2+(HSP!$D$3-$D7)^2))</f>
        <v>14.744368416449719</v>
      </c>
      <c r="H7" s="17">
        <f>SQRT((4*(HSP!$B$4-$B7)^2+(HSP!$C$4-$C7)^2+(HSP!$D$4-$D7)^2))</f>
        <v>16.524224641416613</v>
      </c>
      <c r="I7" s="17">
        <f>SQRT((4*(HSP!$B$5-$B7)^2+(HSP!$C$5-$C7)^2+(HSP!$D$5-$D7)^2))</f>
        <v>10.893800989553645</v>
      </c>
      <c r="J7" s="17">
        <f>SQRT((4*(HSP!$B$6-$B7)^2+(HSP!$C$6-$C7)^2+(HSP!$D$6-$D7)^2))</f>
        <v>17.80536436021459</v>
      </c>
      <c r="K7" s="17">
        <f t="shared" si="0"/>
        <v>1.7334709629042007</v>
      </c>
      <c r="L7" s="17">
        <f t="shared" si="1"/>
        <v>1.7144614437732233</v>
      </c>
      <c r="M7" s="17">
        <f t="shared" si="2"/>
        <v>1.9214214699321643</v>
      </c>
      <c r="N7" s="17">
        <f t="shared" si="3"/>
        <v>1.2667210452969355</v>
      </c>
      <c r="O7" s="17">
        <f t="shared" si="4"/>
        <v>2.070391204676115</v>
      </c>
      <c r="P7" s="17">
        <f>$F7/HSP!$E$2</f>
        <v>0.91459204177767639</v>
      </c>
      <c r="Q7" s="17">
        <f>$G7/HSP!$E$3</f>
        <v>1.0921754382555346</v>
      </c>
      <c r="R7" s="17">
        <f>$H7/HSP!$E$4</f>
        <v>1.0392594114098499</v>
      </c>
      <c r="S7" s="17">
        <f>$I7/HSP!$E$5</f>
        <v>0.79516795544187191</v>
      </c>
      <c r="T7" s="17">
        <f>$J7/HSP!$E$6</f>
        <v>1.2030651594739588</v>
      </c>
      <c r="U7" s="18" t="s">
        <v>449</v>
      </c>
      <c r="V7" s="12"/>
      <c r="W7" s="12"/>
      <c r="X7" s="12"/>
      <c r="Y7" s="12"/>
      <c r="Z7" s="12"/>
    </row>
    <row r="8" spans="1:26" ht="15" customHeight="1" x14ac:dyDescent="0.3">
      <c r="A8" s="26" t="s">
        <v>450</v>
      </c>
      <c r="B8" s="17">
        <v>20.5</v>
      </c>
      <c r="C8" s="17">
        <v>11.3</v>
      </c>
      <c r="D8" s="17">
        <v>10.3</v>
      </c>
      <c r="E8" s="17">
        <v>6.7</v>
      </c>
      <c r="F8" s="17">
        <f>SQRT((4*(HSP!$B$2-$B8)^2+(HSP!$C$2-$C8)^2+(HSP!$D$2-$D8)^2))</f>
        <v>12.286903596919771</v>
      </c>
      <c r="G8" s="17">
        <f>SQRT((4*(HSP!$B$3-$B8)^2+(HSP!$C$3-$C8)^2+(HSP!$D$3-$D8)^2))</f>
        <v>10.737988638474155</v>
      </c>
      <c r="H8" s="17">
        <f>SQRT((4*(HSP!$B$4-$B8)^2+(HSP!$C$4-$C8)^2+(HSP!$D$4-$D8)^2))</f>
        <v>13.027279071241239</v>
      </c>
      <c r="I8" s="17">
        <f>SQRT((4*(HSP!$B$5-$B8)^2+(HSP!$C$5-$C8)^2+(HSP!$D$5-$D8)^2))</f>
        <v>10.574729310956382</v>
      </c>
      <c r="J8" s="17">
        <f>SQRT((4*(HSP!$B$6-$B8)^2+(HSP!$C$6-$C8)^2+(HSP!$D$6-$D8)^2))</f>
        <v>13.218585400866464</v>
      </c>
      <c r="K8" s="17">
        <f t="shared" si="0"/>
        <v>1.8338662084954882</v>
      </c>
      <c r="L8" s="17">
        <f t="shared" si="1"/>
        <v>1.6026848714140529</v>
      </c>
      <c r="M8" s="17">
        <f t="shared" si="2"/>
        <v>1.9443700106330206</v>
      </c>
      <c r="N8" s="17">
        <f t="shared" si="3"/>
        <v>1.5783178076054301</v>
      </c>
      <c r="O8" s="17">
        <f t="shared" si="4"/>
        <v>1.9729231941591738</v>
      </c>
      <c r="P8" s="17">
        <f>$F8/HSP!$E$2</f>
        <v>0.75379776668219456</v>
      </c>
      <c r="Q8" s="17">
        <f>$G8/HSP!$E$3</f>
        <v>0.79540656581290037</v>
      </c>
      <c r="R8" s="17">
        <f>$H8/HSP!$E$4</f>
        <v>0.8193257277510213</v>
      </c>
      <c r="S8" s="17">
        <f>$I8/HSP!$E$5</f>
        <v>0.77187805189462644</v>
      </c>
      <c r="T8" s="17">
        <f>$J8/HSP!$E$6</f>
        <v>0.89314766222070707</v>
      </c>
      <c r="U8" s="18" t="s">
        <v>449</v>
      </c>
      <c r="V8" s="12"/>
      <c r="W8" s="12"/>
      <c r="X8" s="12"/>
      <c r="Y8" s="12"/>
      <c r="Z8" s="12"/>
    </row>
    <row r="9" spans="1:26" ht="15" customHeight="1" x14ac:dyDescent="0.3">
      <c r="A9" s="26" t="s">
        <v>451</v>
      </c>
      <c r="B9" s="17">
        <v>16.3</v>
      </c>
      <c r="C9" s="17">
        <v>2.7</v>
      </c>
      <c r="D9" s="17">
        <v>7.1</v>
      </c>
      <c r="E9" s="17">
        <v>7.8</v>
      </c>
      <c r="F9" s="17">
        <f>SQRT((4*(HSP!$B$2-$B9)^2+(HSP!$C$2-$C9)^2+(HSP!$D$2-$D9)^2))</f>
        <v>8.4730159919594161</v>
      </c>
      <c r="G9" s="17">
        <f>SQRT((4*(HSP!$B$3-$B9)^2+(HSP!$C$3-$C9)^2+(HSP!$D$3-$D9)^2))</f>
        <v>7.1811141196892283</v>
      </c>
      <c r="H9" s="17">
        <f>SQRT((4*(HSP!$B$4-$B9)^2+(HSP!$C$4-$C9)^2+(HSP!$D$4-$D9)^2))</f>
        <v>3.0196026228628172</v>
      </c>
      <c r="I9" s="17">
        <f>SQRT((4*(HSP!$B$5-$B9)^2+(HSP!$C$5-$C9)^2+(HSP!$D$5-$D9)^2))</f>
        <v>10.923044447405678</v>
      </c>
      <c r="J9" s="17">
        <f>SQRT((4*(HSP!$B$6-$B9)^2+(HSP!$C$6-$C9)^2+(HSP!$D$6-$D9)^2))</f>
        <v>5.3590111028061891</v>
      </c>
      <c r="K9" s="17">
        <f t="shared" si="0"/>
        <v>1.0862841015332585</v>
      </c>
      <c r="L9" s="17">
        <f t="shared" si="1"/>
        <v>0.92065565637041391</v>
      </c>
      <c r="M9" s="17">
        <f t="shared" si="2"/>
        <v>0.38712854139266889</v>
      </c>
      <c r="N9" s="17">
        <f t="shared" si="3"/>
        <v>1.4003903137699587</v>
      </c>
      <c r="O9" s="17">
        <f t="shared" si="4"/>
        <v>0.68705270548797293</v>
      </c>
      <c r="P9" s="17">
        <f>$F9/HSP!$E$2</f>
        <v>0.51981693202205004</v>
      </c>
      <c r="Q9" s="17">
        <f>$G9/HSP!$E$3</f>
        <v>0.5319343792362391</v>
      </c>
      <c r="R9" s="17">
        <f>$H9/HSP!$E$4</f>
        <v>0.18991211464546021</v>
      </c>
      <c r="S9" s="17">
        <f>$I9/HSP!$E$5</f>
        <v>0.79730251440917366</v>
      </c>
      <c r="T9" s="17">
        <f>$J9/HSP!$E$6</f>
        <v>0.36209534478420197</v>
      </c>
      <c r="U9" s="18" t="s">
        <v>452</v>
      </c>
      <c r="V9" s="12"/>
      <c r="W9" s="12"/>
      <c r="X9" s="12"/>
      <c r="Y9" s="12"/>
      <c r="Z9" s="12"/>
    </row>
    <row r="10" spans="1:26" ht="15" customHeight="1" x14ac:dyDescent="0.3">
      <c r="A10" s="26" t="s">
        <v>453</v>
      </c>
      <c r="B10" s="17">
        <v>21.1</v>
      </c>
      <c r="C10" s="17">
        <v>9.3000000000000007</v>
      </c>
      <c r="D10" s="17">
        <v>5.9</v>
      </c>
      <c r="E10" s="17">
        <v>11.4</v>
      </c>
      <c r="F10" s="17">
        <f>SQRT((4*(HSP!$B$2-$B10)^2+(HSP!$C$2-$C10)^2+(HSP!$D$2-$D10)^2))</f>
        <v>13.096259007823573</v>
      </c>
      <c r="G10" s="17">
        <f>SQRT((4*(HSP!$B$3-$B10)^2+(HSP!$C$3-$C10)^2+(HSP!$D$3-$D10)^2))</f>
        <v>10.826282833918578</v>
      </c>
      <c r="H10" s="17">
        <f>SQRT((4*(HSP!$B$4-$B10)^2+(HSP!$C$4-$C10)^2+(HSP!$D$4-$D10)^2))</f>
        <v>12.759858933389509</v>
      </c>
      <c r="I10" s="17">
        <f>SQRT((4*(HSP!$B$5-$B10)^2+(HSP!$C$5-$C10)^2+(HSP!$D$5-$D10)^2))</f>
        <v>13.151155842738694</v>
      </c>
      <c r="J10" s="17">
        <f>SQRT((4*(HSP!$B$6-$B10)^2+(HSP!$C$6-$C10)^2+(HSP!$D$6-$D10)^2))</f>
        <v>12.181748642949424</v>
      </c>
      <c r="K10" s="17">
        <f t="shared" si="0"/>
        <v>1.1487946498090853</v>
      </c>
      <c r="L10" s="17">
        <f t="shared" si="1"/>
        <v>0.94967393279987522</v>
      </c>
      <c r="M10" s="17">
        <f t="shared" si="2"/>
        <v>1.1192858713499569</v>
      </c>
      <c r="N10" s="17">
        <f t="shared" si="3"/>
        <v>1.1536101616437451</v>
      </c>
      <c r="O10" s="17">
        <f t="shared" si="4"/>
        <v>1.0685744423639845</v>
      </c>
      <c r="P10" s="17">
        <f>$F10/HSP!$E$2</f>
        <v>0.80345147287261176</v>
      </c>
      <c r="Q10" s="17">
        <f>$G10/HSP!$E$3</f>
        <v>0.80194687658656127</v>
      </c>
      <c r="R10" s="17">
        <f>$H10/HSP!$E$4</f>
        <v>0.80250685115657283</v>
      </c>
      <c r="S10" s="17">
        <f>$I10/HSP!$E$5</f>
        <v>0.95993838268165654</v>
      </c>
      <c r="T10" s="17">
        <f>$J10/HSP!$E$6</f>
        <v>0.82309112452360966</v>
      </c>
      <c r="U10" s="18" t="s">
        <v>454</v>
      </c>
      <c r="V10" s="12"/>
      <c r="W10" s="12"/>
      <c r="X10" s="12"/>
      <c r="Y10" s="12"/>
      <c r="Z10" s="12"/>
    </row>
    <row r="11" spans="1:26" ht="15" customHeight="1" x14ac:dyDescent="0.3">
      <c r="A11" s="26" t="s">
        <v>455</v>
      </c>
      <c r="B11" s="17">
        <v>19</v>
      </c>
      <c r="C11" s="17">
        <v>5</v>
      </c>
      <c r="D11" s="17">
        <v>8</v>
      </c>
      <c r="E11" s="17">
        <v>5</v>
      </c>
      <c r="F11" s="17">
        <f>SQRT((4*(HSP!$B$2-$B11)^2+(HSP!$C$2-$C11)^2+(HSP!$D$2-$D11)^2))</f>
        <v>10.40634421879269</v>
      </c>
      <c r="G11" s="17">
        <f>SQRT((4*(HSP!$B$3-$B11)^2+(HSP!$C$3-$C11)^2+(HSP!$D$3-$D11)^2))</f>
        <v>8.3840562975209085</v>
      </c>
      <c r="H11" s="17">
        <f>SQRT((4*(HSP!$B$4-$B11)^2+(HSP!$C$4-$C11)^2+(HSP!$D$4-$D11)^2))</f>
        <v>7.7600257731530764</v>
      </c>
      <c r="I11" s="17">
        <f>SQRT((4*(HSP!$B$5-$B11)^2+(HSP!$C$5-$C11)^2+(HSP!$D$5-$D11)^2))</f>
        <v>11.128113047592572</v>
      </c>
      <c r="J11" s="17">
        <f>SQRT((4*(HSP!$B$6-$B11)^2+(HSP!$C$6-$C11)^2+(HSP!$D$6-$D11)^2))</f>
        <v>8.6555762373166125</v>
      </c>
      <c r="K11" s="17">
        <f t="shared" si="0"/>
        <v>2.0812688437585378</v>
      </c>
      <c r="L11" s="17">
        <f t="shared" si="1"/>
        <v>1.6768112595041818</v>
      </c>
      <c r="M11" s="17">
        <f t="shared" si="2"/>
        <v>1.5520051546306153</v>
      </c>
      <c r="N11" s="17">
        <f t="shared" si="3"/>
        <v>2.2256226095185143</v>
      </c>
      <c r="O11" s="17">
        <f t="shared" si="4"/>
        <v>1.7311152474633225</v>
      </c>
      <c r="P11" s="17">
        <f>$F11/HSP!$E$2</f>
        <v>0.63842602569280305</v>
      </c>
      <c r="Q11" s="17">
        <f>$G11/HSP!$E$3</f>
        <v>0.62104120722377099</v>
      </c>
      <c r="R11" s="17">
        <f>$H11/HSP!$E$4</f>
        <v>0.48805193541843245</v>
      </c>
      <c r="S11" s="17">
        <f>$I11/HSP!$E$5</f>
        <v>0.81227102537172069</v>
      </c>
      <c r="T11" s="17">
        <f>$J11/HSP!$E$6</f>
        <v>0.58483623225112247</v>
      </c>
      <c r="U11" s="18" t="s">
        <v>454</v>
      </c>
      <c r="V11" s="12"/>
      <c r="W11" s="12"/>
      <c r="X11" s="12"/>
      <c r="Y11" s="12"/>
      <c r="Z11" s="12"/>
    </row>
    <row r="12" spans="1:26" ht="15" customHeight="1" x14ac:dyDescent="0.3">
      <c r="A12" s="27" t="s">
        <v>456</v>
      </c>
      <c r="B12" s="19">
        <v>15.3</v>
      </c>
      <c r="C12" s="19">
        <v>13.3</v>
      </c>
      <c r="D12" s="19">
        <v>14.9</v>
      </c>
      <c r="E12" s="19">
        <v>15.6</v>
      </c>
      <c r="F12" s="19">
        <f>SQRT((4*(HSP!$B$2-$B12)^2+(HSP!$C$2-$C12)^2+(HSP!$D$2-$D12)^2))</f>
        <v>8.529478295886566</v>
      </c>
      <c r="G12" s="19">
        <f>SQRT((4*(HSP!$B$3-$B12)^2+(HSP!$C$3-$C12)^2+(HSP!$D$3-$D12)^2))</f>
        <v>9.8134805242584555</v>
      </c>
      <c r="H12" s="19">
        <f>SQRT((4*(HSP!$B$4-$B12)^2+(HSP!$C$4-$C12)^2+(HSP!$D$4-$D12)^2))</f>
        <v>11.8313989029193</v>
      </c>
      <c r="I12" s="19">
        <f>SQRT((4*(HSP!$B$5-$B12)^2+(HSP!$C$5-$C12)^2+(HSP!$D$5-$D12)^2))</f>
        <v>4.0125926780574188</v>
      </c>
      <c r="J12" s="17">
        <f>SQRT((4*(HSP!$B$6-$B12)^2+(HSP!$C$6-$C12)^2+(HSP!$D$6-$D12)^2))</f>
        <v>13.011648627287782</v>
      </c>
      <c r="K12" s="17">
        <f t="shared" si="0"/>
        <v>0.5467614292234978</v>
      </c>
      <c r="L12" s="17">
        <f t="shared" si="1"/>
        <v>0.629069264375542</v>
      </c>
      <c r="M12" s="17">
        <f t="shared" si="2"/>
        <v>0.75842300659739104</v>
      </c>
      <c r="N12" s="17">
        <f t="shared" si="3"/>
        <v>0.25721747936265504</v>
      </c>
      <c r="O12" s="17">
        <f t="shared" si="4"/>
        <v>0.83408004021075521</v>
      </c>
      <c r="P12" s="17">
        <f>$F12/HSP!$E$2</f>
        <v>0.52328087704825554</v>
      </c>
      <c r="Q12" s="17">
        <f>$G12/HSP!$E$3</f>
        <v>0.72692448327840409</v>
      </c>
      <c r="R12" s="17">
        <f>$H12/HSP!$E$4</f>
        <v>0.74411313854838368</v>
      </c>
      <c r="S12" s="17">
        <f>$I12/HSP!$E$5</f>
        <v>0.29288997650054155</v>
      </c>
      <c r="T12" s="17">
        <f>$J12/HSP!$E$6</f>
        <v>0.87916544778971495</v>
      </c>
      <c r="U12" s="18" t="s">
        <v>457</v>
      </c>
      <c r="V12" s="12"/>
      <c r="W12" s="12"/>
      <c r="X12" s="12"/>
      <c r="Y12" s="12"/>
      <c r="Z12" s="12"/>
    </row>
    <row r="13" spans="1:26" ht="15" customHeight="1" x14ac:dyDescent="0.3">
      <c r="A13" s="26" t="s">
        <v>458</v>
      </c>
      <c r="B13" s="17">
        <v>18</v>
      </c>
      <c r="C13" s="17">
        <v>1</v>
      </c>
      <c r="D13" s="17">
        <v>2</v>
      </c>
      <c r="E13" s="17">
        <v>4</v>
      </c>
      <c r="F13" s="17">
        <f>SQRT((4*(HSP!$B$2-$B13)^2+(HSP!$C$2-$C13)^2+(HSP!$D$2-$D13)^2))</f>
        <v>12.670122335636702</v>
      </c>
      <c r="G13" s="17">
        <f>SQRT((4*(HSP!$B$3-$B13)^2+(HSP!$C$3-$C13)^2+(HSP!$D$3-$D13)^2))</f>
        <v>10.532445110229627</v>
      </c>
      <c r="H13" s="17">
        <f>SQRT((4*(HSP!$B$4-$B13)^2+(HSP!$C$4-$C13)^2+(HSP!$D$4-$D13)^2))</f>
        <v>8.2835982519675593</v>
      </c>
      <c r="I13" s="17">
        <f>SQRT((4*(HSP!$B$5-$B13)^2+(HSP!$C$5-$C13)^2+(HSP!$D$5-$D13)^2))</f>
        <v>15.713526020597669</v>
      </c>
      <c r="J13" s="17">
        <f>SQRT((4*(HSP!$B$6-$B13)^2+(HSP!$C$6-$C13)^2+(HSP!$D$6-$D13)^2))</f>
        <v>7.9195328145036443</v>
      </c>
      <c r="K13" s="17">
        <f t="shared" si="0"/>
        <v>3.1675305839091754</v>
      </c>
      <c r="L13" s="17">
        <f t="shared" si="1"/>
        <v>2.6331112775574068</v>
      </c>
      <c r="M13" s="17">
        <f t="shared" si="2"/>
        <v>2.0708995629918898</v>
      </c>
      <c r="N13" s="17">
        <f t="shared" si="3"/>
        <v>3.9283815051494173</v>
      </c>
      <c r="O13" s="17">
        <f t="shared" si="4"/>
        <v>1.9798832036259111</v>
      </c>
      <c r="P13" s="17">
        <f>$F13/HSP!$E$2</f>
        <v>0.77730811875071781</v>
      </c>
      <c r="Q13" s="17">
        <f>$G13/HSP!$E$3</f>
        <v>0.78018111927626865</v>
      </c>
      <c r="R13" s="17">
        <f>$H13/HSP!$E$4</f>
        <v>0.52098102213632447</v>
      </c>
      <c r="S13" s="17">
        <f>$I13/HSP!$E$5</f>
        <v>1.1469727022334066</v>
      </c>
      <c r="T13" s="17">
        <f>$J13/HSP!$E$6</f>
        <v>0.53510356854754348</v>
      </c>
      <c r="U13" s="18" t="s">
        <v>459</v>
      </c>
      <c r="V13" s="12"/>
      <c r="W13" s="12"/>
      <c r="X13" s="12"/>
      <c r="Y13" s="12"/>
      <c r="Z13" s="12"/>
    </row>
    <row r="14" spans="1:26" ht="15" customHeight="1" x14ac:dyDescent="0.3">
      <c r="A14" s="26" t="s">
        <v>460</v>
      </c>
      <c r="B14" s="17">
        <v>14.7</v>
      </c>
      <c r="C14" s="17">
        <v>3.9</v>
      </c>
      <c r="D14" s="17">
        <v>6.7</v>
      </c>
      <c r="E14" s="17">
        <v>6.8</v>
      </c>
      <c r="F14" s="17">
        <f>SQRT((4*(HSP!$B$2-$B14)^2+(HSP!$C$2-$C14)^2+(HSP!$D$2-$D14)^2))</f>
        <v>6.5690181914803683</v>
      </c>
      <c r="G14" s="17">
        <f>SQRT((4*(HSP!$B$3-$B14)^2+(HSP!$C$3-$C14)^2+(HSP!$D$3-$D14)^2))</f>
        <v>6.1540555733597335</v>
      </c>
      <c r="H14" s="17">
        <f>SQRT((4*(HSP!$B$4-$B14)^2+(HSP!$C$4-$C14)^2+(HSP!$D$4-$D14)^2))</f>
        <v>1.2255610959882832</v>
      </c>
      <c r="I14" s="17">
        <f>SQRT((4*(HSP!$B$5-$B14)^2+(HSP!$C$5-$C14)^2+(HSP!$D$5-$D14)^2))</f>
        <v>9.8480911856054618</v>
      </c>
      <c r="J14" s="17">
        <f>SQRT((4*(HSP!$B$6-$B14)^2+(HSP!$C$6-$C14)^2+(HSP!$D$6-$D14)^2))</f>
        <v>3.9778134697343464</v>
      </c>
      <c r="K14" s="17">
        <f t="shared" si="0"/>
        <v>0.96603208698240717</v>
      </c>
      <c r="L14" s="17">
        <f t="shared" si="1"/>
        <v>0.905008172552902</v>
      </c>
      <c r="M14" s="17">
        <f t="shared" si="2"/>
        <v>0.18022957293945341</v>
      </c>
      <c r="N14" s="17">
        <f t="shared" si="3"/>
        <v>1.4482487037655092</v>
      </c>
      <c r="O14" s="17">
        <f t="shared" si="4"/>
        <v>0.58497256907858031</v>
      </c>
      <c r="P14" s="17">
        <f>$F14/HSP!$E$2</f>
        <v>0.40300725101106549</v>
      </c>
      <c r="Q14" s="17">
        <f>$G14/HSP!$E$3</f>
        <v>0.45585596839701731</v>
      </c>
      <c r="R14" s="17">
        <f>$H14/HSP!$E$4</f>
        <v>7.7079314213099576E-2</v>
      </c>
      <c r="S14" s="17">
        <f>$I14/HSP!$E$5</f>
        <v>0.71883877267193153</v>
      </c>
      <c r="T14" s="17">
        <f>$J14/HSP!$E$6</f>
        <v>0.26877118038745584</v>
      </c>
      <c r="U14" s="18" t="s">
        <v>459</v>
      </c>
      <c r="V14" s="12"/>
      <c r="W14" s="12"/>
      <c r="X14" s="12"/>
      <c r="Y14" s="12"/>
      <c r="Z14" s="12"/>
    </row>
    <row r="15" spans="1:26" ht="15" customHeight="1" x14ac:dyDescent="0.3">
      <c r="A15" s="26" t="s">
        <v>461</v>
      </c>
      <c r="B15" s="17">
        <v>16.899999999999999</v>
      </c>
      <c r="C15" s="17">
        <v>18.100000000000001</v>
      </c>
      <c r="D15" s="17">
        <v>19.899999999999999</v>
      </c>
      <c r="E15" s="17">
        <v>17</v>
      </c>
      <c r="F15" s="17">
        <f>SQRT((4*(HSP!$B$2-$B15)^2+(HSP!$C$2-$C15)^2+(HSP!$D$2-$D15)^2))</f>
        <v>15.698917160110119</v>
      </c>
      <c r="G15" s="17">
        <f>SQRT((4*(HSP!$B$3-$B15)^2+(HSP!$C$3-$C15)^2+(HSP!$D$3-$D15)^2))</f>
        <v>16.593263693438974</v>
      </c>
      <c r="H15" s="17">
        <f>SQRT((4*(HSP!$B$4-$B15)^2+(HSP!$C$4-$C15)^2+(HSP!$D$4-$D15)^2))</f>
        <v>19.070343468327991</v>
      </c>
      <c r="I15" s="17">
        <f>SQRT((4*(HSP!$B$5-$B15)^2+(HSP!$C$5-$C15)^2+(HSP!$D$5-$D15)^2))</f>
        <v>10.955952719868774</v>
      </c>
      <c r="J15" s="17">
        <f>SQRT((4*(HSP!$B$6-$B15)^2+(HSP!$C$6-$C15)^2+(HSP!$D$6-$D15)^2))</f>
        <v>20.110171555707822</v>
      </c>
      <c r="K15" s="17">
        <f t="shared" si="0"/>
        <v>0.92346571530059518</v>
      </c>
      <c r="L15" s="17">
        <f t="shared" si="1"/>
        <v>0.97607433490817497</v>
      </c>
      <c r="M15" s="17">
        <f t="shared" si="2"/>
        <v>1.1217849099016466</v>
      </c>
      <c r="N15" s="17">
        <f t="shared" si="3"/>
        <v>0.6444678070511044</v>
      </c>
      <c r="O15" s="17">
        <f t="shared" si="4"/>
        <v>1.1829512679828131</v>
      </c>
      <c r="P15" s="17">
        <f>$F15/HSP!$E$2</f>
        <v>0.96312375215399493</v>
      </c>
      <c r="Q15" s="17">
        <f>$G15/HSP!$E$3</f>
        <v>1.2291306439584426</v>
      </c>
      <c r="R15" s="17">
        <f>$H15/HSP!$E$4</f>
        <v>1.1993926709640246</v>
      </c>
      <c r="S15" s="17">
        <f>$I15/HSP!$E$5</f>
        <v>0.79970457809261131</v>
      </c>
      <c r="T15" s="17">
        <f>$J15/HSP!$E$6</f>
        <v>1.3587953753856636</v>
      </c>
      <c r="U15" s="18" t="s">
        <v>462</v>
      </c>
      <c r="V15" s="12"/>
      <c r="W15" s="12"/>
      <c r="X15" s="12"/>
      <c r="Y15" s="12"/>
      <c r="Z15" s="12"/>
    </row>
    <row r="16" spans="1:26" ht="15" customHeight="1" x14ac:dyDescent="0.3">
      <c r="A16" s="26" t="s">
        <v>463</v>
      </c>
      <c r="B16" s="17">
        <v>20.7</v>
      </c>
      <c r="C16" s="17">
        <v>4.0999999999999996</v>
      </c>
      <c r="D16" s="17">
        <v>10.7</v>
      </c>
      <c r="E16" s="17">
        <v>11.5</v>
      </c>
      <c r="F16" s="17">
        <f>SQRT((4*(HSP!$B$2-$B16)^2+(HSP!$C$2-$C16)^2+(HSP!$D$2-$D16)^2))</f>
        <v>14.25229806031294</v>
      </c>
      <c r="G16" s="17">
        <f>SQRT((4*(HSP!$B$3-$B16)^2+(HSP!$C$3-$C16)^2+(HSP!$D$3-$D16)^2))</f>
        <v>12.45505519859306</v>
      </c>
      <c r="H16" s="17">
        <f>SQRT((4*(HSP!$B$4-$B16)^2+(HSP!$C$4-$C16)^2+(HSP!$D$4-$D16)^2))</f>
        <v>11.741805653305626</v>
      </c>
      <c r="I16" s="17">
        <f>SQRT((4*(HSP!$B$5-$B16)^2+(HSP!$C$5-$C16)^2+(HSP!$D$5-$D16)^2))</f>
        <v>13.867115777983539</v>
      </c>
      <c r="J16" s="17">
        <f>SQRT((4*(HSP!$B$6-$B16)^2+(HSP!$C$6-$C16)^2+(HSP!$D$6-$D16)^2))</f>
        <v>13.049559379534619</v>
      </c>
      <c r="K16" s="17">
        <f t="shared" si="0"/>
        <v>1.2393302661141687</v>
      </c>
      <c r="L16" s="17">
        <f t="shared" si="1"/>
        <v>1.0830482781385269</v>
      </c>
      <c r="M16" s="17">
        <f t="shared" si="2"/>
        <v>1.0210265785483152</v>
      </c>
      <c r="N16" s="17">
        <f t="shared" si="3"/>
        <v>1.2058361546072642</v>
      </c>
      <c r="O16" s="17">
        <f t="shared" si="4"/>
        <v>1.1347442938725756</v>
      </c>
      <c r="P16" s="17">
        <f>$F16/HSP!$E$2</f>
        <v>0.87437411412962818</v>
      </c>
      <c r="Q16" s="17">
        <f>$G16/HSP!$E$3</f>
        <v>0.92259668137726369</v>
      </c>
      <c r="R16" s="17">
        <f>$H16/HSP!$E$4</f>
        <v>0.73847834297519654</v>
      </c>
      <c r="S16" s="17">
        <f>$I16/HSP!$E$5</f>
        <v>1.0121982319696015</v>
      </c>
      <c r="T16" s="17">
        <f>$J16/HSP!$E$6</f>
        <v>0.88172698510369041</v>
      </c>
      <c r="U16" s="18" t="s">
        <v>464</v>
      </c>
      <c r="V16" s="12"/>
      <c r="W16" s="12"/>
      <c r="X16" s="12"/>
      <c r="Y16" s="12"/>
      <c r="Z16" s="12"/>
    </row>
    <row r="17" spans="1:26" ht="15" customHeight="1" x14ac:dyDescent="0.3">
      <c r="A17" s="26" t="s">
        <v>465</v>
      </c>
      <c r="B17" s="17">
        <v>19.399999999999999</v>
      </c>
      <c r="C17" s="17">
        <v>11.2</v>
      </c>
      <c r="D17" s="17">
        <v>4.4000000000000004</v>
      </c>
      <c r="E17" s="17">
        <v>10.5</v>
      </c>
      <c r="F17" s="17">
        <f>SQRT((4*(HSP!$B$2-$B17)^2+(HSP!$C$2-$C17)^2+(HSP!$D$2-$D17)^2))</f>
        <v>9.9681492765708501</v>
      </c>
      <c r="G17" s="17">
        <f>SQRT((4*(HSP!$B$3-$B17)^2+(HSP!$C$3-$C17)^2+(HSP!$D$3-$D17)^2))</f>
        <v>7.7100194552283696</v>
      </c>
      <c r="H17" s="17">
        <f>SQRT((4*(HSP!$B$4-$B17)^2+(HSP!$C$4-$C17)^2+(HSP!$D$4-$D17)^2))</f>
        <v>10.947237094353989</v>
      </c>
      <c r="I17" s="17">
        <f>SQRT((4*(HSP!$B$5-$B17)^2+(HSP!$C$5-$C17)^2+(HSP!$D$5-$D17)^2))</f>
        <v>10.638557233008617</v>
      </c>
      <c r="J17" s="17">
        <f>SQRT((4*(HSP!$B$6-$B17)^2+(HSP!$C$6-$C17)^2+(HSP!$D$6-$D17)^2))</f>
        <v>9.5542137300774233</v>
      </c>
      <c r="K17" s="17">
        <f t="shared" si="0"/>
        <v>0.94934755014960481</v>
      </c>
      <c r="L17" s="17">
        <f t="shared" si="1"/>
        <v>0.73428756716460664</v>
      </c>
      <c r="M17" s="17">
        <f t="shared" si="2"/>
        <v>1.0425940089860941</v>
      </c>
      <c r="N17" s="17">
        <f t="shared" si="3"/>
        <v>1.0131959269532016</v>
      </c>
      <c r="O17" s="17">
        <f t="shared" si="4"/>
        <v>0.90992511715023083</v>
      </c>
      <c r="P17" s="17">
        <f>$F17/HSP!$E$2</f>
        <v>0.61154290040311965</v>
      </c>
      <c r="Q17" s="17">
        <f>$G17/HSP!$E$3</f>
        <v>0.57111255223913848</v>
      </c>
      <c r="R17" s="17">
        <f>$H17/HSP!$E$4</f>
        <v>0.68850547763232628</v>
      </c>
      <c r="S17" s="17">
        <f>$I17/HSP!$E$5</f>
        <v>0.7765370243071984</v>
      </c>
      <c r="T17" s="17">
        <f>$J17/HSP!$E$6</f>
        <v>0.645554981761988</v>
      </c>
      <c r="U17" s="18" t="s">
        <v>466</v>
      </c>
      <c r="V17" s="12"/>
      <c r="W17" s="12"/>
      <c r="X17" s="12"/>
      <c r="Y17" s="12"/>
      <c r="Z17" s="12"/>
    </row>
    <row r="18" spans="1:26" ht="15" customHeight="1" x14ac:dyDescent="0.3">
      <c r="A18" s="26" t="s">
        <v>467</v>
      </c>
      <c r="B18" s="17">
        <v>18</v>
      </c>
      <c r="C18" s="17">
        <v>9</v>
      </c>
      <c r="D18" s="17">
        <v>3</v>
      </c>
      <c r="E18" s="17">
        <v>9</v>
      </c>
      <c r="F18" s="17">
        <f>SQRT((4*(HSP!$B$2-$B18)^2+(HSP!$C$2-$C18)^2+(HSP!$D$2-$D18)^2))</f>
        <v>8.0132390454796756</v>
      </c>
      <c r="G18" s="17">
        <f>SQRT((4*(HSP!$B$3-$B18)^2+(HSP!$C$3-$C18)^2+(HSP!$D$3-$D18)^2))</f>
        <v>5.4527424292735498</v>
      </c>
      <c r="H18" s="17">
        <f>SQRT((4*(HSP!$B$4-$B18)^2+(HSP!$C$4-$C18)^2+(HSP!$D$4-$D18)^2))</f>
        <v>8.0708116072672649</v>
      </c>
      <c r="I18" s="17">
        <f>SQRT((4*(HSP!$B$5-$B18)^2+(HSP!$C$5-$C18)^2+(HSP!$D$5-$D18)^2))</f>
        <v>10.321574492295253</v>
      </c>
      <c r="J18" s="17">
        <f>SQRT((4*(HSP!$B$6-$B18)^2+(HSP!$C$6-$C18)^2+(HSP!$D$6-$D18)^2))</f>
        <v>6.0941775491037351</v>
      </c>
      <c r="K18" s="17">
        <f t="shared" si="0"/>
        <v>0.89035989394218618</v>
      </c>
      <c r="L18" s="17">
        <f t="shared" si="1"/>
        <v>0.60586026991928332</v>
      </c>
      <c r="M18" s="17">
        <f t="shared" si="2"/>
        <v>0.89675684525191834</v>
      </c>
      <c r="N18" s="17">
        <f t="shared" si="3"/>
        <v>1.1468416102550281</v>
      </c>
      <c r="O18" s="17">
        <f t="shared" si="4"/>
        <v>0.67713083878930391</v>
      </c>
      <c r="P18" s="17">
        <f>$F18/HSP!$E$2</f>
        <v>0.49160975739139112</v>
      </c>
      <c r="Q18" s="17">
        <f>$G18/HSP!$E$3</f>
        <v>0.40390684661285553</v>
      </c>
      <c r="R18" s="17">
        <f>$H18/HSP!$E$4</f>
        <v>0.50759821429353869</v>
      </c>
      <c r="S18" s="17">
        <f>$I18/HSP!$E$5</f>
        <v>0.7533995979777558</v>
      </c>
      <c r="T18" s="17">
        <f>$J18/HSP!$E$6</f>
        <v>0.41176875331781992</v>
      </c>
      <c r="U18" s="18" t="s">
        <v>466</v>
      </c>
      <c r="V18" s="12"/>
      <c r="W18" s="12"/>
      <c r="X18" s="12"/>
      <c r="Y18" s="12"/>
      <c r="Z18" s="12"/>
    </row>
    <row r="19" spans="1:26" ht="15" customHeight="1" x14ac:dyDescent="0.3">
      <c r="A19" s="26" t="s">
        <v>468</v>
      </c>
      <c r="B19" s="17">
        <v>19.2</v>
      </c>
      <c r="C19" s="17">
        <v>11.2</v>
      </c>
      <c r="D19" s="17">
        <v>1.8</v>
      </c>
      <c r="E19" s="17">
        <v>11</v>
      </c>
      <c r="F19" s="17">
        <f>SQRT((4*(HSP!$B$2-$B19)^2+(HSP!$C$2-$C19)^2+(HSP!$D$2-$D19)^2))</f>
        <v>10.583950113261116</v>
      </c>
      <c r="G19" s="17">
        <f>SQRT((4*(HSP!$B$3-$B19)^2+(HSP!$C$3-$C19)^2+(HSP!$D$3-$D19)^2))</f>
        <v>8.2348284742306568</v>
      </c>
      <c r="H19" s="17">
        <f>SQRT((4*(HSP!$B$4-$B19)^2+(HSP!$C$4-$C19)^2+(HSP!$D$4-$D19)^2))</f>
        <v>11.509735009981767</v>
      </c>
      <c r="I19" s="17">
        <f>SQRT((4*(HSP!$B$5-$B19)^2+(HSP!$C$5-$C19)^2+(HSP!$D$5-$D19)^2))</f>
        <v>12.14277151230311</v>
      </c>
      <c r="J19" s="17">
        <f>SQRT((4*(HSP!$B$6-$B19)^2+(HSP!$C$6-$C19)^2+(HSP!$D$6-$D19)^2))</f>
        <v>9.4199256897281298</v>
      </c>
      <c r="K19" s="17">
        <f t="shared" si="0"/>
        <v>0.96217728302373784</v>
      </c>
      <c r="L19" s="17">
        <f t="shared" si="1"/>
        <v>0.74862077038460517</v>
      </c>
      <c r="M19" s="17">
        <f t="shared" si="2"/>
        <v>1.0463395463619789</v>
      </c>
      <c r="N19" s="17">
        <f t="shared" si="3"/>
        <v>1.1038883193002826</v>
      </c>
      <c r="O19" s="17">
        <f t="shared" si="4"/>
        <v>0.85635688088437545</v>
      </c>
      <c r="P19" s="17">
        <f>$F19/HSP!$E$2</f>
        <v>0.64932209283810527</v>
      </c>
      <c r="Q19" s="17">
        <f>$G19/HSP!$E$3</f>
        <v>0.60998729438745602</v>
      </c>
      <c r="R19" s="17">
        <f>$H19/HSP!$E$4</f>
        <v>0.72388270503029983</v>
      </c>
      <c r="S19" s="17">
        <f>$I19/HSP!$E$5</f>
        <v>0.88633368702942417</v>
      </c>
      <c r="T19" s="17">
        <f>$J19/HSP!$E$6</f>
        <v>0.63648146552217089</v>
      </c>
      <c r="U19" s="18" t="s">
        <v>466</v>
      </c>
      <c r="V19" s="12"/>
      <c r="W19" s="12"/>
      <c r="X19" s="12"/>
      <c r="Y19" s="12"/>
      <c r="Z19" s="12"/>
    </row>
    <row r="20" spans="1:26" ht="15" customHeight="1" x14ac:dyDescent="0.3">
      <c r="A20" s="26" t="s">
        <v>469</v>
      </c>
      <c r="B20" s="17">
        <v>19.100000000000001</v>
      </c>
      <c r="C20" s="17">
        <v>9.1</v>
      </c>
      <c r="D20" s="17">
        <v>3.3</v>
      </c>
      <c r="E20" s="17">
        <v>9</v>
      </c>
      <c r="F20" s="17">
        <f>SQRT((4*(HSP!$B$2-$B20)^2+(HSP!$C$2-$C20)^2+(HSP!$D$2-$D20)^2))</f>
        <v>9.8179427580323608</v>
      </c>
      <c r="G20" s="17">
        <f>SQRT((4*(HSP!$B$3-$B20)^2+(HSP!$C$3-$C20)^2+(HSP!$D$3-$D20)^2))</f>
        <v>7.2922150269996875</v>
      </c>
      <c r="H20" s="17">
        <f>SQRT((4*(HSP!$B$4-$B20)^2+(HSP!$C$4-$C20)^2+(HSP!$D$4-$D20)^2))</f>
        <v>9.6729519796182206</v>
      </c>
      <c r="I20" s="17">
        <f>SQRT((4*(HSP!$B$5-$B20)^2+(HSP!$C$5-$C20)^2+(HSP!$D$5-$D20)^2))</f>
        <v>11.401618306187945</v>
      </c>
      <c r="J20" s="17">
        <f>SQRT((4*(HSP!$B$6-$B20)^2+(HSP!$C$6-$C20)^2+(HSP!$D$6-$D20)^2))</f>
        <v>8.1306211324842863</v>
      </c>
      <c r="K20" s="17">
        <f t="shared" si="0"/>
        <v>1.0908825286702624</v>
      </c>
      <c r="L20" s="17">
        <f t="shared" si="1"/>
        <v>0.81024611411107639</v>
      </c>
      <c r="M20" s="17">
        <f t="shared" si="2"/>
        <v>1.0747724421798024</v>
      </c>
      <c r="N20" s="17">
        <f t="shared" si="3"/>
        <v>1.2668464784653273</v>
      </c>
      <c r="O20" s="17">
        <f t="shared" si="4"/>
        <v>0.90340234805380959</v>
      </c>
      <c r="P20" s="17">
        <f>$F20/HSP!$E$2</f>
        <v>0.60232777656640246</v>
      </c>
      <c r="Q20" s="17">
        <f>$G20/HSP!$E$3</f>
        <v>0.54016407607405093</v>
      </c>
      <c r="R20" s="17">
        <f>$H20/HSP!$E$4</f>
        <v>0.60836175972441642</v>
      </c>
      <c r="S20" s="17">
        <f>$I20/HSP!$E$5</f>
        <v>0.83223491286043405</v>
      </c>
      <c r="T20" s="17">
        <f>$J20/HSP!$E$6</f>
        <v>0.5493662927354247</v>
      </c>
      <c r="U20" s="18" t="s">
        <v>466</v>
      </c>
      <c r="V20" s="12"/>
      <c r="W20" s="12"/>
      <c r="X20" s="12"/>
      <c r="Y20" s="12"/>
      <c r="Z20" s="12"/>
    </row>
    <row r="21" spans="1:26" ht="15" customHeight="1" x14ac:dyDescent="0.3">
      <c r="A21" s="26" t="s">
        <v>470</v>
      </c>
      <c r="B21" s="17">
        <v>17.600000000000001</v>
      </c>
      <c r="C21" s="17">
        <v>10</v>
      </c>
      <c r="D21" s="17">
        <v>3.8</v>
      </c>
      <c r="E21" s="17">
        <v>9.5</v>
      </c>
      <c r="F21" s="17">
        <f>SQRT((4*(HSP!$B$2-$B21)^2+(HSP!$C$2-$C21)^2+(HSP!$D$2-$D21)^2))</f>
        <v>6.8061736680751874</v>
      </c>
      <c r="G21" s="17">
        <f>SQRT((4*(HSP!$B$3-$B21)^2+(HSP!$C$3-$C21)^2+(HSP!$D$3-$D21)^2))</f>
        <v>4.3345588010776863</v>
      </c>
      <c r="H21" s="17">
        <f>SQRT((4*(HSP!$B$4-$B21)^2+(HSP!$C$4-$C21)^2+(HSP!$D$4-$D21)^2))</f>
        <v>7.8052546403048266</v>
      </c>
      <c r="I21" s="17">
        <f>SQRT((4*(HSP!$B$5-$B21)^2+(HSP!$C$5-$C21)^2+(HSP!$D$5-$D21)^2))</f>
        <v>8.9415267152763143</v>
      </c>
      <c r="J21" s="17">
        <f>SQRT((4*(HSP!$B$6-$B21)^2+(HSP!$C$6-$C21)^2+(HSP!$D$6-$D21)^2))</f>
        <v>5.8705195681472722</v>
      </c>
      <c r="K21" s="17">
        <f t="shared" si="0"/>
        <v>0.71643933348159872</v>
      </c>
      <c r="L21" s="17">
        <f t="shared" si="1"/>
        <v>0.45626934748186171</v>
      </c>
      <c r="M21" s="17">
        <f t="shared" si="2"/>
        <v>0.82160575161103433</v>
      </c>
      <c r="N21" s="17">
        <f t="shared" si="3"/>
        <v>0.94121333845013833</v>
      </c>
      <c r="O21" s="17">
        <f t="shared" si="4"/>
        <v>0.61794942822602861</v>
      </c>
      <c r="P21" s="17">
        <f>$F21/HSP!$E$2</f>
        <v>0.41755666675307895</v>
      </c>
      <c r="Q21" s="17">
        <f>$G21/HSP!$E$3</f>
        <v>0.32107842970945827</v>
      </c>
      <c r="R21" s="17">
        <f>$H21/HSP!$E$4</f>
        <v>0.49089651825816516</v>
      </c>
      <c r="S21" s="17">
        <f>$I21/HSP!$E$5</f>
        <v>0.65266618359681128</v>
      </c>
      <c r="T21" s="17">
        <f>$J21/HSP!$E$6</f>
        <v>0.39665672757751835</v>
      </c>
      <c r="U21" s="18" t="s">
        <v>471</v>
      </c>
      <c r="V21" s="12"/>
      <c r="W21" s="12"/>
      <c r="X21" s="12"/>
      <c r="Y21" s="12"/>
      <c r="Z21" s="12"/>
    </row>
    <row r="22" spans="1:26" ht="15" customHeight="1" x14ac:dyDescent="0.3">
      <c r="A22" s="26" t="s">
        <v>472</v>
      </c>
      <c r="B22" s="17">
        <v>18.600000000000001</v>
      </c>
      <c r="C22" s="17">
        <v>10</v>
      </c>
      <c r="D22" s="17">
        <v>5</v>
      </c>
      <c r="E22" s="17">
        <v>10.4</v>
      </c>
      <c r="F22" s="17">
        <f>SQRT((4*(HSP!$B$2-$B22)^2+(HSP!$C$2-$C22)^2+(HSP!$D$2-$D22)^2))</f>
        <v>8.2542110464901519</v>
      </c>
      <c r="G22" s="17">
        <f>SQRT((4*(HSP!$B$3-$B22)^2+(HSP!$C$3-$C22)^2+(HSP!$D$3-$D22)^2))</f>
        <v>5.8873083832936803</v>
      </c>
      <c r="H22" s="17">
        <f>SQRT((4*(HSP!$B$4-$B22)^2+(HSP!$C$4-$C22)^2+(HSP!$D$4-$D22)^2))</f>
        <v>8.8657768977117861</v>
      </c>
      <c r="I22" s="17">
        <f>SQRT((4*(HSP!$B$5-$B22)^2+(HSP!$C$5-$C22)^2+(HSP!$D$5-$D22)^2))</f>
        <v>9.3230306231396689</v>
      </c>
      <c r="J22" s="17">
        <f>SQRT((4*(HSP!$B$6-$B22)^2+(HSP!$C$6-$C22)^2+(HSP!$D$6-$D22)^2))</f>
        <v>7.6434939654584699</v>
      </c>
      <c r="K22" s="17">
        <f t="shared" si="0"/>
        <v>0.79367413908559148</v>
      </c>
      <c r="L22" s="17">
        <f t="shared" si="1"/>
        <v>0.56608734454746923</v>
      </c>
      <c r="M22" s="17">
        <f t="shared" si="2"/>
        <v>0.85247854785690247</v>
      </c>
      <c r="N22" s="17">
        <f t="shared" si="3"/>
        <v>0.89644525222496818</v>
      </c>
      <c r="O22" s="17">
        <f t="shared" si="4"/>
        <v>0.73495134283254515</v>
      </c>
      <c r="P22" s="17">
        <f>$F22/HSP!$E$2</f>
        <v>0.5063933157355921</v>
      </c>
      <c r="Q22" s="17">
        <f>$G22/HSP!$E$3</f>
        <v>0.43609691728101335</v>
      </c>
      <c r="R22" s="17">
        <f>$H22/HSP!$E$4</f>
        <v>0.55759603130262803</v>
      </c>
      <c r="S22" s="17">
        <f>$I22/HSP!$E$5</f>
        <v>0.68051318417077877</v>
      </c>
      <c r="T22" s="17">
        <f>$J22/HSP!$E$6</f>
        <v>0.51645229496341005</v>
      </c>
      <c r="U22" s="18" t="s">
        <v>473</v>
      </c>
      <c r="V22" s="12"/>
      <c r="W22" s="12"/>
      <c r="X22" s="12"/>
      <c r="Y22" s="12"/>
      <c r="Z22" s="12"/>
    </row>
    <row r="23" spans="1:26" ht="15" customHeight="1" x14ac:dyDescent="0.3">
      <c r="A23" s="26" t="s">
        <v>474</v>
      </c>
      <c r="B23" s="17">
        <v>23</v>
      </c>
      <c r="C23" s="17">
        <v>2.2000000000000002</v>
      </c>
      <c r="D23" s="17">
        <v>4.2</v>
      </c>
      <c r="E23" s="17">
        <v>16.899999999999999</v>
      </c>
      <c r="F23" s="17">
        <f>SQRT((4*(HSP!$B$2-$B23)^2+(HSP!$C$2-$C23)^2+(HSP!$D$2-$D23)^2))</f>
        <v>18.926066680639167</v>
      </c>
      <c r="G23" s="17">
        <f>SQRT((4*(HSP!$B$3-$B23)^2+(HSP!$C$3-$C23)^2+(HSP!$D$3-$D23)^2))</f>
        <v>16.493040956718687</v>
      </c>
      <c r="H23" s="17">
        <f>SQRT((4*(HSP!$B$4-$B23)^2+(HSP!$C$4-$C23)^2+(HSP!$D$4-$D23)^2))</f>
        <v>16.06692254291406</v>
      </c>
      <c r="I23" s="17">
        <f>SQRT((4*(HSP!$B$5-$B23)^2+(HSP!$C$5-$C23)^2+(HSP!$D$5-$D23)^2))</f>
        <v>19.873975445290256</v>
      </c>
      <c r="J23" s="17">
        <f>SQRT((4*(HSP!$B$6-$B23)^2+(HSP!$C$6-$C23)^2+(HSP!$D$6-$D23)^2))</f>
        <v>16.03206162662806</v>
      </c>
      <c r="K23" s="17">
        <f t="shared" si="0"/>
        <v>1.1198856024046846</v>
      </c>
      <c r="L23" s="17">
        <f t="shared" si="1"/>
        <v>0.97591958323779227</v>
      </c>
      <c r="M23" s="17">
        <f t="shared" si="2"/>
        <v>0.95070547591207466</v>
      </c>
      <c r="N23" s="17">
        <f t="shared" si="3"/>
        <v>1.1759748784195418</v>
      </c>
      <c r="O23" s="17">
        <f t="shared" si="4"/>
        <v>0.948642699800477</v>
      </c>
      <c r="P23" s="17">
        <f>$F23/HSP!$E$2</f>
        <v>1.1611083853152862</v>
      </c>
      <c r="Q23" s="17">
        <f>$G23/HSP!$E$3</f>
        <v>1.2217067375347175</v>
      </c>
      <c r="R23" s="17">
        <f>$H23/HSP!$E$4</f>
        <v>1.0104982731392491</v>
      </c>
      <c r="S23" s="17">
        <f>$I23/HSP!$E$5</f>
        <v>1.4506551419919895</v>
      </c>
      <c r="T23" s="17">
        <f>$J23/HSP!$E$6</f>
        <v>1.0832474072045986</v>
      </c>
      <c r="U23" s="18" t="s">
        <v>473</v>
      </c>
      <c r="V23" s="12"/>
      <c r="W23" s="12"/>
      <c r="X23" s="12"/>
      <c r="Y23" s="12"/>
      <c r="Z23" s="12"/>
    </row>
    <row r="24" spans="1:26" ht="15" customHeight="1" x14ac:dyDescent="0.3">
      <c r="A24" s="26" t="s">
        <v>475</v>
      </c>
      <c r="B24" s="17">
        <v>22.9</v>
      </c>
      <c r="C24" s="17">
        <v>15.2</v>
      </c>
      <c r="D24" s="17">
        <v>7.6</v>
      </c>
      <c r="E24" s="17">
        <v>18.100000000000001</v>
      </c>
      <c r="F24" s="17">
        <f>SQRT((4*(HSP!$B$2-$B24)^2+(HSP!$C$2-$C24)^2+(HSP!$D$2-$D24)^2))</f>
        <v>17.274605639492901</v>
      </c>
      <c r="G24" s="17">
        <f>SQRT((4*(HSP!$B$3-$B24)^2+(HSP!$C$3-$C24)^2+(HSP!$D$3-$D24)^2))</f>
        <v>15.549803857283857</v>
      </c>
      <c r="H24" s="17">
        <f>SQRT((4*(HSP!$B$4-$B24)^2+(HSP!$C$4-$C24)^2+(HSP!$D$4-$D24)^2))</f>
        <v>18.716890767432499</v>
      </c>
      <c r="I24" s="17">
        <f>SQRT((4*(HSP!$B$5-$B24)^2+(HSP!$C$5-$C24)^2+(HSP!$D$5-$D24)^2))</f>
        <v>15.814768414365098</v>
      </c>
      <c r="J24" s="17">
        <f>SQRT((4*(HSP!$B$6-$B24)^2+(HSP!$C$6-$C24)^2+(HSP!$D$6-$D24)^2))</f>
        <v>17.995638360447234</v>
      </c>
      <c r="K24" s="17">
        <f t="shared" si="0"/>
        <v>0.95439810162944194</v>
      </c>
      <c r="L24" s="17">
        <f t="shared" si="1"/>
        <v>0.85910518548529591</v>
      </c>
      <c r="M24" s="17">
        <f t="shared" si="2"/>
        <v>1.0340823628415745</v>
      </c>
      <c r="N24" s="17">
        <f t="shared" si="3"/>
        <v>0.87374411129088936</v>
      </c>
      <c r="O24" s="17">
        <f t="shared" si="4"/>
        <v>0.99423416356062055</v>
      </c>
      <c r="P24" s="17">
        <f>$F24/HSP!$E$2</f>
        <v>1.0597917570241042</v>
      </c>
      <c r="Q24" s="17">
        <f>$G24/HSP!$E$3</f>
        <v>1.1518373227617671</v>
      </c>
      <c r="R24" s="17">
        <f>$H24/HSP!$E$4</f>
        <v>1.1771629413479558</v>
      </c>
      <c r="S24" s="17">
        <f>$I24/HSP!$E$5</f>
        <v>1.1543626579828539</v>
      </c>
      <c r="T24" s="17">
        <f>$J24/HSP!$E$6</f>
        <v>1.2159215108410293</v>
      </c>
      <c r="U24" s="18" t="s">
        <v>473</v>
      </c>
      <c r="V24" s="12"/>
      <c r="W24" s="12"/>
      <c r="X24" s="12"/>
      <c r="Y24" s="12"/>
      <c r="Z24" s="12"/>
    </row>
    <row r="25" spans="1:26" ht="15" customHeight="1" x14ac:dyDescent="0.3">
      <c r="A25" s="26" t="s">
        <v>476</v>
      </c>
      <c r="B25" s="17">
        <v>22.6</v>
      </c>
      <c r="C25" s="17">
        <v>13.8</v>
      </c>
      <c r="D25" s="17">
        <v>8.1</v>
      </c>
      <c r="E25" s="17">
        <v>17.100000000000001</v>
      </c>
      <c r="F25" s="17">
        <f>SQRT((4*(HSP!$B$2-$B25)^2+(HSP!$C$2-$C25)^2+(HSP!$D$2-$D25)^2))</f>
        <v>16.383223126112885</v>
      </c>
      <c r="G25" s="17">
        <f>SQRT((4*(HSP!$B$3-$B25)^2+(HSP!$C$3-$C25)^2+(HSP!$D$3-$D25)^2))</f>
        <v>14.605834450657042</v>
      </c>
      <c r="H25" s="17">
        <f>SQRT((4*(HSP!$B$4-$B25)^2+(HSP!$C$4-$C25)^2+(HSP!$D$4-$D25)^2))</f>
        <v>17.483821092655923</v>
      </c>
      <c r="I25" s="17">
        <f>SQRT((4*(HSP!$B$5-$B25)^2+(HSP!$C$5-$C25)^2+(HSP!$D$5-$D25)^2))</f>
        <v>14.9696659949379</v>
      </c>
      <c r="J25" s="17">
        <f>SQRT((4*(HSP!$B$6-$B25)^2+(HSP!$C$6-$C25)^2+(HSP!$D$6-$D25)^2))</f>
        <v>16.949778759618077</v>
      </c>
      <c r="K25" s="17">
        <f t="shared" si="0"/>
        <v>0.95808322374929145</v>
      </c>
      <c r="L25" s="17">
        <f t="shared" si="1"/>
        <v>0.85414236553549949</v>
      </c>
      <c r="M25" s="17">
        <f t="shared" si="2"/>
        <v>1.0224456779330948</v>
      </c>
      <c r="N25" s="17">
        <f t="shared" si="3"/>
        <v>0.87541906403145608</v>
      </c>
      <c r="O25" s="17">
        <f t="shared" si="4"/>
        <v>0.99121513214140788</v>
      </c>
      <c r="P25" s="17">
        <f>$F25/HSP!$E$2</f>
        <v>1.0051057132584591</v>
      </c>
      <c r="Q25" s="17">
        <f>$G25/HSP!$E$3</f>
        <v>1.0819136630116328</v>
      </c>
      <c r="R25" s="17">
        <f>$H25/HSP!$E$4</f>
        <v>1.0996113894752153</v>
      </c>
      <c r="S25" s="17">
        <f>$I25/HSP!$E$5</f>
        <v>1.0926763499954673</v>
      </c>
      <c r="T25" s="17">
        <f>$J25/HSP!$E$6</f>
        <v>1.1452553215958159</v>
      </c>
      <c r="U25" s="18" t="s">
        <v>473</v>
      </c>
      <c r="V25" s="12"/>
      <c r="W25" s="12"/>
      <c r="X25" s="12"/>
      <c r="Y25" s="12"/>
      <c r="Z25" s="12"/>
    </row>
    <row r="26" spans="1:26" ht="15" customHeight="1" x14ac:dyDescent="0.3">
      <c r="A26" s="26" t="s">
        <v>477</v>
      </c>
      <c r="B26" s="17">
        <v>20.5</v>
      </c>
      <c r="C26" s="17">
        <v>9.3000000000000007</v>
      </c>
      <c r="D26" s="17">
        <v>9.1</v>
      </c>
      <c r="E26" s="17">
        <v>12.4</v>
      </c>
      <c r="F26" s="17">
        <f>SQRT((4*(HSP!$B$2-$B26)^2+(HSP!$C$2-$C26)^2+(HSP!$D$2-$D26)^2))</f>
        <v>12.044915939930839</v>
      </c>
      <c r="G26" s="17">
        <f>SQRT((4*(HSP!$B$3-$B26)^2+(HSP!$C$3-$C26)^2+(HSP!$D$3-$D26)^2))</f>
        <v>10.170172073273884</v>
      </c>
      <c r="H26" s="17">
        <f>SQRT((4*(HSP!$B$4-$B26)^2+(HSP!$C$4-$C26)^2+(HSP!$D$4-$D26)^2))</f>
        <v>11.843563652887589</v>
      </c>
      <c r="I26" s="17">
        <f>SQRT((4*(HSP!$B$5-$B26)^2+(HSP!$C$5-$C26)^2+(HSP!$D$5-$D26)^2))</f>
        <v>11.156025277848737</v>
      </c>
      <c r="J26" s="17">
        <f>SQRT((4*(HSP!$B$6-$B26)^2+(HSP!$C$6-$C26)^2+(HSP!$D$6-$D26)^2))</f>
        <v>12.050352691933959</v>
      </c>
      <c r="K26" s="17">
        <f t="shared" si="0"/>
        <v>0.97136418870409991</v>
      </c>
      <c r="L26" s="17">
        <f t="shared" si="1"/>
        <v>0.82017516719950678</v>
      </c>
      <c r="M26" s="17">
        <f t="shared" si="2"/>
        <v>0.95512610103932161</v>
      </c>
      <c r="N26" s="17">
        <f t="shared" si="3"/>
        <v>0.89967945789102721</v>
      </c>
      <c r="O26" s="17">
        <f t="shared" si="4"/>
        <v>0.97180263644628695</v>
      </c>
      <c r="P26" s="17">
        <f>$F26/HSP!$E$2</f>
        <v>0.73895189815526618</v>
      </c>
      <c r="Q26" s="17">
        <f>$G26/HSP!$E$3</f>
        <v>0.75334607950176913</v>
      </c>
      <c r="R26" s="17">
        <f>$H26/HSP!$E$4</f>
        <v>0.74487821716274139</v>
      </c>
      <c r="S26" s="17">
        <f>$I26/HSP!$E$5</f>
        <v>0.81430841444151369</v>
      </c>
      <c r="T26" s="17">
        <f>$J26/HSP!$E$6</f>
        <v>0.8142130197252675</v>
      </c>
      <c r="U26" s="18" t="s">
        <v>473</v>
      </c>
      <c r="V26" s="12"/>
      <c r="W26" s="12"/>
      <c r="X26" s="12"/>
      <c r="Y26" s="12"/>
      <c r="Z26" s="12"/>
    </row>
    <row r="27" spans="1:26" ht="15" customHeight="1" x14ac:dyDescent="0.3">
      <c r="A27" s="26" t="s">
        <v>478</v>
      </c>
      <c r="B27" s="17">
        <v>19.2</v>
      </c>
      <c r="C27" s="17">
        <v>5.3</v>
      </c>
      <c r="D27" s="17">
        <v>6.3</v>
      </c>
      <c r="E27" s="17">
        <v>11.9</v>
      </c>
      <c r="F27" s="17">
        <f>SQRT((4*(HSP!$B$2-$B27)^2+(HSP!$C$2-$C27)^2+(HSP!$D$2-$D27)^2))</f>
        <v>10.570146640420841</v>
      </c>
      <c r="G27" s="17">
        <f>SQRT((4*(HSP!$B$3-$B27)^2+(HSP!$C$3-$C27)^2+(HSP!$D$3-$D27)^2))</f>
        <v>8.2777049959514741</v>
      </c>
      <c r="H27" s="17">
        <f>SQRT((4*(HSP!$B$4-$B27)^2+(HSP!$C$4-$C27)^2+(HSP!$D$4-$D27)^2))</f>
        <v>8.0992592253859854</v>
      </c>
      <c r="I27" s="17">
        <f>SQRT((4*(HSP!$B$5-$B27)^2+(HSP!$C$5-$C27)^2+(HSP!$D$5-$D27)^2))</f>
        <v>11.758949783037599</v>
      </c>
      <c r="J27" s="17">
        <f>SQRT((4*(HSP!$B$6-$B27)^2+(HSP!$C$6-$C27)^2+(HSP!$D$6-$D27)^2))</f>
        <v>8.3101744867361234</v>
      </c>
      <c r="K27" s="17">
        <f t="shared" si="0"/>
        <v>0.88824761684208742</v>
      </c>
      <c r="L27" s="17">
        <f t="shared" si="1"/>
        <v>0.69560546184466165</v>
      </c>
      <c r="M27" s="17">
        <f t="shared" si="2"/>
        <v>0.68061001893999873</v>
      </c>
      <c r="N27" s="17">
        <f t="shared" si="3"/>
        <v>0.9881470405913948</v>
      </c>
      <c r="O27" s="17">
        <f t="shared" si="4"/>
        <v>0.69833399048202716</v>
      </c>
      <c r="P27" s="17">
        <f>$F27/HSP!$E$2</f>
        <v>0.64847525401354855</v>
      </c>
      <c r="Q27" s="17">
        <f>$G27/HSP!$E$3</f>
        <v>0.6131633330334425</v>
      </c>
      <c r="R27" s="17">
        <f>$H27/HSP!$E$4</f>
        <v>0.50938737266578527</v>
      </c>
      <c r="S27" s="17">
        <f>$I27/HSP!$E$5</f>
        <v>0.85831750241150362</v>
      </c>
      <c r="T27" s="17">
        <f>$J27/HSP!$E$6</f>
        <v>0.56149827613081915</v>
      </c>
      <c r="U27" s="18" t="s">
        <v>473</v>
      </c>
      <c r="V27" s="12"/>
      <c r="W27" s="12"/>
      <c r="X27" s="12"/>
      <c r="Y27" s="12"/>
      <c r="Z27" s="12"/>
    </row>
    <row r="28" spans="1:26" ht="15" customHeight="1" x14ac:dyDescent="0.3">
      <c r="A28" s="26" t="s">
        <v>479</v>
      </c>
      <c r="B28" s="17">
        <v>17.5</v>
      </c>
      <c r="C28" s="17">
        <v>2.2999999999999998</v>
      </c>
      <c r="D28" s="17">
        <v>7.7</v>
      </c>
      <c r="E28" s="17">
        <v>10</v>
      </c>
      <c r="F28" s="17">
        <f>SQRT((4*(HSP!$B$2-$B28)^2+(HSP!$C$2-$C28)^2+(HSP!$D$2-$D28)^2))</f>
        <v>10.037131064203557</v>
      </c>
      <c r="G28" s="17">
        <f>SQRT((4*(HSP!$B$3-$B28)^2+(HSP!$C$3-$C28)^2+(HSP!$D$3-$D28)^2))</f>
        <v>8.4147727242035497</v>
      </c>
      <c r="H28" s="17">
        <f>SQRT((4*(HSP!$B$4-$B28)^2+(HSP!$C$4-$C28)^2+(HSP!$D$4-$D28)^2))</f>
        <v>5.309425580983314</v>
      </c>
      <c r="I28" s="17">
        <f>SQRT((4*(HSP!$B$5-$B28)^2+(HSP!$C$5-$C28)^2+(HSP!$D$5-$D28)^2))</f>
        <v>11.785622597045947</v>
      </c>
      <c r="J28" s="17">
        <f>SQRT((4*(HSP!$B$6-$B28)^2+(HSP!$C$6-$C28)^2+(HSP!$D$6-$D28)^2))</f>
        <v>7.1952067378220628</v>
      </c>
      <c r="K28" s="17">
        <f t="shared" si="0"/>
        <v>1.0037131064203557</v>
      </c>
      <c r="L28" s="17">
        <f t="shared" si="1"/>
        <v>0.84147727242035497</v>
      </c>
      <c r="M28" s="17">
        <f t="shared" si="2"/>
        <v>0.53094255809833135</v>
      </c>
      <c r="N28" s="17">
        <f t="shared" si="3"/>
        <v>1.1785622597045946</v>
      </c>
      <c r="O28" s="17">
        <f t="shared" si="4"/>
        <v>0.7195206737822063</v>
      </c>
      <c r="P28" s="17">
        <f>$F28/HSP!$E$2</f>
        <v>0.61577491191432865</v>
      </c>
      <c r="Q28" s="17">
        <f>$G28/HSP!$E$3</f>
        <v>0.62331649808915179</v>
      </c>
      <c r="R28" s="17">
        <f>$H28/HSP!$E$4</f>
        <v>0.33392613716876185</v>
      </c>
      <c r="S28" s="17">
        <f>$I28/HSP!$E$5</f>
        <v>0.86026442314203999</v>
      </c>
      <c r="T28" s="17">
        <f>$J28/HSP!$E$6</f>
        <v>0.48616261742040962</v>
      </c>
      <c r="U28" s="18" t="s">
        <v>473</v>
      </c>
      <c r="V28" s="12"/>
      <c r="W28" s="12"/>
      <c r="X28" s="12"/>
      <c r="Y28" s="12"/>
      <c r="Z28" s="12"/>
    </row>
    <row r="29" spans="1:26" ht="15" customHeight="1" x14ac:dyDescent="0.3">
      <c r="A29" s="26" t="s">
        <v>480</v>
      </c>
      <c r="B29" s="17">
        <v>23.6</v>
      </c>
      <c r="C29" s="17">
        <v>1</v>
      </c>
      <c r="D29" s="17">
        <v>7.6</v>
      </c>
      <c r="E29" s="17">
        <v>19</v>
      </c>
      <c r="F29" s="17">
        <f>SQRT((4*(HSP!$B$2-$B29)^2+(HSP!$C$2-$C29)^2+(HSP!$D$2-$D29)^2))</f>
        <v>20.343942587414077</v>
      </c>
      <c r="G29" s="17">
        <f>SQRT((4*(HSP!$B$3-$B29)^2+(HSP!$C$3-$C29)^2+(HSP!$D$3-$D29)^2))</f>
        <v>18.122814350977613</v>
      </c>
      <c r="H29" s="17">
        <f>SQRT((4*(HSP!$B$4-$B29)^2+(HSP!$C$4-$C29)^2+(HSP!$D$4-$D29)^2))</f>
        <v>17.275473944294554</v>
      </c>
      <c r="I29" s="17">
        <f>SQRT((4*(HSP!$B$5-$B29)^2+(HSP!$C$5-$C29)^2+(HSP!$D$5-$D29)^2))</f>
        <v>20.639837693160288</v>
      </c>
      <c r="J29" s="17">
        <f>SQRT((4*(HSP!$B$6-$B29)^2+(HSP!$C$6-$C29)^2+(HSP!$D$6-$D29)^2))</f>
        <v>17.919347086319863</v>
      </c>
      <c r="K29" s="17">
        <f t="shared" si="0"/>
        <v>1.0707338203902146</v>
      </c>
      <c r="L29" s="17">
        <f t="shared" si="1"/>
        <v>0.95383233426197966</v>
      </c>
      <c r="M29" s="17">
        <f t="shared" si="2"/>
        <v>0.9092354707523449</v>
      </c>
      <c r="N29" s="17">
        <f t="shared" si="3"/>
        <v>1.0863072470084363</v>
      </c>
      <c r="O29" s="17">
        <f t="shared" si="4"/>
        <v>0.94312353085894018</v>
      </c>
      <c r="P29" s="17">
        <f>$F29/HSP!$E$2</f>
        <v>1.2480946372646673</v>
      </c>
      <c r="Q29" s="17">
        <f>$G29/HSP!$E$3</f>
        <v>1.3424306926650085</v>
      </c>
      <c r="R29" s="17">
        <f>$H29/HSP!$E$4</f>
        <v>1.086507795238651</v>
      </c>
      <c r="S29" s="17">
        <f>$I29/HSP!$E$5</f>
        <v>1.5065574958511161</v>
      </c>
      <c r="T29" s="17">
        <f>$J29/HSP!$E$6</f>
        <v>1.2107666950216123</v>
      </c>
      <c r="U29" s="18" t="s">
        <v>473</v>
      </c>
      <c r="V29" s="12"/>
      <c r="W29" s="12"/>
      <c r="X29" s="12"/>
      <c r="Y29" s="12"/>
      <c r="Z29" s="12"/>
    </row>
    <row r="30" spans="1:26" ht="15" customHeight="1" x14ac:dyDescent="0.3">
      <c r="A30" s="26" t="s">
        <v>481</v>
      </c>
      <c r="B30" s="17">
        <v>20.6</v>
      </c>
      <c r="C30" s="17">
        <v>4.5999999999999996</v>
      </c>
      <c r="D30" s="17">
        <v>5.5</v>
      </c>
      <c r="E30" s="17">
        <v>12.6</v>
      </c>
      <c r="F30" s="17">
        <f>SQRT((4*(HSP!$B$2-$B30)^2+(HSP!$C$2-$C30)^2+(HSP!$D$2-$D30)^2))</f>
        <v>13.436145280548292</v>
      </c>
      <c r="G30" s="17">
        <f>SQRT((4*(HSP!$B$3-$B30)^2+(HSP!$C$3-$C30)^2+(HSP!$D$3-$D30)^2))</f>
        <v>11.051624315004563</v>
      </c>
      <c r="H30" s="17">
        <f>SQRT((4*(HSP!$B$4-$B30)^2+(HSP!$C$4-$C30)^2+(HSP!$D$4-$D30)^2))</f>
        <v>10.93782428090706</v>
      </c>
      <c r="I30" s="17">
        <f>SQRT((4*(HSP!$B$5-$B30)^2+(HSP!$C$5-$C30)^2+(HSP!$D$5-$D30)^2))</f>
        <v>14.458730926329602</v>
      </c>
      <c r="J30" s="17">
        <f>SQRT((4*(HSP!$B$6-$B30)^2+(HSP!$C$6-$C30)^2+(HSP!$D$6-$D30)^2))</f>
        <v>10.941069417566094</v>
      </c>
      <c r="K30" s="17">
        <f t="shared" si="0"/>
        <v>1.0663607365514518</v>
      </c>
      <c r="L30" s="17">
        <f t="shared" si="1"/>
        <v>0.87711304087337805</v>
      </c>
      <c r="M30" s="17">
        <f t="shared" si="2"/>
        <v>0.86808129213548102</v>
      </c>
      <c r="N30" s="17">
        <f t="shared" si="3"/>
        <v>1.1475183274864764</v>
      </c>
      <c r="O30" s="17">
        <f t="shared" si="4"/>
        <v>0.86833884266397576</v>
      </c>
      <c r="P30" s="17">
        <f>$F30/HSP!$E$2</f>
        <v>0.82430339144468046</v>
      </c>
      <c r="Q30" s="17">
        <f>$G30/HSP!$E$3</f>
        <v>0.81863883814848615</v>
      </c>
      <c r="R30" s="17">
        <f>$H30/HSP!$E$4</f>
        <v>0.68791347678660753</v>
      </c>
      <c r="S30" s="17">
        <f>$I30/HSP!$E$5</f>
        <v>1.055381819440117</v>
      </c>
      <c r="T30" s="17">
        <f>$J30/HSP!$E$6</f>
        <v>0.73926144713284414</v>
      </c>
      <c r="U30" s="18" t="s">
        <v>482</v>
      </c>
      <c r="V30" s="12"/>
      <c r="W30" s="12"/>
      <c r="X30" s="12"/>
      <c r="Y30" s="12"/>
      <c r="Z30" s="12"/>
    </row>
    <row r="31" spans="1:26" ht="15" customHeight="1" x14ac:dyDescent="0.3">
      <c r="A31" s="26" t="s">
        <v>483</v>
      </c>
      <c r="B31" s="17">
        <v>17.399999999999999</v>
      </c>
      <c r="C31" s="17">
        <v>4.3</v>
      </c>
      <c r="D31" s="17">
        <v>3.9</v>
      </c>
      <c r="E31" s="17">
        <v>6.1</v>
      </c>
      <c r="F31" s="17">
        <f>SQRT((4*(HSP!$B$2-$B31)^2+(HSP!$C$2-$C31)^2+(HSP!$D$2-$D31)^2))</f>
        <v>8.8764857911225192</v>
      </c>
      <c r="G31" s="17">
        <f>SQRT((4*(HSP!$B$3-$B31)^2+(HSP!$C$3-$C31)^2+(HSP!$D$3-$D31)^2))</f>
        <v>6.6417166455668672</v>
      </c>
      <c r="H31" s="17">
        <f>SQRT((4*(HSP!$B$4-$B31)^2+(HSP!$C$4-$C31)^2+(HSP!$D$4-$D31)^2))</f>
        <v>5.3334791646729043</v>
      </c>
      <c r="I31" s="17">
        <f>SQRT((4*(HSP!$B$5-$B31)^2+(HSP!$C$5-$C31)^2+(HSP!$D$5-$D31)^2))</f>
        <v>11.767110945342532</v>
      </c>
      <c r="J31" s="17">
        <f>SQRT((4*(HSP!$B$6-$B31)^2+(HSP!$C$6-$C31)^2+(HSP!$D$6-$D31)^2))</f>
        <v>4.7630872341371182</v>
      </c>
      <c r="K31" s="17">
        <f t="shared" si="0"/>
        <v>1.4551616051020524</v>
      </c>
      <c r="L31" s="17">
        <f t="shared" si="1"/>
        <v>1.0888060074699784</v>
      </c>
      <c r="M31" s="17">
        <f t="shared" si="2"/>
        <v>0.8743408466676893</v>
      </c>
      <c r="N31" s="17">
        <f t="shared" si="3"/>
        <v>1.929034581203694</v>
      </c>
      <c r="O31" s="17">
        <f t="shared" si="4"/>
        <v>0.78083397280936373</v>
      </c>
      <c r="P31" s="17">
        <f>$F31/HSP!$E$2</f>
        <v>0.5445696804369643</v>
      </c>
      <c r="Q31" s="17">
        <f>$G31/HSP!$E$3</f>
        <v>0.49197901078273093</v>
      </c>
      <c r="R31" s="17">
        <f>$H31/HSP!$E$4</f>
        <v>0.33543894117439649</v>
      </c>
      <c r="S31" s="17">
        <f>$I31/HSP!$E$5</f>
        <v>0.85891320768923596</v>
      </c>
      <c r="T31" s="17">
        <f>$J31/HSP!$E$6</f>
        <v>0.32183021852277827</v>
      </c>
      <c r="U31" s="18" t="s">
        <v>484</v>
      </c>
      <c r="V31" s="12"/>
      <c r="W31" s="12"/>
      <c r="X31" s="12"/>
      <c r="Y31" s="12"/>
      <c r="Z31" s="12"/>
    </row>
    <row r="32" spans="1:26" ht="15" customHeight="1" x14ac:dyDescent="0.3">
      <c r="A32" s="26" t="s">
        <v>485</v>
      </c>
      <c r="B32" s="17">
        <v>19.5</v>
      </c>
      <c r="C32" s="17">
        <v>9.1999999999999993</v>
      </c>
      <c r="D32" s="17">
        <v>6.9</v>
      </c>
      <c r="E32" s="17">
        <v>7.5</v>
      </c>
      <c r="F32" s="17">
        <f>SQRT((4*(HSP!$B$2-$B32)^2+(HSP!$C$2-$C32)^2+(HSP!$D$2-$D32)^2))</f>
        <v>9.8809918530479539</v>
      </c>
      <c r="G32" s="17">
        <f>SQRT((4*(HSP!$B$3-$B32)^2+(HSP!$C$3-$C32)^2+(HSP!$D$3-$D32)^2))</f>
        <v>7.7098897527785715</v>
      </c>
      <c r="H32" s="17">
        <f>SQRT((4*(HSP!$B$4-$B32)^2+(HSP!$C$4-$C32)^2+(HSP!$D$4-$D32)^2))</f>
        <v>9.7691350691860119</v>
      </c>
      <c r="I32" s="17">
        <f>SQRT((4*(HSP!$B$5-$B32)^2+(HSP!$C$5-$C32)^2+(HSP!$D$5-$D32)^2))</f>
        <v>10.010139859162809</v>
      </c>
      <c r="J32" s="17">
        <f>SQRT((4*(HSP!$B$6-$B32)^2+(HSP!$C$6-$C32)^2+(HSP!$D$6-$D32)^2))</f>
        <v>9.4099415513593936</v>
      </c>
      <c r="K32" s="17">
        <f t="shared" si="0"/>
        <v>1.3174655804063939</v>
      </c>
      <c r="L32" s="17">
        <f t="shared" si="1"/>
        <v>1.0279853003704762</v>
      </c>
      <c r="M32" s="17">
        <f t="shared" si="2"/>
        <v>1.302551342558135</v>
      </c>
      <c r="N32" s="17">
        <f t="shared" si="3"/>
        <v>1.3346853145550412</v>
      </c>
      <c r="O32" s="17">
        <f t="shared" si="4"/>
        <v>1.2546588735145858</v>
      </c>
      <c r="P32" s="17">
        <f>$F32/HSP!$E$2</f>
        <v>0.60619581920539589</v>
      </c>
      <c r="Q32" s="17">
        <f>$G32/HSP!$E$3</f>
        <v>0.57110294465026457</v>
      </c>
      <c r="R32" s="17">
        <f>$H32/HSP!$E$4</f>
        <v>0.61441101064062964</v>
      </c>
      <c r="S32" s="17">
        <f>$I32/HSP!$E$5</f>
        <v>0.73066714300458468</v>
      </c>
      <c r="T32" s="17">
        <f>$J32/HSP!$E$6</f>
        <v>0.63580686157833732</v>
      </c>
      <c r="U32" s="18" t="s">
        <v>484</v>
      </c>
      <c r="V32" s="12"/>
      <c r="W32" s="12"/>
      <c r="X32" s="12"/>
      <c r="Y32" s="12"/>
      <c r="Z32" s="12"/>
    </row>
    <row r="33" spans="1:26" ht="15" customHeight="1" x14ac:dyDescent="0.3">
      <c r="A33" s="26" t="s">
        <v>486</v>
      </c>
      <c r="B33" s="17">
        <v>17.899999999999999</v>
      </c>
      <c r="C33" s="17">
        <v>5.6</v>
      </c>
      <c r="D33" s="17">
        <v>6.7</v>
      </c>
      <c r="E33" s="17">
        <v>5.8</v>
      </c>
      <c r="F33" s="17">
        <f>SQRT((4*(HSP!$B$2-$B33)^2+(HSP!$C$2-$C33)^2+(HSP!$D$2-$D33)^2))</f>
        <v>8.2010974875317757</v>
      </c>
      <c r="G33" s="17">
        <f>SQRT((4*(HSP!$B$3-$B33)^2+(HSP!$C$3-$C33)^2+(HSP!$D$3-$D33)^2))</f>
        <v>6.065838771348937</v>
      </c>
      <c r="H33" s="17">
        <f>SQRT((4*(HSP!$B$4-$B33)^2+(HSP!$C$4-$C33)^2+(HSP!$D$4-$D33)^2))</f>
        <v>5.537869626489953</v>
      </c>
      <c r="I33" s="17">
        <f>SQRT((4*(HSP!$B$5-$B33)^2+(HSP!$C$5-$C33)^2+(HSP!$D$5-$D33)^2))</f>
        <v>9.8109581591198314</v>
      </c>
      <c r="J33" s="17">
        <f>SQRT((4*(HSP!$B$6-$B33)^2+(HSP!$C$6-$C33)^2+(HSP!$D$6-$D33)^2))</f>
        <v>6.0397847643769538</v>
      </c>
      <c r="K33" s="17">
        <f t="shared" si="0"/>
        <v>1.4139823254365131</v>
      </c>
      <c r="L33" s="17">
        <f t="shared" si="1"/>
        <v>1.0458342709222306</v>
      </c>
      <c r="M33" s="17">
        <f t="shared" si="2"/>
        <v>0.95480510801550911</v>
      </c>
      <c r="N33" s="17">
        <f t="shared" si="3"/>
        <v>1.6915445101930744</v>
      </c>
      <c r="O33" s="17">
        <f t="shared" si="4"/>
        <v>1.0413422007546473</v>
      </c>
      <c r="P33" s="17">
        <f>$F33/HSP!$E$2</f>
        <v>0.50313481518599845</v>
      </c>
      <c r="Q33" s="17">
        <f>$G33/HSP!$E$3</f>
        <v>0.44932139047029163</v>
      </c>
      <c r="R33" s="17">
        <f>$H33/HSP!$E$4</f>
        <v>0.34829368720062598</v>
      </c>
      <c r="S33" s="17">
        <f>$I33/HSP!$E$5</f>
        <v>0.71612833278246946</v>
      </c>
      <c r="T33" s="17">
        <f>$J33/HSP!$E$6</f>
        <v>0.40809356516060497</v>
      </c>
      <c r="U33" s="18" t="s">
        <v>484</v>
      </c>
      <c r="V33" s="12"/>
      <c r="W33" s="12"/>
      <c r="X33" s="12"/>
      <c r="Y33" s="12"/>
      <c r="Z33" s="12"/>
    </row>
    <row r="34" spans="1:26" ht="15" customHeight="1" x14ac:dyDescent="0.3">
      <c r="A34" s="26" t="s">
        <v>487</v>
      </c>
      <c r="B34" s="17">
        <v>19.600000000000001</v>
      </c>
      <c r="C34" s="17">
        <v>6.5</v>
      </c>
      <c r="D34" s="17">
        <v>5.8</v>
      </c>
      <c r="E34" s="17">
        <v>9.1</v>
      </c>
      <c r="F34" s="17">
        <f>SQRT((4*(HSP!$B$2-$B34)^2+(HSP!$C$2-$C34)^2+(HSP!$D$2-$D34)^2))</f>
        <v>10.820073936900805</v>
      </c>
      <c r="G34" s="17">
        <f>SQRT((4*(HSP!$B$3-$B34)^2+(HSP!$C$3-$C34)^2+(HSP!$D$3-$D34)^2))</f>
        <v>8.4343583039849612</v>
      </c>
      <c r="H34" s="17">
        <f>SQRT((4*(HSP!$B$4-$B34)^2+(HSP!$C$4-$C34)^2+(HSP!$D$4-$D34)^2))</f>
        <v>9.1001098894463937</v>
      </c>
      <c r="I34" s="17">
        <f>SQRT((4*(HSP!$B$5-$B34)^2+(HSP!$C$5-$C34)^2+(HSP!$D$5-$D34)^2))</f>
        <v>11.832197598079576</v>
      </c>
      <c r="J34" s="17">
        <f>SQRT((4*(HSP!$B$6-$B34)^2+(HSP!$C$6-$C34)^2+(HSP!$D$6-$D34)^2))</f>
        <v>8.8771053840765042</v>
      </c>
      <c r="K34" s="17">
        <f t="shared" si="0"/>
        <v>1.1890191139451434</v>
      </c>
      <c r="L34" s="17">
        <f t="shared" si="1"/>
        <v>0.92685256087746826</v>
      </c>
      <c r="M34" s="17">
        <f t="shared" si="2"/>
        <v>1.0000120757633399</v>
      </c>
      <c r="N34" s="17">
        <f t="shared" si="3"/>
        <v>1.3002414942944589</v>
      </c>
      <c r="O34" s="17">
        <f t="shared" si="4"/>
        <v>0.97550608616225321</v>
      </c>
      <c r="P34" s="17">
        <f>$F34/HSP!$E$2</f>
        <v>0.66380821698777936</v>
      </c>
      <c r="Q34" s="17">
        <f>$G34/HSP!$E$3</f>
        <v>0.62476728177666374</v>
      </c>
      <c r="R34" s="17">
        <f>$H34/HSP!$E$4</f>
        <v>0.57233395531109388</v>
      </c>
      <c r="S34" s="17">
        <f>$I34/HSP!$E$5</f>
        <v>0.86366405825398374</v>
      </c>
      <c r="T34" s="17">
        <f>$J34/HSP!$E$6</f>
        <v>0.59980441784300698</v>
      </c>
      <c r="U34" s="18" t="s">
        <v>488</v>
      </c>
      <c r="V34" s="12"/>
      <c r="W34" s="12"/>
      <c r="X34" s="12"/>
      <c r="Y34" s="12"/>
      <c r="Z34" s="12"/>
    </row>
    <row r="35" spans="1:26" ht="15" customHeight="1" x14ac:dyDescent="0.3">
      <c r="A35" s="26" t="s">
        <v>489</v>
      </c>
      <c r="B35" s="17">
        <v>19.899999999999999</v>
      </c>
      <c r="C35" s="17">
        <v>0</v>
      </c>
      <c r="D35" s="17">
        <v>0</v>
      </c>
      <c r="E35" s="17">
        <v>9.4</v>
      </c>
      <c r="F35" s="17">
        <f>SQRT((4*(HSP!$B$2-$B35)^2+(HSP!$C$2-$C35)^2+(HSP!$D$2-$D35)^2))</f>
        <v>16.44664099444017</v>
      </c>
      <c r="G35" s="17">
        <f>SQRT((4*(HSP!$B$3-$B35)^2+(HSP!$C$3-$C35)^2+(HSP!$D$3-$D35)^2))</f>
        <v>14.074245983355555</v>
      </c>
      <c r="H35" s="17">
        <f>SQRT((4*(HSP!$B$4-$B35)^2+(HSP!$C$4-$C35)^2+(HSP!$D$4-$D35)^2))</f>
        <v>12.555237950751868</v>
      </c>
      <c r="I35" s="17">
        <f>SQRT((4*(HSP!$B$5-$B35)^2+(HSP!$C$5-$C35)^2+(HSP!$D$5-$D35)^2))</f>
        <v>19.157528546239988</v>
      </c>
      <c r="J35" s="17">
        <f>SQRT((4*(HSP!$B$6-$B35)^2+(HSP!$C$6-$C35)^2+(HSP!$D$6-$D35)^2))</f>
        <v>11.912808233158124</v>
      </c>
      <c r="K35" s="17">
        <f t="shared" si="0"/>
        <v>1.7496426589829968</v>
      </c>
      <c r="L35" s="17">
        <f t="shared" si="1"/>
        <v>1.4972602109952717</v>
      </c>
      <c r="M35" s="17">
        <f t="shared" si="2"/>
        <v>1.3356636117821137</v>
      </c>
      <c r="N35" s="17">
        <f t="shared" si="3"/>
        <v>2.0380349517276581</v>
      </c>
      <c r="O35" s="17">
        <f t="shared" si="4"/>
        <v>1.2673200248040557</v>
      </c>
      <c r="P35" s="17">
        <f>$F35/HSP!$E$2</f>
        <v>1.0089963800270043</v>
      </c>
      <c r="Q35" s="17">
        <f>$G35/HSP!$E$3</f>
        <v>1.0425367395078189</v>
      </c>
      <c r="R35" s="17">
        <f>$H35/HSP!$E$4</f>
        <v>0.78963760696552632</v>
      </c>
      <c r="S35" s="17">
        <f>$I35/HSP!$E$5</f>
        <v>1.398359747900729</v>
      </c>
      <c r="T35" s="17">
        <f>$J35/HSP!$E$6</f>
        <v>0.80491947521338669</v>
      </c>
      <c r="U35" s="18" t="s">
        <v>490</v>
      </c>
      <c r="V35" s="12"/>
      <c r="W35" s="12"/>
      <c r="X35" s="12"/>
      <c r="Y35" s="12"/>
      <c r="Z35" s="12"/>
    </row>
    <row r="36" spans="1:26" ht="15" customHeight="1" x14ac:dyDescent="0.3">
      <c r="A36" s="26" t="s">
        <v>491</v>
      </c>
      <c r="B36" s="17">
        <v>19.3</v>
      </c>
      <c r="C36" s="17">
        <v>3.7</v>
      </c>
      <c r="D36" s="17">
        <v>7.9</v>
      </c>
      <c r="E36" s="17">
        <v>7.8</v>
      </c>
      <c r="F36" s="17">
        <f>SQRT((4*(HSP!$B$2-$B36)^2+(HSP!$C$2-$C36)^2+(HSP!$D$2-$D36)^2))</f>
        <v>11.614818121692652</v>
      </c>
      <c r="G36" s="17">
        <f>SQRT((4*(HSP!$B$3-$B36)^2+(HSP!$C$3-$C36)^2+(HSP!$D$3-$D36)^2))</f>
        <v>9.5904327326768755</v>
      </c>
      <c r="H36" s="17">
        <f>SQRT((4*(HSP!$B$4-$B36)^2+(HSP!$C$4-$C36)^2+(HSP!$D$4-$D36)^2))</f>
        <v>8.3903516016910764</v>
      </c>
      <c r="I36" s="17">
        <f>SQRT((4*(HSP!$B$5-$B36)^2+(HSP!$C$5-$C36)^2+(HSP!$D$5-$D36)^2))</f>
        <v>12.470160383892424</v>
      </c>
      <c r="J36" s="17">
        <f>SQRT((4*(HSP!$B$6-$B36)^2+(HSP!$C$6-$C36)^2+(HSP!$D$6-$D36)^2))</f>
        <v>9.4243832689465705</v>
      </c>
      <c r="K36" s="17">
        <f t="shared" si="0"/>
        <v>1.4890792463708529</v>
      </c>
      <c r="L36" s="17">
        <f t="shared" si="1"/>
        <v>1.2295426580354969</v>
      </c>
      <c r="M36" s="17">
        <f t="shared" si="2"/>
        <v>1.0756861027809073</v>
      </c>
      <c r="N36" s="17">
        <f t="shared" si="3"/>
        <v>1.598738510755439</v>
      </c>
      <c r="O36" s="17">
        <f t="shared" si="4"/>
        <v>1.2082542652495603</v>
      </c>
      <c r="P36" s="17">
        <f>$F36/HSP!$E$2</f>
        <v>0.71256552893819947</v>
      </c>
      <c r="Q36" s="17">
        <f>$G36/HSP!$E$3</f>
        <v>0.71040242464273151</v>
      </c>
      <c r="R36" s="17">
        <f>$H36/HSP!$E$4</f>
        <v>0.52769506928874699</v>
      </c>
      <c r="S36" s="17">
        <f>$I36/HSP!$E$5</f>
        <v>0.9102306849556514</v>
      </c>
      <c r="T36" s="17">
        <f>$J36/HSP!$E$6</f>
        <v>0.63678265330720063</v>
      </c>
      <c r="U36" s="18" t="s">
        <v>492</v>
      </c>
      <c r="V36" s="12"/>
      <c r="W36" s="12"/>
      <c r="X36" s="12"/>
      <c r="Y36" s="12"/>
      <c r="Z36" s="12"/>
    </row>
    <row r="37" spans="1:26" ht="15" customHeight="1" x14ac:dyDescent="0.3">
      <c r="A37" s="26" t="s">
        <v>493</v>
      </c>
      <c r="B37" s="17">
        <v>14</v>
      </c>
      <c r="C37" s="17">
        <v>7.4</v>
      </c>
      <c r="D37" s="17">
        <v>9.4</v>
      </c>
      <c r="E37" s="17">
        <v>13.7</v>
      </c>
      <c r="F37" s="17">
        <f>SQRT((4*(HSP!$B$2-$B37)^2+(HSP!$C$2-$C37)^2+(HSP!$D$2-$D37)^2))</f>
        <v>4.0816663263917103</v>
      </c>
      <c r="G37" s="17">
        <f>SQRT((4*(HSP!$B$3-$B37)^2+(HSP!$C$3-$C37)^2+(HSP!$D$3-$D37)^2))</f>
        <v>5.41741635837601</v>
      </c>
      <c r="H37" s="17">
        <f>SQRT((4*(HSP!$B$4-$B37)^2+(HSP!$C$4-$C37)^2+(HSP!$D$4-$D37)^2))</f>
        <v>4.4310269689993991</v>
      </c>
      <c r="I37" s="17">
        <f>SQRT((4*(HSP!$B$5-$B37)^2+(HSP!$C$5-$C37)^2+(HSP!$D$5-$D37)^2))</f>
        <v>6.0905582666944413</v>
      </c>
      <c r="J37" s="17">
        <f>SQRT((4*(HSP!$B$6-$B37)^2+(HSP!$C$6-$C37)^2+(HSP!$D$6-$D37)^2))</f>
        <v>6.1802103524071095</v>
      </c>
      <c r="K37" s="17">
        <f t="shared" si="0"/>
        <v>0.29793184864173072</v>
      </c>
      <c r="L37" s="17">
        <f t="shared" si="1"/>
        <v>0.39543185097635114</v>
      </c>
      <c r="M37" s="17">
        <f t="shared" si="2"/>
        <v>0.32343262547440871</v>
      </c>
      <c r="N37" s="17">
        <f t="shared" si="3"/>
        <v>0.44456629683901033</v>
      </c>
      <c r="O37" s="17">
        <f t="shared" si="4"/>
        <v>0.45111024470124889</v>
      </c>
      <c r="P37" s="17">
        <f>$F37/HSP!$E$2</f>
        <v>0.25040897707924603</v>
      </c>
      <c r="Q37" s="17">
        <f>$G37/HSP!$E$3</f>
        <v>0.40129010062044518</v>
      </c>
      <c r="R37" s="17">
        <f>$H37/HSP!$E$4</f>
        <v>0.27868094144650307</v>
      </c>
      <c r="S37" s="17">
        <f>$I37/HSP!$E$5</f>
        <v>0.44456629683901033</v>
      </c>
      <c r="T37" s="17">
        <f>$J37/HSP!$E$6</f>
        <v>0.4175817805680479</v>
      </c>
      <c r="U37" s="18" t="s">
        <v>462</v>
      </c>
      <c r="V37" s="12"/>
      <c r="W37" s="12"/>
      <c r="X37" s="12"/>
      <c r="Y37" s="12"/>
      <c r="Z37" s="12"/>
    </row>
    <row r="38" spans="1:26" ht="15" customHeight="1" x14ac:dyDescent="0.3">
      <c r="A38" s="26" t="s">
        <v>494</v>
      </c>
      <c r="B38" s="17">
        <v>20</v>
      </c>
      <c r="C38" s="17">
        <v>3</v>
      </c>
      <c r="D38" s="17">
        <v>6</v>
      </c>
      <c r="E38" s="17">
        <v>3</v>
      </c>
      <c r="F38" s="17">
        <f>SQRT((4*(HSP!$B$2-$B38)^2+(HSP!$C$2-$C38)^2+(HSP!$D$2-$D38)^2))</f>
        <v>13.162522554586564</v>
      </c>
      <c r="G38" s="17">
        <f>SQRT((4*(HSP!$B$3-$B38)^2+(HSP!$C$3-$C38)^2+(HSP!$D$3-$D38)^2))</f>
        <v>10.894604169037075</v>
      </c>
      <c r="H38" s="17">
        <f>SQRT((4*(HSP!$B$4-$B38)^2+(HSP!$C$4-$C38)^2+(HSP!$D$4-$D38)^2))</f>
        <v>9.8375810034784461</v>
      </c>
      <c r="I38" s="17">
        <f>SQRT((4*(HSP!$B$5-$B38)^2+(HSP!$C$5-$C38)^2+(HSP!$D$5-$D38)^2))</f>
        <v>14.431732397740753</v>
      </c>
      <c r="J38" s="17">
        <f>SQRT((4*(HSP!$B$6-$B38)^2+(HSP!$C$6-$C38)^2+(HSP!$D$6-$D38)^2))</f>
        <v>10.289752183604813</v>
      </c>
      <c r="K38" s="17">
        <f t="shared" si="0"/>
        <v>4.3875075181955214</v>
      </c>
      <c r="L38" s="17">
        <f t="shared" si="1"/>
        <v>3.6315347230123582</v>
      </c>
      <c r="M38" s="17">
        <f t="shared" si="2"/>
        <v>3.2791936678261489</v>
      </c>
      <c r="N38" s="17">
        <f t="shared" si="3"/>
        <v>4.8105774659135845</v>
      </c>
      <c r="O38" s="17">
        <f t="shared" si="4"/>
        <v>3.4299173945349377</v>
      </c>
      <c r="P38" s="17">
        <f>$F38/HSP!$E$2</f>
        <v>0.80751672114027995</v>
      </c>
      <c r="Q38" s="17">
        <f>$G38/HSP!$E$3</f>
        <v>0.80700771622496859</v>
      </c>
      <c r="R38" s="17">
        <f>$H38/HSP!$E$4</f>
        <v>0.61871578638229219</v>
      </c>
      <c r="S38" s="17">
        <f>$I38/HSP!$E$5</f>
        <v>1.0534111239226827</v>
      </c>
      <c r="T38" s="17">
        <f>$J38/HSP!$E$6</f>
        <v>0.69525352591924405</v>
      </c>
      <c r="U38" s="18" t="s">
        <v>495</v>
      </c>
      <c r="V38" s="12"/>
      <c r="W38" s="12"/>
      <c r="X38" s="12"/>
      <c r="Y38" s="12"/>
      <c r="Z38" s="12"/>
    </row>
    <row r="39" spans="1:26" ht="15" customHeight="1" x14ac:dyDescent="0.3">
      <c r="A39" s="26" t="s">
        <v>496</v>
      </c>
      <c r="B39" s="17">
        <v>20.100000000000001</v>
      </c>
      <c r="C39" s="17">
        <v>9.1</v>
      </c>
      <c r="D39" s="17">
        <v>12.7</v>
      </c>
      <c r="E39" s="17">
        <v>10.9</v>
      </c>
      <c r="F39" s="17">
        <f>SQRT((4*(HSP!$B$2-$B39)^2+(HSP!$C$2-$C39)^2+(HSP!$D$2-$D39)^2))</f>
        <v>12.472690166920691</v>
      </c>
      <c r="G39" s="17">
        <f>SQRT((4*(HSP!$B$3-$B39)^2+(HSP!$C$3-$C39)^2+(HSP!$D$3-$D39)^2))</f>
        <v>11.200017857128623</v>
      </c>
      <c r="H39" s="17">
        <f>SQRT((4*(HSP!$B$4-$B39)^2+(HSP!$C$4-$C39)^2+(HSP!$D$4-$D39)^2))</f>
        <v>12.311214399887611</v>
      </c>
      <c r="I39" s="17">
        <f>SQRT((4*(HSP!$B$5-$B39)^2+(HSP!$C$5-$C39)^2+(HSP!$D$5-$D39)^2))</f>
        <v>10.466752122793396</v>
      </c>
      <c r="J39" s="17">
        <f>SQRT((4*(HSP!$B$6-$B39)^2+(HSP!$C$6-$C39)^2+(HSP!$D$6-$D39)^2))</f>
        <v>13.370377705958798</v>
      </c>
      <c r="K39" s="17">
        <f t="shared" si="0"/>
        <v>1.1442835015523569</v>
      </c>
      <c r="L39" s="17">
        <f t="shared" si="1"/>
        <v>1.0275245740484975</v>
      </c>
      <c r="M39" s="17">
        <f t="shared" si="2"/>
        <v>1.1294692109988633</v>
      </c>
      <c r="N39" s="17">
        <f t="shared" si="3"/>
        <v>0.96025248832966936</v>
      </c>
      <c r="O39" s="17">
        <f t="shared" si="4"/>
        <v>1.2266401565099814</v>
      </c>
      <c r="P39" s="17">
        <f>$F39/HSP!$E$2</f>
        <v>0.76519571576200551</v>
      </c>
      <c r="Q39" s="17">
        <f>$G39/HSP!$E$3</f>
        <v>0.82963095237989803</v>
      </c>
      <c r="R39" s="17">
        <f>$H39/HSP!$E$4</f>
        <v>0.77429021382940943</v>
      </c>
      <c r="S39" s="17">
        <f>$I39/HSP!$E$5</f>
        <v>0.76399650531338659</v>
      </c>
      <c r="T39" s="17">
        <f>$J39/HSP!$E$6</f>
        <v>0.90340389905127017</v>
      </c>
      <c r="U39" s="18" t="s">
        <v>495</v>
      </c>
      <c r="V39" s="12"/>
      <c r="W39" s="12"/>
      <c r="X39" s="12"/>
      <c r="Y39" s="12"/>
      <c r="Z39" s="12"/>
    </row>
    <row r="40" spans="1:26" ht="15" customHeight="1" x14ac:dyDescent="0.3">
      <c r="A40" s="26" t="s">
        <v>497</v>
      </c>
      <c r="B40" s="17">
        <v>17.7</v>
      </c>
      <c r="C40" s="17">
        <v>8.9</v>
      </c>
      <c r="D40" s="17">
        <v>10.9</v>
      </c>
      <c r="E40" s="17">
        <v>6.4</v>
      </c>
      <c r="F40" s="17">
        <f>SQRT((4*(HSP!$B$2-$B40)^2+(HSP!$C$2-$C40)^2+(HSP!$D$2-$D40)^2))</f>
        <v>7.4993333037010688</v>
      </c>
      <c r="G40" s="17">
        <f>SQRT((4*(HSP!$B$3-$B40)^2+(HSP!$C$3-$C40)^2+(HSP!$D$3-$D40)^2))</f>
        <v>6.5226068408267563</v>
      </c>
      <c r="H40" s="17">
        <f>SQRT((4*(HSP!$B$4-$B40)^2+(HSP!$C$4-$C40)^2+(HSP!$D$4-$D40)^2))</f>
        <v>7.7602834999760155</v>
      </c>
      <c r="I40" s="17">
        <f>SQRT((4*(HSP!$B$5-$B40)^2+(HSP!$C$5-$C40)^2+(HSP!$D$5-$D40)^2))</f>
        <v>6.1816583535488272</v>
      </c>
      <c r="J40" s="17">
        <f>SQRT((4*(HSP!$B$6-$B40)^2+(HSP!$C$6-$C40)^2+(HSP!$D$6-$D40)^2))</f>
        <v>8.9119582584300741</v>
      </c>
      <c r="K40" s="17">
        <f t="shared" si="0"/>
        <v>1.171770828703292</v>
      </c>
      <c r="L40" s="17">
        <f t="shared" si="1"/>
        <v>1.0191573188791807</v>
      </c>
      <c r="M40" s="17">
        <f t="shared" si="2"/>
        <v>1.2125442968712523</v>
      </c>
      <c r="N40" s="17">
        <f t="shared" si="3"/>
        <v>0.96588411774200422</v>
      </c>
      <c r="O40" s="17">
        <f t="shared" si="4"/>
        <v>1.3924934778796989</v>
      </c>
      <c r="P40" s="17">
        <f>$F40/HSP!$E$2</f>
        <v>0.46008179777307168</v>
      </c>
      <c r="Q40" s="17">
        <f>$G40/HSP!$E$3</f>
        <v>0.48315606228346342</v>
      </c>
      <c r="R40" s="17">
        <f>$H40/HSP!$E$4</f>
        <v>0.48806814465257958</v>
      </c>
      <c r="S40" s="17">
        <f>$I40/HSP!$E$5</f>
        <v>0.45121593821524286</v>
      </c>
      <c r="T40" s="17">
        <f>$J40/HSP!$E$6</f>
        <v>0.60215934178581576</v>
      </c>
      <c r="U40" s="18" t="s">
        <v>498</v>
      </c>
      <c r="V40" s="12"/>
      <c r="W40" s="12"/>
      <c r="X40" s="12"/>
      <c r="Y40" s="12"/>
      <c r="Z40" s="12"/>
    </row>
    <row r="41" spans="1:26" ht="15" customHeight="1" x14ac:dyDescent="0.3">
      <c r="A41" s="26" t="s">
        <v>499</v>
      </c>
      <c r="B41" s="17">
        <v>19.399999999999999</v>
      </c>
      <c r="C41" s="17">
        <v>9.9</v>
      </c>
      <c r="D41" s="17">
        <v>10.1</v>
      </c>
      <c r="E41" s="17">
        <v>6.9</v>
      </c>
      <c r="F41" s="17">
        <f>SQRT((4*(HSP!$B$2-$B41)^2+(HSP!$C$2-$C41)^2+(HSP!$D$2-$D41)^2))</f>
        <v>10.109797228431436</v>
      </c>
      <c r="G41" s="17">
        <f>SQRT((4*(HSP!$B$3-$B41)^2+(HSP!$C$3-$C41)^2+(HSP!$D$3-$D41)^2))</f>
        <v>8.5692706807522416</v>
      </c>
      <c r="H41" s="17">
        <f>SQRT((4*(HSP!$B$4-$B41)^2+(HSP!$C$4-$C41)^2+(HSP!$D$4-$D41)^2))</f>
        <v>10.474254150057654</v>
      </c>
      <c r="I41" s="17">
        <f>SQRT((4*(HSP!$B$5-$B41)^2+(HSP!$C$5-$C41)^2+(HSP!$D$5-$D41)^2))</f>
        <v>8.7674910892455404</v>
      </c>
      <c r="J41" s="17">
        <f>SQRT((4*(HSP!$B$6-$B41)^2+(HSP!$C$6-$C41)^2+(HSP!$D$6-$D41)^2))</f>
        <v>10.923872939575963</v>
      </c>
      <c r="K41" s="17">
        <f t="shared" si="0"/>
        <v>1.4651880041204979</v>
      </c>
      <c r="L41" s="17">
        <f t="shared" si="1"/>
        <v>1.2419232870655421</v>
      </c>
      <c r="M41" s="17">
        <f t="shared" si="2"/>
        <v>1.5180078478344425</v>
      </c>
      <c r="N41" s="17">
        <f t="shared" si="3"/>
        <v>1.2706508824993537</v>
      </c>
      <c r="O41" s="17">
        <f t="shared" si="4"/>
        <v>1.5831699912428931</v>
      </c>
      <c r="P41" s="17">
        <f>$F41/HSP!$E$2</f>
        <v>0.6202329587994746</v>
      </c>
      <c r="Q41" s="17">
        <f>$G41/HSP!$E$3</f>
        <v>0.63476079116683271</v>
      </c>
      <c r="R41" s="17">
        <f>$H41/HSP!$E$4</f>
        <v>0.65875812264513545</v>
      </c>
      <c r="S41" s="17">
        <f>$I41/HSP!$E$5</f>
        <v>0.63996285322960156</v>
      </c>
      <c r="T41" s="17">
        <f>$J41/HSP!$E$6</f>
        <v>0.7380995229443218</v>
      </c>
      <c r="U41" s="18" t="s">
        <v>500</v>
      </c>
      <c r="V41" s="12"/>
      <c r="W41" s="12"/>
      <c r="X41" s="12"/>
      <c r="Y41" s="12"/>
      <c r="Z41" s="12"/>
    </row>
    <row r="42" spans="1:26" ht="15" customHeight="1" x14ac:dyDescent="0.3">
      <c r="A42" s="26" t="s">
        <v>501</v>
      </c>
      <c r="B42" s="17">
        <v>20.7</v>
      </c>
      <c r="C42" s="17">
        <v>6.1</v>
      </c>
      <c r="D42" s="17">
        <v>12.7</v>
      </c>
      <c r="E42" s="17">
        <v>14.8</v>
      </c>
      <c r="F42" s="17">
        <f>SQRT((4*(HSP!$B$2-$B42)^2+(HSP!$C$2-$C42)^2+(HSP!$D$2-$D42)^2))</f>
        <v>14.16220321842615</v>
      </c>
      <c r="G42" s="17">
        <f>SQRT((4*(HSP!$B$3-$B42)^2+(HSP!$C$3-$C42)^2+(HSP!$D$3-$D42)^2))</f>
        <v>12.665243779730416</v>
      </c>
      <c r="H42" s="17">
        <f>SQRT((4*(HSP!$B$4-$B42)^2+(HSP!$C$4-$C42)^2+(HSP!$D$4-$D42)^2))</f>
        <v>12.615466697669174</v>
      </c>
      <c r="I42" s="17">
        <f>SQRT((4*(HSP!$B$5-$B42)^2+(HSP!$C$5-$C42)^2+(HSP!$D$5-$D42)^2))</f>
        <v>12.841218789507483</v>
      </c>
      <c r="J42" s="17">
        <f>SQRT((4*(HSP!$B$6-$B42)^2+(HSP!$C$6-$C42)^2+(HSP!$D$6-$D42)^2))</f>
        <v>14.013243735837895</v>
      </c>
      <c r="K42" s="17">
        <f t="shared" si="0"/>
        <v>0.95690562286663172</v>
      </c>
      <c r="L42" s="17">
        <f t="shared" si="1"/>
        <v>0.8557597148466497</v>
      </c>
      <c r="M42" s="17">
        <f t="shared" si="2"/>
        <v>0.85239639849116033</v>
      </c>
      <c r="N42" s="17">
        <f t="shared" si="3"/>
        <v>0.86764991820996507</v>
      </c>
      <c r="O42" s="17">
        <f t="shared" si="4"/>
        <v>0.94684079296201984</v>
      </c>
      <c r="P42" s="17">
        <f>$F42/HSP!$E$2</f>
        <v>0.86884682321632822</v>
      </c>
      <c r="Q42" s="17">
        <f>$G42/HSP!$E$3</f>
        <v>0.93816620590595667</v>
      </c>
      <c r="R42" s="17">
        <f>$H42/HSP!$E$4</f>
        <v>0.79342557846975936</v>
      </c>
      <c r="S42" s="17">
        <f>$I42/HSP!$E$5</f>
        <v>0.93731524011003531</v>
      </c>
      <c r="T42" s="17">
        <f>$J42/HSP!$E$6</f>
        <v>0.94684079296201984</v>
      </c>
      <c r="U42" s="18" t="s">
        <v>462</v>
      </c>
      <c r="V42" s="12"/>
      <c r="W42" s="12"/>
      <c r="X42" s="12"/>
      <c r="Y42" s="12"/>
      <c r="Z42" s="12"/>
    </row>
    <row r="43" spans="1:26" ht="15" customHeight="1" x14ac:dyDescent="0.3">
      <c r="A43" s="26" t="s">
        <v>502</v>
      </c>
      <c r="B43" s="17">
        <v>11.4</v>
      </c>
      <c r="C43" s="17">
        <v>0</v>
      </c>
      <c r="D43" s="17">
        <v>3</v>
      </c>
      <c r="E43" s="17">
        <v>18.100000000000001</v>
      </c>
      <c r="F43" s="17">
        <f>SQRT((4*(HSP!$B$2-$B43)^2+(HSP!$C$2-$C43)^2+(HSP!$D$2-$D43)^2))</f>
        <v>12.892323297218388</v>
      </c>
      <c r="G43" s="17">
        <f>SQRT((4*(HSP!$B$3-$B43)^2+(HSP!$C$3-$C43)^2+(HSP!$D$3-$D43)^2))</f>
        <v>13.224386564222931</v>
      </c>
      <c r="H43" s="17">
        <f>SQRT((4*(HSP!$B$4-$B43)^2+(HSP!$C$4-$C43)^2+(HSP!$D$4-$D43)^2))</f>
        <v>9.6537039523697832</v>
      </c>
      <c r="I43" s="17">
        <f>SQRT((4*(HSP!$B$5-$B43)^2+(HSP!$C$5-$C43)^2+(HSP!$D$5-$D43)^2))</f>
        <v>16.869822168594428</v>
      </c>
      <c r="J43" s="17">
        <f>SQRT((4*(HSP!$B$6-$B43)^2+(HSP!$C$6-$C43)^2+(HSP!$D$6-$D43)^2))</f>
        <v>10.098267178085553</v>
      </c>
      <c r="K43" s="17">
        <f t="shared" si="0"/>
        <v>0.7122830550949385</v>
      </c>
      <c r="L43" s="17">
        <f t="shared" si="1"/>
        <v>0.73062909194601822</v>
      </c>
      <c r="M43" s="17">
        <f t="shared" si="2"/>
        <v>0.53335380952319245</v>
      </c>
      <c r="N43" s="17">
        <f t="shared" si="3"/>
        <v>0.93203437395549316</v>
      </c>
      <c r="O43" s="17">
        <f t="shared" si="4"/>
        <v>0.55791531370638414</v>
      </c>
      <c r="P43" s="17">
        <f>$F43/HSP!$E$2</f>
        <v>0.79094007958395018</v>
      </c>
      <c r="Q43" s="17">
        <f>$G43/HSP!$E$3</f>
        <v>0.97958418994243934</v>
      </c>
      <c r="R43" s="17">
        <f>$H43/HSP!$E$4</f>
        <v>0.60715119197294232</v>
      </c>
      <c r="S43" s="17">
        <f>$I43/HSP!$E$5</f>
        <v>1.2313738809193013</v>
      </c>
      <c r="T43" s="17">
        <f>$J43/HSP!$E$6</f>
        <v>0.68231534987064546</v>
      </c>
      <c r="U43" s="18" t="s">
        <v>500</v>
      </c>
      <c r="V43" s="12"/>
      <c r="W43" s="12"/>
      <c r="X43" s="12"/>
      <c r="Y43" s="12"/>
      <c r="Z43" s="12"/>
    </row>
    <row r="44" spans="1:26" ht="15" customHeight="1" x14ac:dyDescent="0.3">
      <c r="A44" s="26" t="s">
        <v>503</v>
      </c>
      <c r="B44" s="17">
        <v>22.2</v>
      </c>
      <c r="C44" s="17">
        <v>0.4</v>
      </c>
      <c r="D44" s="17">
        <v>10.1</v>
      </c>
      <c r="E44" s="17">
        <v>18.399999999999999</v>
      </c>
      <c r="F44" s="17">
        <f>SQRT((4*(HSP!$B$2-$B44)^2+(HSP!$C$2-$C44)^2+(HSP!$D$2-$D44)^2))</f>
        <v>18.492647187463454</v>
      </c>
      <c r="G44" s="17">
        <f>SQRT((4*(HSP!$B$3-$B44)^2+(HSP!$C$3-$C44)^2+(HSP!$D$3-$D44)^2))</f>
        <v>16.540447394191006</v>
      </c>
      <c r="H44" s="17">
        <f>SQRT((4*(HSP!$B$4-$B44)^2+(HSP!$C$4-$C44)^2+(HSP!$D$4-$D44)^2))</f>
        <v>15.062934641031937</v>
      </c>
      <c r="I44" s="17">
        <f>SQRT((4*(HSP!$B$5-$B44)^2+(HSP!$C$5-$C44)^2+(HSP!$D$5-$D44)^2))</f>
        <v>18.562621043376389</v>
      </c>
      <c r="J44" s="17">
        <f>SQRT((4*(HSP!$B$6-$B44)^2+(HSP!$C$6-$C44)^2+(HSP!$D$6-$D44)^2))</f>
        <v>16.356130349199347</v>
      </c>
      <c r="K44" s="17">
        <f t="shared" si="0"/>
        <v>1.0050351732317095</v>
      </c>
      <c r="L44" s="17">
        <f t="shared" si="1"/>
        <v>0.89893735837994604</v>
      </c>
      <c r="M44" s="17">
        <f t="shared" si="2"/>
        <v>0.81863775222999668</v>
      </c>
      <c r="N44" s="17">
        <f t="shared" si="3"/>
        <v>1.0088381001834994</v>
      </c>
      <c r="O44" s="17">
        <f t="shared" si="4"/>
        <v>0.88892012767387762</v>
      </c>
      <c r="P44" s="17">
        <f>$F44/HSP!$E$2</f>
        <v>1.1345182323597212</v>
      </c>
      <c r="Q44" s="17">
        <f>$G44/HSP!$E$3</f>
        <v>1.2252183254956301</v>
      </c>
      <c r="R44" s="17">
        <f>$H44/HSP!$E$4</f>
        <v>0.94735437993911553</v>
      </c>
      <c r="S44" s="17">
        <f>$I44/HSP!$E$5</f>
        <v>1.3549358425822182</v>
      </c>
      <c r="T44" s="17">
        <f>$J44/HSP!$E$6</f>
        <v>1.1051439425134693</v>
      </c>
      <c r="U44" s="18" t="s">
        <v>459</v>
      </c>
      <c r="V44" s="12"/>
      <c r="W44" s="12"/>
      <c r="X44" s="12"/>
      <c r="Y44" s="12"/>
      <c r="Z44" s="12"/>
    </row>
    <row r="45" spans="1:26" ht="15" customHeight="1" x14ac:dyDescent="0.3">
      <c r="A45" s="26" t="s">
        <v>504</v>
      </c>
      <c r="B45" s="17">
        <v>22.4</v>
      </c>
      <c r="C45" s="17">
        <v>7.6</v>
      </c>
      <c r="D45" s="17">
        <v>10.8</v>
      </c>
      <c r="E45" s="17">
        <v>13.9</v>
      </c>
      <c r="F45" s="17">
        <f>SQRT((4*(HSP!$B$2-$B45)^2+(HSP!$C$2-$C45)^2+(HSP!$D$2-$D45)^2))</f>
        <v>16.313552648028569</v>
      </c>
      <c r="G45" s="17">
        <f>SQRT((4*(HSP!$B$3-$B45)^2+(HSP!$C$3-$C45)^2+(HSP!$D$3-$D45)^2))</f>
        <v>14.461687315109533</v>
      </c>
      <c r="H45" s="17">
        <f>SQRT((4*(HSP!$B$4-$B45)^2+(HSP!$C$4-$C45)^2+(HSP!$D$4-$D45)^2))</f>
        <v>15.284567380204122</v>
      </c>
      <c r="I45" s="17">
        <f>SQRT((4*(HSP!$B$5-$B45)^2+(HSP!$C$5-$C45)^2+(HSP!$D$5-$D45)^2))</f>
        <v>15.151861271804199</v>
      </c>
      <c r="J45" s="17">
        <f>SQRT((4*(HSP!$B$6-$B45)^2+(HSP!$C$6-$C45)^2+(HSP!$D$6-$D45)^2))</f>
        <v>15.906570969256697</v>
      </c>
      <c r="K45" s="17">
        <f t="shared" si="0"/>
        <v>1.1736368811531344</v>
      </c>
      <c r="L45" s="17">
        <f t="shared" si="1"/>
        <v>1.0404091593603979</v>
      </c>
      <c r="M45" s="17">
        <f t="shared" si="2"/>
        <v>1.099609164043462</v>
      </c>
      <c r="N45" s="17">
        <f t="shared" si="3"/>
        <v>1.090061962000302</v>
      </c>
      <c r="O45" s="17">
        <f t="shared" si="4"/>
        <v>1.1443576236875321</v>
      </c>
      <c r="P45" s="17">
        <f>$F45/HSP!$E$2</f>
        <v>1.0008314507992986</v>
      </c>
      <c r="Q45" s="17">
        <f>$G45/HSP!$E$3</f>
        <v>1.0712360974155208</v>
      </c>
      <c r="R45" s="17">
        <f>$H45/HSP!$E$4</f>
        <v>0.96129354592478755</v>
      </c>
      <c r="S45" s="17">
        <f>$I45/HSP!$E$5</f>
        <v>1.1059752753141752</v>
      </c>
      <c r="T45" s="17">
        <f>$J45/HSP!$E$6</f>
        <v>1.0747683087335604</v>
      </c>
      <c r="U45" s="18" t="s">
        <v>459</v>
      </c>
      <c r="V45" s="12"/>
      <c r="W45" s="12"/>
      <c r="X45" s="12"/>
      <c r="Y45" s="12"/>
      <c r="Z45" s="12"/>
    </row>
    <row r="46" spans="1:26" ht="15" customHeight="1" x14ac:dyDescent="0.3">
      <c r="A46" s="26" t="s">
        <v>505</v>
      </c>
      <c r="B46" s="17">
        <v>18.5</v>
      </c>
      <c r="C46" s="17">
        <v>3.6</v>
      </c>
      <c r="D46" s="17">
        <v>4</v>
      </c>
      <c r="E46" s="17">
        <v>5.7</v>
      </c>
      <c r="F46" s="17">
        <f>SQRT((4*(HSP!$B$2-$B46)^2+(HSP!$C$2-$C46)^2+(HSP!$D$2-$D46)^2))</f>
        <v>10.806479537758818</v>
      </c>
      <c r="G46" s="17">
        <f>SQRT((4*(HSP!$B$3-$B46)^2+(HSP!$C$3-$C46)^2+(HSP!$D$3-$D46)^2))</f>
        <v>8.4628836692938201</v>
      </c>
      <c r="H46" s="17">
        <f>SQRT((4*(HSP!$B$4-$B46)^2+(HSP!$C$4-$C46)^2+(HSP!$D$4-$D46)^2))</f>
        <v>7.3049298422366791</v>
      </c>
      <c r="I46" s="17">
        <f>SQRT((4*(HSP!$B$5-$B46)^2+(HSP!$C$5-$C46)^2+(HSP!$D$5-$D46)^2))</f>
        <v>13.150319387756332</v>
      </c>
      <c r="J46" s="17">
        <f>SQRT((4*(HSP!$B$6-$B46)^2+(HSP!$C$6-$C46)^2+(HSP!$D$6-$D46)^2))</f>
        <v>7.0542894752058487</v>
      </c>
      <c r="K46" s="17">
        <f t="shared" si="0"/>
        <v>1.8958736031155821</v>
      </c>
      <c r="L46" s="17">
        <f t="shared" si="1"/>
        <v>1.484716433209442</v>
      </c>
      <c r="M46" s="17">
        <f t="shared" si="2"/>
        <v>1.2815666389888911</v>
      </c>
      <c r="N46" s="17">
        <f t="shared" si="3"/>
        <v>2.3070735767993562</v>
      </c>
      <c r="O46" s="17">
        <f t="shared" si="4"/>
        <v>1.2375946447729558</v>
      </c>
      <c r="P46" s="17">
        <f>$F46/HSP!$E$2</f>
        <v>0.66297420477047964</v>
      </c>
      <c r="Q46" s="17">
        <f>$G46/HSP!$E$3</f>
        <v>0.6268802717995422</v>
      </c>
      <c r="R46" s="17">
        <f>$H46/HSP!$E$4</f>
        <v>0.45942954982620621</v>
      </c>
      <c r="S46" s="17">
        <f>$I46/HSP!$E$5</f>
        <v>0.9598773275734549</v>
      </c>
      <c r="T46" s="17">
        <f>$J46/HSP!$E$6</f>
        <v>0.47664118075715189</v>
      </c>
      <c r="U46" s="18" t="s">
        <v>445</v>
      </c>
      <c r="V46" s="12"/>
      <c r="W46" s="12"/>
      <c r="X46" s="12"/>
      <c r="Y46" s="12"/>
      <c r="Z46" s="12"/>
    </row>
    <row r="47" spans="1:26" ht="15" customHeight="1" x14ac:dyDescent="0.3">
      <c r="A47" s="26" t="s">
        <v>506</v>
      </c>
      <c r="B47" s="17">
        <v>23.2</v>
      </c>
      <c r="C47" s="17">
        <v>22.73</v>
      </c>
      <c r="D47" s="17">
        <v>30.6</v>
      </c>
      <c r="E47" s="17">
        <v>20.48</v>
      </c>
      <c r="F47" s="17">
        <f>SQRT((4*(HSP!$B$2-$B47)^2+(HSP!$C$2-$C47)^2+(HSP!$D$2-$D47)^2))</f>
        <v>31.690650040666569</v>
      </c>
      <c r="G47" s="17">
        <f>SQRT((4*(HSP!$B$3-$B47)^2+(HSP!$C$3-$C47)^2+(HSP!$D$3-$D47)^2))</f>
        <v>31.787948974414817</v>
      </c>
      <c r="H47" s="17">
        <f>SQRT((4*(HSP!$B$4-$B47)^2+(HSP!$C$4-$C47)^2+(HSP!$D$4-$D47)^2))</f>
        <v>33.914098838093871</v>
      </c>
      <c r="I47" s="17">
        <f>SQRT((4*(HSP!$B$5-$B47)^2+(HSP!$C$5-$C47)^2+(HSP!$D$5-$D47)^2))</f>
        <v>27.178090440647225</v>
      </c>
      <c r="J47" s="17">
        <f>SQRT((4*(HSP!$B$6-$B47)^2+(HSP!$C$6-$C47)^2+(HSP!$D$6-$D47)^2))</f>
        <v>35.111139258075923</v>
      </c>
      <c r="K47" s="17">
        <f t="shared" si="0"/>
        <v>1.5473950215169223</v>
      </c>
      <c r="L47" s="17">
        <f t="shared" si="1"/>
        <v>1.5521459460163485</v>
      </c>
      <c r="M47" s="17">
        <f t="shared" si="2"/>
        <v>1.6559618573288022</v>
      </c>
      <c r="N47" s="17">
        <f t="shared" si="3"/>
        <v>1.3270551972972278</v>
      </c>
      <c r="O47" s="17">
        <f t="shared" si="4"/>
        <v>1.7144110965857384</v>
      </c>
      <c r="P47" s="17">
        <f>$F47/HSP!$E$2</f>
        <v>1.9442116589365992</v>
      </c>
      <c r="Q47" s="17">
        <f>$G47/HSP!$E$3</f>
        <v>2.3546628869936903</v>
      </c>
      <c r="R47" s="17">
        <f>$H47/HSP!$E$4</f>
        <v>2.132962191075086</v>
      </c>
      <c r="S47" s="17">
        <f>$I47/HSP!$E$5</f>
        <v>1.9838022219450531</v>
      </c>
      <c r="T47" s="17">
        <f>$J47/HSP!$E$6</f>
        <v>2.372374274194319</v>
      </c>
      <c r="U47" s="18" t="s">
        <v>445</v>
      </c>
      <c r="V47" s="12"/>
      <c r="W47" s="12"/>
      <c r="X47" s="12"/>
      <c r="Y47" s="12"/>
      <c r="Z47" s="12"/>
    </row>
    <row r="48" spans="1:26" ht="15" customHeight="1" x14ac:dyDescent="0.3">
      <c r="A48" s="26" t="s">
        <v>507</v>
      </c>
      <c r="B48" s="17">
        <v>22.5</v>
      </c>
      <c r="C48" s="17">
        <v>10.3</v>
      </c>
      <c r="D48" s="17">
        <v>22.1</v>
      </c>
      <c r="E48" s="17">
        <v>17.8</v>
      </c>
      <c r="F48" s="17">
        <f>SQRT((4*(HSP!$B$2-$B48)^2+(HSP!$C$2-$C48)^2+(HSP!$D$2-$D48)^2))</f>
        <v>21.869613622558585</v>
      </c>
      <c r="G48" s="17">
        <f>SQRT((4*(HSP!$B$3-$B48)^2+(HSP!$C$3-$C48)^2+(HSP!$D$3-$D48)^2))</f>
        <v>21.235639853792964</v>
      </c>
      <c r="H48" s="17">
        <f>SQRT((4*(HSP!$B$4-$B48)^2+(HSP!$C$4-$C48)^2+(HSP!$D$4-$D48)^2))</f>
        <v>21.92236301131792</v>
      </c>
      <c r="I48" s="17">
        <f>SQRT((4*(HSP!$B$5-$B48)^2+(HSP!$C$5-$C48)^2+(HSP!$D$5-$D48)^2))</f>
        <v>18.431410689363961</v>
      </c>
      <c r="J48" s="17">
        <f>SQRT((4*(HSP!$B$6-$B48)^2+(HSP!$C$6-$C48)^2+(HSP!$D$6-$D48)^2))</f>
        <v>23.603622603320876</v>
      </c>
      <c r="K48" s="17">
        <f t="shared" si="0"/>
        <v>1.228629978795426</v>
      </c>
      <c r="L48" s="17">
        <f t="shared" si="1"/>
        <v>1.193013474932189</v>
      </c>
      <c r="M48" s="17">
        <f t="shared" si="2"/>
        <v>1.2315934276021303</v>
      </c>
      <c r="N48" s="17">
        <f t="shared" si="3"/>
        <v>1.0354725106384248</v>
      </c>
      <c r="O48" s="17">
        <f t="shared" si="4"/>
        <v>1.326046213669712</v>
      </c>
      <c r="P48" s="17">
        <f>$F48/HSP!$E$2</f>
        <v>1.3416940872735328</v>
      </c>
      <c r="Q48" s="17">
        <f>$G48/HSP!$E$3</f>
        <v>1.5730103595402196</v>
      </c>
      <c r="R48" s="17">
        <f>$H48/HSP!$E$4</f>
        <v>1.3787649692652779</v>
      </c>
      <c r="S48" s="17">
        <f>$I48/HSP!$E$5</f>
        <v>1.3453584444791213</v>
      </c>
      <c r="T48" s="17">
        <f>$J48/HSP!$E$6</f>
        <v>1.5948393650892483</v>
      </c>
      <c r="U48" s="18" t="s">
        <v>466</v>
      </c>
      <c r="V48" s="12"/>
      <c r="W48" s="12"/>
      <c r="X48" s="12"/>
      <c r="Y48" s="12"/>
      <c r="Z48" s="12"/>
    </row>
    <row r="49" spans="1:26" ht="15" customHeight="1" x14ac:dyDescent="0.3">
      <c r="A49" s="26" t="s">
        <v>508</v>
      </c>
      <c r="B49" s="17">
        <v>17.5</v>
      </c>
      <c r="C49" s="17">
        <v>9.9</v>
      </c>
      <c r="D49" s="17">
        <v>4.0999999999999996</v>
      </c>
      <c r="E49" s="17">
        <v>9.5</v>
      </c>
      <c r="F49" s="17">
        <f>SQRT((4*(HSP!$B$2-$B49)^2+(HSP!$C$2-$C49)^2+(HSP!$D$2-$D49)^2))</f>
        <v>6.4998461520254471</v>
      </c>
      <c r="G49" s="17">
        <f>SQRT((4*(HSP!$B$3-$B49)^2+(HSP!$C$3-$C49)^2+(HSP!$D$3-$D49)^2))</f>
        <v>4.0150217932160732</v>
      </c>
      <c r="H49" s="17">
        <f>SQRT((4*(HSP!$B$4-$B49)^2+(HSP!$C$4-$C49)^2+(HSP!$D$4-$D49)^2))</f>
        <v>7.5002666619260951</v>
      </c>
      <c r="I49" s="17">
        <f>SQRT((4*(HSP!$B$5-$B49)^2+(HSP!$C$5-$C49)^2+(HSP!$D$5-$D49)^2))</f>
        <v>8.6309269490594112</v>
      </c>
      <c r="J49" s="17">
        <f>SQRT((4*(HSP!$B$6-$B49)^2+(HSP!$C$6-$C49)^2+(HSP!$D$6-$D49)^2))</f>
        <v>5.6564122904894418</v>
      </c>
      <c r="K49" s="17">
        <f t="shared" si="0"/>
        <v>0.68419433179215228</v>
      </c>
      <c r="L49" s="17">
        <f t="shared" si="1"/>
        <v>0.42263387297011296</v>
      </c>
      <c r="M49" s="17">
        <f t="shared" si="2"/>
        <v>0.78950175388695742</v>
      </c>
      <c r="N49" s="17">
        <f t="shared" si="3"/>
        <v>0.90851862621678015</v>
      </c>
      <c r="O49" s="17">
        <f t="shared" si="4"/>
        <v>0.59541182005152016</v>
      </c>
      <c r="P49" s="17">
        <f>$F49/HSP!$E$2</f>
        <v>0.39876356760892312</v>
      </c>
      <c r="Q49" s="17">
        <f>$G49/HSP!$E$3</f>
        <v>0.29740902171970912</v>
      </c>
      <c r="R49" s="17">
        <f>$H49/HSP!$E$4</f>
        <v>0.47171488439786763</v>
      </c>
      <c r="S49" s="17">
        <f>$I49/HSP!$E$5</f>
        <v>0.6299946678145556</v>
      </c>
      <c r="T49" s="17">
        <f>$J49/HSP!$E$6</f>
        <v>0.38219001962766497</v>
      </c>
      <c r="U49" s="18" t="s">
        <v>509</v>
      </c>
      <c r="V49" s="12"/>
      <c r="W49" s="12"/>
      <c r="X49" s="12"/>
      <c r="Y49" s="12"/>
      <c r="Z49" s="12"/>
    </row>
    <row r="50" spans="1:26" ht="15" customHeight="1" x14ac:dyDescent="0.3">
      <c r="A50" s="26" t="s">
        <v>510</v>
      </c>
      <c r="B50" s="17">
        <v>17</v>
      </c>
      <c r="C50" s="17">
        <v>3.4</v>
      </c>
      <c r="D50" s="17">
        <v>2</v>
      </c>
      <c r="E50" s="17">
        <v>6</v>
      </c>
      <c r="F50" s="17">
        <f>SQRT((4*(HSP!$B$2-$B50)^2+(HSP!$C$2-$C50)^2+(HSP!$D$2-$D50)^2))</f>
        <v>9.8835216395776673</v>
      </c>
      <c r="G50" s="17">
        <f>SQRT((4*(HSP!$B$3-$B50)^2+(HSP!$C$3-$C50)^2+(HSP!$D$3-$D50)^2))</f>
        <v>7.7874514444714196</v>
      </c>
      <c r="H50" s="17">
        <f>SQRT((4*(HSP!$B$4-$B50)^2+(HSP!$C$4-$C50)^2+(HSP!$D$4-$D50)^2))</f>
        <v>6.1704132762725061</v>
      </c>
      <c r="I50" s="17">
        <f>SQRT((4*(HSP!$B$5-$B50)^2+(HSP!$C$5-$C50)^2+(HSP!$D$5-$D50)^2))</f>
        <v>13.363341647956174</v>
      </c>
      <c r="J50" s="17">
        <f>SQRT((4*(HSP!$B$6-$B50)^2+(HSP!$C$6-$C50)^2+(HSP!$D$6-$D50)^2))</f>
        <v>4.9573178231781752</v>
      </c>
      <c r="K50" s="17">
        <f t="shared" si="0"/>
        <v>1.647253606596278</v>
      </c>
      <c r="L50" s="17">
        <f t="shared" si="1"/>
        <v>1.2979085740785699</v>
      </c>
      <c r="M50" s="17">
        <f t="shared" si="2"/>
        <v>1.0284022127120844</v>
      </c>
      <c r="N50" s="17">
        <f t="shared" si="3"/>
        <v>2.2272236079926957</v>
      </c>
      <c r="O50" s="17">
        <f t="shared" si="4"/>
        <v>0.82621963719636249</v>
      </c>
      <c r="P50" s="17">
        <f>$F50/HSP!$E$2</f>
        <v>0.60635102083298564</v>
      </c>
      <c r="Q50" s="17">
        <f>$G50/HSP!$E$3</f>
        <v>0.57684825514603111</v>
      </c>
      <c r="R50" s="17">
        <f>$H50/HSP!$E$4</f>
        <v>0.38807630668380538</v>
      </c>
      <c r="S50" s="17">
        <f>$I50/HSP!$E$5</f>
        <v>0.97542639766103467</v>
      </c>
      <c r="T50" s="17">
        <f>$J50/HSP!$E$6</f>
        <v>0.33495390697149829</v>
      </c>
      <c r="U50" s="18" t="s">
        <v>509</v>
      </c>
      <c r="V50" s="12"/>
      <c r="W50" s="12"/>
      <c r="X50" s="12"/>
      <c r="Y50" s="12"/>
      <c r="Z50" s="12"/>
    </row>
    <row r="51" spans="1:26" ht="15" customHeight="1" x14ac:dyDescent="0.3">
      <c r="A51" s="26" t="s">
        <v>511</v>
      </c>
      <c r="B51" s="17">
        <v>17.600000000000001</v>
      </c>
      <c r="C51" s="17">
        <v>1.7</v>
      </c>
      <c r="D51" s="17">
        <v>2</v>
      </c>
      <c r="E51" s="17">
        <v>6</v>
      </c>
      <c r="F51" s="17">
        <f>SQRT((4*(HSP!$B$2-$B51)^2+(HSP!$C$2-$C51)^2+(HSP!$D$2-$D51)^2))</f>
        <v>11.727659613068589</v>
      </c>
      <c r="G51" s="17">
        <f>SQRT((4*(HSP!$B$3-$B51)^2+(HSP!$C$3-$C51)^2+(HSP!$D$3-$D51)^2))</f>
        <v>9.6201039495423348</v>
      </c>
      <c r="H51" s="17">
        <f>SQRT((4*(HSP!$B$4-$B51)^2+(HSP!$C$4-$C51)^2+(HSP!$D$4-$D51)^2))</f>
        <v>7.4525163535546852</v>
      </c>
      <c r="I51" s="17">
        <f>SQRT((4*(HSP!$B$5-$B51)^2+(HSP!$C$5-$C51)^2+(HSP!$D$5-$D51)^2))</f>
        <v>14.929866040926157</v>
      </c>
      <c r="J51" s="17">
        <f>SQRT((4*(HSP!$B$6-$B51)^2+(HSP!$C$6-$C51)^2+(HSP!$D$6-$D51)^2))</f>
        <v>6.8928223537241999</v>
      </c>
      <c r="K51" s="17">
        <f t="shared" si="0"/>
        <v>1.9546099355114315</v>
      </c>
      <c r="L51" s="17">
        <f t="shared" si="1"/>
        <v>1.6033506582570558</v>
      </c>
      <c r="M51" s="17">
        <f t="shared" si="2"/>
        <v>1.2420860589257809</v>
      </c>
      <c r="N51" s="17">
        <f t="shared" si="3"/>
        <v>2.4883110068210263</v>
      </c>
      <c r="O51" s="17">
        <f t="shared" si="4"/>
        <v>1.1488037256207</v>
      </c>
      <c r="P51" s="17">
        <f>$F51/HSP!$E$2</f>
        <v>0.71948831982015882</v>
      </c>
      <c r="Q51" s="17">
        <f>$G51/HSP!$E$3</f>
        <v>0.71260029255869151</v>
      </c>
      <c r="R51" s="17">
        <f>$H51/HSP!$E$4</f>
        <v>0.46871172034935127</v>
      </c>
      <c r="S51" s="17">
        <f>$I51/HSP!$E$5</f>
        <v>1.0897712438632232</v>
      </c>
      <c r="T51" s="17">
        <f>$J51/HSP!$E$6</f>
        <v>0.46573124011649997</v>
      </c>
      <c r="U51" s="18" t="s">
        <v>512</v>
      </c>
      <c r="V51" s="12"/>
      <c r="W51" s="12"/>
      <c r="X51" s="12"/>
      <c r="Y51" s="12"/>
      <c r="Z51" s="12"/>
    </row>
    <row r="52" spans="1:26" ht="15" customHeight="1" x14ac:dyDescent="0.3">
      <c r="A52" s="26" t="s">
        <v>513</v>
      </c>
      <c r="B52" s="17">
        <v>17.53</v>
      </c>
      <c r="C52" s="17">
        <v>2.25</v>
      </c>
      <c r="D52" s="17">
        <v>3.42</v>
      </c>
      <c r="E52" s="17">
        <v>6.55</v>
      </c>
      <c r="F52" s="17">
        <f>SQRT((4*(HSP!$B$2-$B52)^2+(HSP!$C$2-$C52)^2+(HSP!$D$2-$D52)^2))</f>
        <v>10.696602264270652</v>
      </c>
      <c r="G52" s="17">
        <f>SQRT((4*(HSP!$B$3-$B52)^2+(HSP!$C$3-$C52)^2+(HSP!$D$3-$D52)^2))</f>
        <v>8.6145516424245798</v>
      </c>
      <c r="H52" s="17">
        <f>SQRT((4*(HSP!$B$4-$B52)^2+(HSP!$C$4-$C52)^2+(HSP!$D$4-$D52)^2))</f>
        <v>6.2934648644447062</v>
      </c>
      <c r="I52" s="17">
        <f>SQRT((4*(HSP!$B$5-$B52)^2+(HSP!$C$5-$C52)^2+(HSP!$D$5-$D52)^2))</f>
        <v>13.654720795387947</v>
      </c>
      <c r="J52" s="17">
        <f>SQRT((4*(HSP!$B$6-$B52)^2+(HSP!$C$6-$C52)^2+(HSP!$D$6-$D52)^2))</f>
        <v>6.1715233127648501</v>
      </c>
      <c r="K52" s="17">
        <f t="shared" si="0"/>
        <v>1.6330690479802523</v>
      </c>
      <c r="L52" s="17">
        <f t="shared" si="1"/>
        <v>1.3151987240342871</v>
      </c>
      <c r="M52" s="17">
        <f t="shared" si="2"/>
        <v>0.96083433044957345</v>
      </c>
      <c r="N52" s="17">
        <f t="shared" si="3"/>
        <v>2.0846901977691523</v>
      </c>
      <c r="O52" s="17">
        <f t="shared" si="4"/>
        <v>0.94221729965875578</v>
      </c>
      <c r="P52" s="17">
        <f>$F52/HSP!$E$2</f>
        <v>0.65623326774666568</v>
      </c>
      <c r="Q52" s="17">
        <f>$G52/HSP!$E$3</f>
        <v>0.63811493647589479</v>
      </c>
      <c r="R52" s="17">
        <f>$H52/HSP!$E$4</f>
        <v>0.39581540027954126</v>
      </c>
      <c r="S52" s="17">
        <f>$I52/HSP!$E$5</f>
        <v>0.9966949485684633</v>
      </c>
      <c r="T52" s="17">
        <f>$J52/HSP!$E$6</f>
        <v>0.41699481843005742</v>
      </c>
      <c r="U52" s="18" t="s">
        <v>490</v>
      </c>
      <c r="V52" s="12"/>
      <c r="W52" s="12"/>
      <c r="X52" s="12"/>
      <c r="Y52" s="12"/>
      <c r="Z52" s="12"/>
    </row>
    <row r="53" spans="1:26" ht="15" customHeight="1" x14ac:dyDescent="0.3">
      <c r="A53" s="26" t="s">
        <v>514</v>
      </c>
      <c r="B53" s="17">
        <v>17.8</v>
      </c>
      <c r="C53" s="17">
        <v>3.2</v>
      </c>
      <c r="D53" s="17">
        <v>3.4</v>
      </c>
      <c r="E53" s="17">
        <v>3.7</v>
      </c>
      <c r="F53" s="17">
        <f>SQRT((4*(HSP!$B$2-$B53)^2+(HSP!$C$2-$C53)^2+(HSP!$D$2-$D53)^2))</f>
        <v>10.319108488624394</v>
      </c>
      <c r="G53" s="17">
        <f>SQRT((4*(HSP!$B$3-$B53)^2+(HSP!$C$3-$C53)^2+(HSP!$D$3-$D53)^2))</f>
        <v>8.0868040658841256</v>
      </c>
      <c r="H53" s="17">
        <f>SQRT((4*(HSP!$B$4-$B53)^2+(HSP!$C$4-$C53)^2+(HSP!$D$4-$D53)^2))</f>
        <v>6.4356817820647425</v>
      </c>
      <c r="I53" s="17">
        <f>SQRT((4*(HSP!$B$5-$B53)^2+(HSP!$C$5-$C53)^2+(HSP!$D$5-$D53)^2))</f>
        <v>13.150471474437714</v>
      </c>
      <c r="J53" s="17">
        <f>SQRT((4*(HSP!$B$6-$B53)^2+(HSP!$C$6-$C53)^2+(HSP!$D$6-$D53)^2))</f>
        <v>6.0198837198072201</v>
      </c>
      <c r="K53" s="17">
        <f t="shared" si="0"/>
        <v>2.7889482401687551</v>
      </c>
      <c r="L53" s="17">
        <f t="shared" si="1"/>
        <v>2.1856227205092229</v>
      </c>
      <c r="M53" s="17">
        <f t="shared" si="2"/>
        <v>1.7393734546120925</v>
      </c>
      <c r="N53" s="17">
        <f t="shared" si="3"/>
        <v>3.5541814795777604</v>
      </c>
      <c r="O53" s="17">
        <f t="shared" si="4"/>
        <v>1.6269955999478973</v>
      </c>
      <c r="P53" s="17">
        <f>$F53/HSP!$E$2</f>
        <v>0.63307414040640453</v>
      </c>
      <c r="Q53" s="17">
        <f>$G53/HSP!$E$3</f>
        <v>0.59902252339882411</v>
      </c>
      <c r="R53" s="17">
        <f>$H53/HSP!$E$4</f>
        <v>0.40475986050721652</v>
      </c>
      <c r="S53" s="17">
        <f>$I53/HSP!$E$5</f>
        <v>0.95988842879107406</v>
      </c>
      <c r="T53" s="17">
        <f>$J53/HSP!$E$6</f>
        <v>0.40674889998697433</v>
      </c>
      <c r="U53" s="18" t="s">
        <v>490</v>
      </c>
      <c r="V53" s="12"/>
      <c r="W53" s="12"/>
      <c r="X53" s="12"/>
      <c r="Y53" s="12"/>
      <c r="Z53" s="12"/>
    </row>
    <row r="54" spans="1:26" ht="15" customHeight="1" x14ac:dyDescent="0.3">
      <c r="A54" s="26" t="s">
        <v>515</v>
      </c>
      <c r="B54" s="17">
        <v>17</v>
      </c>
      <c r="C54" s="17">
        <v>4</v>
      </c>
      <c r="D54" s="17">
        <v>3</v>
      </c>
      <c r="E54" s="17">
        <v>7.3</v>
      </c>
      <c r="F54" s="17">
        <f>SQRT((4*(HSP!$B$2-$B54)^2+(HSP!$C$2-$C54)^2+(HSP!$D$2-$D54)^2))</f>
        <v>8.9784185689908682</v>
      </c>
      <c r="G54" s="17">
        <f>SQRT((4*(HSP!$B$3-$B54)^2+(HSP!$C$3-$C54)^2+(HSP!$D$3-$D54)^2))</f>
        <v>6.8448812991899288</v>
      </c>
      <c r="H54" s="17">
        <f>SQRT((4*(HSP!$B$4-$B54)^2+(HSP!$C$4-$C54)^2+(HSP!$D$4-$D54)^2))</f>
        <v>5.3195864500917738</v>
      </c>
      <c r="I54" s="17">
        <f>SQRT((4*(HSP!$B$5-$B54)^2+(HSP!$C$5-$C54)^2+(HSP!$D$5-$D54)^2))</f>
        <v>12.28392852470251</v>
      </c>
      <c r="J54" s="17">
        <f>SQRT((4*(HSP!$B$6-$B54)^2+(HSP!$C$6-$C54)^2+(HSP!$D$6-$D54)^2))</f>
        <v>4.3126557942873207</v>
      </c>
      <c r="K54" s="17">
        <f t="shared" si="0"/>
        <v>1.2299203519165574</v>
      </c>
      <c r="L54" s="17">
        <f t="shared" si="1"/>
        <v>0.9376549724917711</v>
      </c>
      <c r="M54" s="17">
        <f t="shared" si="2"/>
        <v>0.72871047261531152</v>
      </c>
      <c r="N54" s="17">
        <f t="shared" si="3"/>
        <v>1.682729934890755</v>
      </c>
      <c r="O54" s="17">
        <f t="shared" si="4"/>
        <v>0.5907747663407289</v>
      </c>
      <c r="P54" s="17">
        <f>$F54/HSP!$E$2</f>
        <v>0.55082322509146431</v>
      </c>
      <c r="Q54" s="17">
        <f>$G54/HSP!$E$3</f>
        <v>0.50702824438443916</v>
      </c>
      <c r="R54" s="17">
        <f>$H54/HSP!$E$4</f>
        <v>0.33456518554036313</v>
      </c>
      <c r="S54" s="17">
        <f>$I54/HSP!$E$5</f>
        <v>0.89663711859142414</v>
      </c>
      <c r="T54" s="17">
        <f>$J54/HSP!$E$6</f>
        <v>0.29139566177617032</v>
      </c>
      <c r="U54" s="18" t="s">
        <v>516</v>
      </c>
      <c r="V54" s="12"/>
      <c r="W54" s="12"/>
      <c r="X54" s="12"/>
      <c r="Y54" s="12"/>
      <c r="Z54" s="12"/>
    </row>
    <row r="55" spans="1:26" ht="15" customHeight="1" x14ac:dyDescent="0.3">
      <c r="A55" s="26" t="s">
        <v>517</v>
      </c>
      <c r="B55" s="17">
        <v>17.3</v>
      </c>
      <c r="C55" s="17">
        <v>3.7</v>
      </c>
      <c r="D55" s="17">
        <v>7.3</v>
      </c>
      <c r="E55" s="17">
        <v>7</v>
      </c>
      <c r="F55" s="17">
        <f>SQRT((4*(HSP!$B$2-$B55)^2+(HSP!$C$2-$C55)^2+(HSP!$D$2-$D55)^2))</f>
        <v>8.6579443287653479</v>
      </c>
      <c r="G55" s="17">
        <f>SQRT((4*(HSP!$B$3-$B55)^2+(HSP!$C$3-$C55)^2+(HSP!$D$3-$D55)^2))</f>
        <v>6.9340031727711242</v>
      </c>
      <c r="H55" s="17">
        <f>SQRT((4*(HSP!$B$4-$B55)^2+(HSP!$C$4-$C55)^2+(HSP!$D$4-$D55)^2))</f>
        <v>4.3997727214027789</v>
      </c>
      <c r="I55" s="17">
        <f>SQRT((4*(HSP!$B$5-$B55)^2+(HSP!$C$5-$C55)^2+(HSP!$D$5-$D55)^2))</f>
        <v>10.536645576273315</v>
      </c>
      <c r="J55" s="17">
        <f>SQRT((4*(HSP!$B$6-$B55)^2+(HSP!$C$6-$C55)^2+(HSP!$D$6-$D55)^2))</f>
        <v>5.9865682991176179</v>
      </c>
      <c r="K55" s="17">
        <f t="shared" si="0"/>
        <v>1.2368491898236211</v>
      </c>
      <c r="L55" s="17">
        <f t="shared" si="1"/>
        <v>0.99057188182444633</v>
      </c>
      <c r="M55" s="17">
        <f t="shared" si="2"/>
        <v>0.62853896020039701</v>
      </c>
      <c r="N55" s="17">
        <f t="shared" si="3"/>
        <v>1.5052350823247593</v>
      </c>
      <c r="O55" s="17">
        <f t="shared" si="4"/>
        <v>0.85522404273108832</v>
      </c>
      <c r="P55" s="17">
        <f>$F55/HSP!$E$2</f>
        <v>0.5311622287586103</v>
      </c>
      <c r="Q55" s="17">
        <f>$G55/HSP!$E$3</f>
        <v>0.51362986464971294</v>
      </c>
      <c r="R55" s="17">
        <f>$H55/HSP!$E$4</f>
        <v>0.27671526549703013</v>
      </c>
      <c r="S55" s="17">
        <f>$I55/HSP!$E$5</f>
        <v>0.7690982172462274</v>
      </c>
      <c r="T55" s="17">
        <f>$J55/HSP!$E$6</f>
        <v>0.4044978580484877</v>
      </c>
      <c r="U55" s="18" t="s">
        <v>518</v>
      </c>
      <c r="V55" s="12"/>
      <c r="W55" s="12"/>
      <c r="X55" s="12"/>
      <c r="Y55" s="12"/>
      <c r="Z55" s="12"/>
    </row>
    <row r="56" spans="1:26" ht="15" customHeight="1" x14ac:dyDescent="0.3">
      <c r="A56" s="26" t="s">
        <v>519</v>
      </c>
      <c r="B56" s="17">
        <v>18.600000000000001</v>
      </c>
      <c r="C56" s="17">
        <v>4.3600000000000003</v>
      </c>
      <c r="D56" s="17">
        <v>13.03</v>
      </c>
      <c r="E56" s="17">
        <v>10.64</v>
      </c>
      <c r="F56" s="17">
        <f>SQRT((4*(HSP!$B$2-$B56)^2+(HSP!$C$2-$C56)^2+(HSP!$D$2-$D56)^2))</f>
        <v>11.739356881873899</v>
      </c>
      <c r="G56" s="17">
        <f>SQRT((4*(HSP!$B$3-$B56)^2+(HSP!$C$3-$C56)^2+(HSP!$D$3-$D56)^2))</f>
        <v>10.674572590975249</v>
      </c>
      <c r="H56" s="17">
        <f>SQRT((4*(HSP!$B$4-$B56)^2+(HSP!$C$4-$C56)^2+(HSP!$D$4-$D56)^2))</f>
        <v>9.2722650954338039</v>
      </c>
      <c r="I56" s="17">
        <f>SQRT((4*(HSP!$B$5-$B56)^2+(HSP!$C$5-$C56)^2+(HSP!$D$5-$D56)^2))</f>
        <v>10.892896768077811</v>
      </c>
      <c r="J56" s="17">
        <f>SQRT((4*(HSP!$B$6-$B56)^2+(HSP!$C$6-$C56)^2+(HSP!$D$6-$D56)^2))</f>
        <v>11.528785712294249</v>
      </c>
      <c r="K56" s="17">
        <f t="shared" si="0"/>
        <v>1.1033230152137123</v>
      </c>
      <c r="L56" s="17">
        <f t="shared" si="1"/>
        <v>1.0032493036630872</v>
      </c>
      <c r="M56" s="17">
        <f t="shared" si="2"/>
        <v>0.87145348641295151</v>
      </c>
      <c r="N56" s="17">
        <f t="shared" si="3"/>
        <v>1.0237684932403959</v>
      </c>
      <c r="O56" s="17">
        <f t="shared" si="4"/>
        <v>1.0835324917569782</v>
      </c>
      <c r="P56" s="17">
        <f>$F56/HSP!$E$2</f>
        <v>0.72020594367324531</v>
      </c>
      <c r="Q56" s="17">
        <f>$G56/HSP!$E$3</f>
        <v>0.79070908081298141</v>
      </c>
      <c r="R56" s="17">
        <f>$H56/HSP!$E$4</f>
        <v>0.58316132675684296</v>
      </c>
      <c r="S56" s="17">
        <f>$I56/HSP!$E$5</f>
        <v>0.79510195387429283</v>
      </c>
      <c r="T56" s="17">
        <f>$J56/HSP!$E$6</f>
        <v>0.77897200758744922</v>
      </c>
      <c r="U56" s="18" t="s">
        <v>518</v>
      </c>
      <c r="V56" s="12"/>
      <c r="W56" s="12"/>
      <c r="X56" s="12"/>
      <c r="Y56" s="12"/>
      <c r="Z56" s="12"/>
    </row>
    <row r="57" spans="1:26" ht="15" customHeight="1" x14ac:dyDescent="0.3">
      <c r="A57" s="26" t="s">
        <v>520</v>
      </c>
      <c r="B57" s="17">
        <v>17.600000000000001</v>
      </c>
      <c r="C57" s="17">
        <v>2.1</v>
      </c>
      <c r="D57" s="17">
        <v>2.1</v>
      </c>
      <c r="E57" s="17">
        <v>7</v>
      </c>
      <c r="F57" s="17">
        <f>SQRT((4*(HSP!$B$2-$B57)^2+(HSP!$C$2-$C57)^2+(HSP!$D$2-$D57)^2))</f>
        <v>11.388766395005215</v>
      </c>
      <c r="G57" s="17">
        <f>SQRT((4*(HSP!$B$3-$B57)^2+(HSP!$C$3-$C57)^2+(HSP!$D$3-$D57)^2))</f>
        <v>9.2511837080451524</v>
      </c>
      <c r="H57" s="17">
        <f>SQRT((4*(HSP!$B$4-$B57)^2+(HSP!$C$4-$C57)^2+(HSP!$D$4-$D57)^2))</f>
        <v>7.2364355866683443</v>
      </c>
      <c r="I57" s="17">
        <f>SQRT((4*(HSP!$B$5-$B57)^2+(HSP!$C$5-$C57)^2+(HSP!$D$5-$D57)^2))</f>
        <v>14.576312976881365</v>
      </c>
      <c r="J57" s="17">
        <f>SQRT((4*(HSP!$B$6-$B57)^2+(HSP!$C$6-$C57)^2+(HSP!$D$6-$D57)^2))</f>
        <v>6.5974995263357181</v>
      </c>
      <c r="K57" s="17">
        <f t="shared" si="0"/>
        <v>1.6269666278578878</v>
      </c>
      <c r="L57" s="17">
        <f t="shared" si="1"/>
        <v>1.3215976725778789</v>
      </c>
      <c r="M57" s="17">
        <f t="shared" si="2"/>
        <v>1.0337765123811919</v>
      </c>
      <c r="N57" s="17">
        <f t="shared" si="3"/>
        <v>2.0823304252687662</v>
      </c>
      <c r="O57" s="17">
        <f t="shared" si="4"/>
        <v>0.94249993233367402</v>
      </c>
      <c r="P57" s="17">
        <f>$F57/HSP!$E$2</f>
        <v>0.69869732484694569</v>
      </c>
      <c r="Q57" s="17">
        <f>$G57/HSP!$E$3</f>
        <v>0.68527286726260384</v>
      </c>
      <c r="R57" s="17">
        <f>$H57/HSP!$E$4</f>
        <v>0.45512173501058767</v>
      </c>
      <c r="S57" s="17">
        <f>$I57/HSP!$E$5</f>
        <v>1.063964450867253</v>
      </c>
      <c r="T57" s="17">
        <f>$J57/HSP!$E$6</f>
        <v>0.44577699502268364</v>
      </c>
      <c r="U57" s="18" t="s">
        <v>518</v>
      </c>
      <c r="V57" s="12"/>
      <c r="W57" s="12"/>
      <c r="X57" s="12"/>
      <c r="Y57" s="12"/>
      <c r="Z57" s="12"/>
    </row>
    <row r="58" spans="1:26" ht="15" customHeight="1" x14ac:dyDescent="0.3">
      <c r="A58" s="26" t="s">
        <v>521</v>
      </c>
      <c r="B58" s="17">
        <v>15.8</v>
      </c>
      <c r="C58" s="17">
        <v>2.1</v>
      </c>
      <c r="D58" s="17">
        <v>4</v>
      </c>
      <c r="E58" s="17">
        <v>8.1999999999999993</v>
      </c>
      <c r="F58" s="17">
        <f>SQRT((4*(HSP!$B$2-$B58)^2+(HSP!$C$2-$C58)^2+(HSP!$D$2-$D58)^2))</f>
        <v>9.1940197954975069</v>
      </c>
      <c r="G58" s="17">
        <f>SQRT((4*(HSP!$B$3-$B58)^2+(HSP!$C$3-$C58)^2+(HSP!$D$3-$D58)^2))</f>
        <v>7.7791002050365705</v>
      </c>
      <c r="H58" s="17">
        <f>SQRT((4*(HSP!$B$4-$B58)^2+(HSP!$C$4-$C58)^2+(HSP!$D$4-$D58)^2))</f>
        <v>4.010486254807514</v>
      </c>
      <c r="I58" s="17">
        <f>SQRT((4*(HSP!$B$5-$B58)^2+(HSP!$C$5-$C58)^2+(HSP!$D$5-$D58)^2))</f>
        <v>12.725285851406246</v>
      </c>
      <c r="J58" s="17">
        <f>SQRT((4*(HSP!$B$6-$B58)^2+(HSP!$C$6-$C58)^2+(HSP!$D$6-$D58)^2))</f>
        <v>4.4603811496328429</v>
      </c>
      <c r="K58" s="17">
        <f t="shared" si="0"/>
        <v>1.1212219262801839</v>
      </c>
      <c r="L58" s="17">
        <f t="shared" si="1"/>
        <v>0.94867075671177692</v>
      </c>
      <c r="M58" s="17">
        <f t="shared" si="2"/>
        <v>0.4890836896106725</v>
      </c>
      <c r="N58" s="17">
        <f t="shared" si="3"/>
        <v>1.5518641282202741</v>
      </c>
      <c r="O58" s="17">
        <f t="shared" si="4"/>
        <v>0.54394892068693212</v>
      </c>
      <c r="P58" s="17">
        <f>$F58/HSP!$E$2</f>
        <v>0.56405029420230102</v>
      </c>
      <c r="Q58" s="17">
        <f>$G58/HSP!$E$3</f>
        <v>0.5762296448175237</v>
      </c>
      <c r="R58" s="17">
        <f>$H58/HSP!$E$4</f>
        <v>0.25223183992500087</v>
      </c>
      <c r="S58" s="17">
        <f>$I58/HSP!$E$5</f>
        <v>0.92885298185447063</v>
      </c>
      <c r="T58" s="17">
        <f>$J58/HSP!$E$6</f>
        <v>0.30137710470492179</v>
      </c>
      <c r="U58" s="18" t="s">
        <v>445</v>
      </c>
      <c r="V58" s="12"/>
      <c r="W58" s="12"/>
      <c r="X58" s="12"/>
      <c r="Y58" s="12"/>
      <c r="Z58" s="12"/>
    </row>
    <row r="59" spans="1:26" ht="15" customHeight="1" x14ac:dyDescent="0.3">
      <c r="A59" s="26" t="s">
        <v>522</v>
      </c>
      <c r="B59" s="17">
        <v>16.5</v>
      </c>
      <c r="C59" s="17">
        <v>1</v>
      </c>
      <c r="D59" s="17">
        <v>5.0999999999999996</v>
      </c>
      <c r="E59" s="17">
        <v>5</v>
      </c>
      <c r="F59" s="17">
        <f>SQRT((4*(HSP!$B$2-$B59)^2+(HSP!$C$2-$C59)^2+(HSP!$D$2-$D59)^2))</f>
        <v>10.366580921403163</v>
      </c>
      <c r="G59" s="17">
        <f>SQRT((4*(HSP!$B$3-$B59)^2+(HSP!$C$3-$C59)^2+(HSP!$D$3-$D59)^2))</f>
        <v>8.8395927508002323</v>
      </c>
      <c r="H59" s="17">
        <f>SQRT((4*(HSP!$B$4-$B59)^2+(HSP!$C$4-$C59)^2+(HSP!$D$4-$D59)^2))</f>
        <v>4.8485049242008609</v>
      </c>
      <c r="I59" s="17">
        <f>SQRT((4*(HSP!$B$5-$B59)^2+(HSP!$C$5-$C59)^2+(HSP!$D$5-$D59)^2))</f>
        <v>13.319117838655833</v>
      </c>
      <c r="J59" s="17">
        <f>SQRT((4*(HSP!$B$6-$B59)^2+(HSP!$C$6-$C59)^2+(HSP!$D$6-$D59)^2))</f>
        <v>6.0908948439453461</v>
      </c>
      <c r="K59" s="17">
        <f t="shared" si="0"/>
        <v>2.0733161842806327</v>
      </c>
      <c r="L59" s="17">
        <f t="shared" si="1"/>
        <v>1.7679185501600465</v>
      </c>
      <c r="M59" s="17">
        <f t="shared" si="2"/>
        <v>0.9697009848401722</v>
      </c>
      <c r="N59" s="17">
        <f t="shared" si="3"/>
        <v>2.6638235677311668</v>
      </c>
      <c r="O59" s="17">
        <f t="shared" si="4"/>
        <v>1.2181789687890692</v>
      </c>
      <c r="P59" s="17">
        <f>$F59/HSP!$E$2</f>
        <v>0.63598655959528605</v>
      </c>
      <c r="Q59" s="17">
        <f>$G59/HSP!$E$3</f>
        <v>0.65478464820742466</v>
      </c>
      <c r="R59" s="17">
        <f>$H59/HSP!$E$4</f>
        <v>0.30493741661640633</v>
      </c>
      <c r="S59" s="17">
        <f>$I59/HSP!$E$5</f>
        <v>0.97219838238363754</v>
      </c>
      <c r="T59" s="17">
        <f>$J59/HSP!$E$6</f>
        <v>0.41154694891522609</v>
      </c>
      <c r="U59" s="18" t="s">
        <v>445</v>
      </c>
      <c r="V59" s="12"/>
      <c r="W59" s="12"/>
      <c r="X59" s="12"/>
      <c r="Y59" s="12"/>
      <c r="Z59" s="12"/>
    </row>
    <row r="60" spans="1:26" ht="15" customHeight="1" x14ac:dyDescent="0.3">
      <c r="A60" s="26" t="s">
        <v>523</v>
      </c>
      <c r="B60" s="17">
        <v>15.9</v>
      </c>
      <c r="C60" s="17">
        <v>6.31</v>
      </c>
      <c r="D60" s="17">
        <v>6.01</v>
      </c>
      <c r="E60" s="17">
        <v>3.1</v>
      </c>
      <c r="F60" s="17">
        <f>SQRT((4*(HSP!$B$2-$B60)^2+(HSP!$C$2-$C60)^2+(HSP!$D$2-$D60)^2))</f>
        <v>4.9923341234336496</v>
      </c>
      <c r="G60" s="17">
        <f>SQRT((4*(HSP!$B$3-$B60)^2+(HSP!$C$3-$C60)^2+(HSP!$D$3-$D60)^2))</f>
        <v>3.3815676837821838</v>
      </c>
      <c r="H60" s="17">
        <f>SQRT((4*(HSP!$B$4-$B60)^2+(HSP!$C$4-$C60)^2+(HSP!$D$4-$D60)^2))</f>
        <v>2.3264995164409563</v>
      </c>
      <c r="I60" s="17">
        <f>SQRT((4*(HSP!$B$5-$B60)^2+(HSP!$C$5-$C60)^2+(HSP!$D$5-$D60)^2))</f>
        <v>8.1781477120433586</v>
      </c>
      <c r="J60" s="17">
        <f>SQRT((4*(HSP!$B$6-$B60)^2+(HSP!$C$6-$C60)^2+(HSP!$D$6-$D60)^2))</f>
        <v>2.5035175254030082</v>
      </c>
      <c r="K60" s="17">
        <f t="shared" si="0"/>
        <v>1.6104303623979515</v>
      </c>
      <c r="L60" s="17">
        <f t="shared" si="1"/>
        <v>1.0908282850910269</v>
      </c>
      <c r="M60" s="17">
        <f t="shared" si="2"/>
        <v>0.75048371498095368</v>
      </c>
      <c r="N60" s="17">
        <f t="shared" si="3"/>
        <v>2.638112165175277</v>
      </c>
      <c r="O60" s="17">
        <f t="shared" si="4"/>
        <v>0.8075862985170994</v>
      </c>
      <c r="P60" s="17">
        <f>$F60/HSP!$E$2</f>
        <v>0.30627816708181899</v>
      </c>
      <c r="Q60" s="17">
        <f>$G60/HSP!$E$3</f>
        <v>0.25048649509497656</v>
      </c>
      <c r="R60" s="17">
        <f>$H60/HSP!$E$4</f>
        <v>0.14632072430446266</v>
      </c>
      <c r="S60" s="17">
        <f>$I60/HSP!$E$5</f>
        <v>0.59694508847031813</v>
      </c>
      <c r="T60" s="17">
        <f>$J60/HSP!$E$6</f>
        <v>0.1691565895542573</v>
      </c>
      <c r="U60" s="18" t="s">
        <v>459</v>
      </c>
      <c r="V60" s="12"/>
      <c r="W60" s="12"/>
      <c r="X60" s="12"/>
      <c r="Y60" s="12"/>
      <c r="Z60" s="12"/>
    </row>
    <row r="61" spans="1:26" ht="15" customHeight="1" x14ac:dyDescent="0.3">
      <c r="A61" s="26" t="s">
        <v>523</v>
      </c>
      <c r="B61" s="17">
        <v>15.7</v>
      </c>
      <c r="C61" s="17">
        <v>6.3</v>
      </c>
      <c r="D61" s="17">
        <v>5.7</v>
      </c>
      <c r="E61" s="17">
        <v>3.3</v>
      </c>
      <c r="F61" s="17">
        <f>SQRT((4*(HSP!$B$2-$B61)^2+(HSP!$C$2-$C61)^2+(HSP!$D$2-$D61)^2))</f>
        <v>4.8768842512407451</v>
      </c>
      <c r="G61" s="17">
        <f>SQRT((4*(HSP!$B$3-$B61)^2+(HSP!$C$3-$C61)^2+(HSP!$D$3-$D61)^2))</f>
        <v>3.3622016596272157</v>
      </c>
      <c r="H61" s="17">
        <f>SQRT((4*(HSP!$B$4-$B61)^2+(HSP!$C$4-$C61)^2+(HSP!$D$4-$D61)^2))</f>
        <v>2.2266566866043802</v>
      </c>
      <c r="I61" s="17">
        <f>SQRT((4*(HSP!$B$5-$B61)^2+(HSP!$C$5-$C61)^2+(HSP!$D$5-$D61)^2))</f>
        <v>8.3251966943730515</v>
      </c>
      <c r="J61" s="17">
        <f>SQRT((4*(HSP!$B$6-$B61)^2+(HSP!$C$6-$C61)^2+(HSP!$D$6-$D61)^2))</f>
        <v>2.0442602574036406</v>
      </c>
      <c r="K61" s="17">
        <f t="shared" si="0"/>
        <v>1.4778437124971955</v>
      </c>
      <c r="L61" s="17">
        <f t="shared" si="1"/>
        <v>1.0188489877658231</v>
      </c>
      <c r="M61" s="17">
        <f t="shared" si="2"/>
        <v>0.67474445048617582</v>
      </c>
      <c r="N61" s="17">
        <f t="shared" si="3"/>
        <v>2.5227868770827429</v>
      </c>
      <c r="O61" s="17">
        <f t="shared" si="4"/>
        <v>0.61947280527383053</v>
      </c>
      <c r="P61" s="17">
        <f>$F61/HSP!$E$2</f>
        <v>0.2991953528368555</v>
      </c>
      <c r="Q61" s="17">
        <f>$G61/HSP!$E$3</f>
        <v>0.24905197478720117</v>
      </c>
      <c r="R61" s="17">
        <f>$H61/HSP!$E$4</f>
        <v>0.14004130104430063</v>
      </c>
      <c r="S61" s="17">
        <f>$I61/HSP!$E$5</f>
        <v>0.60767859083014975</v>
      </c>
      <c r="T61" s="17">
        <f>$J61/HSP!$E$6</f>
        <v>0.13812569306781355</v>
      </c>
      <c r="U61" s="18" t="s">
        <v>457</v>
      </c>
      <c r="V61" s="12"/>
      <c r="W61" s="12"/>
      <c r="X61" s="12"/>
      <c r="Y61" s="12"/>
      <c r="Z61" s="12"/>
    </row>
    <row r="62" spans="1:26" ht="15" customHeight="1" x14ac:dyDescent="0.3">
      <c r="A62" s="26" t="s">
        <v>524</v>
      </c>
      <c r="B62" s="17">
        <v>19.7</v>
      </c>
      <c r="C62" s="17">
        <v>2.9</v>
      </c>
      <c r="D62" s="17">
        <v>2.7</v>
      </c>
      <c r="E62" s="17">
        <v>3.9</v>
      </c>
      <c r="F62" s="17">
        <f>SQRT((4*(HSP!$B$2-$B62)^2+(HSP!$C$2-$C62)^2+(HSP!$D$2-$D62)^2))</f>
        <v>13.398208835512305</v>
      </c>
      <c r="G62" s="17">
        <f>SQRT((4*(HSP!$B$3-$B62)^2+(HSP!$C$3-$C62)^2+(HSP!$D$3-$D62)^2))</f>
        <v>10.943143972369183</v>
      </c>
      <c r="H62" s="17">
        <f>SQRT((4*(HSP!$B$4-$B62)^2+(HSP!$C$4-$C62)^2+(HSP!$D$4-$D62)^2))</f>
        <v>10.102573929449861</v>
      </c>
      <c r="I62" s="17">
        <f>SQRT((4*(HSP!$B$5-$B62)^2+(HSP!$C$5-$C62)^2+(HSP!$D$5-$D62)^2))</f>
        <v>15.577705222528765</v>
      </c>
      <c r="J62" s="17">
        <f>SQRT((4*(HSP!$B$6-$B62)^2+(HSP!$C$6-$C62)^2+(HSP!$D$6-$D62)^2))</f>
        <v>9.6064041139231691</v>
      </c>
      <c r="K62" s="17">
        <f t="shared" si="0"/>
        <v>3.4354381629518733</v>
      </c>
      <c r="L62" s="17">
        <f t="shared" si="1"/>
        <v>2.8059343518895341</v>
      </c>
      <c r="M62" s="17">
        <f t="shared" si="2"/>
        <v>2.5904035716538103</v>
      </c>
      <c r="N62" s="17">
        <f t="shared" si="3"/>
        <v>3.994283390391991</v>
      </c>
      <c r="O62" s="17">
        <f t="shared" si="4"/>
        <v>2.4631805420315818</v>
      </c>
      <c r="P62" s="17">
        <f>$F62/HSP!$E$2</f>
        <v>0.82197600217866895</v>
      </c>
      <c r="Q62" s="17">
        <f>$G62/HSP!$E$3</f>
        <v>0.81060325721253212</v>
      </c>
      <c r="R62" s="17">
        <f>$H62/HSP!$E$4</f>
        <v>0.6353820081415007</v>
      </c>
      <c r="S62" s="17">
        <f>$I62/HSP!$E$5</f>
        <v>1.1370587753670631</v>
      </c>
      <c r="T62" s="17">
        <f>$J62/HSP!$E$6</f>
        <v>0.64908135904886277</v>
      </c>
      <c r="U62" s="18" t="s">
        <v>525</v>
      </c>
      <c r="V62" s="12"/>
      <c r="W62" s="12"/>
      <c r="X62" s="12"/>
      <c r="Y62" s="12"/>
      <c r="Z62" s="12"/>
    </row>
    <row r="63" spans="1:26" ht="15" customHeight="1" x14ac:dyDescent="0.3">
      <c r="A63" s="26" t="s">
        <v>526</v>
      </c>
      <c r="B63" s="17">
        <v>19.399999999999999</v>
      </c>
      <c r="C63" s="17">
        <v>13.4</v>
      </c>
      <c r="D63" s="17">
        <v>11.6</v>
      </c>
      <c r="E63" s="17">
        <v>11.1</v>
      </c>
      <c r="F63" s="17">
        <f>SQRT((4*(HSP!$B$2-$B63)^2+(HSP!$C$2-$C63)^2+(HSP!$D$2-$D63)^2))</f>
        <v>11.052058631766299</v>
      </c>
      <c r="G63" s="17">
        <f>SQRT((4*(HSP!$B$3-$B63)^2+(HSP!$C$3-$C63)^2+(HSP!$D$3-$D63)^2))</f>
        <v>10.121877296233144</v>
      </c>
      <c r="H63" s="17">
        <f>SQRT((4*(HSP!$B$4-$B63)^2+(HSP!$C$4-$C63)^2+(HSP!$D$4-$D63)^2))</f>
        <v>13.063307391315568</v>
      </c>
      <c r="I63" s="17">
        <f>SQRT((4*(HSP!$B$5-$B63)^2+(HSP!$C$5-$C63)^2+(HSP!$D$5-$D63)^2))</f>
        <v>8.3149804569824433</v>
      </c>
      <c r="J63" s="17">
        <f>SQRT((4*(HSP!$B$6-$B63)^2+(HSP!$C$6-$C63)^2+(HSP!$D$6-$D63)^2))</f>
        <v>13.299285695104079</v>
      </c>
      <c r="K63" s="17">
        <f t="shared" si="0"/>
        <v>0.99568095781678367</v>
      </c>
      <c r="L63" s="17">
        <f t="shared" si="1"/>
        <v>0.91188083749848148</v>
      </c>
      <c r="M63" s="17">
        <f t="shared" si="2"/>
        <v>1.1768745397581593</v>
      </c>
      <c r="N63" s="17">
        <f t="shared" si="3"/>
        <v>0.74909733846688675</v>
      </c>
      <c r="O63" s="17">
        <f t="shared" si="4"/>
        <v>1.1981338464057729</v>
      </c>
      <c r="P63" s="17">
        <f>$F63/HSP!$E$2</f>
        <v>0.67804040685682809</v>
      </c>
      <c r="Q63" s="17">
        <f>$G63/HSP!$E$3</f>
        <v>0.74976868860986257</v>
      </c>
      <c r="R63" s="17">
        <f>$H63/HSP!$E$4</f>
        <v>0.82159165983116778</v>
      </c>
      <c r="S63" s="17">
        <f>$I63/HSP!$E$5</f>
        <v>0.6069328800717112</v>
      </c>
      <c r="T63" s="17">
        <f>$J63/HSP!$E$6</f>
        <v>0.89860038480432958</v>
      </c>
      <c r="U63" s="18" t="s">
        <v>454</v>
      </c>
      <c r="V63" s="12"/>
      <c r="W63" s="12"/>
      <c r="X63" s="12"/>
      <c r="Y63" s="12"/>
      <c r="Z63" s="12"/>
    </row>
    <row r="64" spans="1:26" ht="15" customHeight="1" x14ac:dyDescent="0.3">
      <c r="A64" s="26" t="s">
        <v>527</v>
      </c>
      <c r="B64" s="17">
        <v>16.57</v>
      </c>
      <c r="C64" s="17">
        <v>1.4</v>
      </c>
      <c r="D64" s="17">
        <v>10.82</v>
      </c>
      <c r="E64" s="17">
        <v>9.6199999999999992</v>
      </c>
      <c r="F64" s="17">
        <f>SQRT((4*(HSP!$B$2-$B64)^2+(HSP!$C$2-$C64)^2+(HSP!$D$2-$D64)^2))</f>
        <v>10.599660371917585</v>
      </c>
      <c r="G64" s="17">
        <f>SQRT((4*(HSP!$B$3-$B64)^2+(HSP!$C$3-$C64)^2+(HSP!$D$3-$D64)^2))</f>
        <v>9.8145402337552206</v>
      </c>
      <c r="H64" s="17">
        <f>SQRT((4*(HSP!$B$4-$B64)^2+(HSP!$C$4-$C64)^2+(HSP!$D$4-$D64)^2))</f>
        <v>5.8956594202854022</v>
      </c>
      <c r="I64" s="17">
        <f>SQRT((4*(HSP!$B$5-$B64)^2+(HSP!$C$5-$C64)^2+(HSP!$D$5-$D64)^2))</f>
        <v>11.615270121697559</v>
      </c>
      <c r="J64" s="17">
        <f>SQRT((4*(HSP!$B$6-$B64)^2+(HSP!$C$6-$C64)^2+(HSP!$D$6-$D64)^2))</f>
        <v>8.9800779506639046</v>
      </c>
      <c r="K64" s="17">
        <f t="shared" si="0"/>
        <v>1.1018357974966306</v>
      </c>
      <c r="L64" s="17">
        <f t="shared" si="1"/>
        <v>1.0202224775213329</v>
      </c>
      <c r="M64" s="17">
        <f t="shared" si="2"/>
        <v>0.61285440959307724</v>
      </c>
      <c r="N64" s="17">
        <f t="shared" si="3"/>
        <v>1.2074085365589979</v>
      </c>
      <c r="O64" s="17">
        <f t="shared" si="4"/>
        <v>0.93348003645154942</v>
      </c>
      <c r="P64" s="17">
        <f>$F64/HSP!$E$2</f>
        <v>0.65028591238758182</v>
      </c>
      <c r="Q64" s="17">
        <f>$G64/HSP!$E$3</f>
        <v>0.72700298027816446</v>
      </c>
      <c r="R64" s="17">
        <f>$H64/HSP!$E$4</f>
        <v>0.37079618995505675</v>
      </c>
      <c r="S64" s="17">
        <f>$I64/HSP!$E$5</f>
        <v>0.84782993589033284</v>
      </c>
      <c r="T64" s="17">
        <f>$J64/HSP!$E$6</f>
        <v>0.60676202369350707</v>
      </c>
      <c r="U64" s="18" t="s">
        <v>454</v>
      </c>
      <c r="V64" s="12"/>
      <c r="W64" s="12"/>
      <c r="X64" s="12"/>
      <c r="Y64" s="12"/>
      <c r="Z64" s="12"/>
    </row>
    <row r="65" spans="1:26" ht="15" customHeight="1" x14ac:dyDescent="0.3">
      <c r="A65" s="26" t="s">
        <v>528</v>
      </c>
      <c r="B65" s="17">
        <v>17.2</v>
      </c>
      <c r="C65" s="17">
        <v>13.8</v>
      </c>
      <c r="D65" s="17">
        <v>2.8</v>
      </c>
      <c r="E65" s="17">
        <v>12.6</v>
      </c>
      <c r="F65" s="17">
        <f>SQRT((4*(HSP!$B$2-$B65)^2+(HSP!$C$2-$C65)^2+(HSP!$D$2-$D65)^2))</f>
        <v>7.4610991147417414</v>
      </c>
      <c r="G65" s="17">
        <f>SQRT((4*(HSP!$B$3-$B65)^2+(HSP!$C$3-$C65)^2+(HSP!$D$3-$D65)^2))</f>
        <v>5.948142567222142</v>
      </c>
      <c r="H65" s="17">
        <f>SQRT((4*(HSP!$B$4-$B65)^2+(HSP!$C$4-$C65)^2+(HSP!$D$4-$D65)^2))</f>
        <v>10.7544409431639</v>
      </c>
      <c r="I65" s="17">
        <f>SQRT((4*(HSP!$B$5-$B65)^2+(HSP!$C$5-$C65)^2+(HSP!$D$5-$D65)^2))</f>
        <v>9.064375323208985</v>
      </c>
      <c r="J65" s="17">
        <f>SQRT((4*(HSP!$B$6-$B65)^2+(HSP!$C$6-$C65)^2+(HSP!$D$6-$D65)^2))</f>
        <v>8.3856424917832033</v>
      </c>
      <c r="K65" s="17">
        <f t="shared" si="0"/>
        <v>0.59215072339220176</v>
      </c>
      <c r="L65" s="17">
        <f t="shared" si="1"/>
        <v>0.47207480692239223</v>
      </c>
      <c r="M65" s="17">
        <f t="shared" si="2"/>
        <v>0.85352705898126191</v>
      </c>
      <c r="N65" s="17">
        <f t="shared" si="3"/>
        <v>0.71939486692134802</v>
      </c>
      <c r="O65" s="17">
        <f t="shared" si="4"/>
        <v>0.66552718188755589</v>
      </c>
      <c r="P65" s="17">
        <f>$F65/HSP!$E$2</f>
        <v>0.45773614200869578</v>
      </c>
      <c r="Q65" s="17">
        <f>$G65/HSP!$E$3</f>
        <v>0.44060315312756609</v>
      </c>
      <c r="R65" s="17">
        <f>$H65/HSP!$E$4</f>
        <v>0.67637993353232073</v>
      </c>
      <c r="S65" s="17">
        <f>$I65/HSP!$E$5</f>
        <v>0.66163323527072881</v>
      </c>
      <c r="T65" s="17">
        <f>$J65/HSP!$E$6</f>
        <v>0.5665974656610272</v>
      </c>
      <c r="U65" s="18" t="s">
        <v>529</v>
      </c>
      <c r="V65" s="12"/>
      <c r="W65" s="12"/>
      <c r="X65" s="12"/>
      <c r="Y65" s="12"/>
      <c r="Z65" s="12"/>
    </row>
    <row r="66" spans="1:26" ht="15" customHeight="1" x14ac:dyDescent="0.3">
      <c r="A66" s="26" t="s">
        <v>530</v>
      </c>
      <c r="B66" s="17">
        <v>9.8000000000000007</v>
      </c>
      <c r="C66" s="17">
        <v>13.6</v>
      </c>
      <c r="D66" s="17">
        <v>11.4</v>
      </c>
      <c r="E66" s="17">
        <v>15.2</v>
      </c>
      <c r="F66" s="17">
        <f>SQRT((4*(HSP!$B$2-$B66)^2+(HSP!$C$2-$C66)^2+(HSP!$D$2-$D66)^2))</f>
        <v>11.025243761477563</v>
      </c>
      <c r="G66" s="17">
        <f>SQRT((4*(HSP!$B$3-$B66)^2+(HSP!$C$3-$C66)^2+(HSP!$D$3-$D66)^2))</f>
        <v>13.617209699494238</v>
      </c>
      <c r="H66" s="17">
        <f>SQRT((4*(HSP!$B$4-$B66)^2+(HSP!$C$4-$C66)^2+(HSP!$D$4-$D66)^2))</f>
        <v>14.699455772238643</v>
      </c>
      <c r="I66" s="17">
        <f>SQRT((4*(HSP!$B$5-$B66)^2+(HSP!$C$5-$C66)^2+(HSP!$D$5-$D66)^2))</f>
        <v>10.985394849526346</v>
      </c>
      <c r="J66" s="17">
        <f>SQRT((4*(HSP!$B$6-$B66)^2+(HSP!$C$6-$C66)^2+(HSP!$D$6-$D66)^2))</f>
        <v>15.102814307273992</v>
      </c>
      <c r="K66" s="17">
        <f t="shared" si="0"/>
        <v>0.72534498430773442</v>
      </c>
      <c r="L66" s="17">
        <f t="shared" si="1"/>
        <v>0.89586905917725246</v>
      </c>
      <c r="M66" s="17">
        <f t="shared" si="2"/>
        <v>0.96706945869991079</v>
      </c>
      <c r="N66" s="17">
        <f t="shared" si="3"/>
        <v>0.72272334536357541</v>
      </c>
      <c r="O66" s="17">
        <f t="shared" si="4"/>
        <v>0.99360620442592051</v>
      </c>
      <c r="P66" s="17">
        <f>$F66/HSP!$E$2</f>
        <v>0.67639532279003456</v>
      </c>
      <c r="Q66" s="17">
        <f>$G66/HSP!$E$3</f>
        <v>1.0086821999625362</v>
      </c>
      <c r="R66" s="17">
        <f>$H66/HSP!$E$4</f>
        <v>0.9244940737257008</v>
      </c>
      <c r="S66" s="17">
        <f>$I66/HSP!$E$5</f>
        <v>0.80185363865155812</v>
      </c>
      <c r="T66" s="17">
        <f>$J66/HSP!$E$6</f>
        <v>1.0204604261671615</v>
      </c>
      <c r="U66" s="18" t="s">
        <v>531</v>
      </c>
      <c r="V66" s="12"/>
      <c r="W66" s="12"/>
      <c r="X66" s="12"/>
      <c r="Y66" s="12"/>
      <c r="Z66" s="12"/>
    </row>
    <row r="67" spans="1:26" ht="15" customHeight="1" x14ac:dyDescent="0.3">
      <c r="A67" s="26" t="s">
        <v>532</v>
      </c>
      <c r="B67" s="17">
        <v>18.2</v>
      </c>
      <c r="C67" s="17">
        <v>12.4</v>
      </c>
      <c r="D67" s="17">
        <v>10.8</v>
      </c>
      <c r="E67" s="17">
        <v>7.4</v>
      </c>
      <c r="F67" s="17">
        <f>SQRT((4*(HSP!$B$2-$B67)^2+(HSP!$C$2-$C67)^2+(HSP!$D$2-$D67)^2))</f>
        <v>8.3783053179028979</v>
      </c>
      <c r="G67" s="17">
        <f>SQRT((4*(HSP!$B$3-$B67)^2+(HSP!$C$3-$C67)^2+(HSP!$D$3-$D67)^2))</f>
        <v>7.5834293034220348</v>
      </c>
      <c r="H67" s="17">
        <f>SQRT((4*(HSP!$B$4-$B67)^2+(HSP!$C$4-$C67)^2+(HSP!$D$4-$D67)^2))</f>
        <v>10.598207395592897</v>
      </c>
      <c r="I67" s="17">
        <f>SQRT((4*(HSP!$B$5-$B67)^2+(HSP!$C$5-$C67)^2+(HSP!$D$5-$D67)^2))</f>
        <v>5.8701703552793072</v>
      </c>
      <c r="J67" s="17">
        <f>SQRT((4*(HSP!$B$6-$B67)^2+(HSP!$C$6-$C67)^2+(HSP!$D$6-$D67)^2))</f>
        <v>10.875798821236076</v>
      </c>
      <c r="K67" s="17">
        <f t="shared" si="0"/>
        <v>1.1322034213382295</v>
      </c>
      <c r="L67" s="17">
        <f t="shared" si="1"/>
        <v>1.0247877437056803</v>
      </c>
      <c r="M67" s="17">
        <f t="shared" si="2"/>
        <v>1.4321901885936348</v>
      </c>
      <c r="N67" s="17">
        <f t="shared" si="3"/>
        <v>0.79326626422693336</v>
      </c>
      <c r="O67" s="17">
        <f t="shared" si="4"/>
        <v>1.4697025434102804</v>
      </c>
      <c r="P67" s="17">
        <f>$F67/HSP!$E$2</f>
        <v>0.51400646122103666</v>
      </c>
      <c r="Q67" s="17">
        <f>$G67/HSP!$E$3</f>
        <v>0.56173550395718774</v>
      </c>
      <c r="R67" s="17">
        <f>$H67/HSP!$E$4</f>
        <v>0.66655392425112558</v>
      </c>
      <c r="S67" s="17">
        <f>$I67/HSP!$E$5</f>
        <v>0.4284795879765918</v>
      </c>
      <c r="T67" s="17">
        <f>$J67/HSP!$E$6</f>
        <v>0.7348512717051402</v>
      </c>
      <c r="U67" s="18" t="s">
        <v>533</v>
      </c>
      <c r="V67" s="12"/>
      <c r="W67" s="12"/>
      <c r="X67" s="12"/>
      <c r="Y67" s="12"/>
      <c r="Z67" s="12"/>
    </row>
    <row r="68" spans="1:26" ht="15" customHeight="1" x14ac:dyDescent="0.3">
      <c r="A68" s="26" t="s">
        <v>534</v>
      </c>
      <c r="B68" s="17">
        <v>16.600000000000001</v>
      </c>
      <c r="C68" s="17">
        <v>12</v>
      </c>
      <c r="D68" s="17">
        <v>6.7</v>
      </c>
      <c r="E68" s="17">
        <v>10.199999999999999</v>
      </c>
      <c r="F68" s="17">
        <f>SQRT((4*(HSP!$B$2-$B68)^2+(HSP!$C$2-$C68)^2+(HSP!$D$2-$D68)^2))</f>
        <v>4.2953463189829089</v>
      </c>
      <c r="G68" s="17">
        <f>SQRT((4*(HSP!$B$3-$B68)^2+(HSP!$C$3-$C68)^2+(HSP!$D$3-$D68)^2))</f>
        <v>3.0923130501293064</v>
      </c>
      <c r="H68" s="17">
        <f>SQRT((4*(HSP!$B$4-$B68)^2+(HSP!$C$4-$C68)^2+(HSP!$D$4-$D68)^2))</f>
        <v>7.8595165245707079</v>
      </c>
      <c r="I68" s="17">
        <f>SQRT((4*(HSP!$B$5-$B68)^2+(HSP!$C$5-$C68)^2+(HSP!$D$5-$D68)^2))</f>
        <v>5.0484552092694672</v>
      </c>
      <c r="J68" s="17">
        <f>SQRT((4*(HSP!$B$6-$B68)^2+(HSP!$C$6-$C68)^2+(HSP!$D$6-$D68)^2))</f>
        <v>6.7987498850891717</v>
      </c>
      <c r="K68" s="17">
        <f t="shared" si="0"/>
        <v>0.4211123842140107</v>
      </c>
      <c r="L68" s="17">
        <f t="shared" si="1"/>
        <v>0.30316794609110848</v>
      </c>
      <c r="M68" s="17">
        <f t="shared" si="2"/>
        <v>0.77054083574222632</v>
      </c>
      <c r="N68" s="17">
        <f t="shared" si="3"/>
        <v>0.49494658914406547</v>
      </c>
      <c r="O68" s="17">
        <f t="shared" si="4"/>
        <v>0.66654410638129136</v>
      </c>
      <c r="P68" s="17">
        <f>$F68/HSP!$E$2</f>
        <v>0.26351817907870606</v>
      </c>
      <c r="Q68" s="17">
        <f>$G68/HSP!$E$3</f>
        <v>0.22906022593550418</v>
      </c>
      <c r="R68" s="17">
        <f>$H68/HSP!$E$4</f>
        <v>0.4943092153818055</v>
      </c>
      <c r="S68" s="17">
        <f>$I68/HSP!$E$5</f>
        <v>0.36850038023864728</v>
      </c>
      <c r="T68" s="17">
        <f>$J68/HSP!$E$6</f>
        <v>0.45937499223575484</v>
      </c>
      <c r="U68" s="18" t="s">
        <v>449</v>
      </c>
      <c r="V68" s="12"/>
      <c r="W68" s="12"/>
      <c r="X68" s="12"/>
      <c r="Y68" s="12"/>
      <c r="Z68" s="12"/>
    </row>
    <row r="69" spans="1:26" ht="15" customHeight="1" x14ac:dyDescent="0.3">
      <c r="A69" s="26" t="s">
        <v>535</v>
      </c>
      <c r="B69" s="17">
        <v>21.73</v>
      </c>
      <c r="C69" s="17">
        <v>0.94</v>
      </c>
      <c r="D69" s="17">
        <v>8.5299999999999994</v>
      </c>
      <c r="E69" s="17">
        <v>15.75</v>
      </c>
      <c r="F69" s="17">
        <f>SQRT((4*(HSP!$B$2-$B69)^2+(HSP!$C$2-$C69)^2+(HSP!$D$2-$D69)^2))</f>
        <v>17.215705039294789</v>
      </c>
      <c r="G69" s="17">
        <f>SQRT((4*(HSP!$B$3-$B69)^2+(HSP!$C$3-$C69)^2+(HSP!$D$3-$D69)^2))</f>
        <v>15.142948854169722</v>
      </c>
      <c r="H69" s="17">
        <f>SQRT((4*(HSP!$B$4-$B69)^2+(HSP!$C$4-$C69)^2+(HSP!$D$4-$D69)^2))</f>
        <v>13.751905322536219</v>
      </c>
      <c r="I69" s="17">
        <f>SQRT((4*(HSP!$B$5-$B69)^2+(HSP!$C$5-$C69)^2+(HSP!$D$5-$D69)^2))</f>
        <v>17.648082048766661</v>
      </c>
      <c r="J69" s="17">
        <f>SQRT((4*(HSP!$B$6-$B69)^2+(HSP!$C$6-$C69)^2+(HSP!$D$6-$D69)^2))</f>
        <v>14.797597778017893</v>
      </c>
      <c r="K69" s="17">
        <f t="shared" si="0"/>
        <v>1.0930606374155423</v>
      </c>
      <c r="L69" s="17">
        <f t="shared" si="1"/>
        <v>0.96145707010601411</v>
      </c>
      <c r="M69" s="17">
        <f t="shared" si="2"/>
        <v>0.87313684587531548</v>
      </c>
      <c r="N69" s="17">
        <f t="shared" si="3"/>
        <v>1.1205131459534388</v>
      </c>
      <c r="O69" s="17">
        <f t="shared" si="4"/>
        <v>0.93953001765192978</v>
      </c>
      <c r="P69" s="17">
        <f>$F69/HSP!$E$2</f>
        <v>1.0561782232696189</v>
      </c>
      <c r="Q69" s="17">
        <f>$G69/HSP!$E$3</f>
        <v>1.1216999151236831</v>
      </c>
      <c r="R69" s="17">
        <f>$H69/HSP!$E$4</f>
        <v>0.86489970581988795</v>
      </c>
      <c r="S69" s="17">
        <f>$I69/HSP!$E$5</f>
        <v>1.288181171442822</v>
      </c>
      <c r="T69" s="17">
        <f>$J69/HSP!$E$6</f>
        <v>0.99983768770391168</v>
      </c>
      <c r="U69" s="18" t="s">
        <v>454</v>
      </c>
      <c r="V69" s="12"/>
      <c r="W69" s="12"/>
      <c r="X69" s="12"/>
      <c r="Y69" s="12"/>
      <c r="Z69" s="12"/>
    </row>
    <row r="70" spans="1:26" ht="15" customHeight="1" x14ac:dyDescent="0.3">
      <c r="A70" s="26" t="s">
        <v>536</v>
      </c>
      <c r="B70" s="17">
        <v>16.100000000000001</v>
      </c>
      <c r="C70" s="17">
        <v>18.5</v>
      </c>
      <c r="D70" s="17">
        <v>14.5</v>
      </c>
      <c r="E70" s="17">
        <v>9.3000000000000007</v>
      </c>
      <c r="F70" s="17">
        <f>SQRT((4*(HSP!$B$2-$B70)^2+(HSP!$C$2-$C70)^2+(HSP!$D$2-$D70)^2))</f>
        <v>11.410170901437017</v>
      </c>
      <c r="G70" s="17">
        <f>SQRT((4*(HSP!$B$3-$B70)^2+(HSP!$C$3-$C70)^2+(HSP!$D$3-$D70)^2))</f>
        <v>12.416134664218168</v>
      </c>
      <c r="H70" s="17">
        <f>SQRT((4*(HSP!$B$4-$B70)^2+(HSP!$C$4-$C70)^2+(HSP!$D$4-$D70)^2))</f>
        <v>15.92928121416657</v>
      </c>
      <c r="I70" s="17">
        <f>SQRT((4*(HSP!$B$5-$B70)^2+(HSP!$C$5-$C70)^2+(HSP!$D$5-$D70)^2))</f>
        <v>6.9934898298346022</v>
      </c>
      <c r="J70" s="17">
        <f>SQRT((4*(HSP!$B$6-$B70)^2+(HSP!$C$6-$C70)^2+(HSP!$D$6-$D70)^2))</f>
        <v>16.182181558739231</v>
      </c>
      <c r="K70" s="17">
        <f t="shared" si="0"/>
        <v>1.2269000969287114</v>
      </c>
      <c r="L70" s="17">
        <f t="shared" si="1"/>
        <v>1.3350682434643191</v>
      </c>
      <c r="M70" s="17">
        <f t="shared" si="2"/>
        <v>1.7128259370071579</v>
      </c>
      <c r="N70" s="17">
        <f t="shared" si="3"/>
        <v>0.75198815374565608</v>
      </c>
      <c r="O70" s="17">
        <f t="shared" si="4"/>
        <v>1.7400195224450785</v>
      </c>
      <c r="P70" s="17">
        <f>$F70/HSP!$E$2</f>
        <v>0.70001048475073713</v>
      </c>
      <c r="Q70" s="17">
        <f>$G70/HSP!$E$3</f>
        <v>0.91971367883097543</v>
      </c>
      <c r="R70" s="17">
        <f>$H70/HSP!$E$4</f>
        <v>1.0018415857966396</v>
      </c>
      <c r="S70" s="17">
        <f>$I70/HSP!$E$5</f>
        <v>0.51047371020690535</v>
      </c>
      <c r="T70" s="17">
        <f>$J70/HSP!$E$6</f>
        <v>1.0933906458607587</v>
      </c>
      <c r="U70" s="18" t="s">
        <v>445</v>
      </c>
      <c r="V70" s="12"/>
      <c r="W70" s="12"/>
      <c r="X70" s="12"/>
      <c r="Y70" s="12"/>
      <c r="Z70" s="12"/>
    </row>
    <row r="71" spans="1:26" ht="15" customHeight="1" x14ac:dyDescent="0.3">
      <c r="A71" s="26" t="s">
        <v>529</v>
      </c>
      <c r="B71" s="17">
        <v>16.899999999999999</v>
      </c>
      <c r="C71" s="17">
        <v>16.3</v>
      </c>
      <c r="D71" s="17">
        <v>3.7</v>
      </c>
      <c r="E71" s="17">
        <v>13.7</v>
      </c>
      <c r="F71" s="17">
        <f>SQRT((4*(HSP!$B$2-$B71)^2+(HSP!$C$2-$C71)^2+(HSP!$D$2-$D71)^2))</f>
        <v>8.1255153682704933</v>
      </c>
      <c r="G71" s="17">
        <f>SQRT((4*(HSP!$B$3-$B71)^2+(HSP!$C$3-$C71)^2+(HSP!$D$3-$D71)^2))</f>
        <v>7.3783738045723863</v>
      </c>
      <c r="H71" s="17">
        <f>SQRT((4*(HSP!$B$4-$B71)^2+(HSP!$C$4-$C71)^2+(HSP!$D$4-$D71)^2))</f>
        <v>12.514231898123031</v>
      </c>
      <c r="I71" s="17">
        <f>SQRT((4*(HSP!$B$5-$B71)^2+(HSP!$C$5-$C71)^2+(HSP!$D$5-$D71)^2))</f>
        <v>8.7015458396769922</v>
      </c>
      <c r="J71" s="17">
        <f>SQRT((4*(HSP!$B$6-$B71)^2+(HSP!$C$6-$C71)^2+(HSP!$D$6-$D71)^2))</f>
        <v>10.395527884624235</v>
      </c>
      <c r="K71" s="17">
        <f t="shared" si="0"/>
        <v>0.59310331155259077</v>
      </c>
      <c r="L71" s="17">
        <f t="shared" si="1"/>
        <v>0.53856743099068516</v>
      </c>
      <c r="M71" s="17">
        <f t="shared" si="2"/>
        <v>0.91344758380460078</v>
      </c>
      <c r="N71" s="17">
        <f t="shared" si="3"/>
        <v>0.63514933136328411</v>
      </c>
      <c r="O71" s="17">
        <f t="shared" si="4"/>
        <v>0.75879765581198799</v>
      </c>
      <c r="P71" s="17">
        <f>$F71/HSP!$E$2</f>
        <v>0.49849787535401796</v>
      </c>
      <c r="Q71" s="17">
        <f>$G71/HSP!$E$3</f>
        <v>0.54654620774610274</v>
      </c>
      <c r="R71" s="17">
        <f>$H71/HSP!$E$4</f>
        <v>0.78705860994484467</v>
      </c>
      <c r="S71" s="17">
        <f>$I71/HSP!$E$5</f>
        <v>0.63514933136328411</v>
      </c>
      <c r="T71" s="17">
        <f>$J71/HSP!$E$6</f>
        <v>0.70240053274488068</v>
      </c>
      <c r="U71" s="18" t="s">
        <v>537</v>
      </c>
      <c r="V71" s="12"/>
      <c r="W71" s="12"/>
      <c r="X71" s="12"/>
      <c r="Y71" s="12"/>
      <c r="Z71" s="12"/>
    </row>
    <row r="72" spans="1:26" ht="15" customHeight="1" x14ac:dyDescent="0.3">
      <c r="A72" s="26" t="s">
        <v>529</v>
      </c>
      <c r="B72" s="17">
        <v>18.3</v>
      </c>
      <c r="C72" s="17">
        <v>16.5</v>
      </c>
      <c r="D72" s="17">
        <v>11.9</v>
      </c>
      <c r="E72" s="17">
        <v>8.8000000000000007</v>
      </c>
      <c r="F72" s="17">
        <f>SQRT((4*(HSP!$B$2-$B72)^2+(HSP!$C$2-$C72)^2+(HSP!$D$2-$D72)^2))</f>
        <v>10.744673098796447</v>
      </c>
      <c r="G72" s="17">
        <f>SQRT((4*(HSP!$B$3-$B72)^2+(HSP!$C$3-$C72)^2+(HSP!$D$3-$D72)^2))</f>
        <v>10.535672735995552</v>
      </c>
      <c r="H72" s="17">
        <f>SQRT((4*(HSP!$B$4-$B72)^2+(HSP!$C$4-$C72)^2+(HSP!$D$4-$D72)^2))</f>
        <v>14.314677781913222</v>
      </c>
      <c r="I72" s="17">
        <f>SQRT((4*(HSP!$B$5-$B72)^2+(HSP!$C$5-$C72)^2+(HSP!$D$5-$D72)^2))</f>
        <v>7.2078360136728987</v>
      </c>
      <c r="J72" s="17">
        <f>SQRT((4*(HSP!$B$6-$B72)^2+(HSP!$C$6-$C72)^2+(HSP!$D$6-$D72)^2))</f>
        <v>14.245385217676636</v>
      </c>
      <c r="K72" s="17">
        <f t="shared" si="0"/>
        <v>1.220985579408687</v>
      </c>
      <c r="L72" s="17">
        <f t="shared" si="1"/>
        <v>1.1972355381813127</v>
      </c>
      <c r="M72" s="17">
        <f t="shared" si="2"/>
        <v>1.6266679297628659</v>
      </c>
      <c r="N72" s="17">
        <f t="shared" si="3"/>
        <v>0.81907227428101115</v>
      </c>
      <c r="O72" s="17">
        <f t="shared" si="4"/>
        <v>1.6187937747359813</v>
      </c>
      <c r="P72" s="17">
        <f>$F72/HSP!$E$2</f>
        <v>0.6591823986991685</v>
      </c>
      <c r="Q72" s="17">
        <f>$G72/HSP!$E$3</f>
        <v>0.78042020266633727</v>
      </c>
      <c r="R72" s="17">
        <f>$H72/HSP!$E$4</f>
        <v>0.90029420012032835</v>
      </c>
      <c r="S72" s="17">
        <f>$I72/HSP!$E$5</f>
        <v>0.52611941705641596</v>
      </c>
      <c r="T72" s="17">
        <f>$J72/HSP!$E$6</f>
        <v>0.96252602822139433</v>
      </c>
      <c r="U72" s="18" t="s">
        <v>538</v>
      </c>
      <c r="V72" s="12"/>
      <c r="W72" s="12"/>
      <c r="X72" s="12"/>
      <c r="Y72" s="12"/>
      <c r="Z72" s="12"/>
    </row>
    <row r="73" spans="1:26" ht="15" customHeight="1" x14ac:dyDescent="0.3">
      <c r="A73" s="26" t="s">
        <v>539</v>
      </c>
      <c r="B73" s="17">
        <v>16.899999999999999</v>
      </c>
      <c r="C73" s="17">
        <v>13.5</v>
      </c>
      <c r="D73" s="17">
        <v>10.3</v>
      </c>
      <c r="E73" s="17">
        <v>9.9</v>
      </c>
      <c r="F73" s="17">
        <f>SQRT((4*(HSP!$B$2-$B73)^2+(HSP!$C$2-$C73)^2+(HSP!$D$2-$D73)^2))</f>
        <v>6.4361479162617119</v>
      </c>
      <c r="G73" s="17">
        <f>SQRT((4*(HSP!$B$3-$B73)^2+(HSP!$C$3-$C73)^2+(HSP!$D$3-$D73)^2))</f>
        <v>6.3774916699279185</v>
      </c>
      <c r="H73" s="17">
        <f>SQRT((4*(HSP!$B$4-$B73)^2+(HSP!$C$4-$C73)^2+(HSP!$D$4-$D73)^2))</f>
        <v>10.100198017860837</v>
      </c>
      <c r="I73" s="17">
        <f>SQRT((4*(HSP!$B$5-$B73)^2+(HSP!$C$5-$C73)^2+(HSP!$D$5-$D73)^2))</f>
        <v>3.4107037396994753</v>
      </c>
      <c r="J73" s="17">
        <f>SQRT((4*(HSP!$B$6-$B73)^2+(HSP!$C$6-$C73)^2+(HSP!$D$6-$D73)^2))</f>
        <v>10.110143421336812</v>
      </c>
      <c r="K73" s="17">
        <f t="shared" si="0"/>
        <v>0.65011595113754661</v>
      </c>
      <c r="L73" s="17">
        <f t="shared" si="1"/>
        <v>0.64419107777049678</v>
      </c>
      <c r="M73" s="17">
        <f t="shared" si="2"/>
        <v>1.0202220220061451</v>
      </c>
      <c r="N73" s="17">
        <f t="shared" si="3"/>
        <v>0.34451552926257323</v>
      </c>
      <c r="O73" s="17">
        <f t="shared" si="4"/>
        <v>1.0212266082158394</v>
      </c>
      <c r="P73" s="17">
        <f>$F73/HSP!$E$2</f>
        <v>0.39485570038415407</v>
      </c>
      <c r="Q73" s="17">
        <f>$G73/HSP!$E$3</f>
        <v>0.47240679036503103</v>
      </c>
      <c r="R73" s="17">
        <f>$H73/HSP!$E$4</f>
        <v>0.63523257973967528</v>
      </c>
      <c r="S73" s="17">
        <f>$I73/HSP!$E$5</f>
        <v>0.24895647735032667</v>
      </c>
      <c r="T73" s="17">
        <f>$J73/HSP!$E$6</f>
        <v>0.68311779873897371</v>
      </c>
      <c r="U73" s="18" t="s">
        <v>538</v>
      </c>
      <c r="V73" s="12"/>
      <c r="W73" s="12"/>
      <c r="X73" s="12"/>
      <c r="Y73" s="12"/>
      <c r="Z73" s="12"/>
    </row>
    <row r="74" spans="1:26" ht="15" customHeight="1" x14ac:dyDescent="0.3">
      <c r="A74" s="26" t="s">
        <v>540</v>
      </c>
      <c r="B74" s="17">
        <v>25.4</v>
      </c>
      <c r="C74" s="17">
        <v>18.600000000000001</v>
      </c>
      <c r="D74" s="17">
        <v>24.8</v>
      </c>
      <c r="E74" s="17">
        <v>21.7</v>
      </c>
      <c r="F74" s="17">
        <f>SQRT((4*(HSP!$B$2-$B74)^2+(HSP!$C$2-$C74)^2+(HSP!$D$2-$D74)^2))</f>
        <v>29.161138523727086</v>
      </c>
      <c r="G74" s="17">
        <f>SQRT((4*(HSP!$B$3-$B74)^2+(HSP!$C$3-$C74)^2+(HSP!$D$3-$D74)^2))</f>
        <v>28.588466205797051</v>
      </c>
      <c r="H74" s="17">
        <f>SQRT((4*(HSP!$B$4-$B74)^2+(HSP!$C$4-$C74)^2+(HSP!$D$4-$D74)^2))</f>
        <v>30.600294116233588</v>
      </c>
      <c r="I74" s="17">
        <f>SQRT((4*(HSP!$B$5-$B74)^2+(HSP!$C$5-$C74)^2+(HSP!$D$5-$D74)^2))</f>
        <v>25.247156275509525</v>
      </c>
      <c r="J74" s="17">
        <f>SQRT((4*(HSP!$B$6-$B74)^2+(HSP!$C$6-$C74)^2+(HSP!$D$6-$D74)^2))</f>
        <v>31.582890937974632</v>
      </c>
      <c r="K74" s="17">
        <f t="shared" si="0"/>
        <v>1.3438312683745202</v>
      </c>
      <c r="L74" s="17">
        <f t="shared" si="1"/>
        <v>1.3174408389768226</v>
      </c>
      <c r="M74" s="17">
        <f t="shared" si="2"/>
        <v>1.4101518025914097</v>
      </c>
      <c r="N74" s="17">
        <f t="shared" si="3"/>
        <v>1.1634634228345404</v>
      </c>
      <c r="O74" s="17">
        <f t="shared" si="4"/>
        <v>1.4554327621186467</v>
      </c>
      <c r="P74" s="17">
        <f>$F74/HSP!$E$2</f>
        <v>1.7890269032961401</v>
      </c>
      <c r="Q74" s="17">
        <f>$G74/HSP!$E$3</f>
        <v>2.1176641633923743</v>
      </c>
      <c r="R74" s="17">
        <f>$H74/HSP!$E$4</f>
        <v>1.9245467997631187</v>
      </c>
      <c r="S74" s="17">
        <f>$I74/HSP!$E$5</f>
        <v>1.8428581222999654</v>
      </c>
      <c r="T74" s="17">
        <f>$J74/HSP!$E$6</f>
        <v>2.1339791174307181</v>
      </c>
      <c r="U74" s="18" t="s">
        <v>462</v>
      </c>
      <c r="V74" s="12"/>
      <c r="W74" s="12"/>
      <c r="X74" s="12"/>
      <c r="Y74" s="12"/>
      <c r="Z74" s="12"/>
    </row>
    <row r="75" spans="1:26" ht="15" customHeight="1" x14ac:dyDescent="0.3">
      <c r="A75" s="26" t="s">
        <v>541</v>
      </c>
      <c r="B75" s="17">
        <v>20</v>
      </c>
      <c r="C75" s="17">
        <v>8.3000000000000007</v>
      </c>
      <c r="D75" s="17">
        <v>6.8</v>
      </c>
      <c r="E75" s="17">
        <v>9.8000000000000007</v>
      </c>
      <c r="F75" s="17">
        <f>SQRT((4*(HSP!$B$2-$B75)^2+(HSP!$C$2-$C75)^2+(HSP!$D$2-$D75)^2))</f>
        <v>11.015352922171854</v>
      </c>
      <c r="G75" s="17">
        <f>SQRT((4*(HSP!$B$3-$B75)^2+(HSP!$C$3-$C75)^2+(HSP!$D$3-$D75)^2))</f>
        <v>8.7814805129886846</v>
      </c>
      <c r="H75" s="17">
        <f>SQRT((4*(HSP!$B$4-$B75)^2+(HSP!$C$4-$C75)^2+(HSP!$D$4-$D75)^2))</f>
        <v>10.316006979447039</v>
      </c>
      <c r="I75" s="17">
        <f>SQRT((4*(HSP!$B$5-$B75)^2+(HSP!$C$5-$C75)^2+(HSP!$D$5-$D75)^2))</f>
        <v>11.228753270065205</v>
      </c>
      <c r="J75" s="17">
        <f>SQRT((4*(HSP!$B$6-$B75)^2+(HSP!$C$6-$C75)^2+(HSP!$D$6-$D75)^2))</f>
        <v>10.084195555422356</v>
      </c>
      <c r="K75" s="17">
        <f t="shared" si="0"/>
        <v>1.1240156043032503</v>
      </c>
      <c r="L75" s="17">
        <f t="shared" si="1"/>
        <v>0.89606944010088607</v>
      </c>
      <c r="M75" s="17">
        <f t="shared" si="2"/>
        <v>1.0526537734129631</v>
      </c>
      <c r="N75" s="17">
        <f t="shared" si="3"/>
        <v>1.1457911500066535</v>
      </c>
      <c r="O75" s="17">
        <f t="shared" si="4"/>
        <v>1.028999546471669</v>
      </c>
      <c r="P75" s="17">
        <f>$F75/HSP!$E$2</f>
        <v>0.67578852283262902</v>
      </c>
      <c r="Q75" s="17">
        <f>$G75/HSP!$E$3</f>
        <v>0.65048003799916188</v>
      </c>
      <c r="R75" s="17">
        <f>$H75/HSP!$E$4</f>
        <v>0.64880547040547409</v>
      </c>
      <c r="S75" s="17">
        <f>$I75/HSP!$E$5</f>
        <v>0.81961702701205885</v>
      </c>
      <c r="T75" s="17">
        <f>$J75/HSP!$E$6</f>
        <v>0.6813645645555646</v>
      </c>
      <c r="U75" s="18" t="s">
        <v>537</v>
      </c>
      <c r="V75" s="12"/>
      <c r="W75" s="12"/>
      <c r="X75" s="12"/>
      <c r="Y75" s="12"/>
      <c r="Z75" s="12"/>
    </row>
    <row r="76" spans="1:26" ht="15" customHeight="1" x14ac:dyDescent="0.3">
      <c r="A76" s="26" t="s">
        <v>542</v>
      </c>
      <c r="B76" s="17">
        <v>16.600000000000001</v>
      </c>
      <c r="C76" s="17">
        <v>5.4</v>
      </c>
      <c r="D76" s="17">
        <v>4</v>
      </c>
      <c r="E76" s="17">
        <v>3.8</v>
      </c>
      <c r="F76" s="17">
        <f>SQRT((4*(HSP!$B$2-$B76)^2+(HSP!$C$2-$C76)^2+(HSP!$D$2-$D76)^2))</f>
        <v>7.1052093565214554</v>
      </c>
      <c r="G76" s="17">
        <f>SQRT((4*(HSP!$B$3-$B76)^2+(HSP!$C$3-$C76)^2+(HSP!$D$3-$D76)^2))</f>
        <v>4.9771879610880694</v>
      </c>
      <c r="H76" s="17">
        <f>SQRT((4*(HSP!$B$4-$B76)^2+(HSP!$C$4-$C76)^2+(HSP!$D$4-$D76)^2))</f>
        <v>4.0666939889792566</v>
      </c>
      <c r="I76" s="17">
        <f>SQRT((4*(HSP!$B$5-$B76)^2+(HSP!$C$5-$C76)^2+(HSP!$D$5-$D76)^2))</f>
        <v>10.425109112138827</v>
      </c>
      <c r="J76" s="17">
        <f>SQRT((4*(HSP!$B$6-$B76)^2+(HSP!$C$6-$C76)^2+(HSP!$D$6-$D76)^2))</f>
        <v>2.8563963310437193</v>
      </c>
      <c r="K76" s="17">
        <f t="shared" si="0"/>
        <v>1.8697919359266988</v>
      </c>
      <c r="L76" s="17">
        <f t="shared" si="1"/>
        <v>1.309786305549492</v>
      </c>
      <c r="M76" s="17">
        <f t="shared" si="2"/>
        <v>1.0701826286787517</v>
      </c>
      <c r="N76" s="17">
        <f t="shared" si="3"/>
        <v>2.743449766352323</v>
      </c>
      <c r="O76" s="17">
        <f t="shared" si="4"/>
        <v>0.75168324501150507</v>
      </c>
      <c r="P76" s="17">
        <f>$F76/HSP!$E$2</f>
        <v>0.4359024145105187</v>
      </c>
      <c r="Q76" s="17">
        <f>$G76/HSP!$E$3</f>
        <v>0.36868058971022738</v>
      </c>
      <c r="R76" s="17">
        <f>$H76/HSP!$E$4</f>
        <v>0.25576691754586517</v>
      </c>
      <c r="S76" s="17">
        <f>$I76/HSP!$E$5</f>
        <v>0.76095686949918451</v>
      </c>
      <c r="T76" s="17">
        <f>$J76/HSP!$E$6</f>
        <v>0.19299975209754858</v>
      </c>
      <c r="U76" s="18" t="s">
        <v>445</v>
      </c>
      <c r="V76" s="12"/>
      <c r="W76" s="12"/>
      <c r="X76" s="12"/>
      <c r="Y76" s="12"/>
      <c r="Z76" s="12"/>
    </row>
    <row r="77" spans="1:26" ht="15" customHeight="1" x14ac:dyDescent="0.3">
      <c r="A77" s="26" t="s">
        <v>543</v>
      </c>
      <c r="B77" s="17">
        <v>16.600000000000001</v>
      </c>
      <c r="C77" s="17">
        <v>6</v>
      </c>
      <c r="D77" s="17">
        <v>4.8</v>
      </c>
      <c r="E77" s="17">
        <v>3.7</v>
      </c>
      <c r="F77" s="17">
        <f>SQRT((4*(HSP!$B$2-$B77)^2+(HSP!$C$2-$C77)^2+(HSP!$D$2-$D77)^2))</f>
        <v>6.3752647003869605</v>
      </c>
      <c r="G77" s="17">
        <f>SQRT((4*(HSP!$B$3-$B77)^2+(HSP!$C$3-$C77)^2+(HSP!$D$3-$D77)^2))</f>
        <v>4.2128849972435773</v>
      </c>
      <c r="H77" s="17">
        <f>SQRT((4*(HSP!$B$4-$B77)^2+(HSP!$C$4-$C77)^2+(HSP!$D$4-$D77)^2))</f>
        <v>3.7312196397424819</v>
      </c>
      <c r="I77" s="17">
        <f>SQRT((4*(HSP!$B$5-$B77)^2+(HSP!$C$5-$C77)^2+(HSP!$D$5-$D77)^2))</f>
        <v>9.476861294753661</v>
      </c>
      <c r="J77" s="17">
        <f>SQRT((4*(HSP!$B$6-$B77)^2+(HSP!$C$6-$C77)^2+(HSP!$D$6-$D77)^2))</f>
        <v>2.8570964281941937</v>
      </c>
      <c r="K77" s="17">
        <f t="shared" si="0"/>
        <v>1.7230445136180974</v>
      </c>
      <c r="L77" s="17">
        <f t="shared" si="1"/>
        <v>1.1386175668225884</v>
      </c>
      <c r="M77" s="17">
        <f t="shared" si="2"/>
        <v>1.008437740470941</v>
      </c>
      <c r="N77" s="17">
        <f t="shared" si="3"/>
        <v>2.5613138634469355</v>
      </c>
      <c r="O77" s="17">
        <f t="shared" si="4"/>
        <v>0.77218822383626851</v>
      </c>
      <c r="P77" s="17">
        <f>$F77/HSP!$E$2</f>
        <v>0.3911205337660712</v>
      </c>
      <c r="Q77" s="17">
        <f>$G77/HSP!$E$3</f>
        <v>0.31206555535137609</v>
      </c>
      <c r="R77" s="17">
        <f>$H77/HSP!$E$4</f>
        <v>0.23466790187059636</v>
      </c>
      <c r="S77" s="17">
        <f>$I77/HSP!$E$5</f>
        <v>0.69174170034698257</v>
      </c>
      <c r="T77" s="17">
        <f>$J77/HSP!$E$6</f>
        <v>0.19304705595906713</v>
      </c>
      <c r="U77" s="18" t="s">
        <v>445</v>
      </c>
      <c r="V77" s="12"/>
      <c r="W77" s="12"/>
      <c r="X77" s="12"/>
      <c r="Y77" s="12"/>
      <c r="Z77" s="12"/>
    </row>
    <row r="78" spans="1:26" ht="15" customHeight="1" x14ac:dyDescent="0.3">
      <c r="A78" s="26" t="s">
        <v>544</v>
      </c>
      <c r="B78" s="17">
        <v>17.899999999999999</v>
      </c>
      <c r="C78" s="17">
        <v>6.3</v>
      </c>
      <c r="D78" s="17">
        <v>5.0999999999999996</v>
      </c>
      <c r="E78" s="17">
        <v>7.6</v>
      </c>
      <c r="F78" s="17">
        <f>SQRT((4*(HSP!$B$2-$B78)^2+(HSP!$C$2-$C78)^2+(HSP!$D$2-$D78)^2))</f>
        <v>8.0249610590955509</v>
      </c>
      <c r="G78" s="17">
        <f>SQRT((4*(HSP!$B$3-$B78)^2+(HSP!$C$3-$C78)^2+(HSP!$D$3-$D78)^2))</f>
        <v>5.5986069695952034</v>
      </c>
      <c r="H78" s="17">
        <f>SQRT((4*(HSP!$B$4-$B78)^2+(HSP!$C$4-$C78)^2+(HSP!$D$4-$D78)^2))</f>
        <v>5.943567951996509</v>
      </c>
      <c r="I78" s="17">
        <f>SQRT((4*(HSP!$B$5-$B78)^2+(HSP!$C$5-$C78)^2+(HSP!$D$5-$D78)^2))</f>
        <v>10.142627864611812</v>
      </c>
      <c r="J78" s="17">
        <f>SQRT((4*(HSP!$B$6-$B78)^2+(HSP!$C$6-$C78)^2+(HSP!$D$6-$D78)^2))</f>
        <v>5.408049555985964</v>
      </c>
      <c r="K78" s="17">
        <f t="shared" si="0"/>
        <v>1.0559159288283619</v>
      </c>
      <c r="L78" s="17">
        <f t="shared" si="1"/>
        <v>0.73665881178884263</v>
      </c>
      <c r="M78" s="17">
        <f t="shared" si="2"/>
        <v>0.78204841473638276</v>
      </c>
      <c r="N78" s="17">
        <f t="shared" si="3"/>
        <v>1.3345562979752386</v>
      </c>
      <c r="O78" s="17">
        <f t="shared" si="4"/>
        <v>0.71158546789289001</v>
      </c>
      <c r="P78" s="17">
        <f>$F78/HSP!$E$2</f>
        <v>0.49232889933101537</v>
      </c>
      <c r="Q78" s="17">
        <f>$G78/HSP!$E$3</f>
        <v>0.41471162737742245</v>
      </c>
      <c r="R78" s="17">
        <f>$H78/HSP!$E$4</f>
        <v>0.37380930515701316</v>
      </c>
      <c r="S78" s="17">
        <f>$I78/HSP!$E$5</f>
        <v>0.74033780033662866</v>
      </c>
      <c r="T78" s="17">
        <f>$J78/HSP!$E$6</f>
        <v>0.36540875378283538</v>
      </c>
      <c r="U78" s="18" t="s">
        <v>445</v>
      </c>
      <c r="V78" s="12"/>
      <c r="W78" s="12"/>
      <c r="X78" s="12"/>
      <c r="Y78" s="12"/>
      <c r="Z78" s="12"/>
    </row>
    <row r="79" spans="1:26" ht="15" customHeight="1" x14ac:dyDescent="0.3">
      <c r="A79" s="26" t="s">
        <v>544</v>
      </c>
      <c r="B79" s="17">
        <v>18</v>
      </c>
      <c r="C79" s="17">
        <v>6</v>
      </c>
      <c r="D79" s="17">
        <v>5</v>
      </c>
      <c r="E79" s="17">
        <v>7</v>
      </c>
      <c r="F79" s="17">
        <f>SQRT((4*(HSP!$B$2-$B79)^2+(HSP!$C$2-$C79)^2+(HSP!$D$2-$D79)^2))</f>
        <v>8.3697072828146162</v>
      </c>
      <c r="G79" s="17">
        <f>SQRT((4*(HSP!$B$3-$B79)^2+(HSP!$C$3-$C79)^2+(HSP!$D$3-$D79)^2))</f>
        <v>5.9508318746205573</v>
      </c>
      <c r="H79" s="17">
        <f>SQRT((4*(HSP!$B$4-$B79)^2+(HSP!$C$4-$C79)^2+(HSP!$D$4-$D79)^2))</f>
        <v>6.084241941277484</v>
      </c>
      <c r="I79" s="17">
        <f>SQRT((4*(HSP!$B$5-$B79)^2+(HSP!$C$5-$C79)^2+(HSP!$D$5-$D79)^2))</f>
        <v>10.494517616355695</v>
      </c>
      <c r="J79" s="17">
        <f>SQRT((4*(HSP!$B$6-$B79)^2+(HSP!$C$6-$C79)^2+(HSP!$D$6-$D79)^2))</f>
        <v>5.5963380884288974</v>
      </c>
      <c r="K79" s="17">
        <f t="shared" si="0"/>
        <v>1.1956724689735165</v>
      </c>
      <c r="L79" s="17">
        <f t="shared" si="1"/>
        <v>0.85011883923150822</v>
      </c>
      <c r="M79" s="17">
        <f t="shared" si="2"/>
        <v>0.86917742018249766</v>
      </c>
      <c r="N79" s="17">
        <f t="shared" si="3"/>
        <v>1.499216802336528</v>
      </c>
      <c r="O79" s="17">
        <f t="shared" si="4"/>
        <v>0.79947686977555676</v>
      </c>
      <c r="P79" s="17">
        <f>$F79/HSP!$E$2</f>
        <v>0.5134789744058047</v>
      </c>
      <c r="Q79" s="17">
        <f>$G79/HSP!$E$3</f>
        <v>0.44080236108300425</v>
      </c>
      <c r="R79" s="17">
        <f>$H79/HSP!$E$4</f>
        <v>0.3826567258665084</v>
      </c>
      <c r="S79" s="17">
        <f>$I79/HSP!$E$5</f>
        <v>0.7660231836755983</v>
      </c>
      <c r="T79" s="17">
        <f>$J79/HSP!$E$6</f>
        <v>0.37813095192087143</v>
      </c>
      <c r="U79" s="18" t="s">
        <v>35</v>
      </c>
      <c r="V79" s="12"/>
      <c r="W79" s="12"/>
      <c r="X79" s="12"/>
      <c r="Y79" s="12"/>
      <c r="Z79" s="12"/>
    </row>
    <row r="80" spans="1:26" ht="15" customHeight="1" x14ac:dyDescent="0.3">
      <c r="A80" s="26" t="s">
        <v>545</v>
      </c>
      <c r="B80" s="17">
        <v>17</v>
      </c>
      <c r="C80" s="17">
        <v>7.6</v>
      </c>
      <c r="D80" s="17">
        <v>7.9</v>
      </c>
      <c r="E80" s="17">
        <v>11.9</v>
      </c>
      <c r="F80" s="17">
        <f>SQRT((4*(HSP!$B$2-$B80)^2+(HSP!$C$2-$C80)^2+(HSP!$D$2-$D80)^2))</f>
        <v>5.6626848755691865</v>
      </c>
      <c r="G80" s="17">
        <f>SQRT((4*(HSP!$B$3-$B80)^2+(HSP!$C$3-$C80)^2+(HSP!$D$3-$D80)^2))</f>
        <v>3.9286638950157098</v>
      </c>
      <c r="H80" s="17">
        <f>SQRT((4*(HSP!$B$4-$B80)^2+(HSP!$C$4-$C80)^2+(HSP!$D$4-$D80)^2))</f>
        <v>4.8095737856903709</v>
      </c>
      <c r="I80" s="17">
        <f>SQRT((4*(HSP!$B$5-$B80)^2+(HSP!$C$5-$C80)^2+(HSP!$D$5-$D80)^2))</f>
        <v>6.8823615133179405</v>
      </c>
      <c r="J80" s="17">
        <f>SQRT((4*(HSP!$B$6-$B80)^2+(HSP!$C$6-$C80)^2+(HSP!$D$6-$D80)^2))</f>
        <v>5.4537143306190883</v>
      </c>
      <c r="K80" s="17">
        <f t="shared" si="0"/>
        <v>0.4758558718965703</v>
      </c>
      <c r="L80" s="17">
        <f t="shared" si="1"/>
        <v>0.33013982311056383</v>
      </c>
      <c r="M80" s="17">
        <f t="shared" si="2"/>
        <v>0.40416586434372864</v>
      </c>
      <c r="N80" s="17">
        <f t="shared" si="3"/>
        <v>0.57834970700150756</v>
      </c>
      <c r="O80" s="17">
        <f t="shared" si="4"/>
        <v>0.45829532190076372</v>
      </c>
      <c r="P80" s="17">
        <f>$F80/HSP!$E$2</f>
        <v>0.3474039800962691</v>
      </c>
      <c r="Q80" s="17">
        <f>$G80/HSP!$E$3</f>
        <v>0.29101214037153406</v>
      </c>
      <c r="R80" s="17">
        <f>$H80/HSP!$E$4</f>
        <v>0.302488917339017</v>
      </c>
      <c r="S80" s="17">
        <f>$I80/HSP!$E$5</f>
        <v>0.50236215425678399</v>
      </c>
      <c r="T80" s="17">
        <f>$J80/HSP!$E$6</f>
        <v>0.36849421152831674</v>
      </c>
      <c r="U80" s="18" t="s">
        <v>462</v>
      </c>
      <c r="V80" s="12"/>
      <c r="W80" s="12"/>
      <c r="X80" s="12"/>
      <c r="Y80" s="12"/>
      <c r="Z80" s="12"/>
    </row>
    <row r="81" spans="1:26" ht="15" customHeight="1" x14ac:dyDescent="0.3">
      <c r="A81" s="26" t="s">
        <v>546</v>
      </c>
      <c r="B81" s="17">
        <v>20.2</v>
      </c>
      <c r="C81" s="17">
        <v>15.6</v>
      </c>
      <c r="D81" s="17">
        <v>18.2</v>
      </c>
      <c r="E81" s="17">
        <v>11.1</v>
      </c>
      <c r="F81" s="17">
        <f>SQRT((4*(HSP!$B$2-$B81)^2+(HSP!$C$2-$C81)^2+(HSP!$D$2-$D81)^2))</f>
        <v>16.665773309390715</v>
      </c>
      <c r="G81" s="17">
        <f>SQRT((4*(HSP!$B$3-$B81)^2+(HSP!$C$3-$C81)^2+(HSP!$D$3-$D81)^2))</f>
        <v>16.428889189473523</v>
      </c>
      <c r="H81" s="17">
        <f>SQRT((4*(HSP!$B$4-$B81)^2+(HSP!$C$4-$C81)^2+(HSP!$D$4-$D81)^2))</f>
        <v>18.719241437622411</v>
      </c>
      <c r="I81" s="17">
        <f>SQRT((4*(HSP!$B$5-$B81)^2+(HSP!$C$5-$C81)^2+(HSP!$D$5-$D81)^2))</f>
        <v>12.584391125517357</v>
      </c>
      <c r="J81" s="17">
        <f>SQRT((4*(HSP!$B$6-$B81)^2+(HSP!$C$6-$C81)^2+(HSP!$D$6-$D81)^2))</f>
        <v>19.678185891997259</v>
      </c>
      <c r="K81" s="17">
        <f t="shared" si="0"/>
        <v>1.5014210188640285</v>
      </c>
      <c r="L81" s="17">
        <f t="shared" si="1"/>
        <v>1.4800801071597769</v>
      </c>
      <c r="M81" s="17">
        <f t="shared" si="2"/>
        <v>1.6864181475335507</v>
      </c>
      <c r="N81" s="17">
        <f t="shared" si="3"/>
        <v>1.133728930226789</v>
      </c>
      <c r="O81" s="17">
        <f t="shared" si="4"/>
        <v>1.7728095398195729</v>
      </c>
      <c r="P81" s="17">
        <f>$F81/HSP!$E$2</f>
        <v>1.0224400803307188</v>
      </c>
      <c r="Q81" s="17">
        <f>$G81/HSP!$E$3</f>
        <v>1.2169547547758166</v>
      </c>
      <c r="R81" s="17">
        <f>$H81/HSP!$E$4</f>
        <v>1.1773107822404032</v>
      </c>
      <c r="S81" s="17">
        <f>$I81/HSP!$E$5</f>
        <v>0.9185686952932377</v>
      </c>
      <c r="T81" s="17">
        <f>$J81/HSP!$E$6</f>
        <v>1.3296071548646795</v>
      </c>
      <c r="U81" s="18" t="s">
        <v>547</v>
      </c>
      <c r="V81" s="12"/>
      <c r="W81" s="12"/>
      <c r="X81" s="12"/>
      <c r="Y81" s="12"/>
      <c r="Z81" s="12"/>
    </row>
    <row r="82" spans="1:26" ht="15" customHeight="1" x14ac:dyDescent="0.3">
      <c r="A82" s="26" t="s">
        <v>548</v>
      </c>
      <c r="B82" s="17">
        <v>18.8</v>
      </c>
      <c r="C82" s="17">
        <v>2.6</v>
      </c>
      <c r="D82" s="17">
        <v>8.4</v>
      </c>
      <c r="E82" s="17">
        <v>10</v>
      </c>
      <c r="F82" s="17">
        <f>SQRT((4*(HSP!$B$2-$B82)^2+(HSP!$C$2-$C82)^2+(HSP!$D$2-$D82)^2))</f>
        <v>11.591203561321837</v>
      </c>
      <c r="G82" s="17">
        <f>SQRT((4*(HSP!$B$3-$B82)^2+(HSP!$C$3-$C82)^2+(HSP!$D$3-$D82)^2))</f>
        <v>9.7564542739665434</v>
      </c>
      <c r="H82" s="17">
        <f>SQRT((4*(HSP!$B$4-$B82)^2+(HSP!$C$4-$C82)^2+(HSP!$D$4-$D82)^2))</f>
        <v>7.719715020646813</v>
      </c>
      <c r="I82" s="17">
        <f>SQRT((4*(HSP!$B$5-$B82)^2+(HSP!$C$5-$C82)^2+(HSP!$D$5-$D82)^2))</f>
        <v>12.5959874563291</v>
      </c>
      <c r="J82" s="17">
        <f>SQRT((4*(HSP!$B$6-$B82)^2+(HSP!$C$6-$C82)^2+(HSP!$D$6-$D82)^2))</f>
        <v>9.2311971054679596</v>
      </c>
      <c r="K82" s="17">
        <f t="shared" si="0"/>
        <v>1.1591203561321837</v>
      </c>
      <c r="L82" s="17">
        <f t="shared" si="1"/>
        <v>0.97564542739665439</v>
      </c>
      <c r="M82" s="17">
        <f t="shared" si="2"/>
        <v>0.77197150206468135</v>
      </c>
      <c r="N82" s="17">
        <f t="shared" si="3"/>
        <v>1.2595987456329101</v>
      </c>
      <c r="O82" s="17">
        <f t="shared" si="4"/>
        <v>0.92311971054679598</v>
      </c>
      <c r="P82" s="17">
        <f>$F82/HSP!$E$2</f>
        <v>0.71111678290318014</v>
      </c>
      <c r="Q82" s="17">
        <f>$G82/HSP!$E$3</f>
        <v>0.72270031659011436</v>
      </c>
      <c r="R82" s="17">
        <f>$H82/HSP!$E$4</f>
        <v>0.48551666796520837</v>
      </c>
      <c r="S82" s="17">
        <f>$I82/HSP!$E$5</f>
        <v>0.91941514279774461</v>
      </c>
      <c r="T82" s="17">
        <f>$J82/HSP!$E$6</f>
        <v>0.62372953415324051</v>
      </c>
      <c r="U82" s="18" t="s">
        <v>547</v>
      </c>
      <c r="V82" s="12"/>
      <c r="W82" s="12"/>
      <c r="X82" s="12"/>
      <c r="Y82" s="12"/>
      <c r="Z82" s="12"/>
    </row>
    <row r="83" spans="1:26" ht="15" customHeight="1" x14ac:dyDescent="0.3">
      <c r="A83" s="26" t="s">
        <v>548</v>
      </c>
      <c r="B83" s="17">
        <v>18.8</v>
      </c>
      <c r="C83" s="17">
        <v>2.6</v>
      </c>
      <c r="D83" s="17">
        <v>8.4</v>
      </c>
      <c r="E83" s="17">
        <v>10</v>
      </c>
      <c r="F83" s="17">
        <f>SQRT((4*(HSP!$B$2-$B83)^2+(HSP!$C$2-$C83)^2+(HSP!$D$2-$D83)^2))</f>
        <v>11.591203561321837</v>
      </c>
      <c r="G83" s="17">
        <f>SQRT((4*(HSP!$B$3-$B83)^2+(HSP!$C$3-$C83)^2+(HSP!$D$3-$D83)^2))</f>
        <v>9.7564542739665434</v>
      </c>
      <c r="H83" s="17">
        <f>SQRT((4*(HSP!$B$4-$B83)^2+(HSP!$C$4-$C83)^2+(HSP!$D$4-$D83)^2))</f>
        <v>7.719715020646813</v>
      </c>
      <c r="I83" s="17">
        <f>SQRT((4*(HSP!$B$5-$B83)^2+(HSP!$C$5-$C83)^2+(HSP!$D$5-$D83)^2))</f>
        <v>12.5959874563291</v>
      </c>
      <c r="J83" s="17">
        <f>SQRT((4*(HSP!$B$6-$B83)^2+(HSP!$C$6-$C83)^2+(HSP!$D$6-$D83)^2))</f>
        <v>9.2311971054679596</v>
      </c>
      <c r="K83" s="17">
        <f t="shared" si="0"/>
        <v>1.1591203561321837</v>
      </c>
      <c r="L83" s="17">
        <f t="shared" si="1"/>
        <v>0.97564542739665439</v>
      </c>
      <c r="M83" s="17">
        <f t="shared" si="2"/>
        <v>0.77197150206468135</v>
      </c>
      <c r="N83" s="17">
        <f t="shared" si="3"/>
        <v>1.2595987456329101</v>
      </c>
      <c r="O83" s="17">
        <f t="shared" si="4"/>
        <v>0.92311971054679598</v>
      </c>
      <c r="P83" s="17">
        <f>$F83/HSP!$E$2</f>
        <v>0.71111678290318014</v>
      </c>
      <c r="Q83" s="17">
        <f>$G83/HSP!$E$3</f>
        <v>0.72270031659011436</v>
      </c>
      <c r="R83" s="17">
        <f>$H83/HSP!$E$4</f>
        <v>0.48551666796520837</v>
      </c>
      <c r="S83" s="17">
        <f>$I83/HSP!$E$5</f>
        <v>0.91941514279774461</v>
      </c>
      <c r="T83" s="17">
        <f>$J83/HSP!$E$6</f>
        <v>0.62372953415324051</v>
      </c>
      <c r="U83" s="18" t="s">
        <v>547</v>
      </c>
      <c r="V83" s="12"/>
      <c r="W83" s="12"/>
      <c r="X83" s="12"/>
      <c r="Y83" s="12"/>
      <c r="Z83" s="12"/>
    </row>
    <row r="84" spans="1:26" ht="15" customHeight="1" x14ac:dyDescent="0.3">
      <c r="A84" s="26" t="s">
        <v>549</v>
      </c>
      <c r="B84" s="17">
        <v>18.7</v>
      </c>
      <c r="C84" s="17">
        <v>7.5</v>
      </c>
      <c r="D84" s="17">
        <v>8.9</v>
      </c>
      <c r="E84" s="17">
        <v>5.8</v>
      </c>
      <c r="F84" s="17">
        <f>SQRT((4*(HSP!$B$2-$B84)^2+(HSP!$C$2-$C84)^2+(HSP!$D$2-$D84)^2))</f>
        <v>8.9268135412363137</v>
      </c>
      <c r="G84" s="17">
        <f>SQRT((4*(HSP!$B$3-$B84)^2+(HSP!$C$3-$C84)^2+(HSP!$D$3-$D84)^2))</f>
        <v>7.0987604551780725</v>
      </c>
      <c r="H84" s="17">
        <f>SQRT((4*(HSP!$B$4-$B84)^2+(HSP!$C$4-$C84)^2+(HSP!$D$4-$D84)^2))</f>
        <v>7.8870780394262603</v>
      </c>
      <c r="I84" s="17">
        <f>SQRT((4*(HSP!$B$5-$B84)^2+(HSP!$C$5-$C84)^2+(HSP!$D$5-$D84)^2))</f>
        <v>8.8560092592544173</v>
      </c>
      <c r="J84" s="17">
        <f>SQRT((4*(HSP!$B$6-$B84)^2+(HSP!$C$6-$C84)^2+(HSP!$D$6-$D84)^2))</f>
        <v>8.5852780968353031</v>
      </c>
      <c r="K84" s="17">
        <f t="shared" si="0"/>
        <v>1.5391057829717782</v>
      </c>
      <c r="L84" s="17">
        <f t="shared" si="1"/>
        <v>1.2239242164100126</v>
      </c>
      <c r="M84" s="17">
        <f t="shared" si="2"/>
        <v>1.3598410412803899</v>
      </c>
      <c r="N84" s="17">
        <f t="shared" si="3"/>
        <v>1.5268981481473134</v>
      </c>
      <c r="O84" s="17">
        <f t="shared" si="4"/>
        <v>1.4802203615233283</v>
      </c>
      <c r="P84" s="17">
        <f>$F84/HSP!$E$2</f>
        <v>0.5476572724684855</v>
      </c>
      <c r="Q84" s="17">
        <f>$G84/HSP!$E$3</f>
        <v>0.52583410779096829</v>
      </c>
      <c r="R84" s="17">
        <f>$H84/HSP!$E$4</f>
        <v>0.49604264398907294</v>
      </c>
      <c r="S84" s="17">
        <f>$I84/HSP!$E$5</f>
        <v>0.64642403352222022</v>
      </c>
      <c r="T84" s="17">
        <f>$J84/HSP!$E$6</f>
        <v>0.5800863578942772</v>
      </c>
      <c r="U84" s="18" t="s">
        <v>547</v>
      </c>
      <c r="V84" s="12"/>
      <c r="W84" s="12"/>
      <c r="X84" s="12"/>
      <c r="Y84" s="12"/>
      <c r="Z84" s="12"/>
    </row>
    <row r="85" spans="1:26" ht="15" customHeight="1" x14ac:dyDescent="0.3">
      <c r="A85" s="26" t="s">
        <v>550</v>
      </c>
      <c r="B85" s="17">
        <v>11.4</v>
      </c>
      <c r="C85" s="17">
        <v>0</v>
      </c>
      <c r="D85" s="17">
        <v>3</v>
      </c>
      <c r="E85" s="17">
        <v>18.100000000000001</v>
      </c>
      <c r="F85" s="17">
        <f>SQRT((4*(HSP!$B$2-$B85)^2+(HSP!$C$2-$C85)^2+(HSP!$D$2-$D85)^2))</f>
        <v>12.892323297218388</v>
      </c>
      <c r="G85" s="17">
        <f>SQRT((4*(HSP!$B$3-$B85)^2+(HSP!$C$3-$C85)^2+(HSP!$D$3-$D85)^2))</f>
        <v>13.224386564222931</v>
      </c>
      <c r="H85" s="17">
        <f>SQRT((4*(HSP!$B$4-$B85)^2+(HSP!$C$4-$C85)^2+(HSP!$D$4-$D85)^2))</f>
        <v>9.6537039523697832</v>
      </c>
      <c r="I85" s="17">
        <f>SQRT((4*(HSP!$B$5-$B85)^2+(HSP!$C$5-$C85)^2+(HSP!$D$5-$D85)^2))</f>
        <v>16.869822168594428</v>
      </c>
      <c r="J85" s="17">
        <f>SQRT((4*(HSP!$B$6-$B85)^2+(HSP!$C$6-$C85)^2+(HSP!$D$6-$D85)^2))</f>
        <v>10.098267178085553</v>
      </c>
      <c r="K85" s="17">
        <f t="shared" si="0"/>
        <v>0.7122830550949385</v>
      </c>
      <c r="L85" s="17">
        <f t="shared" si="1"/>
        <v>0.73062909194601822</v>
      </c>
      <c r="M85" s="17">
        <f t="shared" si="2"/>
        <v>0.53335380952319245</v>
      </c>
      <c r="N85" s="17">
        <f t="shared" si="3"/>
        <v>0.93203437395549316</v>
      </c>
      <c r="O85" s="17">
        <f t="shared" si="4"/>
        <v>0.55791531370638414</v>
      </c>
      <c r="P85" s="17">
        <f>$F85/HSP!$E$2</f>
        <v>0.79094007958395018</v>
      </c>
      <c r="Q85" s="17">
        <f>$G85/HSP!$E$3</f>
        <v>0.97958418994243934</v>
      </c>
      <c r="R85" s="17">
        <f>$H85/HSP!$E$4</f>
        <v>0.60715119197294232</v>
      </c>
      <c r="S85" s="17">
        <f>$I85/HSP!$E$5</f>
        <v>1.2313738809193013</v>
      </c>
      <c r="T85" s="17">
        <f>$J85/HSP!$E$6</f>
        <v>0.68231534987064546</v>
      </c>
      <c r="U85" s="18" t="s">
        <v>457</v>
      </c>
      <c r="V85" s="12"/>
      <c r="W85" s="12"/>
      <c r="X85" s="12"/>
      <c r="Y85" s="12"/>
      <c r="Z85" s="12"/>
    </row>
    <row r="86" spans="1:26" ht="15" customHeight="1" x14ac:dyDescent="0.3">
      <c r="A86" s="26" t="s">
        <v>551</v>
      </c>
      <c r="B86" s="17">
        <v>17.8</v>
      </c>
      <c r="C86" s="17">
        <v>6.4</v>
      </c>
      <c r="D86" s="17">
        <v>4.7</v>
      </c>
      <c r="E86" s="17">
        <v>10.7</v>
      </c>
      <c r="F86" s="17">
        <f>SQRT((4*(HSP!$B$2-$B86)^2+(HSP!$C$2-$C86)^2+(HSP!$D$2-$D86)^2))</f>
        <v>7.9146699236291616</v>
      </c>
      <c r="G86" s="17">
        <f>SQRT((4*(HSP!$B$3-$B86)^2+(HSP!$C$3-$C86)^2+(HSP!$D$3-$D86)^2))</f>
        <v>5.4488897951784656</v>
      </c>
      <c r="H86" s="17">
        <f>SQRT((4*(HSP!$B$4-$B86)^2+(HSP!$C$4-$C86)^2+(HSP!$D$4-$D86)^2))</f>
        <v>5.9191215564473767</v>
      </c>
      <c r="I86" s="17">
        <f>SQRT((4*(HSP!$B$5-$B86)^2+(HSP!$C$5-$C86)^2+(HSP!$D$5-$D86)^2))</f>
        <v>10.215620392320773</v>
      </c>
      <c r="J86" s="17">
        <f>SQRT((4*(HSP!$B$6-$B86)^2+(HSP!$C$6-$C86)^2+(HSP!$D$6-$D86)^2))</f>
        <v>5.1309843110264941</v>
      </c>
      <c r="K86" s="17">
        <f t="shared" si="0"/>
        <v>0.73968877790926746</v>
      </c>
      <c r="L86" s="17">
        <f t="shared" si="1"/>
        <v>0.50924203693256687</v>
      </c>
      <c r="M86" s="17">
        <f t="shared" si="2"/>
        <v>0.55318893050910067</v>
      </c>
      <c r="N86" s="17">
        <f t="shared" si="3"/>
        <v>0.95473087778698817</v>
      </c>
      <c r="O86" s="17">
        <f t="shared" si="4"/>
        <v>0.4795312440211677</v>
      </c>
      <c r="P86" s="17">
        <f>$F86/HSP!$E$2</f>
        <v>0.48556257200178904</v>
      </c>
      <c r="Q86" s="17">
        <f>$G86/HSP!$E$3</f>
        <v>0.40362146630951595</v>
      </c>
      <c r="R86" s="17">
        <f>$H86/HSP!$E$4</f>
        <v>0.37227179600297966</v>
      </c>
      <c r="S86" s="17">
        <f>$I86/HSP!$E$5</f>
        <v>0.74566572206720971</v>
      </c>
      <c r="T86" s="17">
        <f>$J86/HSP!$E$6</f>
        <v>0.34668812912341174</v>
      </c>
      <c r="U86" s="18" t="s">
        <v>464</v>
      </c>
      <c r="V86" s="12"/>
      <c r="W86" s="12"/>
      <c r="X86" s="12"/>
      <c r="Y86" s="12"/>
      <c r="Z86" s="12"/>
    </row>
    <row r="87" spans="1:26" ht="15" customHeight="1" x14ac:dyDescent="0.3">
      <c r="A87" s="26" t="s">
        <v>552</v>
      </c>
      <c r="B87" s="17">
        <v>21.2</v>
      </c>
      <c r="C87" s="17">
        <v>1.4</v>
      </c>
      <c r="D87" s="17">
        <v>10.7</v>
      </c>
      <c r="E87" s="17">
        <v>12.3</v>
      </c>
      <c r="F87" s="17">
        <f>SQRT((4*(HSP!$B$2-$B87)^2+(HSP!$C$2-$C87)^2+(HSP!$D$2-$D87)^2))</f>
        <v>16.436605488968819</v>
      </c>
      <c r="G87" s="17">
        <f>SQRT((4*(HSP!$B$3-$B87)^2+(HSP!$C$3-$C87)^2+(HSP!$D$3-$D87)^2))</f>
        <v>14.611036924188507</v>
      </c>
      <c r="H87" s="17">
        <f>SQRT((4*(HSP!$B$4-$B87)^2+(HSP!$C$4-$C87)^2+(HSP!$D$4-$D87)^2))</f>
        <v>13.092440566983681</v>
      </c>
      <c r="I87" s="17">
        <f>SQRT((4*(HSP!$B$5-$B87)^2+(HSP!$C$5-$C87)^2+(HSP!$D$5-$D87)^2))</f>
        <v>16.396795418617629</v>
      </c>
      <c r="J87" s="17">
        <f>SQRT((4*(HSP!$B$6-$B87)^2+(HSP!$C$6-$C87)^2+(HSP!$D$6-$D87)^2))</f>
        <v>14.590510614779729</v>
      </c>
      <c r="K87" s="17">
        <f t="shared" si="0"/>
        <v>1.3363093893470583</v>
      </c>
      <c r="L87" s="17">
        <f t="shared" si="1"/>
        <v>1.1878891808283338</v>
      </c>
      <c r="M87" s="17">
        <f t="shared" si="2"/>
        <v>1.0644260623563968</v>
      </c>
      <c r="N87" s="17">
        <f t="shared" si="3"/>
        <v>1.3330727982615957</v>
      </c>
      <c r="O87" s="17">
        <f t="shared" si="4"/>
        <v>1.1862203751853437</v>
      </c>
      <c r="P87" s="17">
        <f>$F87/HSP!$E$2</f>
        <v>1.0083807048447129</v>
      </c>
      <c r="Q87" s="17">
        <f>$G87/HSP!$E$3</f>
        <v>1.082299031421371</v>
      </c>
      <c r="R87" s="17">
        <f>$H87/HSP!$E$4</f>
        <v>0.82342393503042022</v>
      </c>
      <c r="S87" s="17">
        <f>$I87/HSP!$E$5</f>
        <v>1.1968463809209948</v>
      </c>
      <c r="T87" s="17">
        <f>$J87/HSP!$E$6</f>
        <v>0.98584531180944113</v>
      </c>
      <c r="U87" s="18" t="s">
        <v>500</v>
      </c>
      <c r="V87" s="12"/>
      <c r="W87" s="12"/>
      <c r="X87" s="12"/>
      <c r="Y87" s="12"/>
      <c r="Z87" s="12"/>
    </row>
    <row r="88" spans="1:26" ht="15" customHeight="1" x14ac:dyDescent="0.3">
      <c r="A88" s="26" t="s">
        <v>553</v>
      </c>
      <c r="B88" s="17">
        <v>16.3</v>
      </c>
      <c r="C88" s="17">
        <v>10.6</v>
      </c>
      <c r="D88" s="17">
        <v>7.4</v>
      </c>
      <c r="E88" s="17">
        <v>12.9</v>
      </c>
      <c r="F88" s="17">
        <f>SQRT((4*(HSP!$B$2-$B88)^2+(HSP!$C$2-$C88)^2+(HSP!$D$2-$D88)^2))</f>
        <v>3.4287023784516517</v>
      </c>
      <c r="G88" s="17">
        <f>SQRT((4*(HSP!$B$3-$B88)^2+(HSP!$C$3-$C88)^2+(HSP!$D$3-$D88)^2))</f>
        <v>2.2064451046876297</v>
      </c>
      <c r="H88" s="17">
        <f>SQRT((4*(HSP!$B$4-$B88)^2+(HSP!$C$4-$C88)^2+(HSP!$D$4-$D88)^2))</f>
        <v>6.3650608795203212</v>
      </c>
      <c r="I88" s="17">
        <f>SQRT((4*(HSP!$B$5-$B88)^2+(HSP!$C$5-$C88)^2+(HSP!$D$5-$D88)^2))</f>
        <v>4.6042263193722359</v>
      </c>
      <c r="J88" s="17">
        <f>SQRT((4*(HSP!$B$6-$B88)^2+(HSP!$C$6-$C88)^2+(HSP!$D$6-$D88)^2))</f>
        <v>5.8510682785282908</v>
      </c>
      <c r="K88" s="17">
        <f t="shared" si="0"/>
        <v>0.26579088205051565</v>
      </c>
      <c r="L88" s="17">
        <f t="shared" si="1"/>
        <v>0.17104225617733562</v>
      </c>
      <c r="M88" s="17">
        <f t="shared" si="2"/>
        <v>0.49341557205583886</v>
      </c>
      <c r="N88" s="17">
        <f t="shared" si="3"/>
        <v>0.35691676894358415</v>
      </c>
      <c r="O88" s="17">
        <f t="shared" si="4"/>
        <v>0.45357118438203803</v>
      </c>
      <c r="P88" s="17">
        <f>$F88/HSP!$E$2</f>
        <v>0.21034983916881297</v>
      </c>
      <c r="Q88" s="17">
        <f>$G88/HSP!$E$3</f>
        <v>0.16344037812500961</v>
      </c>
      <c r="R88" s="17">
        <f>$H88/HSP!$E$4</f>
        <v>0.40031829430945415</v>
      </c>
      <c r="S88" s="17">
        <f>$I88/HSP!$E$5</f>
        <v>0.33607491382279098</v>
      </c>
      <c r="T88" s="17">
        <f>$J88/HSP!$E$6</f>
        <v>0.39534245125191153</v>
      </c>
      <c r="U88" s="18" t="s">
        <v>500</v>
      </c>
      <c r="V88" s="12"/>
      <c r="W88" s="12"/>
      <c r="X88" s="12"/>
      <c r="Y88" s="12"/>
      <c r="Z88" s="12"/>
    </row>
    <row r="89" spans="1:26" ht="15" customHeight="1" x14ac:dyDescent="0.3">
      <c r="A89" s="26" t="s">
        <v>554</v>
      </c>
      <c r="B89" s="17">
        <v>16.3</v>
      </c>
      <c r="C89" s="17">
        <v>10.6</v>
      </c>
      <c r="D89" s="17">
        <v>7.4</v>
      </c>
      <c r="E89" s="17">
        <v>12.9</v>
      </c>
      <c r="F89" s="17">
        <f>SQRT((4*(HSP!$B$2-$B89)^2+(HSP!$C$2-$C89)^2+(HSP!$D$2-$D89)^2))</f>
        <v>3.4287023784516517</v>
      </c>
      <c r="G89" s="17">
        <f>SQRT((4*(HSP!$B$3-$B89)^2+(HSP!$C$3-$C89)^2+(HSP!$D$3-$D89)^2))</f>
        <v>2.2064451046876297</v>
      </c>
      <c r="H89" s="17">
        <f>SQRT((4*(HSP!$B$4-$B89)^2+(HSP!$C$4-$C89)^2+(HSP!$D$4-$D89)^2))</f>
        <v>6.3650608795203212</v>
      </c>
      <c r="I89" s="17">
        <f>SQRT((4*(HSP!$B$5-$B89)^2+(HSP!$C$5-$C89)^2+(HSP!$D$5-$D89)^2))</f>
        <v>4.6042263193722359</v>
      </c>
      <c r="J89" s="17">
        <f>SQRT((4*(HSP!$B$6-$B89)^2+(HSP!$C$6-$C89)^2+(HSP!$D$6-$D89)^2))</f>
        <v>5.8510682785282908</v>
      </c>
      <c r="K89" s="17">
        <f t="shared" si="0"/>
        <v>0.26579088205051565</v>
      </c>
      <c r="L89" s="17">
        <f t="shared" si="1"/>
        <v>0.17104225617733562</v>
      </c>
      <c r="M89" s="17">
        <f t="shared" si="2"/>
        <v>0.49341557205583886</v>
      </c>
      <c r="N89" s="17">
        <f t="shared" si="3"/>
        <v>0.35691676894358415</v>
      </c>
      <c r="O89" s="17">
        <f t="shared" si="4"/>
        <v>0.45357118438203803</v>
      </c>
      <c r="P89" s="17">
        <f>$F89/HSP!$E$2</f>
        <v>0.21034983916881297</v>
      </c>
      <c r="Q89" s="17">
        <f>$G89/HSP!$E$3</f>
        <v>0.16344037812500961</v>
      </c>
      <c r="R89" s="17">
        <f>$H89/HSP!$E$4</f>
        <v>0.40031829430945415</v>
      </c>
      <c r="S89" s="17">
        <f>$I89/HSP!$E$5</f>
        <v>0.33607491382279098</v>
      </c>
      <c r="T89" s="17">
        <f>$J89/HSP!$E$6</f>
        <v>0.39534245125191153</v>
      </c>
      <c r="U89" s="18" t="s">
        <v>459</v>
      </c>
      <c r="V89" s="12"/>
      <c r="W89" s="12"/>
      <c r="X89" s="12"/>
      <c r="Y89" s="12"/>
      <c r="Z89" s="12"/>
    </row>
    <row r="90" spans="1:26" ht="15" customHeight="1" x14ac:dyDescent="0.3">
      <c r="A90" s="26" t="s">
        <v>555</v>
      </c>
      <c r="B90" s="17">
        <v>19.2</v>
      </c>
      <c r="C90" s="17">
        <v>9.4</v>
      </c>
      <c r="D90" s="17">
        <v>5.6</v>
      </c>
      <c r="E90" s="17">
        <v>8.9</v>
      </c>
      <c r="F90" s="17">
        <f>SQRT((4*(HSP!$B$2-$B90)^2+(HSP!$C$2-$C90)^2+(HSP!$D$2-$D90)^2))</f>
        <v>9.3631191384068142</v>
      </c>
      <c r="G90" s="17">
        <f>SQRT((4*(HSP!$B$3-$B90)^2+(HSP!$C$3-$C90)^2+(HSP!$D$3-$D90)^2))</f>
        <v>7.0282572519793263</v>
      </c>
      <c r="H90" s="17">
        <f>SQRT((4*(HSP!$B$4-$B90)^2+(HSP!$C$4-$C90)^2+(HSP!$D$4-$D90)^2))</f>
        <v>9.4171120838609532</v>
      </c>
      <c r="I90" s="17">
        <f>SQRT((4*(HSP!$B$5-$B90)^2+(HSP!$C$5-$C90)^2+(HSP!$D$5-$D90)^2))</f>
        <v>10.060362816519094</v>
      </c>
      <c r="J90" s="17">
        <f>SQRT((4*(HSP!$B$6-$B90)^2+(HSP!$C$6-$C90)^2+(HSP!$D$6-$D90)^2))</f>
        <v>8.582715188097529</v>
      </c>
      <c r="K90" s="17">
        <f t="shared" si="0"/>
        <v>1.0520358582479565</v>
      </c>
      <c r="L90" s="17">
        <f t="shared" si="1"/>
        <v>0.78969182606509281</v>
      </c>
      <c r="M90" s="17">
        <f t="shared" si="2"/>
        <v>1.0581024813326914</v>
      </c>
      <c r="N90" s="17">
        <f t="shared" si="3"/>
        <v>1.1303778445527071</v>
      </c>
      <c r="O90" s="17">
        <f t="shared" si="4"/>
        <v>0.96435002113455381</v>
      </c>
      <c r="P90" s="17">
        <f>$F90/HSP!$E$2</f>
        <v>0.57442448701882298</v>
      </c>
      <c r="Q90" s="17">
        <f>$G90/HSP!$E$3</f>
        <v>0.52061164829476492</v>
      </c>
      <c r="R90" s="17">
        <f>$H90/HSP!$E$4</f>
        <v>0.5922712002428272</v>
      </c>
      <c r="S90" s="17">
        <f>$I90/HSP!$E$5</f>
        <v>0.73433305230066381</v>
      </c>
      <c r="T90" s="17">
        <f>$J90/HSP!$E$6</f>
        <v>0.57991318838496819</v>
      </c>
      <c r="U90" s="18" t="s">
        <v>556</v>
      </c>
      <c r="V90" s="12"/>
      <c r="W90" s="12"/>
      <c r="X90" s="12"/>
      <c r="Y90" s="12"/>
      <c r="Z90" s="12"/>
    </row>
    <row r="91" spans="1:26" ht="15" customHeight="1" x14ac:dyDescent="0.3">
      <c r="A91" s="26" t="s">
        <v>557</v>
      </c>
      <c r="B91" s="17">
        <v>18</v>
      </c>
      <c r="C91" s="17">
        <v>3</v>
      </c>
      <c r="D91" s="17">
        <v>2</v>
      </c>
      <c r="E91" s="17">
        <v>8</v>
      </c>
      <c r="F91" s="17">
        <f>SQRT((4*(HSP!$B$2-$B91)^2+(HSP!$C$2-$C91)^2+(HSP!$D$2-$D91)^2))</f>
        <v>11.255754084022982</v>
      </c>
      <c r="G91" s="17">
        <f>SQRT((4*(HSP!$B$3-$B91)^2+(HSP!$C$3-$C91)^2+(HSP!$D$3-$D91)^2))</f>
        <v>8.9606026583037384</v>
      </c>
      <c r="H91" s="17">
        <f>SQRT((4*(HSP!$B$4-$B91)^2+(HSP!$C$4-$C91)^2+(HSP!$D$4-$D91)^2))</f>
        <v>7.6090735309891704</v>
      </c>
      <c r="I91" s="17">
        <f>SQRT((4*(HSP!$B$5-$B91)^2+(HSP!$C$5-$C91)^2+(HSP!$D$5-$D91)^2))</f>
        <v>14.284078549209957</v>
      </c>
      <c r="J91" s="17">
        <f>SQRT((4*(HSP!$B$6-$B91)^2+(HSP!$C$6-$C91)^2+(HSP!$D$6-$D91)^2))</f>
        <v>6.7081293964860285</v>
      </c>
      <c r="K91" s="17">
        <f t="shared" si="0"/>
        <v>1.4069692605028727</v>
      </c>
      <c r="L91" s="17">
        <f t="shared" si="1"/>
        <v>1.1200753322879673</v>
      </c>
      <c r="M91" s="17">
        <f t="shared" si="2"/>
        <v>0.9511341913736463</v>
      </c>
      <c r="N91" s="17">
        <f t="shared" si="3"/>
        <v>1.7855098186512446</v>
      </c>
      <c r="O91" s="17">
        <f t="shared" si="4"/>
        <v>0.83851617456075356</v>
      </c>
      <c r="P91" s="17">
        <f>$F91/HSP!$E$2</f>
        <v>0.69053706036950802</v>
      </c>
      <c r="Q91" s="17">
        <f>$G91/HSP!$E$3</f>
        <v>0.66374834505953617</v>
      </c>
      <c r="R91" s="17">
        <f>$H91/HSP!$E$4</f>
        <v>0.47855808371001068</v>
      </c>
      <c r="S91" s="17">
        <f>$I91/HSP!$E$5</f>
        <v>1.0426334707452523</v>
      </c>
      <c r="T91" s="17">
        <f>$J91/HSP!$E$6</f>
        <v>0.45325198624905594</v>
      </c>
      <c r="U91" s="18" t="s">
        <v>462</v>
      </c>
      <c r="V91" s="12"/>
      <c r="W91" s="12"/>
      <c r="X91" s="12"/>
      <c r="Y91" s="12"/>
      <c r="Z91" s="12"/>
    </row>
    <row r="92" spans="1:26" ht="15" customHeight="1" x14ac:dyDescent="0.3">
      <c r="A92" s="26" t="s">
        <v>558</v>
      </c>
      <c r="B92" s="17">
        <v>19.350000000000001</v>
      </c>
      <c r="C92" s="17">
        <v>12.83</v>
      </c>
      <c r="D92" s="17">
        <v>12.87</v>
      </c>
      <c r="E92" s="17">
        <v>9.82</v>
      </c>
      <c r="F92" s="17">
        <f>SQRT((4*(HSP!$B$2-$B92)^2+(HSP!$C$2-$C92)^2+(HSP!$D$2-$D92)^2))</f>
        <v>11.426241726832146</v>
      </c>
      <c r="G92" s="17">
        <f>SQRT((4*(HSP!$B$3-$B92)^2+(HSP!$C$3-$C92)^2+(HSP!$D$3-$D92)^2))</f>
        <v>10.645834866275168</v>
      </c>
      <c r="H92" s="17">
        <f>SQRT((4*(HSP!$B$4-$B92)^2+(HSP!$C$4-$C92)^2+(HSP!$D$4-$D92)^2))</f>
        <v>13.158913328994915</v>
      </c>
      <c r="I92" s="17">
        <f>SQRT((4*(HSP!$B$5-$B92)^2+(HSP!$C$5-$C92)^2+(HSP!$D$5-$D92)^2))</f>
        <v>8.3881642806993266</v>
      </c>
      <c r="J92" s="17">
        <f>SQRT((4*(HSP!$B$6-$B92)^2+(HSP!$C$6-$C92)^2+(HSP!$D$6-$D92)^2))</f>
        <v>13.744307912732458</v>
      </c>
      <c r="K92" s="17">
        <f t="shared" si="0"/>
        <v>1.1635684039543936</v>
      </c>
      <c r="L92" s="17">
        <f t="shared" si="1"/>
        <v>1.0840972368915649</v>
      </c>
      <c r="M92" s="17">
        <f t="shared" si="2"/>
        <v>1.3400115406308466</v>
      </c>
      <c r="N92" s="17">
        <f t="shared" si="3"/>
        <v>0.85419188194494156</v>
      </c>
      <c r="O92" s="17">
        <f t="shared" si="4"/>
        <v>1.399624023699843</v>
      </c>
      <c r="P92" s="17">
        <f>$F92/HSP!$E$2</f>
        <v>0.70099642495902736</v>
      </c>
      <c r="Q92" s="17">
        <f>$G92/HSP!$E$3</f>
        <v>0.78858036046482727</v>
      </c>
      <c r="R92" s="17">
        <f>$H92/HSP!$E$4</f>
        <v>0.82760461188647261</v>
      </c>
      <c r="S92" s="17">
        <f>$I92/HSP!$E$5</f>
        <v>0.61227476501454947</v>
      </c>
      <c r="T92" s="17">
        <f>$J92/HSP!$E$6</f>
        <v>0.9286694535630039</v>
      </c>
      <c r="U92" s="18" t="s">
        <v>457</v>
      </c>
      <c r="V92" s="12"/>
      <c r="W92" s="12"/>
      <c r="X92" s="12"/>
      <c r="Y92" s="12"/>
      <c r="Z92" s="12"/>
    </row>
    <row r="93" spans="1:26" ht="15" customHeight="1" x14ac:dyDescent="0.3">
      <c r="A93" s="26" t="s">
        <v>559</v>
      </c>
      <c r="B93" s="17">
        <v>25.5</v>
      </c>
      <c r="C93" s="17">
        <v>15.2</v>
      </c>
      <c r="D93" s="17">
        <v>9.5</v>
      </c>
      <c r="E93" s="17">
        <v>22.2</v>
      </c>
      <c r="F93" s="17">
        <f>SQRT((4*(HSP!$B$2-$B93)^2+(HSP!$C$2-$C93)^2+(HSP!$D$2-$D93)^2))</f>
        <v>22.451236046151223</v>
      </c>
      <c r="G93" s="17">
        <f>SQRT((4*(HSP!$B$3-$B93)^2+(HSP!$C$3-$C93)^2+(HSP!$D$3-$D93)^2))</f>
        <v>20.716621346155843</v>
      </c>
      <c r="H93" s="17">
        <f>SQRT((4*(HSP!$B$4-$B93)^2+(HSP!$C$4-$C93)^2+(HSP!$D$4-$D93)^2))</f>
        <v>23.340865450963893</v>
      </c>
      <c r="I93" s="17">
        <f>SQRT((4*(HSP!$B$5-$B93)^2+(HSP!$C$5-$C93)^2+(HSP!$D$5-$D93)^2))</f>
        <v>20.659305409427493</v>
      </c>
      <c r="J93" s="17">
        <f>SQRT((4*(HSP!$B$6-$B93)^2+(HSP!$C$6-$C93)^2+(HSP!$D$6-$D93)^2))</f>
        <v>22.966214315816178</v>
      </c>
      <c r="K93" s="17">
        <f t="shared" si="0"/>
        <v>1.011316939015821</v>
      </c>
      <c r="L93" s="17">
        <f t="shared" si="1"/>
        <v>0.93318114171873168</v>
      </c>
      <c r="M93" s="17">
        <f t="shared" si="2"/>
        <v>1.0513903356290042</v>
      </c>
      <c r="N93" s="17">
        <f t="shared" si="3"/>
        <v>0.93059934276700418</v>
      </c>
      <c r="O93" s="17">
        <f t="shared" si="4"/>
        <v>1.0345141583700981</v>
      </c>
      <c r="P93" s="17">
        <f>$F93/HSP!$E$2</f>
        <v>1.3773764445491548</v>
      </c>
      <c r="Q93" s="17">
        <f>$G93/HSP!$E$3</f>
        <v>1.534564544159692</v>
      </c>
      <c r="R93" s="17">
        <f>$H93/HSP!$E$4</f>
        <v>1.4679789591801191</v>
      </c>
      <c r="S93" s="17">
        <f>$I93/HSP!$E$5</f>
        <v>1.5079784970385033</v>
      </c>
      <c r="T93" s="17">
        <f>$J93/HSP!$E$6</f>
        <v>1.5517712375551471</v>
      </c>
      <c r="U93" s="18" t="s">
        <v>457</v>
      </c>
      <c r="V93" s="12"/>
      <c r="W93" s="12"/>
      <c r="X93" s="12"/>
      <c r="Y93" s="12"/>
      <c r="Z93" s="12"/>
    </row>
    <row r="94" spans="1:26" ht="15" customHeight="1" x14ac:dyDescent="0.3">
      <c r="A94" s="26" t="s">
        <v>560</v>
      </c>
      <c r="B94" s="17">
        <v>18</v>
      </c>
      <c r="C94" s="17">
        <v>1</v>
      </c>
      <c r="D94" s="17">
        <v>3</v>
      </c>
      <c r="E94" s="17">
        <v>4</v>
      </c>
      <c r="F94" s="17">
        <f>SQRT((4*(HSP!$B$2-$B94)^2+(HSP!$C$2-$C94)^2+(HSP!$D$2-$D94)^2))</f>
        <v>12.311458077742053</v>
      </c>
      <c r="G94" s="17">
        <f>SQRT((4*(HSP!$B$3-$B94)^2+(HSP!$C$3-$C94)^2+(HSP!$D$3-$D94)^2))</f>
        <v>10.212365054187988</v>
      </c>
      <c r="H94" s="17">
        <f>SQRT((4*(HSP!$B$4-$B94)^2+(HSP!$C$4-$C94)^2+(HSP!$D$4-$D94)^2))</f>
        <v>7.74712850028964</v>
      </c>
      <c r="I94" s="17">
        <f>SQRT((4*(HSP!$B$5-$B94)^2+(HSP!$C$5-$C94)^2+(HSP!$D$5-$D94)^2))</f>
        <v>15.167560779505715</v>
      </c>
      <c r="J94" s="17">
        <f>SQRT((4*(HSP!$B$6-$B94)^2+(HSP!$C$6-$C94)^2+(HSP!$D$6-$D94)^2))</f>
        <v>7.7471930400629621</v>
      </c>
      <c r="K94" s="17">
        <f t="shared" si="0"/>
        <v>3.0778645194355132</v>
      </c>
      <c r="L94" s="17">
        <f t="shared" si="1"/>
        <v>2.5530912635469969</v>
      </c>
      <c r="M94" s="17">
        <f t="shared" si="2"/>
        <v>1.93678212507241</v>
      </c>
      <c r="N94" s="17">
        <f t="shared" si="3"/>
        <v>3.7918901948764288</v>
      </c>
      <c r="O94" s="17">
        <f t="shared" si="4"/>
        <v>1.9367982600157405</v>
      </c>
      <c r="P94" s="17">
        <f>$F94/HSP!$E$2</f>
        <v>0.75530417654859217</v>
      </c>
      <c r="Q94" s="17">
        <f>$G94/HSP!$E$3</f>
        <v>0.75647148549540644</v>
      </c>
      <c r="R94" s="17">
        <f>$H94/HSP!$E$4</f>
        <v>0.48724078618173833</v>
      </c>
      <c r="S94" s="17">
        <f>$I94/HSP!$E$5</f>
        <v>1.107121224781439</v>
      </c>
      <c r="T94" s="17">
        <f>$J94/HSP!$E$6</f>
        <v>0.52345898919344336</v>
      </c>
      <c r="U94" s="18" t="s">
        <v>457</v>
      </c>
      <c r="V94" s="12"/>
      <c r="W94" s="12"/>
      <c r="X94" s="12"/>
      <c r="Y94" s="12"/>
      <c r="Z94" s="12"/>
    </row>
    <row r="95" spans="1:26" ht="15" customHeight="1" x14ac:dyDescent="0.3">
      <c r="A95" s="26" t="s">
        <v>561</v>
      </c>
      <c r="B95" s="17">
        <v>19</v>
      </c>
      <c r="C95" s="17">
        <v>2</v>
      </c>
      <c r="D95" s="17">
        <v>9</v>
      </c>
      <c r="E95" s="17">
        <v>9</v>
      </c>
      <c r="F95" s="17">
        <f>SQRT((4*(HSP!$B$2-$B95)^2+(HSP!$C$2-$C95)^2+(HSP!$D$2-$D95)^2))</f>
        <v>12.373035197557632</v>
      </c>
      <c r="G95" s="17">
        <f>SQRT((4*(HSP!$B$3-$B95)^2+(HSP!$C$3-$C95)^2+(HSP!$D$3-$D95)^2))</f>
        <v>10.611898981803398</v>
      </c>
      <c r="H95" s="17">
        <f>SQRT((4*(HSP!$B$4-$B95)^2+(HSP!$C$4-$C95)^2+(HSP!$D$4-$D95)^2))</f>
        <v>8.408210273298355</v>
      </c>
      <c r="I95" s="17">
        <f>SQRT((4*(HSP!$B$5-$B95)^2+(HSP!$C$5-$C95)^2+(HSP!$D$5-$D95)^2))</f>
        <v>13.202079381673178</v>
      </c>
      <c r="J95" s="17">
        <f>SQRT((4*(HSP!$B$6-$B95)^2+(HSP!$C$6-$C95)^2+(HSP!$D$6-$D95)^2))</f>
        <v>10.089549048396565</v>
      </c>
      <c r="K95" s="17">
        <f t="shared" si="0"/>
        <v>1.3747816886175146</v>
      </c>
      <c r="L95" s="17">
        <f t="shared" si="1"/>
        <v>1.1790998868670441</v>
      </c>
      <c r="M95" s="17">
        <f t="shared" si="2"/>
        <v>0.93424558592203943</v>
      </c>
      <c r="N95" s="17">
        <f t="shared" si="3"/>
        <v>1.4668977090747974</v>
      </c>
      <c r="O95" s="17">
        <f t="shared" si="4"/>
        <v>1.1210610053773962</v>
      </c>
      <c r="P95" s="17">
        <f>$F95/HSP!$E$2</f>
        <v>0.75908191396059088</v>
      </c>
      <c r="Q95" s="17">
        <f>$G95/HSP!$E$3</f>
        <v>0.78606659124469613</v>
      </c>
      <c r="R95" s="17">
        <f>$H95/HSP!$E$4</f>
        <v>0.52881825618228651</v>
      </c>
      <c r="S95" s="17">
        <f>$I95/HSP!$E$5</f>
        <v>0.96365542931921011</v>
      </c>
      <c r="T95" s="17">
        <f>$J95/HSP!$E$6</f>
        <v>0.68172628705382188</v>
      </c>
      <c r="U95" s="18" t="s">
        <v>445</v>
      </c>
      <c r="V95" s="12"/>
      <c r="W95" s="12"/>
      <c r="X95" s="12"/>
      <c r="Y95" s="12"/>
      <c r="Z95" s="12"/>
    </row>
    <row r="96" spans="1:26" ht="15" customHeight="1" x14ac:dyDescent="0.3">
      <c r="A96" s="26" t="s">
        <v>562</v>
      </c>
      <c r="B96" s="17">
        <v>18.399999999999999</v>
      </c>
      <c r="C96" s="17">
        <v>4.2</v>
      </c>
      <c r="D96" s="17">
        <v>7.8</v>
      </c>
      <c r="E96" s="17">
        <v>8.3000000000000007</v>
      </c>
      <c r="F96" s="17">
        <f>SQRT((4*(HSP!$B$2-$B96)^2+(HSP!$C$2-$C96)^2+(HSP!$D$2-$D96)^2))</f>
        <v>9.8802833967452557</v>
      </c>
      <c r="G96" s="17">
        <f>SQRT((4*(HSP!$B$3-$B96)^2+(HSP!$C$3-$C96)^2+(HSP!$D$3-$D96)^2))</f>
        <v>7.9440795564999203</v>
      </c>
      <c r="H96" s="17">
        <f>SQRT((4*(HSP!$B$4-$B96)^2+(HSP!$C$4-$C96)^2+(HSP!$D$4-$D96)^2))</f>
        <v>6.5545404110433223</v>
      </c>
      <c r="I96" s="17">
        <f>SQRT((4*(HSP!$B$5-$B96)^2+(HSP!$C$5-$C96)^2+(HSP!$D$5-$D96)^2))</f>
        <v>11.026100852069147</v>
      </c>
      <c r="J96" s="17">
        <f>SQRT((4*(HSP!$B$6-$B96)^2+(HSP!$C$6-$C96)^2+(HSP!$D$6-$D96)^2))</f>
        <v>7.7306532712313496</v>
      </c>
      <c r="K96" s="17">
        <f t="shared" si="0"/>
        <v>1.1903955899693077</v>
      </c>
      <c r="L96" s="17">
        <f t="shared" si="1"/>
        <v>0.95711801885541203</v>
      </c>
      <c r="M96" s="17">
        <f t="shared" si="2"/>
        <v>0.78970366398112313</v>
      </c>
      <c r="N96" s="17">
        <f t="shared" si="3"/>
        <v>1.3284458857914634</v>
      </c>
      <c r="O96" s="17">
        <f t="shared" si="4"/>
        <v>0.93140400858209027</v>
      </c>
      <c r="P96" s="17">
        <f>$F96/HSP!$E$2</f>
        <v>0.6061523556285433</v>
      </c>
      <c r="Q96" s="17">
        <f>$G96/HSP!$E$3</f>
        <v>0.58845033751851261</v>
      </c>
      <c r="R96" s="17">
        <f>$H96/HSP!$E$4</f>
        <v>0.41223524597756744</v>
      </c>
      <c r="S96" s="17">
        <f>$I96/HSP!$E$5</f>
        <v>0.80482487971307648</v>
      </c>
      <c r="T96" s="17">
        <f>$J96/HSP!$E$6</f>
        <v>0.52234143724536142</v>
      </c>
      <c r="U96" s="18" t="s">
        <v>563</v>
      </c>
      <c r="V96" s="12"/>
      <c r="W96" s="12"/>
      <c r="X96" s="12"/>
      <c r="Y96" s="12"/>
      <c r="Z96" s="12"/>
    </row>
    <row r="97" spans="1:26" ht="15" customHeight="1" x14ac:dyDescent="0.3">
      <c r="A97" s="26" t="s">
        <v>564</v>
      </c>
      <c r="B97" s="17">
        <v>19</v>
      </c>
      <c r="C97" s="17">
        <v>2</v>
      </c>
      <c r="D97" s="17">
        <v>9</v>
      </c>
      <c r="E97" s="17">
        <v>9</v>
      </c>
      <c r="F97" s="17">
        <f>SQRT((4*(HSP!$B$2-$B97)^2+(HSP!$C$2-$C97)^2+(HSP!$D$2-$D97)^2))</f>
        <v>12.373035197557632</v>
      </c>
      <c r="G97" s="17">
        <f>SQRT((4*(HSP!$B$3-$B97)^2+(HSP!$C$3-$C97)^2+(HSP!$D$3-$D97)^2))</f>
        <v>10.611898981803398</v>
      </c>
      <c r="H97" s="17">
        <f>SQRT((4*(HSP!$B$4-$B97)^2+(HSP!$C$4-$C97)^2+(HSP!$D$4-$D97)^2))</f>
        <v>8.408210273298355</v>
      </c>
      <c r="I97" s="17">
        <f>SQRT((4*(HSP!$B$5-$B97)^2+(HSP!$C$5-$C97)^2+(HSP!$D$5-$D97)^2))</f>
        <v>13.202079381673178</v>
      </c>
      <c r="J97" s="17">
        <f>SQRT((4*(HSP!$B$6-$B97)^2+(HSP!$C$6-$C97)^2+(HSP!$D$6-$D97)^2))</f>
        <v>10.089549048396565</v>
      </c>
      <c r="K97" s="17">
        <f t="shared" si="0"/>
        <v>1.3747816886175146</v>
      </c>
      <c r="L97" s="17">
        <f t="shared" si="1"/>
        <v>1.1790998868670441</v>
      </c>
      <c r="M97" s="17">
        <f t="shared" si="2"/>
        <v>0.93424558592203943</v>
      </c>
      <c r="N97" s="17">
        <f t="shared" si="3"/>
        <v>1.4668977090747974</v>
      </c>
      <c r="O97" s="17">
        <f t="shared" si="4"/>
        <v>1.1210610053773962</v>
      </c>
      <c r="P97" s="17">
        <f>$F97/HSP!$E$2</f>
        <v>0.75908191396059088</v>
      </c>
      <c r="Q97" s="17">
        <f>$G97/HSP!$E$3</f>
        <v>0.78606659124469613</v>
      </c>
      <c r="R97" s="17">
        <f>$H97/HSP!$E$4</f>
        <v>0.52881825618228651</v>
      </c>
      <c r="S97" s="17">
        <f>$I97/HSP!$E$5</f>
        <v>0.96365542931921011</v>
      </c>
      <c r="T97" s="17">
        <f>$J97/HSP!$E$6</f>
        <v>0.68172628705382188</v>
      </c>
      <c r="U97" s="18" t="s">
        <v>563</v>
      </c>
      <c r="V97" s="12"/>
      <c r="W97" s="12"/>
      <c r="X97" s="12"/>
      <c r="Y97" s="12"/>
      <c r="Z97" s="12"/>
    </row>
    <row r="98" spans="1:26" ht="15" customHeight="1" x14ac:dyDescent="0.3">
      <c r="A98" s="26" t="s">
        <v>565</v>
      </c>
      <c r="B98" s="17">
        <v>19.2</v>
      </c>
      <c r="C98" s="17">
        <v>17.2</v>
      </c>
      <c r="D98" s="17">
        <v>14.6</v>
      </c>
      <c r="E98" s="17">
        <v>11.8</v>
      </c>
      <c r="F98" s="17">
        <f>SQRT((4*(HSP!$B$2-$B98)^2+(HSP!$C$2-$C98)^2+(HSP!$D$2-$D98)^2))</f>
        <v>13.716121900887289</v>
      </c>
      <c r="G98" s="17">
        <f>SQRT((4*(HSP!$B$3-$B98)^2+(HSP!$C$3-$C98)^2+(HSP!$D$3-$D98)^2))</f>
        <v>13.53589302558202</v>
      </c>
      <c r="H98" s="17">
        <f>SQRT((4*(HSP!$B$4-$B98)^2+(HSP!$C$4-$C98)^2+(HSP!$D$4-$D98)^2))</f>
        <v>16.809342640329515</v>
      </c>
      <c r="I98" s="17">
        <f>SQRT((4*(HSP!$B$5-$B98)^2+(HSP!$C$5-$C98)^2+(HSP!$D$5-$D98)^2))</f>
        <v>9.7631398637938194</v>
      </c>
      <c r="J98" s="17">
        <f>SQRT((4*(HSP!$B$6-$B98)^2+(HSP!$C$6-$C98)^2+(HSP!$D$6-$D98)^2))</f>
        <v>17.1270254276684</v>
      </c>
      <c r="K98" s="17">
        <f t="shared" si="0"/>
        <v>1.1623832119396007</v>
      </c>
      <c r="L98" s="17">
        <f t="shared" si="1"/>
        <v>1.1471095784391541</v>
      </c>
      <c r="M98" s="17">
        <f t="shared" si="2"/>
        <v>1.4245205627397892</v>
      </c>
      <c r="N98" s="17">
        <f t="shared" si="3"/>
        <v>0.82738473421981518</v>
      </c>
      <c r="O98" s="17">
        <f t="shared" si="4"/>
        <v>1.451442832853254</v>
      </c>
      <c r="P98" s="17">
        <f>$F98/HSP!$E$2</f>
        <v>0.84147987122007906</v>
      </c>
      <c r="Q98" s="17">
        <f>$G98/HSP!$E$3</f>
        <v>1.0026587426357052</v>
      </c>
      <c r="R98" s="17">
        <f>$H98/HSP!$E$4</f>
        <v>1.0571913610270134</v>
      </c>
      <c r="S98" s="17">
        <f>$I98/HSP!$E$5</f>
        <v>0.71263794626232257</v>
      </c>
      <c r="T98" s="17">
        <f>$J98/HSP!$E$6</f>
        <v>1.1572314478154324</v>
      </c>
      <c r="U98" s="18" t="s">
        <v>566</v>
      </c>
      <c r="V98" s="12"/>
      <c r="W98" s="12"/>
      <c r="X98" s="12"/>
      <c r="Y98" s="12"/>
      <c r="Z98" s="12"/>
    </row>
    <row r="99" spans="1:26" ht="15" customHeight="1" x14ac:dyDescent="0.3">
      <c r="A99" s="26" t="s">
        <v>567</v>
      </c>
      <c r="B99" s="17">
        <v>21</v>
      </c>
      <c r="C99" s="17">
        <v>15.2</v>
      </c>
      <c r="D99" s="17">
        <v>13.2</v>
      </c>
      <c r="E99" s="17">
        <v>13.7</v>
      </c>
      <c r="F99" s="17">
        <f>SQRT((4*(HSP!$B$2-$B99)^2+(HSP!$C$2-$C99)^2+(HSP!$D$2-$D99)^2))</f>
        <v>14.999866666074068</v>
      </c>
      <c r="G99" s="17">
        <f>SQRT((4*(HSP!$B$3-$B99)^2+(HSP!$C$3-$C99)^2+(HSP!$D$3-$D99)^2))</f>
        <v>14.069129326294501</v>
      </c>
      <c r="H99" s="17">
        <f>SQRT((4*(HSP!$B$4-$B99)^2+(HSP!$C$4-$C99)^2+(HSP!$D$4-$D99)^2))</f>
        <v>16.958360769838574</v>
      </c>
      <c r="I99" s="17">
        <f>SQRT((4*(HSP!$B$5-$B99)^2+(HSP!$C$5-$C99)^2+(HSP!$D$5-$D99)^2))</f>
        <v>11.942985388921816</v>
      </c>
      <c r="J99" s="17">
        <f>SQRT((4*(HSP!$B$6-$B99)^2+(HSP!$C$6-$C99)^2+(HSP!$D$6-$D99)^2))</f>
        <v>17.194970194798245</v>
      </c>
      <c r="K99" s="17">
        <f t="shared" si="0"/>
        <v>1.0948807785455525</v>
      </c>
      <c r="L99" s="17">
        <f t="shared" si="1"/>
        <v>1.0269437464448541</v>
      </c>
      <c r="M99" s="17">
        <f t="shared" si="2"/>
        <v>1.2378365525429618</v>
      </c>
      <c r="N99" s="17">
        <f t="shared" si="3"/>
        <v>0.87175075831546101</v>
      </c>
      <c r="O99" s="17">
        <f t="shared" si="4"/>
        <v>1.255107313488923</v>
      </c>
      <c r="P99" s="17">
        <f>$F99/HSP!$E$2</f>
        <v>0.92023721877755016</v>
      </c>
      <c r="Q99" s="17">
        <f>$G99/HSP!$E$3</f>
        <v>1.0421577278736667</v>
      </c>
      <c r="R99" s="17">
        <f>$H99/HSP!$E$4</f>
        <v>1.0665635704300991</v>
      </c>
      <c r="S99" s="17">
        <f>$I99/HSP!$E$5</f>
        <v>0.87175075831546101</v>
      </c>
      <c r="T99" s="17">
        <f>$J99/HSP!$E$6</f>
        <v>1.1618223104593408</v>
      </c>
      <c r="U99" s="18" t="s">
        <v>566</v>
      </c>
      <c r="V99" s="12"/>
      <c r="W99" s="12"/>
      <c r="X99" s="12"/>
      <c r="Y99" s="12"/>
      <c r="Z99" s="12"/>
    </row>
    <row r="100" spans="1:26" ht="15" customHeight="1" x14ac:dyDescent="0.3">
      <c r="A100" s="26" t="s">
        <v>567</v>
      </c>
      <c r="B100" s="17">
        <v>20.100000000000001</v>
      </c>
      <c r="C100" s="17">
        <v>11.5</v>
      </c>
      <c r="D100" s="17">
        <v>6.7</v>
      </c>
      <c r="E100" s="17">
        <v>11.6</v>
      </c>
      <c r="F100" s="17">
        <f>SQRT((4*(HSP!$B$2-$B100)^2+(HSP!$C$2-$C100)^2+(HSP!$D$2-$D100)^2))</f>
        <v>11.052601503718483</v>
      </c>
      <c r="G100" s="17">
        <f>SQRT((4*(HSP!$B$3-$B100)^2+(HSP!$C$3-$C100)^2+(HSP!$D$3-$D100)^2))</f>
        <v>9.052756486286377</v>
      </c>
      <c r="H100" s="17">
        <f>SQRT((4*(HSP!$B$4-$B100)^2+(HSP!$C$4-$C100)^2+(HSP!$D$4-$D100)^2))</f>
        <v>11.989245180577468</v>
      </c>
      <c r="I100" s="17">
        <f>SQRT((4*(HSP!$B$5-$B100)^2+(HSP!$C$5-$C100)^2+(HSP!$D$5-$D100)^2))</f>
        <v>10.615879614991876</v>
      </c>
      <c r="J100" s="17">
        <f>SQRT((4*(HSP!$B$6-$B100)^2+(HSP!$C$6-$C100)^2+(HSP!$D$6-$D100)^2))</f>
        <v>11.275770483652108</v>
      </c>
      <c r="K100" s="17">
        <f t="shared" si="0"/>
        <v>0.95281047445848999</v>
      </c>
      <c r="L100" s="17">
        <f t="shared" si="1"/>
        <v>0.78041004192123942</v>
      </c>
      <c r="M100" s="17">
        <f t="shared" si="2"/>
        <v>1.033555619015299</v>
      </c>
      <c r="N100" s="17">
        <f t="shared" si="3"/>
        <v>0.91516203577516175</v>
      </c>
      <c r="O100" s="17">
        <f t="shared" si="4"/>
        <v>0.97204917962518178</v>
      </c>
      <c r="P100" s="17">
        <f>$F100/HSP!$E$2</f>
        <v>0.67807371188456944</v>
      </c>
      <c r="Q100" s="17">
        <f>$G100/HSP!$E$3</f>
        <v>0.67057455453973158</v>
      </c>
      <c r="R100" s="17">
        <f>$H100/HSP!$E$4</f>
        <v>0.75404057739480934</v>
      </c>
      <c r="S100" s="17">
        <f>$I100/HSP!$E$5</f>
        <v>0.77488172372203479</v>
      </c>
      <c r="T100" s="17">
        <f>$J100/HSP!$E$6</f>
        <v>0.7618763840305478</v>
      </c>
      <c r="U100" s="18" t="s">
        <v>566</v>
      </c>
      <c r="V100" s="12"/>
      <c r="W100" s="12"/>
      <c r="X100" s="12"/>
      <c r="Y100" s="12"/>
      <c r="Z100" s="12"/>
    </row>
    <row r="101" spans="1:26" ht="15" customHeight="1" x14ac:dyDescent="0.3">
      <c r="A101" s="26" t="s">
        <v>568</v>
      </c>
      <c r="B101" s="17">
        <v>15.9</v>
      </c>
      <c r="C101" s="17">
        <v>1.2</v>
      </c>
      <c r="D101" s="17">
        <v>5.4</v>
      </c>
      <c r="E101" s="17">
        <v>12</v>
      </c>
      <c r="F101" s="17">
        <f>SQRT((4*(HSP!$B$2-$B101)^2+(HSP!$C$2-$C101)^2+(HSP!$D$2-$D101)^2))</f>
        <v>9.7469995383194732</v>
      </c>
      <c r="G101" s="17">
        <f>SQRT((4*(HSP!$B$3-$B101)^2+(HSP!$C$3-$C101)^2+(HSP!$D$3-$D101)^2))</f>
        <v>8.4808254315249307</v>
      </c>
      <c r="H101" s="17">
        <f>SQRT((4*(HSP!$B$4-$B101)^2+(HSP!$C$4-$C101)^2+(HSP!$D$4-$D101)^2))</f>
        <v>4.0251708038293232</v>
      </c>
      <c r="I101" s="17">
        <f>SQRT((4*(HSP!$B$5-$B101)^2+(HSP!$C$5-$C101)^2+(HSP!$D$5-$D101)^2))</f>
        <v>12.840517902327772</v>
      </c>
      <c r="J101" s="17">
        <f>SQRT((4*(HSP!$B$6-$B101)^2+(HSP!$C$6-$C101)^2+(HSP!$D$6-$D101)^2))</f>
        <v>5.598481937096877</v>
      </c>
      <c r="K101" s="17">
        <f t="shared" si="0"/>
        <v>0.81224996152662277</v>
      </c>
      <c r="L101" s="17">
        <f t="shared" si="1"/>
        <v>0.7067354526270776</v>
      </c>
      <c r="M101" s="17">
        <f t="shared" si="2"/>
        <v>0.33543090031911027</v>
      </c>
      <c r="N101" s="17">
        <f t="shared" si="3"/>
        <v>1.0700431585273142</v>
      </c>
      <c r="O101" s="17">
        <f t="shared" si="4"/>
        <v>0.46654016142473975</v>
      </c>
      <c r="P101" s="17">
        <f>$F101/HSP!$E$2</f>
        <v>0.59797543179874069</v>
      </c>
      <c r="Q101" s="17">
        <f>$G101/HSP!$E$3</f>
        <v>0.62820929122406899</v>
      </c>
      <c r="R101" s="17">
        <f>$H101/HSP!$E$4</f>
        <v>0.25315539646725305</v>
      </c>
      <c r="S101" s="17">
        <f>$I101/HSP!$E$5</f>
        <v>0.93726408046188125</v>
      </c>
      <c r="T101" s="17">
        <f>$J101/HSP!$E$6</f>
        <v>0.37827580656059978</v>
      </c>
      <c r="U101" s="18" t="s">
        <v>566</v>
      </c>
      <c r="V101" s="12"/>
      <c r="W101" s="12"/>
      <c r="X101" s="12"/>
      <c r="Y101" s="12"/>
      <c r="Z101" s="12"/>
    </row>
    <row r="102" spans="1:26" ht="15" customHeight="1" x14ac:dyDescent="0.3">
      <c r="A102" s="26" t="s">
        <v>569</v>
      </c>
      <c r="B102" s="17">
        <v>17.5</v>
      </c>
      <c r="C102" s="17">
        <v>11.3</v>
      </c>
      <c r="D102" s="17">
        <v>5.9</v>
      </c>
      <c r="E102" s="17">
        <v>8.5</v>
      </c>
      <c r="F102" s="17">
        <f>SQRT((4*(HSP!$B$2-$B102)^2+(HSP!$C$2-$C102)^2+(HSP!$D$2-$D102)^2))</f>
        <v>5.9591945764507477</v>
      </c>
      <c r="G102" s="17">
        <f>SQRT((4*(HSP!$B$3-$B102)^2+(HSP!$C$3-$C102)^2+(HSP!$D$3-$D102)^2))</f>
        <v>3.9749716980124536</v>
      </c>
      <c r="H102" s="17">
        <f>SQRT((4*(HSP!$B$4-$B102)^2+(HSP!$C$4-$C102)^2+(HSP!$D$4-$D102)^2))</f>
        <v>8.1455509328712701</v>
      </c>
      <c r="I102" s="17">
        <f>SQRT((4*(HSP!$B$5-$B102)^2+(HSP!$C$5-$C102)^2+(HSP!$D$5-$D102)^2))</f>
        <v>6.8708733069385</v>
      </c>
      <c r="J102" s="17">
        <f>SQRT((4*(HSP!$B$6-$B102)^2+(HSP!$C$6-$C102)^2+(HSP!$D$6-$D102)^2))</f>
        <v>6.9145498768900371</v>
      </c>
      <c r="K102" s="17">
        <f t="shared" si="0"/>
        <v>0.70108171487655857</v>
      </c>
      <c r="L102" s="17">
        <f t="shared" si="1"/>
        <v>0.46764372917793573</v>
      </c>
      <c r="M102" s="17">
        <f t="shared" si="2"/>
        <v>0.95830010974956115</v>
      </c>
      <c r="N102" s="17">
        <f t="shared" si="3"/>
        <v>0.80833803611041177</v>
      </c>
      <c r="O102" s="17">
        <f t="shared" si="4"/>
        <v>0.8134764561047102</v>
      </c>
      <c r="P102" s="17">
        <f>$F102/HSP!$E$2</f>
        <v>0.36559475929145691</v>
      </c>
      <c r="Q102" s="17">
        <f>$G102/HSP!$E$3</f>
        <v>0.2944423480009225</v>
      </c>
      <c r="R102" s="17">
        <f>$H102/HSP!$E$4</f>
        <v>0.51229880080951384</v>
      </c>
      <c r="S102" s="17">
        <f>$I102/HSP!$E$5</f>
        <v>0.50152359904660582</v>
      </c>
      <c r="T102" s="17">
        <f>$J102/HSP!$E$6</f>
        <v>0.46719931600608355</v>
      </c>
      <c r="U102" s="18" t="s">
        <v>566</v>
      </c>
      <c r="V102" s="12"/>
      <c r="W102" s="12"/>
      <c r="X102" s="12"/>
      <c r="Y102" s="12"/>
      <c r="Z102" s="12"/>
    </row>
    <row r="103" spans="1:26" ht="15" customHeight="1" x14ac:dyDescent="0.3">
      <c r="A103" s="26" t="s">
        <v>570</v>
      </c>
      <c r="B103" s="17">
        <v>17.600000000000001</v>
      </c>
      <c r="C103" s="17">
        <v>10</v>
      </c>
      <c r="D103" s="17">
        <v>3.7</v>
      </c>
      <c r="E103" s="17">
        <v>9.3000000000000007</v>
      </c>
      <c r="F103" s="17">
        <f>SQRT((4*(HSP!$B$2-$B103)^2+(HSP!$C$2-$C103)^2+(HSP!$D$2-$D103)^2))</f>
        <v>6.8534662762721794</v>
      </c>
      <c r="G103" s="17">
        <f>SQRT((4*(HSP!$B$3-$B103)^2+(HSP!$C$3-$C103)^2+(HSP!$D$3-$D103)^2))</f>
        <v>4.3820543127624552</v>
      </c>
      <c r="H103" s="17">
        <f>SQRT((4*(HSP!$B$4-$B103)^2+(HSP!$C$4-$C103)^2+(HSP!$D$4-$D103)^2))</f>
        <v>7.8442335508321035</v>
      </c>
      <c r="I103" s="17">
        <f>SQRT((4*(HSP!$B$5-$B103)^2+(HSP!$C$5-$C103)^2+(HSP!$D$5-$D103)^2))</f>
        <v>9.0214688382768369</v>
      </c>
      <c r="J103" s="17">
        <f>SQRT((4*(HSP!$B$6-$B103)^2+(HSP!$C$6-$C103)^2+(HSP!$D$6-$D103)^2))</f>
        <v>5.8722227478187543</v>
      </c>
      <c r="K103" s="17">
        <f t="shared" si="0"/>
        <v>0.73693185766367519</v>
      </c>
      <c r="L103" s="17">
        <f t="shared" si="1"/>
        <v>0.47118863578090914</v>
      </c>
      <c r="M103" s="17">
        <f t="shared" si="2"/>
        <v>0.84346597320775296</v>
      </c>
      <c r="N103" s="17">
        <f t="shared" si="3"/>
        <v>0.97005041271793935</v>
      </c>
      <c r="O103" s="17">
        <f t="shared" si="4"/>
        <v>0.63142180084072619</v>
      </c>
      <c r="P103" s="17">
        <f>$F103/HSP!$E$2</f>
        <v>0.42045805375902939</v>
      </c>
      <c r="Q103" s="17">
        <f>$G103/HSP!$E$3</f>
        <v>0.32459661576018184</v>
      </c>
      <c r="R103" s="17">
        <f>$H103/HSP!$E$4</f>
        <v>0.49334802206491218</v>
      </c>
      <c r="S103" s="17">
        <f>$I103/HSP!$E$5</f>
        <v>0.65850137505670348</v>
      </c>
      <c r="T103" s="17">
        <f>$J103/HSP!$E$6</f>
        <v>0.39677180728505096</v>
      </c>
      <c r="U103" s="18" t="s">
        <v>566</v>
      </c>
      <c r="V103" s="12"/>
      <c r="W103" s="12"/>
      <c r="X103" s="12"/>
      <c r="Y103" s="12"/>
      <c r="Z103" s="12"/>
    </row>
    <row r="104" spans="1:26" ht="15" customHeight="1" x14ac:dyDescent="0.3">
      <c r="A104" s="26" t="s">
        <v>571</v>
      </c>
      <c r="B104" s="17">
        <v>18.7</v>
      </c>
      <c r="C104" s="17">
        <v>9.6</v>
      </c>
      <c r="D104" s="17">
        <v>9.9</v>
      </c>
      <c r="E104" s="17">
        <v>8.1999999999999993</v>
      </c>
      <c r="F104" s="17">
        <f>SQRT((4*(HSP!$B$2-$B104)^2+(HSP!$C$2-$C104)^2+(HSP!$D$2-$D104)^2))</f>
        <v>8.7467708327130644</v>
      </c>
      <c r="G104" s="17">
        <f>SQRT((4*(HSP!$B$3-$B104)^2+(HSP!$C$3-$C104)^2+(HSP!$D$3-$D104)^2))</f>
        <v>7.2725786348447272</v>
      </c>
      <c r="H104" s="17">
        <f>SQRT((4*(HSP!$B$4-$B104)^2+(HSP!$C$4-$C104)^2+(HSP!$D$4-$D104)^2))</f>
        <v>9.1465840618232974</v>
      </c>
      <c r="I104" s="17">
        <f>SQRT((4*(HSP!$B$5-$B104)^2+(HSP!$C$5-$C104)^2+(HSP!$D$5-$D104)^2))</f>
        <v>7.6062408586633641</v>
      </c>
      <c r="J104" s="17">
        <f>SQRT((4*(HSP!$B$6-$B104)^2+(HSP!$C$6-$C104)^2+(HSP!$D$6-$D104)^2))</f>
        <v>9.6804442046839974</v>
      </c>
      <c r="K104" s="17">
        <f t="shared" si="0"/>
        <v>1.0666793698430568</v>
      </c>
      <c r="L104" s="17">
        <f t="shared" si="1"/>
        <v>0.88689983351764978</v>
      </c>
      <c r="M104" s="17">
        <f t="shared" si="2"/>
        <v>1.1154370807101583</v>
      </c>
      <c r="N104" s="17">
        <f t="shared" si="3"/>
        <v>0.92759034861748346</v>
      </c>
      <c r="O104" s="17">
        <f t="shared" si="4"/>
        <v>1.1805419761809754</v>
      </c>
      <c r="P104" s="17">
        <f>$F104/HSP!$E$2</f>
        <v>0.53661170752840881</v>
      </c>
      <c r="Q104" s="17">
        <f>$G104/HSP!$E$3</f>
        <v>0.53870952850701681</v>
      </c>
      <c r="R104" s="17">
        <f>$H104/HSP!$E$4</f>
        <v>0.57525685923416958</v>
      </c>
      <c r="S104" s="17">
        <f>$I104/HSP!$E$5</f>
        <v>0.55520006267615796</v>
      </c>
      <c r="T104" s="17">
        <f>$J104/HSP!$E$6</f>
        <v>0.65408406788405382</v>
      </c>
      <c r="U104" s="18" t="s">
        <v>566</v>
      </c>
      <c r="V104" s="12"/>
      <c r="W104" s="12"/>
      <c r="X104" s="12"/>
      <c r="Y104" s="12"/>
      <c r="Z104" s="12"/>
    </row>
    <row r="105" spans="1:26" ht="15" customHeight="1" x14ac:dyDescent="0.3">
      <c r="A105" s="26" t="s">
        <v>572</v>
      </c>
      <c r="B105" s="17">
        <v>16</v>
      </c>
      <c r="C105" s="17">
        <v>13.1</v>
      </c>
      <c r="D105" s="17">
        <v>9.1999999999999993</v>
      </c>
      <c r="E105" s="17">
        <v>11.4</v>
      </c>
      <c r="F105" s="17">
        <f>SQRT((4*(HSP!$B$2-$B105)^2+(HSP!$C$2-$C105)^2+(HSP!$D$2-$D105)^2))</f>
        <v>4.4427468980350424</v>
      </c>
      <c r="G105" s="17">
        <f>SQRT((4*(HSP!$B$3-$B105)^2+(HSP!$C$3-$C105)^2+(HSP!$D$3-$D105)^2))</f>
        <v>4.8623451132144035</v>
      </c>
      <c r="H105" s="17">
        <f>SQRT((4*(HSP!$B$4-$B105)^2+(HSP!$C$4-$C105)^2+(HSP!$D$4-$D105)^2))</f>
        <v>8.9113410887475286</v>
      </c>
      <c r="I105" s="17">
        <f>SQRT((4*(HSP!$B$5-$B105)^2+(HSP!$C$5-$C105)^2+(HSP!$D$5-$D105)^2))</f>
        <v>2.2954084603834679</v>
      </c>
      <c r="J105" s="17">
        <f>SQRT((4*(HSP!$B$6-$B105)^2+(HSP!$C$6-$C105)^2+(HSP!$D$6-$D105)^2))</f>
        <v>8.6742723037728062</v>
      </c>
      <c r="K105" s="17">
        <f t="shared" si="0"/>
        <v>0.38971464017851248</v>
      </c>
      <c r="L105" s="17">
        <f t="shared" si="1"/>
        <v>0.42652150115915821</v>
      </c>
      <c r="M105" s="17">
        <f t="shared" si="2"/>
        <v>0.7816965867322393</v>
      </c>
      <c r="N105" s="17">
        <f t="shared" si="3"/>
        <v>0.20135161933188314</v>
      </c>
      <c r="O105" s="17">
        <f t="shared" si="4"/>
        <v>0.76090107927831629</v>
      </c>
      <c r="P105" s="17">
        <f>$F105/HSP!$E$2</f>
        <v>0.27256115938865288</v>
      </c>
      <c r="Q105" s="17">
        <f>$G105/HSP!$E$3</f>
        <v>0.3601737120899558</v>
      </c>
      <c r="R105" s="17">
        <f>$H105/HSP!$E$4</f>
        <v>0.56046170369481307</v>
      </c>
      <c r="S105" s="17">
        <f>$I105/HSP!$E$5</f>
        <v>0.167548062801713</v>
      </c>
      <c r="T105" s="17">
        <f>$J105/HSP!$E$6</f>
        <v>0.58609947998464906</v>
      </c>
      <c r="U105" s="18" t="s">
        <v>566</v>
      </c>
      <c r="V105" s="12"/>
      <c r="W105" s="12"/>
      <c r="X105" s="12"/>
      <c r="Y105" s="12"/>
      <c r="Z105" s="12"/>
    </row>
    <row r="106" spans="1:26" ht="15" customHeight="1" x14ac:dyDescent="0.3">
      <c r="A106" s="26" t="s">
        <v>573</v>
      </c>
      <c r="B106" s="17">
        <v>20.6</v>
      </c>
      <c r="C106" s="17">
        <v>7.8</v>
      </c>
      <c r="D106" s="17">
        <v>11.6</v>
      </c>
      <c r="E106" s="17">
        <v>13.1</v>
      </c>
      <c r="F106" s="17">
        <f>SQRT((4*(HSP!$B$2-$B106)^2+(HSP!$C$2-$C106)^2+(HSP!$D$2-$D106)^2))</f>
        <v>13.13087963542428</v>
      </c>
      <c r="G106" s="17">
        <f>SQRT((4*(HSP!$B$3-$B106)^2+(HSP!$C$3-$C106)^2+(HSP!$D$3-$D106)^2))</f>
        <v>11.545579240557835</v>
      </c>
      <c r="H106" s="17">
        <f>SQRT((4*(HSP!$B$4-$B106)^2+(HSP!$C$4-$C106)^2+(HSP!$D$4-$D106)^2))</f>
        <v>12.276563036941571</v>
      </c>
      <c r="I106" s="17">
        <f>SQRT((4*(HSP!$B$5-$B106)^2+(HSP!$C$5-$C106)^2+(HSP!$D$5-$D106)^2))</f>
        <v>11.759715132604196</v>
      </c>
      <c r="J106" s="17">
        <f>SQRT((4*(HSP!$B$6-$B106)^2+(HSP!$C$6-$C106)^2+(HSP!$D$6-$D106)^2))</f>
        <v>13.250471689717317</v>
      </c>
      <c r="K106" s="17">
        <f t="shared" si="0"/>
        <v>1.0023572240781893</v>
      </c>
      <c r="L106" s="17">
        <f t="shared" si="1"/>
        <v>0.88134192676014012</v>
      </c>
      <c r="M106" s="17">
        <f t="shared" si="2"/>
        <v>0.93714221656042529</v>
      </c>
      <c r="N106" s="17">
        <f t="shared" si="3"/>
        <v>0.89768817806138901</v>
      </c>
      <c r="O106" s="17">
        <f t="shared" si="4"/>
        <v>1.0114863885280394</v>
      </c>
      <c r="P106" s="17">
        <f>$F106/HSP!$E$2</f>
        <v>0.80557543775609075</v>
      </c>
      <c r="Q106" s="17">
        <f>$G106/HSP!$E$3</f>
        <v>0.85522809189317295</v>
      </c>
      <c r="R106" s="17">
        <f>$H106/HSP!$E$4</f>
        <v>0.77211088282651386</v>
      </c>
      <c r="S106" s="17">
        <f>$I106/HSP!$E$5</f>
        <v>0.858373367343372</v>
      </c>
      <c r="T106" s="17">
        <f>$J106/HSP!$E$6</f>
        <v>0.89530214119711593</v>
      </c>
      <c r="U106" s="18" t="s">
        <v>464</v>
      </c>
      <c r="V106" s="12"/>
      <c r="W106" s="12"/>
      <c r="X106" s="12"/>
      <c r="Y106" s="12"/>
      <c r="Z106" s="12"/>
    </row>
    <row r="107" spans="1:26" ht="15" customHeight="1" x14ac:dyDescent="0.3">
      <c r="A107" s="26" t="s">
        <v>574</v>
      </c>
      <c r="B107" s="17">
        <v>19.399999999999999</v>
      </c>
      <c r="C107" s="17">
        <v>7.4</v>
      </c>
      <c r="D107" s="17">
        <v>6</v>
      </c>
      <c r="E107" s="17">
        <v>9.8000000000000007</v>
      </c>
      <c r="F107" s="17">
        <f>SQRT((4*(HSP!$B$2-$B107)^2+(HSP!$C$2-$C107)^2+(HSP!$D$2-$D107)^2))</f>
        <v>10.123438151142128</v>
      </c>
      <c r="G107" s="17">
        <f>SQRT((4*(HSP!$B$3-$B107)^2+(HSP!$C$3-$C107)^2+(HSP!$D$3-$D107)^2))</f>
        <v>7.7586339003718932</v>
      </c>
      <c r="H107" s="17">
        <f>SQRT((4*(HSP!$B$4-$B107)^2+(HSP!$C$4-$C107)^2+(HSP!$D$4-$D107)^2))</f>
        <v>8.9224436114777426</v>
      </c>
      <c r="I107" s="17">
        <f>SQRT((4*(HSP!$B$5-$B107)^2+(HSP!$C$5-$C107)^2+(HSP!$D$5-$D107)^2))</f>
        <v>10.992492892879211</v>
      </c>
      <c r="J107" s="17">
        <f>SQRT((4*(HSP!$B$6-$B107)^2+(HSP!$C$6-$C107)^2+(HSP!$D$6-$D107)^2))</f>
        <v>8.5901687992728046</v>
      </c>
      <c r="K107" s="17">
        <f t="shared" si="0"/>
        <v>1.0330038929736864</v>
      </c>
      <c r="L107" s="17">
        <f t="shared" si="1"/>
        <v>0.79169733677264209</v>
      </c>
      <c r="M107" s="17">
        <f t="shared" si="2"/>
        <v>0.91045342974262677</v>
      </c>
      <c r="N107" s="17">
        <f t="shared" si="3"/>
        <v>1.1216829482529806</v>
      </c>
      <c r="O107" s="17">
        <f t="shared" si="4"/>
        <v>0.87654783666049019</v>
      </c>
      <c r="P107" s="17">
        <f>$F107/HSP!$E$2</f>
        <v>0.62106982522344345</v>
      </c>
      <c r="Q107" s="17">
        <f>$G107/HSP!$E$3</f>
        <v>0.57471362224976985</v>
      </c>
      <c r="R107" s="17">
        <f>$H107/HSP!$E$4</f>
        <v>0.56115997556463793</v>
      </c>
      <c r="S107" s="17">
        <f>$I107/HSP!$E$5</f>
        <v>0.80237174400578182</v>
      </c>
      <c r="T107" s="17">
        <f>$J107/HSP!$E$6</f>
        <v>0.58041681076167595</v>
      </c>
      <c r="U107" s="18" t="s">
        <v>445</v>
      </c>
      <c r="V107" s="12"/>
      <c r="W107" s="12"/>
      <c r="X107" s="12"/>
      <c r="Y107" s="12"/>
      <c r="Z107" s="12"/>
    </row>
    <row r="108" spans="1:26" ht="15" customHeight="1" x14ac:dyDescent="0.3">
      <c r="A108" s="26" t="s">
        <v>575</v>
      </c>
      <c r="B108" s="17">
        <v>17.899999999999999</v>
      </c>
      <c r="C108" s="17">
        <v>9.6</v>
      </c>
      <c r="D108" s="17">
        <v>5.9</v>
      </c>
      <c r="E108" s="17">
        <v>8.1999999999999993</v>
      </c>
      <c r="F108" s="17">
        <f>SQRT((4*(HSP!$B$2-$B108)^2+(HSP!$C$2-$C108)^2+(HSP!$D$2-$D108)^2))</f>
        <v>6.7428480629478802</v>
      </c>
      <c r="G108" s="17">
        <f>SQRT((4*(HSP!$B$3-$B108)^2+(HSP!$C$3-$C108)^2+(HSP!$D$3-$D108)^2))</f>
        <v>4.4211310769982815</v>
      </c>
      <c r="H108" s="17">
        <f>SQRT((4*(HSP!$B$4-$B108)^2+(HSP!$C$4-$C108)^2+(HSP!$D$4-$D108)^2))</f>
        <v>7.4045931691079403</v>
      </c>
      <c r="I108" s="17">
        <f>SQRT((4*(HSP!$B$5-$B108)^2+(HSP!$C$5-$C108)^2+(HSP!$D$5-$D108)^2))</f>
        <v>7.9185162751616538</v>
      </c>
      <c r="J108" s="17">
        <f>SQRT((4*(HSP!$B$6-$B108)^2+(HSP!$C$6-$C108)^2+(HSP!$D$6-$D108)^2))</f>
        <v>6.4744883967769979</v>
      </c>
      <c r="K108" s="17">
        <f t="shared" si="0"/>
        <v>0.82229854426193671</v>
      </c>
      <c r="L108" s="17">
        <f t="shared" si="1"/>
        <v>0.53916232646320505</v>
      </c>
      <c r="M108" s="17">
        <f t="shared" si="2"/>
        <v>0.90299916696438309</v>
      </c>
      <c r="N108" s="17">
        <f t="shared" si="3"/>
        <v>0.96567271648312858</v>
      </c>
      <c r="O108" s="17">
        <f t="shared" si="4"/>
        <v>0.78957175570451199</v>
      </c>
      <c r="P108" s="17">
        <f>$F108/HSP!$E$2</f>
        <v>0.4136716603035509</v>
      </c>
      <c r="Q108" s="17">
        <f>$G108/HSP!$E$3</f>
        <v>0.32749119088876161</v>
      </c>
      <c r="R108" s="17">
        <f>$H108/HSP!$E$4</f>
        <v>0.46569768359169433</v>
      </c>
      <c r="S108" s="17">
        <f>$I108/HSP!$E$5</f>
        <v>0.577993888697931</v>
      </c>
      <c r="T108" s="17">
        <f>$J108/HSP!$E$6</f>
        <v>0.437465432214662</v>
      </c>
      <c r="U108" s="18" t="s">
        <v>471</v>
      </c>
      <c r="V108" s="12"/>
      <c r="W108" s="12"/>
      <c r="X108" s="12"/>
      <c r="Y108" s="12"/>
      <c r="Z108" s="12"/>
    </row>
    <row r="109" spans="1:26" ht="15" customHeight="1" x14ac:dyDescent="0.3">
      <c r="A109" s="26" t="s">
        <v>576</v>
      </c>
      <c r="B109" s="17">
        <v>17.7</v>
      </c>
      <c r="C109" s="17">
        <v>10.6</v>
      </c>
      <c r="D109" s="17">
        <v>11.6</v>
      </c>
      <c r="E109" s="17">
        <v>9.5</v>
      </c>
      <c r="F109" s="17">
        <f>SQRT((4*(HSP!$B$2-$B109)^2+(HSP!$C$2-$C109)^2+(HSP!$D$2-$D109)^2))</f>
        <v>7.7333045976477601</v>
      </c>
      <c r="G109" s="17">
        <f>SQRT((4*(HSP!$B$3-$B109)^2+(HSP!$C$3-$C109)^2+(HSP!$D$3-$D109)^2))</f>
        <v>7.1029852878912809</v>
      </c>
      <c r="H109" s="17">
        <f>SQRT((4*(HSP!$B$4-$B109)^2+(HSP!$C$4-$C109)^2+(HSP!$D$4-$D109)^2))</f>
        <v>9.1482238713315258</v>
      </c>
      <c r="I109" s="17">
        <f>SQRT((4*(HSP!$B$5-$B109)^2+(HSP!$C$5-$C109)^2+(HSP!$D$5-$D109)^2))</f>
        <v>5.3444270038985469</v>
      </c>
      <c r="J109" s="17">
        <f>SQRT((4*(HSP!$B$6-$B109)^2+(HSP!$C$6-$C109)^2+(HSP!$D$6-$D109)^2))</f>
        <v>10.053407382574328</v>
      </c>
      <c r="K109" s="17">
        <f t="shared" si="0"/>
        <v>0.81403206291029051</v>
      </c>
      <c r="L109" s="17">
        <f t="shared" si="1"/>
        <v>0.74768266188329269</v>
      </c>
      <c r="M109" s="17">
        <f t="shared" si="2"/>
        <v>0.96297093382437116</v>
      </c>
      <c r="N109" s="17">
        <f t="shared" si="3"/>
        <v>0.56257126356826814</v>
      </c>
      <c r="O109" s="17">
        <f t="shared" si="4"/>
        <v>1.0582534086920345</v>
      </c>
      <c r="P109" s="17">
        <f>$F109/HSP!$E$2</f>
        <v>0.47443586488636563</v>
      </c>
      <c r="Q109" s="17">
        <f>$G109/HSP!$E$3</f>
        <v>0.52614705836231712</v>
      </c>
      <c r="R109" s="17">
        <f>$H109/HSP!$E$4</f>
        <v>0.57535999190764309</v>
      </c>
      <c r="S109" s="17">
        <f>$I109/HSP!$E$5</f>
        <v>0.39010416086850708</v>
      </c>
      <c r="T109" s="17">
        <f>$J109/HSP!$E$6</f>
        <v>0.67928428260637341</v>
      </c>
      <c r="U109" s="18" t="s">
        <v>471</v>
      </c>
      <c r="V109" s="12"/>
      <c r="W109" s="12"/>
      <c r="X109" s="12"/>
      <c r="Y109" s="12"/>
      <c r="Z109" s="12"/>
    </row>
    <row r="110" spans="1:26" ht="15" customHeight="1" x14ac:dyDescent="0.3">
      <c r="A110" s="26" t="s">
        <v>577</v>
      </c>
      <c r="B110" s="17">
        <v>19.100000000000001</v>
      </c>
      <c r="C110" s="17">
        <v>12.2</v>
      </c>
      <c r="D110" s="17">
        <v>9.9</v>
      </c>
      <c r="E110" s="17">
        <v>8</v>
      </c>
      <c r="F110" s="17">
        <f>SQRT((4*(HSP!$B$2-$B110)^2+(HSP!$C$2-$C110)^2+(HSP!$D$2-$D110)^2))</f>
        <v>9.6204989475598435</v>
      </c>
      <c r="G110" s="17">
        <f>SQRT((4*(HSP!$B$3-$B110)^2+(HSP!$C$3-$C110)^2+(HSP!$D$3-$D110)^2))</f>
        <v>8.3432847248550761</v>
      </c>
      <c r="H110" s="17">
        <f>SQRT((4*(HSP!$B$4-$B110)^2+(HSP!$C$4-$C110)^2+(HSP!$D$4-$D110)^2))</f>
        <v>11.311056537742177</v>
      </c>
      <c r="I110" s="17">
        <f>SQRT((4*(HSP!$B$5-$B110)^2+(HSP!$C$5-$C110)^2+(HSP!$D$5-$D110)^2))</f>
        <v>7.7464120726953363</v>
      </c>
      <c r="J110" s="17">
        <f>SQRT((4*(HSP!$B$6-$B110)^2+(HSP!$C$6-$C110)^2+(HSP!$D$6-$D110)^2))</f>
        <v>11.338915292037422</v>
      </c>
      <c r="K110" s="17">
        <f t="shared" si="0"/>
        <v>1.2025623684449804</v>
      </c>
      <c r="L110" s="17">
        <f t="shared" si="1"/>
        <v>1.0429105906068845</v>
      </c>
      <c r="M110" s="17">
        <f t="shared" si="2"/>
        <v>1.4138820672177721</v>
      </c>
      <c r="N110" s="17">
        <f t="shared" si="3"/>
        <v>0.96830150908691703</v>
      </c>
      <c r="O110" s="17">
        <f t="shared" si="4"/>
        <v>1.4173644115046777</v>
      </c>
      <c r="P110" s="17">
        <f>$F110/HSP!$E$2</f>
        <v>0.59021465935949957</v>
      </c>
      <c r="Q110" s="17">
        <f>$G110/HSP!$E$3</f>
        <v>0.61802109073000566</v>
      </c>
      <c r="R110" s="17">
        <f>$H110/HSP!$E$4</f>
        <v>0.71138720363158348</v>
      </c>
      <c r="S110" s="17">
        <f>$I110/HSP!$E$5</f>
        <v>0.56543153815294434</v>
      </c>
      <c r="T110" s="17">
        <f>$J110/HSP!$E$6</f>
        <v>0.76614292513766358</v>
      </c>
      <c r="U110" s="18" t="s">
        <v>35</v>
      </c>
      <c r="V110" s="12"/>
      <c r="W110" s="12"/>
      <c r="X110" s="12"/>
      <c r="Y110" s="12"/>
      <c r="Z110" s="12"/>
    </row>
    <row r="111" spans="1:26" ht="15" customHeight="1" x14ac:dyDescent="0.3">
      <c r="A111" s="26" t="s">
        <v>578</v>
      </c>
      <c r="B111" s="17">
        <v>21.54</v>
      </c>
      <c r="C111" s="17">
        <v>14.94</v>
      </c>
      <c r="D111" s="17">
        <v>12.28</v>
      </c>
      <c r="E111" s="17">
        <v>16.78</v>
      </c>
      <c r="F111" s="17">
        <f>SQRT((4*(HSP!$B$2-$B111)^2+(HSP!$C$2-$C111)^2+(HSP!$D$2-$D111)^2))</f>
        <v>15.518208659507062</v>
      </c>
      <c r="G111" s="17">
        <f>SQRT((4*(HSP!$B$3-$B111)^2+(HSP!$C$3-$C111)^2+(HSP!$D$3-$D111)^2))</f>
        <v>14.370107863199912</v>
      </c>
      <c r="H111" s="17">
        <f>SQRT((4*(HSP!$B$4-$B111)^2+(HSP!$C$4-$C111)^2+(HSP!$D$4-$D111)^2))</f>
        <v>17.251249230128231</v>
      </c>
      <c r="I111" s="17">
        <f>SQRT((4*(HSP!$B$5-$B111)^2+(HSP!$C$5-$C111)^2+(HSP!$D$5-$D111)^2))</f>
        <v>12.806346083094894</v>
      </c>
      <c r="J111" s="17">
        <f>SQRT((4*(HSP!$B$6-$B111)^2+(HSP!$C$6-$C111)^2+(HSP!$D$6-$D111)^2))</f>
        <v>17.341758849666892</v>
      </c>
      <c r="K111" s="17">
        <f t="shared" si="0"/>
        <v>0.92480385336752446</v>
      </c>
      <c r="L111" s="17">
        <f t="shared" si="1"/>
        <v>0.85638306693682431</v>
      </c>
      <c r="M111" s="17">
        <f t="shared" si="2"/>
        <v>1.0280839827251627</v>
      </c>
      <c r="N111" s="17">
        <f t="shared" si="3"/>
        <v>0.76319106573867068</v>
      </c>
      <c r="O111" s="17">
        <f t="shared" si="4"/>
        <v>1.0334778813865846</v>
      </c>
      <c r="P111" s="17">
        <f>$F111/HSP!$E$2</f>
        <v>0.9520373410740528</v>
      </c>
      <c r="Q111" s="17">
        <f>$G111/HSP!$E$3</f>
        <v>1.0644524343111046</v>
      </c>
      <c r="R111" s="17">
        <f>$H111/HSP!$E$4</f>
        <v>1.0849842283099516</v>
      </c>
      <c r="S111" s="17">
        <f>$I111/HSP!$E$5</f>
        <v>0.93476978708721858</v>
      </c>
      <c r="T111" s="17">
        <f>$J111/HSP!$E$6</f>
        <v>1.1717404628153305</v>
      </c>
      <c r="U111" s="18" t="s">
        <v>35</v>
      </c>
      <c r="V111" s="12"/>
      <c r="W111" s="12"/>
      <c r="X111" s="12"/>
      <c r="Y111" s="12"/>
      <c r="Z111" s="12"/>
    </row>
    <row r="112" spans="1:26" ht="15" customHeight="1" x14ac:dyDescent="0.3">
      <c r="A112" s="26" t="s">
        <v>579</v>
      </c>
      <c r="B112" s="17">
        <v>24.3</v>
      </c>
      <c r="C112" s="17">
        <v>19.899999999999999</v>
      </c>
      <c r="D112" s="17">
        <v>22.5</v>
      </c>
      <c r="E112" s="17">
        <v>17.399999999999999</v>
      </c>
      <c r="F112" s="17">
        <f>SQRT((4*(HSP!$B$2-$B112)^2+(HSP!$C$2-$C112)^2+(HSP!$D$2-$D112)^2))</f>
        <v>26.5771330282256</v>
      </c>
      <c r="G112" s="17">
        <f>SQRT((4*(HSP!$B$3-$B112)^2+(HSP!$C$3-$C112)^2+(HSP!$D$3-$D112)^2))</f>
        <v>26.069299952242677</v>
      </c>
      <c r="H112" s="17">
        <f>SQRT((4*(HSP!$B$4-$B112)^2+(HSP!$C$4-$C112)^2+(HSP!$D$4-$D112)^2))</f>
        <v>28.487997472619938</v>
      </c>
      <c r="I112" s="17">
        <f>SQRT((4*(HSP!$B$5-$B112)^2+(HSP!$C$5-$C112)^2+(HSP!$D$5-$D112)^2))</f>
        <v>22.618154212932584</v>
      </c>
      <c r="J112" s="17">
        <f>SQRT((4*(HSP!$B$6-$B112)^2+(HSP!$C$6-$C112)^2+(HSP!$D$6-$D112)^2))</f>
        <v>29.247683668967699</v>
      </c>
      <c r="K112" s="17">
        <f t="shared" si="0"/>
        <v>1.5274214384037703</v>
      </c>
      <c r="L112" s="17">
        <f t="shared" si="1"/>
        <v>1.4982356294392345</v>
      </c>
      <c r="M112" s="17">
        <f t="shared" si="2"/>
        <v>1.6372412340586173</v>
      </c>
      <c r="N112" s="17">
        <f t="shared" si="3"/>
        <v>1.2998939202834821</v>
      </c>
      <c r="O112" s="17">
        <f t="shared" si="4"/>
        <v>1.6809013602855001</v>
      </c>
      <c r="P112" s="17">
        <f>$F112/HSP!$E$2</f>
        <v>1.6304989587868466</v>
      </c>
      <c r="Q112" s="17">
        <f>$G112/HSP!$E$3</f>
        <v>1.9310592557216797</v>
      </c>
      <c r="R112" s="17">
        <f>$H112/HSP!$E$4</f>
        <v>1.7916979542528262</v>
      </c>
      <c r="S112" s="17">
        <f>$I112/HSP!$E$5</f>
        <v>1.6509601615279259</v>
      </c>
      <c r="T112" s="17">
        <f>$J112/HSP!$E$6</f>
        <v>1.9761948424978175</v>
      </c>
      <c r="U112" s="18" t="s">
        <v>457</v>
      </c>
      <c r="V112" s="12"/>
      <c r="W112" s="12"/>
      <c r="X112" s="12"/>
      <c r="Y112" s="12"/>
      <c r="Z112" s="12"/>
    </row>
    <row r="113" spans="1:26" ht="15" customHeight="1" x14ac:dyDescent="0.3">
      <c r="A113" s="26" t="s">
        <v>580</v>
      </c>
      <c r="B113" s="17">
        <v>19</v>
      </c>
      <c r="C113" s="17">
        <v>20</v>
      </c>
      <c r="D113" s="17">
        <v>11</v>
      </c>
      <c r="E113" s="17">
        <v>11</v>
      </c>
      <c r="F113" s="17">
        <f>SQRT((4*(HSP!$B$2-$B113)^2+(HSP!$C$2-$C113)^2+(HSP!$D$2-$D113)^2))</f>
        <v>13.58719985869053</v>
      </c>
      <c r="G113" s="17">
        <f>SQRT((4*(HSP!$B$3-$B113)^2+(HSP!$C$3-$C113)^2+(HSP!$D$3-$D113)^2))</f>
        <v>13.325629441043302</v>
      </c>
      <c r="H113" s="17">
        <f>SQRT((4*(HSP!$B$4-$B113)^2+(HSP!$C$4-$C113)^2+(HSP!$D$4-$D113)^2))</f>
        <v>17.635702424343638</v>
      </c>
      <c r="I113" s="17">
        <f>SQRT((4*(HSP!$B$5-$B113)^2+(HSP!$C$5-$C113)^2+(HSP!$D$5-$D113)^2))</f>
        <v>10.423766114029997</v>
      </c>
      <c r="J113" s="17">
        <f>SQRT((4*(HSP!$B$6-$B113)^2+(HSP!$C$6-$C113)^2+(HSP!$D$6-$D113)^2))</f>
        <v>17.056347791951243</v>
      </c>
      <c r="K113" s="17">
        <f t="shared" si="0"/>
        <v>1.2351999871536845</v>
      </c>
      <c r="L113" s="17">
        <f t="shared" si="1"/>
        <v>1.2114208582766639</v>
      </c>
      <c r="M113" s="17">
        <f t="shared" si="2"/>
        <v>1.6032456749403308</v>
      </c>
      <c r="N113" s="17">
        <f t="shared" si="3"/>
        <v>0.94761510127545423</v>
      </c>
      <c r="O113" s="17">
        <f t="shared" si="4"/>
        <v>1.5505770719955676</v>
      </c>
      <c r="P113" s="17">
        <f>$F113/HSP!$E$2</f>
        <v>0.83357054347794657</v>
      </c>
      <c r="Q113" s="17">
        <f>$G113/HSP!$E$3</f>
        <v>0.98708366229950384</v>
      </c>
      <c r="R113" s="17">
        <f>$H113/HSP!$E$4</f>
        <v>1.1091636744870212</v>
      </c>
      <c r="S113" s="17">
        <f>$I113/HSP!$E$5</f>
        <v>0.76085884044014573</v>
      </c>
      <c r="T113" s="17">
        <f>$J113/HSP!$E$6</f>
        <v>1.1524559318885974</v>
      </c>
      <c r="U113" s="18" t="s">
        <v>457</v>
      </c>
      <c r="V113" s="12"/>
      <c r="W113" s="12"/>
      <c r="X113" s="12"/>
      <c r="Y113" s="12"/>
      <c r="Z113" s="12"/>
    </row>
    <row r="114" spans="1:26" ht="15" customHeight="1" x14ac:dyDescent="0.3">
      <c r="A114" s="26" t="s">
        <v>581</v>
      </c>
      <c r="B114" s="17">
        <v>19</v>
      </c>
      <c r="C114" s="17">
        <v>2</v>
      </c>
      <c r="D114" s="17">
        <v>1</v>
      </c>
      <c r="E114" s="17">
        <v>3</v>
      </c>
      <c r="F114" s="17">
        <f>SQRT((4*(HSP!$B$2-$B114)^2+(HSP!$C$2-$C114)^2+(HSP!$D$2-$D114)^2))</f>
        <v>13.593086478059353</v>
      </c>
      <c r="G114" s="17">
        <f>SQRT((4*(HSP!$B$3-$B114)^2+(HSP!$C$3-$C114)^2+(HSP!$D$3-$D114)^2))</f>
        <v>11.213045973329459</v>
      </c>
      <c r="H114" s="17">
        <f>SQRT((4*(HSP!$B$4-$B114)^2+(HSP!$C$4-$C114)^2+(HSP!$D$4-$D114)^2))</f>
        <v>9.9748684201847997</v>
      </c>
      <c r="I114" s="17">
        <f>SQRT((4*(HSP!$B$5-$B114)^2+(HSP!$C$5-$C114)^2+(HSP!$D$5-$D114)^2))</f>
        <v>16.406550521057131</v>
      </c>
      <c r="J114" s="17">
        <f>SQRT((4*(HSP!$B$6-$B114)^2+(HSP!$C$6-$C114)^2+(HSP!$D$6-$D114)^2))</f>
        <v>9.1323052949405952</v>
      </c>
      <c r="K114" s="17">
        <f t="shared" si="0"/>
        <v>4.5310288260197842</v>
      </c>
      <c r="L114" s="17">
        <f t="shared" si="1"/>
        <v>3.7376819911098198</v>
      </c>
      <c r="M114" s="17">
        <f t="shared" si="2"/>
        <v>3.3249561400615999</v>
      </c>
      <c r="N114" s="17">
        <f t="shared" si="3"/>
        <v>5.46885017368571</v>
      </c>
      <c r="O114" s="17">
        <f t="shared" si="4"/>
        <v>3.0441017649801982</v>
      </c>
      <c r="P114" s="17">
        <f>$F114/HSP!$E$2</f>
        <v>0.83393168577051247</v>
      </c>
      <c r="Q114" s="17">
        <f>$G114/HSP!$E$3</f>
        <v>0.83059599802440431</v>
      </c>
      <c r="R114" s="17">
        <f>$H114/HSP!$E$4</f>
        <v>0.62735021510596223</v>
      </c>
      <c r="S114" s="17">
        <f>$I114/HSP!$E$5</f>
        <v>1.1975584321939512</v>
      </c>
      <c r="T114" s="17">
        <f>$J114/HSP!$E$6</f>
        <v>0.61704765506355375</v>
      </c>
      <c r="U114" s="18" t="s">
        <v>473</v>
      </c>
      <c r="V114" s="12"/>
      <c r="W114" s="12"/>
      <c r="X114" s="12"/>
      <c r="Y114" s="12"/>
      <c r="Z114" s="12"/>
    </row>
    <row r="115" spans="1:26" ht="15" customHeight="1" x14ac:dyDescent="0.3">
      <c r="A115" s="26" t="s">
        <v>582</v>
      </c>
      <c r="B115" s="17">
        <v>19</v>
      </c>
      <c r="C115" s="17">
        <v>2</v>
      </c>
      <c r="D115" s="17">
        <v>1</v>
      </c>
      <c r="E115" s="17">
        <v>3</v>
      </c>
      <c r="F115" s="17">
        <f>SQRT((4*(HSP!$B$2-$B115)^2+(HSP!$C$2-$C115)^2+(HSP!$D$2-$D115)^2))</f>
        <v>13.593086478059353</v>
      </c>
      <c r="G115" s="17">
        <f>SQRT((4*(HSP!$B$3-$B115)^2+(HSP!$C$3-$C115)^2+(HSP!$D$3-$D115)^2))</f>
        <v>11.213045973329459</v>
      </c>
      <c r="H115" s="17">
        <f>SQRT((4*(HSP!$B$4-$B115)^2+(HSP!$C$4-$C115)^2+(HSP!$D$4-$D115)^2))</f>
        <v>9.9748684201847997</v>
      </c>
      <c r="I115" s="17">
        <f>SQRT((4*(HSP!$B$5-$B115)^2+(HSP!$C$5-$C115)^2+(HSP!$D$5-$D115)^2))</f>
        <v>16.406550521057131</v>
      </c>
      <c r="J115" s="17">
        <f>SQRT((4*(HSP!$B$6-$B115)^2+(HSP!$C$6-$C115)^2+(HSP!$D$6-$D115)^2))</f>
        <v>9.1323052949405952</v>
      </c>
      <c r="K115" s="17">
        <f t="shared" si="0"/>
        <v>4.5310288260197842</v>
      </c>
      <c r="L115" s="17">
        <f t="shared" si="1"/>
        <v>3.7376819911098198</v>
      </c>
      <c r="M115" s="17">
        <f t="shared" si="2"/>
        <v>3.3249561400615999</v>
      </c>
      <c r="N115" s="17">
        <f t="shared" si="3"/>
        <v>5.46885017368571</v>
      </c>
      <c r="O115" s="17">
        <f t="shared" si="4"/>
        <v>3.0441017649801982</v>
      </c>
      <c r="P115" s="17">
        <f>$F115/HSP!$E$2</f>
        <v>0.83393168577051247</v>
      </c>
      <c r="Q115" s="17">
        <f>$G115/HSP!$E$3</f>
        <v>0.83059599802440431</v>
      </c>
      <c r="R115" s="17">
        <f>$H115/HSP!$E$4</f>
        <v>0.62735021510596223</v>
      </c>
      <c r="S115" s="17">
        <f>$I115/HSP!$E$5</f>
        <v>1.1975584321939512</v>
      </c>
      <c r="T115" s="17">
        <f>$J115/HSP!$E$6</f>
        <v>0.61704765506355375</v>
      </c>
      <c r="U115" s="18" t="s">
        <v>473</v>
      </c>
      <c r="V115" s="12"/>
      <c r="W115" s="12"/>
      <c r="X115" s="12"/>
      <c r="Y115" s="12"/>
      <c r="Z115" s="12"/>
    </row>
    <row r="116" spans="1:26" ht="15" customHeight="1" x14ac:dyDescent="0.3">
      <c r="A116" s="26" t="s">
        <v>583</v>
      </c>
      <c r="B116" s="17">
        <v>20.3</v>
      </c>
      <c r="C116" s="17">
        <v>15.4</v>
      </c>
      <c r="D116" s="17">
        <v>5.3</v>
      </c>
      <c r="E116" s="17">
        <v>15.1</v>
      </c>
      <c r="F116" s="17">
        <f>SQRT((4*(HSP!$B$2-$B116)^2+(HSP!$C$2-$C116)^2+(HSP!$D$2-$D116)^2))</f>
        <v>12.537384097171149</v>
      </c>
      <c r="G116" s="17">
        <f>SQRT((4*(HSP!$B$3-$B116)^2+(HSP!$C$3-$C116)^2+(HSP!$D$3-$D116)^2))</f>
        <v>10.873196402162524</v>
      </c>
      <c r="H116" s="17">
        <f>SQRT((4*(HSP!$B$4-$B116)^2+(HSP!$C$4-$C116)^2+(HSP!$D$4-$D116)^2))</f>
        <v>14.914288451012339</v>
      </c>
      <c r="I116" s="17">
        <f>SQRT((4*(HSP!$B$5-$B116)^2+(HSP!$C$5-$C116)^2+(HSP!$D$5-$D116)^2))</f>
        <v>11.835662212145126</v>
      </c>
      <c r="J116" s="17">
        <f>SQRT((4*(HSP!$B$6-$B116)^2+(HSP!$C$6-$C116)^2+(HSP!$D$6-$D116)^2))</f>
        <v>13.55606875166986</v>
      </c>
      <c r="K116" s="17">
        <f t="shared" si="0"/>
        <v>0.83029033756100323</v>
      </c>
      <c r="L116" s="17">
        <f t="shared" si="1"/>
        <v>0.72007923193129297</v>
      </c>
      <c r="M116" s="17">
        <f t="shared" si="2"/>
        <v>0.98770122192134702</v>
      </c>
      <c r="N116" s="17">
        <f t="shared" si="3"/>
        <v>0.78381868954603484</v>
      </c>
      <c r="O116" s="17">
        <f t="shared" si="4"/>
        <v>0.89775289746158016</v>
      </c>
      <c r="P116" s="17">
        <f>$F116/HSP!$E$2</f>
        <v>0.76916466853810728</v>
      </c>
      <c r="Q116" s="17">
        <f>$G116/HSP!$E$3</f>
        <v>0.80542195571574249</v>
      </c>
      <c r="R116" s="17">
        <f>$H116/HSP!$E$4</f>
        <v>0.93800556295675086</v>
      </c>
      <c r="S116" s="17">
        <f>$I116/HSP!$E$5</f>
        <v>0.86391694979161504</v>
      </c>
      <c r="T116" s="17">
        <f>$J116/HSP!$E$6</f>
        <v>0.91595059132904455</v>
      </c>
      <c r="U116" s="18" t="s">
        <v>473</v>
      </c>
      <c r="V116" s="12"/>
      <c r="W116" s="12"/>
      <c r="X116" s="12"/>
      <c r="Y116" s="12"/>
      <c r="Z116" s="12"/>
    </row>
    <row r="117" spans="1:26" ht="15" customHeight="1" x14ac:dyDescent="0.3">
      <c r="A117" s="26" t="s">
        <v>584</v>
      </c>
      <c r="B117" s="17">
        <v>19.5</v>
      </c>
      <c r="C117" s="17">
        <v>11.6</v>
      </c>
      <c r="D117" s="17">
        <v>9.3000000000000007</v>
      </c>
      <c r="E117" s="17">
        <v>10</v>
      </c>
      <c r="F117" s="17">
        <f>SQRT((4*(HSP!$B$2-$B117)^2+(HSP!$C$2-$C117)^2+(HSP!$D$2-$D117)^2))</f>
        <v>10.13518623410542</v>
      </c>
      <c r="G117" s="17">
        <f>SQRT((4*(HSP!$B$3-$B117)^2+(HSP!$C$3-$C117)^2+(HSP!$D$3-$D117)^2))</f>
        <v>8.5987440943430808</v>
      </c>
      <c r="H117" s="17">
        <f>SQRT((4*(HSP!$B$4-$B117)^2+(HSP!$C$4-$C117)^2+(HSP!$D$4-$D117)^2))</f>
        <v>11.36362618181362</v>
      </c>
      <c r="I117" s="17">
        <f>SQRT((4*(HSP!$B$5-$B117)^2+(HSP!$C$5-$C117)^2+(HSP!$D$5-$D117)^2))</f>
        <v>8.6880895483414537</v>
      </c>
      <c r="J117" s="17">
        <f>SQRT((4*(HSP!$B$6-$B117)^2+(HSP!$C$6-$C117)^2+(HSP!$D$6-$D117)^2))</f>
        <v>11.313841080729391</v>
      </c>
      <c r="K117" s="17">
        <f t="shared" si="0"/>
        <v>1.013518623410542</v>
      </c>
      <c r="L117" s="17">
        <f t="shared" si="1"/>
        <v>0.85987440943430804</v>
      </c>
      <c r="M117" s="17">
        <f t="shared" si="2"/>
        <v>1.136362618181362</v>
      </c>
      <c r="N117" s="17">
        <f t="shared" si="3"/>
        <v>0.86880895483414533</v>
      </c>
      <c r="O117" s="17">
        <f t="shared" si="4"/>
        <v>1.1313841080729392</v>
      </c>
      <c r="P117" s="17">
        <f>$F117/HSP!$E$2</f>
        <v>0.62179056650953501</v>
      </c>
      <c r="Q117" s="17">
        <f>$G117/HSP!$E$3</f>
        <v>0.63694400698837639</v>
      </c>
      <c r="R117" s="17">
        <f>$H117/HSP!$E$4</f>
        <v>0.71469347055431576</v>
      </c>
      <c r="S117" s="17">
        <f>$I117/HSP!$E$5</f>
        <v>0.63416712031689448</v>
      </c>
      <c r="T117" s="17">
        <f>$J117/HSP!$E$6</f>
        <v>0.76444872167090483</v>
      </c>
      <c r="U117" s="18" t="s">
        <v>500</v>
      </c>
      <c r="V117" s="12"/>
      <c r="W117" s="12"/>
      <c r="X117" s="12"/>
      <c r="Y117" s="12"/>
      <c r="Z117" s="12"/>
    </row>
    <row r="118" spans="1:26" ht="15" customHeight="1" x14ac:dyDescent="0.3">
      <c r="A118" s="26" t="s">
        <v>585</v>
      </c>
      <c r="B118" s="17">
        <v>17.8</v>
      </c>
      <c r="C118" s="17">
        <v>10.4</v>
      </c>
      <c r="D118" s="17">
        <v>6.8</v>
      </c>
      <c r="E118" s="17">
        <v>9.3000000000000007</v>
      </c>
      <c r="F118" s="17">
        <f>SQRT((4*(HSP!$B$2-$B118)^2+(HSP!$C$2-$C118)^2+(HSP!$D$2-$D118)^2))</f>
        <v>6.4028118822904698</v>
      </c>
      <c r="G118" s="17">
        <f>SQRT((4*(HSP!$B$3-$B118)^2+(HSP!$C$3-$C118)^2+(HSP!$D$3-$D118)^2))</f>
        <v>4.3950426619089855</v>
      </c>
      <c r="H118" s="17">
        <f>SQRT((4*(HSP!$B$4-$B118)^2+(HSP!$C$4-$C118)^2+(HSP!$D$4-$D118)^2))</f>
        <v>7.7708429401191754</v>
      </c>
      <c r="I118" s="17">
        <f>SQRT((4*(HSP!$B$5-$B118)^2+(HSP!$C$5-$C118)^2+(HSP!$D$5-$D118)^2))</f>
        <v>6.931298579631382</v>
      </c>
      <c r="J118" s="17">
        <f>SQRT((4*(HSP!$B$6-$B118)^2+(HSP!$C$6-$C118)^2+(HSP!$D$6-$D118)^2))</f>
        <v>7.0758038412607247</v>
      </c>
      <c r="K118" s="17">
        <f t="shared" si="0"/>
        <v>0.68847439594521176</v>
      </c>
      <c r="L118" s="17">
        <f t="shared" si="1"/>
        <v>0.47258523246333173</v>
      </c>
      <c r="M118" s="17">
        <f t="shared" si="2"/>
        <v>0.83557450969023384</v>
      </c>
      <c r="N118" s="17">
        <f t="shared" si="3"/>
        <v>0.74530092254100877</v>
      </c>
      <c r="O118" s="17">
        <f t="shared" si="4"/>
        <v>0.76083912271620691</v>
      </c>
      <c r="P118" s="17">
        <f>$F118/HSP!$E$2</f>
        <v>0.3928105449257957</v>
      </c>
      <c r="Q118" s="17">
        <f>$G118/HSP!$E$3</f>
        <v>0.32555871569696188</v>
      </c>
      <c r="R118" s="17">
        <f>$H118/HSP!$E$4</f>
        <v>0.48873226038485379</v>
      </c>
      <c r="S118" s="17">
        <f>$I118/HSP!$E$5</f>
        <v>0.50593420289280167</v>
      </c>
      <c r="T118" s="17">
        <f>$J118/HSP!$E$6</f>
        <v>0.47809485413923813</v>
      </c>
      <c r="U118" s="18" t="s">
        <v>500</v>
      </c>
      <c r="V118" s="12"/>
      <c r="W118" s="12"/>
      <c r="X118" s="12"/>
      <c r="Y118" s="12"/>
      <c r="Z118" s="12"/>
    </row>
    <row r="119" spans="1:26" ht="15" customHeight="1" x14ac:dyDescent="0.3">
      <c r="A119" s="26" t="s">
        <v>586</v>
      </c>
      <c r="B119" s="17">
        <v>17.8</v>
      </c>
      <c r="C119" s="17">
        <v>5.6</v>
      </c>
      <c r="D119" s="17">
        <v>6.8</v>
      </c>
      <c r="E119" s="17">
        <v>4.5</v>
      </c>
      <c r="F119" s="17">
        <f>SQRT((4*(HSP!$B$2-$B119)^2+(HSP!$C$2-$C119)^2+(HSP!$D$2-$D119)^2))</f>
        <v>8.038158993202364</v>
      </c>
      <c r="G119" s="17">
        <f>SQRT((4*(HSP!$B$3-$B119)^2+(HSP!$C$3-$C119)^2+(HSP!$D$3-$D119)^2))</f>
        <v>5.9373731565398531</v>
      </c>
      <c r="H119" s="17">
        <f>SQRT((4*(HSP!$B$4-$B119)^2+(HSP!$C$4-$C119)^2+(HSP!$D$4-$D119)^2))</f>
        <v>5.3398501851643756</v>
      </c>
      <c r="I119" s="17">
        <f>SQRT((4*(HSP!$B$5-$B119)^2+(HSP!$C$5-$C119)^2+(HSP!$D$5-$D119)^2))</f>
        <v>9.662033947363259</v>
      </c>
      <c r="J119" s="17">
        <f>SQRT((4*(HSP!$B$6-$B119)^2+(HSP!$C$6-$C119)^2+(HSP!$D$6-$D119)^2))</f>
        <v>5.9156571908791351</v>
      </c>
      <c r="K119" s="17">
        <f t="shared" si="0"/>
        <v>1.7862575540449699</v>
      </c>
      <c r="L119" s="17">
        <f t="shared" si="1"/>
        <v>1.3194162570088563</v>
      </c>
      <c r="M119" s="17">
        <f t="shared" si="2"/>
        <v>1.1866333744809723</v>
      </c>
      <c r="N119" s="17">
        <f t="shared" si="3"/>
        <v>2.1471186549696131</v>
      </c>
      <c r="O119" s="17">
        <f t="shared" si="4"/>
        <v>1.3145904868620299</v>
      </c>
      <c r="P119" s="17">
        <f>$F119/HSP!$E$2</f>
        <v>0.49313858854002229</v>
      </c>
      <c r="Q119" s="17">
        <f>$G119/HSP!$E$3</f>
        <v>0.43980541900295206</v>
      </c>
      <c r="R119" s="17">
        <f>$H119/HSP!$E$4</f>
        <v>0.33583963428706765</v>
      </c>
      <c r="S119" s="17">
        <f>$I119/HSP!$E$5</f>
        <v>0.70525795236228173</v>
      </c>
      <c r="T119" s="17">
        <f>$J119/HSP!$E$6</f>
        <v>0.39970656695129292</v>
      </c>
      <c r="U119" s="18" t="s">
        <v>471</v>
      </c>
      <c r="V119" s="12"/>
      <c r="W119" s="12"/>
      <c r="X119" s="12"/>
      <c r="Y119" s="12"/>
      <c r="Z119" s="12"/>
    </row>
    <row r="120" spans="1:26" ht="15" customHeight="1" x14ac:dyDescent="0.3">
      <c r="A120" s="26" t="s">
        <v>587</v>
      </c>
      <c r="B120" s="17">
        <v>17.3</v>
      </c>
      <c r="C120" s="17">
        <v>4.2</v>
      </c>
      <c r="D120" s="17">
        <v>7.9</v>
      </c>
      <c r="E120" s="17">
        <v>9.3000000000000007</v>
      </c>
      <c r="F120" s="17">
        <f>SQRT((4*(HSP!$B$2-$B120)^2+(HSP!$C$2-$C120)^2+(HSP!$D$2-$D120)^2))</f>
        <v>8.3182930941389674</v>
      </c>
      <c r="G120" s="17">
        <f>SQRT((4*(HSP!$B$3-$B120)^2+(HSP!$C$3-$C120)^2+(HSP!$D$3-$D120)^2))</f>
        <v>6.6713117150977146</v>
      </c>
      <c r="H120" s="17">
        <f>SQRT((4*(HSP!$B$4-$B120)^2+(HSP!$C$4-$C120)^2+(HSP!$D$4-$D120)^2))</f>
        <v>4.4258332548798105</v>
      </c>
      <c r="I120" s="17">
        <f>SQRT((4*(HSP!$B$5-$B120)^2+(HSP!$C$5-$C120)^2+(HSP!$D$5-$D120)^2))</f>
        <v>9.9123609700212185</v>
      </c>
      <c r="J120" s="17">
        <f>SQRT((4*(HSP!$B$6-$B120)^2+(HSP!$C$6-$C120)^2+(HSP!$D$6-$D120)^2))</f>
        <v>6.1529667640903138</v>
      </c>
      <c r="K120" s="17">
        <f t="shared" si="0"/>
        <v>0.89444011764935127</v>
      </c>
      <c r="L120" s="17">
        <f t="shared" si="1"/>
        <v>0.71734534570943165</v>
      </c>
      <c r="M120" s="17">
        <f t="shared" si="2"/>
        <v>0.47589604891180753</v>
      </c>
      <c r="N120" s="17">
        <f t="shared" si="3"/>
        <v>1.0658452655936794</v>
      </c>
      <c r="O120" s="17">
        <f t="shared" si="4"/>
        <v>0.66160932947207673</v>
      </c>
      <c r="P120" s="17">
        <f>$F120/HSP!$E$2</f>
        <v>0.51032472970177711</v>
      </c>
      <c r="Q120" s="17">
        <f>$G120/HSP!$E$3</f>
        <v>0.49417123815538627</v>
      </c>
      <c r="R120" s="17">
        <f>$H120/HSP!$E$4</f>
        <v>0.2783542927597365</v>
      </c>
      <c r="S120" s="17">
        <f>$I120/HSP!$E$5</f>
        <v>0.72352999781176786</v>
      </c>
      <c r="T120" s="17">
        <f>$J120/HSP!$E$6</f>
        <v>0.41574099757366983</v>
      </c>
      <c r="U120" s="18" t="s">
        <v>471</v>
      </c>
      <c r="V120" s="12"/>
      <c r="W120" s="12"/>
      <c r="X120" s="12"/>
      <c r="Y120" s="12"/>
      <c r="Z120" s="12"/>
    </row>
    <row r="121" spans="1:26" ht="15" customHeight="1" x14ac:dyDescent="0.3">
      <c r="A121" s="26" t="s">
        <v>588</v>
      </c>
      <c r="B121" s="17">
        <v>22.6</v>
      </c>
      <c r="C121" s="17">
        <v>13.1</v>
      </c>
      <c r="D121" s="17">
        <v>5.8</v>
      </c>
      <c r="E121" s="17">
        <v>16.8</v>
      </c>
      <c r="F121" s="17">
        <f>SQRT((4*(HSP!$B$2-$B121)^2+(HSP!$C$2-$C121)^2+(HSP!$D$2-$D121)^2))</f>
        <v>16.259212773071152</v>
      </c>
      <c r="G121" s="17">
        <f>SQRT((4*(HSP!$B$3-$B121)^2+(HSP!$C$3-$C121)^2+(HSP!$D$3-$D121)^2))</f>
        <v>14.241713380067727</v>
      </c>
      <c r="H121" s="17">
        <f>SQRT((4*(HSP!$B$4-$B121)^2+(HSP!$C$4-$C121)^2+(HSP!$D$4-$D121)^2))</f>
        <v>17.108945028843834</v>
      </c>
      <c r="I121" s="17">
        <f>SQRT((4*(HSP!$B$5-$B121)^2+(HSP!$C$5-$C121)^2+(HSP!$D$5-$D121)^2))</f>
        <v>15.536309085493894</v>
      </c>
      <c r="J121" s="17">
        <f>SQRT((4*(HSP!$B$6-$B121)^2+(HSP!$C$6-$C121)^2+(HSP!$D$6-$D121)^2))</f>
        <v>16.223655568336014</v>
      </c>
      <c r="K121" s="17">
        <f t="shared" si="0"/>
        <v>0.96781028411137804</v>
      </c>
      <c r="L121" s="17">
        <f t="shared" si="1"/>
        <v>0.84772103452784087</v>
      </c>
      <c r="M121" s="17">
        <f t="shared" si="2"/>
        <v>1.0183895850502283</v>
      </c>
      <c r="N121" s="17">
        <f t="shared" si="3"/>
        <v>0.92478030270796985</v>
      </c>
      <c r="O121" s="17">
        <f t="shared" si="4"/>
        <v>0.96569378382952453</v>
      </c>
      <c r="P121" s="17">
        <f>$F121/HSP!$E$2</f>
        <v>0.99749771613933447</v>
      </c>
      <c r="Q121" s="17">
        <f>$G121/HSP!$E$3</f>
        <v>1.0549417318568688</v>
      </c>
      <c r="R121" s="17">
        <f>$H121/HSP!$E$4</f>
        <v>1.0760342785436374</v>
      </c>
      <c r="S121" s="17">
        <f>$I121/HSP!$E$5</f>
        <v>1.1340371595251018</v>
      </c>
      <c r="T121" s="17">
        <f>$J121/HSP!$E$6</f>
        <v>1.0961929438064875</v>
      </c>
      <c r="U121" s="18" t="s">
        <v>471</v>
      </c>
      <c r="V121" s="12"/>
      <c r="W121" s="12"/>
      <c r="X121" s="12"/>
      <c r="Y121" s="12"/>
      <c r="Z121" s="12"/>
    </row>
    <row r="122" spans="1:26" ht="15" customHeight="1" x14ac:dyDescent="0.3">
      <c r="A122" s="26" t="s">
        <v>589</v>
      </c>
      <c r="B122" s="17">
        <v>20</v>
      </c>
      <c r="C122" s="17">
        <v>6.2</v>
      </c>
      <c r="D122" s="17">
        <v>7</v>
      </c>
      <c r="E122" s="17">
        <v>9.5</v>
      </c>
      <c r="F122" s="17">
        <f>SQRT((4*(HSP!$B$2-$B122)^2+(HSP!$C$2-$C122)^2+(HSP!$D$2-$D122)^2))</f>
        <v>11.609823426736517</v>
      </c>
      <c r="G122" s="17">
        <f>SQRT((4*(HSP!$B$3-$B122)^2+(HSP!$C$3-$C122)^2+(HSP!$D$3-$D122)^2))</f>
        <v>9.3631404987856506</v>
      </c>
      <c r="H122" s="17">
        <f>SQRT((4*(HSP!$B$4-$B122)^2+(HSP!$C$4-$C122)^2+(HSP!$D$4-$D122)^2))</f>
        <v>9.780899754112605</v>
      </c>
      <c r="I122" s="17">
        <f>SQRT((4*(HSP!$B$5-$B122)^2+(HSP!$C$5-$C122)^2+(HSP!$D$5-$D122)^2))</f>
        <v>12.142771512303112</v>
      </c>
      <c r="J122" s="17">
        <f>SQRT((4*(HSP!$B$6-$B122)^2+(HSP!$C$6-$C122)^2+(HSP!$D$6-$D122)^2))</f>
        <v>9.9733143939214113</v>
      </c>
      <c r="K122" s="17">
        <f t="shared" si="0"/>
        <v>1.2220866764985807</v>
      </c>
      <c r="L122" s="17">
        <f t="shared" si="1"/>
        <v>0.98559373671427897</v>
      </c>
      <c r="M122" s="17">
        <f t="shared" si="2"/>
        <v>1.0295683951697479</v>
      </c>
      <c r="N122" s="17">
        <f t="shared" si="3"/>
        <v>1.2781864749792748</v>
      </c>
      <c r="O122" s="17">
        <f t="shared" si="4"/>
        <v>1.0498225677812012</v>
      </c>
      <c r="P122" s="17">
        <f>$F122/HSP!$E$2</f>
        <v>0.71225910593475561</v>
      </c>
      <c r="Q122" s="17">
        <f>$G122/HSP!$E$3</f>
        <v>0.6935659628730112</v>
      </c>
      <c r="R122" s="17">
        <f>$H122/HSP!$E$4</f>
        <v>0.61515092793161041</v>
      </c>
      <c r="S122" s="17">
        <f>$I122/HSP!$E$5</f>
        <v>0.88633368702942428</v>
      </c>
      <c r="T122" s="17">
        <f>$J122/HSP!$E$6</f>
        <v>0.67387259418387913</v>
      </c>
      <c r="U122" s="18" t="s">
        <v>492</v>
      </c>
      <c r="V122" s="12"/>
      <c r="W122" s="12"/>
      <c r="X122" s="12"/>
      <c r="Y122" s="12"/>
      <c r="Z122" s="12"/>
    </row>
    <row r="123" spans="1:26" ht="15" customHeight="1" x14ac:dyDescent="0.3">
      <c r="A123" s="26" t="s">
        <v>590</v>
      </c>
      <c r="B123" s="17">
        <v>18.8</v>
      </c>
      <c r="C123" s="17">
        <v>14</v>
      </c>
      <c r="D123" s="17">
        <v>12.3</v>
      </c>
      <c r="E123" s="17">
        <v>10.5</v>
      </c>
      <c r="F123" s="17">
        <f>SQRT((4*(HSP!$B$2-$B123)^2+(HSP!$C$2-$C123)^2+(HSP!$D$2-$D123)^2))</f>
        <v>10.554335602016833</v>
      </c>
      <c r="G123" s="17">
        <f>SQRT((4*(HSP!$B$3-$B123)^2+(HSP!$C$3-$C123)^2+(HSP!$D$3-$D123)^2))</f>
        <v>9.9756904522945202</v>
      </c>
      <c r="H123" s="17">
        <f>SQRT((4*(HSP!$B$4-$B123)^2+(HSP!$C$4-$C123)^2+(HSP!$D$4-$D123)^2))</f>
        <v>13.031500297356404</v>
      </c>
      <c r="I123" s="17">
        <f>SQRT((4*(HSP!$B$5-$B123)^2+(HSP!$C$5-$C123)^2+(HSP!$D$5-$D123)^2))</f>
        <v>7.3047176536810809</v>
      </c>
      <c r="J123" s="17">
        <f>SQRT((4*(HSP!$B$6-$B123)^2+(HSP!$C$6-$C123)^2+(HSP!$D$6-$D123)^2))</f>
        <v>13.362297706607201</v>
      </c>
      <c r="K123" s="17">
        <f t="shared" si="0"/>
        <v>1.0051748192396983</v>
      </c>
      <c r="L123" s="17">
        <f t="shared" si="1"/>
        <v>0.95006575736138288</v>
      </c>
      <c r="M123" s="17">
        <f t="shared" si="2"/>
        <v>1.2410952664148955</v>
      </c>
      <c r="N123" s="17">
        <f t="shared" si="3"/>
        <v>0.69568739558867443</v>
      </c>
      <c r="O123" s="17">
        <f t="shared" si="4"/>
        <v>1.2725997815816381</v>
      </c>
      <c r="P123" s="17">
        <f>$F123/HSP!$E$2</f>
        <v>0.64750525165747441</v>
      </c>
      <c r="Q123" s="17">
        <f>$G123/HSP!$E$3</f>
        <v>0.73894003350329784</v>
      </c>
      <c r="R123" s="17">
        <f>$H123/HSP!$E$4</f>
        <v>0.81959121367021404</v>
      </c>
      <c r="S123" s="17">
        <f>$I123/HSP!$E$5</f>
        <v>0.53319106961175777</v>
      </c>
      <c r="T123" s="17">
        <f>$J123/HSP!$E$6</f>
        <v>0.9028579531491352</v>
      </c>
      <c r="U123" s="18" t="s">
        <v>591</v>
      </c>
      <c r="V123" s="12"/>
      <c r="W123" s="12"/>
      <c r="X123" s="12"/>
      <c r="Y123" s="12"/>
      <c r="Z123" s="12"/>
    </row>
    <row r="124" spans="1:26" ht="15" customHeight="1" x14ac:dyDescent="0.3">
      <c r="A124" s="26" t="s">
        <v>592</v>
      </c>
      <c r="B124" s="17">
        <v>19.899999999999999</v>
      </c>
      <c r="C124" s="17">
        <v>15.8</v>
      </c>
      <c r="D124" s="17">
        <v>13.4</v>
      </c>
      <c r="E124" s="17">
        <v>11.7</v>
      </c>
      <c r="F124" s="17">
        <f>SQRT((4*(HSP!$B$2-$B124)^2+(HSP!$C$2-$C124)^2+(HSP!$D$2-$D124)^2))</f>
        <v>13.49414687929548</v>
      </c>
      <c r="G124" s="17">
        <f>SQRT((4*(HSP!$B$3-$B124)^2+(HSP!$C$3-$C124)^2+(HSP!$D$3-$D124)^2))</f>
        <v>12.886132080651663</v>
      </c>
      <c r="H124" s="17">
        <f>SQRT((4*(HSP!$B$4-$B124)^2+(HSP!$C$4-$C124)^2+(HSP!$D$4-$D124)^2))</f>
        <v>16.022047309878971</v>
      </c>
      <c r="I124" s="17">
        <f>SQRT((4*(HSP!$B$5-$B124)^2+(HSP!$C$5-$C124)^2+(HSP!$D$5-$D124)^2))</f>
        <v>10.066523729669541</v>
      </c>
      <c r="J124" s="17">
        <f>SQRT((4*(HSP!$B$6-$B124)^2+(HSP!$C$6-$C124)^2+(HSP!$D$6-$D124)^2))</f>
        <v>16.271047907249244</v>
      </c>
      <c r="K124" s="17">
        <f t="shared" si="0"/>
        <v>1.1533458871192719</v>
      </c>
      <c r="L124" s="17">
        <f t="shared" si="1"/>
        <v>1.101378810312108</v>
      </c>
      <c r="M124" s="17">
        <f t="shared" si="2"/>
        <v>1.3694057529811088</v>
      </c>
      <c r="N124" s="17">
        <f t="shared" si="3"/>
        <v>0.8603866435614993</v>
      </c>
      <c r="O124" s="17">
        <f t="shared" si="4"/>
        <v>1.3906878553204483</v>
      </c>
      <c r="P124" s="17">
        <f>$F124/HSP!$E$2</f>
        <v>0.82786177173591902</v>
      </c>
      <c r="Q124" s="17">
        <f>$G124/HSP!$E$3</f>
        <v>0.95452830227049357</v>
      </c>
      <c r="R124" s="17">
        <f>$H124/HSP!$E$4</f>
        <v>1.007675931438929</v>
      </c>
      <c r="S124" s="17">
        <f>$I124/HSP!$E$5</f>
        <v>0.73478275399047743</v>
      </c>
      <c r="T124" s="17">
        <f>$J124/HSP!$E$6</f>
        <v>1.099395128868192</v>
      </c>
      <c r="U124" s="18" t="s">
        <v>591</v>
      </c>
      <c r="V124" s="12"/>
      <c r="W124" s="12"/>
      <c r="X124" s="12"/>
      <c r="Y124" s="12"/>
      <c r="Z124" s="12"/>
    </row>
    <row r="125" spans="1:26" ht="15" customHeight="1" x14ac:dyDescent="0.3">
      <c r="A125" s="26" t="s">
        <v>593</v>
      </c>
      <c r="B125" s="17">
        <v>18.7</v>
      </c>
      <c r="C125" s="17">
        <v>2.2999999999999998</v>
      </c>
      <c r="D125" s="17">
        <v>0.7</v>
      </c>
      <c r="E125" s="17">
        <v>6</v>
      </c>
      <c r="F125" s="17">
        <f>SQRT((4*(HSP!$B$2-$B125)^2+(HSP!$C$2-$C125)^2+(HSP!$D$2-$D125)^2))</f>
        <v>13.162978386368337</v>
      </c>
      <c r="G125" s="17">
        <f>SQRT((4*(HSP!$B$3-$B125)^2+(HSP!$C$3-$C125)^2+(HSP!$D$3-$D125)^2))</f>
        <v>10.799277753627786</v>
      </c>
      <c r="H125" s="17">
        <f>SQRT((4*(HSP!$B$4-$B125)^2+(HSP!$C$4-$C125)^2+(HSP!$D$4-$D125)^2))</f>
        <v>9.6290186415854429</v>
      </c>
      <c r="I125" s="17">
        <f>SQRT((4*(HSP!$B$5-$B125)^2+(HSP!$C$5-$C125)^2+(HSP!$D$5-$D125)^2))</f>
        <v>16.133471418141852</v>
      </c>
      <c r="J125" s="17">
        <f>SQRT((4*(HSP!$B$6-$B125)^2+(HSP!$C$6-$C125)^2+(HSP!$D$6-$D125)^2))</f>
        <v>8.6045917974067763</v>
      </c>
      <c r="K125" s="17">
        <f t="shared" si="0"/>
        <v>2.1938297310613897</v>
      </c>
      <c r="L125" s="17">
        <f t="shared" si="1"/>
        <v>1.799879625604631</v>
      </c>
      <c r="M125" s="17">
        <f t="shared" si="2"/>
        <v>1.6048364402642405</v>
      </c>
      <c r="N125" s="17">
        <f t="shared" si="3"/>
        <v>2.6889119030236421</v>
      </c>
      <c r="O125" s="17">
        <f t="shared" si="4"/>
        <v>1.4340986329011294</v>
      </c>
      <c r="P125" s="17">
        <f>$F125/HSP!$E$2</f>
        <v>0.8075446862802661</v>
      </c>
      <c r="Q125" s="17">
        <f>$G125/HSP!$E$3</f>
        <v>0.79994650026872494</v>
      </c>
      <c r="R125" s="17">
        <f>$H125/HSP!$E$4</f>
        <v>0.605598656703487</v>
      </c>
      <c r="S125" s="17">
        <f>$I125/HSP!$E$5</f>
        <v>1.1776256509592593</v>
      </c>
      <c r="T125" s="17">
        <f>$J125/HSP!$E$6</f>
        <v>0.58139133766261997</v>
      </c>
      <c r="U125" s="18" t="s">
        <v>591</v>
      </c>
      <c r="V125" s="12"/>
      <c r="W125" s="12"/>
      <c r="X125" s="12"/>
      <c r="Y125" s="12"/>
      <c r="Z125" s="12"/>
    </row>
    <row r="126" spans="1:26" ht="15" customHeight="1" x14ac:dyDescent="0.3">
      <c r="A126" s="26" t="s">
        <v>594</v>
      </c>
      <c r="B126" s="17">
        <v>19</v>
      </c>
      <c r="C126" s="17">
        <v>2</v>
      </c>
      <c r="D126" s="17">
        <v>1</v>
      </c>
      <c r="E126" s="17">
        <v>3</v>
      </c>
      <c r="F126" s="17">
        <f>SQRT((4*(HSP!$B$2-$B126)^2+(HSP!$C$2-$C126)^2+(HSP!$D$2-$D126)^2))</f>
        <v>13.593086478059353</v>
      </c>
      <c r="G126" s="17">
        <f>SQRT((4*(HSP!$B$3-$B126)^2+(HSP!$C$3-$C126)^2+(HSP!$D$3-$D126)^2))</f>
        <v>11.213045973329459</v>
      </c>
      <c r="H126" s="17">
        <f>SQRT((4*(HSP!$B$4-$B126)^2+(HSP!$C$4-$C126)^2+(HSP!$D$4-$D126)^2))</f>
        <v>9.9748684201847997</v>
      </c>
      <c r="I126" s="17">
        <f>SQRT((4*(HSP!$B$5-$B126)^2+(HSP!$C$5-$C126)^2+(HSP!$D$5-$D126)^2))</f>
        <v>16.406550521057131</v>
      </c>
      <c r="J126" s="17">
        <f>SQRT((4*(HSP!$B$6-$B126)^2+(HSP!$C$6-$C126)^2+(HSP!$D$6-$D126)^2))</f>
        <v>9.1323052949405952</v>
      </c>
      <c r="K126" s="17">
        <f t="shared" si="0"/>
        <v>4.5310288260197842</v>
      </c>
      <c r="L126" s="17">
        <f t="shared" si="1"/>
        <v>3.7376819911098198</v>
      </c>
      <c r="M126" s="17">
        <f t="shared" si="2"/>
        <v>3.3249561400615999</v>
      </c>
      <c r="N126" s="17">
        <f t="shared" si="3"/>
        <v>5.46885017368571</v>
      </c>
      <c r="O126" s="17">
        <f t="shared" si="4"/>
        <v>3.0441017649801982</v>
      </c>
      <c r="P126" s="17">
        <f>$F126/HSP!$E$2</f>
        <v>0.83393168577051247</v>
      </c>
      <c r="Q126" s="17">
        <f>$G126/HSP!$E$3</f>
        <v>0.83059599802440431</v>
      </c>
      <c r="R126" s="17">
        <f>$H126/HSP!$E$4</f>
        <v>0.62735021510596223</v>
      </c>
      <c r="S126" s="17">
        <f>$I126/HSP!$E$5</f>
        <v>1.1975584321939512</v>
      </c>
      <c r="T126" s="17">
        <f>$J126/HSP!$E$6</f>
        <v>0.61704765506355375</v>
      </c>
      <c r="U126" s="18" t="s">
        <v>591</v>
      </c>
      <c r="V126" s="12"/>
      <c r="W126" s="12"/>
      <c r="X126" s="12"/>
      <c r="Y126" s="12"/>
      <c r="Z126" s="12"/>
    </row>
    <row r="127" spans="1:26" ht="15" customHeight="1" x14ac:dyDescent="0.3">
      <c r="A127" s="26" t="s">
        <v>595</v>
      </c>
      <c r="B127" s="17">
        <v>17.7</v>
      </c>
      <c r="C127" s="17">
        <v>3.3</v>
      </c>
      <c r="D127" s="17">
        <v>2.7</v>
      </c>
      <c r="E127" s="17">
        <v>5.4</v>
      </c>
      <c r="F127" s="17">
        <f>SQRT((4*(HSP!$B$2-$B127)^2+(HSP!$C$2-$C127)^2+(HSP!$D$2-$D127)^2))</f>
        <v>10.39345948180874</v>
      </c>
      <c r="G127" s="17">
        <f>SQRT((4*(HSP!$B$3-$B127)^2+(HSP!$C$3-$C127)^2+(HSP!$D$3-$D127)^2))</f>
        <v>8.145207179685487</v>
      </c>
      <c r="H127" s="17">
        <f>SQRT((4*(HSP!$B$4-$B127)^2+(HSP!$C$4-$C127)^2+(HSP!$D$4-$D127)^2))</f>
        <v>6.6571765787006116</v>
      </c>
      <c r="I127" s="17">
        <f>SQRT((4*(HSP!$B$5-$B127)^2+(HSP!$C$5-$C127)^2+(HSP!$D$5-$D127)^2))</f>
        <v>13.419720563409658</v>
      </c>
      <c r="J127" s="17">
        <f>SQRT((4*(HSP!$B$6-$B127)^2+(HSP!$C$6-$C127)^2+(HSP!$D$6-$D127)^2))</f>
        <v>5.8939799796063097</v>
      </c>
      <c r="K127" s="17">
        <f t="shared" si="0"/>
        <v>1.9247147188534703</v>
      </c>
      <c r="L127" s="17">
        <f t="shared" si="1"/>
        <v>1.5083716999417567</v>
      </c>
      <c r="M127" s="17">
        <f t="shared" si="2"/>
        <v>1.2328104775371502</v>
      </c>
      <c r="N127" s="17">
        <f t="shared" si="3"/>
        <v>2.4851334376684551</v>
      </c>
      <c r="O127" s="17">
        <f t="shared" si="4"/>
        <v>1.0914777740011683</v>
      </c>
      <c r="P127" s="17">
        <f>$F127/HSP!$E$2</f>
        <v>0.63763555103121106</v>
      </c>
      <c r="Q127" s="17">
        <f>$G127/HSP!$E$3</f>
        <v>0.60334867997670272</v>
      </c>
      <c r="R127" s="17">
        <f>$H127/HSP!$E$4</f>
        <v>0.41869035086167367</v>
      </c>
      <c r="S127" s="17">
        <f>$I127/HSP!$E$5</f>
        <v>0.97954164696420865</v>
      </c>
      <c r="T127" s="17">
        <f>$J127/HSP!$E$6</f>
        <v>0.39824189051393982</v>
      </c>
      <c r="U127" s="18" t="s">
        <v>492</v>
      </c>
      <c r="V127" s="12"/>
      <c r="W127" s="12"/>
      <c r="X127" s="12"/>
      <c r="Y127" s="12"/>
      <c r="Z127" s="12"/>
    </row>
    <row r="128" spans="1:26" ht="15" customHeight="1" x14ac:dyDescent="0.3">
      <c r="A128" s="26" t="s">
        <v>596</v>
      </c>
      <c r="B128" s="17">
        <v>20</v>
      </c>
      <c r="C128" s="17">
        <v>10.32</v>
      </c>
      <c r="D128" s="17">
        <v>10.11</v>
      </c>
      <c r="E128" s="17">
        <v>10.02</v>
      </c>
      <c r="F128" s="17">
        <f>SQRT((4*(HSP!$B$2-$B128)^2+(HSP!$C$2-$C128)^2+(HSP!$D$2-$D128)^2))</f>
        <v>11.245287902050352</v>
      </c>
      <c r="G128" s="17">
        <f>SQRT((4*(HSP!$B$3-$B128)^2+(HSP!$C$3-$C128)^2+(HSP!$D$3-$D128)^2))</f>
        <v>9.6511191060933452</v>
      </c>
      <c r="H128" s="17">
        <f>SQRT((4*(HSP!$B$4-$B128)^2+(HSP!$C$4-$C128)^2+(HSP!$D$4-$D128)^2))</f>
        <v>11.665388977655224</v>
      </c>
      <c r="I128" s="17">
        <f>SQRT((4*(HSP!$B$5-$B128)^2+(HSP!$C$5-$C128)^2+(HSP!$D$5-$D128)^2))</f>
        <v>9.7940798444774799</v>
      </c>
      <c r="J128" s="17">
        <f>SQRT((4*(HSP!$B$6-$B128)^2+(HSP!$C$6-$C128)^2+(HSP!$D$6-$D128)^2))</f>
        <v>11.99213492252318</v>
      </c>
      <c r="K128" s="17">
        <f t="shared" si="0"/>
        <v>1.1222842217615123</v>
      </c>
      <c r="L128" s="17">
        <f t="shared" si="1"/>
        <v>0.96318553953027397</v>
      </c>
      <c r="M128" s="17">
        <f t="shared" si="2"/>
        <v>1.1642104768118986</v>
      </c>
      <c r="N128" s="17">
        <f t="shared" si="3"/>
        <v>0.97745307829116568</v>
      </c>
      <c r="O128" s="17">
        <f t="shared" si="4"/>
        <v>1.1968198525472236</v>
      </c>
      <c r="P128" s="17">
        <f>$F128/HSP!$E$2</f>
        <v>0.68989496331597244</v>
      </c>
      <c r="Q128" s="17">
        <f>$G128/HSP!$E$3</f>
        <v>0.71489771156247006</v>
      </c>
      <c r="R128" s="17">
        <f>$H128/HSP!$E$4</f>
        <v>0.73367226274561159</v>
      </c>
      <c r="S128" s="17">
        <f>$I128/HSP!$E$5</f>
        <v>0.7148963390129548</v>
      </c>
      <c r="T128" s="17">
        <f>$J128/HSP!$E$6</f>
        <v>0.81027938665697152</v>
      </c>
      <c r="U128" s="18" t="s">
        <v>591</v>
      </c>
      <c r="V128" s="12"/>
      <c r="W128" s="12"/>
      <c r="X128" s="12"/>
      <c r="Y128" s="12"/>
      <c r="Z128" s="12"/>
    </row>
    <row r="129" spans="1:26" ht="15" customHeight="1" x14ac:dyDescent="0.3">
      <c r="A129" s="26" t="s">
        <v>597</v>
      </c>
      <c r="B129" s="17">
        <v>18.100000000000001</v>
      </c>
      <c r="C129" s="17">
        <v>11.4</v>
      </c>
      <c r="D129" s="17">
        <v>9</v>
      </c>
      <c r="E129" s="17">
        <v>9.1</v>
      </c>
      <c r="F129" s="17">
        <f>SQRT((4*(HSP!$B$2-$B129)^2+(HSP!$C$2-$C129)^2+(HSP!$D$2-$D129)^2))</f>
        <v>7.3460193302223242</v>
      </c>
      <c r="G129" s="17">
        <f>SQRT((4*(HSP!$B$3-$B129)^2+(HSP!$C$3-$C129)^2+(HSP!$D$3-$D129)^2))</f>
        <v>6.0309534901207815</v>
      </c>
      <c r="H129" s="17">
        <f>SQRT((4*(HSP!$B$4-$B129)^2+(HSP!$C$4-$C129)^2+(HSP!$D$4-$D129)^2))</f>
        <v>9.1835722896920693</v>
      </c>
      <c r="I129" s="17">
        <f>SQRT((4*(HSP!$B$5-$B129)^2+(HSP!$C$5-$C129)^2+(HSP!$D$5-$D129)^2))</f>
        <v>6.1239611363887709</v>
      </c>
      <c r="J129" s="17">
        <f>SQRT((4*(HSP!$B$6-$B129)^2+(HSP!$C$6-$C129)^2+(HSP!$D$6-$D129)^2))</f>
        <v>9.1246369790803215</v>
      </c>
      <c r="K129" s="17">
        <f t="shared" si="0"/>
        <v>0.80725487145300268</v>
      </c>
      <c r="L129" s="17">
        <f t="shared" si="1"/>
        <v>0.66274214177151447</v>
      </c>
      <c r="M129" s="17">
        <f t="shared" si="2"/>
        <v>1.0091837680980296</v>
      </c>
      <c r="N129" s="17">
        <f t="shared" si="3"/>
        <v>0.67296276224052431</v>
      </c>
      <c r="O129" s="17">
        <f t="shared" si="4"/>
        <v>1.0027073603384968</v>
      </c>
      <c r="P129" s="17">
        <f>$F129/HSP!$E$2</f>
        <v>0.45067603252897692</v>
      </c>
      <c r="Q129" s="17">
        <f>$G129/HSP!$E$3</f>
        <v>0.44673729556450231</v>
      </c>
      <c r="R129" s="17">
        <f>$H129/HSP!$E$4</f>
        <v>0.57758316287371503</v>
      </c>
      <c r="S129" s="17">
        <f>$I129/HSP!$E$5</f>
        <v>0.44700446251012926</v>
      </c>
      <c r="T129" s="17">
        <f>$J129/HSP!$E$6</f>
        <v>0.61652952561353525</v>
      </c>
      <c r="U129" s="18" t="s">
        <v>591</v>
      </c>
      <c r="V129" s="12"/>
      <c r="W129" s="12"/>
      <c r="X129" s="12"/>
      <c r="Y129" s="12"/>
      <c r="Z129" s="12"/>
    </row>
    <row r="130" spans="1:26" ht="15" customHeight="1" x14ac:dyDescent="0.3">
      <c r="A130" s="26" t="s">
        <v>598</v>
      </c>
      <c r="B130" s="17">
        <v>19.8</v>
      </c>
      <c r="C130" s="17">
        <v>13.6</v>
      </c>
      <c r="D130" s="17">
        <v>8.9</v>
      </c>
      <c r="E130" s="17">
        <v>12</v>
      </c>
      <c r="F130" s="17">
        <f>SQRT((4*(HSP!$B$2-$B130)^2+(HSP!$C$2-$C130)^2+(HSP!$D$2-$D130)^2))</f>
        <v>11.032044234864182</v>
      </c>
      <c r="G130" s="17">
        <f>SQRT((4*(HSP!$B$3-$B130)^2+(HSP!$C$3-$C130)^2+(HSP!$D$3-$D130)^2))</f>
        <v>9.6217669894879521</v>
      </c>
      <c r="H130" s="17">
        <f>SQRT((4*(HSP!$B$4-$B130)^2+(HSP!$C$4-$C130)^2+(HSP!$D$4-$D130)^2))</f>
        <v>13.027816394162148</v>
      </c>
      <c r="I130" s="17">
        <f>SQRT((4*(HSP!$B$5-$B130)^2+(HSP!$C$5-$C130)^2+(HSP!$D$5-$D130)^2))</f>
        <v>9.3262479057764729</v>
      </c>
      <c r="J130" s="17">
        <f>SQRT((4*(HSP!$B$6-$B130)^2+(HSP!$C$6-$C130)^2+(HSP!$D$6-$D130)^2))</f>
        <v>12.609321948463368</v>
      </c>
      <c r="K130" s="17">
        <f t="shared" si="0"/>
        <v>0.91933701957201519</v>
      </c>
      <c r="L130" s="17">
        <f t="shared" si="1"/>
        <v>0.80181391579066263</v>
      </c>
      <c r="M130" s="17">
        <f t="shared" si="2"/>
        <v>1.085651366180179</v>
      </c>
      <c r="N130" s="17">
        <f t="shared" si="3"/>
        <v>0.7771873254813727</v>
      </c>
      <c r="O130" s="17">
        <f t="shared" si="4"/>
        <v>1.0507768290386139</v>
      </c>
      <c r="P130" s="17">
        <f>$F130/HSP!$E$2</f>
        <v>0.67681252974626882</v>
      </c>
      <c r="Q130" s="17">
        <f>$G130/HSP!$E$3</f>
        <v>0.71272348070281122</v>
      </c>
      <c r="R130" s="17">
        <f>$H130/HSP!$E$4</f>
        <v>0.81935952164541803</v>
      </c>
      <c r="S130" s="17">
        <f>$I130/HSP!$E$5</f>
        <v>0.68074802231945064</v>
      </c>
      <c r="T130" s="17">
        <f>$J130/HSP!$E$6</f>
        <v>0.85198121273401128</v>
      </c>
      <c r="U130" s="18" t="s">
        <v>492</v>
      </c>
      <c r="V130" s="12"/>
      <c r="W130" s="12"/>
      <c r="X130" s="12"/>
      <c r="Y130" s="12"/>
      <c r="Z130" s="12"/>
    </row>
    <row r="131" spans="1:26" ht="15" customHeight="1" x14ac:dyDescent="0.3">
      <c r="A131" s="26" t="s">
        <v>599</v>
      </c>
      <c r="B131" s="17">
        <v>16.3</v>
      </c>
      <c r="C131" s="17">
        <v>13.1</v>
      </c>
      <c r="D131" s="17">
        <v>6.3</v>
      </c>
      <c r="E131" s="17">
        <v>10.9</v>
      </c>
      <c r="F131" s="17">
        <f>SQRT((4*(HSP!$B$2-$B131)^2+(HSP!$C$2-$C131)^2+(HSP!$D$2-$D131)^2))</f>
        <v>4.3579811839887528</v>
      </c>
      <c r="G131" s="17">
        <f>SQRT((4*(HSP!$B$3-$B131)^2+(HSP!$C$3-$C131)^2+(HSP!$D$3-$D131)^2))</f>
        <v>3.6813584449222003</v>
      </c>
      <c r="H131" s="17">
        <f>SQRT((4*(HSP!$B$4-$B131)^2+(HSP!$C$4-$C131)^2+(HSP!$D$4-$D131)^2))</f>
        <v>8.7323536346164996</v>
      </c>
      <c r="I131" s="17">
        <f>SQRT((4*(HSP!$B$5-$B131)^2+(HSP!$C$5-$C131)^2+(HSP!$D$5-$D131)^2))</f>
        <v>5.081820539924645</v>
      </c>
      <c r="J131" s="17">
        <f>SQRT((4*(HSP!$B$6-$B131)^2+(HSP!$C$6-$C131)^2+(HSP!$D$6-$D131)^2))</f>
        <v>7.3983106179721876</v>
      </c>
      <c r="K131" s="17">
        <f t="shared" si="0"/>
        <v>0.39981478752190391</v>
      </c>
      <c r="L131" s="17">
        <f t="shared" si="1"/>
        <v>0.33773930687359632</v>
      </c>
      <c r="M131" s="17">
        <f t="shared" si="2"/>
        <v>0.80113336097399079</v>
      </c>
      <c r="N131" s="17">
        <f t="shared" si="3"/>
        <v>0.46622206788299492</v>
      </c>
      <c r="O131" s="17">
        <f t="shared" si="4"/>
        <v>0.67874409339194375</v>
      </c>
      <c r="P131" s="17">
        <f>$F131/HSP!$E$2</f>
        <v>0.26736080883366581</v>
      </c>
      <c r="Q131" s="17">
        <f>$G131/HSP!$E$3</f>
        <v>0.27269321814238523</v>
      </c>
      <c r="R131" s="17">
        <f>$H131/HSP!$E$4</f>
        <v>0.54920463110795592</v>
      </c>
      <c r="S131" s="17">
        <f>$I131/HSP!$E$5</f>
        <v>0.37093580583391572</v>
      </c>
      <c r="T131" s="17">
        <f>$J131/HSP!$E$6</f>
        <v>0.49988585256568835</v>
      </c>
      <c r="U131" s="18" t="s">
        <v>591</v>
      </c>
      <c r="V131" s="12"/>
      <c r="W131" s="12"/>
      <c r="X131" s="12"/>
      <c r="Y131" s="12"/>
      <c r="Z131" s="12"/>
    </row>
    <row r="132" spans="1:26" ht="15" customHeight="1" x14ac:dyDescent="0.3">
      <c r="A132" s="26" t="s">
        <v>600</v>
      </c>
      <c r="B132" s="17">
        <v>15.8</v>
      </c>
      <c r="C132" s="17">
        <v>16.3</v>
      </c>
      <c r="D132" s="17">
        <v>3.3</v>
      </c>
      <c r="E132" s="17">
        <v>16.399999999999999</v>
      </c>
      <c r="F132" s="17">
        <f>SQRT((4*(HSP!$B$2-$B132)^2+(HSP!$C$2-$C132)^2+(HSP!$D$2-$D132)^2))</f>
        <v>7.3080777226299407</v>
      </c>
      <c r="G132" s="17">
        <f>SQRT((4*(HSP!$B$3-$B132)^2+(HSP!$C$3-$C132)^2+(HSP!$D$3-$D132)^2))</f>
        <v>7.1055189817493281</v>
      </c>
      <c r="H132" s="17">
        <f>SQRT((4*(HSP!$B$4-$B132)^2+(HSP!$C$4-$C132)^2+(HSP!$D$4-$D132)^2))</f>
        <v>12.200901606028959</v>
      </c>
      <c r="I132" s="17">
        <f>SQRT((4*(HSP!$B$5-$B132)^2+(HSP!$C$5-$C132)^2+(HSP!$D$5-$D132)^2))</f>
        <v>8.4945217640547614</v>
      </c>
      <c r="J132" s="17">
        <f>SQRT((4*(HSP!$B$6-$B132)^2+(HSP!$C$6-$C132)^2+(HSP!$D$6-$D132)^2))</f>
        <v>9.9419816938073282</v>
      </c>
      <c r="K132" s="17">
        <f t="shared" si="0"/>
        <v>0.44561449528231351</v>
      </c>
      <c r="L132" s="17">
        <f t="shared" si="1"/>
        <v>0.43326335254569076</v>
      </c>
      <c r="M132" s="17">
        <f t="shared" si="2"/>
        <v>0.74395741500176582</v>
      </c>
      <c r="N132" s="17">
        <f t="shared" si="3"/>
        <v>0.51795864414968062</v>
      </c>
      <c r="O132" s="17">
        <f t="shared" si="4"/>
        <v>0.60621839596386151</v>
      </c>
      <c r="P132" s="17">
        <f>$F132/HSP!$E$2</f>
        <v>0.44834832654171414</v>
      </c>
      <c r="Q132" s="17">
        <f>$G132/HSP!$E$3</f>
        <v>0.52633473938883912</v>
      </c>
      <c r="R132" s="17">
        <f>$H132/HSP!$E$4</f>
        <v>0.76735230226597217</v>
      </c>
      <c r="S132" s="17">
        <f>$I132/HSP!$E$5</f>
        <v>0.6200380849675009</v>
      </c>
      <c r="T132" s="17">
        <f>$J132/HSP!$E$6</f>
        <v>0.67175551985184645</v>
      </c>
      <c r="U132" s="18" t="s">
        <v>492</v>
      </c>
      <c r="V132" s="12"/>
      <c r="W132" s="12"/>
      <c r="X132" s="12"/>
      <c r="Y132" s="12"/>
      <c r="Z132" s="12"/>
    </row>
    <row r="133" spans="1:26" ht="15" customHeight="1" x14ac:dyDescent="0.3">
      <c r="A133" s="26" t="s">
        <v>601</v>
      </c>
      <c r="B133" s="17">
        <v>17.399999999999999</v>
      </c>
      <c r="C133" s="17">
        <v>10.5</v>
      </c>
      <c r="D133" s="17">
        <v>9</v>
      </c>
      <c r="E133" s="17">
        <v>7.9</v>
      </c>
      <c r="F133" s="17">
        <f>SQRT((4*(HSP!$B$2-$B133)^2+(HSP!$C$2-$C133)^2+(HSP!$D$2-$D133)^2))</f>
        <v>5.9533184023702255</v>
      </c>
      <c r="G133" s="17">
        <f>SQRT((4*(HSP!$B$3-$B133)^2+(HSP!$C$3-$C133)^2+(HSP!$D$3-$D133)^2))</f>
        <v>4.7449341407442089</v>
      </c>
      <c r="H133" s="17">
        <f>SQRT((4*(HSP!$B$4-$B133)^2+(HSP!$C$4-$C133)^2+(HSP!$D$4-$D133)^2))</f>
        <v>7.6553249441156961</v>
      </c>
      <c r="I133" s="17">
        <f>SQRT((4*(HSP!$B$5-$B133)^2+(HSP!$C$5-$C133)^2+(HSP!$D$5-$D133)^2))</f>
        <v>5.1769585665716882</v>
      </c>
      <c r="J133" s="17">
        <f>SQRT((4*(HSP!$B$6-$B133)^2+(HSP!$C$6-$C133)^2+(HSP!$D$6-$D133)^2))</f>
        <v>7.8252795477222401</v>
      </c>
      <c r="K133" s="17">
        <f t="shared" si="0"/>
        <v>0.75358460789496517</v>
      </c>
      <c r="L133" s="17">
        <f t="shared" si="1"/>
        <v>0.60062457477774789</v>
      </c>
      <c r="M133" s="17">
        <f t="shared" si="2"/>
        <v>0.96902847393869562</v>
      </c>
      <c r="N133" s="17">
        <f t="shared" si="3"/>
        <v>0.65531121095844147</v>
      </c>
      <c r="O133" s="17">
        <f t="shared" si="4"/>
        <v>0.9905417149015493</v>
      </c>
      <c r="P133" s="17">
        <f>$F133/HSP!$E$2</f>
        <v>0.36523425781412422</v>
      </c>
      <c r="Q133" s="17">
        <f>$G133/HSP!$E$3</f>
        <v>0.35147660301808953</v>
      </c>
      <c r="R133" s="17">
        <f>$H133/HSP!$E$4</f>
        <v>0.48146697761733936</v>
      </c>
      <c r="S133" s="17">
        <f>$I133/HSP!$E$5</f>
        <v>0.37788018734099915</v>
      </c>
      <c r="T133" s="17">
        <f>$J133/HSP!$E$6</f>
        <v>0.52873510457582706</v>
      </c>
      <c r="U133" s="18" t="s">
        <v>591</v>
      </c>
      <c r="V133" s="12"/>
      <c r="W133" s="12"/>
      <c r="X133" s="12"/>
      <c r="Y133" s="12"/>
      <c r="Z133" s="12"/>
    </row>
    <row r="134" spans="1:26" ht="15" customHeight="1" x14ac:dyDescent="0.3">
      <c r="A134" s="26" t="s">
        <v>602</v>
      </c>
      <c r="B134" s="17">
        <v>18.5</v>
      </c>
      <c r="C134" s="17">
        <v>9.3000000000000007</v>
      </c>
      <c r="D134" s="17">
        <v>8</v>
      </c>
      <c r="E134" s="17">
        <v>9.6</v>
      </c>
      <c r="F134" s="17">
        <f>SQRT((4*(HSP!$B$2-$B134)^2+(HSP!$C$2-$C134)^2+(HSP!$D$2-$D134)^2))</f>
        <v>7.9514778500603276</v>
      </c>
      <c r="G134" s="17">
        <f>SQRT((4*(HSP!$B$3-$B134)^2+(HSP!$C$3-$C134)^2+(HSP!$D$3-$D134)^2))</f>
        <v>6.0387415907621032</v>
      </c>
      <c r="H134" s="17">
        <f>SQRT((4*(HSP!$B$4-$B134)^2+(HSP!$C$4-$C134)^2+(HSP!$D$4-$D134)^2))</f>
        <v>8.1939001702485985</v>
      </c>
      <c r="I134" s="17">
        <f>SQRT((4*(HSP!$B$5-$B134)^2+(HSP!$C$5-$C134)^2+(HSP!$D$5-$D134)^2))</f>
        <v>7.8748269822263399</v>
      </c>
      <c r="J134" s="17">
        <f>SQRT((4*(HSP!$B$6-$B134)^2+(HSP!$C$6-$C134)^2+(HSP!$D$6-$D134)^2))</f>
        <v>8.1970116505956021</v>
      </c>
      <c r="K134" s="17">
        <f t="shared" si="0"/>
        <v>0.82827894271461744</v>
      </c>
      <c r="L134" s="17">
        <f t="shared" si="1"/>
        <v>0.62903558237105239</v>
      </c>
      <c r="M134" s="17">
        <f t="shared" si="2"/>
        <v>0.85353126773422905</v>
      </c>
      <c r="N134" s="17">
        <f t="shared" si="3"/>
        <v>0.82029447731524374</v>
      </c>
      <c r="O134" s="17">
        <f t="shared" si="4"/>
        <v>0.85385538027037522</v>
      </c>
      <c r="P134" s="17">
        <f>$F134/HSP!$E$2</f>
        <v>0.48782072699756607</v>
      </c>
      <c r="Q134" s="17">
        <f>$G134/HSP!$E$3</f>
        <v>0.44731419190830396</v>
      </c>
      <c r="R134" s="17">
        <f>$H134/HSP!$E$4</f>
        <v>0.51533963334896848</v>
      </c>
      <c r="S134" s="17">
        <f>$I134/HSP!$E$5</f>
        <v>0.57480488921360151</v>
      </c>
      <c r="T134" s="17">
        <f>$J134/HSP!$E$6</f>
        <v>0.55385213855375692</v>
      </c>
      <c r="U134" s="18" t="s">
        <v>591</v>
      </c>
      <c r="V134" s="12"/>
      <c r="W134" s="12"/>
      <c r="X134" s="12"/>
      <c r="Y134" s="12"/>
      <c r="Z134" s="12"/>
    </row>
    <row r="135" spans="1:26" ht="15" customHeight="1" x14ac:dyDescent="0.3">
      <c r="A135" s="26" t="s">
        <v>603</v>
      </c>
      <c r="B135" s="17">
        <v>17.7</v>
      </c>
      <c r="C135" s="17">
        <v>10.1</v>
      </c>
      <c r="D135" s="17">
        <v>7.6</v>
      </c>
      <c r="E135" s="17">
        <v>9.8000000000000007</v>
      </c>
      <c r="F135" s="17">
        <f>SQRT((4*(HSP!$B$2-$B135)^2+(HSP!$C$2-$C135)^2+(HSP!$D$2-$D135)^2))</f>
        <v>6.2413139642225977</v>
      </c>
      <c r="G135" s="17">
        <f>SQRT((4*(HSP!$B$3-$B135)^2+(HSP!$C$3-$C135)^2+(HSP!$D$3-$D135)^2))</f>
        <v>4.4184160057649615</v>
      </c>
      <c r="H135" s="17">
        <f>SQRT((4*(HSP!$B$4-$B135)^2+(HSP!$C$4-$C135)^2+(HSP!$D$4-$D135)^2))</f>
        <v>7.457881736793631</v>
      </c>
      <c r="I135" s="17">
        <f>SQRT((4*(HSP!$B$5-$B135)^2+(HSP!$C$5-$C135)^2+(HSP!$D$5-$D135)^2))</f>
        <v>6.4477050180665065</v>
      </c>
      <c r="J135" s="17">
        <f>SQRT((4*(HSP!$B$6-$B135)^2+(HSP!$C$6-$C135)^2+(HSP!$D$6-$D135)^2))</f>
        <v>7.1519927293027914</v>
      </c>
      <c r="K135" s="17">
        <f t="shared" si="0"/>
        <v>0.63686877185944868</v>
      </c>
      <c r="L135" s="17">
        <f t="shared" si="1"/>
        <v>0.45085877609846542</v>
      </c>
      <c r="M135" s="17">
        <f t="shared" si="2"/>
        <v>0.76100834048914601</v>
      </c>
      <c r="N135" s="17">
        <f t="shared" si="3"/>
        <v>0.65792908347617407</v>
      </c>
      <c r="O135" s="17">
        <f t="shared" si="4"/>
        <v>0.72979517645946845</v>
      </c>
      <c r="P135" s="17">
        <f>$F135/HSP!$E$2</f>
        <v>0.38290269719157038</v>
      </c>
      <c r="Q135" s="17">
        <f>$G135/HSP!$E$3</f>
        <v>0.32729007450110825</v>
      </c>
      <c r="R135" s="17">
        <f>$H135/HSP!$E$4</f>
        <v>0.46904916583607742</v>
      </c>
      <c r="S135" s="17">
        <f>$I135/HSP!$E$5</f>
        <v>0.47063540277857713</v>
      </c>
      <c r="T135" s="17">
        <f>$J135/HSP!$E$6</f>
        <v>0.48324275197991834</v>
      </c>
      <c r="U135" s="18" t="s">
        <v>591</v>
      </c>
      <c r="V135" s="12"/>
      <c r="W135" s="12"/>
      <c r="X135" s="12"/>
      <c r="Y135" s="12"/>
      <c r="Z135" s="12"/>
    </row>
    <row r="136" spans="1:26" ht="15" customHeight="1" x14ac:dyDescent="0.3">
      <c r="A136" s="26" t="s">
        <v>604</v>
      </c>
      <c r="B136" s="17">
        <v>21</v>
      </c>
      <c r="C136" s="17">
        <v>11.1</v>
      </c>
      <c r="D136" s="17">
        <v>13.4</v>
      </c>
      <c r="E136" s="17">
        <v>11.7</v>
      </c>
      <c r="F136" s="17">
        <f>SQRT((4*(HSP!$B$2-$B136)^2+(HSP!$C$2-$C136)^2+(HSP!$D$2-$D136)^2))</f>
        <v>14.334085251595235</v>
      </c>
      <c r="G136" s="17">
        <f>SQRT((4*(HSP!$B$3-$B136)^2+(HSP!$C$3-$C136)^2+(HSP!$D$3-$D136)^2))</f>
        <v>13.12685796373222</v>
      </c>
      <c r="H136" s="17">
        <f>SQRT((4*(HSP!$B$4-$B136)^2+(HSP!$C$4-$C136)^2+(HSP!$D$4-$D136)^2))</f>
        <v>14.857052197525592</v>
      </c>
      <c r="I136" s="17">
        <f>SQRT((4*(HSP!$B$5-$B136)^2+(HSP!$C$5-$C136)^2+(HSP!$D$5-$D136)^2))</f>
        <v>11.834563785792868</v>
      </c>
      <c r="J136" s="17">
        <f>SQRT((4*(HSP!$B$6-$B136)^2+(HSP!$C$6-$C136)^2+(HSP!$D$6-$D136)^2))</f>
        <v>15.631474658521505</v>
      </c>
      <c r="K136" s="17">
        <f t="shared" si="0"/>
        <v>1.2251354915893364</v>
      </c>
      <c r="L136" s="17">
        <f t="shared" si="1"/>
        <v>1.121953672113865</v>
      </c>
      <c r="M136" s="17">
        <f t="shared" si="2"/>
        <v>1.2698335211560337</v>
      </c>
      <c r="N136" s="17">
        <f t="shared" si="3"/>
        <v>1.0115011782728949</v>
      </c>
      <c r="O136" s="17">
        <f t="shared" si="4"/>
        <v>1.3360234750873081</v>
      </c>
      <c r="P136" s="17">
        <f>$F136/HSP!$E$2</f>
        <v>0.8793917332267015</v>
      </c>
      <c r="Q136" s="17">
        <f>$G136/HSP!$E$3</f>
        <v>0.97235984916534968</v>
      </c>
      <c r="R136" s="17">
        <f>$H136/HSP!$E$4</f>
        <v>0.93440579858651518</v>
      </c>
      <c r="S136" s="17">
        <f>$I136/HSP!$E$5</f>
        <v>0.86383677268561088</v>
      </c>
      <c r="T136" s="17">
        <f>$J136/HSP!$E$6</f>
        <v>1.0561807201703719</v>
      </c>
      <c r="U136" s="18" t="s">
        <v>492</v>
      </c>
      <c r="V136" s="12"/>
      <c r="W136" s="12"/>
      <c r="X136" s="12"/>
      <c r="Y136" s="12"/>
      <c r="Z136" s="12"/>
    </row>
    <row r="137" spans="1:26" ht="15" customHeight="1" x14ac:dyDescent="0.3">
      <c r="A137" s="26" t="s">
        <v>605</v>
      </c>
      <c r="B137" s="17">
        <v>18.600000000000001</v>
      </c>
      <c r="C137" s="17">
        <v>10.6</v>
      </c>
      <c r="D137" s="17">
        <v>8.1</v>
      </c>
      <c r="E137" s="17">
        <v>8.8000000000000007</v>
      </c>
      <c r="F137" s="17">
        <f>SQRT((4*(HSP!$B$2-$B137)^2+(HSP!$C$2-$C137)^2+(HSP!$D$2-$D137)^2))</f>
        <v>8.0792326368288254</v>
      </c>
      <c r="G137" s="17">
        <f>SQRT((4*(HSP!$B$3-$B137)^2+(HSP!$C$3-$C137)^2+(HSP!$D$3-$D137)^2))</f>
        <v>6.3209492957941089</v>
      </c>
      <c r="H137" s="17">
        <f>SQRT((4*(HSP!$B$4-$B137)^2+(HSP!$C$4-$C137)^2+(HSP!$D$4-$D137)^2))</f>
        <v>9.1540155123311884</v>
      </c>
      <c r="I137" s="17">
        <f>SQRT((4*(HSP!$B$5-$B137)^2+(HSP!$C$5-$C137)^2+(HSP!$D$5-$D137)^2))</f>
        <v>7.5404840693419715</v>
      </c>
      <c r="J137" s="17">
        <f>SQRT((4*(HSP!$B$6-$B137)^2+(HSP!$C$6-$C137)^2+(HSP!$D$6-$D137)^2))</f>
        <v>8.9334763670141335</v>
      </c>
      <c r="K137" s="17">
        <f t="shared" si="0"/>
        <v>0.9180946178214574</v>
      </c>
      <c r="L137" s="17">
        <f t="shared" si="1"/>
        <v>0.71828969270387599</v>
      </c>
      <c r="M137" s="17">
        <f t="shared" si="2"/>
        <v>1.0402290354921804</v>
      </c>
      <c r="N137" s="17">
        <f t="shared" si="3"/>
        <v>0.85687318969795123</v>
      </c>
      <c r="O137" s="17">
        <f t="shared" si="4"/>
        <v>1.0151677689788787</v>
      </c>
      <c r="P137" s="17">
        <f>$F137/HSP!$E$2</f>
        <v>0.49565844397722852</v>
      </c>
      <c r="Q137" s="17">
        <f>$G137/HSP!$E$3</f>
        <v>0.46821846635511916</v>
      </c>
      <c r="R137" s="17">
        <f>$H137/HSP!$E$4</f>
        <v>0.57572424605856531</v>
      </c>
      <c r="S137" s="17">
        <f>$I137/HSP!$E$5</f>
        <v>0.55040029703226068</v>
      </c>
      <c r="T137" s="17">
        <f>$J137/HSP!$E$6</f>
        <v>0.60361326804149551</v>
      </c>
      <c r="U137" s="18" t="s">
        <v>591</v>
      </c>
      <c r="V137" s="12"/>
      <c r="W137" s="12"/>
      <c r="X137" s="12"/>
      <c r="Y137" s="12"/>
      <c r="Z137" s="12"/>
    </row>
    <row r="138" spans="1:26" ht="15" customHeight="1" x14ac:dyDescent="0.3">
      <c r="A138" s="26" t="s">
        <v>606</v>
      </c>
      <c r="B138" s="17">
        <v>19.3</v>
      </c>
      <c r="C138" s="17">
        <v>9.3699999999999992</v>
      </c>
      <c r="D138" s="17">
        <v>10.95</v>
      </c>
      <c r="E138" s="17">
        <v>8.26</v>
      </c>
      <c r="F138" s="17">
        <f>SQRT((4*(HSP!$B$2-$B138)^2+(HSP!$C$2-$C138)^2+(HSP!$D$2-$D138)^2))</f>
        <v>10.262017345532019</v>
      </c>
      <c r="G138" s="17">
        <f>SQRT((4*(HSP!$B$3-$B138)^2+(HSP!$C$3-$C138)^2+(HSP!$D$3-$D138)^2))</f>
        <v>8.8616815560027895</v>
      </c>
      <c r="H138" s="17">
        <f>SQRT((4*(HSP!$B$4-$B138)^2+(HSP!$C$4-$C138)^2+(HSP!$D$4-$D138)^2))</f>
        <v>10.365625885589351</v>
      </c>
      <c r="I138" s="17">
        <f>SQRT((4*(HSP!$B$5-$B138)^2+(HSP!$C$5-$C138)^2+(HSP!$D$5-$D138)^2))</f>
        <v>8.728487841545066</v>
      </c>
      <c r="J138" s="17">
        <f>SQRT((4*(HSP!$B$6-$B138)^2+(HSP!$C$6-$C138)^2+(HSP!$D$6-$D138)^2))</f>
        <v>11.136301001679149</v>
      </c>
      <c r="K138" s="17">
        <f t="shared" si="0"/>
        <v>1.2423749812992759</v>
      </c>
      <c r="L138" s="17">
        <f t="shared" si="1"/>
        <v>1.0728428033901682</v>
      </c>
      <c r="M138" s="17">
        <f t="shared" si="2"/>
        <v>1.2549183880858779</v>
      </c>
      <c r="N138" s="17">
        <f t="shared" si="3"/>
        <v>1.0567176563613883</v>
      </c>
      <c r="O138" s="17">
        <f t="shared" si="4"/>
        <v>1.3482204602517129</v>
      </c>
      <c r="P138" s="17">
        <f>$F138/HSP!$E$2</f>
        <v>0.62957161629030789</v>
      </c>
      <c r="Q138" s="17">
        <f>$G138/HSP!$E$3</f>
        <v>0.65642085600020661</v>
      </c>
      <c r="R138" s="17">
        <f>$H138/HSP!$E$4</f>
        <v>0.6519261563263743</v>
      </c>
      <c r="S138" s="17">
        <f>$I138/HSP!$E$5</f>
        <v>0.63711590084270553</v>
      </c>
      <c r="T138" s="17">
        <f>$J138/HSP!$E$6</f>
        <v>0.75245277038372627</v>
      </c>
      <c r="U138" s="18" t="s">
        <v>591</v>
      </c>
      <c r="V138" s="12"/>
      <c r="W138" s="12"/>
      <c r="X138" s="12"/>
      <c r="Y138" s="12"/>
      <c r="Z138" s="12"/>
    </row>
    <row r="139" spans="1:26" ht="15" customHeight="1" x14ac:dyDescent="0.3">
      <c r="A139" s="26" t="s">
        <v>607</v>
      </c>
      <c r="B139" s="17">
        <v>19</v>
      </c>
      <c r="C139" s="17">
        <v>9.1</v>
      </c>
      <c r="D139" s="17">
        <v>10.7</v>
      </c>
      <c r="E139" s="17">
        <v>8</v>
      </c>
      <c r="F139" s="17">
        <f>SQRT((4*(HSP!$B$2-$B139)^2+(HSP!$C$2-$C139)^2+(HSP!$D$2-$D139)^2))</f>
        <v>9.6502849698856057</v>
      </c>
      <c r="G139" s="17">
        <f>SQRT((4*(HSP!$B$3-$B139)^2+(HSP!$C$3-$C139)^2+(HSP!$D$3-$D139)^2))</f>
        <v>8.2433245720400947</v>
      </c>
      <c r="H139" s="17">
        <f>SQRT((4*(HSP!$B$4-$B139)^2+(HSP!$C$4-$C139)^2+(HSP!$D$4-$D139)^2))</f>
        <v>9.6655056774076744</v>
      </c>
      <c r="I139" s="17">
        <f>SQRT((4*(HSP!$B$5-$B139)^2+(HSP!$C$5-$C139)^2+(HSP!$D$5-$D139)^2))</f>
        <v>8.2951130191215618</v>
      </c>
      <c r="J139" s="17">
        <f>SQRT((4*(HSP!$B$6-$B139)^2+(HSP!$C$6-$C139)^2+(HSP!$D$6-$D139)^2))</f>
        <v>10.473919992056461</v>
      </c>
      <c r="K139" s="17">
        <f t="shared" si="0"/>
        <v>1.2062856212357007</v>
      </c>
      <c r="L139" s="17">
        <f t="shared" si="1"/>
        <v>1.0304155715050118</v>
      </c>
      <c r="M139" s="17">
        <f t="shared" si="2"/>
        <v>1.2081882096759593</v>
      </c>
      <c r="N139" s="17">
        <f t="shared" si="3"/>
        <v>1.0368891273901952</v>
      </c>
      <c r="O139" s="17">
        <f t="shared" si="4"/>
        <v>1.3092399990070576</v>
      </c>
      <c r="P139" s="17">
        <f>$F139/HSP!$E$2</f>
        <v>0.59204202269236839</v>
      </c>
      <c r="Q139" s="17">
        <f>$G139/HSP!$E$3</f>
        <v>0.61061663496593299</v>
      </c>
      <c r="R139" s="17">
        <f>$H139/HSP!$E$4</f>
        <v>0.60789343883067137</v>
      </c>
      <c r="S139" s="17">
        <f>$I139/HSP!$E$5</f>
        <v>0.60548270212566146</v>
      </c>
      <c r="T139" s="17">
        <f>$J139/HSP!$E$6</f>
        <v>0.70769729676057158</v>
      </c>
      <c r="U139" s="18" t="s">
        <v>462</v>
      </c>
      <c r="V139" s="12"/>
      <c r="W139" s="12"/>
      <c r="X139" s="12"/>
      <c r="Y139" s="12"/>
      <c r="Z139" s="12"/>
    </row>
    <row r="140" spans="1:26" ht="15" customHeight="1" x14ac:dyDescent="0.3">
      <c r="A140" s="26" t="s">
        <v>608</v>
      </c>
      <c r="B140" s="17">
        <v>19.8</v>
      </c>
      <c r="C140" s="17">
        <v>10.6</v>
      </c>
      <c r="D140" s="17">
        <v>10.3</v>
      </c>
      <c r="E140" s="17">
        <v>9.6999999999999993</v>
      </c>
      <c r="F140" s="17">
        <f>SQRT((4*(HSP!$B$2-$B140)^2+(HSP!$C$2-$C140)^2+(HSP!$D$2-$D140)^2))</f>
        <v>10.917966843693932</v>
      </c>
      <c r="G140" s="17">
        <f>SQRT((4*(HSP!$B$3-$B140)^2+(HSP!$C$3-$C140)^2+(HSP!$D$3-$D140)^2))</f>
        <v>9.4086343323566393</v>
      </c>
      <c r="H140" s="17">
        <f>SQRT((4*(HSP!$B$4-$B140)^2+(HSP!$C$4-$C140)^2+(HSP!$D$4-$D140)^2))</f>
        <v>11.534470078854946</v>
      </c>
      <c r="I140" s="17">
        <f>SQRT((4*(HSP!$B$5-$B140)^2+(HSP!$C$5-$C140)^2+(HSP!$D$5-$D140)^2))</f>
        <v>9.3260334547973844</v>
      </c>
      <c r="J140" s="17">
        <f>SQRT((4*(HSP!$B$6-$B140)^2+(HSP!$C$6-$C140)^2+(HSP!$D$6-$D140)^2))</f>
        <v>11.877499736897496</v>
      </c>
      <c r="K140" s="17">
        <f t="shared" si="0"/>
        <v>1.1255635921333951</v>
      </c>
      <c r="L140" s="17">
        <f t="shared" si="1"/>
        <v>0.96996230230480829</v>
      </c>
      <c r="M140" s="17">
        <f t="shared" si="2"/>
        <v>1.189120626686077</v>
      </c>
      <c r="N140" s="17">
        <f t="shared" si="3"/>
        <v>0.96144674791725615</v>
      </c>
      <c r="O140" s="17">
        <f t="shared" si="4"/>
        <v>1.2244845089585048</v>
      </c>
      <c r="P140" s="17">
        <f>$F140/HSP!$E$2</f>
        <v>0.66981391679103874</v>
      </c>
      <c r="Q140" s="17">
        <f>$G140/HSP!$E$3</f>
        <v>0.69693587647086219</v>
      </c>
      <c r="R140" s="17">
        <f>$H140/HSP!$E$4</f>
        <v>0.72543836973930476</v>
      </c>
      <c r="S140" s="17">
        <f>$I140/HSP!$E$5</f>
        <v>0.68073236896331279</v>
      </c>
      <c r="T140" s="17">
        <f>$J140/HSP!$E$6</f>
        <v>0.80253376600658755</v>
      </c>
      <c r="U140" s="18" t="s">
        <v>492</v>
      </c>
      <c r="V140" s="12"/>
      <c r="W140" s="12"/>
      <c r="X140" s="12"/>
      <c r="Y140" s="12"/>
      <c r="Z140" s="12"/>
    </row>
    <row r="141" spans="1:26" ht="15" customHeight="1" x14ac:dyDescent="0.3">
      <c r="A141" s="26" t="s">
        <v>609</v>
      </c>
      <c r="B141" s="17">
        <v>17</v>
      </c>
      <c r="C141" s="17">
        <v>9.6</v>
      </c>
      <c r="D141" s="17">
        <v>8.5</v>
      </c>
      <c r="E141" s="17">
        <v>7.6</v>
      </c>
      <c r="F141" s="17">
        <f>SQRT((4*(HSP!$B$2-$B141)^2+(HSP!$C$2-$C141)^2+(HSP!$D$2-$D141)^2))</f>
        <v>5.107837115648854</v>
      </c>
      <c r="G141" s="17">
        <f>SQRT((4*(HSP!$B$3-$B141)^2+(HSP!$C$3-$C141)^2+(HSP!$D$3-$D141)^2))</f>
        <v>3.7483863194713538</v>
      </c>
      <c r="H141" s="17">
        <f>SQRT((4*(HSP!$B$4-$B141)^2+(HSP!$C$4-$C141)^2+(HSP!$D$4-$D141)^2))</f>
        <v>6.363332460275827</v>
      </c>
      <c r="I141" s="17">
        <f>SQRT((4*(HSP!$B$5-$B141)^2+(HSP!$C$5-$C141)^2+(HSP!$D$5-$D141)^2))</f>
        <v>5.2546075019928944</v>
      </c>
      <c r="J141" s="17">
        <f>SQRT((4*(HSP!$B$6-$B141)^2+(HSP!$C$6-$C141)^2+(HSP!$D$6-$D141)^2))</f>
        <v>6.6062848863790311</v>
      </c>
      <c r="K141" s="17">
        <f t="shared" si="0"/>
        <v>0.67208383100642821</v>
      </c>
      <c r="L141" s="17">
        <f t="shared" si="1"/>
        <v>0.4932087262462308</v>
      </c>
      <c r="M141" s="17">
        <f t="shared" si="2"/>
        <v>0.83728058687839835</v>
      </c>
      <c r="N141" s="17">
        <f t="shared" si="3"/>
        <v>0.69139572394643356</v>
      </c>
      <c r="O141" s="17">
        <f t="shared" si="4"/>
        <v>0.86924801136566199</v>
      </c>
      <c r="P141" s="17">
        <f>$F141/HSP!$E$2</f>
        <v>0.31336424022385606</v>
      </c>
      <c r="Q141" s="17">
        <f>$G141/HSP!$E$3</f>
        <v>0.27765824588676696</v>
      </c>
      <c r="R141" s="17">
        <f>$H141/HSP!$E$4</f>
        <v>0.4002095886965929</v>
      </c>
      <c r="S141" s="17">
        <f>$I141/HSP!$E$5</f>
        <v>0.38354799284619667</v>
      </c>
      <c r="T141" s="17">
        <f>$J141/HSP!$E$6</f>
        <v>0.44637060043101562</v>
      </c>
      <c r="U141" s="18" t="s">
        <v>492</v>
      </c>
      <c r="V141" s="12"/>
      <c r="W141" s="12"/>
      <c r="X141" s="12"/>
      <c r="Y141" s="12"/>
      <c r="Z141" s="12"/>
    </row>
    <row r="142" spans="1:26" ht="15" customHeight="1" x14ac:dyDescent="0.3">
      <c r="A142" s="26" t="s">
        <v>610</v>
      </c>
      <c r="B142" s="17">
        <v>23.1</v>
      </c>
      <c r="C142" s="17">
        <v>14.6</v>
      </c>
      <c r="D142" s="17">
        <v>5</v>
      </c>
      <c r="E142" s="17">
        <v>20.5</v>
      </c>
      <c r="F142" s="17">
        <f>SQRT((4*(HSP!$B$2-$B142)^2+(HSP!$C$2-$C142)^2+(HSP!$D$2-$D142)^2))</f>
        <v>17.60852066472366</v>
      </c>
      <c r="G142" s="17">
        <f>SQRT((4*(HSP!$B$3-$B142)^2+(HSP!$C$3-$C142)^2+(HSP!$D$3-$D142)^2))</f>
        <v>15.643158248895908</v>
      </c>
      <c r="H142" s="17">
        <f>SQRT((4*(HSP!$B$4-$B142)^2+(HSP!$C$4-$C142)^2+(HSP!$D$4-$D142)^2))</f>
        <v>18.793243466735593</v>
      </c>
      <c r="I142" s="17">
        <f>SQRT((4*(HSP!$B$5-$B142)^2+(HSP!$C$5-$C142)^2+(HSP!$D$5-$D142)^2))</f>
        <v>16.850367948504868</v>
      </c>
      <c r="J142" s="17">
        <f>SQRT((4*(HSP!$B$6-$B142)^2+(HSP!$C$6-$C142)^2+(HSP!$D$6-$D142)^2))</f>
        <v>17.700480219474276</v>
      </c>
      <c r="K142" s="17">
        <f t="shared" si="0"/>
        <v>0.85895222754749556</v>
      </c>
      <c r="L142" s="17">
        <f t="shared" si="1"/>
        <v>0.76308089019004433</v>
      </c>
      <c r="M142" s="17">
        <f t="shared" si="2"/>
        <v>0.91674358374319964</v>
      </c>
      <c r="N142" s="17">
        <f t="shared" si="3"/>
        <v>0.82196916821974964</v>
      </c>
      <c r="O142" s="17">
        <f t="shared" si="4"/>
        <v>0.86343805948655006</v>
      </c>
      <c r="P142" s="17">
        <f>$F142/HSP!$E$2</f>
        <v>1.0802773413940896</v>
      </c>
      <c r="Q142" s="17">
        <f>$G142/HSP!$E$3</f>
        <v>1.1587524628811783</v>
      </c>
      <c r="R142" s="17">
        <f>$H142/HSP!$E$4</f>
        <v>1.181964997907899</v>
      </c>
      <c r="S142" s="17">
        <f>$I142/HSP!$E$5</f>
        <v>1.22995386485437</v>
      </c>
      <c r="T142" s="17">
        <f>$J142/HSP!$E$6</f>
        <v>1.1959783932077213</v>
      </c>
      <c r="U142" s="18" t="s">
        <v>492</v>
      </c>
      <c r="V142" s="12"/>
      <c r="W142" s="12"/>
      <c r="X142" s="12"/>
      <c r="Y142" s="12"/>
      <c r="Z142" s="12"/>
    </row>
    <row r="143" spans="1:26" ht="15" customHeight="1" x14ac:dyDescent="0.3">
      <c r="A143" s="26" t="s">
        <v>611</v>
      </c>
      <c r="B143" s="17">
        <v>16.3</v>
      </c>
      <c r="C143" s="17">
        <v>16.399999999999999</v>
      </c>
      <c r="D143" s="17">
        <v>1.9</v>
      </c>
      <c r="E143" s="17">
        <v>16.7</v>
      </c>
      <c r="F143" s="17">
        <f>SQRT((4*(HSP!$B$2-$B143)^2+(HSP!$C$2-$C143)^2+(HSP!$D$2-$D143)^2))</f>
        <v>8.5234969349440135</v>
      </c>
      <c r="G143" s="17">
        <f>SQRT((4*(HSP!$B$3-$B143)^2+(HSP!$C$3-$C143)^2+(HSP!$D$3-$D143)^2))</f>
        <v>7.8919199184989184</v>
      </c>
      <c r="H143" s="17">
        <f>SQRT((4*(HSP!$B$4-$B143)^2+(HSP!$C$4-$C143)^2+(HSP!$D$4-$D143)^2))</f>
        <v>12.902557885938741</v>
      </c>
      <c r="I143" s="17">
        <f>SQRT((4*(HSP!$B$5-$B143)^2+(HSP!$C$5-$C143)^2+(HSP!$D$5-$D143)^2))</f>
        <v>9.966288175644932</v>
      </c>
      <c r="J143" s="17">
        <f>SQRT((4*(HSP!$B$6-$B143)^2+(HSP!$C$6-$C143)^2+(HSP!$D$6-$D143)^2))</f>
        <v>10.365664474600747</v>
      </c>
      <c r="K143" s="17">
        <f t="shared" si="0"/>
        <v>0.51038903802059965</v>
      </c>
      <c r="L143" s="17">
        <f t="shared" si="1"/>
        <v>0.47257005499993526</v>
      </c>
      <c r="M143" s="17">
        <f t="shared" si="2"/>
        <v>0.77260825664303845</v>
      </c>
      <c r="N143" s="17">
        <f t="shared" si="3"/>
        <v>0.59678372309251093</v>
      </c>
      <c r="O143" s="17">
        <f t="shared" si="4"/>
        <v>0.62069847153297886</v>
      </c>
      <c r="P143" s="17">
        <f>$F143/HSP!$E$2</f>
        <v>0.52291392238920331</v>
      </c>
      <c r="Q143" s="17">
        <f>$G143/HSP!$E$3</f>
        <v>0.58458666062954956</v>
      </c>
      <c r="R143" s="17">
        <f>$H143/HSP!$E$4</f>
        <v>0.81148162804646162</v>
      </c>
      <c r="S143" s="17">
        <f>$I143/HSP!$E$5</f>
        <v>0.72746629019306075</v>
      </c>
      <c r="T143" s="17">
        <f>$J143/HSP!$E$6</f>
        <v>0.70038273477032076</v>
      </c>
      <c r="U143" s="18" t="s">
        <v>533</v>
      </c>
      <c r="V143" s="12"/>
      <c r="W143" s="12"/>
      <c r="X143" s="12"/>
      <c r="Y143" s="12"/>
      <c r="Z143" s="12"/>
    </row>
    <row r="144" spans="1:26" ht="15" customHeight="1" x14ac:dyDescent="0.3">
      <c r="A144" s="26" t="s">
        <v>612</v>
      </c>
      <c r="B144" s="17">
        <v>16.600000000000001</v>
      </c>
      <c r="C144" s="17">
        <v>14</v>
      </c>
      <c r="D144" s="17">
        <v>2.8</v>
      </c>
      <c r="E144" s="17">
        <v>14.9</v>
      </c>
      <c r="F144" s="17">
        <f>SQRT((4*(HSP!$B$2-$B144)^2+(HSP!$C$2-$C144)^2+(HSP!$D$2-$D144)^2))</f>
        <v>6.7826248606273385</v>
      </c>
      <c r="G144" s="17">
        <f>SQRT((4*(HSP!$B$3-$B144)^2+(HSP!$C$3-$C144)^2+(HSP!$D$3-$D144)^2))</f>
        <v>5.5918154475983934</v>
      </c>
      <c r="H144" s="17">
        <f>SQRT((4*(HSP!$B$4-$B144)^2+(HSP!$C$4-$C144)^2+(HSP!$D$4-$D144)^2))</f>
        <v>10.537646796130531</v>
      </c>
      <c r="I144" s="17">
        <f>SQRT((4*(HSP!$B$5-$B144)^2+(HSP!$C$5-$C144)^2+(HSP!$D$5-$D144)^2))</f>
        <v>8.6493294537784831</v>
      </c>
      <c r="J144" s="17">
        <f>SQRT((4*(HSP!$B$6-$B144)^2+(HSP!$C$6-$C144)^2+(HSP!$D$6-$D144)^2))</f>
        <v>8.0921566964561453</v>
      </c>
      <c r="K144" s="17">
        <f t="shared" si="0"/>
        <v>0.45520972218975425</v>
      </c>
      <c r="L144" s="17">
        <f t="shared" si="1"/>
        <v>0.37528962735559684</v>
      </c>
      <c r="M144" s="17">
        <f t="shared" si="2"/>
        <v>0.70722461718996854</v>
      </c>
      <c r="N144" s="17">
        <f t="shared" si="3"/>
        <v>0.58049190964956265</v>
      </c>
      <c r="O144" s="17">
        <f t="shared" si="4"/>
        <v>0.54309776486282857</v>
      </c>
      <c r="P144" s="17">
        <f>$F144/HSP!$E$2</f>
        <v>0.41611195463971401</v>
      </c>
      <c r="Q144" s="17">
        <f>$G144/HSP!$E$3</f>
        <v>0.41420855167395509</v>
      </c>
      <c r="R144" s="17">
        <f>$H144/HSP!$E$4</f>
        <v>0.66274508151764344</v>
      </c>
      <c r="S144" s="17">
        <f>$I144/HSP!$E$5</f>
        <v>0.63133791633419589</v>
      </c>
      <c r="T144" s="17">
        <f>$J144/HSP!$E$6</f>
        <v>0.54676734435514496</v>
      </c>
      <c r="U144" s="18" t="s">
        <v>556</v>
      </c>
      <c r="V144" s="12"/>
      <c r="W144" s="12"/>
      <c r="X144" s="12"/>
      <c r="Y144" s="12"/>
      <c r="Z144" s="12"/>
    </row>
    <row r="145" spans="1:26" ht="15" customHeight="1" x14ac:dyDescent="0.3">
      <c r="A145" s="26" t="s">
        <v>613</v>
      </c>
      <c r="B145" s="17">
        <v>17.3</v>
      </c>
      <c r="C145" s="17">
        <v>12.9</v>
      </c>
      <c r="D145" s="17">
        <v>12.1</v>
      </c>
      <c r="E145" s="17">
        <v>8.5</v>
      </c>
      <c r="F145" s="17">
        <f>SQRT((4*(HSP!$B$2-$B145)^2+(HSP!$C$2-$C145)^2+(HSP!$D$2-$D145)^2))</f>
        <v>7.8312195729656313</v>
      </c>
      <c r="G145" s="17">
        <f>SQRT((4*(HSP!$B$3-$B145)^2+(HSP!$C$3-$C145)^2+(HSP!$D$3-$D145)^2))</f>
        <v>7.7655907695422641</v>
      </c>
      <c r="H145" s="17">
        <f>SQRT((4*(HSP!$B$4-$B145)^2+(HSP!$C$4-$C145)^2+(HSP!$D$4-$D145)^2))</f>
        <v>10.66798950130717</v>
      </c>
      <c r="I145" s="17">
        <f>SQRT((4*(HSP!$B$5-$B145)^2+(HSP!$C$5-$C145)^2+(HSP!$D$5-$D145)^2))</f>
        <v>4.2290542678003096</v>
      </c>
      <c r="J145" s="17">
        <f>SQRT((4*(HSP!$B$6-$B145)^2+(HSP!$C$6-$C145)^2+(HSP!$D$6-$D145)^2))</f>
        <v>11.243086764763493</v>
      </c>
      <c r="K145" s="17">
        <f t="shared" si="0"/>
        <v>0.92131994976066256</v>
      </c>
      <c r="L145" s="17">
        <f t="shared" si="1"/>
        <v>0.91359891406379579</v>
      </c>
      <c r="M145" s="17">
        <f t="shared" si="2"/>
        <v>1.2550575883890789</v>
      </c>
      <c r="N145" s="17">
        <f t="shared" si="3"/>
        <v>0.49753579621180111</v>
      </c>
      <c r="O145" s="17">
        <f t="shared" si="4"/>
        <v>1.3227160899721757</v>
      </c>
      <c r="P145" s="17">
        <f>$F145/HSP!$E$2</f>
        <v>0.48044291858684851</v>
      </c>
      <c r="Q145" s="17">
        <f>$G145/HSP!$E$3</f>
        <v>0.57522894589201956</v>
      </c>
      <c r="R145" s="17">
        <f>$H145/HSP!$E$4</f>
        <v>0.67094273593126852</v>
      </c>
      <c r="S145" s="17">
        <f>$I145/HSP!$E$5</f>
        <v>0.3086900925401686</v>
      </c>
      <c r="T145" s="17">
        <f>$J145/HSP!$E$6</f>
        <v>0.75966802464618199</v>
      </c>
      <c r="U145" s="18" t="s">
        <v>614</v>
      </c>
      <c r="V145" s="12"/>
      <c r="W145" s="12"/>
      <c r="X145" s="12"/>
      <c r="Y145" s="12"/>
      <c r="Z145" s="12"/>
    </row>
    <row r="146" spans="1:26" ht="15" customHeight="1" x14ac:dyDescent="0.3">
      <c r="A146" s="26" t="s">
        <v>615</v>
      </c>
      <c r="B146" s="17">
        <v>17</v>
      </c>
      <c r="C146" s="17">
        <v>9.6</v>
      </c>
      <c r="D146" s="17">
        <v>7.8</v>
      </c>
      <c r="E146" s="17">
        <v>7.1</v>
      </c>
      <c r="F146" s="17">
        <f>SQRT((4*(HSP!$B$2-$B146)^2+(HSP!$C$2-$C146)^2+(HSP!$D$2-$D146)^2))</f>
        <v>4.9448963588734607</v>
      </c>
      <c r="G146" s="17">
        <f>SQRT((4*(HSP!$B$3-$B146)^2+(HSP!$C$3-$C146)^2+(HSP!$D$3-$D146)^2))</f>
        <v>3.2845699870759342</v>
      </c>
      <c r="H146" s="17">
        <f>SQRT((4*(HSP!$B$4-$B146)^2+(HSP!$C$4-$C146)^2+(HSP!$D$4-$D146)^2))</f>
        <v>6.2130507804137576</v>
      </c>
      <c r="I146" s="17">
        <f>SQRT((4*(HSP!$B$5-$B146)^2+(HSP!$C$5-$C146)^2+(HSP!$D$5-$D146)^2))</f>
        <v>5.6127444267488267</v>
      </c>
      <c r="J146" s="17">
        <f>SQRT((4*(HSP!$B$6-$B146)^2+(HSP!$C$6-$C146)^2+(HSP!$D$6-$D146)^2))</f>
        <v>6.1337590431969211</v>
      </c>
      <c r="K146" s="17">
        <f t="shared" si="0"/>
        <v>0.69646427589767057</v>
      </c>
      <c r="L146" s="17">
        <f t="shared" si="1"/>
        <v>0.46261549113745554</v>
      </c>
      <c r="M146" s="17">
        <f t="shared" si="2"/>
        <v>0.8750775747061631</v>
      </c>
      <c r="N146" s="17">
        <f t="shared" si="3"/>
        <v>0.79052738404913059</v>
      </c>
      <c r="O146" s="17">
        <f t="shared" si="4"/>
        <v>0.86390972439393254</v>
      </c>
      <c r="P146" s="17">
        <f>$F146/HSP!$E$2</f>
        <v>0.30336787477751292</v>
      </c>
      <c r="Q146" s="17">
        <f>$G146/HSP!$E$3</f>
        <v>0.24330148052414327</v>
      </c>
      <c r="R146" s="17">
        <f>$H146/HSP!$E$4</f>
        <v>0.39075791071784638</v>
      </c>
      <c r="S146" s="17">
        <f>$I146/HSP!$E$5</f>
        <v>0.40968937421524282</v>
      </c>
      <c r="T146" s="17">
        <f>$J146/HSP!$E$6</f>
        <v>0.41444317859438656</v>
      </c>
      <c r="U146" s="18" t="s">
        <v>614</v>
      </c>
      <c r="V146" s="12"/>
      <c r="W146" s="12"/>
      <c r="X146" s="12"/>
      <c r="Y146" s="12"/>
      <c r="Z146" s="12"/>
    </row>
    <row r="147" spans="1:26" ht="15" customHeight="1" x14ac:dyDescent="0.3">
      <c r="A147" s="26" t="s">
        <v>492</v>
      </c>
      <c r="B147" s="17">
        <v>17.399999999999999</v>
      </c>
      <c r="C147" s="17">
        <v>10.5</v>
      </c>
      <c r="D147" s="17">
        <v>9</v>
      </c>
      <c r="E147" s="17">
        <v>8</v>
      </c>
      <c r="F147" s="17">
        <f>SQRT((4*(HSP!$B$2-$B147)^2+(HSP!$C$2-$C147)^2+(HSP!$D$2-$D147)^2))</f>
        <v>5.9533184023702255</v>
      </c>
      <c r="G147" s="17">
        <f>SQRT((4*(HSP!$B$3-$B147)^2+(HSP!$C$3-$C147)^2+(HSP!$D$3-$D147)^2))</f>
        <v>4.7449341407442089</v>
      </c>
      <c r="H147" s="17">
        <f>SQRT((4*(HSP!$B$4-$B147)^2+(HSP!$C$4-$C147)^2+(HSP!$D$4-$D147)^2))</f>
        <v>7.6553249441156961</v>
      </c>
      <c r="I147" s="17">
        <f>SQRT((4*(HSP!$B$5-$B147)^2+(HSP!$C$5-$C147)^2+(HSP!$D$5-$D147)^2))</f>
        <v>5.1769585665716882</v>
      </c>
      <c r="J147" s="17">
        <f>SQRT((4*(HSP!$B$6-$B147)^2+(HSP!$C$6-$C147)^2+(HSP!$D$6-$D147)^2))</f>
        <v>7.8252795477222401</v>
      </c>
      <c r="K147" s="17">
        <f t="shared" si="0"/>
        <v>0.74416480029627818</v>
      </c>
      <c r="L147" s="17">
        <f t="shared" si="1"/>
        <v>0.59311676759302612</v>
      </c>
      <c r="M147" s="17">
        <f t="shared" si="2"/>
        <v>0.95691561801446201</v>
      </c>
      <c r="N147" s="17">
        <f t="shared" si="3"/>
        <v>0.64711982082146102</v>
      </c>
      <c r="O147" s="17">
        <f t="shared" si="4"/>
        <v>0.97815994346528001</v>
      </c>
      <c r="P147" s="17">
        <f>$F147/HSP!$E$2</f>
        <v>0.36523425781412422</v>
      </c>
      <c r="Q147" s="17">
        <f>$G147/HSP!$E$3</f>
        <v>0.35147660301808953</v>
      </c>
      <c r="R147" s="17">
        <f>$H147/HSP!$E$4</f>
        <v>0.48146697761733936</v>
      </c>
      <c r="S147" s="17">
        <f>$I147/HSP!$E$5</f>
        <v>0.37788018734099915</v>
      </c>
      <c r="T147" s="17">
        <f>$J147/HSP!$E$6</f>
        <v>0.52873510457582706</v>
      </c>
      <c r="U147" s="18" t="s">
        <v>616</v>
      </c>
      <c r="V147" s="12"/>
      <c r="W147" s="12"/>
      <c r="X147" s="12"/>
      <c r="Y147" s="12"/>
      <c r="Z147" s="12"/>
    </row>
    <row r="148" spans="1:26" ht="15" customHeight="1" x14ac:dyDescent="0.3">
      <c r="A148" s="26" t="s">
        <v>617</v>
      </c>
      <c r="B148" s="17">
        <v>17.399999999999999</v>
      </c>
      <c r="C148" s="17">
        <v>10.5</v>
      </c>
      <c r="D148" s="17">
        <v>9</v>
      </c>
      <c r="E148" s="17">
        <v>7.9</v>
      </c>
      <c r="F148" s="17">
        <f>SQRT((4*(HSP!$B$2-$B148)^2+(HSP!$C$2-$C148)^2+(HSP!$D$2-$D148)^2))</f>
        <v>5.9533184023702255</v>
      </c>
      <c r="G148" s="17">
        <f>SQRT((4*(HSP!$B$3-$B148)^2+(HSP!$C$3-$C148)^2+(HSP!$D$3-$D148)^2))</f>
        <v>4.7449341407442089</v>
      </c>
      <c r="H148" s="17">
        <f>SQRT((4*(HSP!$B$4-$B148)^2+(HSP!$C$4-$C148)^2+(HSP!$D$4-$D148)^2))</f>
        <v>7.6553249441156961</v>
      </c>
      <c r="I148" s="17">
        <f>SQRT((4*(HSP!$B$5-$B148)^2+(HSP!$C$5-$C148)^2+(HSP!$D$5-$D148)^2))</f>
        <v>5.1769585665716882</v>
      </c>
      <c r="J148" s="17">
        <f>SQRT((4*(HSP!$B$6-$B148)^2+(HSP!$C$6-$C148)^2+(HSP!$D$6-$D148)^2))</f>
        <v>7.8252795477222401</v>
      </c>
      <c r="K148" s="17">
        <f t="shared" si="0"/>
        <v>0.75358460789496517</v>
      </c>
      <c r="L148" s="17">
        <f t="shared" si="1"/>
        <v>0.60062457477774789</v>
      </c>
      <c r="M148" s="17">
        <f t="shared" si="2"/>
        <v>0.96902847393869562</v>
      </c>
      <c r="N148" s="17">
        <f t="shared" si="3"/>
        <v>0.65531121095844147</v>
      </c>
      <c r="O148" s="17">
        <f t="shared" si="4"/>
        <v>0.9905417149015493</v>
      </c>
      <c r="P148" s="17">
        <f>$F148/HSP!$E$2</f>
        <v>0.36523425781412422</v>
      </c>
      <c r="Q148" s="17">
        <f>$G148/HSP!$E$3</f>
        <v>0.35147660301808953</v>
      </c>
      <c r="R148" s="17">
        <f>$H148/HSP!$E$4</f>
        <v>0.48146697761733936</v>
      </c>
      <c r="S148" s="17">
        <f>$I148/HSP!$E$5</f>
        <v>0.37788018734099915</v>
      </c>
      <c r="T148" s="17">
        <f>$J148/HSP!$E$6</f>
        <v>0.52873510457582706</v>
      </c>
      <c r="U148" s="18" t="s">
        <v>449</v>
      </c>
      <c r="V148" s="12"/>
      <c r="W148" s="12"/>
      <c r="X148" s="12"/>
      <c r="Y148" s="12"/>
      <c r="Z148" s="12"/>
    </row>
    <row r="149" spans="1:26" ht="15" customHeight="1" x14ac:dyDescent="0.3">
      <c r="A149" s="26" t="s">
        <v>618</v>
      </c>
      <c r="B149" s="17">
        <v>18.5</v>
      </c>
      <c r="C149" s="17">
        <v>9</v>
      </c>
      <c r="D149" s="17">
        <v>8</v>
      </c>
      <c r="E149" s="17">
        <v>9.8000000000000007</v>
      </c>
      <c r="F149" s="17">
        <f>SQRT((4*(HSP!$B$2-$B149)^2+(HSP!$C$2-$C149)^2+(HSP!$D$2-$D149)^2))</f>
        <v>8.0007499648470457</v>
      </c>
      <c r="G149" s="17">
        <f>SQRT((4*(HSP!$B$3-$B149)^2+(HSP!$C$3-$C149)^2+(HSP!$D$3-$D149)^2))</f>
        <v>6.064025065911256</v>
      </c>
      <c r="H149" s="17">
        <f>SQRT((4*(HSP!$B$4-$B149)^2+(HSP!$C$4-$C149)^2+(HSP!$D$4-$D149)^2))</f>
        <v>8.0285739705130705</v>
      </c>
      <c r="I149" s="17">
        <f>SQRT((4*(HSP!$B$5-$B149)^2+(HSP!$C$5-$C149)^2+(HSP!$D$5-$D149)^2))</f>
        <v>8.0096753991656886</v>
      </c>
      <c r="J149" s="17">
        <f>SQRT((4*(HSP!$B$6-$B149)^2+(HSP!$C$6-$C149)^2+(HSP!$D$6-$D149)^2))</f>
        <v>8.0968512398339154</v>
      </c>
      <c r="K149" s="17">
        <f t="shared" si="0"/>
        <v>0.81640305763745358</v>
      </c>
      <c r="L149" s="17">
        <f t="shared" si="1"/>
        <v>0.61877806795012813</v>
      </c>
      <c r="M149" s="17">
        <f t="shared" si="2"/>
        <v>0.81924224188908878</v>
      </c>
      <c r="N149" s="17">
        <f t="shared" si="3"/>
        <v>0.81731381624139676</v>
      </c>
      <c r="O149" s="17">
        <f t="shared" si="4"/>
        <v>0.82620931018713417</v>
      </c>
      <c r="P149" s="17">
        <f>$F149/HSP!$E$2</f>
        <v>0.49084355612558561</v>
      </c>
      <c r="Q149" s="17">
        <f>$G149/HSP!$E$3</f>
        <v>0.44918704191935227</v>
      </c>
      <c r="R149" s="17">
        <f>$H149/HSP!$E$4</f>
        <v>0.50494175915176542</v>
      </c>
      <c r="S149" s="17">
        <f>$I149/HSP!$E$5</f>
        <v>0.58464783935515974</v>
      </c>
      <c r="T149" s="17">
        <f>$J149/HSP!$E$6</f>
        <v>0.54708454323202127</v>
      </c>
      <c r="U149" s="18" t="s">
        <v>471</v>
      </c>
      <c r="V149" s="12"/>
      <c r="W149" s="12"/>
      <c r="X149" s="12"/>
      <c r="Y149" s="12"/>
      <c r="Z149" s="12"/>
    </row>
    <row r="150" spans="1:26" ht="15" customHeight="1" x14ac:dyDescent="0.3">
      <c r="A150" s="26" t="s">
        <v>619</v>
      </c>
      <c r="B150" s="17">
        <v>16.899999999999999</v>
      </c>
      <c r="C150" s="17">
        <v>4.5</v>
      </c>
      <c r="D150" s="17">
        <v>6.5</v>
      </c>
      <c r="E150" s="17">
        <v>9.1999999999999993</v>
      </c>
      <c r="F150" s="17">
        <f>SQRT((4*(HSP!$B$2-$B150)^2+(HSP!$C$2-$C150)^2+(HSP!$D$2-$D150)^2))</f>
        <v>7.544004241780355</v>
      </c>
      <c r="G150" s="17">
        <f>SQRT((4*(HSP!$B$3-$B150)^2+(HSP!$C$3-$C150)^2+(HSP!$D$3-$D150)^2))</f>
        <v>5.7397212475868544</v>
      </c>
      <c r="H150" s="17">
        <f>SQRT((4*(HSP!$B$4-$B150)^2+(HSP!$C$4-$C150)^2+(HSP!$D$4-$D150)^2))</f>
        <v>3.4776428798828638</v>
      </c>
      <c r="I150" s="17">
        <f>SQRT((4*(HSP!$B$5-$B150)^2+(HSP!$C$5-$C150)^2+(HSP!$D$5-$D150)^2))</f>
        <v>9.8904448838260048</v>
      </c>
      <c r="J150" s="17">
        <f>SQRT((4*(HSP!$B$6-$B150)^2+(HSP!$C$6-$C150)^2+(HSP!$D$6-$D150)^2))</f>
        <v>4.6233105022267305</v>
      </c>
      <c r="K150" s="17">
        <f t="shared" si="0"/>
        <v>0.82000046106308211</v>
      </c>
      <c r="L150" s="17">
        <f t="shared" si="1"/>
        <v>0.62388274430291901</v>
      </c>
      <c r="M150" s="17">
        <f t="shared" si="2"/>
        <v>0.37800466085683304</v>
      </c>
      <c r="N150" s="17">
        <f t="shared" si="3"/>
        <v>1.0750483569376093</v>
      </c>
      <c r="O150" s="17">
        <f t="shared" si="4"/>
        <v>0.50253375024203595</v>
      </c>
      <c r="P150" s="17">
        <f>$F150/HSP!$E$2</f>
        <v>0.46282234612149414</v>
      </c>
      <c r="Q150" s="17">
        <f>$G150/HSP!$E$3</f>
        <v>0.42516453685828554</v>
      </c>
      <c r="R150" s="17">
        <f>$H150/HSP!$E$4</f>
        <v>0.21871967798005432</v>
      </c>
      <c r="S150" s="17">
        <f>$I150/HSP!$E$5</f>
        <v>0.72193028349094934</v>
      </c>
      <c r="T150" s="17">
        <f>$J150/HSP!$E$6</f>
        <v>0.31238584474504932</v>
      </c>
      <c r="U150" s="18" t="s">
        <v>471</v>
      </c>
      <c r="V150" s="12"/>
      <c r="W150" s="12"/>
      <c r="X150" s="12"/>
      <c r="Y150" s="12"/>
      <c r="Z150" s="12"/>
    </row>
    <row r="151" spans="1:26" ht="15" customHeight="1" x14ac:dyDescent="0.3">
      <c r="A151" s="26" t="s">
        <v>620</v>
      </c>
      <c r="B151" s="17">
        <v>19.64</v>
      </c>
      <c r="C151" s="17">
        <v>4.7300000000000004</v>
      </c>
      <c r="D151" s="17">
        <v>7.77</v>
      </c>
      <c r="E151" s="17">
        <v>10.64</v>
      </c>
      <c r="F151" s="17">
        <f>SQRT((4*(HSP!$B$2-$B151)^2+(HSP!$C$2-$C151)^2+(HSP!$D$2-$D151)^2))</f>
        <v>11.62167801997629</v>
      </c>
      <c r="G151" s="17">
        <f>SQRT((4*(HSP!$B$3-$B151)^2+(HSP!$C$3-$C151)^2+(HSP!$D$3-$D151)^2))</f>
        <v>9.5140632749630178</v>
      </c>
      <c r="H151" s="17">
        <f>SQRT((4*(HSP!$B$4-$B151)^2+(HSP!$C$4-$C151)^2+(HSP!$D$4-$D151)^2))</f>
        <v>8.9926080755251423</v>
      </c>
      <c r="I151" s="17">
        <f>SQRT((4*(HSP!$B$5-$B151)^2+(HSP!$C$5-$C151)^2+(HSP!$D$5-$D151)^2))</f>
        <v>12.256153556479294</v>
      </c>
      <c r="J151" s="17">
        <f>SQRT((4*(HSP!$B$6-$B151)^2+(HSP!$C$6-$C151)^2+(HSP!$D$6-$D151)^2))</f>
        <v>9.7285147890107062</v>
      </c>
      <c r="K151" s="17">
        <f t="shared" si="0"/>
        <v>1.0922629718022829</v>
      </c>
      <c r="L151" s="17">
        <f t="shared" si="1"/>
        <v>0.89417887922584749</v>
      </c>
      <c r="M151" s="17">
        <f t="shared" si="2"/>
        <v>0.84516993191025769</v>
      </c>
      <c r="N151" s="17">
        <f t="shared" si="3"/>
        <v>1.151894131248054</v>
      </c>
      <c r="O151" s="17">
        <f t="shared" si="4"/>
        <v>0.91433409671153254</v>
      </c>
      <c r="P151" s="17">
        <f>$F151/HSP!$E$2</f>
        <v>0.71298638159363736</v>
      </c>
      <c r="Q151" s="17">
        <f>$G151/HSP!$E$3</f>
        <v>0.70474542777503835</v>
      </c>
      <c r="R151" s="17">
        <f>$H151/HSP!$E$4</f>
        <v>0.56557283493868815</v>
      </c>
      <c r="S151" s="17">
        <f>$I151/HSP!$E$5</f>
        <v>0.8946097486481237</v>
      </c>
      <c r="T151" s="17">
        <f>$J151/HSP!$E$6</f>
        <v>0.65733208033856116</v>
      </c>
      <c r="U151" s="18" t="s">
        <v>471</v>
      </c>
      <c r="V151" s="12"/>
      <c r="W151" s="12"/>
      <c r="X151" s="12"/>
      <c r="Y151" s="12"/>
      <c r="Z151" s="12"/>
    </row>
    <row r="152" spans="1:26" ht="15" customHeight="1" x14ac:dyDescent="0.3">
      <c r="A152" s="26" t="s">
        <v>621</v>
      </c>
      <c r="B152" s="17">
        <v>16</v>
      </c>
      <c r="C152" s="17">
        <v>6</v>
      </c>
      <c r="D152" s="17">
        <v>7</v>
      </c>
      <c r="E152" s="17">
        <v>5</v>
      </c>
      <c r="F152" s="17">
        <f>SQRT((4*(HSP!$B$2-$B152)^2+(HSP!$C$2-$C152)^2+(HSP!$D$2-$D152)^2))</f>
        <v>5.2661181148926017</v>
      </c>
      <c r="G152" s="17">
        <f>SQRT((4*(HSP!$B$3-$B152)^2+(HSP!$C$3-$C152)^2+(HSP!$D$3-$D152)^2))</f>
        <v>3.8951765043448292</v>
      </c>
      <c r="H152" s="17">
        <f>SQRT((4*(HSP!$B$4-$B152)^2+(HSP!$C$4-$C152)^2+(HSP!$D$4-$D152)^2))</f>
        <v>2.130258200312817</v>
      </c>
      <c r="I152" s="17">
        <f>SQRT((4*(HSP!$B$5-$B152)^2+(HSP!$C$5-$C152)^2+(HSP!$D$5-$D152)^2))</f>
        <v>7.9205365979837508</v>
      </c>
      <c r="J152" s="17">
        <f>SQRT((4*(HSP!$B$6-$B152)^2+(HSP!$C$6-$C152)^2+(HSP!$D$6-$D152)^2))</f>
        <v>3.498428218500417</v>
      </c>
      <c r="K152" s="17">
        <f t="shared" si="0"/>
        <v>1.0532236229785203</v>
      </c>
      <c r="L152" s="17">
        <f t="shared" si="1"/>
        <v>0.77903530086896589</v>
      </c>
      <c r="M152" s="17">
        <f t="shared" si="2"/>
        <v>0.42605164006256341</v>
      </c>
      <c r="N152" s="17">
        <f t="shared" si="3"/>
        <v>1.5841073195967501</v>
      </c>
      <c r="O152" s="17">
        <f t="shared" si="4"/>
        <v>0.69968564370008335</v>
      </c>
      <c r="P152" s="17">
        <f>$F152/HSP!$E$2</f>
        <v>0.32307473097500622</v>
      </c>
      <c r="Q152" s="17">
        <f>$G152/HSP!$E$3</f>
        <v>0.28853159291443181</v>
      </c>
      <c r="R152" s="17">
        <f>$H152/HSP!$E$4</f>
        <v>0.13397850316432811</v>
      </c>
      <c r="S152" s="17">
        <f>$I152/HSP!$E$5</f>
        <v>0.57814135751706208</v>
      </c>
      <c r="T152" s="17">
        <f>$J152/HSP!$E$6</f>
        <v>0.23638028503381195</v>
      </c>
      <c r="U152" s="18" t="s">
        <v>454</v>
      </c>
      <c r="V152" s="12"/>
      <c r="W152" s="12"/>
      <c r="X152" s="12"/>
      <c r="Y152" s="12"/>
      <c r="Z152" s="12"/>
    </row>
    <row r="153" spans="1:26" ht="15" customHeight="1" x14ac:dyDescent="0.3">
      <c r="A153" s="26" t="s">
        <v>622</v>
      </c>
      <c r="B153" s="17">
        <v>17.899999999999999</v>
      </c>
      <c r="C153" s="17">
        <v>4.3</v>
      </c>
      <c r="D153" s="17">
        <v>3.9</v>
      </c>
      <c r="E153" s="17">
        <v>5.9</v>
      </c>
      <c r="F153" s="17">
        <f>SQRT((4*(HSP!$B$2-$B153)^2+(HSP!$C$2-$C153)^2+(HSP!$D$2-$D153)^2))</f>
        <v>9.538972691018671</v>
      </c>
      <c r="G153" s="17">
        <f>SQRT((4*(HSP!$B$3-$B153)^2+(HSP!$C$3-$C153)^2+(HSP!$D$3-$D153)^2))</f>
        <v>7.2078013291155569</v>
      </c>
      <c r="H153" s="17">
        <f>SQRT((4*(HSP!$B$4-$B153)^2+(HSP!$C$4-$C153)^2+(HSP!$D$4-$D153)^2))</f>
        <v>6.1940293832044393</v>
      </c>
      <c r="I153" s="17">
        <f>SQRT((4*(HSP!$B$5-$B153)^2+(HSP!$C$5-$C153)^2+(HSP!$D$5-$D153)^2))</f>
        <v>12.164904438588902</v>
      </c>
      <c r="J153" s="17">
        <f>SQRT((4*(HSP!$B$6-$B153)^2+(HSP!$C$6-$C153)^2+(HSP!$D$6-$D153)^2))</f>
        <v>5.6751211440814178</v>
      </c>
      <c r="K153" s="17">
        <f t="shared" si="0"/>
        <v>1.6167750323760459</v>
      </c>
      <c r="L153" s="17">
        <f t="shared" si="1"/>
        <v>1.2216612422229758</v>
      </c>
      <c r="M153" s="17">
        <f t="shared" si="2"/>
        <v>1.0498354886787185</v>
      </c>
      <c r="N153" s="17">
        <f t="shared" si="3"/>
        <v>2.0618482099303224</v>
      </c>
      <c r="O153" s="17">
        <f t="shared" si="4"/>
        <v>0.96188493967481647</v>
      </c>
      <c r="P153" s="17">
        <f>$F153/HSP!$E$2</f>
        <v>0.58521304852875278</v>
      </c>
      <c r="Q153" s="17">
        <f>$G153/HSP!$E$3</f>
        <v>0.53391120956411531</v>
      </c>
      <c r="R153" s="17">
        <f>$H153/HSP!$E$4</f>
        <v>0.38956159642795213</v>
      </c>
      <c r="S153" s="17">
        <f>$I153/HSP!$E$5</f>
        <v>0.88794922909408047</v>
      </c>
      <c r="T153" s="17">
        <f>$J153/HSP!$E$6</f>
        <v>0.38345413135685252</v>
      </c>
      <c r="U153" s="18" t="s">
        <v>471</v>
      </c>
      <c r="V153" s="12"/>
      <c r="W153" s="12"/>
      <c r="X153" s="12"/>
      <c r="Y153" s="12"/>
      <c r="Z153" s="12"/>
    </row>
    <row r="154" spans="1:26" ht="15" customHeight="1" x14ac:dyDescent="0.3">
      <c r="A154" s="26" t="s">
        <v>623</v>
      </c>
      <c r="B154" s="17">
        <v>20.100000000000001</v>
      </c>
      <c r="C154" s="17">
        <v>6.9</v>
      </c>
      <c r="D154" s="17">
        <v>5.9</v>
      </c>
      <c r="E154" s="17">
        <v>9.9</v>
      </c>
      <c r="F154" s="17">
        <f>SQRT((4*(HSP!$B$2-$B154)^2+(HSP!$C$2-$C154)^2+(HSP!$D$2-$D154)^2))</f>
        <v>11.612062693595831</v>
      </c>
      <c r="G154" s="17">
        <f>SQRT((4*(HSP!$B$3-$B154)^2+(HSP!$C$3-$C154)^2+(HSP!$D$3-$D154)^2))</f>
        <v>9.2420993286157707</v>
      </c>
      <c r="H154" s="17">
        <f>SQRT((4*(HSP!$B$4-$B154)^2+(HSP!$C$4-$C154)^2+(HSP!$D$4-$D154)^2))</f>
        <v>10.146822162628064</v>
      </c>
      <c r="I154" s="17">
        <f>SQRT((4*(HSP!$B$5-$B154)^2+(HSP!$C$5-$C154)^2+(HSP!$D$5-$D154)^2))</f>
        <v>12.348639601186846</v>
      </c>
      <c r="J154" s="17">
        <f>SQRT((4*(HSP!$B$6-$B154)^2+(HSP!$C$6-$C154)^2+(HSP!$D$6-$D154)^2))</f>
        <v>9.8863036570803384</v>
      </c>
      <c r="K154" s="17">
        <f t="shared" si="0"/>
        <v>1.1729356256157404</v>
      </c>
      <c r="L154" s="17">
        <f t="shared" si="1"/>
        <v>0.93354538672886567</v>
      </c>
      <c r="M154" s="17">
        <f t="shared" si="2"/>
        <v>1.0249315315785923</v>
      </c>
      <c r="N154" s="17">
        <f t="shared" si="3"/>
        <v>1.2473373334532167</v>
      </c>
      <c r="O154" s="17">
        <f t="shared" si="4"/>
        <v>0.99861653101821601</v>
      </c>
      <c r="P154" s="17">
        <f>$F154/HSP!$E$2</f>
        <v>0.71239648426968283</v>
      </c>
      <c r="Q154" s="17">
        <f>$G154/HSP!$E$3</f>
        <v>0.68459995026783482</v>
      </c>
      <c r="R154" s="17">
        <f>$H154/HSP!$E$4</f>
        <v>0.6381649158885575</v>
      </c>
      <c r="S154" s="17">
        <f>$I154/HSP!$E$5</f>
        <v>0.90136055483115674</v>
      </c>
      <c r="T154" s="17">
        <f>$J154/HSP!$E$6</f>
        <v>0.66799349034326605</v>
      </c>
      <c r="U154" s="18" t="s">
        <v>471</v>
      </c>
      <c r="V154" s="12"/>
      <c r="W154" s="12"/>
      <c r="X154" s="12"/>
      <c r="Y154" s="12"/>
      <c r="Z154" s="12"/>
    </row>
    <row r="155" spans="1:26" ht="15" customHeight="1" x14ac:dyDescent="0.3">
      <c r="A155" s="26" t="s">
        <v>624</v>
      </c>
      <c r="B155" s="17">
        <v>22.7</v>
      </c>
      <c r="C155" s="17">
        <v>0.5</v>
      </c>
      <c r="D155" s="17">
        <v>16.5</v>
      </c>
      <c r="E155" s="17">
        <v>20.100000000000001</v>
      </c>
      <c r="F155" s="17">
        <f>SQRT((4*(HSP!$B$2-$B155)^2+(HSP!$C$2-$C155)^2+(HSP!$D$2-$D155)^2))</f>
        <v>21.266687565297989</v>
      </c>
      <c r="G155" s="17">
        <f>SQRT((4*(HSP!$B$3-$B155)^2+(HSP!$C$3-$C155)^2+(HSP!$D$3-$D155)^2))</f>
        <v>19.862738985346407</v>
      </c>
      <c r="H155" s="17">
        <f>SQRT((4*(HSP!$B$4-$B155)^2+(HSP!$C$4-$C155)^2+(HSP!$D$4-$D155)^2))</f>
        <v>18.394727505456554</v>
      </c>
      <c r="I155" s="17">
        <f>SQRT((4*(HSP!$B$5-$B155)^2+(HSP!$C$5-$C155)^2+(HSP!$D$5-$D155)^2))</f>
        <v>20.029301036231892</v>
      </c>
      <c r="J155" s="17">
        <f>SQRT((4*(HSP!$B$6-$B155)^2+(HSP!$C$6-$C155)^2+(HSP!$D$6-$D155)^2))</f>
        <v>20.396249655267507</v>
      </c>
      <c r="K155" s="17">
        <f t="shared" si="0"/>
        <v>1.0580441574775119</v>
      </c>
      <c r="L155" s="17">
        <f t="shared" si="1"/>
        <v>0.98819596942021926</v>
      </c>
      <c r="M155" s="17">
        <f t="shared" si="2"/>
        <v>0.91516057241077375</v>
      </c>
      <c r="N155" s="17">
        <f t="shared" si="3"/>
        <v>0.99648263861850206</v>
      </c>
      <c r="O155" s="17">
        <f t="shared" si="4"/>
        <v>1.0147387888192789</v>
      </c>
      <c r="P155" s="17">
        <f>$F155/HSP!$E$2</f>
        <v>1.3047047586072384</v>
      </c>
      <c r="Q155" s="17">
        <f>$G155/HSP!$E$3</f>
        <v>1.4713139989145487</v>
      </c>
      <c r="R155" s="17">
        <f>$H155/HSP!$E$4</f>
        <v>1.1569011009721104</v>
      </c>
      <c r="S155" s="17">
        <f>$I155/HSP!$E$5</f>
        <v>1.4619927763672915</v>
      </c>
      <c r="T155" s="17">
        <f>$J155/HSP!$E$6</f>
        <v>1.3781249767072639</v>
      </c>
      <c r="U155" s="18" t="s">
        <v>454</v>
      </c>
      <c r="V155" s="12"/>
      <c r="W155" s="12"/>
      <c r="X155" s="12"/>
      <c r="Y155" s="12"/>
      <c r="Z155" s="12"/>
    </row>
    <row r="156" spans="1:26" ht="15" customHeight="1" x14ac:dyDescent="0.3">
      <c r="A156" s="26" t="s">
        <v>625</v>
      </c>
      <c r="B156" s="17">
        <v>17.7</v>
      </c>
      <c r="C156" s="17">
        <v>3.5</v>
      </c>
      <c r="D156" s="17">
        <v>3.7</v>
      </c>
      <c r="E156" s="17">
        <v>4.7</v>
      </c>
      <c r="F156" s="17">
        <f>SQRT((4*(HSP!$B$2-$B156)^2+(HSP!$C$2-$C156)^2+(HSP!$D$2-$D156)^2))</f>
        <v>9.8812954616285005</v>
      </c>
      <c r="G156" s="17">
        <f>SQRT((4*(HSP!$B$3-$B156)^2+(HSP!$C$3-$C156)^2+(HSP!$D$3-$D156)^2))</f>
        <v>7.6550898100544842</v>
      </c>
      <c r="H156" s="17">
        <f>SQRT((4*(HSP!$B$4-$B156)^2+(HSP!$C$4-$C156)^2+(HSP!$D$4-$D156)^2))</f>
        <v>6.0502892492838702</v>
      </c>
      <c r="I156" s="17">
        <f>SQRT((4*(HSP!$B$5-$B156)^2+(HSP!$C$5-$C156)^2+(HSP!$D$5-$D156)^2))</f>
        <v>12.684671852279033</v>
      </c>
      <c r="J156" s="17">
        <f>SQRT((4*(HSP!$B$6-$B156)^2+(HSP!$C$6-$C156)^2+(HSP!$D$6-$D156)^2))</f>
        <v>5.6768829475337954</v>
      </c>
      <c r="K156" s="17">
        <f t="shared" si="0"/>
        <v>2.1024032897081915</v>
      </c>
      <c r="L156" s="17">
        <f t="shared" si="1"/>
        <v>1.6287425127775497</v>
      </c>
      <c r="M156" s="17">
        <f t="shared" si="2"/>
        <v>1.2872955849540149</v>
      </c>
      <c r="N156" s="17">
        <f t="shared" si="3"/>
        <v>2.6988663515487303</v>
      </c>
      <c r="O156" s="17">
        <f t="shared" si="4"/>
        <v>1.2078474356454882</v>
      </c>
      <c r="P156" s="17">
        <f>$F156/HSP!$E$2</f>
        <v>0.60621444549868098</v>
      </c>
      <c r="Q156" s="17">
        <f>$G156/HSP!$E$3</f>
        <v>0.56704368963366547</v>
      </c>
      <c r="R156" s="17">
        <f>$H156/HSP!$E$4</f>
        <v>0.38052133643294783</v>
      </c>
      <c r="S156" s="17">
        <f>$I156/HSP!$E$5</f>
        <v>0.92588845637073236</v>
      </c>
      <c r="T156" s="17">
        <f>$J156/HSP!$E$6</f>
        <v>0.38357317213066183</v>
      </c>
      <c r="U156" s="18" t="s">
        <v>454</v>
      </c>
      <c r="V156" s="12"/>
      <c r="W156" s="12"/>
      <c r="X156" s="12"/>
      <c r="Y156" s="12"/>
      <c r="Z156" s="12"/>
    </row>
    <row r="157" spans="1:26" ht="15" customHeight="1" x14ac:dyDescent="0.3">
      <c r="A157" s="26" t="s">
        <v>626</v>
      </c>
      <c r="B157" s="17">
        <v>20.5</v>
      </c>
      <c r="C157" s="17">
        <v>10.5</v>
      </c>
      <c r="D157" s="17">
        <v>12.3</v>
      </c>
      <c r="E157" s="17">
        <v>7.3</v>
      </c>
      <c r="F157" s="17">
        <f>SQRT((4*(HSP!$B$2-$B157)^2+(HSP!$C$2-$C157)^2+(HSP!$D$2-$D157)^2))</f>
        <v>12.943878862226732</v>
      </c>
      <c r="G157" s="17">
        <f>SQRT((4*(HSP!$B$3-$B157)^2+(HSP!$C$3-$C157)^2+(HSP!$D$3-$D157)^2))</f>
        <v>11.629290606051601</v>
      </c>
      <c r="H157" s="17">
        <f>SQRT((4*(HSP!$B$4-$B157)^2+(HSP!$C$4-$C157)^2+(HSP!$D$4-$D157)^2))</f>
        <v>13.332591646037915</v>
      </c>
      <c r="I157" s="17">
        <f>SQRT((4*(HSP!$B$5-$B157)^2+(HSP!$C$5-$C157)^2+(HSP!$D$5-$D157)^2))</f>
        <v>10.780394241399524</v>
      </c>
      <c r="J157" s="17">
        <f>SQRT((4*(HSP!$B$6-$B157)^2+(HSP!$C$6-$C157)^2+(HSP!$D$6-$D157)^2))</f>
        <v>14.049163676176601</v>
      </c>
      <c r="K157" s="17">
        <f t="shared" si="0"/>
        <v>1.7731340907159907</v>
      </c>
      <c r="L157" s="17">
        <f t="shared" si="1"/>
        <v>1.5930535076783015</v>
      </c>
      <c r="M157" s="17">
        <f t="shared" si="2"/>
        <v>1.8263824172654679</v>
      </c>
      <c r="N157" s="17">
        <f t="shared" si="3"/>
        <v>1.4767663344382909</v>
      </c>
      <c r="O157" s="17">
        <f t="shared" si="4"/>
        <v>1.9245429693392604</v>
      </c>
      <c r="P157" s="17">
        <f>$F157/HSP!$E$2</f>
        <v>0.7941029976826216</v>
      </c>
      <c r="Q157" s="17">
        <f>$G157/HSP!$E$3</f>
        <v>0.86142893378160013</v>
      </c>
      <c r="R157" s="17">
        <f>$H157/HSP!$E$4</f>
        <v>0.83852777648037202</v>
      </c>
      <c r="S157" s="17">
        <f>$I157/HSP!$E$5</f>
        <v>0.786890090613104</v>
      </c>
      <c r="T157" s="17">
        <f>$J157/HSP!$E$6</f>
        <v>0.94926781595787835</v>
      </c>
      <c r="U157" s="18" t="s">
        <v>471</v>
      </c>
      <c r="V157" s="12"/>
      <c r="W157" s="12"/>
      <c r="X157" s="12"/>
      <c r="Y157" s="12"/>
      <c r="Z157" s="12"/>
    </row>
    <row r="158" spans="1:26" ht="15" customHeight="1" x14ac:dyDescent="0.3">
      <c r="A158" s="26" t="s">
        <v>627</v>
      </c>
      <c r="B158" s="17">
        <v>17.399999999999999</v>
      </c>
      <c r="C158" s="17">
        <v>7.8</v>
      </c>
      <c r="D158" s="17">
        <v>3.8</v>
      </c>
      <c r="E158" s="17">
        <v>7.7</v>
      </c>
      <c r="F158" s="17">
        <f>SQRT((4*(HSP!$B$2-$B158)^2+(HSP!$C$2-$C158)^2+(HSP!$D$2-$D158)^2))</f>
        <v>6.9676394855072683</v>
      </c>
      <c r="G158" s="17">
        <f>SQRT((4*(HSP!$B$3-$B158)^2+(HSP!$C$3-$C158)^2+(HSP!$D$3-$D158)^2))</f>
        <v>4.3859320560172828</v>
      </c>
      <c r="H158" s="17">
        <f>SQRT((4*(HSP!$B$4-$B158)^2+(HSP!$C$4-$C158)^2+(HSP!$D$4-$D158)^2))</f>
        <v>6.2149818986059788</v>
      </c>
      <c r="I158" s="17">
        <f>SQRT((4*(HSP!$B$5-$B158)^2+(HSP!$C$5-$C158)^2+(HSP!$D$5-$D158)^2))</f>
        <v>9.6535433909005661</v>
      </c>
      <c r="J158" s="17">
        <f>SQRT((4*(HSP!$B$6-$B158)^2+(HSP!$C$6-$C158)^2+(HSP!$D$6-$D158)^2))</f>
        <v>4.4751536286478464</v>
      </c>
      <c r="K158" s="17">
        <f t="shared" si="0"/>
        <v>0.90488824487107378</v>
      </c>
      <c r="L158" s="17">
        <f t="shared" si="1"/>
        <v>0.5696015657165302</v>
      </c>
      <c r="M158" s="17">
        <f t="shared" si="2"/>
        <v>0.80714050631246481</v>
      </c>
      <c r="N158" s="17">
        <f t="shared" si="3"/>
        <v>1.2537069338831903</v>
      </c>
      <c r="O158" s="17">
        <f t="shared" si="4"/>
        <v>0.58118878294127874</v>
      </c>
      <c r="P158" s="17">
        <f>$F158/HSP!$E$2</f>
        <v>0.4274625451231453</v>
      </c>
      <c r="Q158" s="17">
        <f>$G158/HSP!$E$3</f>
        <v>0.32488385600128022</v>
      </c>
      <c r="R158" s="17">
        <f>$H158/HSP!$E$4</f>
        <v>0.39087936469219992</v>
      </c>
      <c r="S158" s="17">
        <f>$I158/HSP!$E$5</f>
        <v>0.70463820371536978</v>
      </c>
      <c r="T158" s="17">
        <f>$J158/HSP!$E$6</f>
        <v>0.30237524517890851</v>
      </c>
      <c r="U158" s="18" t="s">
        <v>628</v>
      </c>
      <c r="V158" s="12"/>
      <c r="W158" s="12"/>
      <c r="X158" s="12"/>
      <c r="Y158" s="12"/>
      <c r="Z158" s="12"/>
    </row>
    <row r="159" spans="1:26" ht="15" customHeight="1" x14ac:dyDescent="0.3">
      <c r="A159" s="26" t="s">
        <v>629</v>
      </c>
      <c r="B159" s="17">
        <v>17.899999999999999</v>
      </c>
      <c r="C159" s="17">
        <v>8.6999999999999993</v>
      </c>
      <c r="D159" s="17">
        <v>2.5</v>
      </c>
      <c r="E159" s="17">
        <v>9</v>
      </c>
      <c r="F159" s="17">
        <f>SQRT((4*(HSP!$B$2-$B159)^2+(HSP!$C$2-$C159)^2+(HSP!$D$2-$D159)^2))</f>
        <v>8.1687208300932888</v>
      </c>
      <c r="G159" s="17">
        <f>SQRT((4*(HSP!$B$3-$B159)^2+(HSP!$C$3-$C159)^2+(HSP!$D$3-$D159)^2))</f>
        <v>5.6107397016792699</v>
      </c>
      <c r="H159" s="17">
        <f>SQRT((4*(HSP!$B$4-$B159)^2+(HSP!$C$4-$C159)^2+(HSP!$D$4-$D159)^2))</f>
        <v>8.0288230768899105</v>
      </c>
      <c r="I159" s="17">
        <f>SQRT((4*(HSP!$B$5-$B159)^2+(HSP!$C$5-$C159)^2+(HSP!$D$5-$D159)^2))</f>
        <v>10.718810568341992</v>
      </c>
      <c r="J159" s="17">
        <f>SQRT((4*(HSP!$B$6-$B159)^2+(HSP!$C$6-$C159)^2+(HSP!$D$6-$D159)^2))</f>
        <v>5.8858304426818115</v>
      </c>
      <c r="K159" s="17">
        <f t="shared" si="0"/>
        <v>0.90763564778814321</v>
      </c>
      <c r="L159" s="17">
        <f t="shared" si="1"/>
        <v>0.62341552240880782</v>
      </c>
      <c r="M159" s="17">
        <f t="shared" si="2"/>
        <v>0.89209145298776782</v>
      </c>
      <c r="N159" s="17">
        <f t="shared" si="3"/>
        <v>1.190978952037999</v>
      </c>
      <c r="O159" s="17">
        <f t="shared" si="4"/>
        <v>0.65398116029797904</v>
      </c>
      <c r="P159" s="17">
        <f>$F159/HSP!$E$2</f>
        <v>0.50114851718363729</v>
      </c>
      <c r="Q159" s="17">
        <f>$G159/HSP!$E$3</f>
        <v>0.41561034827253851</v>
      </c>
      <c r="R159" s="17">
        <f>$H159/HSP!$E$4</f>
        <v>0.50495742621949125</v>
      </c>
      <c r="S159" s="17">
        <f>$I159/HSP!$E$5</f>
        <v>0.78239493199576582</v>
      </c>
      <c r="T159" s="17">
        <f>$J159/HSP!$E$6</f>
        <v>0.3976912461271494</v>
      </c>
      <c r="U159" s="18" t="s">
        <v>454</v>
      </c>
      <c r="V159" s="12"/>
      <c r="W159" s="12"/>
      <c r="X159" s="12"/>
      <c r="Y159" s="12"/>
      <c r="Z159" s="12"/>
    </row>
    <row r="160" spans="1:26" ht="15" customHeight="1" x14ac:dyDescent="0.3">
      <c r="A160" s="27" t="s">
        <v>630</v>
      </c>
      <c r="B160" s="19">
        <v>17.399999999999999</v>
      </c>
      <c r="C160" s="19">
        <v>7.8</v>
      </c>
      <c r="D160" s="19">
        <v>3.8</v>
      </c>
      <c r="E160" s="19">
        <v>7.7</v>
      </c>
      <c r="F160" s="19">
        <f>SQRT((4*(HSP!$B$2-$B160)^2+(HSP!$C$2-$C160)^2+(HSP!$D$2-$D160)^2))</f>
        <v>6.9676394855072683</v>
      </c>
      <c r="G160" s="19">
        <f>SQRT((4*(HSP!$B$3-$B160)^2+(HSP!$C$3-$C160)^2+(HSP!$D$3-$D160)^2))</f>
        <v>4.3859320560172828</v>
      </c>
      <c r="H160" s="19">
        <f>SQRT((4*(HSP!$B$4-$B160)^2+(HSP!$C$4-$C160)^2+(HSP!$D$4-$D160)^2))</f>
        <v>6.2149818986059788</v>
      </c>
      <c r="I160" s="19">
        <f>SQRT((4*(HSP!$B$5-$B160)^2+(HSP!$C$5-$C160)^2+(HSP!$D$5-$D160)^2))</f>
        <v>9.6535433909005661</v>
      </c>
      <c r="J160" s="17">
        <f>SQRT((4*(HSP!$B$6-$B160)^2+(HSP!$C$6-$C160)^2+(HSP!$D$6-$D160)^2))</f>
        <v>4.4751536286478464</v>
      </c>
      <c r="K160" s="17">
        <f t="shared" si="0"/>
        <v>0.90488824487107378</v>
      </c>
      <c r="L160" s="17">
        <f t="shared" si="1"/>
        <v>0.5696015657165302</v>
      </c>
      <c r="M160" s="17">
        <f t="shared" si="2"/>
        <v>0.80714050631246481</v>
      </c>
      <c r="N160" s="17">
        <f t="shared" si="3"/>
        <v>1.2537069338831903</v>
      </c>
      <c r="O160" s="17">
        <f t="shared" si="4"/>
        <v>0.58118878294127874</v>
      </c>
      <c r="P160" s="17">
        <f>$F160/HSP!$E$2</f>
        <v>0.4274625451231453</v>
      </c>
      <c r="Q160" s="17">
        <f>$G160/HSP!$E$3</f>
        <v>0.32488385600128022</v>
      </c>
      <c r="R160" s="17">
        <f>$H160/HSP!$E$4</f>
        <v>0.39087936469219992</v>
      </c>
      <c r="S160" s="17">
        <f>$I160/HSP!$E$5</f>
        <v>0.70463820371536978</v>
      </c>
      <c r="T160" s="17">
        <f>$J160/HSP!$E$6</f>
        <v>0.30237524517890851</v>
      </c>
      <c r="U160" s="18" t="s">
        <v>462</v>
      </c>
      <c r="V160" s="12"/>
      <c r="W160" s="12"/>
      <c r="X160" s="12"/>
      <c r="Y160" s="12"/>
      <c r="Z160" s="12"/>
    </row>
    <row r="161" spans="1:26" ht="15" customHeight="1" x14ac:dyDescent="0.3">
      <c r="A161" s="26" t="s">
        <v>631</v>
      </c>
      <c r="B161" s="17">
        <v>19</v>
      </c>
      <c r="C161" s="17">
        <v>4</v>
      </c>
      <c r="D161" s="17">
        <v>3</v>
      </c>
      <c r="E161" s="17">
        <v>4</v>
      </c>
      <c r="F161" s="17">
        <f>SQRT((4*(HSP!$B$2-$B161)^2+(HSP!$C$2-$C161)^2+(HSP!$D$2-$D161)^2))</f>
        <v>11.619466424926751</v>
      </c>
      <c r="G161" s="17">
        <f>SQRT((4*(HSP!$B$3-$B161)^2+(HSP!$C$3-$C161)^2+(HSP!$D$3-$D161)^2))</f>
        <v>9.1549112502525123</v>
      </c>
      <c r="H161" s="17">
        <f>SQRT((4*(HSP!$B$4-$B161)^2+(HSP!$C$4-$C161)^2+(HSP!$D$4-$D161)^2))</f>
        <v>8.5777619458690975</v>
      </c>
      <c r="I161" s="17">
        <f>SQRT((4*(HSP!$B$5-$B161)^2+(HSP!$C$5-$C161)^2+(HSP!$D$5-$D161)^2))</f>
        <v>13.949010717610049</v>
      </c>
      <c r="J161" s="17">
        <f>SQRT((4*(HSP!$B$6-$B161)^2+(HSP!$C$6-$C161)^2+(HSP!$D$6-$D161)^2))</f>
        <v>7.8917045053651123</v>
      </c>
      <c r="K161" s="17">
        <f t="shared" si="0"/>
        <v>2.9048666062316877</v>
      </c>
      <c r="L161" s="17">
        <f t="shared" si="1"/>
        <v>2.2887278125631281</v>
      </c>
      <c r="M161" s="17">
        <f t="shared" si="2"/>
        <v>2.1444404864672744</v>
      </c>
      <c r="N161" s="17">
        <f t="shared" si="3"/>
        <v>3.4872526794025123</v>
      </c>
      <c r="O161" s="17">
        <f t="shared" si="4"/>
        <v>1.9729261263412781</v>
      </c>
      <c r="P161" s="17">
        <f>$F161/HSP!$E$2</f>
        <v>0.71285070091575153</v>
      </c>
      <c r="Q161" s="17">
        <f>$G161/HSP!$E$3</f>
        <v>0.67814157409277864</v>
      </c>
      <c r="R161" s="17">
        <f>$H161/HSP!$E$4</f>
        <v>0.53948188338799352</v>
      </c>
      <c r="S161" s="17">
        <f>$I161/HSP!$E$5</f>
        <v>1.0181759647890547</v>
      </c>
      <c r="T161" s="17">
        <f>$J161/HSP!$E$6</f>
        <v>0.53322327738953457</v>
      </c>
      <c r="U161" s="18" t="s">
        <v>632</v>
      </c>
      <c r="V161" s="12"/>
      <c r="W161" s="12"/>
      <c r="X161" s="12"/>
      <c r="Y161" s="12"/>
      <c r="Z161" s="12"/>
    </row>
    <row r="162" spans="1:26" ht="15" customHeight="1" x14ac:dyDescent="0.3">
      <c r="A162" s="26" t="s">
        <v>633</v>
      </c>
      <c r="B162" s="17">
        <v>22.2</v>
      </c>
      <c r="C162" s="17">
        <v>12.6</v>
      </c>
      <c r="D162" s="17">
        <v>14.2</v>
      </c>
      <c r="E162" s="17">
        <v>14</v>
      </c>
      <c r="F162" s="17">
        <f>SQRT((4*(HSP!$B$2-$B162)^2+(HSP!$C$2-$C162)^2+(HSP!$D$2-$D162)^2))</f>
        <v>16.963136502427844</v>
      </c>
      <c r="G162" s="17">
        <f>SQRT((4*(HSP!$B$3-$B162)^2+(HSP!$C$3-$C162)^2+(HSP!$D$3-$D162)^2))</f>
        <v>15.760342635869311</v>
      </c>
      <c r="H162" s="17">
        <f>SQRT((4*(HSP!$B$4-$B162)^2+(HSP!$C$4-$C162)^2+(HSP!$D$4-$D162)^2))</f>
        <v>17.753027910753701</v>
      </c>
      <c r="I162" s="17">
        <f>SQRT((4*(HSP!$B$5-$B162)^2+(HSP!$C$5-$C162)^2+(HSP!$D$5-$D162)^2))</f>
        <v>14.241028754974129</v>
      </c>
      <c r="J162" s="17">
        <f>SQRT((4*(HSP!$B$6-$B162)^2+(HSP!$C$6-$C162)^2+(HSP!$D$6-$D162)^2))</f>
        <v>18.365483930460421</v>
      </c>
      <c r="K162" s="17">
        <f t="shared" si="0"/>
        <v>1.2116526073162746</v>
      </c>
      <c r="L162" s="17">
        <f t="shared" si="1"/>
        <v>1.1257387597049509</v>
      </c>
      <c r="M162" s="17">
        <f t="shared" si="2"/>
        <v>1.2680734221966929</v>
      </c>
      <c r="N162" s="17">
        <f t="shared" si="3"/>
        <v>1.0172163396410092</v>
      </c>
      <c r="O162" s="17">
        <f t="shared" si="4"/>
        <v>1.3118202807471728</v>
      </c>
      <c r="P162" s="17">
        <f>$F162/HSP!$E$2</f>
        <v>1.0406832210078432</v>
      </c>
      <c r="Q162" s="17">
        <f>$G162/HSP!$E$3</f>
        <v>1.1674327878421711</v>
      </c>
      <c r="R162" s="17">
        <f>$H162/HSP!$E$4</f>
        <v>1.1165426358964592</v>
      </c>
      <c r="S162" s="17">
        <f>$I162/HSP!$E$5</f>
        <v>1.0394911499981117</v>
      </c>
      <c r="T162" s="17">
        <f>$J162/HSP!$E$6</f>
        <v>1.2409110763824609</v>
      </c>
      <c r="U162" s="18" t="s">
        <v>457</v>
      </c>
      <c r="V162" s="12"/>
      <c r="W162" s="12"/>
      <c r="X162" s="12"/>
      <c r="Y162" s="12"/>
      <c r="Z162" s="12"/>
    </row>
    <row r="163" spans="1:26" ht="15" customHeight="1" x14ac:dyDescent="0.3">
      <c r="A163" s="26" t="s">
        <v>634</v>
      </c>
      <c r="B163" s="17">
        <v>22.2</v>
      </c>
      <c r="C163" s="17">
        <v>12.6</v>
      </c>
      <c r="D163" s="17">
        <v>14.2</v>
      </c>
      <c r="E163" s="17">
        <v>14</v>
      </c>
      <c r="F163" s="17">
        <f>SQRT((4*(HSP!$B$2-$B163)^2+(HSP!$C$2-$C163)^2+(HSP!$D$2-$D163)^2))</f>
        <v>16.963136502427844</v>
      </c>
      <c r="G163" s="17">
        <f>SQRT((4*(HSP!$B$3-$B163)^2+(HSP!$C$3-$C163)^2+(HSP!$D$3-$D163)^2))</f>
        <v>15.760342635869311</v>
      </c>
      <c r="H163" s="17">
        <f>SQRT((4*(HSP!$B$4-$B163)^2+(HSP!$C$4-$C163)^2+(HSP!$D$4-$D163)^2))</f>
        <v>17.753027910753701</v>
      </c>
      <c r="I163" s="17">
        <f>SQRT((4*(HSP!$B$5-$B163)^2+(HSP!$C$5-$C163)^2+(HSP!$D$5-$D163)^2))</f>
        <v>14.241028754974129</v>
      </c>
      <c r="J163" s="17">
        <f>SQRT((4*(HSP!$B$6-$B163)^2+(HSP!$C$6-$C163)^2+(HSP!$D$6-$D163)^2))</f>
        <v>18.365483930460421</v>
      </c>
      <c r="K163" s="17">
        <f t="shared" si="0"/>
        <v>1.2116526073162746</v>
      </c>
      <c r="L163" s="17">
        <f t="shared" si="1"/>
        <v>1.1257387597049509</v>
      </c>
      <c r="M163" s="17">
        <f t="shared" si="2"/>
        <v>1.2680734221966929</v>
      </c>
      <c r="N163" s="17">
        <f t="shared" si="3"/>
        <v>1.0172163396410092</v>
      </c>
      <c r="O163" s="17">
        <f t="shared" si="4"/>
        <v>1.3118202807471728</v>
      </c>
      <c r="P163" s="17">
        <f>$F163/HSP!$E$2</f>
        <v>1.0406832210078432</v>
      </c>
      <c r="Q163" s="17">
        <f>$G163/HSP!$E$3</f>
        <v>1.1674327878421711</v>
      </c>
      <c r="R163" s="17">
        <f>$H163/HSP!$E$4</f>
        <v>1.1165426358964592</v>
      </c>
      <c r="S163" s="17">
        <f>$I163/HSP!$E$5</f>
        <v>1.0394911499981117</v>
      </c>
      <c r="T163" s="17">
        <f>$J163/HSP!$E$6</f>
        <v>1.2409110763824609</v>
      </c>
      <c r="U163" s="18" t="s">
        <v>457</v>
      </c>
      <c r="V163" s="12"/>
      <c r="W163" s="12"/>
      <c r="X163" s="12"/>
      <c r="Y163" s="12"/>
      <c r="Z163" s="12"/>
    </row>
    <row r="164" spans="1:26" ht="15" customHeight="1" x14ac:dyDescent="0.3">
      <c r="A164" s="26" t="s">
        <v>635</v>
      </c>
      <c r="B164" s="17">
        <v>19</v>
      </c>
      <c r="C164" s="17">
        <v>6</v>
      </c>
      <c r="D164" s="17">
        <v>8</v>
      </c>
      <c r="E164" s="17">
        <v>5</v>
      </c>
      <c r="F164" s="17">
        <f>SQRT((4*(HSP!$B$2-$B164)^2+(HSP!$C$2-$C164)^2+(HSP!$D$2-$D164)^2))</f>
        <v>9.9182659774781214</v>
      </c>
      <c r="G164" s="17">
        <f>SQRT((4*(HSP!$B$3-$B164)^2+(HSP!$C$3-$C164)^2+(HSP!$D$3-$D164)^2))</f>
        <v>7.8722550771681687</v>
      </c>
      <c r="H164" s="17">
        <f>SQRT((4*(HSP!$B$4-$B164)^2+(HSP!$C$4-$C164)^2+(HSP!$D$4-$D164)^2))</f>
        <v>7.864985696109053</v>
      </c>
      <c r="I164" s="17">
        <f>SQRT((4*(HSP!$B$5-$B164)^2+(HSP!$C$5-$C164)^2+(HSP!$D$5-$D164)^2))</f>
        <v>10.459201690377714</v>
      </c>
      <c r="J164" s="17">
        <f>SQRT((4*(HSP!$B$6-$B164)^2+(HSP!$C$6-$C164)^2+(HSP!$D$6-$D164)^2))</f>
        <v>8.547455761804212</v>
      </c>
      <c r="K164" s="17">
        <f t="shared" si="0"/>
        <v>1.9836531954956242</v>
      </c>
      <c r="L164" s="17">
        <f t="shared" si="1"/>
        <v>1.5744510154336337</v>
      </c>
      <c r="M164" s="17">
        <f t="shared" si="2"/>
        <v>1.5729971392218105</v>
      </c>
      <c r="N164" s="17">
        <f t="shared" si="3"/>
        <v>2.091840338075543</v>
      </c>
      <c r="O164" s="17">
        <f t="shared" si="4"/>
        <v>1.7094911523608425</v>
      </c>
      <c r="P164" s="17">
        <f>$F164/HSP!$E$2</f>
        <v>0.60848257530540617</v>
      </c>
      <c r="Q164" s="17">
        <f>$G164/HSP!$E$3</f>
        <v>0.58313000571616069</v>
      </c>
      <c r="R164" s="17">
        <f>$H164/HSP!$E$4</f>
        <v>0.4946531884345316</v>
      </c>
      <c r="S164" s="17">
        <f>$I164/HSP!$E$5</f>
        <v>0.76344537885968722</v>
      </c>
      <c r="T164" s="17">
        <f>$J164/HSP!$E$6</f>
        <v>0.57753079471650082</v>
      </c>
      <c r="U164" s="18" t="s">
        <v>462</v>
      </c>
      <c r="V164" s="12"/>
      <c r="W164" s="12"/>
      <c r="X164" s="12"/>
      <c r="Y164" s="12"/>
      <c r="Z164" s="12"/>
    </row>
    <row r="165" spans="1:26" ht="15" customHeight="1" x14ac:dyDescent="0.3">
      <c r="A165" s="26" t="s">
        <v>636</v>
      </c>
      <c r="B165" s="17">
        <v>19.899999999999999</v>
      </c>
      <c r="C165" s="17">
        <v>3.9</v>
      </c>
      <c r="D165" s="17">
        <v>5.0999999999999996</v>
      </c>
      <c r="E165" s="17">
        <v>3.8</v>
      </c>
      <c r="F165" s="17">
        <f>SQRT((4*(HSP!$B$2-$B165)^2+(HSP!$C$2-$C165)^2+(HSP!$D$2-$D165)^2))</f>
        <v>12.606664903930776</v>
      </c>
      <c r="G165" s="17">
        <f>SQRT((4*(HSP!$B$3-$B165)^2+(HSP!$C$3-$C165)^2+(HSP!$D$3-$D165)^2))</f>
        <v>10.227042583269123</v>
      </c>
      <c r="H165" s="17">
        <f>SQRT((4*(HSP!$B$4-$B165)^2+(HSP!$C$4-$C165)^2+(HSP!$D$4-$D165)^2))</f>
        <v>9.6431322712073158</v>
      </c>
      <c r="I165" s="17">
        <f>SQRT((4*(HSP!$B$5-$B165)^2+(HSP!$C$5-$C165)^2+(HSP!$D$5-$D165)^2))</f>
        <v>14.054497500800231</v>
      </c>
      <c r="J165" s="17">
        <f>SQRT((4*(HSP!$B$6-$B165)^2+(HSP!$C$6-$C165)^2+(HSP!$D$6-$D165)^2))</f>
        <v>9.6804442046839956</v>
      </c>
      <c r="K165" s="17">
        <f t="shared" si="0"/>
        <v>3.3175433957712568</v>
      </c>
      <c r="L165" s="17">
        <f t="shared" si="1"/>
        <v>2.6913269955971377</v>
      </c>
      <c r="M165" s="17">
        <f t="shared" si="2"/>
        <v>2.53766638715982</v>
      </c>
      <c r="N165" s="17">
        <f t="shared" si="3"/>
        <v>3.6985519738947978</v>
      </c>
      <c r="O165" s="17">
        <f t="shared" si="4"/>
        <v>2.5474853170221041</v>
      </c>
      <c r="P165" s="17">
        <f>$F165/HSP!$E$2</f>
        <v>0.77341502478102919</v>
      </c>
      <c r="Q165" s="17">
        <f>$G165/HSP!$E$3</f>
        <v>0.75755870987178686</v>
      </c>
      <c r="R165" s="17">
        <f>$H165/HSP!$E$4</f>
        <v>0.60648630636523992</v>
      </c>
      <c r="S165" s="17">
        <f>$I165/HSP!$E$5</f>
        <v>1.0258757299854184</v>
      </c>
      <c r="T165" s="17">
        <f>$J165/HSP!$E$6</f>
        <v>0.65408406788405371</v>
      </c>
      <c r="U165" s="18" t="s">
        <v>637</v>
      </c>
      <c r="V165" s="12"/>
      <c r="W165" s="12"/>
      <c r="X165" s="12"/>
      <c r="Y165" s="12"/>
      <c r="Z165" s="12"/>
    </row>
    <row r="166" spans="1:26" ht="15" customHeight="1" x14ac:dyDescent="0.3">
      <c r="A166" s="26" t="s">
        <v>638</v>
      </c>
      <c r="B166" s="17">
        <v>19.5</v>
      </c>
      <c r="C166" s="17">
        <v>6.7</v>
      </c>
      <c r="D166" s="17">
        <v>11.1</v>
      </c>
      <c r="E166" s="17">
        <v>8</v>
      </c>
      <c r="F166" s="17">
        <f>SQRT((4*(HSP!$B$2-$B166)^2+(HSP!$C$2-$C166)^2+(HSP!$D$2-$D166)^2))</f>
        <v>11.276169562400169</v>
      </c>
      <c r="G166" s="17">
        <f>SQRT((4*(HSP!$B$3-$B166)^2+(HSP!$C$3-$C166)^2+(HSP!$D$3-$D166)^2))</f>
        <v>9.7316185704126319</v>
      </c>
      <c r="H166" s="17">
        <f>SQRT((4*(HSP!$B$4-$B166)^2+(HSP!$C$4-$C166)^2+(HSP!$D$4-$D166)^2))</f>
        <v>9.8775503035924856</v>
      </c>
      <c r="I166" s="17">
        <f>SQRT((4*(HSP!$B$5-$B166)^2+(HSP!$C$5-$C166)^2+(HSP!$D$5-$D166)^2))</f>
        <v>10.384647321888211</v>
      </c>
      <c r="J166" s="17">
        <f>SQRT((4*(HSP!$B$6-$B166)^2+(HSP!$C$6-$C166)^2+(HSP!$D$6-$D166)^2))</f>
        <v>11.144819424288579</v>
      </c>
      <c r="K166" s="17">
        <f t="shared" si="0"/>
        <v>1.4095211953000211</v>
      </c>
      <c r="L166" s="17">
        <f t="shared" si="1"/>
        <v>1.216452321301579</v>
      </c>
      <c r="M166" s="17">
        <f t="shared" si="2"/>
        <v>1.2346937879490607</v>
      </c>
      <c r="N166" s="17">
        <f t="shared" si="3"/>
        <v>1.2980809152360264</v>
      </c>
      <c r="O166" s="17">
        <f t="shared" si="4"/>
        <v>1.3931024280360724</v>
      </c>
      <c r="P166" s="17">
        <f>$F166/HSP!$E$2</f>
        <v>0.69178954370553181</v>
      </c>
      <c r="Q166" s="17">
        <f>$G166/HSP!$E$3</f>
        <v>0.7208606348453801</v>
      </c>
      <c r="R166" s="17">
        <f>$H166/HSP!$E$4</f>
        <v>0.62122957884229468</v>
      </c>
      <c r="S166" s="17">
        <f>$I166/HSP!$E$5</f>
        <v>0.75800345415242421</v>
      </c>
      <c r="T166" s="17">
        <f>$J166/HSP!$E$6</f>
        <v>0.75302833947895809</v>
      </c>
      <c r="U166" s="18" t="s">
        <v>637</v>
      </c>
      <c r="V166" s="12"/>
      <c r="W166" s="12"/>
      <c r="X166" s="12"/>
      <c r="Y166" s="12"/>
      <c r="Z166" s="12"/>
    </row>
    <row r="167" spans="1:26" ht="15" customHeight="1" x14ac:dyDescent="0.3">
      <c r="A167" s="26" t="s">
        <v>639</v>
      </c>
      <c r="B167" s="17">
        <v>17.100000000000001</v>
      </c>
      <c r="C167" s="17">
        <v>2.1</v>
      </c>
      <c r="D167" s="17">
        <v>3.9</v>
      </c>
      <c r="E167" s="17">
        <v>4.9000000000000004</v>
      </c>
      <c r="F167" s="17">
        <f>SQRT((4*(HSP!$B$2-$B167)^2+(HSP!$C$2-$C167)^2+(HSP!$D$2-$D167)^2))</f>
        <v>10.216457311612478</v>
      </c>
      <c r="G167" s="17">
        <f>SQRT((4*(HSP!$B$3-$B167)^2+(HSP!$C$3-$C167)^2+(HSP!$D$3-$D167)^2))</f>
        <v>8.2941183979974653</v>
      </c>
      <c r="H167" s="17">
        <f>SQRT((4*(HSP!$B$4-$B167)^2+(HSP!$C$4-$C167)^2+(HSP!$D$4-$D167)^2))</f>
        <v>5.4741209339947927</v>
      </c>
      <c r="I167" s="17">
        <f>SQRT((4*(HSP!$B$5-$B167)^2+(HSP!$C$5-$C167)^2+(HSP!$D$5-$D167)^2))</f>
        <v>13.251448977376022</v>
      </c>
      <c r="J167" s="17">
        <f>SQRT((4*(HSP!$B$6-$B167)^2+(HSP!$C$6-$C167)^2+(HSP!$D$6-$D167)^2))</f>
        <v>5.6698324490235175</v>
      </c>
      <c r="K167" s="17">
        <f t="shared" si="0"/>
        <v>2.0849912880841792</v>
      </c>
      <c r="L167" s="17">
        <f t="shared" si="1"/>
        <v>1.6926772240811152</v>
      </c>
      <c r="M167" s="17">
        <f t="shared" si="2"/>
        <v>1.1171675375499577</v>
      </c>
      <c r="N167" s="17">
        <f t="shared" si="3"/>
        <v>2.7043773423216368</v>
      </c>
      <c r="O167" s="17">
        <f t="shared" si="4"/>
        <v>1.1571086630660239</v>
      </c>
      <c r="P167" s="17">
        <f>$F167/HSP!$E$2</f>
        <v>0.62677652218481461</v>
      </c>
      <c r="Q167" s="17">
        <f>$G167/HSP!$E$3</f>
        <v>0.61437914059240484</v>
      </c>
      <c r="R167" s="17">
        <f>$H167/HSP!$E$4</f>
        <v>0.34428433547137061</v>
      </c>
      <c r="S167" s="17">
        <f>$I167/HSP!$E$5</f>
        <v>0.96725904944350527</v>
      </c>
      <c r="T167" s="17">
        <f>$J167/HSP!$E$6</f>
        <v>0.38309678709618361</v>
      </c>
      <c r="U167" s="18" t="s">
        <v>640</v>
      </c>
      <c r="V167" s="12"/>
      <c r="W167" s="12"/>
      <c r="X167" s="12"/>
      <c r="Y167" s="12"/>
      <c r="Z167" s="12"/>
    </row>
    <row r="168" spans="1:26" ht="15" customHeight="1" x14ac:dyDescent="0.3">
      <c r="A168" s="26" t="s">
        <v>641</v>
      </c>
      <c r="B168" s="17">
        <v>15.41</v>
      </c>
      <c r="C168" s="17">
        <v>14.73</v>
      </c>
      <c r="D168" s="17">
        <v>8.84</v>
      </c>
      <c r="E168" s="17">
        <v>11.46</v>
      </c>
      <c r="F168" s="17">
        <f>SQRT((4*(HSP!$B$2-$B168)^2+(HSP!$C$2-$C168)^2+(HSP!$D$2-$D168)^2))</f>
        <v>4.9312168883552463</v>
      </c>
      <c r="G168" s="17">
        <f>SQRT((4*(HSP!$B$3-$B168)^2+(HSP!$C$3-$C168)^2+(HSP!$D$3-$D168)^2))</f>
        <v>5.9278073517954342</v>
      </c>
      <c r="H168" s="17">
        <f>SQRT((4*(HSP!$B$4-$B168)^2+(HSP!$C$4-$C168)^2+(HSP!$D$4-$D168)^2))</f>
        <v>10.266182347883756</v>
      </c>
      <c r="I168" s="17">
        <f>SQRT((4*(HSP!$B$5-$B168)^2+(HSP!$C$5-$C168)^2+(HSP!$D$5-$D168)^2))</f>
        <v>2.9131769599528279</v>
      </c>
      <c r="J168" s="17">
        <f>SQRT((4*(HSP!$B$6-$B168)^2+(HSP!$C$6-$C168)^2+(HSP!$D$6-$D168)^2))</f>
        <v>9.6885757467235614</v>
      </c>
      <c r="K168" s="17">
        <f t="shared" si="0"/>
        <v>0.43029815779714187</v>
      </c>
      <c r="L168" s="17">
        <f t="shared" si="1"/>
        <v>0.51726067642194007</v>
      </c>
      <c r="M168" s="17">
        <f t="shared" si="2"/>
        <v>0.89582743000730847</v>
      </c>
      <c r="N168" s="17">
        <f t="shared" si="3"/>
        <v>0.25420392320705304</v>
      </c>
      <c r="O168" s="17">
        <f t="shared" si="4"/>
        <v>0.84542545782928102</v>
      </c>
      <c r="P168" s="17">
        <f>$F168/HSP!$E$2</f>
        <v>0.30252864345737707</v>
      </c>
      <c r="Q168" s="17">
        <f>$G168/HSP!$E$3</f>
        <v>0.43909684087373585</v>
      </c>
      <c r="R168" s="17">
        <f>$H168/HSP!$E$4</f>
        <v>0.64567184577885262</v>
      </c>
      <c r="S168" s="17">
        <f>$I168/HSP!$E$5</f>
        <v>0.21264065401115534</v>
      </c>
      <c r="T168" s="17">
        <f>$J168/HSP!$E$6</f>
        <v>0.6546334964002406</v>
      </c>
      <c r="U168" s="18" t="s">
        <v>642</v>
      </c>
      <c r="V168" s="12"/>
      <c r="W168" s="12"/>
      <c r="X168" s="12"/>
      <c r="Y168" s="12"/>
      <c r="Z168" s="12"/>
    </row>
    <row r="169" spans="1:26" ht="15" customHeight="1" x14ac:dyDescent="0.3">
      <c r="A169" s="26" t="s">
        <v>643</v>
      </c>
      <c r="B169" s="17">
        <v>18</v>
      </c>
      <c r="C169" s="17">
        <v>0</v>
      </c>
      <c r="D169" s="17">
        <v>2</v>
      </c>
      <c r="E169" s="17">
        <v>2</v>
      </c>
      <c r="F169" s="17">
        <f>SQRT((4*(HSP!$B$2-$B169)^2+(HSP!$C$2-$C169)^2+(HSP!$D$2-$D169)^2))</f>
        <v>13.433242348740681</v>
      </c>
      <c r="G169" s="17">
        <f>SQRT((4*(HSP!$B$3-$B169)^2+(HSP!$C$3-$C169)^2+(HSP!$D$3-$D169)^2))</f>
        <v>11.368922552291401</v>
      </c>
      <c r="H169" s="17">
        <f>SQRT((4*(HSP!$B$4-$B169)^2+(HSP!$C$4-$C169)^2+(HSP!$D$4-$D169)^2))</f>
        <v>8.77371073149782</v>
      </c>
      <c r="I169" s="17">
        <f>SQRT((4*(HSP!$B$5-$B169)^2+(HSP!$C$5-$C169)^2+(HSP!$D$5-$D169)^2))</f>
        <v>16.47285342616755</v>
      </c>
      <c r="J169" s="17">
        <f>SQRT((4*(HSP!$B$6-$B169)^2+(HSP!$C$6-$C169)^2+(HSP!$D$6-$D169)^2))</f>
        <v>8.6359133853924224</v>
      </c>
      <c r="K169" s="17">
        <f t="shared" si="0"/>
        <v>6.7166211743703403</v>
      </c>
      <c r="L169" s="17">
        <f t="shared" si="1"/>
        <v>5.6844612761457007</v>
      </c>
      <c r="M169" s="17">
        <f t="shared" si="2"/>
        <v>4.38685536574891</v>
      </c>
      <c r="N169" s="17">
        <f t="shared" si="3"/>
        <v>8.2364267130837749</v>
      </c>
      <c r="O169" s="17">
        <f t="shared" si="4"/>
        <v>4.3179566926962112</v>
      </c>
      <c r="P169" s="17">
        <f>$F169/HSP!$E$2</f>
        <v>0.8241252974687534</v>
      </c>
      <c r="Q169" s="17">
        <f>$G169/HSP!$E$3</f>
        <v>0.84214241128084455</v>
      </c>
      <c r="R169" s="17">
        <f>$H169/HSP!$E$4</f>
        <v>0.55180570638351067</v>
      </c>
      <c r="S169" s="17">
        <f>$I169/HSP!$E$5</f>
        <v>1.2023980603042008</v>
      </c>
      <c r="T169" s="17">
        <f>$J169/HSP!$E$6</f>
        <v>0.58350766117516362</v>
      </c>
      <c r="U169" s="18" t="s">
        <v>462</v>
      </c>
      <c r="V169" s="12"/>
      <c r="W169" s="12"/>
      <c r="X169" s="12"/>
      <c r="Y169" s="12"/>
      <c r="Z169" s="12"/>
    </row>
    <row r="170" spans="1:26" ht="15" customHeight="1" x14ac:dyDescent="0.3">
      <c r="A170" s="26" t="s">
        <v>644</v>
      </c>
      <c r="B170" s="17">
        <v>19</v>
      </c>
      <c r="C170" s="17">
        <v>11.6</v>
      </c>
      <c r="D170" s="17">
        <v>14</v>
      </c>
      <c r="E170" s="17">
        <v>11.9</v>
      </c>
      <c r="F170" s="17">
        <f>SQRT((4*(HSP!$B$2-$B170)^2+(HSP!$C$2-$C170)^2+(HSP!$D$2-$D170)^2))</f>
        <v>11.314592347937243</v>
      </c>
      <c r="G170" s="17">
        <f>SQRT((4*(HSP!$B$3-$B170)^2+(HSP!$C$3-$C170)^2+(HSP!$D$3-$D170)^2))</f>
        <v>10.700485970272565</v>
      </c>
      <c r="H170" s="17">
        <f>SQRT((4*(HSP!$B$4-$B170)^2+(HSP!$C$4-$C170)^2+(HSP!$D$4-$D170)^2))</f>
        <v>12.585785633006786</v>
      </c>
      <c r="I170" s="17">
        <f>SQRT((4*(HSP!$B$5-$B170)^2+(HSP!$C$5-$C170)^2+(HSP!$D$5-$D170)^2))</f>
        <v>8.1443784293216641</v>
      </c>
      <c r="J170" s="17">
        <f>SQRT((4*(HSP!$B$6-$B170)^2+(HSP!$C$6-$C170)^2+(HSP!$D$6-$D170)^2))</f>
        <v>13.61627702420893</v>
      </c>
      <c r="K170" s="17">
        <f t="shared" si="0"/>
        <v>0.95080607965859176</v>
      </c>
      <c r="L170" s="17">
        <f t="shared" si="1"/>
        <v>0.8992005017035769</v>
      </c>
      <c r="M170" s="17">
        <f t="shared" si="2"/>
        <v>1.0576290447904861</v>
      </c>
      <c r="N170" s="17">
        <f t="shared" si="3"/>
        <v>0.68440154868249281</v>
      </c>
      <c r="O170" s="17">
        <f t="shared" si="4"/>
        <v>1.1442249600175571</v>
      </c>
      <c r="P170" s="17">
        <f>$F170/HSP!$E$2</f>
        <v>0.69414676981210077</v>
      </c>
      <c r="Q170" s="17">
        <f>$G170/HSP!$E$3</f>
        <v>0.79262859039056033</v>
      </c>
      <c r="R170" s="17">
        <f>$H170/HSP!$E$4</f>
        <v>0.79155884484319405</v>
      </c>
      <c r="S170" s="17">
        <f>$I170/HSP!$E$5</f>
        <v>0.59448017732274927</v>
      </c>
      <c r="T170" s="17">
        <f>$J170/HSP!$E$6</f>
        <v>0.92001871785195466</v>
      </c>
      <c r="U170" s="18" t="s">
        <v>640</v>
      </c>
      <c r="V170" s="12"/>
      <c r="W170" s="12"/>
      <c r="X170" s="12"/>
      <c r="Y170" s="12"/>
      <c r="Z170" s="12"/>
    </row>
    <row r="171" spans="1:26" ht="15" customHeight="1" x14ac:dyDescent="0.3">
      <c r="A171" s="26" t="s">
        <v>645</v>
      </c>
      <c r="B171" s="17">
        <v>18.62</v>
      </c>
      <c r="C171" s="17">
        <v>8.7799999999999994</v>
      </c>
      <c r="D171" s="17">
        <v>4.17</v>
      </c>
      <c r="E171" s="17">
        <v>9.6199999999999992</v>
      </c>
      <c r="F171" s="17">
        <f>SQRT((4*(HSP!$B$2-$B171)^2+(HSP!$C$2-$C171)^2+(HSP!$D$2-$D171)^2))</f>
        <v>8.6810195253783444</v>
      </c>
      <c r="G171" s="17">
        <f>SQRT((4*(HSP!$B$3-$B171)^2+(HSP!$C$3-$C171)^2+(HSP!$D$3-$D171)^2))</f>
        <v>6.1511381060743577</v>
      </c>
      <c r="H171" s="17">
        <f>SQRT((4*(HSP!$B$4-$B171)^2+(HSP!$C$4-$C171)^2+(HSP!$D$4-$D171)^2))</f>
        <v>8.4461174512316628</v>
      </c>
      <c r="I171" s="17">
        <f>SQRT((4*(HSP!$B$5-$B171)^2+(HSP!$C$5-$C171)^2+(HSP!$D$5-$D171)^2))</f>
        <v>10.301029074806072</v>
      </c>
      <c r="J171" s="17">
        <f>SQRT((4*(HSP!$B$6-$B171)^2+(HSP!$C$6-$C171)^2+(HSP!$D$6-$D171)^2))</f>
        <v>7.1073834847994544</v>
      </c>
      <c r="K171" s="17">
        <f t="shared" si="0"/>
        <v>0.90239288205596102</v>
      </c>
      <c r="L171" s="17">
        <f t="shared" si="1"/>
        <v>0.6394114455378751</v>
      </c>
      <c r="M171" s="17">
        <f t="shared" si="2"/>
        <v>0.8779747870303185</v>
      </c>
      <c r="N171" s="17">
        <f t="shared" si="3"/>
        <v>1.0707930431191344</v>
      </c>
      <c r="O171" s="17">
        <f t="shared" si="4"/>
        <v>0.7388132520581554</v>
      </c>
      <c r="P171" s="17">
        <f>$F171/HSP!$E$2</f>
        <v>0.53257788499253644</v>
      </c>
      <c r="Q171" s="17">
        <f>$G171/HSP!$E$3</f>
        <v>0.45563985970921167</v>
      </c>
      <c r="R171" s="17">
        <f>$H171/HSP!$E$4</f>
        <v>0.53120235542337502</v>
      </c>
      <c r="S171" s="17">
        <f>$I171/HSP!$E$5</f>
        <v>0.75189993246759657</v>
      </c>
      <c r="T171" s="17">
        <f>$J171/HSP!$E$6</f>
        <v>0.48022861383780097</v>
      </c>
      <c r="U171" s="18" t="s">
        <v>462</v>
      </c>
      <c r="V171" s="12"/>
      <c r="W171" s="12"/>
      <c r="X171" s="12"/>
      <c r="Y171" s="12"/>
      <c r="Z171" s="12"/>
    </row>
    <row r="172" spans="1:26" ht="15" customHeight="1" x14ac:dyDescent="0.3">
      <c r="A172" s="26" t="s">
        <v>646</v>
      </c>
      <c r="B172" s="17">
        <v>18.7</v>
      </c>
      <c r="C172" s="17">
        <v>8.9</v>
      </c>
      <c r="D172" s="17">
        <v>5.5</v>
      </c>
      <c r="E172" s="17">
        <v>8.4</v>
      </c>
      <c r="F172" s="17">
        <f>SQRT((4*(HSP!$B$2-$B172)^2+(HSP!$C$2-$C172)^2+(HSP!$D$2-$D172)^2))</f>
        <v>8.4772637094760714</v>
      </c>
      <c r="G172" s="17">
        <f>SQRT((4*(HSP!$B$3-$B172)^2+(HSP!$C$3-$C172)^2+(HSP!$D$3-$D172)^2))</f>
        <v>6.0762159276971053</v>
      </c>
      <c r="H172" s="17">
        <f>SQRT((4*(HSP!$B$4-$B172)^2+(HSP!$C$4-$C172)^2+(HSP!$D$4-$D172)^2))</f>
        <v>8.3271843981023981</v>
      </c>
      <c r="I172" s="17">
        <f>SQRT((4*(HSP!$B$5-$B172)^2+(HSP!$C$5-$C172)^2+(HSP!$D$5-$D172)^2))</f>
        <v>9.5465648272035519</v>
      </c>
      <c r="J172" s="17">
        <f>SQRT((4*(HSP!$B$6-$B172)^2+(HSP!$C$6-$C172)^2+(HSP!$D$6-$D172)^2))</f>
        <v>7.4754932947598842</v>
      </c>
      <c r="K172" s="17">
        <f t="shared" si="0"/>
        <v>1.0091980606519133</v>
      </c>
      <c r="L172" s="17">
        <f t="shared" si="1"/>
        <v>0.72335903901156007</v>
      </c>
      <c r="M172" s="17">
        <f t="shared" si="2"/>
        <v>0.99133147596457116</v>
      </c>
      <c r="N172" s="17">
        <f t="shared" si="3"/>
        <v>1.1364958127623275</v>
      </c>
      <c r="O172" s="17">
        <f t="shared" si="4"/>
        <v>0.8899396779476052</v>
      </c>
      <c r="P172" s="17">
        <f>$F172/HSP!$E$2</f>
        <v>0.520077528188716</v>
      </c>
      <c r="Q172" s="17">
        <f>$G172/HSP!$E$3</f>
        <v>0.45009006871830409</v>
      </c>
      <c r="R172" s="17">
        <f>$H172/HSP!$E$4</f>
        <v>0.52372228918883001</v>
      </c>
      <c r="S172" s="17">
        <f>$I172/HSP!$E$5</f>
        <v>0.69682954943091624</v>
      </c>
      <c r="T172" s="17">
        <f>$J172/HSP!$E$6</f>
        <v>0.50510089829458671</v>
      </c>
      <c r="U172" s="18" t="s">
        <v>637</v>
      </c>
      <c r="V172" s="12"/>
      <c r="W172" s="12"/>
      <c r="X172" s="12"/>
      <c r="Y172" s="12"/>
      <c r="Z172" s="12"/>
    </row>
    <row r="173" spans="1:26" ht="15" customHeight="1" x14ac:dyDescent="0.3">
      <c r="A173" s="26" t="s">
        <v>647</v>
      </c>
      <c r="B173" s="17">
        <v>17</v>
      </c>
      <c r="C173" s="17">
        <v>4.4000000000000004</v>
      </c>
      <c r="D173" s="17">
        <v>6.2</v>
      </c>
      <c r="E173" s="17">
        <v>5</v>
      </c>
      <c r="F173" s="17">
        <f>SQRT((4*(HSP!$B$2-$B173)^2+(HSP!$C$2-$C173)^2+(HSP!$D$2-$D173)^2))</f>
        <v>7.7699420847262441</v>
      </c>
      <c r="G173" s="17">
        <f>SQRT((4*(HSP!$B$3-$B173)^2+(HSP!$C$3-$C173)^2+(HSP!$D$3-$D173)^2))</f>
        <v>5.8886670817766564</v>
      </c>
      <c r="H173" s="17">
        <f>SQRT((4*(HSP!$B$4-$B173)^2+(HSP!$C$4-$C173)^2+(HSP!$D$4-$D173)^2))</f>
        <v>3.7194085551334637</v>
      </c>
      <c r="I173" s="17">
        <f>SQRT((4*(HSP!$B$5-$B173)^2+(HSP!$C$5-$C173)^2+(HSP!$D$5-$D173)^2))</f>
        <v>10.176782399167234</v>
      </c>
      <c r="J173" s="17">
        <f>SQRT((4*(HSP!$B$6-$B173)^2+(HSP!$C$6-$C173)^2+(HSP!$D$6-$D173)^2))</f>
        <v>4.6491934784433315</v>
      </c>
      <c r="K173" s="17">
        <f t="shared" si="0"/>
        <v>1.5539884169452489</v>
      </c>
      <c r="L173" s="17">
        <f t="shared" si="1"/>
        <v>1.1777334163553312</v>
      </c>
      <c r="M173" s="17">
        <f t="shared" si="2"/>
        <v>0.74388171102669276</v>
      </c>
      <c r="N173" s="17">
        <f t="shared" si="3"/>
        <v>2.0353564798334469</v>
      </c>
      <c r="O173" s="17">
        <f t="shared" si="4"/>
        <v>0.92983869568866628</v>
      </c>
      <c r="P173" s="17">
        <f>$F173/HSP!$E$2</f>
        <v>0.47668356348013768</v>
      </c>
      <c r="Q173" s="17">
        <f>$G173/HSP!$E$3</f>
        <v>0.43619756161308565</v>
      </c>
      <c r="R173" s="17">
        <f>$H173/HSP!$E$4</f>
        <v>0.23392506636059521</v>
      </c>
      <c r="S173" s="17">
        <f>$I173/HSP!$E$5</f>
        <v>0.74283083205600253</v>
      </c>
      <c r="T173" s="17">
        <f>$J173/HSP!$E$6</f>
        <v>0.31413469448941428</v>
      </c>
      <c r="U173" s="18" t="s">
        <v>637</v>
      </c>
      <c r="V173" s="12"/>
      <c r="W173" s="12"/>
      <c r="X173" s="12"/>
      <c r="Y173" s="12"/>
      <c r="Z173" s="12"/>
    </row>
    <row r="174" spans="1:26" ht="15" customHeight="1" x14ac:dyDescent="0.3">
      <c r="A174" s="27" t="s">
        <v>648</v>
      </c>
      <c r="B174" s="19">
        <v>20</v>
      </c>
      <c r="C174" s="19">
        <v>4</v>
      </c>
      <c r="D174" s="19">
        <v>2</v>
      </c>
      <c r="E174" s="19">
        <v>5</v>
      </c>
      <c r="F174" s="19">
        <f>SQRT((4*(HSP!$B$2-$B174)^2+(HSP!$C$2-$C174)^2+(HSP!$D$2-$D174)^2))</f>
        <v>13.534105068307991</v>
      </c>
      <c r="G174" s="19">
        <f>SQRT((4*(HSP!$B$3-$B174)^2+(HSP!$C$3-$C174)^2+(HSP!$D$3-$D174)^2))</f>
        <v>10.996926843441308</v>
      </c>
      <c r="H174" s="19">
        <f>SQRT((4*(HSP!$B$4-$B174)^2+(HSP!$C$4-$C174)^2+(HSP!$D$4-$D174)^2))</f>
        <v>10.808237599164816</v>
      </c>
      <c r="I174" s="19">
        <f>SQRT((4*(HSP!$B$5-$B174)^2+(HSP!$C$5-$C174)^2+(HSP!$D$5-$D174)^2))</f>
        <v>15.661254739004791</v>
      </c>
      <c r="J174" s="17">
        <f>SQRT((4*(HSP!$B$6-$B174)^2+(HSP!$C$6-$C174)^2+(HSP!$D$6-$D174)^2))</f>
        <v>9.9407746177045997</v>
      </c>
      <c r="K174" s="17">
        <f t="shared" si="0"/>
        <v>2.7068210136615982</v>
      </c>
      <c r="L174" s="17">
        <f t="shared" si="1"/>
        <v>2.1993853686882616</v>
      </c>
      <c r="M174" s="17">
        <f t="shared" si="2"/>
        <v>2.1616475198329632</v>
      </c>
      <c r="N174" s="17">
        <f t="shared" si="3"/>
        <v>3.1322509478009581</v>
      </c>
      <c r="O174" s="17">
        <f t="shared" si="4"/>
        <v>1.9881549235409199</v>
      </c>
      <c r="P174" s="17">
        <f>$F174/HSP!$E$2</f>
        <v>0.83031319437472328</v>
      </c>
      <c r="Q174" s="17">
        <f>$G174/HSP!$E$3</f>
        <v>0.81458717358824506</v>
      </c>
      <c r="R174" s="17">
        <f>$H174/HSP!$E$4</f>
        <v>0.67976337101665507</v>
      </c>
      <c r="S174" s="17">
        <f>$I174/HSP!$E$5</f>
        <v>1.1431572802193279</v>
      </c>
      <c r="T174" s="17">
        <f>$J174/HSP!$E$6</f>
        <v>0.67167396065571616</v>
      </c>
      <c r="U174" s="18" t="s">
        <v>466</v>
      </c>
      <c r="V174" s="12"/>
      <c r="W174" s="12"/>
      <c r="X174" s="12"/>
      <c r="Y174" s="12"/>
      <c r="Z174" s="12"/>
    </row>
    <row r="175" spans="1:26" ht="15" customHeight="1" x14ac:dyDescent="0.3">
      <c r="A175" s="26" t="s">
        <v>649</v>
      </c>
      <c r="B175" s="17">
        <v>18.399999999999999</v>
      </c>
      <c r="C175" s="17">
        <v>5.6</v>
      </c>
      <c r="D175" s="17">
        <v>6</v>
      </c>
      <c r="E175" s="17">
        <v>9.4</v>
      </c>
      <c r="F175" s="17">
        <f>SQRT((4*(HSP!$B$2-$B175)^2+(HSP!$C$2-$C175)^2+(HSP!$D$2-$D175)^2))</f>
        <v>9.0741390776205311</v>
      </c>
      <c r="G175" s="17">
        <f>SQRT((4*(HSP!$B$3-$B175)^2+(HSP!$C$3-$C175)^2+(HSP!$D$3-$D175)^2))</f>
        <v>6.7743929617346517</v>
      </c>
      <c r="H175" s="17">
        <f>SQRT((4*(HSP!$B$4-$B175)^2+(HSP!$C$4-$C175)^2+(HSP!$D$4-$D175)^2))</f>
        <v>6.5740398538493796</v>
      </c>
      <c r="I175" s="17">
        <f>SQRT((4*(HSP!$B$5-$B175)^2+(HSP!$C$5-$C175)^2+(HSP!$D$5-$D175)^2))</f>
        <v>10.685827062048121</v>
      </c>
      <c r="J175" s="17">
        <f>SQRT((4*(HSP!$B$6-$B175)^2+(HSP!$C$6-$C175)^2+(HSP!$D$6-$D175)^2))</f>
        <v>6.6707570784731756</v>
      </c>
      <c r="K175" s="17">
        <f t="shared" si="0"/>
        <v>0.96533394442771603</v>
      </c>
      <c r="L175" s="17">
        <f t="shared" si="1"/>
        <v>0.72068010231219692</v>
      </c>
      <c r="M175" s="17">
        <f t="shared" si="2"/>
        <v>0.69936594189887014</v>
      </c>
      <c r="N175" s="17">
        <f t="shared" si="3"/>
        <v>1.1367901129838427</v>
      </c>
      <c r="O175" s="17">
        <f t="shared" si="4"/>
        <v>0.70965500834821016</v>
      </c>
      <c r="P175" s="17">
        <f>$F175/HSP!$E$2</f>
        <v>0.55669564893377488</v>
      </c>
      <c r="Q175" s="17">
        <f>$G175/HSP!$E$3</f>
        <v>0.50180688605441859</v>
      </c>
      <c r="R175" s="17">
        <f>$H175/HSP!$E$4</f>
        <v>0.41346162602826286</v>
      </c>
      <c r="S175" s="17">
        <f>$I175/HSP!$E$5</f>
        <v>0.77998737679183372</v>
      </c>
      <c r="T175" s="17">
        <f>$J175/HSP!$E$6</f>
        <v>0.45072682962656591</v>
      </c>
      <c r="U175" s="18" t="s">
        <v>459</v>
      </c>
      <c r="V175" s="12"/>
      <c r="W175" s="12"/>
      <c r="X175" s="12"/>
      <c r="Y175" s="12"/>
      <c r="Z175" s="12"/>
    </row>
    <row r="176" spans="1:26" ht="15" customHeight="1" x14ac:dyDescent="0.3">
      <c r="A176" s="26" t="s">
        <v>650</v>
      </c>
      <c r="B176" s="17">
        <v>18.399999999999999</v>
      </c>
      <c r="C176" s="17">
        <v>3.6</v>
      </c>
      <c r="D176" s="17">
        <v>6.4</v>
      </c>
      <c r="E176" s="17">
        <v>9</v>
      </c>
      <c r="F176" s="17">
        <f>SQRT((4*(HSP!$B$2-$B176)^2+(HSP!$C$2-$C176)^2+(HSP!$D$2-$D176)^2))</f>
        <v>10.254559961305018</v>
      </c>
      <c r="G176" s="17">
        <f>SQRT((4*(HSP!$B$3-$B176)^2+(HSP!$C$3-$C176)^2+(HSP!$D$3-$D176)^2))</f>
        <v>8.1508527161273125</v>
      </c>
      <c r="H176" s="17">
        <f>SQRT((4*(HSP!$B$4-$B176)^2+(HSP!$C$4-$C176)^2+(HSP!$D$4-$D176)^2))</f>
        <v>6.5618594925523936</v>
      </c>
      <c r="I176" s="17">
        <f>SQRT((4*(HSP!$B$5-$B176)^2+(HSP!$C$5-$C176)^2+(HSP!$D$5-$D176)^2))</f>
        <v>11.953363543371379</v>
      </c>
      <c r="J176" s="17">
        <f>SQRT((4*(HSP!$B$6-$B176)^2+(HSP!$C$6-$C176)^2+(HSP!$D$6-$D176)^2))</f>
        <v>7.3279601527300873</v>
      </c>
      <c r="K176" s="17">
        <f t="shared" si="0"/>
        <v>1.1393955512561131</v>
      </c>
      <c r="L176" s="17">
        <f t="shared" si="1"/>
        <v>0.90565030179192363</v>
      </c>
      <c r="M176" s="17">
        <f t="shared" si="2"/>
        <v>0.72909549917248817</v>
      </c>
      <c r="N176" s="17">
        <f t="shared" si="3"/>
        <v>1.3281515048190422</v>
      </c>
      <c r="O176" s="17">
        <f t="shared" si="4"/>
        <v>0.81421779474778744</v>
      </c>
      <c r="P176" s="17">
        <f>$F176/HSP!$E$2</f>
        <v>0.62911410805552259</v>
      </c>
      <c r="Q176" s="17">
        <f>$G176/HSP!$E$3</f>
        <v>0.60376686786128242</v>
      </c>
      <c r="R176" s="17">
        <f>$H176/HSP!$E$4</f>
        <v>0.4126955655693329</v>
      </c>
      <c r="S176" s="17">
        <f>$I176/HSP!$E$5</f>
        <v>0.87250828783732703</v>
      </c>
      <c r="T176" s="17">
        <f>$J176/HSP!$E$6</f>
        <v>0.49513244275203289</v>
      </c>
      <c r="U176" s="18" t="s">
        <v>462</v>
      </c>
      <c r="V176" s="12"/>
      <c r="W176" s="12"/>
      <c r="X176" s="12"/>
      <c r="Y176" s="12"/>
      <c r="Z176" s="12"/>
    </row>
    <row r="177" spans="1:26" ht="15" customHeight="1" x14ac:dyDescent="0.3">
      <c r="A177" s="26" t="s">
        <v>651</v>
      </c>
      <c r="B177" s="17">
        <v>18.100000000000001</v>
      </c>
      <c r="C177" s="17">
        <v>3.4</v>
      </c>
      <c r="D177" s="17">
        <v>4.9000000000000004</v>
      </c>
      <c r="E177" s="17">
        <v>3.6</v>
      </c>
      <c r="F177" s="17">
        <f>SQRT((4*(HSP!$B$2-$B177)^2+(HSP!$C$2-$C177)^2+(HSP!$D$2-$D177)^2))</f>
        <v>10.157263410978375</v>
      </c>
      <c r="G177" s="17">
        <f>SQRT((4*(HSP!$B$3-$B177)^2+(HSP!$C$3-$C177)^2+(HSP!$D$3-$D177)^2))</f>
        <v>7.9540178526327203</v>
      </c>
      <c r="H177" s="17">
        <f>SQRT((4*(HSP!$B$4-$B177)^2+(HSP!$C$4-$C177)^2+(HSP!$D$4-$D177)^2))</f>
        <v>6.2918995541887055</v>
      </c>
      <c r="I177" s="17">
        <f>SQRT((4*(HSP!$B$5-$B177)^2+(HSP!$C$5-$C177)^2+(HSP!$D$5-$D177)^2))</f>
        <v>12.46029293395625</v>
      </c>
      <c r="J177" s="17">
        <f>SQRT((4*(HSP!$B$6-$B177)^2+(HSP!$C$6-$C177)^2+(HSP!$D$6-$D177)^2))</f>
        <v>6.50530552702946</v>
      </c>
      <c r="K177" s="17">
        <f t="shared" si="0"/>
        <v>2.8214620586051042</v>
      </c>
      <c r="L177" s="17">
        <f t="shared" si="1"/>
        <v>2.209449403509089</v>
      </c>
      <c r="M177" s="17">
        <f t="shared" si="2"/>
        <v>1.7477498761635293</v>
      </c>
      <c r="N177" s="17">
        <f t="shared" si="3"/>
        <v>3.4611924816545137</v>
      </c>
      <c r="O177" s="17">
        <f t="shared" si="4"/>
        <v>1.8070293130637389</v>
      </c>
      <c r="P177" s="17">
        <f>$F177/HSP!$E$2</f>
        <v>0.62314499453855066</v>
      </c>
      <c r="Q177" s="17">
        <f>$G177/HSP!$E$3</f>
        <v>0.58918650760242375</v>
      </c>
      <c r="R177" s="17">
        <f>$H177/HSP!$E$4</f>
        <v>0.39571695309362925</v>
      </c>
      <c r="S177" s="17">
        <f>$I177/HSP!$E$5</f>
        <v>0.90951043313549274</v>
      </c>
      <c r="T177" s="17">
        <f>$J177/HSP!$E$6</f>
        <v>0.43954767074523377</v>
      </c>
      <c r="U177" s="18" t="s">
        <v>490</v>
      </c>
      <c r="V177" s="12"/>
      <c r="W177" s="12"/>
      <c r="X177" s="12"/>
      <c r="Y177" s="12"/>
      <c r="Z177" s="12"/>
    </row>
    <row r="178" spans="1:26" ht="15" customHeight="1" x14ac:dyDescent="0.3">
      <c r="A178" s="26" t="s">
        <v>652</v>
      </c>
      <c r="B178" s="17">
        <v>20.3</v>
      </c>
      <c r="C178" s="17">
        <v>3.2</v>
      </c>
      <c r="D178" s="17">
        <v>0.7</v>
      </c>
      <c r="E178" s="17">
        <v>11.3</v>
      </c>
      <c r="F178" s="17">
        <f>SQRT((4*(HSP!$B$2-$B178)^2+(HSP!$C$2-$C178)^2+(HSP!$D$2-$D178)^2))</f>
        <v>14.9032211283333</v>
      </c>
      <c r="G178" s="17">
        <f>SQRT((4*(HSP!$B$3-$B178)^2+(HSP!$C$3-$C178)^2+(HSP!$D$3-$D178)^2))</f>
        <v>12.367473468740496</v>
      </c>
      <c r="H178" s="17">
        <f>SQRT((4*(HSP!$B$4-$B178)^2+(HSP!$C$4-$C178)^2+(HSP!$D$4-$D178)^2))</f>
        <v>12.02780112905098</v>
      </c>
      <c r="I178" s="17">
        <f>SQRT((4*(HSP!$B$5-$B178)^2+(HSP!$C$5-$C178)^2+(HSP!$D$5-$D178)^2))</f>
        <v>17.218794963643653</v>
      </c>
      <c r="J178" s="17">
        <f>SQRT((4*(HSP!$B$6-$B178)^2+(HSP!$C$6-$C178)^2+(HSP!$D$6-$D178)^2))</f>
        <v>11.025379812051829</v>
      </c>
      <c r="K178" s="17">
        <f t="shared" si="0"/>
        <v>1.3188691264011769</v>
      </c>
      <c r="L178" s="17">
        <f t="shared" si="1"/>
        <v>1.0944666786496013</v>
      </c>
      <c r="M178" s="17">
        <f t="shared" si="2"/>
        <v>1.0644071795620336</v>
      </c>
      <c r="N178" s="17">
        <f t="shared" si="3"/>
        <v>1.523787164924217</v>
      </c>
      <c r="O178" s="17">
        <f t="shared" si="4"/>
        <v>0.97569732850016178</v>
      </c>
      <c r="P178" s="17">
        <f>$F178/HSP!$E$2</f>
        <v>0.91430804468302451</v>
      </c>
      <c r="Q178" s="17">
        <f>$G178/HSP!$E$3</f>
        <v>0.91610914583262926</v>
      </c>
      <c r="R178" s="17">
        <f>$H178/HSP!$E$4</f>
        <v>0.75646547981452705</v>
      </c>
      <c r="S178" s="17">
        <f>$I178/HSP!$E$5</f>
        <v>1.2568463477112155</v>
      </c>
      <c r="T178" s="17">
        <f>$J178/HSP!$E$6</f>
        <v>0.74495809540890734</v>
      </c>
      <c r="U178" s="18" t="s">
        <v>445</v>
      </c>
      <c r="V178" s="12"/>
      <c r="W178" s="12"/>
      <c r="X178" s="12"/>
      <c r="Y178" s="12"/>
      <c r="Z178" s="12"/>
    </row>
    <row r="179" spans="1:26" ht="15" customHeight="1" x14ac:dyDescent="0.3">
      <c r="A179" s="26" t="s">
        <v>653</v>
      </c>
      <c r="B179" s="17">
        <v>17.399999999999999</v>
      </c>
      <c r="C179" s="17">
        <v>3.2</v>
      </c>
      <c r="D179" s="17">
        <v>4</v>
      </c>
      <c r="E179" s="17">
        <v>4.8</v>
      </c>
      <c r="F179" s="17">
        <f>SQRT((4*(HSP!$B$2-$B179)^2+(HSP!$C$2-$C179)^2+(HSP!$D$2-$D179)^2))</f>
        <v>9.6409543096106418</v>
      </c>
      <c r="G179" s="17">
        <f>SQRT((4*(HSP!$B$3-$B179)^2+(HSP!$C$3-$C179)^2+(HSP!$D$3-$D179)^2))</f>
        <v>7.5326223853316847</v>
      </c>
      <c r="H179" s="17">
        <f>SQRT((4*(HSP!$B$4-$B179)^2+(HSP!$C$4-$C179)^2+(HSP!$D$4-$D179)^2))</f>
        <v>5.4701005475219535</v>
      </c>
      <c r="I179" s="17">
        <f>SQRT((4*(HSP!$B$5-$B179)^2+(HSP!$C$5-$C179)^2+(HSP!$D$5-$D179)^2))</f>
        <v>12.522096469840822</v>
      </c>
      <c r="J179" s="17">
        <f>SQRT((4*(HSP!$B$6-$B179)^2+(HSP!$C$6-$C179)^2+(HSP!$D$6-$D179)^2))</f>
        <v>5.3481772595904093</v>
      </c>
      <c r="K179" s="17">
        <f t="shared" si="0"/>
        <v>2.0085321478355507</v>
      </c>
      <c r="L179" s="17">
        <f t="shared" si="1"/>
        <v>1.5692963302774343</v>
      </c>
      <c r="M179" s="17">
        <f t="shared" si="2"/>
        <v>1.1396042807337403</v>
      </c>
      <c r="N179" s="17">
        <f t="shared" si="3"/>
        <v>2.6087700978835047</v>
      </c>
      <c r="O179" s="17">
        <f t="shared" si="4"/>
        <v>1.1142035957480021</v>
      </c>
      <c r="P179" s="17">
        <f>$F179/HSP!$E$2</f>
        <v>0.59146958954666506</v>
      </c>
      <c r="Q179" s="17">
        <f>$G179/HSP!$E$3</f>
        <v>0.55797202854308781</v>
      </c>
      <c r="R179" s="17">
        <f>$H179/HSP!$E$4</f>
        <v>0.34403148097622349</v>
      </c>
      <c r="S179" s="17">
        <f>$I179/HSP!$E$5</f>
        <v>0.9140216401343666</v>
      </c>
      <c r="T179" s="17">
        <f>$J179/HSP!$E$6</f>
        <v>0.36136332835070334</v>
      </c>
      <c r="U179" s="18" t="s">
        <v>445</v>
      </c>
      <c r="V179" s="12"/>
      <c r="W179" s="12"/>
      <c r="X179" s="12"/>
      <c r="Y179" s="12"/>
      <c r="Z179" s="12"/>
    </row>
    <row r="180" spans="1:26" ht="15" customHeight="1" x14ac:dyDescent="0.3">
      <c r="A180" s="26" t="s">
        <v>653</v>
      </c>
      <c r="B180" s="17">
        <v>17.8</v>
      </c>
      <c r="C180" s="17">
        <v>3.2</v>
      </c>
      <c r="D180" s="17">
        <v>4.4000000000000004</v>
      </c>
      <c r="E180" s="17">
        <v>4.0999999999999996</v>
      </c>
      <c r="F180" s="17">
        <f>SQRT((4*(HSP!$B$2-$B180)^2+(HSP!$C$2-$C180)^2+(HSP!$D$2-$D180)^2))</f>
        <v>10.016186899214693</v>
      </c>
      <c r="G180" s="17">
        <f>SQRT((4*(HSP!$B$3-$B180)^2+(HSP!$C$3-$C180)^2+(HSP!$D$3-$D180)^2))</f>
        <v>7.8457886792852136</v>
      </c>
      <c r="H180" s="17">
        <f>SQRT((4*(HSP!$B$4-$B180)^2+(HSP!$C$4-$C180)^2+(HSP!$D$4-$D180)^2))</f>
        <v>5.9680817688768322</v>
      </c>
      <c r="I180" s="17">
        <f>SQRT((4*(HSP!$B$5-$B180)^2+(HSP!$C$5-$C180)^2+(HSP!$D$5-$D180)^2))</f>
        <v>12.604558699137387</v>
      </c>
      <c r="J180" s="17">
        <f>SQRT((4*(HSP!$B$6-$B180)^2+(HSP!$C$6-$C180)^2+(HSP!$D$6-$D180)^2))</f>
        <v>6.028183806089527</v>
      </c>
      <c r="K180" s="17">
        <f t="shared" si="0"/>
        <v>2.4429724144426084</v>
      </c>
      <c r="L180" s="17">
        <f t="shared" si="1"/>
        <v>1.9136069949476133</v>
      </c>
      <c r="M180" s="17">
        <f t="shared" si="2"/>
        <v>1.4556296997260567</v>
      </c>
      <c r="N180" s="17">
        <f t="shared" si="3"/>
        <v>3.0742826095457043</v>
      </c>
      <c r="O180" s="17">
        <f t="shared" si="4"/>
        <v>1.4702887331925676</v>
      </c>
      <c r="P180" s="17">
        <f>$F180/HSP!$E$2</f>
        <v>0.61448999381685232</v>
      </c>
      <c r="Q180" s="17">
        <f>$G180/HSP!$E$3</f>
        <v>0.58116953179890474</v>
      </c>
      <c r="R180" s="17">
        <f>$H180/HSP!$E$4</f>
        <v>0.37535105464634166</v>
      </c>
      <c r="S180" s="17">
        <f>$I180/HSP!$E$5</f>
        <v>0.92004078095893338</v>
      </c>
      <c r="T180" s="17">
        <f>$J180/HSP!$E$6</f>
        <v>0.40730971662767074</v>
      </c>
      <c r="U180" s="18" t="s">
        <v>654</v>
      </c>
      <c r="V180" s="12"/>
      <c r="W180" s="12"/>
      <c r="X180" s="12"/>
      <c r="Y180" s="12"/>
      <c r="Z180" s="12"/>
    </row>
    <row r="181" spans="1:26" ht="15" customHeight="1" x14ac:dyDescent="0.3">
      <c r="A181" s="26" t="s">
        <v>655</v>
      </c>
      <c r="B181" s="17">
        <v>18.2</v>
      </c>
      <c r="C181" s="17">
        <v>4.7</v>
      </c>
      <c r="D181" s="17">
        <v>2</v>
      </c>
      <c r="E181" s="17">
        <v>5</v>
      </c>
      <c r="F181" s="17">
        <f>SQRT((4*(HSP!$B$2-$B181)^2+(HSP!$C$2-$C181)^2+(HSP!$D$2-$D181)^2))</f>
        <v>10.479408380247426</v>
      </c>
      <c r="G181" s="17">
        <f>SQRT((4*(HSP!$B$3-$B181)^2+(HSP!$C$3-$C181)^2+(HSP!$D$3-$D181)^2))</f>
        <v>8.0246121401597961</v>
      </c>
      <c r="H181" s="17">
        <f>SQRT((4*(HSP!$B$4-$B181)^2+(HSP!$C$4-$C181)^2+(HSP!$D$4-$D181)^2))</f>
        <v>7.7307179485478565</v>
      </c>
      <c r="I181" s="17">
        <f>SQRT((4*(HSP!$B$5-$B181)^2+(HSP!$C$5-$C181)^2+(HSP!$D$5-$D181)^2))</f>
        <v>13.35682971367083</v>
      </c>
      <c r="J181" s="17">
        <f>SQRT((4*(HSP!$B$6-$B181)^2+(HSP!$C$6-$C181)^2+(HSP!$D$6-$D181)^2))</f>
        <v>6.3839642856143852</v>
      </c>
      <c r="K181" s="17">
        <f t="shared" si="0"/>
        <v>2.0958816760494852</v>
      </c>
      <c r="L181" s="17">
        <f t="shared" si="1"/>
        <v>1.6049224280319592</v>
      </c>
      <c r="M181" s="17">
        <f t="shared" si="2"/>
        <v>1.5461435897095712</v>
      </c>
      <c r="N181" s="17">
        <f t="shared" si="3"/>
        <v>2.6713659427341661</v>
      </c>
      <c r="O181" s="17">
        <f t="shared" si="4"/>
        <v>1.276792857122877</v>
      </c>
      <c r="P181" s="17">
        <f>$F181/HSP!$E$2</f>
        <v>0.64290848958573166</v>
      </c>
      <c r="Q181" s="17">
        <f>$G181/HSP!$E$3</f>
        <v>0.59441571408591087</v>
      </c>
      <c r="R181" s="17">
        <f>$H181/HSP!$E$4</f>
        <v>0.48620867600929912</v>
      </c>
      <c r="S181" s="17">
        <f>$I181/HSP!$E$5</f>
        <v>0.97495107399057157</v>
      </c>
      <c r="T181" s="17">
        <f>$J181/HSP!$E$6</f>
        <v>0.43134893821718817</v>
      </c>
      <c r="U181" s="18" t="s">
        <v>656</v>
      </c>
      <c r="V181" s="12"/>
      <c r="W181" s="12"/>
      <c r="X181" s="12"/>
      <c r="Y181" s="12"/>
      <c r="Z181" s="12"/>
    </row>
    <row r="182" spans="1:26" ht="15" customHeight="1" x14ac:dyDescent="0.3">
      <c r="A182" s="26" t="s">
        <v>655</v>
      </c>
      <c r="B182" s="17">
        <v>17.8</v>
      </c>
      <c r="C182" s="17">
        <v>3.4</v>
      </c>
      <c r="D182" s="17">
        <v>3.2</v>
      </c>
      <c r="E182" s="17">
        <v>5.0999999999999996</v>
      </c>
      <c r="F182" s="17">
        <f>SQRT((4*(HSP!$B$2-$B182)^2+(HSP!$C$2-$C182)^2+(HSP!$D$2-$D182)^2))</f>
        <v>10.25143892339022</v>
      </c>
      <c r="G182" s="17">
        <f>SQRT((4*(HSP!$B$3-$B182)^2+(HSP!$C$3-$C182)^2+(HSP!$D$3-$D182)^2))</f>
        <v>7.9912702369523219</v>
      </c>
      <c r="H182" s="17">
        <f>SQRT((4*(HSP!$B$4-$B182)^2+(HSP!$C$4-$C182)^2+(HSP!$D$4-$D182)^2))</f>
        <v>6.5012306527302979</v>
      </c>
      <c r="I182" s="17">
        <f>SQRT((4*(HSP!$B$5-$B182)^2+(HSP!$C$5-$C182)^2+(HSP!$D$5-$D182)^2))</f>
        <v>13.123219879282676</v>
      </c>
      <c r="J182" s="17">
        <f>SQRT((4*(HSP!$B$6-$B182)^2+(HSP!$C$6-$C182)^2+(HSP!$D$6-$D182)^2))</f>
        <v>5.933548685230452</v>
      </c>
      <c r="K182" s="17">
        <f t="shared" si="0"/>
        <v>2.010086063409847</v>
      </c>
      <c r="L182" s="17">
        <f t="shared" si="1"/>
        <v>1.5669157327357495</v>
      </c>
      <c r="M182" s="17">
        <f t="shared" si="2"/>
        <v>1.2747511083784899</v>
      </c>
      <c r="N182" s="17">
        <f t="shared" si="3"/>
        <v>2.5731803684867995</v>
      </c>
      <c r="O182" s="17">
        <f t="shared" si="4"/>
        <v>1.1634409186726378</v>
      </c>
      <c r="P182" s="17">
        <f>$F182/HSP!$E$2</f>
        <v>0.6289226333368233</v>
      </c>
      <c r="Q182" s="17">
        <f>$G182/HSP!$E$3</f>
        <v>0.59194594347794982</v>
      </c>
      <c r="R182" s="17">
        <f>$H182/HSP!$E$4</f>
        <v>0.40888243098932692</v>
      </c>
      <c r="S182" s="17">
        <f>$I182/HSP!$E$5</f>
        <v>0.95789926126150926</v>
      </c>
      <c r="T182" s="17">
        <f>$J182/HSP!$E$6</f>
        <v>0.40091545170476023</v>
      </c>
      <c r="U182" s="18" t="s">
        <v>656</v>
      </c>
      <c r="V182" s="12"/>
      <c r="W182" s="12"/>
      <c r="X182" s="12"/>
      <c r="Y182" s="12"/>
      <c r="Z182" s="12"/>
    </row>
    <row r="183" spans="1:26" ht="15" customHeight="1" x14ac:dyDescent="0.3">
      <c r="A183" s="26" t="s">
        <v>657</v>
      </c>
      <c r="B183" s="17">
        <v>26.4</v>
      </c>
      <c r="C183" s="17">
        <v>18.8</v>
      </c>
      <c r="D183" s="17">
        <v>7.4</v>
      </c>
      <c r="E183" s="17">
        <v>26.3</v>
      </c>
      <c r="F183" s="17">
        <f>SQRT((4*(HSP!$B$2-$B183)^2+(HSP!$C$2-$C183)^2+(HSP!$D$2-$D183)^2))</f>
        <v>25.033817128037025</v>
      </c>
      <c r="G183" s="17">
        <f>SQRT((4*(HSP!$B$3-$B183)^2+(HSP!$C$3-$C183)^2+(HSP!$D$3-$D183)^2))</f>
        <v>23.342073601117789</v>
      </c>
      <c r="H183" s="17">
        <f>SQRT((4*(HSP!$B$4-$B183)^2+(HSP!$C$4-$C183)^2+(HSP!$D$4-$D183)^2))</f>
        <v>26.536503160740676</v>
      </c>
      <c r="I183" s="17">
        <f>SQRT((4*(HSP!$B$5-$B183)^2+(HSP!$C$5-$C183)^2+(HSP!$D$5-$D183)^2))</f>
        <v>23.34384072940869</v>
      </c>
      <c r="J183" s="17">
        <f>SQRT((4*(HSP!$B$6-$B183)^2+(HSP!$C$6-$C183)^2+(HSP!$D$6-$D183)^2))</f>
        <v>25.712390009487642</v>
      </c>
      <c r="K183" s="17">
        <f t="shared" si="0"/>
        <v>0.95185616456414546</v>
      </c>
      <c r="L183" s="17">
        <f t="shared" si="1"/>
        <v>0.88753131563185506</v>
      </c>
      <c r="M183" s="17">
        <f t="shared" si="2"/>
        <v>1.0089925156175161</v>
      </c>
      <c r="N183" s="17">
        <f t="shared" si="3"/>
        <v>0.88759850682162322</v>
      </c>
      <c r="O183" s="17">
        <f t="shared" si="4"/>
        <v>0.97765741480941604</v>
      </c>
      <c r="P183" s="17">
        <f>$F183/HSP!$E$2</f>
        <v>1.5358170017200627</v>
      </c>
      <c r="Q183" s="17">
        <f>$G183/HSP!$E$3</f>
        <v>1.729042488971688</v>
      </c>
      <c r="R183" s="17">
        <f>$H183/HSP!$E$4</f>
        <v>1.6689624629396651</v>
      </c>
      <c r="S183" s="17">
        <f>$I183/HSP!$E$5</f>
        <v>1.7039299802488095</v>
      </c>
      <c r="T183" s="17">
        <f>$J183/HSP!$E$6</f>
        <v>1.7373236492897055</v>
      </c>
      <c r="U183" s="18" t="s">
        <v>35</v>
      </c>
      <c r="V183" s="12"/>
      <c r="W183" s="12"/>
      <c r="X183" s="12"/>
      <c r="Y183" s="12"/>
      <c r="Z183" s="12"/>
    </row>
    <row r="184" spans="1:26" ht="15" customHeight="1" x14ac:dyDescent="0.3">
      <c r="A184" s="26" t="s">
        <v>658</v>
      </c>
      <c r="B184" s="17">
        <v>24.2</v>
      </c>
      <c r="C184" s="17">
        <v>14.6</v>
      </c>
      <c r="D184" s="17">
        <v>13.2</v>
      </c>
      <c r="E184" s="17">
        <v>18.8</v>
      </c>
      <c r="F184" s="17">
        <f>SQRT((4*(HSP!$B$2-$B184)^2+(HSP!$C$2-$C184)^2+(HSP!$D$2-$D184)^2))</f>
        <v>20.602621192459953</v>
      </c>
      <c r="G184" s="17">
        <f>SQRT((4*(HSP!$B$3-$B184)^2+(HSP!$C$3-$C184)^2+(HSP!$D$3-$D184)^2))</f>
        <v>19.197614435132294</v>
      </c>
      <c r="H184" s="17">
        <f>SQRT((4*(HSP!$B$4-$B184)^2+(HSP!$C$4-$C184)^2+(HSP!$D$4-$D184)^2))</f>
        <v>21.57614423385235</v>
      </c>
      <c r="I184" s="17">
        <f>SQRT((4*(HSP!$B$5-$B184)^2+(HSP!$C$5-$C184)^2+(HSP!$D$5-$D184)^2))</f>
        <v>18.101571754960947</v>
      </c>
      <c r="J184" s="17">
        <f>SQRT((4*(HSP!$B$6-$B184)^2+(HSP!$C$6-$C184)^2+(HSP!$D$6-$D184)^2))</f>
        <v>21.752034387615335</v>
      </c>
      <c r="K184" s="17">
        <f t="shared" si="0"/>
        <v>1.0958841059819124</v>
      </c>
      <c r="L184" s="17">
        <f t="shared" si="1"/>
        <v>1.0211497039963986</v>
      </c>
      <c r="M184" s="17">
        <f t="shared" si="2"/>
        <v>1.1476672464815079</v>
      </c>
      <c r="N184" s="17">
        <f t="shared" si="3"/>
        <v>0.96284956143409284</v>
      </c>
      <c r="O184" s="17">
        <f t="shared" si="4"/>
        <v>1.15702310572422</v>
      </c>
      <c r="P184" s="17">
        <f>$F184/HSP!$E$2</f>
        <v>1.2639644903349663</v>
      </c>
      <c r="Q184" s="17">
        <f>$G184/HSP!$E$3</f>
        <v>1.4220455137135033</v>
      </c>
      <c r="R184" s="17">
        <f>$H184/HSP!$E$4</f>
        <v>1.3569902033869403</v>
      </c>
      <c r="S184" s="17">
        <f>$I184/HSP!$E$5</f>
        <v>1.3212826098511641</v>
      </c>
      <c r="T184" s="17">
        <f>$J184/HSP!$E$6</f>
        <v>1.4697320532172524</v>
      </c>
      <c r="U184" s="18" t="s">
        <v>445</v>
      </c>
      <c r="V184" s="12"/>
      <c r="W184" s="12"/>
      <c r="X184" s="12"/>
      <c r="Y184" s="12"/>
      <c r="Z184" s="12"/>
    </row>
    <row r="185" spans="1:26" ht="15" customHeight="1" x14ac:dyDescent="0.3">
      <c r="A185" s="26" t="s">
        <v>659</v>
      </c>
      <c r="B185" s="17">
        <v>16.8</v>
      </c>
      <c r="C185" s="17">
        <v>0.4</v>
      </c>
      <c r="D185" s="17">
        <v>7.2</v>
      </c>
      <c r="E185" s="17">
        <v>8.5</v>
      </c>
      <c r="F185" s="17">
        <f>SQRT((4*(HSP!$B$2-$B185)^2+(HSP!$C$2-$C185)^2+(HSP!$D$2-$D185)^2))</f>
        <v>10.982349475408258</v>
      </c>
      <c r="G185" s="17">
        <f>SQRT((4*(HSP!$B$3-$B185)^2+(HSP!$C$3-$C185)^2+(HSP!$D$3-$D185)^2))</f>
        <v>9.6218709199406742</v>
      </c>
      <c r="H185" s="17">
        <f>SQRT((4*(HSP!$B$4-$B185)^2+(HSP!$C$4-$C185)^2+(HSP!$D$4-$D185)^2))</f>
        <v>5.3949976830393549</v>
      </c>
      <c r="I185" s="17">
        <f>SQRT((4*(HSP!$B$5-$B185)^2+(HSP!$C$5-$C185)^2+(HSP!$D$5-$D185)^2))</f>
        <v>13.230982578780761</v>
      </c>
      <c r="J185" s="17">
        <f>SQRT((4*(HSP!$B$6-$B185)^2+(HSP!$C$6-$C185)^2+(HSP!$D$6-$D185)^2))</f>
        <v>7.5463236082214236</v>
      </c>
      <c r="K185" s="17">
        <f t="shared" si="0"/>
        <v>1.2920411147539126</v>
      </c>
      <c r="L185" s="17">
        <f t="shared" si="1"/>
        <v>1.1319848141106676</v>
      </c>
      <c r="M185" s="17">
        <f t="shared" si="2"/>
        <v>0.63470560976933588</v>
      </c>
      <c r="N185" s="17">
        <f t="shared" si="3"/>
        <v>1.5565861857389132</v>
      </c>
      <c r="O185" s="17">
        <f t="shared" si="4"/>
        <v>0.88780277743781455</v>
      </c>
      <c r="P185" s="17">
        <f>$F185/HSP!$E$2</f>
        <v>0.67376377149743905</v>
      </c>
      <c r="Q185" s="17">
        <f>$G185/HSP!$E$3</f>
        <v>0.71273117925486473</v>
      </c>
      <c r="R185" s="17">
        <f>$H185/HSP!$E$4</f>
        <v>0.33930803037983365</v>
      </c>
      <c r="S185" s="17">
        <f>$I185/HSP!$E$5</f>
        <v>0.965765151735822</v>
      </c>
      <c r="T185" s="17">
        <f>$J185/HSP!$E$6</f>
        <v>0.50988673028523135</v>
      </c>
      <c r="U185" s="18" t="s">
        <v>443</v>
      </c>
      <c r="V185" s="12"/>
      <c r="W185" s="12"/>
      <c r="X185" s="12"/>
      <c r="Y185" s="12"/>
      <c r="Z185" s="12"/>
    </row>
    <row r="186" spans="1:26" ht="15" customHeight="1" x14ac:dyDescent="0.3">
      <c r="A186" s="26" t="s">
        <v>660</v>
      </c>
      <c r="B186" s="17">
        <v>18.7</v>
      </c>
      <c r="C186" s="17">
        <v>8.1</v>
      </c>
      <c r="D186" s="17">
        <v>13</v>
      </c>
      <c r="E186" s="17">
        <v>8.1999999999999993</v>
      </c>
      <c r="F186" s="17">
        <f>SQRT((4*(HSP!$B$2-$B186)^2+(HSP!$C$2-$C186)^2+(HSP!$D$2-$D186)^2))</f>
        <v>10.442700800080408</v>
      </c>
      <c r="G186" s="17">
        <f>SQRT((4*(HSP!$B$3-$B186)^2+(HSP!$C$3-$C186)^2+(HSP!$D$3-$D186)^2))</f>
        <v>9.4987578135248807</v>
      </c>
      <c r="H186" s="17">
        <f>SQRT((4*(HSP!$B$4-$B186)^2+(HSP!$C$4-$C186)^2+(HSP!$D$4-$D186)^2))</f>
        <v>9.9989999499949995</v>
      </c>
      <c r="I186" s="17">
        <f>SQRT((4*(HSP!$B$5-$B186)^2+(HSP!$C$5-$C186)^2+(HSP!$D$5-$D186)^2))</f>
        <v>8.5257785568240045</v>
      </c>
      <c r="J186" s="17">
        <f>SQRT((4*(HSP!$B$6-$B186)^2+(HSP!$C$6-$C186)^2+(HSP!$D$6-$D186)^2))</f>
        <v>11.55729207037704</v>
      </c>
      <c r="K186" s="17">
        <f t="shared" si="0"/>
        <v>1.2735000975707815</v>
      </c>
      <c r="L186" s="17">
        <f t="shared" si="1"/>
        <v>1.1583850992103515</v>
      </c>
      <c r="M186" s="17">
        <f t="shared" si="2"/>
        <v>1.2193902378042683</v>
      </c>
      <c r="N186" s="17">
        <f t="shared" si="3"/>
        <v>1.0397290922956104</v>
      </c>
      <c r="O186" s="17">
        <f t="shared" si="4"/>
        <v>1.4094258622411024</v>
      </c>
      <c r="P186" s="17">
        <f>$F186/HSP!$E$2</f>
        <v>0.640656490802479</v>
      </c>
      <c r="Q186" s="17">
        <f>$G186/HSP!$E$3</f>
        <v>0.70361168989073186</v>
      </c>
      <c r="R186" s="17">
        <f>$H186/HSP!$E$4</f>
        <v>0.62886792138333325</v>
      </c>
      <c r="S186" s="17">
        <f>$I186/HSP!$E$5</f>
        <v>0.62231960268788356</v>
      </c>
      <c r="T186" s="17">
        <f>$J186/HSP!$E$6</f>
        <v>0.78089811286331345</v>
      </c>
      <c r="U186" s="18" t="s">
        <v>661</v>
      </c>
      <c r="V186" s="12"/>
      <c r="W186" s="12"/>
      <c r="X186" s="12"/>
      <c r="Y186" s="12"/>
      <c r="Z186" s="12"/>
    </row>
    <row r="187" spans="1:26" ht="15" customHeight="1" x14ac:dyDescent="0.3">
      <c r="A187" s="26" t="s">
        <v>662</v>
      </c>
      <c r="B187" s="17">
        <v>18</v>
      </c>
      <c r="C187" s="17">
        <v>10.8</v>
      </c>
      <c r="D187" s="17">
        <v>13.2</v>
      </c>
      <c r="E187" s="17">
        <v>12.2</v>
      </c>
      <c r="F187" s="17">
        <f>SQRT((4*(HSP!$B$2-$B187)^2+(HSP!$C$2-$C187)^2+(HSP!$D$2-$D187)^2))</f>
        <v>9.2219303836019062</v>
      </c>
      <c r="G187" s="17">
        <f>SQRT((4*(HSP!$B$3-$B187)^2+(HSP!$C$3-$C187)^2+(HSP!$D$3-$D187)^2))</f>
        <v>8.7811388783004674</v>
      </c>
      <c r="H187" s="17">
        <f>SQRT((4*(HSP!$B$4-$B187)^2+(HSP!$C$4-$C187)^2+(HSP!$D$4-$D187)^2))</f>
        <v>10.509519494249012</v>
      </c>
      <c r="I187" s="17">
        <f>SQRT((4*(HSP!$B$5-$B187)^2+(HSP!$C$5-$C187)^2+(HSP!$D$5-$D187)^2))</f>
        <v>6.2169847997240595</v>
      </c>
      <c r="J187" s="17">
        <f>SQRT((4*(HSP!$B$6-$B187)^2+(HSP!$C$6-$C187)^2+(HSP!$D$6-$D187)^2))</f>
        <v>11.676086673196632</v>
      </c>
      <c r="K187" s="17">
        <f t="shared" si="0"/>
        <v>0.75589593308212355</v>
      </c>
      <c r="L187" s="17">
        <f t="shared" si="1"/>
        <v>0.71976548182790723</v>
      </c>
      <c r="M187" s="17">
        <f t="shared" si="2"/>
        <v>0.86143602411877152</v>
      </c>
      <c r="N187" s="17">
        <f t="shared" si="3"/>
        <v>0.50958891801016881</v>
      </c>
      <c r="O187" s="17">
        <f t="shared" si="4"/>
        <v>0.95705628468824866</v>
      </c>
      <c r="P187" s="17">
        <f>$F187/HSP!$E$2</f>
        <v>0.5657626002209758</v>
      </c>
      <c r="Q187" s="17">
        <f>$G187/HSP!$E$3</f>
        <v>0.65045473172596058</v>
      </c>
      <c r="R187" s="17">
        <f>$H187/HSP!$E$4</f>
        <v>0.6609760688206926</v>
      </c>
      <c r="S187" s="17">
        <f>$I187/HSP!$E$5</f>
        <v>0.45379451092876349</v>
      </c>
      <c r="T187" s="17">
        <f>$J187/HSP!$E$6</f>
        <v>0.78892477521598858</v>
      </c>
      <c r="U187" s="18" t="s">
        <v>661</v>
      </c>
      <c r="V187" s="12"/>
      <c r="W187" s="12"/>
      <c r="X187" s="12"/>
      <c r="Y187" s="12"/>
      <c r="Z187" s="12"/>
    </row>
    <row r="188" spans="1:26" ht="15" customHeight="1" x14ac:dyDescent="0.3">
      <c r="A188" s="26" t="s">
        <v>663</v>
      </c>
      <c r="B188" s="17">
        <v>19.3</v>
      </c>
      <c r="C188" s="17">
        <v>3.7</v>
      </c>
      <c r="D188" s="17">
        <v>7.9</v>
      </c>
      <c r="E188" s="17">
        <v>7.8</v>
      </c>
      <c r="F188" s="17">
        <f>SQRT((4*(HSP!$B$2-$B188)^2+(HSP!$C$2-$C188)^2+(HSP!$D$2-$D188)^2))</f>
        <v>11.614818121692652</v>
      </c>
      <c r="G188" s="17">
        <f>SQRT((4*(HSP!$B$3-$B188)^2+(HSP!$C$3-$C188)^2+(HSP!$D$3-$D188)^2))</f>
        <v>9.5904327326768755</v>
      </c>
      <c r="H188" s="17">
        <f>SQRT((4*(HSP!$B$4-$B188)^2+(HSP!$C$4-$C188)^2+(HSP!$D$4-$D188)^2))</f>
        <v>8.3903516016910764</v>
      </c>
      <c r="I188" s="17">
        <f>SQRT((4*(HSP!$B$5-$B188)^2+(HSP!$C$5-$C188)^2+(HSP!$D$5-$D188)^2))</f>
        <v>12.470160383892424</v>
      </c>
      <c r="J188" s="17">
        <f>SQRT((4*(HSP!$B$6-$B188)^2+(HSP!$C$6-$C188)^2+(HSP!$D$6-$D188)^2))</f>
        <v>9.4243832689465705</v>
      </c>
      <c r="K188" s="17">
        <f t="shared" si="0"/>
        <v>1.4890792463708529</v>
      </c>
      <c r="L188" s="17">
        <f t="shared" si="1"/>
        <v>1.2295426580354969</v>
      </c>
      <c r="M188" s="17">
        <f t="shared" si="2"/>
        <v>1.0756861027809073</v>
      </c>
      <c r="N188" s="17">
        <f t="shared" si="3"/>
        <v>1.598738510755439</v>
      </c>
      <c r="O188" s="17">
        <f t="shared" si="4"/>
        <v>1.2082542652495603</v>
      </c>
      <c r="P188" s="17">
        <f>$F188/HSP!$E$2</f>
        <v>0.71256552893819947</v>
      </c>
      <c r="Q188" s="17">
        <f>$G188/HSP!$E$3</f>
        <v>0.71040242464273151</v>
      </c>
      <c r="R188" s="17">
        <f>$H188/HSP!$E$4</f>
        <v>0.52769506928874699</v>
      </c>
      <c r="S188" s="17">
        <f>$I188/HSP!$E$5</f>
        <v>0.9102306849556514</v>
      </c>
      <c r="T188" s="17">
        <f>$J188/HSP!$E$6</f>
        <v>0.63678265330720063</v>
      </c>
      <c r="U188" s="18" t="s">
        <v>661</v>
      </c>
      <c r="V188" s="12"/>
      <c r="W188" s="12"/>
      <c r="X188" s="12"/>
      <c r="Y188" s="12"/>
      <c r="Z188" s="12"/>
    </row>
    <row r="189" spans="1:26" ht="15" customHeight="1" x14ac:dyDescent="0.3">
      <c r="A189" s="26" t="s">
        <v>664</v>
      </c>
      <c r="B189" s="17">
        <v>17.690000000000001</v>
      </c>
      <c r="C189" s="17">
        <v>2.66</v>
      </c>
      <c r="D189" s="17">
        <v>4.3600000000000003</v>
      </c>
      <c r="E189" s="17">
        <v>7.98</v>
      </c>
      <c r="F189" s="17">
        <f>SQRT((4*(HSP!$B$2-$B189)^2+(HSP!$C$2-$C189)^2+(HSP!$D$2-$D189)^2))</f>
        <v>10.290617085481321</v>
      </c>
      <c r="G189" s="17">
        <f>SQRT((4*(HSP!$B$3-$B189)^2+(HSP!$C$3-$C189)^2+(HSP!$D$3-$D189)^2))</f>
        <v>8.1933875777971128</v>
      </c>
      <c r="H189" s="17">
        <f>SQRT((4*(HSP!$B$4-$B189)^2+(HSP!$C$4-$C189)^2+(HSP!$D$4-$D189)^2))</f>
        <v>5.9527808627564998</v>
      </c>
      <c r="I189" s="17">
        <f>SQRT((4*(HSP!$B$5-$B189)^2+(HSP!$C$5-$C189)^2+(HSP!$D$5-$D189)^2))</f>
        <v>12.953536196730219</v>
      </c>
      <c r="J189" s="17">
        <f>SQRT((4*(HSP!$B$6-$B189)^2+(HSP!$C$6-$C189)^2+(HSP!$D$6-$D189)^2))</f>
        <v>6.1561838828936901</v>
      </c>
      <c r="K189" s="17">
        <f t="shared" si="0"/>
        <v>1.2895510132182106</v>
      </c>
      <c r="L189" s="17">
        <f t="shared" si="1"/>
        <v>1.026740297969563</v>
      </c>
      <c r="M189" s="17">
        <f t="shared" si="2"/>
        <v>0.74596251412988712</v>
      </c>
      <c r="N189" s="17">
        <f t="shared" si="3"/>
        <v>1.6232501499661929</v>
      </c>
      <c r="O189" s="17">
        <f t="shared" si="4"/>
        <v>0.77145161439770549</v>
      </c>
      <c r="P189" s="17">
        <f>$F189/HSP!$E$2</f>
        <v>0.63132620156327124</v>
      </c>
      <c r="Q189" s="17">
        <f>$G189/HSP!$E$3</f>
        <v>0.60691759835534165</v>
      </c>
      <c r="R189" s="17">
        <f>$H189/HSP!$E$4</f>
        <v>0.3743887335066981</v>
      </c>
      <c r="S189" s="17">
        <f>$I189/HSP!$E$5</f>
        <v>0.94551359100220589</v>
      </c>
      <c r="T189" s="17">
        <f>$J189/HSP!$E$6</f>
        <v>0.41595837046578987</v>
      </c>
      <c r="U189" s="18" t="s">
        <v>665</v>
      </c>
      <c r="V189" s="12"/>
      <c r="W189" s="12"/>
      <c r="X189" s="12"/>
      <c r="Y189" s="12"/>
      <c r="Z189" s="12"/>
    </row>
    <row r="190" spans="1:26" ht="15" customHeight="1" x14ac:dyDescent="0.3">
      <c r="A190" s="26" t="s">
        <v>666</v>
      </c>
      <c r="B190" s="17">
        <v>15.9</v>
      </c>
      <c r="C190" s="17">
        <v>1.1599999999999999</v>
      </c>
      <c r="D190" s="17">
        <v>5.41</v>
      </c>
      <c r="E190" s="17">
        <v>12.03</v>
      </c>
      <c r="F190" s="17">
        <f>SQRT((4*(HSP!$B$2-$B190)^2+(HSP!$C$2-$C190)^2+(HSP!$D$2-$D190)^2))</f>
        <v>9.7833992047754048</v>
      </c>
      <c r="G190" s="17">
        <f>SQRT((4*(HSP!$B$3-$B190)^2+(HSP!$C$3-$C190)^2+(HSP!$D$3-$D190)^2))</f>
        <v>8.5202406069312389</v>
      </c>
      <c r="H190" s="17">
        <f>SQRT((4*(HSP!$B$4-$B190)^2+(HSP!$C$4-$C190)^2+(HSP!$D$4-$D190)^2))</f>
        <v>4.056365368159037</v>
      </c>
      <c r="I190" s="17">
        <f>SQRT((4*(HSP!$B$5-$B190)^2+(HSP!$C$5-$C190)^2+(HSP!$D$5-$D190)^2))</f>
        <v>12.872124921705817</v>
      </c>
      <c r="J190" s="17">
        <f>SQRT((4*(HSP!$B$6-$B190)^2+(HSP!$C$6-$C190)^2+(HSP!$D$6-$D190)^2))</f>
        <v>5.6386257190914879</v>
      </c>
      <c r="K190" s="17">
        <f t="shared" si="0"/>
        <v>0.81325014171034127</v>
      </c>
      <c r="L190" s="17">
        <f t="shared" si="1"/>
        <v>0.70824942701007809</v>
      </c>
      <c r="M190" s="17">
        <f t="shared" si="2"/>
        <v>0.33718747864996151</v>
      </c>
      <c r="N190" s="17">
        <f t="shared" si="3"/>
        <v>1.0700020716297438</v>
      </c>
      <c r="O190" s="17">
        <f t="shared" si="4"/>
        <v>0.46871369236005722</v>
      </c>
      <c r="P190" s="17">
        <f>$F190/HSP!$E$2</f>
        <v>0.60020854017027025</v>
      </c>
      <c r="Q190" s="17">
        <f>$G190/HSP!$E$3</f>
        <v>0.63112893384675839</v>
      </c>
      <c r="R190" s="17">
        <f>$H190/HSP!$E$4</f>
        <v>0.25511731875214066</v>
      </c>
      <c r="S190" s="17">
        <f>$I190/HSP!$E$5</f>
        <v>0.93957116216830783</v>
      </c>
      <c r="T190" s="17">
        <f>$J190/HSP!$E$6</f>
        <v>0.38098822426293838</v>
      </c>
      <c r="U190" s="18" t="s">
        <v>665</v>
      </c>
      <c r="V190" s="12"/>
      <c r="W190" s="12"/>
      <c r="X190" s="12"/>
      <c r="Y190" s="12"/>
      <c r="Z190" s="12"/>
    </row>
    <row r="191" spans="1:26" ht="15" customHeight="1" x14ac:dyDescent="0.3">
      <c r="A191" s="26" t="s">
        <v>667</v>
      </c>
      <c r="B191" s="17">
        <v>18.399999999999999</v>
      </c>
      <c r="C191" s="17">
        <v>8.4</v>
      </c>
      <c r="D191" s="17">
        <v>5.8</v>
      </c>
      <c r="E191" s="17">
        <v>9</v>
      </c>
      <c r="F191" s="17">
        <f>SQRT((4*(HSP!$B$2-$B191)^2+(HSP!$C$2-$C191)^2+(HSP!$D$2-$D191)^2))</f>
        <v>7.9621605108161422</v>
      </c>
      <c r="G191" s="17">
        <f>SQRT((4*(HSP!$B$3-$B191)^2+(HSP!$C$3-$C191)^2+(HSP!$D$3-$D191)^2))</f>
        <v>5.5645664700855155</v>
      </c>
      <c r="H191" s="17">
        <f>SQRT((4*(HSP!$B$4-$B191)^2+(HSP!$C$4-$C191)^2+(HSP!$D$4-$D191)^2))</f>
        <v>7.5213030785895052</v>
      </c>
      <c r="I191" s="17">
        <f>SQRT((4*(HSP!$B$5-$B191)^2+(HSP!$C$5-$C191)^2+(HSP!$D$5-$D191)^2))</f>
        <v>9.1742520131071164</v>
      </c>
      <c r="J191" s="17">
        <f>SQRT((4*(HSP!$B$6-$B191)^2+(HSP!$C$6-$C191)^2+(HSP!$D$6-$D191)^2))</f>
        <v>6.8462398438851073</v>
      </c>
      <c r="K191" s="17">
        <f t="shared" si="0"/>
        <v>0.88468450120179354</v>
      </c>
      <c r="L191" s="17">
        <f t="shared" si="1"/>
        <v>0.61828516334283501</v>
      </c>
      <c r="M191" s="17">
        <f t="shared" si="2"/>
        <v>0.83570034206550059</v>
      </c>
      <c r="N191" s="17">
        <f t="shared" si="3"/>
        <v>1.0193613347896795</v>
      </c>
      <c r="O191" s="17">
        <f t="shared" si="4"/>
        <v>0.76069331598723411</v>
      </c>
      <c r="P191" s="17">
        <f>$F191/HSP!$E$2</f>
        <v>0.4884761049580455</v>
      </c>
      <c r="Q191" s="17">
        <f>$G191/HSP!$E$3</f>
        <v>0.41219010889522339</v>
      </c>
      <c r="R191" s="17">
        <f>$H191/HSP!$E$4</f>
        <v>0.47303792947103807</v>
      </c>
      <c r="S191" s="17">
        <f>$I191/HSP!$E$5</f>
        <v>0.6696534316136582</v>
      </c>
      <c r="T191" s="17">
        <f>$J191/HSP!$E$6</f>
        <v>0.46258377323548022</v>
      </c>
      <c r="U191" s="18" t="s">
        <v>665</v>
      </c>
      <c r="V191" s="12"/>
      <c r="W191" s="12"/>
      <c r="X191" s="12"/>
      <c r="Y191" s="12"/>
      <c r="Z191" s="12"/>
    </row>
    <row r="192" spans="1:26" ht="15" customHeight="1" x14ac:dyDescent="0.3">
      <c r="A192" s="26" t="s">
        <v>668</v>
      </c>
      <c r="B192" s="17">
        <v>15.3</v>
      </c>
      <c r="C192" s="17">
        <v>5.3</v>
      </c>
      <c r="D192" s="17">
        <v>2.5</v>
      </c>
      <c r="E192" s="17">
        <v>10.1</v>
      </c>
      <c r="F192" s="17">
        <f>SQRT((4*(HSP!$B$2-$B192)^2+(HSP!$C$2-$C192)^2+(HSP!$D$2-$D192)^2))</f>
        <v>6.9753852940178165</v>
      </c>
      <c r="G192" s="17">
        <f>SQRT((4*(HSP!$B$3-$B192)^2+(HSP!$C$3-$C192)^2+(HSP!$D$3-$D192)^2))</f>
        <v>5.5353771325899741</v>
      </c>
      <c r="H192" s="17">
        <f>SQRT((4*(HSP!$B$4-$B192)^2+(HSP!$C$4-$C192)^2+(HSP!$D$4-$D192)^2))</f>
        <v>4.3522408021615719</v>
      </c>
      <c r="I192" s="17">
        <f>SQRT((4*(HSP!$B$5-$B192)^2+(HSP!$C$5-$C192)^2+(HSP!$D$5-$D192)^2))</f>
        <v>11.230534270461044</v>
      </c>
      <c r="J192" s="17">
        <f>SQRT((4*(HSP!$B$6-$B192)^2+(HSP!$C$6-$C192)^2+(HSP!$D$6-$D192)^2))</f>
        <v>1.7615334229017627</v>
      </c>
      <c r="K192" s="17">
        <f t="shared" si="0"/>
        <v>0.69063220732849673</v>
      </c>
      <c r="L192" s="17">
        <f t="shared" si="1"/>
        <v>0.54805714184059151</v>
      </c>
      <c r="M192" s="17">
        <f t="shared" si="2"/>
        <v>0.43091493090708632</v>
      </c>
      <c r="N192" s="17">
        <f t="shared" si="3"/>
        <v>1.1119340861842619</v>
      </c>
      <c r="O192" s="17">
        <f t="shared" si="4"/>
        <v>0.17440924979225375</v>
      </c>
      <c r="P192" s="17">
        <f>$F192/HSP!$E$2</f>
        <v>0.4279377480992525</v>
      </c>
      <c r="Q192" s="17">
        <f>$G192/HSP!$E$3</f>
        <v>0.41002793574740548</v>
      </c>
      <c r="R192" s="17">
        <f>$H192/HSP!$E$4</f>
        <v>0.27372583661393535</v>
      </c>
      <c r="S192" s="17">
        <f>$I192/HSP!$E$5</f>
        <v>0.81974702704095215</v>
      </c>
      <c r="T192" s="17">
        <f>$J192/HSP!$E$6</f>
        <v>0.11902252857444343</v>
      </c>
      <c r="U192" s="18" t="s">
        <v>665</v>
      </c>
      <c r="V192" s="12"/>
      <c r="W192" s="12"/>
      <c r="X192" s="12"/>
      <c r="Y192" s="12"/>
      <c r="Z192" s="12"/>
    </row>
    <row r="193" spans="1:26" ht="15" customHeight="1" x14ac:dyDescent="0.3">
      <c r="A193" s="26" t="s">
        <v>669</v>
      </c>
      <c r="B193" s="17">
        <v>16.5</v>
      </c>
      <c r="C193" s="17">
        <v>4.5</v>
      </c>
      <c r="D193" s="17">
        <v>0.5</v>
      </c>
      <c r="E193" s="17">
        <v>6</v>
      </c>
      <c r="F193" s="17">
        <f>SQRT((4*(HSP!$B$2-$B193)^2+(HSP!$C$2-$C193)^2+(HSP!$D$2-$D193)^2))</f>
        <v>9.5891605472011996</v>
      </c>
      <c r="G193" s="17">
        <f>SQRT((4*(HSP!$B$3-$B193)^2+(HSP!$C$3-$C193)^2+(HSP!$D$3-$D193)^2))</f>
        <v>7.5863298109164754</v>
      </c>
      <c r="H193" s="17">
        <f>SQRT((4*(HSP!$B$4-$B193)^2+(HSP!$C$4-$C193)^2+(HSP!$D$4-$D193)^2))</f>
        <v>6.8409063726965309</v>
      </c>
      <c r="I193" s="17">
        <f>SQRT((4*(HSP!$B$5-$B193)^2+(HSP!$C$5-$C193)^2+(HSP!$D$5-$D193)^2))</f>
        <v>13.505735818532806</v>
      </c>
      <c r="J193" s="17">
        <f>SQRT((4*(HSP!$B$6-$B193)^2+(HSP!$C$6-$C193)^2+(HSP!$D$6-$D193)^2))</f>
        <v>4.5824665847117751</v>
      </c>
      <c r="K193" s="17">
        <f t="shared" si="0"/>
        <v>1.5981934245335332</v>
      </c>
      <c r="L193" s="17">
        <f t="shared" si="1"/>
        <v>1.2643883018194126</v>
      </c>
      <c r="M193" s="17">
        <f t="shared" si="2"/>
        <v>1.1401510621160884</v>
      </c>
      <c r="N193" s="17">
        <f t="shared" si="3"/>
        <v>2.2509559697554677</v>
      </c>
      <c r="O193" s="17">
        <f t="shared" si="4"/>
        <v>0.76374443078529586</v>
      </c>
      <c r="P193" s="17">
        <f>$F193/HSP!$E$2</f>
        <v>0.588292058110503</v>
      </c>
      <c r="Q193" s="17">
        <f>$G193/HSP!$E$3</f>
        <v>0.56195035636418333</v>
      </c>
      <c r="R193" s="17">
        <f>$H193/HSP!$E$4</f>
        <v>0.43024568381739187</v>
      </c>
      <c r="S193" s="17">
        <f>$I193/HSP!$E$5</f>
        <v>0.98582013273962088</v>
      </c>
      <c r="T193" s="17">
        <f>$J193/HSP!$E$6</f>
        <v>0.30962612058863342</v>
      </c>
      <c r="U193" s="18" t="s">
        <v>665</v>
      </c>
      <c r="V193" s="12"/>
      <c r="W193" s="12"/>
      <c r="X193" s="12"/>
      <c r="Y193" s="12"/>
      <c r="Z193" s="12"/>
    </row>
    <row r="194" spans="1:26" ht="15" customHeight="1" x14ac:dyDescent="0.3">
      <c r="A194" s="26" t="s">
        <v>670</v>
      </c>
      <c r="B194" s="17">
        <v>20.170000000000002</v>
      </c>
      <c r="C194" s="17">
        <v>14.61</v>
      </c>
      <c r="D194" s="17">
        <v>15.04</v>
      </c>
      <c r="E194" s="17">
        <v>11.66</v>
      </c>
      <c r="F194" s="17">
        <f>SQRT((4*(HSP!$B$2-$B194)^2+(HSP!$C$2-$C194)^2+(HSP!$D$2-$D194)^2))</f>
        <v>14.362649477028954</v>
      </c>
      <c r="G194" s="17">
        <f>SQRT((4*(HSP!$B$3-$B194)^2+(HSP!$C$3-$C194)^2+(HSP!$D$3-$D194)^2))</f>
        <v>13.77651987985355</v>
      </c>
      <c r="H194" s="17">
        <f>SQRT((4*(HSP!$B$4-$B194)^2+(HSP!$C$4-$C194)^2+(HSP!$D$4-$D194)^2))</f>
        <v>16.324904287621415</v>
      </c>
      <c r="I194" s="17">
        <f>SQRT((4*(HSP!$B$5-$B194)^2+(HSP!$C$5-$C194)^2+(HSP!$D$5-$D194)^2))</f>
        <v>10.793711131950866</v>
      </c>
      <c r="J194" s="17">
        <f>SQRT((4*(HSP!$B$6-$B194)^2+(HSP!$C$6-$C194)^2+(HSP!$D$6-$D194)^2))</f>
        <v>16.975526501407845</v>
      </c>
      <c r="K194" s="17">
        <f t="shared" si="0"/>
        <v>1.2317881198138039</v>
      </c>
      <c r="L194" s="17">
        <f t="shared" si="1"/>
        <v>1.1815197152533061</v>
      </c>
      <c r="M194" s="17">
        <f t="shared" si="2"/>
        <v>1.4000775546845123</v>
      </c>
      <c r="N194" s="17">
        <f t="shared" si="3"/>
        <v>0.925704213717913</v>
      </c>
      <c r="O194" s="17">
        <f t="shared" si="4"/>
        <v>1.4558770584397809</v>
      </c>
      <c r="P194" s="17">
        <f>$F194/HSP!$E$2</f>
        <v>0.88114413969502781</v>
      </c>
      <c r="Q194" s="17">
        <f>$G194/HSP!$E$3</f>
        <v>1.0204829540632259</v>
      </c>
      <c r="R194" s="17">
        <f>$H194/HSP!$E$4</f>
        <v>1.0267235401019756</v>
      </c>
      <c r="S194" s="17">
        <f>$I194/HSP!$E$5</f>
        <v>0.78786212641977127</v>
      </c>
      <c r="T194" s="17">
        <f>$J194/HSP!$E$6</f>
        <v>1.1469950338789083</v>
      </c>
      <c r="U194" s="18" t="s">
        <v>665</v>
      </c>
      <c r="V194" s="12"/>
      <c r="W194" s="12"/>
      <c r="X194" s="12"/>
      <c r="Y194" s="12"/>
      <c r="Z194" s="12"/>
    </row>
    <row r="195" spans="1:26" ht="15" customHeight="1" x14ac:dyDescent="0.3">
      <c r="A195" s="26" t="s">
        <v>670</v>
      </c>
      <c r="B195" s="17">
        <v>20.61</v>
      </c>
      <c r="C195" s="17">
        <v>13.88</v>
      </c>
      <c r="D195" s="17">
        <v>15.25</v>
      </c>
      <c r="E195" s="17">
        <v>11.83</v>
      </c>
      <c r="F195" s="17">
        <f>SQRT((4*(HSP!$B$2-$B195)^2+(HSP!$C$2-$C195)^2+(HSP!$D$2-$D195)^2))</f>
        <v>14.98564980239429</v>
      </c>
      <c r="G195" s="17">
        <f>SQRT((4*(HSP!$B$3-$B195)^2+(HSP!$C$3-$C195)^2+(HSP!$D$3-$D195)^2))</f>
        <v>14.267406912259844</v>
      </c>
      <c r="H195" s="17">
        <f>SQRT((4*(HSP!$B$4-$B195)^2+(HSP!$C$4-$C195)^2+(HSP!$D$4-$D195)^2))</f>
        <v>16.565533495785761</v>
      </c>
      <c r="I195" s="17">
        <f>SQRT((4*(HSP!$B$5-$B195)^2+(HSP!$C$5-$C195)^2+(HSP!$D$5-$D195)^2))</f>
        <v>11.578877320362281</v>
      </c>
      <c r="J195" s="17">
        <f>SQRT((4*(HSP!$B$6-$B195)^2+(HSP!$C$6-$C195)^2+(HSP!$D$6-$D195)^2))</f>
        <v>17.306787685760753</v>
      </c>
      <c r="K195" s="17">
        <f t="shared" si="0"/>
        <v>1.2667497719690861</v>
      </c>
      <c r="L195" s="17">
        <f t="shared" si="1"/>
        <v>1.206036087257806</v>
      </c>
      <c r="M195" s="17">
        <f t="shared" si="2"/>
        <v>1.4002986894155334</v>
      </c>
      <c r="N195" s="17">
        <f t="shared" si="3"/>
        <v>0.97877238549131707</v>
      </c>
      <c r="O195" s="17">
        <f t="shared" si="4"/>
        <v>1.4629575389484999</v>
      </c>
      <c r="P195" s="17">
        <f>$F195/HSP!$E$2</f>
        <v>0.91936501855179686</v>
      </c>
      <c r="Q195" s="17">
        <f>$G195/HSP!$E$3</f>
        <v>1.0568449564636921</v>
      </c>
      <c r="R195" s="17">
        <f>$H195/HSP!$E$4</f>
        <v>1.0418574525651423</v>
      </c>
      <c r="S195" s="17">
        <f>$I195/HSP!$E$5</f>
        <v>0.84517352703374315</v>
      </c>
      <c r="T195" s="17">
        <f>$J195/HSP!$E$6</f>
        <v>1.1693775463351859</v>
      </c>
      <c r="U195" s="18" t="s">
        <v>665</v>
      </c>
      <c r="V195" s="12"/>
      <c r="W195" s="12"/>
      <c r="X195" s="12"/>
      <c r="Y195" s="12"/>
      <c r="Z195" s="12"/>
    </row>
    <row r="196" spans="1:26" ht="15" customHeight="1" x14ac:dyDescent="0.3">
      <c r="A196" s="26" t="s">
        <v>671</v>
      </c>
      <c r="B196" s="17">
        <v>16.2</v>
      </c>
      <c r="C196" s="17">
        <v>6.8</v>
      </c>
      <c r="D196" s="17">
        <v>5.7</v>
      </c>
      <c r="E196" s="17">
        <v>9.1</v>
      </c>
      <c r="F196" s="17">
        <f>SQRT((4*(HSP!$B$2-$B196)^2+(HSP!$C$2-$C196)^2+(HSP!$D$2-$D196)^2))</f>
        <v>5.0273253326197223</v>
      </c>
      <c r="G196" s="17">
        <f>SQRT((4*(HSP!$B$3-$B196)^2+(HSP!$C$3-$C196)^2+(HSP!$D$3-$D196)^2))</f>
        <v>3.0388155587333698</v>
      </c>
      <c r="H196" s="17">
        <f>SQRT((4*(HSP!$B$4-$B196)^2+(HSP!$C$4-$C196)^2+(HSP!$D$4-$D196)^2))</f>
        <v>3.1540450218727054</v>
      </c>
      <c r="I196" s="17">
        <f>SQRT((4*(HSP!$B$5-$B196)^2+(HSP!$C$5-$C196)^2+(HSP!$D$5-$D196)^2))</f>
        <v>8.115349653588563</v>
      </c>
      <c r="J196" s="17">
        <f>SQRT((4*(HSP!$B$6-$B196)^2+(HSP!$C$6-$C196)^2+(HSP!$D$6-$D196)^2))</f>
        <v>2.6493395403383082</v>
      </c>
      <c r="K196" s="17">
        <f t="shared" si="0"/>
        <v>0.55245333325491452</v>
      </c>
      <c r="L196" s="17">
        <f t="shared" si="1"/>
        <v>0.33393577568498573</v>
      </c>
      <c r="M196" s="17">
        <f t="shared" si="2"/>
        <v>0.34659835405194567</v>
      </c>
      <c r="N196" s="17">
        <f t="shared" si="3"/>
        <v>0.8917966652295124</v>
      </c>
      <c r="O196" s="17">
        <f t="shared" si="4"/>
        <v>0.29113621322398991</v>
      </c>
      <c r="P196" s="17">
        <f>$F196/HSP!$E$2</f>
        <v>0.30842486703188476</v>
      </c>
      <c r="Q196" s="17">
        <f>$G196/HSP!$E$3</f>
        <v>0.22509744879506444</v>
      </c>
      <c r="R196" s="17">
        <f>$H196/HSP!$E$4</f>
        <v>0.19836761143853493</v>
      </c>
      <c r="S196" s="17">
        <f>$I196/HSP!$E$5</f>
        <v>0.59236128858310677</v>
      </c>
      <c r="T196" s="17">
        <f>$J196/HSP!$E$6</f>
        <v>0.17900942840123704</v>
      </c>
      <c r="U196" s="18" t="s">
        <v>665</v>
      </c>
      <c r="V196" s="12"/>
      <c r="W196" s="12"/>
      <c r="X196" s="12"/>
      <c r="Y196" s="12"/>
      <c r="Z196" s="12"/>
    </row>
    <row r="197" spans="1:26" ht="15" customHeight="1" x14ac:dyDescent="0.3">
      <c r="A197" s="26" t="s">
        <v>672</v>
      </c>
      <c r="B197" s="17">
        <v>18.5</v>
      </c>
      <c r="C197" s="17">
        <v>5.4</v>
      </c>
      <c r="D197" s="17">
        <v>6.9</v>
      </c>
      <c r="E197" s="17">
        <v>9.9</v>
      </c>
      <c r="F197" s="17">
        <f>SQRT((4*(HSP!$B$2-$B197)^2+(HSP!$C$2-$C197)^2+(HSP!$D$2-$D197)^2))</f>
        <v>9.2978492136622659</v>
      </c>
      <c r="G197" s="17">
        <f>SQRT((4*(HSP!$B$3-$B197)^2+(HSP!$C$3-$C197)^2+(HSP!$D$3-$D197)^2))</f>
        <v>7.1343114594191928</v>
      </c>
      <c r="H197" s="17">
        <f>SQRT((4*(HSP!$B$4-$B197)^2+(HSP!$C$4-$C197)^2+(HSP!$D$4-$D197)^2))</f>
        <v>6.699552223843023</v>
      </c>
      <c r="I197" s="17">
        <f>SQRT((4*(HSP!$B$5-$B197)^2+(HSP!$C$5-$C197)^2+(HSP!$D$5-$D197)^2))</f>
        <v>10.561955311399496</v>
      </c>
      <c r="J197" s="17">
        <f>SQRT((4*(HSP!$B$6-$B197)^2+(HSP!$C$6-$C197)^2+(HSP!$D$6-$D197)^2))</f>
        <v>7.2176866099879966</v>
      </c>
      <c r="K197" s="17">
        <f t="shared" si="0"/>
        <v>0.9391766882487137</v>
      </c>
      <c r="L197" s="17">
        <f t="shared" si="1"/>
        <v>0.72063752115345381</v>
      </c>
      <c r="M197" s="17">
        <f t="shared" si="2"/>
        <v>0.67672244685283056</v>
      </c>
      <c r="N197" s="17">
        <f t="shared" si="3"/>
        <v>1.0668641728686359</v>
      </c>
      <c r="O197" s="17">
        <f t="shared" si="4"/>
        <v>0.72905925353414103</v>
      </c>
      <c r="P197" s="17">
        <f>$F197/HSP!$E$2</f>
        <v>0.57042019715719416</v>
      </c>
      <c r="Q197" s="17">
        <f>$G197/HSP!$E$3</f>
        <v>0.52846751551253279</v>
      </c>
      <c r="R197" s="17">
        <f>$H197/HSP!$E$4</f>
        <v>0.42135548577629073</v>
      </c>
      <c r="S197" s="17">
        <f>$I197/HSP!$E$5</f>
        <v>0.77094564316784642</v>
      </c>
      <c r="T197" s="17">
        <f>$J197/HSP!$E$6</f>
        <v>0.48768152770189166</v>
      </c>
      <c r="U197" s="18" t="s">
        <v>665</v>
      </c>
      <c r="V197" s="12"/>
      <c r="W197" s="12"/>
      <c r="X197" s="12"/>
      <c r="Y197" s="12"/>
      <c r="Z197" s="12"/>
    </row>
    <row r="198" spans="1:26" ht="15" customHeight="1" x14ac:dyDescent="0.3">
      <c r="A198" s="26" t="s">
        <v>673</v>
      </c>
      <c r="B198" s="17">
        <v>20.100000000000001</v>
      </c>
      <c r="C198" s="17">
        <v>4.4000000000000004</v>
      </c>
      <c r="D198" s="17">
        <v>3.2</v>
      </c>
      <c r="E198" s="17">
        <v>8.5</v>
      </c>
      <c r="F198" s="17">
        <f>SQRT((4*(HSP!$B$2-$B198)^2+(HSP!$C$2-$C198)^2+(HSP!$D$2-$D198)^2))</f>
        <v>13.115334536335704</v>
      </c>
      <c r="G198" s="17">
        <f>SQRT((4*(HSP!$B$3-$B198)^2+(HSP!$C$3-$C198)^2+(HSP!$D$3-$D198)^2))</f>
        <v>10.598320621683422</v>
      </c>
      <c r="H198" s="17">
        <f>SQRT((4*(HSP!$B$4-$B198)^2+(HSP!$C$4-$C198)^2+(HSP!$D$4-$D198)^2))</f>
        <v>10.500380945470505</v>
      </c>
      <c r="I198" s="17">
        <f>SQRT((4*(HSP!$B$5-$B198)^2+(HSP!$C$5-$C198)^2+(HSP!$D$5-$D198)^2))</f>
        <v>14.909423194744996</v>
      </c>
      <c r="J198" s="17">
        <f>SQRT((4*(HSP!$B$6-$B198)^2+(HSP!$C$6-$C198)^2+(HSP!$D$6-$D198)^2))</f>
        <v>9.8923707977410587</v>
      </c>
      <c r="K198" s="17">
        <f t="shared" si="0"/>
        <v>1.5429805336865534</v>
      </c>
      <c r="L198" s="17">
        <f t="shared" si="1"/>
        <v>1.2468612496098144</v>
      </c>
      <c r="M198" s="17">
        <f t="shared" si="2"/>
        <v>1.235338934761236</v>
      </c>
      <c r="N198" s="17">
        <f t="shared" si="3"/>
        <v>1.7540497876170582</v>
      </c>
      <c r="O198" s="17">
        <f t="shared" si="4"/>
        <v>1.1638083291460068</v>
      </c>
      <c r="P198" s="17">
        <f>$F198/HSP!$E$2</f>
        <v>0.80462175069544195</v>
      </c>
      <c r="Q198" s="17">
        <f>$G198/HSP!$E$3</f>
        <v>0.7850607867913646</v>
      </c>
      <c r="R198" s="17">
        <f>$H198/HSP!$E$4</f>
        <v>0.66040131732518903</v>
      </c>
      <c r="S198" s="17">
        <f>$I198/HSP!$E$5</f>
        <v>1.0882790653098537</v>
      </c>
      <c r="T198" s="17">
        <f>$J198/HSP!$E$6</f>
        <v>0.66840343227980126</v>
      </c>
      <c r="U198" s="18" t="s">
        <v>665</v>
      </c>
      <c r="V198" s="12"/>
      <c r="W198" s="12"/>
      <c r="X198" s="12"/>
      <c r="Y198" s="12"/>
      <c r="Z198" s="12"/>
    </row>
    <row r="199" spans="1:26" ht="15" customHeight="1" x14ac:dyDescent="0.3">
      <c r="A199" s="26" t="s">
        <v>674</v>
      </c>
      <c r="B199" s="17">
        <v>17.5</v>
      </c>
      <c r="C199" s="17">
        <v>6.8</v>
      </c>
      <c r="D199" s="17">
        <v>10.5</v>
      </c>
      <c r="E199" s="17">
        <v>12.5</v>
      </c>
      <c r="F199" s="17">
        <f>SQRT((4*(HSP!$B$2-$B199)^2+(HSP!$C$2-$C199)^2+(HSP!$D$2-$D199)^2))</f>
        <v>7.7088261103750435</v>
      </c>
      <c r="G199" s="17">
        <f>SQRT((4*(HSP!$B$3-$B199)^2+(HSP!$C$3-$C199)^2+(HSP!$D$3-$D199)^2))</f>
        <v>6.571636021570276</v>
      </c>
      <c r="H199" s="17">
        <f>SQRT((4*(HSP!$B$4-$B199)^2+(HSP!$C$4-$C199)^2+(HSP!$D$4-$D199)^2))</f>
        <v>6.3166446789415032</v>
      </c>
      <c r="I199" s="17">
        <f>SQRT((4*(HSP!$B$5-$B199)^2+(HSP!$C$5-$C199)^2+(HSP!$D$5-$D199)^2))</f>
        <v>7.4244797797556172</v>
      </c>
      <c r="J199" s="17">
        <f>SQRT((4*(HSP!$B$6-$B199)^2+(HSP!$C$6-$C199)^2+(HSP!$D$6-$D199)^2))</f>
        <v>8.0156721489841392</v>
      </c>
      <c r="K199" s="17">
        <f t="shared" si="0"/>
        <v>0.61670608883000344</v>
      </c>
      <c r="L199" s="17">
        <f t="shared" si="1"/>
        <v>0.5257308817256221</v>
      </c>
      <c r="M199" s="17">
        <f t="shared" si="2"/>
        <v>0.50533157431532028</v>
      </c>
      <c r="N199" s="17">
        <f t="shared" si="3"/>
        <v>0.5939583823804494</v>
      </c>
      <c r="O199" s="17">
        <f t="shared" si="4"/>
        <v>0.64125377191873112</v>
      </c>
      <c r="P199" s="17">
        <f>$F199/HSP!$E$2</f>
        <v>0.47293411720092288</v>
      </c>
      <c r="Q199" s="17">
        <f>$G199/HSP!$E$3</f>
        <v>0.48678785344965009</v>
      </c>
      <c r="R199" s="17">
        <f>$H199/HSP!$E$4</f>
        <v>0.39727325024789328</v>
      </c>
      <c r="S199" s="17">
        <f>$I199/HSP!$E$5</f>
        <v>0.54193283063909614</v>
      </c>
      <c r="T199" s="17">
        <f>$J199/HSP!$E$6</f>
        <v>0.54159946952595528</v>
      </c>
      <c r="U199" s="18" t="s">
        <v>665</v>
      </c>
      <c r="V199" s="12"/>
      <c r="W199" s="12"/>
      <c r="X199" s="12"/>
      <c r="Y199" s="12"/>
      <c r="Z199" s="12"/>
    </row>
    <row r="200" spans="1:26" ht="15" customHeight="1" x14ac:dyDescent="0.3">
      <c r="A200" s="26" t="s">
        <v>675</v>
      </c>
      <c r="B200" s="17">
        <v>18.100000000000001</v>
      </c>
      <c r="C200" s="17">
        <v>3.9</v>
      </c>
      <c r="D200" s="17">
        <v>8.3000000000000007</v>
      </c>
      <c r="E200" s="17">
        <v>8.8000000000000007</v>
      </c>
      <c r="F200" s="17">
        <f>SQRT((4*(HSP!$B$2-$B200)^2+(HSP!$C$2-$C200)^2+(HSP!$D$2-$D200)^2))</f>
        <v>9.6838009066688304</v>
      </c>
      <c r="G200" s="17">
        <f>SQRT((4*(HSP!$B$3-$B200)^2+(HSP!$C$3-$C200)^2+(HSP!$D$3-$D200)^2))</f>
        <v>7.9095132593605308</v>
      </c>
      <c r="H200" s="17">
        <f>SQRT((4*(HSP!$B$4-$B200)^2+(HSP!$C$4-$C200)^2+(HSP!$D$4-$D200)^2))</f>
        <v>6.0990163141280442</v>
      </c>
      <c r="I200" s="17">
        <f>SQRT((4*(HSP!$B$5-$B200)^2+(HSP!$C$5-$C200)^2+(HSP!$D$5-$D200)^2))</f>
        <v>10.804855390054975</v>
      </c>
      <c r="J200" s="17">
        <f>SQRT((4*(HSP!$B$6-$B200)^2+(HSP!$C$6-$C200)^2+(HSP!$D$6-$D200)^2))</f>
        <v>7.6314480932520308</v>
      </c>
      <c r="K200" s="17">
        <f t="shared" si="0"/>
        <v>1.100431921212367</v>
      </c>
      <c r="L200" s="17">
        <f t="shared" si="1"/>
        <v>0.89880832492733298</v>
      </c>
      <c r="M200" s="17">
        <f t="shared" si="2"/>
        <v>0.6930700356963686</v>
      </c>
      <c r="N200" s="17">
        <f t="shared" si="3"/>
        <v>1.2278244761426107</v>
      </c>
      <c r="O200" s="17">
        <f t="shared" si="4"/>
        <v>0.86721001059682157</v>
      </c>
      <c r="P200" s="17">
        <f>$F200/HSP!$E$2</f>
        <v>0.59409821513305705</v>
      </c>
      <c r="Q200" s="17">
        <f>$G200/HSP!$E$3</f>
        <v>0.58588987106374302</v>
      </c>
      <c r="R200" s="17">
        <f>$H200/HSP!$E$4</f>
        <v>0.38358593170616628</v>
      </c>
      <c r="S200" s="17">
        <f>$I200/HSP!$E$5</f>
        <v>0.78867557591642157</v>
      </c>
      <c r="T200" s="17">
        <f>$J200/HSP!$E$6</f>
        <v>0.51563838467919121</v>
      </c>
      <c r="U200" s="18" t="s">
        <v>665</v>
      </c>
      <c r="V200" s="12"/>
      <c r="W200" s="12"/>
      <c r="X200" s="12"/>
      <c r="Y200" s="12"/>
      <c r="Z200" s="12"/>
    </row>
    <row r="201" spans="1:26" ht="15" customHeight="1" x14ac:dyDescent="0.3">
      <c r="A201" s="26" t="s">
        <v>676</v>
      </c>
      <c r="B201" s="17">
        <v>20</v>
      </c>
      <c r="C201" s="17">
        <v>5</v>
      </c>
      <c r="D201" s="17">
        <v>1</v>
      </c>
      <c r="E201" s="17">
        <v>7</v>
      </c>
      <c r="F201" s="17">
        <f>SQRT((4*(HSP!$B$2-$B201)^2+(HSP!$C$2-$C201)^2+(HSP!$D$2-$D201)^2))</f>
        <v>13.498592519222143</v>
      </c>
      <c r="G201" s="17">
        <f>SQRT((4*(HSP!$B$3-$B201)^2+(HSP!$C$3-$C201)^2+(HSP!$D$3-$D201)^2))</f>
        <v>10.920274721819045</v>
      </c>
      <c r="H201" s="17">
        <f>SQRT((4*(HSP!$B$4-$B201)^2+(HSP!$C$4-$C201)^2+(HSP!$D$4-$D201)^2))</f>
        <v>11.272000709723185</v>
      </c>
      <c r="I201" s="17">
        <f>SQRT((4*(HSP!$B$5-$B201)^2+(HSP!$C$5-$C201)^2+(HSP!$D$5-$D201)^2))</f>
        <v>15.738325832184312</v>
      </c>
      <c r="J201" s="17">
        <f>SQRT((4*(HSP!$B$6-$B201)^2+(HSP!$C$6-$C201)^2+(HSP!$D$6-$D201)^2))</f>
        <v>9.9829354400396682</v>
      </c>
      <c r="K201" s="17">
        <f t="shared" si="0"/>
        <v>1.9283703598888775</v>
      </c>
      <c r="L201" s="17">
        <f t="shared" si="1"/>
        <v>1.5600392459741492</v>
      </c>
      <c r="M201" s="17">
        <f t="shared" si="2"/>
        <v>1.6102858156747408</v>
      </c>
      <c r="N201" s="17">
        <f t="shared" si="3"/>
        <v>2.2483322617406158</v>
      </c>
      <c r="O201" s="17">
        <f t="shared" si="4"/>
        <v>1.4261336342913811</v>
      </c>
      <c r="P201" s="17">
        <f>$F201/HSP!$E$2</f>
        <v>0.82813451038172647</v>
      </c>
      <c r="Q201" s="17">
        <f>$G201/HSP!$E$3</f>
        <v>0.80890923865326259</v>
      </c>
      <c r="R201" s="17">
        <f>$H201/HSP!$E$4</f>
        <v>0.70893086224674118</v>
      </c>
      <c r="S201" s="17">
        <f>$I201/HSP!$E$5</f>
        <v>1.148782907458709</v>
      </c>
      <c r="T201" s="17">
        <f>$J201/HSP!$E$6</f>
        <v>0.67452266486754509</v>
      </c>
      <c r="U201" s="18" t="s">
        <v>665</v>
      </c>
      <c r="V201" s="12"/>
      <c r="W201" s="12"/>
      <c r="X201" s="12"/>
      <c r="Y201" s="12"/>
      <c r="Z201" s="12"/>
    </row>
    <row r="202" spans="1:26" ht="15" customHeight="1" x14ac:dyDescent="0.3">
      <c r="A202" s="26" t="s">
        <v>677</v>
      </c>
      <c r="B202" s="17">
        <v>16.899999999999999</v>
      </c>
      <c r="C202" s="17">
        <v>2.5</v>
      </c>
      <c r="D202" s="17">
        <v>4</v>
      </c>
      <c r="E202" s="17">
        <v>7.2</v>
      </c>
      <c r="F202" s="17">
        <f>SQRT((4*(HSP!$B$2-$B202)^2+(HSP!$C$2-$C202)^2+(HSP!$D$2-$D202)^2))</f>
        <v>9.6644710150116335</v>
      </c>
      <c r="G202" s="17">
        <f>SQRT((4*(HSP!$B$3-$B202)^2+(HSP!$C$3-$C202)^2+(HSP!$D$3-$D202)^2))</f>
        <v>7.7739565216175475</v>
      </c>
      <c r="H202" s="17">
        <f>SQRT((4*(HSP!$B$4-$B202)^2+(HSP!$C$4-$C202)^2+(HSP!$D$4-$D202)^2))</f>
        <v>4.956208228071131</v>
      </c>
      <c r="I202" s="17">
        <f>SQRT((4*(HSP!$B$5-$B202)^2+(HSP!$C$5-$C202)^2+(HSP!$D$5-$D202)^2))</f>
        <v>12.771096272442707</v>
      </c>
      <c r="J202" s="17">
        <f>SQRT((4*(HSP!$B$6-$B202)^2+(HSP!$C$6-$C202)^2+(HSP!$D$6-$D202)^2))</f>
        <v>5.108326536156433</v>
      </c>
      <c r="K202" s="17">
        <f t="shared" si="0"/>
        <v>1.342287640973838</v>
      </c>
      <c r="L202" s="17">
        <f t="shared" si="1"/>
        <v>1.0797161835579927</v>
      </c>
      <c r="M202" s="17">
        <f t="shared" si="2"/>
        <v>0.68836225389876815</v>
      </c>
      <c r="N202" s="17">
        <f t="shared" si="3"/>
        <v>1.7737633711725982</v>
      </c>
      <c r="O202" s="17">
        <f t="shared" si="4"/>
        <v>0.7094897966883934</v>
      </c>
      <c r="P202" s="17">
        <f>$F202/HSP!$E$2</f>
        <v>0.59291233220930262</v>
      </c>
      <c r="Q202" s="17">
        <f>$G202/HSP!$E$3</f>
        <v>0.57584863123092944</v>
      </c>
      <c r="R202" s="17">
        <f>$H202/HSP!$E$4</f>
        <v>0.31171120931264973</v>
      </c>
      <c r="S202" s="17">
        <f>$I202/HSP!$E$5</f>
        <v>0.93219680820749684</v>
      </c>
      <c r="T202" s="17">
        <f>$J202/HSP!$E$6</f>
        <v>0.34515719838894815</v>
      </c>
      <c r="U202" s="18" t="s">
        <v>665</v>
      </c>
      <c r="V202" s="12"/>
      <c r="W202" s="12"/>
      <c r="X202" s="12"/>
      <c r="Y202" s="12"/>
      <c r="Z202" s="12"/>
    </row>
    <row r="203" spans="1:26" ht="15" customHeight="1" x14ac:dyDescent="0.3">
      <c r="A203" s="26" t="s">
        <v>678</v>
      </c>
      <c r="B203" s="17">
        <v>14.2</v>
      </c>
      <c r="C203" s="17">
        <v>2.5</v>
      </c>
      <c r="D203" s="17">
        <v>4.5999999999999996</v>
      </c>
      <c r="E203" s="17">
        <v>12.4</v>
      </c>
      <c r="F203" s="17">
        <f>SQRT((4*(HSP!$B$2-$B203)^2+(HSP!$C$2-$C203)^2+(HSP!$D$2-$D203)^2))</f>
        <v>8.3466160807838783</v>
      </c>
      <c r="G203" s="17">
        <f>SQRT((4*(HSP!$B$3-$B203)^2+(HSP!$C$3-$C203)^2+(HSP!$D$3-$D203)^2))</f>
        <v>7.8507579251942294</v>
      </c>
      <c r="H203" s="17">
        <f>SQRT((4*(HSP!$B$4-$B203)^2+(HSP!$C$4-$C203)^2+(HSP!$D$4-$D203)^2))</f>
        <v>3.6545861598818554</v>
      </c>
      <c r="I203" s="17">
        <f>SQRT((4*(HSP!$B$5-$B203)^2+(HSP!$C$5-$C203)^2+(HSP!$D$5-$D203)^2))</f>
        <v>12.210524149273855</v>
      </c>
      <c r="J203" s="17">
        <f>SQRT((4*(HSP!$B$6-$B203)^2+(HSP!$C$6-$C203)^2+(HSP!$D$6-$D203)^2))</f>
        <v>4.537289940041302</v>
      </c>
      <c r="K203" s="17">
        <f t="shared" si="0"/>
        <v>0.67311420006321598</v>
      </c>
      <c r="L203" s="17">
        <f t="shared" si="1"/>
        <v>0.6331256391285669</v>
      </c>
      <c r="M203" s="17">
        <f t="shared" si="2"/>
        <v>0.29472469031305287</v>
      </c>
      <c r="N203" s="17">
        <f t="shared" si="3"/>
        <v>0.98471968945756894</v>
      </c>
      <c r="O203" s="17">
        <f t="shared" si="4"/>
        <v>0.36591047903558888</v>
      </c>
      <c r="P203" s="17">
        <f>$F203/HSP!$E$2</f>
        <v>0.51206233624440967</v>
      </c>
      <c r="Q203" s="17">
        <f>$G203/HSP!$E$3</f>
        <v>0.58153762408846144</v>
      </c>
      <c r="R203" s="17">
        <f>$H203/HSP!$E$4</f>
        <v>0.22984818615609154</v>
      </c>
      <c r="S203" s="17">
        <f>$I203/HSP!$E$5</f>
        <v>0.89127913498349309</v>
      </c>
      <c r="T203" s="17">
        <f>$J203/HSP!$E$6</f>
        <v>0.30657364459738523</v>
      </c>
      <c r="U203" s="18" t="s">
        <v>665</v>
      </c>
      <c r="V203" s="12"/>
      <c r="W203" s="12"/>
      <c r="X203" s="12"/>
      <c r="Y203" s="12"/>
      <c r="Z203" s="12"/>
    </row>
    <row r="204" spans="1:26" ht="15" customHeight="1" x14ac:dyDescent="0.3">
      <c r="A204" s="26" t="s">
        <v>679</v>
      </c>
      <c r="B204" s="17">
        <v>23.4</v>
      </c>
      <c r="C204" s="17">
        <v>13.8</v>
      </c>
      <c r="D204" s="17">
        <v>15.2</v>
      </c>
      <c r="E204" s="17">
        <v>16.5</v>
      </c>
      <c r="F204" s="17">
        <f>SQRT((4*(HSP!$B$2-$B204)^2+(HSP!$C$2-$C204)^2+(HSP!$D$2-$D204)^2))</f>
        <v>19.709997463216475</v>
      </c>
      <c r="G204" s="17">
        <f>SQRT((4*(HSP!$B$3-$B204)^2+(HSP!$C$3-$C204)^2+(HSP!$D$3-$D204)^2))</f>
        <v>18.517570034969488</v>
      </c>
      <c r="H204" s="17">
        <f>SQRT((4*(HSP!$B$4-$B204)^2+(HSP!$C$4-$C204)^2+(HSP!$D$4-$D204)^2))</f>
        <v>20.607425846039089</v>
      </c>
      <c r="I204" s="17">
        <f>SQRT((4*(HSP!$B$5-$B204)^2+(HSP!$C$5-$C204)^2+(HSP!$D$5-$D204)^2))</f>
        <v>16.845975780583323</v>
      </c>
      <c r="J204" s="17">
        <f>SQRT((4*(HSP!$B$6-$B204)^2+(HSP!$C$6-$C204)^2+(HSP!$D$6-$D204)^2))</f>
        <v>21.154833962950406</v>
      </c>
      <c r="K204" s="17">
        <f t="shared" si="0"/>
        <v>1.1945453008009985</v>
      </c>
      <c r="L204" s="17">
        <f t="shared" si="1"/>
        <v>1.1222769718163326</v>
      </c>
      <c r="M204" s="17">
        <f t="shared" si="2"/>
        <v>1.2489348997599448</v>
      </c>
      <c r="N204" s="17">
        <f t="shared" si="3"/>
        <v>1.0209682291262621</v>
      </c>
      <c r="O204" s="17">
        <f t="shared" si="4"/>
        <v>1.2821111492697215</v>
      </c>
      <c r="P204" s="17">
        <f>$F204/HSP!$E$2</f>
        <v>1.2092022983568389</v>
      </c>
      <c r="Q204" s="17">
        <f>$G204/HSP!$E$3</f>
        <v>1.3716718544421842</v>
      </c>
      <c r="R204" s="17">
        <f>$H204/HSP!$E$4</f>
        <v>1.2960645186188107</v>
      </c>
      <c r="S204" s="17">
        <f>$I204/HSP!$E$5</f>
        <v>1.2296332686557172</v>
      </c>
      <c r="T204" s="17">
        <f>$J204/HSP!$E$6</f>
        <v>1.4293806731723246</v>
      </c>
      <c r="U204" s="18" t="s">
        <v>665</v>
      </c>
      <c r="V204" s="12"/>
      <c r="W204" s="12"/>
      <c r="X204" s="12"/>
      <c r="Y204" s="12"/>
      <c r="Z204" s="12"/>
    </row>
    <row r="205" spans="1:26" ht="15" customHeight="1" x14ac:dyDescent="0.3">
      <c r="A205" s="26" t="s">
        <v>680</v>
      </c>
      <c r="B205" s="17">
        <v>21.1</v>
      </c>
      <c r="C205" s="17">
        <v>13.1</v>
      </c>
      <c r="D205" s="17">
        <v>14.5</v>
      </c>
      <c r="E205" s="17">
        <v>14.4</v>
      </c>
      <c r="F205" s="17">
        <f>SQRT((4*(HSP!$B$2-$B205)^2+(HSP!$C$2-$C205)^2+(HSP!$D$2-$D205)^2))</f>
        <v>15.248606493709518</v>
      </c>
      <c r="G205" s="17">
        <f>SQRT((4*(HSP!$B$3-$B205)^2+(HSP!$C$3-$C205)^2+(HSP!$D$3-$D205)^2))</f>
        <v>14.291549950932547</v>
      </c>
      <c r="H205" s="17">
        <f>SQRT((4*(HSP!$B$4-$B205)^2+(HSP!$C$4-$C205)^2+(HSP!$D$4-$D205)^2))</f>
        <v>16.457399551569502</v>
      </c>
      <c r="I205" s="17">
        <f>SQRT((4*(HSP!$B$5-$B205)^2+(HSP!$C$5-$C205)^2+(HSP!$D$5-$D205)^2))</f>
        <v>12.200200818019352</v>
      </c>
      <c r="J205" s="17">
        <f>SQRT((4*(HSP!$B$6-$B205)^2+(HSP!$C$6-$C205)^2+(HSP!$D$6-$D205)^2))</f>
        <v>17.142549401999695</v>
      </c>
      <c r="K205" s="17">
        <f t="shared" si="0"/>
        <v>1.0589310065076054</v>
      </c>
      <c r="L205" s="17">
        <f t="shared" si="1"/>
        <v>0.99246874659253792</v>
      </c>
      <c r="M205" s="17">
        <f t="shared" si="2"/>
        <v>1.1428749688589932</v>
      </c>
      <c r="N205" s="17">
        <f t="shared" si="3"/>
        <v>0.8472361679180106</v>
      </c>
      <c r="O205" s="17">
        <f t="shared" si="4"/>
        <v>1.190454819583312</v>
      </c>
      <c r="P205" s="17">
        <f>$F205/HSP!$E$2</f>
        <v>0.93549733090242437</v>
      </c>
      <c r="Q205" s="17">
        <f>$G205/HSP!$E$3</f>
        <v>1.0586333296987072</v>
      </c>
      <c r="R205" s="17">
        <f>$H205/HSP!$E$4</f>
        <v>1.0350565755704089</v>
      </c>
      <c r="S205" s="17">
        <f>$I205/HSP!$E$5</f>
        <v>0.89052560715469731</v>
      </c>
      <c r="T205" s="17">
        <f>$J205/HSP!$E$6</f>
        <v>1.1582803649999793</v>
      </c>
      <c r="U205" s="18" t="s">
        <v>665</v>
      </c>
      <c r="V205" s="12"/>
      <c r="W205" s="12"/>
      <c r="X205" s="12"/>
      <c r="Y205" s="12"/>
      <c r="Z205" s="12"/>
    </row>
    <row r="206" spans="1:26" ht="15" customHeight="1" x14ac:dyDescent="0.3">
      <c r="A206" s="26" t="s">
        <v>681</v>
      </c>
      <c r="B206" s="17">
        <v>17.600000000000001</v>
      </c>
      <c r="C206" s="17">
        <v>5.2</v>
      </c>
      <c r="D206" s="17">
        <v>7</v>
      </c>
      <c r="E206" s="17">
        <v>4.5</v>
      </c>
      <c r="F206" s="17">
        <f>SQRT((4*(HSP!$B$2-$B206)^2+(HSP!$C$2-$C206)^2+(HSP!$D$2-$D206)^2))</f>
        <v>7.9792230198184111</v>
      </c>
      <c r="G206" s="17">
        <f>SQRT((4*(HSP!$B$3-$B206)^2+(HSP!$C$3-$C206)^2+(HSP!$D$3-$D206)^2))</f>
        <v>5.98969114395726</v>
      </c>
      <c r="H206" s="17">
        <f>SQRT((4*(HSP!$B$4-$B206)^2+(HSP!$C$4-$C206)^2+(HSP!$D$4-$D206)^2))</f>
        <v>4.8918299234540061</v>
      </c>
      <c r="I206" s="17">
        <f>SQRT((4*(HSP!$B$5-$B206)^2+(HSP!$C$5-$C206)^2+(HSP!$D$5-$D206)^2))</f>
        <v>9.6804390396303841</v>
      </c>
      <c r="J206" s="17">
        <f>SQRT((4*(HSP!$B$6-$B206)^2+(HSP!$C$6-$C206)^2+(HSP!$D$6-$D206)^2))</f>
        <v>5.7576905092232975</v>
      </c>
      <c r="K206" s="17">
        <f t="shared" si="0"/>
        <v>1.7731606710707579</v>
      </c>
      <c r="L206" s="17">
        <f t="shared" si="1"/>
        <v>1.3310424764349467</v>
      </c>
      <c r="M206" s="17">
        <f t="shared" si="2"/>
        <v>1.0870733163231125</v>
      </c>
      <c r="N206" s="17">
        <f t="shared" si="3"/>
        <v>2.1512086754734185</v>
      </c>
      <c r="O206" s="17">
        <f t="shared" si="4"/>
        <v>1.2794867798273994</v>
      </c>
      <c r="P206" s="17">
        <f>$F206/HSP!$E$2</f>
        <v>0.48952288465143623</v>
      </c>
      <c r="Q206" s="17">
        <f>$G206/HSP!$E$3</f>
        <v>0.44368082547831555</v>
      </c>
      <c r="R206" s="17">
        <f>$H206/HSP!$E$4</f>
        <v>0.30766225933672992</v>
      </c>
      <c r="S206" s="17">
        <f>$I206/HSP!$E$5</f>
        <v>0.70660138975404263</v>
      </c>
      <c r="T206" s="17">
        <f>$J206/HSP!$E$6</f>
        <v>0.38903314251508764</v>
      </c>
      <c r="U206" s="18" t="s">
        <v>665</v>
      </c>
      <c r="V206" s="12"/>
      <c r="W206" s="12"/>
      <c r="X206" s="12"/>
      <c r="Y206" s="12"/>
      <c r="Z206" s="12"/>
    </row>
    <row r="207" spans="1:26" ht="15" customHeight="1" x14ac:dyDescent="0.3">
      <c r="A207" s="26" t="s">
        <v>682</v>
      </c>
      <c r="B207" s="17">
        <v>25.5</v>
      </c>
      <c r="C207" s="17">
        <v>15.7</v>
      </c>
      <c r="D207" s="17">
        <v>18.100000000000001</v>
      </c>
      <c r="E207" s="17">
        <v>21.5</v>
      </c>
      <c r="F207" s="17">
        <f>SQRT((4*(HSP!$B$2-$B207)^2+(HSP!$C$2-$C207)^2+(HSP!$D$2-$D207)^2))</f>
        <v>25.027025392563136</v>
      </c>
      <c r="G207" s="17">
        <f>SQRT((4*(HSP!$B$3-$B207)^2+(HSP!$C$3-$C207)^2+(HSP!$D$3-$D207)^2))</f>
        <v>23.921212343859164</v>
      </c>
      <c r="H207" s="17">
        <f>SQRT((4*(HSP!$B$4-$B207)^2+(HSP!$C$4-$C207)^2+(HSP!$D$4-$D207)^2))</f>
        <v>25.999346145624507</v>
      </c>
      <c r="I207" s="17">
        <f>SQRT((4*(HSP!$B$5-$B207)^2+(HSP!$C$5-$C207)^2+(HSP!$D$5-$D207)^2))</f>
        <v>21.883804513840825</v>
      </c>
      <c r="J207" s="17">
        <f>SQRT((4*(HSP!$B$6-$B207)^2+(HSP!$C$6-$C207)^2+(HSP!$D$6-$D207)^2))</f>
        <v>26.600883443976066</v>
      </c>
      <c r="K207" s="17">
        <f t="shared" si="0"/>
        <v>1.1640476926773551</v>
      </c>
      <c r="L207" s="17">
        <f t="shared" si="1"/>
        <v>1.1126145276213564</v>
      </c>
      <c r="M207" s="17">
        <f t="shared" si="2"/>
        <v>1.209271913749977</v>
      </c>
      <c r="N207" s="17">
        <f t="shared" si="3"/>
        <v>1.0178513727367826</v>
      </c>
      <c r="O207" s="17">
        <f t="shared" si="4"/>
        <v>1.2372503927430729</v>
      </c>
      <c r="P207" s="17">
        <f>$F207/HSP!$E$2</f>
        <v>1.5354003308320943</v>
      </c>
      <c r="Q207" s="17">
        <f>$G207/HSP!$E$3</f>
        <v>1.7719416551006788</v>
      </c>
      <c r="R207" s="17">
        <f>$H207/HSP!$E$4</f>
        <v>1.6351790028694657</v>
      </c>
      <c r="S207" s="17">
        <f>$I207/HSP!$E$5</f>
        <v>1.5973579937110092</v>
      </c>
      <c r="T207" s="17">
        <f>$J207/HSP!$E$6</f>
        <v>1.7973569894578423</v>
      </c>
      <c r="U207" s="18" t="s">
        <v>665</v>
      </c>
      <c r="V207" s="12"/>
      <c r="W207" s="12"/>
      <c r="X207" s="12"/>
      <c r="Y207" s="12"/>
      <c r="Z207" s="12"/>
    </row>
    <row r="208" spans="1:26" ht="15" customHeight="1" x14ac:dyDescent="0.3">
      <c r="A208" s="26" t="s">
        <v>683</v>
      </c>
      <c r="B208" s="17">
        <v>28.5</v>
      </c>
      <c r="C208" s="17">
        <v>15.7</v>
      </c>
      <c r="D208" s="17">
        <v>18.100000000000001</v>
      </c>
      <c r="E208" s="17">
        <v>21.5</v>
      </c>
      <c r="F208" s="17">
        <f>SQRT((4*(HSP!$B$2-$B208)^2+(HSP!$C$2-$C208)^2+(HSP!$D$2-$D208)^2))</f>
        <v>30.396578754853316</v>
      </c>
      <c r="G208" s="17">
        <f>SQRT((4*(HSP!$B$3-$B208)^2+(HSP!$C$3-$C208)^2+(HSP!$D$3-$D208)^2))</f>
        <v>29.045901604185055</v>
      </c>
      <c r="H208" s="17">
        <f>SQRT((4*(HSP!$B$4-$B208)^2+(HSP!$C$4-$C208)^2+(HSP!$D$4-$D208)^2))</f>
        <v>30.982027047951526</v>
      </c>
      <c r="I208" s="17">
        <f>SQRT((4*(HSP!$B$5-$B208)^2+(HSP!$C$5-$C208)^2+(HSP!$D$5-$D208)^2))</f>
        <v>27.575730271381754</v>
      </c>
      <c r="J208" s="17">
        <f>SQRT((4*(HSP!$B$6-$B208)^2+(HSP!$C$6-$C208)^2+(HSP!$D$6-$D208)^2))</f>
        <v>31.45038950474223</v>
      </c>
      <c r="K208" s="17">
        <f t="shared" si="0"/>
        <v>1.4137943606908518</v>
      </c>
      <c r="L208" s="17">
        <f t="shared" si="1"/>
        <v>1.3509721676365141</v>
      </c>
      <c r="M208" s="17">
        <f t="shared" si="2"/>
        <v>1.4410245138582105</v>
      </c>
      <c r="N208" s="17">
        <f t="shared" si="3"/>
        <v>1.2825921056456631</v>
      </c>
      <c r="O208" s="17">
        <f t="shared" si="4"/>
        <v>1.4628088141740572</v>
      </c>
      <c r="P208" s="17">
        <f>$F208/HSP!$E$2</f>
        <v>1.8648207825063383</v>
      </c>
      <c r="Q208" s="17">
        <f>$G208/HSP!$E$3</f>
        <v>2.1515482669766706</v>
      </c>
      <c r="R208" s="17">
        <f>$H208/HSP!$E$4</f>
        <v>1.9485551602485236</v>
      </c>
      <c r="S208" s="17">
        <f>$I208/HSP!$E$5</f>
        <v>2.0128270271081572</v>
      </c>
      <c r="T208" s="17">
        <f>$J208/HSP!$E$6</f>
        <v>2.1250263178879885</v>
      </c>
      <c r="U208" s="18" t="s">
        <v>665</v>
      </c>
      <c r="V208" s="12"/>
      <c r="W208" s="12"/>
      <c r="X208" s="12"/>
      <c r="Y208" s="12"/>
      <c r="Z208" s="12"/>
    </row>
    <row r="209" spans="1:26" ht="15" customHeight="1" x14ac:dyDescent="0.3">
      <c r="A209" s="26" t="s">
        <v>684</v>
      </c>
      <c r="B209" s="17">
        <v>19.899999999999999</v>
      </c>
      <c r="C209" s="17">
        <v>8.1</v>
      </c>
      <c r="D209" s="17">
        <v>6</v>
      </c>
      <c r="E209" s="17">
        <v>9.8000000000000007</v>
      </c>
      <c r="F209" s="17">
        <f>SQRT((4*(HSP!$B$2-$B209)^2+(HSP!$C$2-$C209)^2+(HSP!$D$2-$D209)^2))</f>
        <v>10.903669107231748</v>
      </c>
      <c r="G209" s="17">
        <f>SQRT((4*(HSP!$B$3-$B209)^2+(HSP!$C$3-$C209)^2+(HSP!$D$3-$D209)^2))</f>
        <v>8.565185345338417</v>
      </c>
      <c r="H209" s="17">
        <f>SQRT((4*(HSP!$B$4-$B209)^2+(HSP!$C$4-$C209)^2+(HSP!$D$4-$D209)^2))</f>
        <v>10.090986076692403</v>
      </c>
      <c r="I209" s="17">
        <f>SQRT((4*(HSP!$B$5-$B209)^2+(HSP!$C$5-$C209)^2+(HSP!$D$5-$D209)^2))</f>
        <v>11.462848686081482</v>
      </c>
      <c r="J209" s="17">
        <f>SQRT((4*(HSP!$B$6-$B209)^2+(HSP!$C$6-$C209)^2+(HSP!$D$6-$D209)^2))</f>
        <v>9.6518910064297749</v>
      </c>
      <c r="K209" s="17">
        <f t="shared" si="0"/>
        <v>1.1126192966563007</v>
      </c>
      <c r="L209" s="17">
        <f t="shared" si="1"/>
        <v>0.87399850462636897</v>
      </c>
      <c r="M209" s="17">
        <f t="shared" si="2"/>
        <v>1.0296924568053472</v>
      </c>
      <c r="N209" s="17">
        <f t="shared" si="3"/>
        <v>1.1696784373552531</v>
      </c>
      <c r="O209" s="17">
        <f t="shared" si="4"/>
        <v>0.9848868373907933</v>
      </c>
      <c r="P209" s="17">
        <f>$F209/HSP!$E$2</f>
        <v>0.66893675504489247</v>
      </c>
      <c r="Q209" s="17">
        <f>$G209/HSP!$E$3</f>
        <v>0.63445817372877167</v>
      </c>
      <c r="R209" s="17">
        <f>$H209/HSP!$E$4</f>
        <v>0.63465321237059136</v>
      </c>
      <c r="S209" s="17">
        <f>$I209/HSP!$E$5</f>
        <v>0.83670428365558269</v>
      </c>
      <c r="T209" s="17">
        <f>$J209/HSP!$E$6</f>
        <v>0.65215479773174156</v>
      </c>
      <c r="U209" s="18" t="s">
        <v>665</v>
      </c>
      <c r="V209" s="12"/>
      <c r="W209" s="12"/>
      <c r="X209" s="12"/>
      <c r="Y209" s="12"/>
      <c r="Z209" s="12"/>
    </row>
    <row r="210" spans="1:26" ht="15" customHeight="1" x14ac:dyDescent="0.3">
      <c r="A210" s="26" t="s">
        <v>685</v>
      </c>
      <c r="B210" s="17">
        <v>19</v>
      </c>
      <c r="C210" s="17">
        <v>4</v>
      </c>
      <c r="D210" s="17">
        <v>4</v>
      </c>
      <c r="E210" s="17">
        <v>6</v>
      </c>
      <c r="F210" s="17">
        <f>SQRT((4*(HSP!$B$2-$B210)^2+(HSP!$C$2-$C210)^2+(HSP!$D$2-$D210)^2))</f>
        <v>11.316006362670535</v>
      </c>
      <c r="G210" s="17">
        <f>SQRT((4*(HSP!$B$3-$B210)^2+(HSP!$C$3-$C210)^2+(HSP!$D$3-$D210)^2))</f>
        <v>8.8978873897122348</v>
      </c>
      <c r="H210" s="17">
        <f>SQRT((4*(HSP!$B$4-$B210)^2+(HSP!$C$4-$C210)^2+(HSP!$D$4-$D210)^2))</f>
        <v>8.1840087976492306</v>
      </c>
      <c r="I210" s="17">
        <f>SQRT((4*(HSP!$B$5-$B210)^2+(HSP!$C$5-$C210)^2+(HSP!$D$5-$D210)^2))</f>
        <v>13.405778604765933</v>
      </c>
      <c r="J210" s="17">
        <f>SQRT((4*(HSP!$B$6-$B210)^2+(HSP!$C$6-$C210)^2+(HSP!$D$6-$D210)^2))</f>
        <v>7.8472288102233909</v>
      </c>
      <c r="K210" s="17">
        <f t="shared" si="0"/>
        <v>1.8860010604450892</v>
      </c>
      <c r="L210" s="17">
        <f t="shared" si="1"/>
        <v>1.4829812316187059</v>
      </c>
      <c r="M210" s="17">
        <f t="shared" si="2"/>
        <v>1.3640014662748718</v>
      </c>
      <c r="N210" s="17">
        <f t="shared" si="3"/>
        <v>2.2342964341276557</v>
      </c>
      <c r="O210" s="17">
        <f t="shared" si="4"/>
        <v>1.3078714683705652</v>
      </c>
      <c r="P210" s="17">
        <f>$F210/HSP!$E$2</f>
        <v>0.69423351918224141</v>
      </c>
      <c r="Q210" s="17">
        <f>$G210/HSP!$E$3</f>
        <v>0.65910276960831371</v>
      </c>
      <c r="R210" s="17">
        <f>$H210/HSP!$E$4</f>
        <v>0.51471753444334778</v>
      </c>
      <c r="S210" s="17">
        <f>$I210/HSP!$E$5</f>
        <v>0.97852398574933819</v>
      </c>
      <c r="T210" s="17">
        <f>$J210/HSP!$E$6</f>
        <v>0.53021816285293177</v>
      </c>
      <c r="U210" s="18" t="s">
        <v>665</v>
      </c>
      <c r="V210" s="12"/>
      <c r="W210" s="12"/>
      <c r="X210" s="12"/>
      <c r="Y210" s="12"/>
      <c r="Z210" s="12"/>
    </row>
    <row r="211" spans="1:26" ht="15" customHeight="1" x14ac:dyDescent="0.3">
      <c r="A211" s="26" t="s">
        <v>686</v>
      </c>
      <c r="B211" s="17">
        <v>18.7</v>
      </c>
      <c r="C211" s="17">
        <v>9.9</v>
      </c>
      <c r="D211" s="17">
        <v>8.6999999999999993</v>
      </c>
      <c r="E211" s="17">
        <v>8.8000000000000007</v>
      </c>
      <c r="F211" s="17">
        <f>SQRT((4*(HSP!$B$2-$B211)^2+(HSP!$C$2-$C211)^2+(HSP!$D$2-$D211)^2))</f>
        <v>8.3971423710688615</v>
      </c>
      <c r="G211" s="17">
        <f>SQRT((4*(HSP!$B$3-$B211)^2+(HSP!$C$3-$C211)^2+(HSP!$D$3-$D211)^2))</f>
        <v>6.6777541134725817</v>
      </c>
      <c r="H211" s="17">
        <f>SQRT((4*(HSP!$B$4-$B211)^2+(HSP!$C$4-$C211)^2+(HSP!$D$4-$D211)^2))</f>
        <v>8.9834291893463476</v>
      </c>
      <c r="I211" s="17">
        <f>SQRT((4*(HSP!$B$5-$B211)^2+(HSP!$C$5-$C211)^2+(HSP!$D$5-$D211)^2))</f>
        <v>7.7449919302733941</v>
      </c>
      <c r="J211" s="17">
        <f>SQRT((4*(HSP!$B$6-$B211)^2+(HSP!$C$6-$C211)^2+(HSP!$D$6-$D211)^2))</f>
        <v>9.0897194676183481</v>
      </c>
      <c r="K211" s="17">
        <f t="shared" si="0"/>
        <v>0.95422072398509783</v>
      </c>
      <c r="L211" s="17">
        <f t="shared" si="1"/>
        <v>0.75883569471279333</v>
      </c>
      <c r="M211" s="17">
        <f t="shared" si="2"/>
        <v>1.0208442260620849</v>
      </c>
      <c r="N211" s="17">
        <f t="shared" si="3"/>
        <v>0.88011271934924928</v>
      </c>
      <c r="O211" s="17">
        <f t="shared" si="4"/>
        <v>1.0329226667748121</v>
      </c>
      <c r="P211" s="17">
        <f>$F211/HSP!$E$2</f>
        <v>0.51516210865453138</v>
      </c>
      <c r="Q211" s="17">
        <f>$G211/HSP!$E$3</f>
        <v>0.4946484528498209</v>
      </c>
      <c r="R211" s="17">
        <f>$H211/HSP!$E$4</f>
        <v>0.56499554649977024</v>
      </c>
      <c r="S211" s="17">
        <f>$I211/HSP!$E$5</f>
        <v>0.56532787812214558</v>
      </c>
      <c r="T211" s="17">
        <f>$J211/HSP!$E$6</f>
        <v>0.61417023429853701</v>
      </c>
      <c r="U211" s="18" t="s">
        <v>665</v>
      </c>
      <c r="V211" s="12"/>
      <c r="W211" s="12"/>
      <c r="X211" s="12"/>
      <c r="Y211" s="12"/>
      <c r="Z211" s="12"/>
    </row>
    <row r="212" spans="1:26" ht="15" customHeight="1" x14ac:dyDescent="0.3">
      <c r="A212" s="26" t="s">
        <v>687</v>
      </c>
      <c r="B212" s="17">
        <v>19</v>
      </c>
      <c r="C212" s="17">
        <v>9</v>
      </c>
      <c r="D212" s="17">
        <v>15</v>
      </c>
      <c r="E212" s="17">
        <v>12</v>
      </c>
      <c r="F212" s="17">
        <f>SQRT((4*(HSP!$B$2-$B212)^2+(HSP!$C$2-$C212)^2+(HSP!$D$2-$D212)^2))</f>
        <v>11.995499155933445</v>
      </c>
      <c r="G212" s="17">
        <f>SQRT((4*(HSP!$B$3-$B212)^2+(HSP!$C$3-$C212)^2+(HSP!$D$3-$D212)^2))</f>
        <v>11.337213061418577</v>
      </c>
      <c r="H212" s="17">
        <f>SQRT((4*(HSP!$B$4-$B212)^2+(HSP!$C$4-$C212)^2+(HSP!$D$4-$D212)^2))</f>
        <v>12.024059214757719</v>
      </c>
      <c r="I212" s="17">
        <f>SQRT((4*(HSP!$B$5-$B212)^2+(HSP!$C$5-$C212)^2+(HSP!$D$5-$D212)^2))</f>
        <v>9.276578032873978</v>
      </c>
      <c r="J212" s="17">
        <f>SQRT((4*(HSP!$B$6-$B212)^2+(HSP!$C$6-$C212)^2+(HSP!$D$6-$D212)^2))</f>
        <v>13.65939237301572</v>
      </c>
      <c r="K212" s="17">
        <f t="shared" si="0"/>
        <v>0.99962492966112038</v>
      </c>
      <c r="L212" s="17">
        <f t="shared" si="1"/>
        <v>0.94476775511821476</v>
      </c>
      <c r="M212" s="17">
        <f t="shared" si="2"/>
        <v>1.0020049345631432</v>
      </c>
      <c r="N212" s="17">
        <f t="shared" si="3"/>
        <v>0.77304816940616483</v>
      </c>
      <c r="O212" s="17">
        <f t="shared" si="4"/>
        <v>1.1382826977513101</v>
      </c>
      <c r="P212" s="17">
        <f>$F212/HSP!$E$2</f>
        <v>0.73592019361554872</v>
      </c>
      <c r="Q212" s="17">
        <f>$G212/HSP!$E$3</f>
        <v>0.83979356010507977</v>
      </c>
      <c r="R212" s="17">
        <f>$H212/HSP!$E$4</f>
        <v>0.75623013929293825</v>
      </c>
      <c r="S212" s="17">
        <f>$I212/HSP!$E$5</f>
        <v>0.67712248415138532</v>
      </c>
      <c r="T212" s="17">
        <f>$J212/HSP!$E$6</f>
        <v>0.9229319170956567</v>
      </c>
      <c r="U212" s="18" t="s">
        <v>665</v>
      </c>
      <c r="V212" s="12"/>
      <c r="W212" s="12"/>
      <c r="X212" s="12"/>
      <c r="Y212" s="12"/>
      <c r="Z212" s="12"/>
    </row>
    <row r="213" spans="1:26" ht="15" customHeight="1" x14ac:dyDescent="0.3">
      <c r="A213" s="26" t="s">
        <v>688</v>
      </c>
      <c r="B213" s="17">
        <v>17.5</v>
      </c>
      <c r="C213" s="17">
        <v>9.9</v>
      </c>
      <c r="D213" s="17">
        <v>4.0999999999999996</v>
      </c>
      <c r="E213" s="17">
        <v>9.5</v>
      </c>
      <c r="F213" s="17">
        <f>SQRT((4*(HSP!$B$2-$B213)^2+(HSP!$C$2-$C213)^2+(HSP!$D$2-$D213)^2))</f>
        <v>6.4998461520254471</v>
      </c>
      <c r="G213" s="17">
        <f>SQRT((4*(HSP!$B$3-$B213)^2+(HSP!$C$3-$C213)^2+(HSP!$D$3-$D213)^2))</f>
        <v>4.0150217932160732</v>
      </c>
      <c r="H213" s="17">
        <f>SQRT((4*(HSP!$B$4-$B213)^2+(HSP!$C$4-$C213)^2+(HSP!$D$4-$D213)^2))</f>
        <v>7.5002666619260951</v>
      </c>
      <c r="I213" s="17">
        <f>SQRT((4*(HSP!$B$5-$B213)^2+(HSP!$C$5-$C213)^2+(HSP!$D$5-$D213)^2))</f>
        <v>8.6309269490594112</v>
      </c>
      <c r="J213" s="17">
        <f>SQRT((4*(HSP!$B$6-$B213)^2+(HSP!$C$6-$C213)^2+(HSP!$D$6-$D213)^2))</f>
        <v>5.6564122904894418</v>
      </c>
      <c r="K213" s="17">
        <f t="shared" si="0"/>
        <v>0.68419433179215228</v>
      </c>
      <c r="L213" s="17">
        <f t="shared" si="1"/>
        <v>0.42263387297011296</v>
      </c>
      <c r="M213" s="17">
        <f t="shared" si="2"/>
        <v>0.78950175388695742</v>
      </c>
      <c r="N213" s="17">
        <f t="shared" si="3"/>
        <v>0.90851862621678015</v>
      </c>
      <c r="O213" s="17">
        <f t="shared" si="4"/>
        <v>0.59541182005152016</v>
      </c>
      <c r="P213" s="17">
        <f>$F213/HSP!$E$2</f>
        <v>0.39876356760892312</v>
      </c>
      <c r="Q213" s="17">
        <f>$G213/HSP!$E$3</f>
        <v>0.29740902171970912</v>
      </c>
      <c r="R213" s="17">
        <f>$H213/HSP!$E$4</f>
        <v>0.47171488439786763</v>
      </c>
      <c r="S213" s="17">
        <f>$I213/HSP!$E$5</f>
        <v>0.6299946678145556</v>
      </c>
      <c r="T213" s="17">
        <f>$J213/HSP!$E$6</f>
        <v>0.38219001962766497</v>
      </c>
      <c r="U213" s="18" t="s">
        <v>665</v>
      </c>
      <c r="V213" s="12"/>
      <c r="W213" s="12"/>
      <c r="X213" s="12"/>
      <c r="Y213" s="12"/>
      <c r="Z213" s="12"/>
    </row>
    <row r="214" spans="1:26" ht="15" customHeight="1" x14ac:dyDescent="0.3">
      <c r="A214" s="26" t="s">
        <v>689</v>
      </c>
      <c r="B214" s="17">
        <v>15.9</v>
      </c>
      <c r="C214" s="17">
        <v>15.9</v>
      </c>
      <c r="D214" s="17">
        <v>11.5</v>
      </c>
      <c r="E214" s="17">
        <v>11.1</v>
      </c>
      <c r="F214" s="17">
        <f>SQRT((4*(HSP!$B$2-$B214)^2+(HSP!$C$2-$C214)^2+(HSP!$D$2-$D214)^2))</f>
        <v>7.5355159080185077</v>
      </c>
      <c r="G214" s="17">
        <f>SQRT((4*(HSP!$B$3-$B214)^2+(HSP!$C$3-$C214)^2+(HSP!$D$3-$D214)^2))</f>
        <v>8.4484554801454692</v>
      </c>
      <c r="H214" s="17">
        <f>SQRT((4*(HSP!$B$4-$B214)^2+(HSP!$C$4-$C214)^2+(HSP!$D$4-$D214)^2))</f>
        <v>12.251938622112013</v>
      </c>
      <c r="I214" s="17">
        <f>SQRT((4*(HSP!$B$5-$B214)^2+(HSP!$C$5-$C214)^2+(HSP!$D$5-$D214)^2))</f>
        <v>3.4676937581049456</v>
      </c>
      <c r="J214" s="17">
        <f>SQRT((4*(HSP!$B$6-$B214)^2+(HSP!$C$6-$C214)^2+(HSP!$D$6-$D214)^2))</f>
        <v>12.238913350457223</v>
      </c>
      <c r="K214" s="17">
        <f t="shared" si="0"/>
        <v>0.67887530702869436</v>
      </c>
      <c r="L214" s="17">
        <f t="shared" si="1"/>
        <v>0.76112211532842067</v>
      </c>
      <c r="M214" s="17">
        <f t="shared" si="2"/>
        <v>1.1037782542443255</v>
      </c>
      <c r="N214" s="17">
        <f t="shared" si="3"/>
        <v>0.31240484307251765</v>
      </c>
      <c r="O214" s="17">
        <f t="shared" si="4"/>
        <v>1.1026048063474976</v>
      </c>
      <c r="P214" s="17">
        <f>$F214/HSP!$E$2</f>
        <v>0.46230158944898819</v>
      </c>
      <c r="Q214" s="17">
        <f>$G214/HSP!$E$3</f>
        <v>0.62581151704781257</v>
      </c>
      <c r="R214" s="17">
        <f>$H214/HSP!$E$4</f>
        <v>0.7705621774913215</v>
      </c>
      <c r="S214" s="17">
        <f>$I214/HSP!$E$5</f>
        <v>0.25311633270839018</v>
      </c>
      <c r="T214" s="17">
        <f>$J214/HSP!$E$6</f>
        <v>0.82695360476062307</v>
      </c>
      <c r="U214" s="18" t="s">
        <v>665</v>
      </c>
      <c r="V214" s="12"/>
      <c r="W214" s="12"/>
      <c r="X214" s="12"/>
      <c r="Y214" s="12"/>
      <c r="Z214" s="12"/>
    </row>
    <row r="215" spans="1:26" ht="15" customHeight="1" x14ac:dyDescent="0.3">
      <c r="A215" s="26" t="s">
        <v>690</v>
      </c>
      <c r="B215" s="17">
        <v>17.600000000000001</v>
      </c>
      <c r="C215" s="17">
        <v>9.8000000000000007</v>
      </c>
      <c r="D215" s="17">
        <v>5.6</v>
      </c>
      <c r="E215" s="17">
        <v>9.6999999999999993</v>
      </c>
      <c r="F215" s="17">
        <f>SQRT((4*(HSP!$B$2-$B215)^2+(HSP!$C$2-$C215)^2+(HSP!$D$2-$D215)^2))</f>
        <v>6.1919302321650918</v>
      </c>
      <c r="G215" s="17">
        <f>SQRT((4*(HSP!$B$3-$B215)^2+(HSP!$C$3-$C215)^2+(HSP!$D$3-$D215)^2))</f>
        <v>3.828890178628793</v>
      </c>
      <c r="H215" s="17">
        <f>SQRT((4*(HSP!$B$4-$B215)^2+(HSP!$C$4-$C215)^2+(HSP!$D$4-$D215)^2))</f>
        <v>7.1605865681520839</v>
      </c>
      <c r="I215" s="17">
        <f>SQRT((4*(HSP!$B$5-$B215)^2+(HSP!$C$5-$C215)^2+(HSP!$D$5-$D215)^2))</f>
        <v>7.6583875587489061</v>
      </c>
      <c r="J215" s="17">
        <f>SQRT((4*(HSP!$B$6-$B215)^2+(HSP!$C$6-$C215)^2+(HSP!$D$6-$D215)^2))</f>
        <v>6.0112394728541672</v>
      </c>
      <c r="K215" s="17">
        <f t="shared" si="0"/>
        <v>0.63834332290361773</v>
      </c>
      <c r="L215" s="17">
        <f t="shared" si="1"/>
        <v>0.39473094625039107</v>
      </c>
      <c r="M215" s="17">
        <f t="shared" si="2"/>
        <v>0.73820480084042106</v>
      </c>
      <c r="N215" s="17">
        <f t="shared" si="3"/>
        <v>0.78952449059267082</v>
      </c>
      <c r="O215" s="17">
        <f t="shared" si="4"/>
        <v>0.61971540957259463</v>
      </c>
      <c r="P215" s="17">
        <f>$F215/HSP!$E$2</f>
        <v>0.37987302037822646</v>
      </c>
      <c r="Q215" s="17">
        <f>$G215/HSP!$E$3</f>
        <v>0.28362149471324394</v>
      </c>
      <c r="R215" s="17">
        <f>$H215/HSP!$E$4</f>
        <v>0.45035135648755242</v>
      </c>
      <c r="S215" s="17">
        <f>$I215/HSP!$E$5</f>
        <v>0.55900639114955519</v>
      </c>
      <c r="T215" s="17">
        <f>$J215/HSP!$E$6</f>
        <v>0.40616482924690317</v>
      </c>
      <c r="U215" s="18" t="s">
        <v>665</v>
      </c>
      <c r="V215" s="12"/>
      <c r="W215" s="12"/>
      <c r="X215" s="12"/>
      <c r="Y215" s="12"/>
      <c r="Z215" s="12"/>
    </row>
    <row r="216" spans="1:26" ht="15" customHeight="1" x14ac:dyDescent="0.3">
      <c r="A216" s="26" t="s">
        <v>691</v>
      </c>
      <c r="B216" s="17">
        <v>20.399999999999999</v>
      </c>
      <c r="C216" s="17">
        <v>13.2</v>
      </c>
      <c r="D216" s="17">
        <v>11</v>
      </c>
      <c r="E216" s="17">
        <v>12.3</v>
      </c>
      <c r="F216" s="17">
        <f>SQRT((4*(HSP!$B$2-$B216)^2+(HSP!$C$2-$C216)^2+(HSP!$D$2-$D216)^2))</f>
        <v>12.578871173519504</v>
      </c>
      <c r="G216" s="17">
        <f>SQRT((4*(HSP!$B$3-$B216)^2+(HSP!$C$3-$C216)^2+(HSP!$D$3-$D216)^2))</f>
        <v>11.318144724291166</v>
      </c>
      <c r="H216" s="17">
        <f>SQRT((4*(HSP!$B$4-$B216)^2+(HSP!$C$4-$C216)^2+(HSP!$D$4-$D216)^2))</f>
        <v>14.129472743170565</v>
      </c>
      <c r="I216" s="17">
        <f>SQRT((4*(HSP!$B$5-$B216)^2+(HSP!$C$5-$C216)^2+(HSP!$D$5-$D216)^2))</f>
        <v>10.271460460908175</v>
      </c>
      <c r="J216" s="17">
        <f>SQRT((4*(HSP!$B$6-$B216)^2+(HSP!$C$6-$C216)^2+(HSP!$D$6-$D216)^2))</f>
        <v>14.220513352196535</v>
      </c>
      <c r="K216" s="17">
        <f t="shared" si="0"/>
        <v>1.0226724531316669</v>
      </c>
      <c r="L216" s="17">
        <f t="shared" si="1"/>
        <v>0.92017436782855</v>
      </c>
      <c r="M216" s="17">
        <f t="shared" si="2"/>
        <v>1.1487376213959808</v>
      </c>
      <c r="N216" s="17">
        <f t="shared" si="3"/>
        <v>0.83507808625269708</v>
      </c>
      <c r="O216" s="17">
        <f t="shared" si="4"/>
        <v>1.1561392969265476</v>
      </c>
      <c r="P216" s="17">
        <f>$F216/HSP!$E$2</f>
        <v>0.77170988794598183</v>
      </c>
      <c r="Q216" s="17">
        <f>$G216/HSP!$E$3</f>
        <v>0.83838109068823452</v>
      </c>
      <c r="R216" s="17">
        <f>$H216/HSP!$E$4</f>
        <v>0.88864608447613613</v>
      </c>
      <c r="S216" s="17">
        <f>$I216/HSP!$E$5</f>
        <v>0.74974163948234862</v>
      </c>
      <c r="T216" s="17">
        <f>$J216/HSP!$E$6</f>
        <v>0.96084549677003617</v>
      </c>
      <c r="U216" s="18" t="s">
        <v>665</v>
      </c>
      <c r="V216" s="12"/>
      <c r="W216" s="12"/>
      <c r="X216" s="12"/>
      <c r="Y216" s="12"/>
      <c r="Z216" s="12"/>
    </row>
    <row r="217" spans="1:26" ht="15" customHeight="1" x14ac:dyDescent="0.3">
      <c r="A217" s="26" t="s">
        <v>692</v>
      </c>
      <c r="B217" s="17">
        <v>16.7</v>
      </c>
      <c r="C217" s="17">
        <v>10.9</v>
      </c>
      <c r="D217" s="17">
        <v>8.5</v>
      </c>
      <c r="E217" s="17">
        <v>8.5</v>
      </c>
      <c r="F217" s="17">
        <f>SQRT((4*(HSP!$B$2-$B217)^2+(HSP!$C$2-$C217)^2+(HSP!$D$2-$D217)^2))</f>
        <v>4.4882067688554628</v>
      </c>
      <c r="G217" s="17">
        <f>SQRT((4*(HSP!$B$3-$B217)^2+(HSP!$C$3-$C217)^2+(HSP!$D$3-$D217)^2))</f>
        <v>3.5777646652623751</v>
      </c>
      <c r="H217" s="17">
        <f>SQRT((4*(HSP!$B$4-$B217)^2+(HSP!$C$4-$C217)^2+(HSP!$D$4-$D217)^2))</f>
        <v>7.1373664610975389</v>
      </c>
      <c r="I217" s="17">
        <f>SQRT((4*(HSP!$B$5-$B217)^2+(HSP!$C$5-$C217)^2+(HSP!$D$5-$D217)^2))</f>
        <v>4.1709591223122766</v>
      </c>
      <c r="J217" s="17">
        <f>SQRT((4*(HSP!$B$6-$B217)^2+(HSP!$C$6-$C217)^2+(HSP!$D$6-$D217)^2))</f>
        <v>7.0557069100126322</v>
      </c>
      <c r="K217" s="17">
        <f t="shared" si="0"/>
        <v>0.52802432574770153</v>
      </c>
      <c r="L217" s="17">
        <f t="shared" si="1"/>
        <v>0.42091349003086764</v>
      </c>
      <c r="M217" s="17">
        <f t="shared" si="2"/>
        <v>0.83969017189382811</v>
      </c>
      <c r="N217" s="17">
        <f t="shared" si="3"/>
        <v>0.49070107321320899</v>
      </c>
      <c r="O217" s="17">
        <f t="shared" si="4"/>
        <v>0.83008316588383912</v>
      </c>
      <c r="P217" s="17">
        <f>$F217/HSP!$E$2</f>
        <v>0.27535010851874003</v>
      </c>
      <c r="Q217" s="17">
        <f>$G217/HSP!$E$3</f>
        <v>0.26501960483425002</v>
      </c>
      <c r="R217" s="17">
        <f>$H217/HSP!$E$4</f>
        <v>0.44889097239607162</v>
      </c>
      <c r="S217" s="17">
        <f>$I217/HSP!$E$5</f>
        <v>0.30444957097169906</v>
      </c>
      <c r="T217" s="17">
        <f>$J217/HSP!$E$6</f>
        <v>0.47673695337923189</v>
      </c>
      <c r="U217" s="18" t="s">
        <v>665</v>
      </c>
      <c r="V217" s="12"/>
      <c r="W217" s="12"/>
      <c r="X217" s="12"/>
      <c r="Y217" s="12"/>
      <c r="Z217" s="12"/>
    </row>
    <row r="218" spans="1:26" ht="15" customHeight="1" x14ac:dyDescent="0.3">
      <c r="A218" s="26" t="s">
        <v>693</v>
      </c>
      <c r="B218" s="17">
        <v>17.600000000000001</v>
      </c>
      <c r="C218" s="17">
        <v>9.8000000000000007</v>
      </c>
      <c r="D218" s="17">
        <v>6.4</v>
      </c>
      <c r="E218" s="17">
        <v>9.8000000000000007</v>
      </c>
      <c r="F218" s="17">
        <f>SQRT((4*(HSP!$B$2-$B218)^2+(HSP!$C$2-$C218)^2+(HSP!$D$2-$D218)^2))</f>
        <v>6.0639920844275546</v>
      </c>
      <c r="G218" s="17">
        <f>SQRT((4*(HSP!$B$3-$B218)^2+(HSP!$C$3-$C218)^2+(HSP!$D$3-$D218)^2))</f>
        <v>3.8663160760600044</v>
      </c>
      <c r="H218" s="17">
        <f>SQRT((4*(HSP!$B$4-$B218)^2+(HSP!$C$4-$C218)^2+(HSP!$D$4-$D218)^2))</f>
        <v>7.0706435350680801</v>
      </c>
      <c r="I218" s="17">
        <f>SQRT((4*(HSP!$B$5-$B218)^2+(HSP!$C$5-$C218)^2+(HSP!$D$5-$D218)^2))</f>
        <v>7.12480876936357</v>
      </c>
      <c r="J218" s="17">
        <f>SQRT((4*(HSP!$B$6-$B218)^2+(HSP!$C$6-$C218)^2+(HSP!$D$6-$D218)^2))</f>
        <v>6.2908663950206449</v>
      </c>
      <c r="K218" s="17">
        <f t="shared" si="0"/>
        <v>0.61877470249260758</v>
      </c>
      <c r="L218" s="17">
        <f t="shared" si="1"/>
        <v>0.39452204857755147</v>
      </c>
      <c r="M218" s="17">
        <f t="shared" si="2"/>
        <v>0.72149423827225301</v>
      </c>
      <c r="N218" s="17">
        <f t="shared" si="3"/>
        <v>0.72702130299628265</v>
      </c>
      <c r="O218" s="17">
        <f t="shared" si="4"/>
        <v>0.64192514234904541</v>
      </c>
      <c r="P218" s="17">
        <f>$F218/HSP!$E$2</f>
        <v>0.37202405425935914</v>
      </c>
      <c r="Q218" s="17">
        <f>$G218/HSP!$E$3</f>
        <v>0.28639378341185218</v>
      </c>
      <c r="R218" s="17">
        <f>$H218/HSP!$E$4</f>
        <v>0.44469456195396728</v>
      </c>
      <c r="S218" s="17">
        <f>$I218/HSP!$E$5</f>
        <v>0.52005903426011457</v>
      </c>
      <c r="T218" s="17">
        <f>$J218/HSP!$E$6</f>
        <v>0.42505854020409761</v>
      </c>
      <c r="U218" s="18" t="s">
        <v>665</v>
      </c>
      <c r="V218" s="12"/>
      <c r="W218" s="12"/>
      <c r="X218" s="12"/>
      <c r="Y218" s="12"/>
      <c r="Z218" s="12"/>
    </row>
    <row r="219" spans="1:26" ht="15" customHeight="1" x14ac:dyDescent="0.3">
      <c r="A219" s="26" t="s">
        <v>694</v>
      </c>
      <c r="B219" s="17">
        <v>19</v>
      </c>
      <c r="C219" s="17">
        <v>9</v>
      </c>
      <c r="D219" s="17">
        <v>15</v>
      </c>
      <c r="E219" s="17">
        <v>12</v>
      </c>
      <c r="F219" s="17">
        <f>SQRT((4*(HSP!$B$2-$B219)^2+(HSP!$C$2-$C219)^2+(HSP!$D$2-$D219)^2))</f>
        <v>11.995499155933445</v>
      </c>
      <c r="G219" s="17">
        <f>SQRT((4*(HSP!$B$3-$B219)^2+(HSP!$C$3-$C219)^2+(HSP!$D$3-$D219)^2))</f>
        <v>11.337213061418577</v>
      </c>
      <c r="H219" s="17">
        <f>SQRT((4*(HSP!$B$4-$B219)^2+(HSP!$C$4-$C219)^2+(HSP!$D$4-$D219)^2))</f>
        <v>12.024059214757719</v>
      </c>
      <c r="I219" s="17">
        <f>SQRT((4*(HSP!$B$5-$B219)^2+(HSP!$C$5-$C219)^2+(HSP!$D$5-$D219)^2))</f>
        <v>9.276578032873978</v>
      </c>
      <c r="J219" s="17">
        <f>SQRT((4*(HSP!$B$6-$B219)^2+(HSP!$C$6-$C219)^2+(HSP!$D$6-$D219)^2))</f>
        <v>13.65939237301572</v>
      </c>
      <c r="K219" s="17">
        <f t="shared" si="0"/>
        <v>0.99962492966112038</v>
      </c>
      <c r="L219" s="17">
        <f t="shared" si="1"/>
        <v>0.94476775511821476</v>
      </c>
      <c r="M219" s="17">
        <f t="shared" si="2"/>
        <v>1.0020049345631432</v>
      </c>
      <c r="N219" s="17">
        <f t="shared" si="3"/>
        <v>0.77304816940616483</v>
      </c>
      <c r="O219" s="17">
        <f t="shared" si="4"/>
        <v>1.1382826977513101</v>
      </c>
      <c r="P219" s="17">
        <f>$F219/HSP!$E$2</f>
        <v>0.73592019361554872</v>
      </c>
      <c r="Q219" s="17">
        <f>$G219/HSP!$E$3</f>
        <v>0.83979356010507977</v>
      </c>
      <c r="R219" s="17">
        <f>$H219/HSP!$E$4</f>
        <v>0.75623013929293825</v>
      </c>
      <c r="S219" s="17">
        <f>$I219/HSP!$E$5</f>
        <v>0.67712248415138532</v>
      </c>
      <c r="T219" s="17">
        <f>$J219/HSP!$E$6</f>
        <v>0.9229319170956567</v>
      </c>
      <c r="U219" s="18" t="s">
        <v>665</v>
      </c>
      <c r="V219" s="12"/>
      <c r="W219" s="12"/>
      <c r="X219" s="12"/>
      <c r="Y219" s="12"/>
      <c r="Z219" s="12"/>
    </row>
    <row r="220" spans="1:26" ht="15" customHeight="1" x14ac:dyDescent="0.3">
      <c r="A220" s="26" t="s">
        <v>695</v>
      </c>
      <c r="B220" s="17">
        <v>19.5</v>
      </c>
      <c r="C220" s="17">
        <v>11.1</v>
      </c>
      <c r="D220" s="17">
        <v>8.6999999999999993</v>
      </c>
      <c r="E220" s="17">
        <v>11.2</v>
      </c>
      <c r="F220" s="17">
        <f>SQRT((4*(HSP!$B$2-$B220)^2+(HSP!$C$2-$C220)^2+(HSP!$D$2-$D220)^2))</f>
        <v>9.9703560618465392</v>
      </c>
      <c r="G220" s="17">
        <f>SQRT((4*(HSP!$B$3-$B220)^2+(HSP!$C$3-$C220)^2+(HSP!$D$3-$D220)^2))</f>
        <v>8.2723878052228663</v>
      </c>
      <c r="H220" s="17">
        <f>SQRT((4*(HSP!$B$4-$B220)^2+(HSP!$C$4-$C220)^2+(HSP!$D$4-$D220)^2))</f>
        <v>10.946323583742625</v>
      </c>
      <c r="I220" s="17">
        <f>SQRT((4*(HSP!$B$5-$B220)^2+(HSP!$C$5-$C220)^2+(HSP!$D$5-$D220)^2))</f>
        <v>8.8976907116397346</v>
      </c>
      <c r="J220" s="17">
        <f>SQRT((4*(HSP!$B$6-$B220)^2+(HSP!$C$6-$C220)^2+(HSP!$D$6-$D220)^2))</f>
        <v>10.81216907008025</v>
      </c>
      <c r="K220" s="17">
        <f t="shared" si="0"/>
        <v>0.89021036266486964</v>
      </c>
      <c r="L220" s="17">
        <f t="shared" si="1"/>
        <v>0.73860605403775592</v>
      </c>
      <c r="M220" s="17">
        <f t="shared" si="2"/>
        <v>0.97735031997702015</v>
      </c>
      <c r="N220" s="17">
        <f t="shared" si="3"/>
        <v>0.79443667068211921</v>
      </c>
      <c r="O220" s="17">
        <f t="shared" si="4"/>
        <v>0.9653722384000224</v>
      </c>
      <c r="P220" s="17">
        <f>$F220/HSP!$E$2</f>
        <v>0.61167828600285512</v>
      </c>
      <c r="Q220" s="17">
        <f>$G220/HSP!$E$3</f>
        <v>0.61276946705354562</v>
      </c>
      <c r="R220" s="17">
        <f>$H220/HSP!$E$4</f>
        <v>0.68844802413475625</v>
      </c>
      <c r="S220" s="17">
        <f>$I220/HSP!$E$5</f>
        <v>0.64946647530217039</v>
      </c>
      <c r="T220" s="17">
        <f>$J220/HSP!$E$6</f>
        <v>0.73055196419461144</v>
      </c>
      <c r="U220" s="18" t="s">
        <v>665</v>
      </c>
      <c r="V220" s="12"/>
      <c r="W220" s="12"/>
      <c r="X220" s="12"/>
      <c r="Y220" s="12"/>
      <c r="Z220" s="12"/>
    </row>
    <row r="221" spans="1:26" ht="15" customHeight="1" x14ac:dyDescent="0.3">
      <c r="A221" s="26" t="s">
        <v>696</v>
      </c>
      <c r="B221" s="17">
        <v>17.899999999999999</v>
      </c>
      <c r="C221" s="17">
        <v>8.5</v>
      </c>
      <c r="D221" s="17">
        <v>11.7</v>
      </c>
      <c r="E221" s="17">
        <v>12.9</v>
      </c>
      <c r="F221" s="17">
        <f>SQRT((4*(HSP!$B$2-$B221)^2+(HSP!$C$2-$C221)^2+(HSP!$D$2-$D221)^2))</f>
        <v>8.3474547018836809</v>
      </c>
      <c r="G221" s="17">
        <f>SQRT((4*(HSP!$B$3-$B221)^2+(HSP!$C$3-$C221)^2+(HSP!$D$3-$D221)^2))</f>
        <v>7.4469053975460149</v>
      </c>
      <c r="H221" s="17">
        <f>SQRT((4*(HSP!$B$4-$B221)^2+(HSP!$C$4-$C221)^2+(HSP!$D$4-$D221)^2))</f>
        <v>8.2712755969076479</v>
      </c>
      <c r="I221" s="17">
        <f>SQRT((4*(HSP!$B$5-$B221)^2+(HSP!$C$5-$C221)^2+(HSP!$D$5-$D221)^2))</f>
        <v>6.7874074579326669</v>
      </c>
      <c r="J221" s="17">
        <f>SQRT((4*(HSP!$B$6-$B221)^2+(HSP!$C$6-$C221)^2+(HSP!$D$6-$D221)^2))</f>
        <v>9.6734171831881604</v>
      </c>
      <c r="K221" s="17">
        <f t="shared" si="0"/>
        <v>0.64708951177392871</v>
      </c>
      <c r="L221" s="17">
        <f t="shared" si="1"/>
        <v>0.57727948818186159</v>
      </c>
      <c r="M221" s="17">
        <f t="shared" si="2"/>
        <v>0.64118415479904245</v>
      </c>
      <c r="N221" s="17">
        <f t="shared" si="3"/>
        <v>0.52615561689400514</v>
      </c>
      <c r="O221" s="17">
        <f t="shared" si="4"/>
        <v>0.74987730102233796</v>
      </c>
      <c r="P221" s="17">
        <f>$F221/HSP!$E$2</f>
        <v>0.51211378539163688</v>
      </c>
      <c r="Q221" s="17">
        <f>$G221/HSP!$E$3</f>
        <v>0.55162262204044554</v>
      </c>
      <c r="R221" s="17">
        <f>$H221/HSP!$E$4</f>
        <v>0.52020601238412878</v>
      </c>
      <c r="S221" s="17">
        <f>$I221/HSP!$E$5</f>
        <v>0.49543120130895379</v>
      </c>
      <c r="T221" s="17">
        <f>$J221/HSP!$E$6</f>
        <v>0.65360926913433515</v>
      </c>
      <c r="U221" s="18" t="s">
        <v>665</v>
      </c>
      <c r="V221" s="12"/>
      <c r="W221" s="12"/>
      <c r="X221" s="12"/>
      <c r="Y221" s="12"/>
      <c r="Z221" s="12"/>
    </row>
    <row r="222" spans="1:26" ht="15" customHeight="1" x14ac:dyDescent="0.3">
      <c r="A222" s="26" t="s">
        <v>697</v>
      </c>
      <c r="B222" s="17">
        <v>17.8</v>
      </c>
      <c r="C222" s="17">
        <v>10</v>
      </c>
      <c r="D222" s="17">
        <v>6.6</v>
      </c>
      <c r="E222" s="17">
        <v>9.8000000000000007</v>
      </c>
      <c r="F222" s="17">
        <f>SQRT((4*(HSP!$B$2-$B222)^2+(HSP!$C$2-$C222)^2+(HSP!$D$2-$D222)^2))</f>
        <v>6.4277523287693681</v>
      </c>
      <c r="G222" s="17">
        <f>SQRT((4*(HSP!$B$3-$B222)^2+(HSP!$C$3-$C222)^2+(HSP!$D$3-$D222)^2))</f>
        <v>4.3049274093763792</v>
      </c>
      <c r="H222" s="17">
        <f>SQRT((4*(HSP!$B$4-$B222)^2+(HSP!$C$4-$C222)^2+(HSP!$D$4-$D222)^2))</f>
        <v>7.4839828968270643</v>
      </c>
      <c r="I222" s="17">
        <f>SQRT((4*(HSP!$B$5-$B222)^2+(HSP!$C$5-$C222)^2+(HSP!$D$5-$D222)^2))</f>
        <v>7.1938098390213252</v>
      </c>
      <c r="J222" s="17">
        <f>SQRT((4*(HSP!$B$6-$B222)^2+(HSP!$C$6-$C222)^2+(HSP!$D$6-$D222)^2))</f>
        <v>6.7757656393945638</v>
      </c>
      <c r="K222" s="17">
        <f t="shared" si="0"/>
        <v>0.65589309477238444</v>
      </c>
      <c r="L222" s="17">
        <f t="shared" si="1"/>
        <v>0.43927830707922233</v>
      </c>
      <c r="M222" s="17">
        <f t="shared" si="2"/>
        <v>0.76367172416602691</v>
      </c>
      <c r="N222" s="17">
        <f t="shared" si="3"/>
        <v>0.73406222847156377</v>
      </c>
      <c r="O222" s="17">
        <f t="shared" si="4"/>
        <v>0.6914046570810779</v>
      </c>
      <c r="P222" s="17">
        <f>$F222/HSP!$E$2</f>
        <v>0.39434063366683236</v>
      </c>
      <c r="Q222" s="17">
        <f>$G222/HSP!$E$3</f>
        <v>0.31888351180565772</v>
      </c>
      <c r="R222" s="17">
        <f>$H222/HSP!$E$4</f>
        <v>0.47069074822811724</v>
      </c>
      <c r="S222" s="17">
        <f>$I222/HSP!$E$5</f>
        <v>0.52509560868768801</v>
      </c>
      <c r="T222" s="17">
        <f>$J222/HSP!$E$6</f>
        <v>0.45782200266179485</v>
      </c>
      <c r="U222" s="18" t="s">
        <v>665</v>
      </c>
      <c r="V222" s="12"/>
      <c r="W222" s="12"/>
      <c r="X222" s="12"/>
      <c r="Y222" s="12"/>
      <c r="Z222" s="12"/>
    </row>
    <row r="223" spans="1:26" ht="15" customHeight="1" x14ac:dyDescent="0.3">
      <c r="A223" s="26" t="s">
        <v>698</v>
      </c>
      <c r="B223" s="17">
        <v>16.100000000000001</v>
      </c>
      <c r="C223" s="17">
        <v>3.7</v>
      </c>
      <c r="D223" s="17">
        <v>7.9</v>
      </c>
      <c r="E223" s="17">
        <v>8.9</v>
      </c>
      <c r="F223" s="17">
        <f>SQRT((4*(HSP!$B$2-$B223)^2+(HSP!$C$2-$C223)^2+(HSP!$D$2-$D223)^2))</f>
        <v>7.4527847144540562</v>
      </c>
      <c r="G223" s="17">
        <f>SQRT((4*(HSP!$B$3-$B223)^2+(HSP!$C$3-$C223)^2+(HSP!$D$3-$D223)^2))</f>
        <v>6.3655636042694601</v>
      </c>
      <c r="H223" s="17">
        <f>SQRT((4*(HSP!$B$4-$B223)^2+(HSP!$C$4-$C223)^2+(HSP!$D$4-$D223)^2))</f>
        <v>2.372762103540937</v>
      </c>
      <c r="I223" s="17">
        <f>SQRT((4*(HSP!$B$5-$B223)^2+(HSP!$C$5-$C223)^2+(HSP!$D$5-$D223)^2))</f>
        <v>9.6590320426013712</v>
      </c>
      <c r="J223" s="17">
        <f>SQRT((4*(HSP!$B$6-$B223)^2+(HSP!$C$6-$C223)^2+(HSP!$D$6-$D223)^2))</f>
        <v>5.1585850773249851</v>
      </c>
      <c r="K223" s="17">
        <f t="shared" si="0"/>
        <v>0.83739154094989388</v>
      </c>
      <c r="L223" s="17">
        <f t="shared" si="1"/>
        <v>0.71523186564825392</v>
      </c>
      <c r="M223" s="17">
        <f t="shared" si="2"/>
        <v>0.26660248354392552</v>
      </c>
      <c r="N223" s="17">
        <f t="shared" si="3"/>
        <v>1.0852844991686934</v>
      </c>
      <c r="O223" s="17">
        <f t="shared" si="4"/>
        <v>0.57961630082303206</v>
      </c>
      <c r="P223" s="17">
        <f>$F223/HSP!$E$2</f>
        <v>0.45722605610147582</v>
      </c>
      <c r="Q223" s="17">
        <f>$G223/HSP!$E$3</f>
        <v>0.47152322994588591</v>
      </c>
      <c r="R223" s="17">
        <f>$H223/HSP!$E$4</f>
        <v>0.14923032097741742</v>
      </c>
      <c r="S223" s="17">
        <f>$I223/HSP!$E$5</f>
        <v>0.70503883522637745</v>
      </c>
      <c r="T223" s="17">
        <f>$J223/HSP!$E$6</f>
        <v>0.34855304576520169</v>
      </c>
      <c r="U223" s="18" t="s">
        <v>665</v>
      </c>
      <c r="V223" s="12"/>
      <c r="W223" s="12"/>
      <c r="X223" s="12"/>
      <c r="Y223" s="12"/>
      <c r="Z223" s="12"/>
    </row>
    <row r="224" spans="1:26" ht="15" customHeight="1" x14ac:dyDescent="0.3">
      <c r="A224" s="26" t="s">
        <v>699</v>
      </c>
      <c r="B224" s="17">
        <v>20.93</v>
      </c>
      <c r="C224" s="17">
        <v>11.27</v>
      </c>
      <c r="D224" s="17">
        <v>9.66</v>
      </c>
      <c r="E224" s="17">
        <v>13.71</v>
      </c>
      <c r="F224" s="17">
        <f>SQRT((4*(HSP!$B$2-$B224)^2+(HSP!$C$2-$C224)^2+(HSP!$D$2-$D224)^2))</f>
        <v>12.965882152788526</v>
      </c>
      <c r="G224" s="17">
        <f>SQRT((4*(HSP!$B$3-$B224)^2+(HSP!$C$3-$C224)^2+(HSP!$D$3-$D224)^2))</f>
        <v>11.276883434708369</v>
      </c>
      <c r="H224" s="17">
        <f>SQRT((4*(HSP!$B$4-$B224)^2+(HSP!$C$4-$C224)^2+(HSP!$D$4-$D224)^2))</f>
        <v>13.57638022449283</v>
      </c>
      <c r="I224" s="17">
        <f>SQRT((4*(HSP!$B$5-$B224)^2+(HSP!$C$5-$C224)^2+(HSP!$D$5-$D224)^2))</f>
        <v>11.482935164843525</v>
      </c>
      <c r="J224" s="17">
        <f>SQRT((4*(HSP!$B$6-$B224)^2+(HSP!$C$6-$C224)^2+(HSP!$D$6-$D224)^2))</f>
        <v>13.613379448175241</v>
      </c>
      <c r="K224" s="17">
        <f t="shared" si="0"/>
        <v>0.94572444586349558</v>
      </c>
      <c r="L224" s="17">
        <f t="shared" si="1"/>
        <v>0.82252979100717494</v>
      </c>
      <c r="M224" s="17">
        <f t="shared" si="2"/>
        <v>0.9902538456960488</v>
      </c>
      <c r="N224" s="17">
        <f t="shared" si="3"/>
        <v>0.83755909298639852</v>
      </c>
      <c r="O224" s="17">
        <f t="shared" si="4"/>
        <v>0.9929525491010387</v>
      </c>
      <c r="P224" s="17">
        <f>$F224/HSP!$E$2</f>
        <v>0.79545289280911191</v>
      </c>
      <c r="Q224" s="17">
        <f>$G224/HSP!$E$3</f>
        <v>0.83532469886728655</v>
      </c>
      <c r="R224" s="17">
        <f>$H224/HSP!$E$4</f>
        <v>0.85386039147753645</v>
      </c>
      <c r="S224" s="17">
        <f>$I224/HSP!$E$5</f>
        <v>0.83817044998857848</v>
      </c>
      <c r="T224" s="17">
        <f>$J224/HSP!$E$6</f>
        <v>0.91982293568751627</v>
      </c>
      <c r="U224" s="18" t="s">
        <v>665</v>
      </c>
      <c r="V224" s="12"/>
      <c r="W224" s="12"/>
      <c r="X224" s="12"/>
      <c r="Y224" s="12"/>
      <c r="Z224" s="12"/>
    </row>
    <row r="225" spans="1:26" ht="15" customHeight="1" x14ac:dyDescent="0.3">
      <c r="A225" s="27" t="s">
        <v>700</v>
      </c>
      <c r="B225" s="19">
        <v>18.600000000000001</v>
      </c>
      <c r="C225" s="19">
        <v>12.9</v>
      </c>
      <c r="D225" s="19">
        <v>10.3</v>
      </c>
      <c r="E225" s="19">
        <v>8.3000000000000007</v>
      </c>
      <c r="F225" s="19">
        <f>SQRT((4*(HSP!$B$2-$B225)^2+(HSP!$C$2-$C225)^2+(HSP!$D$2-$D225)^2))</f>
        <v>8.9986665678866036</v>
      </c>
      <c r="G225" s="19">
        <f>SQRT((4*(HSP!$B$3-$B225)^2+(HSP!$C$3-$C225)^2+(HSP!$D$3-$D225)^2))</f>
        <v>8.0274778106202227</v>
      </c>
      <c r="H225" s="19">
        <f>SQRT((4*(HSP!$B$4-$B225)^2+(HSP!$C$4-$C225)^2+(HSP!$D$4-$D225)^2))</f>
        <v>11.264013494310101</v>
      </c>
      <c r="I225" s="19">
        <f>SQRT((4*(HSP!$B$5-$B225)^2+(HSP!$C$5-$C225)^2+(HSP!$D$5-$D225)^2))</f>
        <v>6.6921521202076732</v>
      </c>
      <c r="J225" s="17">
        <f>SQRT((4*(HSP!$B$6-$B225)^2+(HSP!$C$6-$C225)^2+(HSP!$D$6-$D225)^2))</f>
        <v>11.305706523698555</v>
      </c>
      <c r="K225" s="17">
        <f t="shared" si="0"/>
        <v>1.0841766949260967</v>
      </c>
      <c r="L225" s="17">
        <f t="shared" si="1"/>
        <v>0.96716600127954477</v>
      </c>
      <c r="M225" s="17">
        <f t="shared" si="2"/>
        <v>1.3571100595554337</v>
      </c>
      <c r="N225" s="17">
        <f t="shared" si="3"/>
        <v>0.80628338797682808</v>
      </c>
      <c r="O225" s="17">
        <f t="shared" si="4"/>
        <v>1.3621333161082596</v>
      </c>
      <c r="P225" s="17">
        <f>$F225/HSP!$E$2</f>
        <v>0.55206543361267502</v>
      </c>
      <c r="Q225" s="17">
        <f>$G225/HSP!$E$3</f>
        <v>0.59462798597186839</v>
      </c>
      <c r="R225" s="17">
        <f>$H225/HSP!$E$4</f>
        <v>0.70842852165472325</v>
      </c>
      <c r="S225" s="17">
        <f>$I225/HSP!$E$5</f>
        <v>0.48847825694946523</v>
      </c>
      <c r="T225" s="17">
        <f>$J225/HSP!$E$6</f>
        <v>0.76389908943909157</v>
      </c>
      <c r="U225" s="18" t="s">
        <v>665</v>
      </c>
      <c r="V225" s="12"/>
      <c r="W225" s="12"/>
      <c r="X225" s="12"/>
      <c r="Y225" s="12"/>
      <c r="Z225" s="12"/>
    </row>
    <row r="226" spans="1:26" ht="15" customHeight="1" x14ac:dyDescent="0.3">
      <c r="A226" s="26" t="s">
        <v>701</v>
      </c>
      <c r="B226" s="17">
        <v>20.2</v>
      </c>
      <c r="C226" s="17">
        <v>11.2</v>
      </c>
      <c r="D226" s="17">
        <v>13.3</v>
      </c>
      <c r="E226" s="17">
        <v>11.2</v>
      </c>
      <c r="F226" s="17">
        <f>SQRT((4*(HSP!$B$2-$B226)^2+(HSP!$C$2-$C226)^2+(HSP!$D$2-$D226)^2))</f>
        <v>12.881381913443915</v>
      </c>
      <c r="G226" s="17">
        <f>SQRT((4*(HSP!$B$3-$B226)^2+(HSP!$C$3-$C226)^2+(HSP!$D$3-$D226)^2))</f>
        <v>11.818730896335698</v>
      </c>
      <c r="H226" s="17">
        <f>SQRT((4*(HSP!$B$4-$B226)^2+(HSP!$C$4-$C226)^2+(HSP!$D$4-$D226)^2))</f>
        <v>13.636861809082029</v>
      </c>
      <c r="I226" s="17">
        <f>SQRT((4*(HSP!$B$5-$B226)^2+(HSP!$C$5-$C226)^2+(HSP!$D$5-$D226)^2))</f>
        <v>10.254116246659192</v>
      </c>
      <c r="J226" s="17">
        <f>SQRT((4*(HSP!$B$6-$B226)^2+(HSP!$C$6-$C226)^2+(HSP!$D$6-$D226)^2))</f>
        <v>14.466340242093022</v>
      </c>
      <c r="K226" s="17">
        <f t="shared" si="0"/>
        <v>1.150123385128921</v>
      </c>
      <c r="L226" s="17">
        <f t="shared" si="1"/>
        <v>1.0552438300299731</v>
      </c>
      <c r="M226" s="17">
        <f t="shared" si="2"/>
        <v>1.2175769472394671</v>
      </c>
      <c r="N226" s="17">
        <f t="shared" si="3"/>
        <v>0.91554609345171367</v>
      </c>
      <c r="O226" s="17">
        <f t="shared" si="4"/>
        <v>1.2916375216154485</v>
      </c>
      <c r="P226" s="17">
        <f>$F226/HSP!$E$2</f>
        <v>0.790268829045639</v>
      </c>
      <c r="Q226" s="17">
        <f>$G226/HSP!$E$3</f>
        <v>0.87546154787671837</v>
      </c>
      <c r="R226" s="17">
        <f>$H226/HSP!$E$4</f>
        <v>0.85766426472214019</v>
      </c>
      <c r="S226" s="17">
        <f>$I226/HSP!$E$5</f>
        <v>0.74847563844227682</v>
      </c>
      <c r="T226" s="17">
        <f>$J226/HSP!$E$6</f>
        <v>0.97745542176304201</v>
      </c>
      <c r="U226" s="18" t="s">
        <v>665</v>
      </c>
      <c r="V226" s="12"/>
      <c r="W226" s="12"/>
      <c r="X226" s="12"/>
      <c r="Y226" s="12"/>
      <c r="Z226" s="12"/>
    </row>
    <row r="227" spans="1:26" ht="15" customHeight="1" x14ac:dyDescent="0.3">
      <c r="A227" s="26" t="s">
        <v>702</v>
      </c>
      <c r="B227" s="17">
        <v>18</v>
      </c>
      <c r="C227" s="17">
        <v>6.2</v>
      </c>
      <c r="D227" s="17">
        <v>6.2</v>
      </c>
      <c r="E227" s="17">
        <v>5</v>
      </c>
      <c r="F227" s="17">
        <f>SQRT((4*(HSP!$B$2-$B227)^2+(HSP!$C$2-$C227)^2+(HSP!$D$2-$D227)^2))</f>
        <v>8.0620096750128027</v>
      </c>
      <c r="G227" s="17">
        <f>SQRT((4*(HSP!$B$3-$B227)^2+(HSP!$C$3-$C227)^2+(HSP!$D$3-$D227)^2))</f>
        <v>5.7844965208737058</v>
      </c>
      <c r="H227" s="17">
        <f>SQRT((4*(HSP!$B$4-$B227)^2+(HSP!$C$4-$C227)^2+(HSP!$D$4-$D227)^2))</f>
        <v>5.8911798478742785</v>
      </c>
      <c r="I227" s="17">
        <f>SQRT((4*(HSP!$B$5-$B227)^2+(HSP!$C$5-$C227)^2+(HSP!$D$5-$D227)^2))</f>
        <v>9.7311304584822018</v>
      </c>
      <c r="J227" s="17">
        <f>SQRT((4*(HSP!$B$6-$B227)^2+(HSP!$C$6-$C227)^2+(HSP!$D$6-$D227)^2))</f>
        <v>5.9486973363922306</v>
      </c>
      <c r="K227" s="17">
        <f t="shared" si="0"/>
        <v>1.6124019350025605</v>
      </c>
      <c r="L227" s="17">
        <f t="shared" si="1"/>
        <v>1.1568993041747411</v>
      </c>
      <c r="M227" s="17">
        <f t="shared" si="2"/>
        <v>1.1782359695748557</v>
      </c>
      <c r="N227" s="17">
        <f t="shared" si="3"/>
        <v>1.9462260916964405</v>
      </c>
      <c r="O227" s="17">
        <f t="shared" si="4"/>
        <v>1.189739467278446</v>
      </c>
      <c r="P227" s="17">
        <f>$F227/HSP!$E$2</f>
        <v>0.49460182055293267</v>
      </c>
      <c r="Q227" s="17">
        <f>$G227/HSP!$E$3</f>
        <v>0.42848122376842263</v>
      </c>
      <c r="R227" s="17">
        <f>$H227/HSP!$E$4</f>
        <v>0.37051445584114956</v>
      </c>
      <c r="S227" s="17">
        <f>$I227/HSP!$E$5</f>
        <v>0.7103014933198688</v>
      </c>
      <c r="T227" s="17">
        <f>$J227/HSP!$E$6</f>
        <v>0.40193900921569126</v>
      </c>
      <c r="U227" s="18" t="s">
        <v>661</v>
      </c>
      <c r="V227" s="12"/>
      <c r="W227" s="12"/>
      <c r="X227" s="12"/>
      <c r="Y227" s="12"/>
      <c r="Z227" s="12"/>
    </row>
    <row r="228" spans="1:26" ht="15" customHeight="1" x14ac:dyDescent="0.3">
      <c r="A228" s="26" t="s">
        <v>703</v>
      </c>
      <c r="B228" s="17">
        <v>16</v>
      </c>
      <c r="C228" s="17">
        <v>4</v>
      </c>
      <c r="D228" s="17">
        <v>6</v>
      </c>
      <c r="E228" s="17">
        <v>1.3</v>
      </c>
      <c r="F228" s="17">
        <f>SQRT((4*(HSP!$B$2-$B228)^2+(HSP!$C$2-$C228)^2+(HSP!$D$2-$D228)^2))</f>
        <v>7.108586357356856</v>
      </c>
      <c r="G228" s="17">
        <f>SQRT((4*(HSP!$B$3-$B228)^2+(HSP!$C$3-$C228)^2+(HSP!$D$3-$D228)^2))</f>
        <v>5.6967007995856696</v>
      </c>
      <c r="H228" s="17">
        <f>SQRT((4*(HSP!$B$4-$B228)^2+(HSP!$C$4-$C228)^2+(HSP!$D$4-$D228)^2))</f>
        <v>1.9641792178922981</v>
      </c>
      <c r="I228" s="17">
        <f>SQRT((4*(HSP!$B$5-$B228)^2+(HSP!$C$5-$C228)^2+(HSP!$D$5-$D228)^2))</f>
        <v>10.122988689117459</v>
      </c>
      <c r="J228" s="17">
        <f>SQRT((4*(HSP!$B$6-$B228)^2+(HSP!$C$6-$C228)^2+(HSP!$D$6-$D228)^2))</f>
        <v>3.5579488472995222</v>
      </c>
      <c r="K228" s="17">
        <f t="shared" si="0"/>
        <v>5.4681433518129658</v>
      </c>
      <c r="L228" s="17">
        <f t="shared" si="1"/>
        <v>4.3820775381428225</v>
      </c>
      <c r="M228" s="17">
        <f t="shared" si="2"/>
        <v>1.5109070906863831</v>
      </c>
      <c r="N228" s="17">
        <f t="shared" si="3"/>
        <v>7.7869143762441997</v>
      </c>
      <c r="O228" s="17">
        <f t="shared" si="4"/>
        <v>2.7368837286919399</v>
      </c>
      <c r="P228" s="17">
        <f>$F228/HSP!$E$2</f>
        <v>0.43610959247588071</v>
      </c>
      <c r="Q228" s="17">
        <f>$G228/HSP!$E$3</f>
        <v>0.42197783700634589</v>
      </c>
      <c r="R228" s="17">
        <f>$H228/HSP!$E$4</f>
        <v>0.12353328414416968</v>
      </c>
      <c r="S228" s="17">
        <f>$I228/HSP!$E$5</f>
        <v>0.73890428387718687</v>
      </c>
      <c r="T228" s="17">
        <f>$J228/HSP!$E$6</f>
        <v>0.24040194914185961</v>
      </c>
      <c r="U228" s="16" t="s">
        <v>490</v>
      </c>
      <c r="V228" s="12"/>
      <c r="W228" s="12"/>
      <c r="X228" s="12"/>
      <c r="Y228" s="12"/>
      <c r="Z228" s="12"/>
    </row>
    <row r="229" spans="1:26" ht="15" customHeight="1" x14ac:dyDescent="0.3">
      <c r="A229" s="26" t="s">
        <v>704</v>
      </c>
      <c r="B229" s="17">
        <v>15.6</v>
      </c>
      <c r="C229" s="17">
        <v>3.4</v>
      </c>
      <c r="D229" s="17">
        <v>9.1</v>
      </c>
      <c r="E229" s="17">
        <v>14</v>
      </c>
      <c r="F229" s="17">
        <f>SQRT((4*(HSP!$B$2-$B229)^2+(HSP!$C$2-$C229)^2+(HSP!$D$2-$D229)^2))</f>
        <v>7.6379316571962077</v>
      </c>
      <c r="G229" s="17">
        <f>SQRT((4*(HSP!$B$3-$B229)^2+(HSP!$C$3-$C229)^2+(HSP!$D$3-$D229)^2))</f>
        <v>7.0695402962286025</v>
      </c>
      <c r="H229" s="17">
        <f>SQRT((4*(HSP!$B$4-$B229)^2+(HSP!$C$4-$C229)^2+(HSP!$D$4-$D229)^2))</f>
        <v>2.7691153822114378</v>
      </c>
      <c r="I229" s="17">
        <f>SQRT((4*(HSP!$B$5-$B229)^2+(HSP!$C$5-$C229)^2+(HSP!$D$5-$D229)^2))</f>
        <v>9.5208665571995077</v>
      </c>
      <c r="J229" s="17">
        <f>SQRT((4*(HSP!$B$6-$B229)^2+(HSP!$C$6-$C229)^2+(HSP!$D$6-$D229)^2))</f>
        <v>6.0974584869435562</v>
      </c>
      <c r="K229" s="17">
        <f t="shared" si="0"/>
        <v>0.54556654694258622</v>
      </c>
      <c r="L229" s="17">
        <f t="shared" si="1"/>
        <v>0.5049671640163288</v>
      </c>
      <c r="M229" s="17">
        <f t="shared" si="2"/>
        <v>0.19779395587224555</v>
      </c>
      <c r="N229" s="17">
        <f t="shared" si="3"/>
        <v>0.68006189694282193</v>
      </c>
      <c r="O229" s="17">
        <f t="shared" si="4"/>
        <v>0.43553274906739686</v>
      </c>
      <c r="P229" s="17">
        <f>$F229/HSP!$E$2</f>
        <v>0.4685847642451661</v>
      </c>
      <c r="Q229" s="17">
        <f>$G229/HSP!$E$3</f>
        <v>0.52366965157248913</v>
      </c>
      <c r="R229" s="17">
        <f>$H229/HSP!$E$4</f>
        <v>0.17415820013908415</v>
      </c>
      <c r="S229" s="17">
        <f>$I229/HSP!$E$5</f>
        <v>0.6949537632992342</v>
      </c>
      <c r="T229" s="17">
        <f>$J229/HSP!$E$6</f>
        <v>0.411990438306997</v>
      </c>
      <c r="U229" s="18" t="s">
        <v>705</v>
      </c>
      <c r="V229" s="12"/>
      <c r="W229" s="12"/>
      <c r="X229" s="12"/>
      <c r="Y229" s="12"/>
      <c r="Z229" s="12"/>
    </row>
    <row r="230" spans="1:26" ht="15" customHeight="1" x14ac:dyDescent="0.3">
      <c r="A230" s="26" t="s">
        <v>706</v>
      </c>
      <c r="B230" s="17">
        <v>14.5</v>
      </c>
      <c r="C230" s="17">
        <v>7.3</v>
      </c>
      <c r="D230" s="17">
        <v>4.5</v>
      </c>
      <c r="E230" s="17">
        <v>11</v>
      </c>
      <c r="F230" s="17">
        <f>SQRT((4*(HSP!$B$2-$B230)^2+(HSP!$C$2-$C230)^2+(HSP!$D$2-$D230)^2))</f>
        <v>4.0219398304798162</v>
      </c>
      <c r="G230" s="17">
        <f>SQRT((4*(HSP!$B$3-$B230)^2+(HSP!$C$3-$C230)^2+(HSP!$D$3-$D230)^2))</f>
        <v>3.6022770576400696</v>
      </c>
      <c r="H230" s="17">
        <f>SQRT((4*(HSP!$B$4-$B230)^2+(HSP!$C$4-$C230)^2+(HSP!$D$4-$D230)^2))</f>
        <v>3.7349698793966195</v>
      </c>
      <c r="I230" s="17">
        <f>SQRT((4*(HSP!$B$5-$B230)^2+(HSP!$C$5-$C230)^2+(HSP!$D$5-$D230)^2))</f>
        <v>8.5494385780587958</v>
      </c>
      <c r="J230" s="17">
        <f>SQRT((4*(HSP!$B$6-$B230)^2+(HSP!$C$6-$C230)^2+(HSP!$D$6-$D230)^2))</f>
        <v>1.8844097219023248</v>
      </c>
      <c r="K230" s="17">
        <f t="shared" si="0"/>
        <v>0.3656308936799833</v>
      </c>
      <c r="L230" s="17">
        <f t="shared" si="1"/>
        <v>0.3274797325127336</v>
      </c>
      <c r="M230" s="17">
        <f t="shared" si="2"/>
        <v>0.33954271630878358</v>
      </c>
      <c r="N230" s="17">
        <f t="shared" si="3"/>
        <v>0.77722168891443599</v>
      </c>
      <c r="O230" s="17">
        <f t="shared" si="4"/>
        <v>0.17130997471839315</v>
      </c>
      <c r="P230" s="17">
        <f>$F230/HSP!$E$2</f>
        <v>0.24674477487606233</v>
      </c>
      <c r="Q230" s="17">
        <f>$G230/HSP!$E$3</f>
        <v>0.26683533760296813</v>
      </c>
      <c r="R230" s="17">
        <f>$H230/HSP!$E$4</f>
        <v>0.23490376599978738</v>
      </c>
      <c r="S230" s="17">
        <f>$I230/HSP!$E$5</f>
        <v>0.62404661153713836</v>
      </c>
      <c r="T230" s="17">
        <f>$J230/HSP!$E$6</f>
        <v>0.12732498120961652</v>
      </c>
      <c r="U230" s="18" t="s">
        <v>705</v>
      </c>
      <c r="V230" s="12"/>
      <c r="W230" s="12"/>
      <c r="X230" s="12"/>
      <c r="Y230" s="12"/>
      <c r="Z230" s="12"/>
    </row>
    <row r="231" spans="1:26" ht="15" customHeight="1" x14ac:dyDescent="0.3">
      <c r="A231" s="26" t="s">
        <v>707</v>
      </c>
      <c r="B231" s="17">
        <v>19.399999999999999</v>
      </c>
      <c r="C231" s="17">
        <v>13.2</v>
      </c>
      <c r="D231" s="17">
        <v>7.7</v>
      </c>
      <c r="E231" s="17">
        <v>19</v>
      </c>
      <c r="F231" s="17">
        <f>SQRT((4*(HSP!$B$2-$B231)^2+(HSP!$C$2-$C231)^2+(HSP!$D$2-$D231)^2))</f>
        <v>10.009295679517113</v>
      </c>
      <c r="G231" s="17">
        <f>SQRT((4*(HSP!$B$3-$B231)^2+(HSP!$C$3-$C231)^2+(HSP!$D$3-$D231)^2))</f>
        <v>8.433409749324408</v>
      </c>
      <c r="H231" s="17">
        <f>SQRT((4*(HSP!$B$4-$B231)^2+(HSP!$C$4-$C231)^2+(HSP!$D$4-$D231)^2))</f>
        <v>12.040431885941631</v>
      </c>
      <c r="I231" s="17">
        <f>SQRT((4*(HSP!$B$5-$B231)^2+(HSP!$C$5-$C231)^2+(HSP!$D$5-$D231)^2))</f>
        <v>8.8820549424105657</v>
      </c>
      <c r="J231" s="17">
        <f>SQRT((4*(HSP!$B$6-$B231)^2+(HSP!$C$6-$C231)^2+(HSP!$D$6-$D231)^2))</f>
        <v>11.352664885391444</v>
      </c>
      <c r="K231" s="17">
        <f t="shared" si="0"/>
        <v>0.52680503576405857</v>
      </c>
      <c r="L231" s="17">
        <f t="shared" si="1"/>
        <v>0.44386367101707408</v>
      </c>
      <c r="M231" s="17">
        <f t="shared" si="2"/>
        <v>0.633706941365349</v>
      </c>
      <c r="N231" s="17">
        <f t="shared" si="3"/>
        <v>0.46747657591634556</v>
      </c>
      <c r="O231" s="17">
        <f t="shared" si="4"/>
        <v>0.59750867817849707</v>
      </c>
      <c r="P231" s="17">
        <f>$F231/HSP!$E$2</f>
        <v>0.61406721960227684</v>
      </c>
      <c r="Q231" s="17">
        <f>$G231/HSP!$E$3</f>
        <v>0.6246970184684747</v>
      </c>
      <c r="R231" s="17">
        <f>$H231/HSP!$E$4</f>
        <v>0.75725986704035408</v>
      </c>
      <c r="S231" s="17">
        <f>$I231/HSP!$E$5</f>
        <v>0.64832517827814351</v>
      </c>
      <c r="T231" s="17">
        <f>$J231/HSP!$E$6</f>
        <v>0.76707195171563813</v>
      </c>
      <c r="U231" s="18" t="s">
        <v>490</v>
      </c>
      <c r="V231" s="12"/>
      <c r="W231" s="12"/>
      <c r="X231" s="12"/>
      <c r="Y231" s="12"/>
      <c r="Z231" s="12"/>
    </row>
    <row r="232" spans="1:26" ht="15" customHeight="1" x14ac:dyDescent="0.3">
      <c r="A232" s="26" t="s">
        <v>708</v>
      </c>
      <c r="B232" s="17">
        <v>19</v>
      </c>
      <c r="C232" s="17">
        <v>8</v>
      </c>
      <c r="D232" s="17">
        <v>0</v>
      </c>
      <c r="E232" s="17">
        <v>13.2</v>
      </c>
      <c r="F232" s="17">
        <f>SQRT((4*(HSP!$B$2-$B232)^2+(HSP!$C$2-$C232)^2+(HSP!$D$2-$D232)^2))</f>
        <v>11.498347707388223</v>
      </c>
      <c r="G232" s="17">
        <f>SQRT((4*(HSP!$B$3-$B232)^2+(HSP!$C$3-$C232)^2+(HSP!$D$3-$D232)^2))</f>
        <v>8.9695261859253197</v>
      </c>
      <c r="H232" s="17">
        <f>SQRT((4*(HSP!$B$4-$B232)^2+(HSP!$C$4-$C232)^2+(HSP!$D$4-$D232)^2))</f>
        <v>10.767450951826993</v>
      </c>
      <c r="I232" s="17">
        <f>SQRT((4*(HSP!$B$5-$B232)^2+(HSP!$C$5-$C232)^2+(HSP!$D$5-$D232)^2))</f>
        <v>14.049729534763294</v>
      </c>
      <c r="J232" s="17">
        <f>SQRT((4*(HSP!$B$6-$B232)^2+(HSP!$C$6-$C232)^2+(HSP!$D$6-$D232)^2))</f>
        <v>8.540433244279825</v>
      </c>
      <c r="K232" s="17">
        <f t="shared" si="0"/>
        <v>0.87108694752941096</v>
      </c>
      <c r="L232" s="17">
        <f t="shared" si="1"/>
        <v>0.67950955953979697</v>
      </c>
      <c r="M232" s="17">
        <f t="shared" si="2"/>
        <v>0.81571598119901467</v>
      </c>
      <c r="N232" s="17">
        <f t="shared" si="3"/>
        <v>1.06437344960328</v>
      </c>
      <c r="O232" s="17">
        <f t="shared" si="4"/>
        <v>0.6470025185060474</v>
      </c>
      <c r="P232" s="17">
        <f>$F232/HSP!$E$2</f>
        <v>0.70542010474774375</v>
      </c>
      <c r="Q232" s="17">
        <f>$G232/HSP!$E$3</f>
        <v>0.6644093471055792</v>
      </c>
      <c r="R232" s="17">
        <f>$H232/HSP!$E$4</f>
        <v>0.67719817307088004</v>
      </c>
      <c r="S232" s="17">
        <f>$I232/HSP!$E$5</f>
        <v>1.0255277032673937</v>
      </c>
      <c r="T232" s="17">
        <f>$J232/HSP!$E$6</f>
        <v>0.57705630028917732</v>
      </c>
      <c r="U232" s="18" t="s">
        <v>490</v>
      </c>
      <c r="V232" s="12"/>
      <c r="W232" s="12"/>
      <c r="X232" s="12"/>
      <c r="Y232" s="12"/>
      <c r="Z232" s="12"/>
    </row>
    <row r="233" spans="1:26" ht="15" customHeight="1" x14ac:dyDescent="0.3">
      <c r="A233" s="26" t="s">
        <v>709</v>
      </c>
      <c r="B233" s="17">
        <v>17.600000000000001</v>
      </c>
      <c r="C233" s="17">
        <v>2.5</v>
      </c>
      <c r="D233" s="17">
        <v>5.9</v>
      </c>
      <c r="E233" s="17">
        <v>6.2</v>
      </c>
      <c r="F233" s="17">
        <f>SQRT((4*(HSP!$B$2-$B233)^2+(HSP!$C$2-$C233)^2+(HSP!$D$2-$D233)^2))</f>
        <v>10.026365243696246</v>
      </c>
      <c r="G233" s="17">
        <f>SQRT((4*(HSP!$B$3-$B233)^2+(HSP!$C$3-$C233)^2+(HSP!$D$3-$D233)^2))</f>
        <v>8.1156885105331664</v>
      </c>
      <c r="H233" s="17">
        <f>SQRT((4*(HSP!$B$4-$B233)^2+(HSP!$C$4-$C233)^2+(HSP!$D$4-$D233)^2))</f>
        <v>5.4020366529671033</v>
      </c>
      <c r="I233" s="17">
        <f>SQRT((4*(HSP!$B$5-$B233)^2+(HSP!$C$5-$C233)^2+(HSP!$D$5-$D233)^2))</f>
        <v>12.307107702462021</v>
      </c>
      <c r="J233" s="17">
        <f>SQRT((4*(HSP!$B$6-$B233)^2+(HSP!$C$6-$C233)^2+(HSP!$D$6-$D233)^2))</f>
        <v>6.4314073110012266</v>
      </c>
      <c r="K233" s="17">
        <f t="shared" si="0"/>
        <v>1.6171556844671364</v>
      </c>
      <c r="L233" s="17">
        <f t="shared" si="1"/>
        <v>1.3089820178279301</v>
      </c>
      <c r="M233" s="17">
        <f t="shared" si="2"/>
        <v>0.87129623434953274</v>
      </c>
      <c r="N233" s="17">
        <f t="shared" si="3"/>
        <v>1.985017371364842</v>
      </c>
      <c r="O233" s="17">
        <f t="shared" si="4"/>
        <v>1.0373237598389076</v>
      </c>
      <c r="P233" s="17">
        <f>$F233/HSP!$E$2</f>
        <v>0.61511443212860395</v>
      </c>
      <c r="Q233" s="17">
        <f>$G233/HSP!$E$3</f>
        <v>0.60116211189134561</v>
      </c>
      <c r="R233" s="17">
        <f>$H233/HSP!$E$4</f>
        <v>0.33975073289101276</v>
      </c>
      <c r="S233" s="17">
        <f>$I233/HSP!$E$5</f>
        <v>0.89832902937678993</v>
      </c>
      <c r="T233" s="17">
        <f>$J233/HSP!$E$6</f>
        <v>0.43455454804062338</v>
      </c>
      <c r="U233" s="18" t="s">
        <v>466</v>
      </c>
      <c r="V233" s="12"/>
      <c r="W233" s="12"/>
      <c r="X233" s="12"/>
      <c r="Y233" s="12"/>
      <c r="Z233" s="12"/>
    </row>
    <row r="234" spans="1:26" ht="15" customHeight="1" x14ac:dyDescent="0.3">
      <c r="A234" s="26" t="s">
        <v>710</v>
      </c>
      <c r="B234" s="17">
        <v>14.6</v>
      </c>
      <c r="C234" s="17">
        <v>13.9</v>
      </c>
      <c r="D234" s="17">
        <v>2.2999999999999998</v>
      </c>
      <c r="E234" s="17">
        <v>15.9</v>
      </c>
      <c r="F234" s="17">
        <f>SQRT((4*(HSP!$B$2-$B234)^2+(HSP!$C$2-$C234)^2+(HSP!$D$2-$D234)^2))</f>
        <v>5.8082699661775372</v>
      </c>
      <c r="G234" s="17">
        <f>SQRT((4*(HSP!$B$3-$B234)^2+(HSP!$C$3-$C234)^2+(HSP!$D$3-$D234)^2))</f>
        <v>5.9262467042808806</v>
      </c>
      <c r="H234" s="17">
        <f>SQRT((4*(HSP!$B$4-$B234)^2+(HSP!$C$4-$C234)^2+(HSP!$D$4-$D234)^2))</f>
        <v>10.322693446964315</v>
      </c>
      <c r="I234" s="17">
        <f>SQRT((4*(HSP!$B$5-$B234)^2+(HSP!$C$5-$C234)^2+(HSP!$D$5-$D234)^2))</f>
        <v>8.8127691448261594</v>
      </c>
      <c r="J234" s="17">
        <f>SQRT((4*(HSP!$B$6-$B234)^2+(HSP!$C$6-$C234)^2+(HSP!$D$6-$D234)^2))</f>
        <v>7.7459021424234384</v>
      </c>
      <c r="K234" s="17">
        <f t="shared" si="0"/>
        <v>0.3652999978728011</v>
      </c>
      <c r="L234" s="17">
        <f t="shared" si="1"/>
        <v>0.3727199185082315</v>
      </c>
      <c r="M234" s="17">
        <f t="shared" si="2"/>
        <v>0.64922600295373056</v>
      </c>
      <c r="N234" s="17">
        <f t="shared" si="3"/>
        <v>0.55426221036642509</v>
      </c>
      <c r="O234" s="17">
        <f t="shared" si="4"/>
        <v>0.48716365675619111</v>
      </c>
      <c r="P234" s="17">
        <f>$F234/HSP!$E$2</f>
        <v>0.35633558074708815</v>
      </c>
      <c r="Q234" s="17">
        <f>$G234/HSP!$E$3</f>
        <v>0.4389812373541393</v>
      </c>
      <c r="R234" s="17">
        <f>$H234/HSP!$E$4</f>
        <v>0.64922600295373056</v>
      </c>
      <c r="S234" s="17">
        <f>$I234/HSP!$E$5</f>
        <v>0.64326782079023059</v>
      </c>
      <c r="T234" s="17">
        <f>$J234/HSP!$E$6</f>
        <v>0.52337176637996208</v>
      </c>
      <c r="U234" s="18" t="s">
        <v>466</v>
      </c>
      <c r="V234" s="12"/>
      <c r="W234" s="12"/>
      <c r="X234" s="12"/>
      <c r="Y234" s="12"/>
      <c r="Z234" s="12"/>
    </row>
    <row r="235" spans="1:26" ht="15" customHeight="1" x14ac:dyDescent="0.3">
      <c r="A235" s="26" t="s">
        <v>711</v>
      </c>
      <c r="B235" s="17">
        <v>18.100000000000001</v>
      </c>
      <c r="C235" s="17">
        <v>4.3</v>
      </c>
      <c r="D235" s="17">
        <v>6.7</v>
      </c>
      <c r="E235" s="17">
        <v>8.9</v>
      </c>
      <c r="F235" s="17">
        <f>SQRT((4*(HSP!$B$2-$B235)^2+(HSP!$C$2-$C235)^2+(HSP!$D$2-$D235)^2))</f>
        <v>9.3286654994163065</v>
      </c>
      <c r="G235" s="17">
        <f>SQRT((4*(HSP!$B$3-$B235)^2+(HSP!$C$3-$C235)^2+(HSP!$D$3-$D235)^2))</f>
        <v>7.2619832002008957</v>
      </c>
      <c r="H235" s="17">
        <f>SQRT((4*(HSP!$B$4-$B235)^2+(HSP!$C$4-$C235)^2+(HSP!$D$4-$D235)^2))</f>
        <v>5.8731592861082893</v>
      </c>
      <c r="I235" s="17">
        <f>SQRT((4*(HSP!$B$5-$B235)^2+(HSP!$C$5-$C235)^2+(HSP!$D$5-$D235)^2))</f>
        <v>10.9920380275907</v>
      </c>
      <c r="J235" s="17">
        <f>SQRT((4*(HSP!$B$6-$B235)^2+(HSP!$C$6-$C235)^2+(HSP!$D$6-$D235)^2))</f>
        <v>6.6854319232193253</v>
      </c>
      <c r="K235" s="17">
        <f t="shared" si="0"/>
        <v>1.0481646628557648</v>
      </c>
      <c r="L235" s="17">
        <f t="shared" si="1"/>
        <v>0.81595316856189837</v>
      </c>
      <c r="M235" s="17">
        <f t="shared" si="2"/>
        <v>0.65990553776497629</v>
      </c>
      <c r="N235" s="17">
        <f t="shared" si="3"/>
        <v>1.2350604525382809</v>
      </c>
      <c r="O235" s="17">
        <f t="shared" si="4"/>
        <v>0.75117212620441853</v>
      </c>
      <c r="P235" s="17">
        <f>$F235/HSP!$E$2</f>
        <v>0.5723107668353562</v>
      </c>
      <c r="Q235" s="17">
        <f>$G235/HSP!$E$3</f>
        <v>0.53792468149636263</v>
      </c>
      <c r="R235" s="17">
        <f>$H235/HSP!$E$4</f>
        <v>0.36938108717662194</v>
      </c>
      <c r="S235" s="17">
        <f>$I235/HSP!$E$5</f>
        <v>0.80233854215990519</v>
      </c>
      <c r="T235" s="17">
        <f>$J235/HSP!$E$6</f>
        <v>0.45171837319049496</v>
      </c>
      <c r="U235" s="18" t="s">
        <v>466</v>
      </c>
      <c r="V235" s="12"/>
      <c r="W235" s="12"/>
      <c r="X235" s="12"/>
      <c r="Y235" s="12"/>
      <c r="Z235" s="12"/>
    </row>
    <row r="236" spans="1:26" ht="15" customHeight="1" x14ac:dyDescent="0.3">
      <c r="A236" s="26" t="s">
        <v>712</v>
      </c>
      <c r="B236" s="17">
        <v>16.600000000000001</v>
      </c>
      <c r="C236" s="17">
        <v>9.1</v>
      </c>
      <c r="D236" s="17">
        <v>4.4000000000000004</v>
      </c>
      <c r="E236" s="17">
        <v>10</v>
      </c>
      <c r="F236" s="17">
        <f>SQRT((4*(HSP!$B$2-$B236)^2+(HSP!$C$2-$C236)^2+(HSP!$D$2-$D236)^2))</f>
        <v>4.9503535227294657</v>
      </c>
      <c r="G236" s="17">
        <f>SQRT((4*(HSP!$B$3-$B236)^2+(HSP!$C$3-$C236)^2+(HSP!$D$3-$D236)^2))</f>
        <v>2.3753736548172824</v>
      </c>
      <c r="H236" s="17">
        <f>SQRT((4*(HSP!$B$4-$B236)^2+(HSP!$C$4-$C236)^2+(HSP!$D$4-$D236)^2))</f>
        <v>5.7858447957061561</v>
      </c>
      <c r="I236" s="17">
        <f>SQRT((4*(HSP!$B$5-$B236)^2+(HSP!$C$5-$C236)^2+(HSP!$D$5-$D236)^2))</f>
        <v>7.9259636638077025</v>
      </c>
      <c r="J236" s="17">
        <f>SQRT((4*(HSP!$B$6-$B236)^2+(HSP!$C$6-$C236)^2+(HSP!$D$6-$D236)^2))</f>
        <v>3.8088055870574467</v>
      </c>
      <c r="K236" s="17">
        <f t="shared" si="0"/>
        <v>0.49503535227294659</v>
      </c>
      <c r="L236" s="17">
        <f t="shared" si="1"/>
        <v>0.23753736548172824</v>
      </c>
      <c r="M236" s="17">
        <f t="shared" si="2"/>
        <v>0.57858447957061565</v>
      </c>
      <c r="N236" s="17">
        <f t="shared" si="3"/>
        <v>0.79259636638077025</v>
      </c>
      <c r="O236" s="17">
        <f t="shared" si="4"/>
        <v>0.38088055870574467</v>
      </c>
      <c r="P236" s="17">
        <f>$F236/HSP!$E$2</f>
        <v>0.30370267010610219</v>
      </c>
      <c r="Q236" s="17">
        <f>$G236/HSP!$E$3</f>
        <v>0.17595360406053942</v>
      </c>
      <c r="R236" s="17">
        <f>$H236/HSP!$E$4</f>
        <v>0.36388960979284002</v>
      </c>
      <c r="S236" s="17">
        <f>$I236/HSP!$E$5</f>
        <v>0.57853749370859142</v>
      </c>
      <c r="T236" s="17">
        <f>$J236/HSP!$E$6</f>
        <v>0.25735172885523289</v>
      </c>
      <c r="U236" s="18" t="s">
        <v>713</v>
      </c>
      <c r="V236" s="12"/>
      <c r="W236" s="12"/>
      <c r="X236" s="12"/>
      <c r="Y236" s="12"/>
      <c r="Z236" s="12"/>
    </row>
    <row r="237" spans="1:26" ht="15" customHeight="1" x14ac:dyDescent="0.3">
      <c r="A237" s="26" t="s">
        <v>714</v>
      </c>
      <c r="B237" s="17">
        <v>17.5</v>
      </c>
      <c r="C237" s="17">
        <v>7.3</v>
      </c>
      <c r="D237" s="17">
        <v>6.5</v>
      </c>
      <c r="E237" s="17">
        <v>5.0999999999999996</v>
      </c>
      <c r="F237" s="17">
        <f>SQRT((4*(HSP!$B$2-$B237)^2+(HSP!$C$2-$C237)^2+(HSP!$D$2-$D237)^2))</f>
        <v>6.6223862768642556</v>
      </c>
      <c r="G237" s="17">
        <f>SQRT((4*(HSP!$B$3-$B237)^2+(HSP!$C$3-$C237)^2+(HSP!$D$3-$D237)^2))</f>
        <v>4.3745171162083709</v>
      </c>
      <c r="H237" s="17">
        <f>SQRT((4*(HSP!$B$4-$B237)^2+(HSP!$C$4-$C237)^2+(HSP!$D$4-$D237)^2))</f>
        <v>5.3544374120910216</v>
      </c>
      <c r="I237" s="17">
        <f>SQRT((4*(HSP!$B$5-$B237)^2+(HSP!$C$5-$C237)^2+(HSP!$D$5-$D237)^2))</f>
        <v>8.3001746969566863</v>
      </c>
      <c r="J237" s="17">
        <f>SQRT((4*(HSP!$B$6-$B237)^2+(HSP!$C$6-$C237)^2+(HSP!$D$6-$D237)^2))</f>
        <v>5.2603231839878442</v>
      </c>
      <c r="K237" s="17">
        <f t="shared" si="0"/>
        <v>1.2985071131106385</v>
      </c>
      <c r="L237" s="17">
        <f t="shared" si="1"/>
        <v>0.8577484541585042</v>
      </c>
      <c r="M237" s="17">
        <f t="shared" si="2"/>
        <v>1.0498896886452984</v>
      </c>
      <c r="N237" s="17">
        <f t="shared" si="3"/>
        <v>1.6274852346973896</v>
      </c>
      <c r="O237" s="17">
        <f t="shared" si="4"/>
        <v>1.0314359184289892</v>
      </c>
      <c r="P237" s="17">
        <f>$F237/HSP!$E$2</f>
        <v>0.40628136667878867</v>
      </c>
      <c r="Q237" s="17">
        <f>$G237/HSP!$E$3</f>
        <v>0.32403830490432378</v>
      </c>
      <c r="R237" s="17">
        <f>$H237/HSP!$E$4</f>
        <v>0.33675706994283156</v>
      </c>
      <c r="S237" s="17">
        <f>$I237/HSP!$E$5</f>
        <v>0.60585216766107197</v>
      </c>
      <c r="T237" s="17">
        <f>$J237/HSP!$E$6</f>
        <v>0.35542724216134081</v>
      </c>
      <c r="U237" s="18" t="s">
        <v>490</v>
      </c>
      <c r="V237" s="12"/>
      <c r="W237" s="12"/>
      <c r="X237" s="12"/>
      <c r="Y237" s="12"/>
      <c r="Z237" s="12"/>
    </row>
    <row r="238" spans="1:26" ht="15" customHeight="1" x14ac:dyDescent="0.3">
      <c r="A238" s="26" t="s">
        <v>715</v>
      </c>
      <c r="B238" s="17">
        <v>19</v>
      </c>
      <c r="C238" s="17">
        <v>12.6</v>
      </c>
      <c r="D238" s="17">
        <v>3.8</v>
      </c>
      <c r="E238" s="17">
        <v>13.3</v>
      </c>
      <c r="F238" s="17">
        <f>SQRT((4*(HSP!$B$2-$B238)^2+(HSP!$C$2-$C238)^2+(HSP!$D$2-$D238)^2))</f>
        <v>9.5985415558823313</v>
      </c>
      <c r="G238" s="17">
        <f>SQRT((4*(HSP!$B$3-$B238)^2+(HSP!$C$3-$C238)^2+(HSP!$D$3-$D238)^2))</f>
        <v>7.519867020100822</v>
      </c>
      <c r="H238" s="17">
        <f>SQRT((4*(HSP!$B$4-$B238)^2+(HSP!$C$4-$C238)^2+(HSP!$D$4-$D238)^2))</f>
        <v>11.419369509740894</v>
      </c>
      <c r="I238" s="17">
        <f>SQRT((4*(HSP!$B$5-$B238)^2+(HSP!$C$5-$C238)^2+(HSP!$D$5-$D238)^2))</f>
        <v>10.32002422477777</v>
      </c>
      <c r="J238" s="17">
        <f>SQRT((4*(HSP!$B$6-$B238)^2+(HSP!$C$6-$C238)^2+(HSP!$D$6-$D238)^2))</f>
        <v>9.6810639911117207</v>
      </c>
      <c r="K238" s="17">
        <f t="shared" si="0"/>
        <v>0.72169485382573917</v>
      </c>
      <c r="L238" s="17">
        <f t="shared" si="1"/>
        <v>0.56540353534592647</v>
      </c>
      <c r="M238" s="17">
        <f t="shared" si="2"/>
        <v>0.85859921125871386</v>
      </c>
      <c r="N238" s="17">
        <f t="shared" si="3"/>
        <v>0.77594167103592249</v>
      </c>
      <c r="O238" s="17">
        <f t="shared" si="4"/>
        <v>0.72789954820388869</v>
      </c>
      <c r="P238" s="17">
        <f>$F238/HSP!$E$2</f>
        <v>0.58886758011548046</v>
      </c>
      <c r="Q238" s="17">
        <f>$G238/HSP!$E$3</f>
        <v>0.55702718667413498</v>
      </c>
      <c r="R238" s="17">
        <f>$H238/HSP!$E$4</f>
        <v>0.71819934023527632</v>
      </c>
      <c r="S238" s="17">
        <f>$I238/HSP!$E$5</f>
        <v>0.75328643976480081</v>
      </c>
      <c r="T238" s="17">
        <f>$J238/HSP!$E$6</f>
        <v>0.65412594534538648</v>
      </c>
      <c r="U238" s="18" t="s">
        <v>466</v>
      </c>
      <c r="V238" s="12"/>
      <c r="W238" s="12"/>
      <c r="X238" s="12"/>
      <c r="Y238" s="12"/>
      <c r="Z238" s="12"/>
    </row>
    <row r="239" spans="1:26" ht="15" customHeight="1" x14ac:dyDescent="0.3">
      <c r="A239" s="26" t="s">
        <v>716</v>
      </c>
      <c r="B239" s="17">
        <v>17.399999999999999</v>
      </c>
      <c r="C239" s="17">
        <v>9.9</v>
      </c>
      <c r="D239" s="17">
        <v>14.6</v>
      </c>
      <c r="E239" s="17">
        <v>8</v>
      </c>
      <c r="F239" s="17">
        <f>SQRT((4*(HSP!$B$2-$B239)^2+(HSP!$C$2-$C239)^2+(HSP!$D$2-$D239)^2))</f>
        <v>9.4730143038000296</v>
      </c>
      <c r="G239" s="17">
        <f>SQRT((4*(HSP!$B$3-$B239)^2+(HSP!$C$3-$C239)^2+(HSP!$D$3-$D239)^2))</f>
        <v>9.4256246477355532</v>
      </c>
      <c r="H239" s="17">
        <f>SQRT((4*(HSP!$B$4-$B239)^2+(HSP!$C$4-$C239)^2+(HSP!$D$4-$D239)^2))</f>
        <v>10.391342550411856</v>
      </c>
      <c r="I239" s="17">
        <f>SQRT((4*(HSP!$B$5-$B239)^2+(HSP!$C$5-$C239)^2+(HSP!$D$5-$D239)^2))</f>
        <v>6.2903815464564614</v>
      </c>
      <c r="J239" s="17">
        <f>SQRT((4*(HSP!$B$6-$B239)^2+(HSP!$C$6-$C239)^2+(HSP!$D$6-$D239)^2))</f>
        <v>12.072737883346925</v>
      </c>
      <c r="K239" s="17">
        <f t="shared" si="0"/>
        <v>1.1841267879750037</v>
      </c>
      <c r="L239" s="17">
        <f t="shared" si="1"/>
        <v>1.1782030809669441</v>
      </c>
      <c r="M239" s="17">
        <f t="shared" si="2"/>
        <v>1.298917818801482</v>
      </c>
      <c r="N239" s="17">
        <f t="shared" si="3"/>
        <v>0.78629769330705768</v>
      </c>
      <c r="O239" s="17">
        <f t="shared" si="4"/>
        <v>1.5090922354183656</v>
      </c>
      <c r="P239" s="17">
        <f>$F239/HSP!$E$2</f>
        <v>0.5811665217055233</v>
      </c>
      <c r="Q239" s="17">
        <f>$G239/HSP!$E$3</f>
        <v>0.69819441835078166</v>
      </c>
      <c r="R239" s="17">
        <f>$H239/HSP!$E$4</f>
        <v>0.65354355662967645</v>
      </c>
      <c r="S239" s="17">
        <f>$I239/HSP!$E$5</f>
        <v>0.45915193769755197</v>
      </c>
      <c r="T239" s="17">
        <f>$J239/HSP!$E$6</f>
        <v>0.81572553265857595</v>
      </c>
      <c r="U239" s="18" t="s">
        <v>466</v>
      </c>
      <c r="V239" s="12"/>
      <c r="W239" s="12"/>
      <c r="X239" s="12"/>
      <c r="Y239" s="12"/>
      <c r="Z239" s="12"/>
    </row>
    <row r="240" spans="1:26" ht="15" customHeight="1" x14ac:dyDescent="0.3">
      <c r="A240" s="26" t="s">
        <v>717</v>
      </c>
      <c r="B240" s="17">
        <v>17</v>
      </c>
      <c r="C240" s="17">
        <v>4.4000000000000004</v>
      </c>
      <c r="D240" s="17">
        <v>10.6</v>
      </c>
      <c r="E240" s="17">
        <v>5.0999999999999996</v>
      </c>
      <c r="F240" s="17">
        <f>SQRT((4*(HSP!$B$2-$B240)^2+(HSP!$C$2-$C240)^2+(HSP!$D$2-$D240)^2))</f>
        <v>8.5362755344470926</v>
      </c>
      <c r="G240" s="17">
        <f>SQRT((4*(HSP!$B$3-$B240)^2+(HSP!$C$3-$C240)^2+(HSP!$D$3-$D240)^2))</f>
        <v>7.5749851485002919</v>
      </c>
      <c r="H240" s="17">
        <f>SQRT((4*(HSP!$B$4-$B240)^2+(HSP!$C$4-$C240)^2+(HSP!$D$4-$D240)^2))</f>
        <v>5.2833701365700287</v>
      </c>
      <c r="I240" s="17">
        <f>SQRT((4*(HSP!$B$5-$B240)^2+(HSP!$C$5-$C240)^2+(HSP!$D$5-$D240)^2))</f>
        <v>9.0168120752292502</v>
      </c>
      <c r="J240" s="17">
        <f>SQRT((4*(HSP!$B$6-$B240)^2+(HSP!$C$6-$C240)^2+(HSP!$D$6-$D240)^2))</f>
        <v>7.8520697908258557</v>
      </c>
      <c r="K240" s="17">
        <f t="shared" si="0"/>
        <v>1.6737795165582536</v>
      </c>
      <c r="L240" s="17">
        <f t="shared" si="1"/>
        <v>1.4852912055882925</v>
      </c>
      <c r="M240" s="17">
        <f t="shared" si="2"/>
        <v>1.0359549287392213</v>
      </c>
      <c r="N240" s="17">
        <f t="shared" si="3"/>
        <v>1.76800236769201</v>
      </c>
      <c r="O240" s="17">
        <f t="shared" si="4"/>
        <v>1.539621527612913</v>
      </c>
      <c r="P240" s="17">
        <f>$F240/HSP!$E$2</f>
        <v>0.5236978855489014</v>
      </c>
      <c r="Q240" s="17">
        <f>$G240/HSP!$E$3</f>
        <v>0.56111001100002167</v>
      </c>
      <c r="R240" s="17">
        <f>$H240/HSP!$E$4</f>
        <v>0.33228742997295779</v>
      </c>
      <c r="S240" s="17">
        <f>$I240/HSP!$E$5</f>
        <v>0.65816146534520081</v>
      </c>
      <c r="T240" s="17">
        <f>$J240/HSP!$E$6</f>
        <v>0.53054525613688208</v>
      </c>
      <c r="U240" s="18" t="s">
        <v>466</v>
      </c>
      <c r="V240" s="12"/>
      <c r="W240" s="12"/>
      <c r="X240" s="12"/>
      <c r="Y240" s="12"/>
      <c r="Z240" s="12"/>
    </row>
    <row r="241" spans="1:26" ht="15" customHeight="1" x14ac:dyDescent="0.3">
      <c r="A241" s="26" t="s">
        <v>718</v>
      </c>
      <c r="B241" s="17">
        <v>17</v>
      </c>
      <c r="C241" s="17">
        <v>3.4</v>
      </c>
      <c r="D241" s="17">
        <v>10.6</v>
      </c>
      <c r="E241" s="17">
        <v>5.0999999999999996</v>
      </c>
      <c r="F241" s="17">
        <f>SQRT((4*(HSP!$B$2-$B241)^2+(HSP!$C$2-$C241)^2+(HSP!$D$2-$D241)^2))</f>
        <v>9.2729714762852584</v>
      </c>
      <c r="G241" s="17">
        <f>SQRT((4*(HSP!$B$3-$B241)^2+(HSP!$C$3-$C241)^2+(HSP!$D$3-$D241)^2))</f>
        <v>8.3006264823807125</v>
      </c>
      <c r="H241" s="17">
        <f>SQRT((4*(HSP!$B$4-$B241)^2+(HSP!$C$4-$C241)^2+(HSP!$D$4-$D241)^2))</f>
        <v>5.4289962239810041</v>
      </c>
      <c r="I241" s="17">
        <f>SQRT((4*(HSP!$B$5-$B241)^2+(HSP!$C$5-$C241)^2+(HSP!$D$5-$D241)^2))</f>
        <v>9.94700457424244</v>
      </c>
      <c r="J241" s="17">
        <f>SQRT((4*(HSP!$B$6-$B241)^2+(HSP!$C$6-$C241)^2+(HSP!$D$6-$D241)^2))</f>
        <v>8.1679250731137341</v>
      </c>
      <c r="K241" s="17">
        <f t="shared" si="0"/>
        <v>1.8182297012324038</v>
      </c>
      <c r="L241" s="17">
        <f t="shared" si="1"/>
        <v>1.6275738200746497</v>
      </c>
      <c r="M241" s="17">
        <f t="shared" si="2"/>
        <v>1.0645090635256871</v>
      </c>
      <c r="N241" s="17">
        <f t="shared" si="3"/>
        <v>1.9503930537730276</v>
      </c>
      <c r="O241" s="17">
        <f t="shared" si="4"/>
        <v>1.6015539359046538</v>
      </c>
      <c r="P241" s="17">
        <f>$F241/HSP!$E$2</f>
        <v>0.56889395560032263</v>
      </c>
      <c r="Q241" s="17">
        <f>$G241/HSP!$E$3</f>
        <v>0.61486122091708983</v>
      </c>
      <c r="R241" s="17">
        <f>$H241/HSP!$E$4</f>
        <v>0.34144630339503168</v>
      </c>
      <c r="S241" s="17">
        <f>$I241/HSP!$E$5</f>
        <v>0.72605872804689342</v>
      </c>
      <c r="T241" s="17">
        <f>$J241/HSP!$E$6</f>
        <v>0.55188682926444144</v>
      </c>
      <c r="U241" s="18" t="s">
        <v>466</v>
      </c>
      <c r="V241" s="12"/>
      <c r="W241" s="12"/>
      <c r="X241" s="12"/>
      <c r="Y241" s="12"/>
      <c r="Z241" s="12"/>
    </row>
    <row r="242" spans="1:26" ht="15" customHeight="1" x14ac:dyDescent="0.3">
      <c r="A242" s="26" t="s">
        <v>719</v>
      </c>
      <c r="B242" s="17">
        <v>17.399999999999999</v>
      </c>
      <c r="C242" s="17">
        <v>9.8000000000000007</v>
      </c>
      <c r="D242" s="17">
        <v>14.6</v>
      </c>
      <c r="E242" s="17">
        <v>5.0999999999999996</v>
      </c>
      <c r="F242" s="17">
        <f>SQRT((4*(HSP!$B$2-$B242)^2+(HSP!$C$2-$C242)^2+(HSP!$D$2-$D242)^2))</f>
        <v>9.4794514609232507</v>
      </c>
      <c r="G242" s="17">
        <f>SQRT((4*(HSP!$B$3-$B242)^2+(HSP!$C$3-$C242)^2+(HSP!$D$3-$D242)^2))</f>
        <v>9.4236086506178722</v>
      </c>
      <c r="H242" s="17">
        <f>SQRT((4*(HSP!$B$4-$B242)^2+(HSP!$C$4-$C242)^2+(HSP!$D$4-$D242)^2))</f>
        <v>10.341469914862198</v>
      </c>
      <c r="I242" s="17">
        <f>SQRT((4*(HSP!$B$5-$B242)^2+(HSP!$C$5-$C242)^2+(HSP!$D$5-$D242)^2))</f>
        <v>6.3358424854158093</v>
      </c>
      <c r="J242" s="17">
        <f>SQRT((4*(HSP!$B$6-$B242)^2+(HSP!$C$6-$C242)^2+(HSP!$D$6-$D242)^2))</f>
        <v>12.044376281069933</v>
      </c>
      <c r="K242" s="17">
        <f t="shared" si="0"/>
        <v>1.8587159727300493</v>
      </c>
      <c r="L242" s="17">
        <f t="shared" si="1"/>
        <v>1.8477664020819358</v>
      </c>
      <c r="M242" s="17">
        <f t="shared" si="2"/>
        <v>2.0277391989925881</v>
      </c>
      <c r="N242" s="17">
        <f t="shared" si="3"/>
        <v>1.2423220559638843</v>
      </c>
      <c r="O242" s="17">
        <f t="shared" si="4"/>
        <v>2.3616424080529281</v>
      </c>
      <c r="P242" s="17">
        <f>$F242/HSP!$E$2</f>
        <v>0.5815614393204448</v>
      </c>
      <c r="Q242" s="17">
        <f>$G242/HSP!$E$3</f>
        <v>0.69804508523095354</v>
      </c>
      <c r="R242" s="17">
        <f>$H242/HSP!$E$4</f>
        <v>0.65040691288441499</v>
      </c>
      <c r="S242" s="17">
        <f>$I242/HSP!$E$5</f>
        <v>0.46247025440991313</v>
      </c>
      <c r="T242" s="17">
        <f>$J242/HSP!$E$6</f>
        <v>0.81380920818040081</v>
      </c>
      <c r="U242" s="18" t="s">
        <v>466</v>
      </c>
      <c r="V242" s="12"/>
      <c r="W242" s="12"/>
      <c r="X242" s="12"/>
      <c r="Y242" s="12"/>
      <c r="Z242" s="12"/>
    </row>
    <row r="243" spans="1:26" ht="15" customHeight="1" x14ac:dyDescent="0.3">
      <c r="A243" s="26" t="s">
        <v>720</v>
      </c>
      <c r="B243" s="17">
        <v>17.7</v>
      </c>
      <c r="C243" s="17">
        <v>3.5</v>
      </c>
      <c r="D243" s="17">
        <v>3.7</v>
      </c>
      <c r="E243" s="17">
        <v>4.7</v>
      </c>
      <c r="F243" s="17">
        <f>SQRT((4*(HSP!$B$2-$B243)^2+(HSP!$C$2-$C243)^2+(HSP!$D$2-$D243)^2))</f>
        <v>9.8812954616285005</v>
      </c>
      <c r="G243" s="17">
        <f>SQRT((4*(HSP!$B$3-$B243)^2+(HSP!$C$3-$C243)^2+(HSP!$D$3-$D243)^2))</f>
        <v>7.6550898100544842</v>
      </c>
      <c r="H243" s="17">
        <f>SQRT((4*(HSP!$B$4-$B243)^2+(HSP!$C$4-$C243)^2+(HSP!$D$4-$D243)^2))</f>
        <v>6.0502892492838702</v>
      </c>
      <c r="I243" s="17">
        <f>SQRT((4*(HSP!$B$5-$B243)^2+(HSP!$C$5-$C243)^2+(HSP!$D$5-$D243)^2))</f>
        <v>12.684671852279033</v>
      </c>
      <c r="J243" s="17">
        <f>SQRT((4*(HSP!$B$6-$B243)^2+(HSP!$C$6-$C243)^2+(HSP!$D$6-$D243)^2))</f>
        <v>5.6768829475337954</v>
      </c>
      <c r="K243" s="17">
        <f t="shared" si="0"/>
        <v>2.1024032897081915</v>
      </c>
      <c r="L243" s="17">
        <f t="shared" si="1"/>
        <v>1.6287425127775497</v>
      </c>
      <c r="M243" s="17">
        <f t="shared" si="2"/>
        <v>1.2872955849540149</v>
      </c>
      <c r="N243" s="17">
        <f t="shared" si="3"/>
        <v>2.6988663515487303</v>
      </c>
      <c r="O243" s="17">
        <f t="shared" si="4"/>
        <v>1.2078474356454882</v>
      </c>
      <c r="P243" s="17">
        <f>$F243/HSP!$E$2</f>
        <v>0.60621444549868098</v>
      </c>
      <c r="Q243" s="17">
        <f>$G243/HSP!$E$3</f>
        <v>0.56704368963366547</v>
      </c>
      <c r="R243" s="17">
        <f>$H243/HSP!$E$4</f>
        <v>0.38052133643294783</v>
      </c>
      <c r="S243" s="17">
        <f>$I243/HSP!$E$5</f>
        <v>0.92588845637073236</v>
      </c>
      <c r="T243" s="17">
        <f>$J243/HSP!$E$6</f>
        <v>0.38357317213066183</v>
      </c>
      <c r="U243" s="18" t="s">
        <v>466</v>
      </c>
      <c r="V243" s="12"/>
      <c r="W243" s="12"/>
      <c r="X243" s="12"/>
      <c r="Y243" s="12"/>
      <c r="Z243" s="12"/>
    </row>
    <row r="244" spans="1:26" ht="15" customHeight="1" x14ac:dyDescent="0.3">
      <c r="A244" s="26" t="s">
        <v>721</v>
      </c>
      <c r="B244" s="17">
        <v>21.7</v>
      </c>
      <c r="C244" s="17">
        <v>14.1</v>
      </c>
      <c r="D244" s="17">
        <v>9.1</v>
      </c>
      <c r="E244" s="17">
        <v>10.9</v>
      </c>
      <c r="F244" s="17">
        <f>SQRT((4*(HSP!$B$2-$B244)^2+(HSP!$C$2-$C244)^2+(HSP!$D$2-$D244)^2))</f>
        <v>14.81161706229269</v>
      </c>
      <c r="G244" s="17">
        <f>SQRT((4*(HSP!$B$3-$B244)^2+(HSP!$C$3-$C244)^2+(HSP!$D$3-$D244)^2))</f>
        <v>13.226957322075247</v>
      </c>
      <c r="H244" s="17">
        <f>SQRT((4*(HSP!$B$4-$B244)^2+(HSP!$C$4-$C244)^2+(HSP!$D$4-$D244)^2))</f>
        <v>16.266222671536251</v>
      </c>
      <c r="I244" s="17">
        <f>SQRT((4*(HSP!$B$5-$B244)^2+(HSP!$C$5-$C244)^2+(HSP!$D$5-$D244)^2))</f>
        <v>13.062652869918882</v>
      </c>
      <c r="J244" s="17">
        <f>SQRT((4*(HSP!$B$6-$B244)^2+(HSP!$C$6-$C244)^2+(HSP!$D$6-$D244)^2))</f>
        <v>15.867293404988766</v>
      </c>
      <c r="K244" s="17">
        <f t="shared" si="0"/>
        <v>1.3588639506690541</v>
      </c>
      <c r="L244" s="17">
        <f t="shared" si="1"/>
        <v>1.2134823231261693</v>
      </c>
      <c r="M244" s="17">
        <f t="shared" si="2"/>
        <v>1.4923140065629588</v>
      </c>
      <c r="N244" s="17">
        <f t="shared" si="3"/>
        <v>1.1984085201760442</v>
      </c>
      <c r="O244" s="17">
        <f t="shared" si="4"/>
        <v>1.4557149912833729</v>
      </c>
      <c r="P244" s="17">
        <f>$F244/HSP!$E$2</f>
        <v>0.90868816333083979</v>
      </c>
      <c r="Q244" s="17">
        <f>$G244/HSP!$E$3</f>
        <v>0.97977461645001829</v>
      </c>
      <c r="R244" s="17">
        <f>$H244/HSP!$E$4</f>
        <v>1.0230328724236637</v>
      </c>
      <c r="S244" s="17">
        <f>$I244/HSP!$E$5</f>
        <v>0.95347831167291108</v>
      </c>
      <c r="T244" s="17">
        <f>$J244/HSP!$E$6</f>
        <v>1.0721144192559977</v>
      </c>
      <c r="U244" s="18" t="s">
        <v>466</v>
      </c>
      <c r="V244" s="12"/>
      <c r="W244" s="12"/>
      <c r="X244" s="12"/>
      <c r="Y244" s="12"/>
      <c r="Z244" s="12"/>
    </row>
    <row r="245" spans="1:26" ht="15" customHeight="1" x14ac:dyDescent="0.3">
      <c r="A245" s="26" t="s">
        <v>722</v>
      </c>
      <c r="B245" s="17">
        <v>17.423999999999999</v>
      </c>
      <c r="C245" s="17">
        <v>9.2959999999999994</v>
      </c>
      <c r="D245" s="17">
        <v>13.728</v>
      </c>
      <c r="E245" s="17">
        <v>5.0679999999999996</v>
      </c>
      <c r="F245" s="17">
        <f>SQRT((4*(HSP!$B$2-$B245)^2+(HSP!$C$2-$C245)^2+(HSP!$D$2-$D245)^2))</f>
        <v>8.8763902573061753</v>
      </c>
      <c r="G245" s="17">
        <f>SQRT((4*(HSP!$B$3-$B245)^2+(HSP!$C$3-$C245)^2+(HSP!$D$3-$D245)^2))</f>
        <v>8.6426838424183945</v>
      </c>
      <c r="H245" s="17">
        <f>SQRT((4*(HSP!$B$4-$B245)^2+(HSP!$C$4-$C245)^2+(HSP!$D$4-$D245)^2))</f>
        <v>9.4671381103266885</v>
      </c>
      <c r="I245" s="17">
        <f>SQRT((4*(HSP!$B$5-$B245)^2+(HSP!$C$5-$C245)^2+(HSP!$D$5-$D245)^2))</f>
        <v>6.1734466872242448</v>
      </c>
      <c r="J245" s="17">
        <f>SQRT((4*(HSP!$B$6-$B245)^2+(HSP!$C$6-$C245)^2+(HSP!$D$6-$D245)^2))</f>
        <v>11.151130166938238</v>
      </c>
      <c r="K245" s="17">
        <f t="shared" si="0"/>
        <v>1.7514582196736732</v>
      </c>
      <c r="L245" s="17">
        <f t="shared" si="1"/>
        <v>1.7053440888749793</v>
      </c>
      <c r="M245" s="17">
        <f t="shared" si="2"/>
        <v>1.8680225158497807</v>
      </c>
      <c r="N245" s="17">
        <f t="shared" si="3"/>
        <v>1.2181228664609798</v>
      </c>
      <c r="O245" s="17">
        <f t="shared" si="4"/>
        <v>2.2003019271780264</v>
      </c>
      <c r="P245" s="17">
        <f>$F245/HSP!$E$2</f>
        <v>0.54456381946663646</v>
      </c>
      <c r="Q245" s="17">
        <f>$G245/HSP!$E$3</f>
        <v>0.64019880314210331</v>
      </c>
      <c r="R245" s="17">
        <f>$H245/HSP!$E$4</f>
        <v>0.59541749121551502</v>
      </c>
      <c r="S245" s="17">
        <f>$I245/HSP!$E$5</f>
        <v>0.45061654651271865</v>
      </c>
      <c r="T245" s="17">
        <f>$J245/HSP!$E$6</f>
        <v>0.7534547410093404</v>
      </c>
      <c r="U245" s="18" t="s">
        <v>466</v>
      </c>
      <c r="V245" s="12"/>
      <c r="W245" s="12"/>
      <c r="X245" s="12"/>
      <c r="Y245" s="12"/>
      <c r="Z245" s="12"/>
    </row>
    <row r="246" spans="1:26" ht="15" customHeight="1" x14ac:dyDescent="0.3">
      <c r="A246" s="26" t="s">
        <v>723</v>
      </c>
      <c r="B246" s="17">
        <v>17.744</v>
      </c>
      <c r="C246" s="17">
        <v>10.144</v>
      </c>
      <c r="D246" s="17">
        <v>14.16</v>
      </c>
      <c r="E246" s="17">
        <v>5.5640000000000001</v>
      </c>
      <c r="F246" s="17">
        <f>SQRT((4*(HSP!$B$2-$B246)^2+(HSP!$C$2-$C246)^2+(HSP!$D$2-$D246)^2))</f>
        <v>9.5494083586366756</v>
      </c>
      <c r="G246" s="17">
        <f>SQRT((4*(HSP!$B$3-$B246)^2+(HSP!$C$3-$C246)^2+(HSP!$D$3-$D246)^2))</f>
        <v>9.3094317764297507</v>
      </c>
      <c r="H246" s="17">
        <f>SQRT((4*(HSP!$B$4-$B246)^2+(HSP!$C$4-$C246)^2+(HSP!$D$4-$D246)^2))</f>
        <v>10.513172689535734</v>
      </c>
      <c r="I246" s="17">
        <f>SQRT((4*(HSP!$B$5-$B246)^2+(HSP!$C$5-$C246)^2+(HSP!$D$5-$D246)^2))</f>
        <v>6.4460359912119642</v>
      </c>
      <c r="J246" s="17">
        <f>SQRT((4*(HSP!$B$6-$B246)^2+(HSP!$C$6-$C246)^2+(HSP!$D$6-$D246)^2))</f>
        <v>12.023834662868582</v>
      </c>
      <c r="K246" s="17">
        <f t="shared" si="0"/>
        <v>1.716284751731969</v>
      </c>
      <c r="L246" s="17">
        <f t="shared" si="1"/>
        <v>1.6731545248795383</v>
      </c>
      <c r="M246" s="17">
        <f t="shared" si="2"/>
        <v>1.8894990455671701</v>
      </c>
      <c r="N246" s="17">
        <f t="shared" si="3"/>
        <v>1.1585255196283184</v>
      </c>
      <c r="O246" s="17">
        <f t="shared" si="4"/>
        <v>2.1610055109397166</v>
      </c>
      <c r="P246" s="17">
        <f>$F246/HSP!$E$2</f>
        <v>0.58585327353599237</v>
      </c>
      <c r="Q246" s="17">
        <f>$G246/HSP!$E$3</f>
        <v>0.6895875389947963</v>
      </c>
      <c r="R246" s="17">
        <f>$H246/HSP!$E$4</f>
        <v>0.66120582953054929</v>
      </c>
      <c r="S246" s="17">
        <f>$I246/HSP!$E$5</f>
        <v>0.47051357600087335</v>
      </c>
      <c r="T246" s="17">
        <f>$J246/HSP!$E$6</f>
        <v>0.81242126100463385</v>
      </c>
      <c r="U246" s="18" t="s">
        <v>466</v>
      </c>
      <c r="V246" s="12"/>
      <c r="W246" s="12"/>
      <c r="X246" s="12"/>
      <c r="Y246" s="12"/>
      <c r="Z246" s="12"/>
    </row>
    <row r="247" spans="1:26" ht="15" customHeight="1" x14ac:dyDescent="0.3">
      <c r="A247" s="27" t="s">
        <v>724</v>
      </c>
      <c r="B247" s="19">
        <v>17.600000000000001</v>
      </c>
      <c r="C247" s="19">
        <v>7.4</v>
      </c>
      <c r="D247" s="19">
        <v>5.6</v>
      </c>
      <c r="E247" s="19">
        <v>9.4</v>
      </c>
      <c r="F247" s="19">
        <f>SQRT((4*(HSP!$B$2-$B247)^2+(HSP!$C$2-$C247)^2+(HSP!$D$2-$D247)^2))</f>
        <v>6.8751727251029884</v>
      </c>
      <c r="G247" s="19">
        <f>SQRT((4*(HSP!$B$3-$B247)^2+(HSP!$C$3-$C247)^2+(HSP!$D$3-$D247)^2))</f>
        <v>4.4439171909476469</v>
      </c>
      <c r="H247" s="19">
        <f>SQRT((4*(HSP!$B$4-$B247)^2+(HSP!$C$4-$C247)^2+(HSP!$D$4-$D247)^2))</f>
        <v>5.6971922909447272</v>
      </c>
      <c r="I247" s="19">
        <f>SQRT((4*(HSP!$B$5-$B247)^2+(HSP!$C$5-$C247)^2+(HSP!$D$5-$D247)^2))</f>
        <v>8.8558963408567539</v>
      </c>
      <c r="J247" s="17">
        <f>SQRT((4*(HSP!$B$6-$B247)^2+(HSP!$C$6-$C247)^2+(HSP!$D$6-$D247)^2))</f>
        <v>5.0713903419082262</v>
      </c>
      <c r="K247" s="17">
        <f t="shared" si="0"/>
        <v>0.73140135373436044</v>
      </c>
      <c r="L247" s="17">
        <f t="shared" si="1"/>
        <v>0.47275714797315394</v>
      </c>
      <c r="M247" s="17">
        <f t="shared" si="2"/>
        <v>0.60608428627071564</v>
      </c>
      <c r="N247" s="17">
        <f t="shared" si="3"/>
        <v>0.94211663200603757</v>
      </c>
      <c r="O247" s="17">
        <f t="shared" si="4"/>
        <v>0.53950961084130067</v>
      </c>
      <c r="P247" s="17">
        <f>$F247/HSP!$E$2</f>
        <v>0.42178973773637962</v>
      </c>
      <c r="Q247" s="17">
        <f>$G247/HSP!$E$3</f>
        <v>0.32917905118130719</v>
      </c>
      <c r="R247" s="17">
        <f>$H247/HSP!$E$4</f>
        <v>0.35831398056256147</v>
      </c>
      <c r="S247" s="17">
        <f>$I247/HSP!$E$5</f>
        <v>0.64641579130341276</v>
      </c>
      <c r="T247" s="17">
        <f>$J247/HSP!$E$6</f>
        <v>0.34266150958839364</v>
      </c>
      <c r="U247" s="18" t="s">
        <v>466</v>
      </c>
      <c r="V247" s="12"/>
      <c r="W247" s="12"/>
      <c r="X247" s="12"/>
      <c r="Y247" s="12"/>
      <c r="Z247" s="12"/>
    </row>
    <row r="248" spans="1:26" ht="15" customHeight="1" x14ac:dyDescent="0.3">
      <c r="A248" s="27" t="s">
        <v>725</v>
      </c>
      <c r="B248" s="19">
        <v>18.399999999999999</v>
      </c>
      <c r="C248" s="19">
        <v>9.8000000000000007</v>
      </c>
      <c r="D248" s="19">
        <v>10</v>
      </c>
      <c r="E248" s="19">
        <v>12.4</v>
      </c>
      <c r="F248" s="19">
        <f>SQRT((4*(HSP!$B$2-$B248)^2+(HSP!$C$2-$C248)^2+(HSP!$D$2-$D248)^2))</f>
        <v>8.2046328376107098</v>
      </c>
      <c r="G248" s="19">
        <f>SQRT((4*(HSP!$B$3-$B248)^2+(HSP!$C$3-$C248)^2+(HSP!$D$3-$D248)^2))</f>
        <v>6.8460499559965218</v>
      </c>
      <c r="H248" s="19">
        <f>SQRT((4*(HSP!$B$4-$B248)^2+(HSP!$C$4-$C248)^2+(HSP!$D$4-$D248)^2))</f>
        <v>8.8422847726139189</v>
      </c>
      <c r="I248" s="19">
        <f>SQRT((4*(HSP!$B$5-$B248)^2+(HSP!$C$5-$C248)^2+(HSP!$D$5-$D248)^2))</f>
        <v>6.969856526500382</v>
      </c>
      <c r="J248" s="17">
        <f>SQRT((4*(HSP!$B$6-$B248)^2+(HSP!$C$6-$C248)^2+(HSP!$D$6-$D248)^2))</f>
        <v>9.4003723330514948</v>
      </c>
      <c r="K248" s="17">
        <f t="shared" si="0"/>
        <v>0.66166393851699268</v>
      </c>
      <c r="L248" s="17">
        <f t="shared" si="1"/>
        <v>0.55210080290294528</v>
      </c>
      <c r="M248" s="17">
        <f t="shared" si="2"/>
        <v>0.71308748166241276</v>
      </c>
      <c r="N248" s="17">
        <f t="shared" si="3"/>
        <v>0.56208520375003079</v>
      </c>
      <c r="O248" s="17">
        <f t="shared" si="4"/>
        <v>0.7580945429880237</v>
      </c>
      <c r="P248" s="17">
        <f>$F248/HSP!$E$2</f>
        <v>0.50335170782887784</v>
      </c>
      <c r="Q248" s="17">
        <f>$G248/HSP!$E$3</f>
        <v>0.50711481155529792</v>
      </c>
      <c r="R248" s="17">
        <f>$H248/HSP!$E$4</f>
        <v>0.55611853915810805</v>
      </c>
      <c r="S248" s="17">
        <f>$I248/HSP!$E$5</f>
        <v>0.50874865156937099</v>
      </c>
      <c r="T248" s="17">
        <f>$J248/HSP!$E$6</f>
        <v>0.63516029277374964</v>
      </c>
      <c r="U248" s="18" t="s">
        <v>466</v>
      </c>
      <c r="V248" s="12"/>
      <c r="W248" s="12"/>
      <c r="X248" s="12"/>
      <c r="Y248" s="12"/>
      <c r="Z248" s="12"/>
    </row>
    <row r="249" spans="1:26" ht="15" customHeight="1" x14ac:dyDescent="0.3">
      <c r="A249" s="26" t="s">
        <v>726</v>
      </c>
      <c r="B249" s="17">
        <v>19.2</v>
      </c>
      <c r="C249" s="17">
        <v>9.6</v>
      </c>
      <c r="D249" s="17">
        <v>9.3000000000000007</v>
      </c>
      <c r="E249" s="17">
        <v>12.2</v>
      </c>
      <c r="F249" s="17">
        <f>SQRT((4*(HSP!$B$2-$B249)^2+(HSP!$C$2-$C249)^2+(HSP!$D$2-$D249)^2))</f>
        <v>9.5269092574664516</v>
      </c>
      <c r="G249" s="17">
        <f>SQRT((4*(HSP!$B$3-$B249)^2+(HSP!$C$3-$C249)^2+(HSP!$D$3-$D249)^2))</f>
        <v>7.8354578679232265</v>
      </c>
      <c r="H249" s="17">
        <f>SQRT((4*(HSP!$B$4-$B249)^2+(HSP!$C$4-$C249)^2+(HSP!$D$4-$D249)^2))</f>
        <v>9.7683161292005689</v>
      </c>
      <c r="I249" s="17">
        <f>SQRT((4*(HSP!$B$5-$B249)^2+(HSP!$C$5-$C249)^2+(HSP!$D$5-$D249)^2))</f>
        <v>8.6122528992128409</v>
      </c>
      <c r="J249" s="17">
        <f>SQRT((4*(HSP!$B$6-$B249)^2+(HSP!$C$6-$C249)^2+(HSP!$D$6-$D249)^2))</f>
        <v>10.076259226518539</v>
      </c>
      <c r="K249" s="17">
        <f t="shared" si="0"/>
        <v>0.78089420143167643</v>
      </c>
      <c r="L249" s="17">
        <f t="shared" si="1"/>
        <v>0.64225064491173989</v>
      </c>
      <c r="M249" s="17">
        <f t="shared" si="2"/>
        <v>0.80068164993447288</v>
      </c>
      <c r="N249" s="17">
        <f t="shared" si="3"/>
        <v>0.70592236878793779</v>
      </c>
      <c r="O249" s="17">
        <f t="shared" si="4"/>
        <v>0.82592288741955244</v>
      </c>
      <c r="P249" s="17">
        <f>$F249/HSP!$E$2</f>
        <v>0.58447296058076392</v>
      </c>
      <c r="Q249" s="17">
        <f>$G249/HSP!$E$3</f>
        <v>0.5804042865128316</v>
      </c>
      <c r="R249" s="17">
        <f>$H249/HSP!$E$4</f>
        <v>0.61435950498116787</v>
      </c>
      <c r="S249" s="17">
        <f>$I249/HSP!$E$5</f>
        <v>0.62863159848268912</v>
      </c>
      <c r="T249" s="17">
        <f>$J249/HSP!$E$6</f>
        <v>0.68082832611611754</v>
      </c>
      <c r="U249" s="18" t="s">
        <v>466</v>
      </c>
      <c r="V249" s="12"/>
      <c r="W249" s="12"/>
      <c r="X249" s="12"/>
      <c r="Y249" s="12"/>
      <c r="Z249" s="12"/>
    </row>
    <row r="250" spans="1:26" ht="15" customHeight="1" x14ac:dyDescent="0.3">
      <c r="A250" s="26" t="s">
        <v>727</v>
      </c>
      <c r="B250" s="17">
        <v>19.600000000000001</v>
      </c>
      <c r="C250" s="17">
        <v>9.1</v>
      </c>
      <c r="D250" s="17">
        <v>6.8</v>
      </c>
      <c r="E250" s="17">
        <v>12.2</v>
      </c>
      <c r="F250" s="17">
        <f>SQRT((4*(HSP!$B$2-$B250)^2+(HSP!$C$2-$C250)^2+(HSP!$D$2-$D250)^2))</f>
        <v>10.093661377319931</v>
      </c>
      <c r="G250" s="17">
        <f>SQRT((4*(HSP!$B$3-$B250)^2+(HSP!$C$3-$C250)^2+(HSP!$D$3-$D250)^2))</f>
        <v>7.9010379065031744</v>
      </c>
      <c r="H250" s="17">
        <f>SQRT((4*(HSP!$B$4-$B250)^2+(HSP!$C$4-$C250)^2+(HSP!$D$4-$D250)^2))</f>
        <v>9.9013130442381261</v>
      </c>
      <c r="I250" s="17">
        <f>SQRT((4*(HSP!$B$5-$B250)^2+(HSP!$C$5-$C250)^2+(HSP!$D$5-$D250)^2))</f>
        <v>10.254603844127772</v>
      </c>
      <c r="J250" s="17">
        <f>SQRT((4*(HSP!$B$6-$B250)^2+(HSP!$C$6-$C250)^2+(HSP!$D$6-$D250)^2))</f>
        <v>9.5303200365989849</v>
      </c>
      <c r="K250" s="17">
        <f t="shared" si="0"/>
        <v>0.82734929322294515</v>
      </c>
      <c r="L250" s="17">
        <f t="shared" si="1"/>
        <v>0.64762605791009631</v>
      </c>
      <c r="M250" s="17">
        <f t="shared" si="2"/>
        <v>0.81158303641296126</v>
      </c>
      <c r="N250" s="17">
        <f t="shared" si="3"/>
        <v>0.84054129869899774</v>
      </c>
      <c r="O250" s="17">
        <f t="shared" si="4"/>
        <v>0.78117377349172012</v>
      </c>
      <c r="P250" s="17">
        <f>$F250/HSP!$E$2</f>
        <v>0.61924302928343133</v>
      </c>
      <c r="Q250" s="17">
        <f>$G250/HSP!$E$3</f>
        <v>0.58526206714838325</v>
      </c>
      <c r="R250" s="17">
        <f>$H250/HSP!$E$4</f>
        <v>0.62272409083258651</v>
      </c>
      <c r="S250" s="17">
        <f>$I250/HSP!$E$5</f>
        <v>0.74851122949837756</v>
      </c>
      <c r="T250" s="17">
        <f>$J250/HSP!$E$6</f>
        <v>0.64394054301344494</v>
      </c>
      <c r="U250" s="18" t="s">
        <v>35</v>
      </c>
      <c r="V250" s="12"/>
      <c r="W250" s="12"/>
      <c r="X250" s="12"/>
      <c r="Y250" s="12"/>
      <c r="Z250" s="12"/>
    </row>
    <row r="251" spans="1:26" ht="15" customHeight="1" x14ac:dyDescent="0.3">
      <c r="A251" s="26" t="s">
        <v>728</v>
      </c>
      <c r="B251" s="17">
        <v>17.899999999999999</v>
      </c>
      <c r="C251" s="17">
        <v>3.9</v>
      </c>
      <c r="D251" s="17">
        <v>4.9000000000000004</v>
      </c>
      <c r="E251" s="17">
        <v>3.9</v>
      </c>
      <c r="F251" s="17">
        <f>SQRT((4*(HSP!$B$2-$B251)^2+(HSP!$C$2-$C251)^2+(HSP!$D$2-$D251)^2))</f>
        <v>9.5351979528481721</v>
      </c>
      <c r="G251" s="17">
        <f>SQRT((4*(HSP!$B$3-$B251)^2+(HSP!$C$3-$C251)^2+(HSP!$D$3-$D251)^2))</f>
        <v>7.3184971134789683</v>
      </c>
      <c r="H251" s="17">
        <f>SQRT((4*(HSP!$B$4-$B251)^2+(HSP!$C$4-$C251)^2+(HSP!$D$4-$D251)^2))</f>
        <v>5.8335238064140924</v>
      </c>
      <c r="I251" s="17">
        <f>SQRT((4*(HSP!$B$5-$B251)^2+(HSP!$C$5-$C251)^2+(HSP!$D$5-$D251)^2))</f>
        <v>11.908858047688701</v>
      </c>
      <c r="J251" s="17">
        <f>SQRT((4*(HSP!$B$6-$B251)^2+(HSP!$C$6-$C251)^2+(HSP!$D$6-$D251)^2))</f>
        <v>5.9305143115922059</v>
      </c>
      <c r="K251" s="17">
        <f t="shared" si="0"/>
        <v>2.4449225520123519</v>
      </c>
      <c r="L251" s="17">
        <f t="shared" si="1"/>
        <v>1.8765377214048637</v>
      </c>
      <c r="M251" s="17">
        <f t="shared" si="2"/>
        <v>1.4957753349779725</v>
      </c>
      <c r="N251" s="17">
        <f t="shared" si="3"/>
        <v>3.0535533455612054</v>
      </c>
      <c r="O251" s="17">
        <f t="shared" si="4"/>
        <v>1.5206446952800527</v>
      </c>
      <c r="P251" s="17">
        <f>$F251/HSP!$E$2</f>
        <v>0.58498146949988783</v>
      </c>
      <c r="Q251" s="17">
        <f>$G251/HSP!$E$3</f>
        <v>0.54211089729473838</v>
      </c>
      <c r="R251" s="17">
        <f>$H251/HSP!$E$4</f>
        <v>0.36688828971157811</v>
      </c>
      <c r="S251" s="17">
        <f>$I251/HSP!$E$5</f>
        <v>0.86925971151012427</v>
      </c>
      <c r="T251" s="17">
        <f>$J251/HSP!$E$6</f>
        <v>0.40071042645893279</v>
      </c>
      <c r="U251" s="18" t="s">
        <v>729</v>
      </c>
      <c r="V251" s="12"/>
      <c r="W251" s="12"/>
      <c r="X251" s="12"/>
      <c r="Y251" s="12"/>
      <c r="Z251" s="12"/>
    </row>
    <row r="252" spans="1:26" ht="15" customHeight="1" x14ac:dyDescent="0.3">
      <c r="A252" s="26" t="s">
        <v>730</v>
      </c>
      <c r="B252" s="17">
        <v>17.899999999999999</v>
      </c>
      <c r="C252" s="17">
        <v>3.9</v>
      </c>
      <c r="D252" s="17">
        <v>4.9000000000000004</v>
      </c>
      <c r="E252" s="17">
        <v>3.9</v>
      </c>
      <c r="F252" s="17">
        <f>SQRT((4*(HSP!$B$2-$B252)^2+(HSP!$C$2-$C252)^2+(HSP!$D$2-$D252)^2))</f>
        <v>9.5351979528481721</v>
      </c>
      <c r="G252" s="17">
        <f>SQRT((4*(HSP!$B$3-$B252)^2+(HSP!$C$3-$C252)^2+(HSP!$D$3-$D252)^2))</f>
        <v>7.3184971134789683</v>
      </c>
      <c r="H252" s="17">
        <f>SQRT((4*(HSP!$B$4-$B252)^2+(HSP!$C$4-$C252)^2+(HSP!$D$4-$D252)^2))</f>
        <v>5.8335238064140924</v>
      </c>
      <c r="I252" s="17">
        <f>SQRT((4*(HSP!$B$5-$B252)^2+(HSP!$C$5-$C252)^2+(HSP!$D$5-$D252)^2))</f>
        <v>11.908858047688701</v>
      </c>
      <c r="J252" s="17">
        <f>SQRT((4*(HSP!$B$6-$B252)^2+(HSP!$C$6-$C252)^2+(HSP!$D$6-$D252)^2))</f>
        <v>5.9305143115922059</v>
      </c>
      <c r="K252" s="17">
        <f t="shared" si="0"/>
        <v>2.4449225520123519</v>
      </c>
      <c r="L252" s="17">
        <f t="shared" si="1"/>
        <v>1.8765377214048637</v>
      </c>
      <c r="M252" s="17">
        <f t="shared" si="2"/>
        <v>1.4957753349779725</v>
      </c>
      <c r="N252" s="17">
        <f t="shared" si="3"/>
        <v>3.0535533455612054</v>
      </c>
      <c r="O252" s="17">
        <f t="shared" si="4"/>
        <v>1.5206446952800527</v>
      </c>
      <c r="P252" s="17">
        <f>$F252/HSP!$E$2</f>
        <v>0.58498146949988783</v>
      </c>
      <c r="Q252" s="17">
        <f>$G252/HSP!$E$3</f>
        <v>0.54211089729473838</v>
      </c>
      <c r="R252" s="17">
        <f>$H252/HSP!$E$4</f>
        <v>0.36688828971157811</v>
      </c>
      <c r="S252" s="17">
        <f>$I252/HSP!$E$5</f>
        <v>0.86925971151012427</v>
      </c>
      <c r="T252" s="17">
        <f>$J252/HSP!$E$6</f>
        <v>0.40071042645893279</v>
      </c>
      <c r="U252" s="18" t="s">
        <v>516</v>
      </c>
      <c r="V252" s="12"/>
      <c r="W252" s="12"/>
      <c r="X252" s="12"/>
      <c r="Y252" s="12"/>
      <c r="Z252" s="12"/>
    </row>
    <row r="253" spans="1:26" ht="15" customHeight="1" x14ac:dyDescent="0.3">
      <c r="A253" s="26" t="s">
        <v>731</v>
      </c>
      <c r="B253" s="17">
        <v>20.260000000000002</v>
      </c>
      <c r="C253" s="17">
        <v>6.32</v>
      </c>
      <c r="D253" s="17">
        <v>5.4</v>
      </c>
      <c r="E253" s="17">
        <v>10.64</v>
      </c>
      <c r="F253" s="17">
        <f>SQRT((4*(HSP!$B$2-$B253)^2+(HSP!$C$2-$C253)^2+(HSP!$D$2-$D253)^2))</f>
        <v>12.156413944909909</v>
      </c>
      <c r="G253" s="17">
        <f>SQRT((4*(HSP!$B$3-$B253)^2+(HSP!$C$3-$C253)^2+(HSP!$D$3-$D253)^2))</f>
        <v>9.7402053366446069</v>
      </c>
      <c r="H253" s="17">
        <f>SQRT((4*(HSP!$B$4-$B253)^2+(HSP!$C$4-$C253)^2+(HSP!$D$4-$D253)^2))</f>
        <v>10.405863731569815</v>
      </c>
      <c r="I253" s="17">
        <f>SQRT((4*(HSP!$B$5-$B253)^2+(HSP!$C$5-$C253)^2+(HSP!$D$5-$D253)^2))</f>
        <v>13.082098455523107</v>
      </c>
      <c r="J253" s="17">
        <f>SQRT((4*(HSP!$B$6-$B253)^2+(HSP!$C$6-$C253)^2+(HSP!$D$6-$D253)^2))</f>
        <v>10.10024752171946</v>
      </c>
      <c r="K253" s="17">
        <f t="shared" si="0"/>
        <v>1.1425201076043148</v>
      </c>
      <c r="L253" s="17">
        <f t="shared" si="1"/>
        <v>0.91543283239141038</v>
      </c>
      <c r="M253" s="17">
        <f t="shared" si="2"/>
        <v>0.97799471161370433</v>
      </c>
      <c r="N253" s="17">
        <f t="shared" si="3"/>
        <v>1.2295205315341267</v>
      </c>
      <c r="O253" s="17">
        <f t="shared" si="4"/>
        <v>0.94927138362024999</v>
      </c>
      <c r="P253" s="17">
        <f>$F253/HSP!$E$2</f>
        <v>0.74579226655889008</v>
      </c>
      <c r="Q253" s="17">
        <f>$G253/HSP!$E$3</f>
        <v>0.72149669160330421</v>
      </c>
      <c r="R253" s="17">
        <f>$H253/HSP!$E$4</f>
        <v>0.65445683846351033</v>
      </c>
      <c r="S253" s="17">
        <f>$I253/HSP!$E$5</f>
        <v>0.95489769748343856</v>
      </c>
      <c r="T253" s="17">
        <f>$J253/HSP!$E$6</f>
        <v>0.6824491568729365</v>
      </c>
      <c r="U253" s="18" t="s">
        <v>516</v>
      </c>
      <c r="V253" s="12"/>
      <c r="W253" s="12"/>
      <c r="X253" s="12"/>
      <c r="Y253" s="12"/>
      <c r="Z253" s="12"/>
    </row>
    <row r="254" spans="1:26" ht="15" customHeight="1" x14ac:dyDescent="0.3">
      <c r="A254" s="26" t="s">
        <v>732</v>
      </c>
      <c r="B254" s="17">
        <v>20.6</v>
      </c>
      <c r="C254" s="17">
        <v>3.5</v>
      </c>
      <c r="D254" s="17">
        <v>7.2</v>
      </c>
      <c r="E254" s="17">
        <v>12.8</v>
      </c>
      <c r="F254" s="17">
        <f>SQRT((4*(HSP!$B$2-$B254)^2+(HSP!$C$2-$C254)^2+(HSP!$D$2-$D254)^2))</f>
        <v>13.874076545846217</v>
      </c>
      <c r="G254" s="17">
        <f>SQRT((4*(HSP!$B$3-$B254)^2+(HSP!$C$3-$C254)^2+(HSP!$D$3-$D254)^2))</f>
        <v>11.6740053109462</v>
      </c>
      <c r="H254" s="17">
        <f>SQRT((4*(HSP!$B$4-$B254)^2+(HSP!$C$4-$C254)^2+(HSP!$D$4-$D254)^2))</f>
        <v>10.931239636930481</v>
      </c>
      <c r="I254" s="17">
        <f>SQRT((4*(HSP!$B$5-$B254)^2+(HSP!$C$5-$C254)^2+(HSP!$D$5-$D254)^2))</f>
        <v>14.579331260383656</v>
      </c>
      <c r="J254" s="17">
        <f>SQRT((4*(HSP!$B$6-$B254)^2+(HSP!$C$6-$C254)^2+(HSP!$D$6-$D254)^2))</f>
        <v>11.551753113705299</v>
      </c>
      <c r="K254" s="17">
        <f t="shared" si="0"/>
        <v>1.0839122301442357</v>
      </c>
      <c r="L254" s="17">
        <f t="shared" si="1"/>
        <v>0.91203166491767185</v>
      </c>
      <c r="M254" s="17">
        <f t="shared" si="2"/>
        <v>0.8540030966351938</v>
      </c>
      <c r="N254" s="17">
        <f t="shared" si="3"/>
        <v>1.139010254717473</v>
      </c>
      <c r="O254" s="17">
        <f t="shared" si="4"/>
        <v>0.90248071200822644</v>
      </c>
      <c r="P254" s="17">
        <f>$F254/HSP!$E$2</f>
        <v>0.85117034023596416</v>
      </c>
      <c r="Q254" s="17">
        <f>$G254/HSP!$E$3</f>
        <v>0.86474113414416298</v>
      </c>
      <c r="R254" s="17">
        <f>$H254/HSP!$E$4</f>
        <v>0.68749934823462144</v>
      </c>
      <c r="S254" s="17">
        <f>$I254/HSP!$E$5</f>
        <v>1.0641847635316537</v>
      </c>
      <c r="T254" s="17">
        <f>$J254/HSP!$E$6</f>
        <v>0.78052385903414179</v>
      </c>
      <c r="U254" s="18" t="s">
        <v>518</v>
      </c>
      <c r="V254" s="12"/>
      <c r="W254" s="12"/>
      <c r="X254" s="12"/>
      <c r="Y254" s="12"/>
      <c r="Z254" s="12"/>
    </row>
    <row r="255" spans="1:26" ht="15" customHeight="1" x14ac:dyDescent="0.3">
      <c r="A255" s="26" t="s">
        <v>733</v>
      </c>
      <c r="B255" s="17">
        <v>18.100000000000001</v>
      </c>
      <c r="C255" s="17">
        <v>5.7</v>
      </c>
      <c r="D255" s="17">
        <v>0</v>
      </c>
      <c r="E255" s="17">
        <v>8.5</v>
      </c>
      <c r="F255" s="17">
        <f>SQRT((4*(HSP!$B$2-$B255)^2+(HSP!$C$2-$C255)^2+(HSP!$D$2-$D255)^2))</f>
        <v>10.971690845079443</v>
      </c>
      <c r="G255" s="17">
        <f>SQRT((4*(HSP!$B$3-$B255)^2+(HSP!$C$3-$C255)^2+(HSP!$D$3-$D255)^2))</f>
        <v>8.5314945935633126</v>
      </c>
      <c r="H255" s="17">
        <f>SQRT((4*(HSP!$B$4-$B255)^2+(HSP!$C$4-$C255)^2+(HSP!$D$4-$D255)^2))</f>
        <v>9.0343787832921887</v>
      </c>
      <c r="I255" s="17">
        <f>SQRT((4*(HSP!$B$5-$B255)^2+(HSP!$C$5-$C255)^2+(HSP!$D$5-$D255)^2))</f>
        <v>14.169717710667353</v>
      </c>
      <c r="J255" s="17">
        <f>SQRT((4*(HSP!$B$6-$B255)^2+(HSP!$C$6-$C255)^2+(HSP!$D$6-$D255)^2))</f>
        <v>6.8841121431888403</v>
      </c>
      <c r="K255" s="17">
        <f t="shared" si="0"/>
        <v>1.2907871582446404</v>
      </c>
      <c r="L255" s="17">
        <f t="shared" si="1"/>
        <v>1.0037052463015661</v>
      </c>
      <c r="M255" s="17">
        <f t="shared" si="2"/>
        <v>1.0628680921520222</v>
      </c>
      <c r="N255" s="17">
        <f t="shared" si="3"/>
        <v>1.6670256130196885</v>
      </c>
      <c r="O255" s="17">
        <f t="shared" si="4"/>
        <v>0.80989554625751059</v>
      </c>
      <c r="P255" s="17">
        <f>$F255/HSP!$E$2</f>
        <v>0.6731098677962849</v>
      </c>
      <c r="Q255" s="17">
        <f>$G255/HSP!$E$3</f>
        <v>0.63196256248617133</v>
      </c>
      <c r="R255" s="17">
        <f>$H255/HSP!$E$4</f>
        <v>0.56819992347749615</v>
      </c>
      <c r="S255" s="17">
        <f>$I255/HSP!$E$5</f>
        <v>1.0342859642822886</v>
      </c>
      <c r="T255" s="17">
        <f>$J255/HSP!$E$6</f>
        <v>0.46514271237762433</v>
      </c>
      <c r="U255" s="18" t="s">
        <v>518</v>
      </c>
      <c r="V255" s="12"/>
      <c r="W255" s="12"/>
      <c r="X255" s="12"/>
      <c r="Y255" s="12"/>
      <c r="Z255" s="12"/>
    </row>
    <row r="256" spans="1:26" ht="15" customHeight="1" x14ac:dyDescent="0.3">
      <c r="A256" s="26" t="s">
        <v>734</v>
      </c>
      <c r="B256" s="17">
        <v>18.100000000000001</v>
      </c>
      <c r="C256" s="17">
        <v>5.9</v>
      </c>
      <c r="D256" s="17">
        <v>6.9</v>
      </c>
      <c r="E256" s="17">
        <v>5.5</v>
      </c>
      <c r="F256" s="17">
        <f>SQRT((4*(HSP!$B$2-$B256)^2+(HSP!$C$2-$C256)^2+(HSP!$D$2-$D256)^2))</f>
        <v>8.3546394296821731</v>
      </c>
      <c r="G256" s="17">
        <f>SQRT((4*(HSP!$B$3-$B256)^2+(HSP!$C$3-$C256)^2+(HSP!$D$3-$D256)^2))</f>
        <v>6.2077693256112569</v>
      </c>
      <c r="H256" s="17">
        <f>SQRT((4*(HSP!$B$4-$B256)^2+(HSP!$C$4-$C256)^2+(HSP!$D$4-$D256)^2))</f>
        <v>5.9864847782317154</v>
      </c>
      <c r="I256" s="17">
        <f>SQRT((4*(HSP!$B$5-$B256)^2+(HSP!$C$5-$C256)^2+(HSP!$D$5-$D256)^2))</f>
        <v>9.7359591207030061</v>
      </c>
      <c r="J256" s="17">
        <f>SQRT((4*(HSP!$B$6-$B256)^2+(HSP!$C$6-$C256)^2+(HSP!$D$6-$D256)^2))</f>
        <v>6.4512789429693749</v>
      </c>
      <c r="K256" s="17">
        <f t="shared" si="0"/>
        <v>1.5190253508513043</v>
      </c>
      <c r="L256" s="17">
        <f t="shared" si="1"/>
        <v>1.1286853319293195</v>
      </c>
      <c r="M256" s="17">
        <f t="shared" si="2"/>
        <v>1.088451777860312</v>
      </c>
      <c r="N256" s="17">
        <f t="shared" si="3"/>
        <v>1.7701743855823648</v>
      </c>
      <c r="O256" s="17">
        <f t="shared" si="4"/>
        <v>1.1729598078126136</v>
      </c>
      <c r="P256" s="17">
        <f>$F256/HSP!$E$2</f>
        <v>0.51255456623817008</v>
      </c>
      <c r="Q256" s="17">
        <f>$G256/HSP!$E$3</f>
        <v>0.45983476486009311</v>
      </c>
      <c r="R256" s="17">
        <f>$H256/HSP!$E$4</f>
        <v>0.37650847661834685</v>
      </c>
      <c r="S256" s="17">
        <f>$I256/HSP!$E$5</f>
        <v>0.71065395041627788</v>
      </c>
      <c r="T256" s="17">
        <f>$J256/HSP!$E$6</f>
        <v>0.43589722587630908</v>
      </c>
      <c r="U256" s="18" t="s">
        <v>518</v>
      </c>
      <c r="V256" s="12"/>
      <c r="W256" s="12"/>
      <c r="X256" s="12"/>
      <c r="Y256" s="12"/>
      <c r="Z256" s="12"/>
    </row>
    <row r="257" spans="1:26" ht="15" customHeight="1" x14ac:dyDescent="0.3">
      <c r="A257" s="26" t="s">
        <v>735</v>
      </c>
      <c r="B257" s="17">
        <v>14.1</v>
      </c>
      <c r="C257" s="17">
        <v>2.7</v>
      </c>
      <c r="D257" s="17">
        <v>5.5</v>
      </c>
      <c r="E257" s="17">
        <v>6.6</v>
      </c>
      <c r="F257" s="17">
        <f>SQRT((4*(HSP!$B$2-$B257)^2+(HSP!$C$2-$C257)^2+(HSP!$D$2-$D257)^2))</f>
        <v>7.9629140394707276</v>
      </c>
      <c r="G257" s="17">
        <f>SQRT((4*(HSP!$B$3-$B257)^2+(HSP!$C$3-$C257)^2+(HSP!$D$3-$D257)^2))</f>
        <v>7.6587466337515044</v>
      </c>
      <c r="H257" s="17">
        <f>SQRT((4*(HSP!$B$4-$B257)^2+(HSP!$C$4-$C257)^2+(HSP!$D$4-$D257)^2))</f>
        <v>3.1921779399024737</v>
      </c>
      <c r="I257" s="17">
        <f>SQRT((4*(HSP!$B$5-$B257)^2+(HSP!$C$5-$C257)^2+(HSP!$D$5-$D257)^2))</f>
        <v>11.634470336031631</v>
      </c>
      <c r="J257" s="17">
        <f>SQRT((4*(HSP!$B$6-$B257)^2+(HSP!$C$6-$C257)^2+(HSP!$D$6-$D257)^2))</f>
        <v>4.7022335118537013</v>
      </c>
      <c r="K257" s="17">
        <f t="shared" si="0"/>
        <v>1.2065021271925345</v>
      </c>
      <c r="L257" s="17">
        <f t="shared" si="1"/>
        <v>1.1604161566290159</v>
      </c>
      <c r="M257" s="17">
        <f t="shared" si="2"/>
        <v>0.48366332422764757</v>
      </c>
      <c r="N257" s="17">
        <f t="shared" si="3"/>
        <v>1.7627985357623686</v>
      </c>
      <c r="O257" s="17">
        <f t="shared" si="4"/>
        <v>0.71245962300813659</v>
      </c>
      <c r="P257" s="17">
        <f>$F257/HSP!$E$2</f>
        <v>0.48852233370986059</v>
      </c>
      <c r="Q257" s="17">
        <f>$G257/HSP!$E$3</f>
        <v>0.56731456546307435</v>
      </c>
      <c r="R257" s="17">
        <f>$H257/HSP!$E$4</f>
        <v>0.20076590816996689</v>
      </c>
      <c r="S257" s="17">
        <f>$I257/HSP!$E$5</f>
        <v>0.84923141138917024</v>
      </c>
      <c r="T257" s="17">
        <f>$J257/HSP!$E$6</f>
        <v>0.31771848053065549</v>
      </c>
      <c r="U257" s="18" t="s">
        <v>518</v>
      </c>
      <c r="V257" s="12"/>
      <c r="W257" s="12"/>
      <c r="X257" s="12"/>
      <c r="Y257" s="12"/>
      <c r="Z257" s="12"/>
    </row>
    <row r="258" spans="1:26" ht="15" customHeight="1" x14ac:dyDescent="0.3">
      <c r="A258" s="26" t="s">
        <v>736</v>
      </c>
      <c r="B258" s="17">
        <v>17</v>
      </c>
      <c r="C258" s="17">
        <v>2.9</v>
      </c>
      <c r="D258" s="17">
        <v>2.6</v>
      </c>
      <c r="E258" s="17">
        <v>5.7</v>
      </c>
      <c r="F258" s="17">
        <f>SQRT((4*(HSP!$B$2-$B258)^2+(HSP!$C$2-$C258)^2+(HSP!$D$2-$D258)^2))</f>
        <v>9.9688514885116035</v>
      </c>
      <c r="G258" s="17">
        <f>SQRT((4*(HSP!$B$3-$B258)^2+(HSP!$C$3-$C258)^2+(HSP!$D$3-$D258)^2))</f>
        <v>7.9328683337113315</v>
      </c>
      <c r="H258" s="17">
        <f>SQRT((4*(HSP!$B$4-$B258)^2+(HSP!$C$4-$C258)^2+(HSP!$D$4-$D258)^2))</f>
        <v>5.8484185896702021</v>
      </c>
      <c r="I258" s="17">
        <f>SQRT((4*(HSP!$B$5-$B258)^2+(HSP!$C$5-$C258)^2+(HSP!$D$5-$D258)^2))</f>
        <v>13.3339004046078</v>
      </c>
      <c r="J258" s="17">
        <f>SQRT((4*(HSP!$B$6-$B258)^2+(HSP!$C$6-$C258)^2+(HSP!$D$6-$D258)^2))</f>
        <v>5.098529199681022</v>
      </c>
      <c r="K258" s="17">
        <f t="shared" si="0"/>
        <v>1.7489213137739654</v>
      </c>
      <c r="L258" s="17">
        <f t="shared" si="1"/>
        <v>1.391731286616023</v>
      </c>
      <c r="M258" s="17">
        <f t="shared" si="2"/>
        <v>1.0260383490649476</v>
      </c>
      <c r="N258" s="17">
        <f t="shared" si="3"/>
        <v>2.3392807727382103</v>
      </c>
      <c r="O258" s="17">
        <f t="shared" si="4"/>
        <v>0.89447880696158277</v>
      </c>
      <c r="P258" s="17">
        <f>$F258/HSP!$E$2</f>
        <v>0.61158598089028238</v>
      </c>
      <c r="Q258" s="17">
        <f>$G258/HSP!$E$3</f>
        <v>0.58761987657120973</v>
      </c>
      <c r="R258" s="17">
        <f>$H258/HSP!$E$4</f>
        <v>0.36782506853271713</v>
      </c>
      <c r="S258" s="17">
        <f>$I258/HSP!$E$5</f>
        <v>0.97327740179618982</v>
      </c>
      <c r="T258" s="17">
        <f>$J258/HSP!$E$6</f>
        <v>0.34449521619466361</v>
      </c>
      <c r="U258" s="18" t="s">
        <v>518</v>
      </c>
      <c r="V258" s="12"/>
      <c r="W258" s="12"/>
      <c r="X258" s="12"/>
      <c r="Y258" s="12"/>
      <c r="Z258" s="12"/>
    </row>
    <row r="259" spans="1:26" ht="15" customHeight="1" x14ac:dyDescent="0.3">
      <c r="A259" s="26" t="s">
        <v>737</v>
      </c>
      <c r="B259" s="17">
        <v>16</v>
      </c>
      <c r="C259" s="17">
        <v>0.8</v>
      </c>
      <c r="D259" s="17">
        <v>2.8</v>
      </c>
      <c r="E259" s="17">
        <v>3.2</v>
      </c>
      <c r="F259" s="17">
        <f>SQRT((4*(HSP!$B$2-$B259)^2+(HSP!$C$2-$C259)^2+(HSP!$D$2-$D259)^2))</f>
        <v>10.891648176469896</v>
      </c>
      <c r="G259" s="17">
        <f>SQRT((4*(HSP!$B$3-$B259)^2+(HSP!$C$3-$C259)^2+(HSP!$D$3-$D259)^2))</f>
        <v>9.3810660375034125</v>
      </c>
      <c r="H259" s="17">
        <f>SQRT((4*(HSP!$B$4-$B259)^2+(HSP!$C$4-$C259)^2+(HSP!$D$4-$D259)^2))</f>
        <v>5.8146367040426528</v>
      </c>
      <c r="I259" s="17">
        <f>SQRT((4*(HSP!$B$5-$B259)^2+(HSP!$C$5-$C259)^2+(HSP!$D$5-$D259)^2))</f>
        <v>14.502237758359913</v>
      </c>
      <c r="J259" s="17">
        <f>SQRT((4*(HSP!$B$6-$B259)^2+(HSP!$C$6-$C259)^2+(HSP!$D$6-$D259)^2))</f>
        <v>5.9102453417772773</v>
      </c>
      <c r="K259" s="17">
        <f t="shared" si="0"/>
        <v>3.4036400551468424</v>
      </c>
      <c r="L259" s="17">
        <f t="shared" si="1"/>
        <v>2.9315831367198162</v>
      </c>
      <c r="M259" s="17">
        <f t="shared" si="2"/>
        <v>1.8170739700133289</v>
      </c>
      <c r="N259" s="17">
        <f t="shared" si="3"/>
        <v>4.5319492994874722</v>
      </c>
      <c r="O259" s="17">
        <f t="shared" si="4"/>
        <v>1.8469516693053991</v>
      </c>
      <c r="P259" s="17">
        <f>$F259/HSP!$E$2</f>
        <v>0.66819927463005502</v>
      </c>
      <c r="Q259" s="17">
        <f>$G259/HSP!$E$3</f>
        <v>0.6948937805558083</v>
      </c>
      <c r="R259" s="17">
        <f>$H259/HSP!$E$4</f>
        <v>0.36570042163790267</v>
      </c>
      <c r="S259" s="17">
        <f>$I259/HSP!$E$5</f>
        <v>1.0585575006102126</v>
      </c>
      <c r="T259" s="17">
        <f>$J259/HSP!$E$6</f>
        <v>0.39934090147143764</v>
      </c>
      <c r="U259" s="18" t="s">
        <v>518</v>
      </c>
      <c r="V259" s="12"/>
      <c r="W259" s="12"/>
      <c r="X259" s="12"/>
      <c r="Y259" s="12"/>
      <c r="Z259" s="12"/>
    </row>
    <row r="260" spans="1:26" ht="15" customHeight="1" x14ac:dyDescent="0.3">
      <c r="A260" s="26" t="s">
        <v>738</v>
      </c>
      <c r="B260" s="17">
        <v>16.8</v>
      </c>
      <c r="C260" s="17">
        <v>5.4</v>
      </c>
      <c r="D260" s="17">
        <v>2.4</v>
      </c>
      <c r="E260" s="17">
        <v>4.7</v>
      </c>
      <c r="F260" s="17">
        <f>SQRT((4*(HSP!$B$2-$B260)^2+(HSP!$C$2-$C260)^2+(HSP!$D$2-$D260)^2))</f>
        <v>8.1203448202647177</v>
      </c>
      <c r="G260" s="17">
        <f>SQRT((4*(HSP!$B$3-$B260)^2+(HSP!$C$3-$C260)^2+(HSP!$D$3-$D260)^2))</f>
        <v>5.8968126983990272</v>
      </c>
      <c r="H260" s="17">
        <f>SQRT((4*(HSP!$B$4-$B260)^2+(HSP!$C$4-$C260)^2+(HSP!$D$4-$D260)^2))</f>
        <v>5.5232236963570482</v>
      </c>
      <c r="I260" s="17">
        <f>SQRT((4*(HSP!$B$5-$B260)^2+(HSP!$C$5-$C260)^2+(HSP!$D$5-$D260)^2))</f>
        <v>11.649330452862946</v>
      </c>
      <c r="J260" s="17">
        <f>SQRT((4*(HSP!$B$6-$B260)^2+(HSP!$C$6-$C260)^2+(HSP!$D$6-$D260)^2))</f>
        <v>3.5393502228516485</v>
      </c>
      <c r="K260" s="17">
        <f t="shared" si="0"/>
        <v>1.7277329404818547</v>
      </c>
      <c r="L260" s="17">
        <f t="shared" si="1"/>
        <v>1.2546409996593675</v>
      </c>
      <c r="M260" s="17">
        <f t="shared" si="2"/>
        <v>1.175153977948308</v>
      </c>
      <c r="N260" s="17">
        <f t="shared" si="3"/>
        <v>2.4785809474176479</v>
      </c>
      <c r="O260" s="17">
        <f t="shared" si="4"/>
        <v>0.75305323890460607</v>
      </c>
      <c r="P260" s="17">
        <f>$F260/HSP!$E$2</f>
        <v>0.49818066381992132</v>
      </c>
      <c r="Q260" s="17">
        <f>$G260/HSP!$E$3</f>
        <v>0.43680094062215019</v>
      </c>
      <c r="R260" s="17">
        <f>$H260/HSP!$E$4</f>
        <v>0.34737255951931117</v>
      </c>
      <c r="S260" s="17">
        <f>$I260/HSP!$E$5</f>
        <v>0.8503160914498501</v>
      </c>
      <c r="T260" s="17">
        <f>$J260/HSP!$E$6</f>
        <v>0.23914528532781407</v>
      </c>
      <c r="U260" s="18" t="s">
        <v>637</v>
      </c>
      <c r="V260" s="12"/>
      <c r="W260" s="12"/>
      <c r="X260" s="12"/>
      <c r="Y260" s="12"/>
      <c r="Z260" s="12"/>
    </row>
    <row r="261" spans="1:26" ht="15" customHeight="1" x14ac:dyDescent="0.3">
      <c r="A261" s="26" t="s">
        <v>739</v>
      </c>
      <c r="B261" s="17">
        <v>19.5</v>
      </c>
      <c r="C261" s="17">
        <v>7.3</v>
      </c>
      <c r="D261" s="17">
        <v>1.7</v>
      </c>
      <c r="E261" s="17">
        <v>5.0999999999999996</v>
      </c>
      <c r="F261" s="17">
        <f>SQRT((4*(HSP!$B$2-$B261)^2+(HSP!$C$2-$C261)^2+(HSP!$D$2-$D261)^2))</f>
        <v>11.571689591412312</v>
      </c>
      <c r="G261" s="17">
        <f>SQRT((4*(HSP!$B$3-$B261)^2+(HSP!$C$3-$C261)^2+(HSP!$D$3-$D261)^2))</f>
        <v>8.9782180860123919</v>
      </c>
      <c r="H261" s="17">
        <f>SQRT((4*(HSP!$B$4-$B261)^2+(HSP!$C$4-$C261)^2+(HSP!$D$4-$D261)^2))</f>
        <v>10.3860483341837</v>
      </c>
      <c r="I261" s="17">
        <f>SQRT((4*(HSP!$B$5-$B261)^2+(HSP!$C$5-$C261)^2+(HSP!$D$5-$D261)^2))</f>
        <v>13.643346363704179</v>
      </c>
      <c r="J261" s="17">
        <f>SQRT((4*(HSP!$B$6-$B261)^2+(HSP!$C$6-$C261)^2+(HSP!$D$6-$D261)^2))</f>
        <v>8.7721719089402264</v>
      </c>
      <c r="K261" s="17">
        <f t="shared" si="0"/>
        <v>2.2689587434141791</v>
      </c>
      <c r="L261" s="17">
        <f t="shared" si="1"/>
        <v>1.7604349188259594</v>
      </c>
      <c r="M261" s="17">
        <f t="shared" si="2"/>
        <v>2.0364800655262156</v>
      </c>
      <c r="N261" s="17">
        <f t="shared" si="3"/>
        <v>2.6751659536674861</v>
      </c>
      <c r="O261" s="17">
        <f t="shared" si="4"/>
        <v>1.7200337076353387</v>
      </c>
      <c r="P261" s="17">
        <f>$F261/HSP!$E$2</f>
        <v>0.70991960683511113</v>
      </c>
      <c r="Q261" s="17">
        <f>$G261/HSP!$E$3</f>
        <v>0.66505319155647347</v>
      </c>
      <c r="R261" s="17">
        <f>$H261/HSP!$E$4</f>
        <v>0.65321058705557855</v>
      </c>
      <c r="S261" s="17">
        <f>$I261/HSP!$E$5</f>
        <v>0.99586469808059708</v>
      </c>
      <c r="T261" s="17">
        <f>$J261/HSP!$E$6</f>
        <v>0.59271431817163689</v>
      </c>
      <c r="U261" s="18" t="s">
        <v>518</v>
      </c>
      <c r="V261" s="12"/>
      <c r="W261" s="12"/>
      <c r="X261" s="12"/>
      <c r="Y261" s="12"/>
      <c r="Z261" s="12"/>
    </row>
    <row r="262" spans="1:26" ht="15" customHeight="1" x14ac:dyDescent="0.3">
      <c r="A262" s="26" t="s">
        <v>740</v>
      </c>
      <c r="B262" s="17">
        <v>17</v>
      </c>
      <c r="C262" s="17">
        <v>16.600000000000001</v>
      </c>
      <c r="D262" s="17">
        <v>17.8</v>
      </c>
      <c r="E262" s="17">
        <v>3</v>
      </c>
      <c r="F262" s="17">
        <f>SQRT((4*(HSP!$B$2-$B262)^2+(HSP!$C$2-$C262)^2+(HSP!$D$2-$D262)^2))</f>
        <v>13.334616604912194</v>
      </c>
      <c r="G262" s="17">
        <f>SQRT((4*(HSP!$B$3-$B262)^2+(HSP!$C$3-$C262)^2+(HSP!$D$3-$D262)^2))</f>
        <v>14.090720350642123</v>
      </c>
      <c r="H262" s="17">
        <f>SQRT((4*(HSP!$B$4-$B262)^2+(HSP!$C$4-$C262)^2+(HSP!$D$4-$D262)^2))</f>
        <v>16.627747893205505</v>
      </c>
      <c r="I262" s="17">
        <f>SQRT((4*(HSP!$B$5-$B262)^2+(HSP!$C$5-$C262)^2+(HSP!$D$5-$D262)^2))</f>
        <v>8.6152713248045778</v>
      </c>
      <c r="J262" s="17">
        <f>SQRT((4*(HSP!$B$6-$B262)^2+(HSP!$C$6-$C262)^2+(HSP!$D$6-$D262)^2))</f>
        <v>17.606902055728032</v>
      </c>
      <c r="K262" s="17">
        <f t="shared" si="0"/>
        <v>4.4448722016373976</v>
      </c>
      <c r="L262" s="17">
        <f t="shared" si="1"/>
        <v>4.6969067835473739</v>
      </c>
      <c r="M262" s="17">
        <f t="shared" si="2"/>
        <v>5.5425826310685018</v>
      </c>
      <c r="N262" s="17">
        <f t="shared" si="3"/>
        <v>2.8717571082681927</v>
      </c>
      <c r="O262" s="17">
        <f t="shared" si="4"/>
        <v>5.8689673519093439</v>
      </c>
      <c r="P262" s="17">
        <f>$F262/HSP!$E$2</f>
        <v>0.8180746383381714</v>
      </c>
      <c r="Q262" s="17">
        <f>$G262/HSP!$E$3</f>
        <v>1.0437570630105275</v>
      </c>
      <c r="R262" s="17">
        <f>$H262/HSP!$E$4</f>
        <v>1.0457703077487739</v>
      </c>
      <c r="S262" s="17">
        <f>$I262/HSP!$E$5</f>
        <v>0.62885192151858238</v>
      </c>
      <c r="T262" s="17">
        <f>$J262/HSP!$E$6</f>
        <v>1.189655544305948</v>
      </c>
      <c r="U262" s="18" t="s">
        <v>518</v>
      </c>
      <c r="V262" s="12"/>
      <c r="W262" s="12"/>
      <c r="X262" s="12"/>
      <c r="Y262" s="12"/>
      <c r="Z262" s="12"/>
    </row>
    <row r="263" spans="1:26" ht="15" customHeight="1" x14ac:dyDescent="0.3">
      <c r="A263" s="26" t="s">
        <v>741</v>
      </c>
      <c r="B263" s="17">
        <v>17.2</v>
      </c>
      <c r="C263" s="17">
        <v>6.4</v>
      </c>
      <c r="D263" s="17">
        <v>5.2</v>
      </c>
      <c r="E263" s="17">
        <v>3.6</v>
      </c>
      <c r="F263" s="17">
        <f>SQRT((4*(HSP!$B$2-$B263)^2+(HSP!$C$2-$C263)^2+(HSP!$D$2-$D263)^2))</f>
        <v>6.8331544692038095</v>
      </c>
      <c r="G263" s="17">
        <f>SQRT((4*(HSP!$B$3-$B263)^2+(HSP!$C$3-$C263)^2+(HSP!$D$3-$D263)^2))</f>
        <v>4.4869143071826096</v>
      </c>
      <c r="H263" s="17">
        <f>SQRT((4*(HSP!$B$4-$B263)^2+(HSP!$C$4-$C263)^2+(HSP!$D$4-$D263)^2))</f>
        <v>4.6906289556945335</v>
      </c>
      <c r="I263" s="17">
        <f>SQRT((4*(HSP!$B$5-$B263)^2+(HSP!$C$5-$C263)^2+(HSP!$D$5-$D263)^2))</f>
        <v>9.3634875981121475</v>
      </c>
      <c r="J263" s="17">
        <f>SQRT((4*(HSP!$B$6-$B263)^2+(HSP!$C$6-$C263)^2+(HSP!$D$6-$D263)^2))</f>
        <v>4.0893764805896753</v>
      </c>
      <c r="K263" s="17">
        <f t="shared" si="0"/>
        <v>1.8980984636677247</v>
      </c>
      <c r="L263" s="17">
        <f t="shared" si="1"/>
        <v>1.2463650853285027</v>
      </c>
      <c r="M263" s="17">
        <f t="shared" si="2"/>
        <v>1.3029524876929259</v>
      </c>
      <c r="N263" s="17">
        <f t="shared" si="3"/>
        <v>2.6009687772533741</v>
      </c>
      <c r="O263" s="17">
        <f t="shared" si="4"/>
        <v>1.1359379112749097</v>
      </c>
      <c r="P263" s="17">
        <f>$F263/HSP!$E$2</f>
        <v>0.41921193062600054</v>
      </c>
      <c r="Q263" s="17">
        <f>$G263/HSP!$E$3</f>
        <v>0.33236402275426741</v>
      </c>
      <c r="R263" s="17">
        <f>$H263/HSP!$E$4</f>
        <v>0.29500811042103986</v>
      </c>
      <c r="S263" s="17">
        <f>$I263/HSP!$E$5</f>
        <v>0.6834662480373831</v>
      </c>
      <c r="T263" s="17">
        <f>$J263/HSP!$E$6</f>
        <v>0.27630922166146454</v>
      </c>
      <c r="U263" s="18" t="s">
        <v>518</v>
      </c>
      <c r="V263" s="12"/>
      <c r="W263" s="12"/>
      <c r="X263" s="12"/>
      <c r="Y263" s="12"/>
      <c r="Z263" s="12"/>
    </row>
    <row r="264" spans="1:26" ht="15" customHeight="1" x14ac:dyDescent="0.3">
      <c r="A264" s="26" t="s">
        <v>742</v>
      </c>
      <c r="B264" s="17">
        <v>17.399999999999999</v>
      </c>
      <c r="C264" s="17">
        <v>4.5999999999999996</v>
      </c>
      <c r="D264" s="17">
        <v>9</v>
      </c>
      <c r="E264" s="17">
        <v>7.2</v>
      </c>
      <c r="F264" s="17">
        <f>SQRT((4*(HSP!$B$2-$B264)^2+(HSP!$C$2-$C264)^2+(HSP!$D$2-$D264)^2))</f>
        <v>8.3534424041828395</v>
      </c>
      <c r="G264" s="17">
        <f>SQRT((4*(HSP!$B$3-$B264)^2+(HSP!$C$3-$C264)^2+(HSP!$D$3-$D264)^2))</f>
        <v>6.885666271320444</v>
      </c>
      <c r="H264" s="17">
        <f>SQRT((4*(HSP!$B$4-$B264)^2+(HSP!$C$4-$C264)^2+(HSP!$D$4-$D264)^2))</f>
        <v>4.9737309939320173</v>
      </c>
      <c r="I264" s="17">
        <f>SQRT((4*(HSP!$B$5-$B264)^2+(HSP!$C$5-$C264)^2+(HSP!$D$5-$D264)^2))</f>
        <v>9.3705336027357582</v>
      </c>
      <c r="J264" s="17">
        <f>SQRT((4*(HSP!$B$6-$B264)^2+(HSP!$C$6-$C264)^2+(HSP!$D$6-$D264)^2))</f>
        <v>6.9295743014993345</v>
      </c>
      <c r="K264" s="17">
        <f t="shared" si="0"/>
        <v>1.1602003339142832</v>
      </c>
      <c r="L264" s="17">
        <f t="shared" si="1"/>
        <v>0.95634253768339494</v>
      </c>
      <c r="M264" s="17">
        <f t="shared" si="2"/>
        <v>0.69079597137944682</v>
      </c>
      <c r="N264" s="17">
        <f t="shared" si="3"/>
        <v>1.3014630003799663</v>
      </c>
      <c r="O264" s="17">
        <f t="shared" si="4"/>
        <v>0.96244087520824084</v>
      </c>
      <c r="P264" s="17">
        <f>$F264/HSP!$E$2</f>
        <v>0.51248112909097177</v>
      </c>
      <c r="Q264" s="17">
        <f>$G264/HSP!$E$3</f>
        <v>0.51004935343114399</v>
      </c>
      <c r="R264" s="17">
        <f>$H264/HSP!$E$4</f>
        <v>0.31281327005861742</v>
      </c>
      <c r="S264" s="17">
        <f>$I264/HSP!$E$5</f>
        <v>0.68398055494421595</v>
      </c>
      <c r="T264" s="17">
        <f>$J264/HSP!$E$6</f>
        <v>0.46821447983103609</v>
      </c>
      <c r="U264" s="18" t="s">
        <v>464</v>
      </c>
      <c r="V264" s="12"/>
      <c r="W264" s="12"/>
      <c r="X264" s="12"/>
      <c r="Y264" s="12"/>
      <c r="Z264" s="12"/>
    </row>
    <row r="265" spans="1:26" ht="15" customHeight="1" x14ac:dyDescent="0.3">
      <c r="A265" s="26" t="s">
        <v>743</v>
      </c>
      <c r="B265" s="17">
        <v>17.3</v>
      </c>
      <c r="C265" s="17">
        <v>5.3</v>
      </c>
      <c r="D265" s="17">
        <v>4.7</v>
      </c>
      <c r="E265" s="17">
        <v>3.3</v>
      </c>
      <c r="F265" s="17">
        <f>SQRT((4*(HSP!$B$2-$B265)^2+(HSP!$C$2-$C265)^2+(HSP!$D$2-$D265)^2))</f>
        <v>7.8092253136914955</v>
      </c>
      <c r="G265" s="17">
        <f>SQRT((4*(HSP!$B$3-$B265)^2+(HSP!$C$3-$C265)^2+(HSP!$D$3-$D265)^2))</f>
        <v>5.5346544607590467</v>
      </c>
      <c r="H265" s="17">
        <f>SQRT((4*(HSP!$B$4-$B265)^2+(HSP!$C$4-$C265)^2+(HSP!$D$4-$D265)^2))</f>
        <v>4.7897807883033661</v>
      </c>
      <c r="I265" s="17">
        <f>SQRT((4*(HSP!$B$5-$B265)^2+(HSP!$C$5-$C265)^2+(HSP!$D$5-$D265)^2))</f>
        <v>10.504898857199912</v>
      </c>
      <c r="J265" s="17">
        <f>SQRT((4*(HSP!$B$6-$B265)^2+(HSP!$C$6-$C265)^2+(HSP!$D$6-$D265)^2))</f>
        <v>4.2991859694598018</v>
      </c>
      <c r="K265" s="17">
        <f t="shared" si="0"/>
        <v>2.3664319132398473</v>
      </c>
      <c r="L265" s="17">
        <f t="shared" si="1"/>
        <v>1.6771680184118325</v>
      </c>
      <c r="M265" s="17">
        <f t="shared" si="2"/>
        <v>1.4514487237282929</v>
      </c>
      <c r="N265" s="17">
        <f t="shared" si="3"/>
        <v>3.1833026839999734</v>
      </c>
      <c r="O265" s="17">
        <f t="shared" si="4"/>
        <v>1.302783627109031</v>
      </c>
      <c r="P265" s="17">
        <f>$F265/HSP!$E$2</f>
        <v>0.47909357752708559</v>
      </c>
      <c r="Q265" s="17">
        <f>$G265/HSP!$E$3</f>
        <v>0.40997440450067013</v>
      </c>
      <c r="R265" s="17">
        <f>$H265/HSP!$E$4</f>
        <v>0.30124407473606074</v>
      </c>
      <c r="S265" s="17">
        <f>$I265/HSP!$E$5</f>
        <v>0.76678093848174544</v>
      </c>
      <c r="T265" s="17">
        <f>$J265/HSP!$E$6</f>
        <v>0.29048553847701364</v>
      </c>
      <c r="U265" s="18" t="s">
        <v>462</v>
      </c>
      <c r="V265" s="12"/>
      <c r="W265" s="12"/>
      <c r="X265" s="12"/>
      <c r="Y265" s="12"/>
      <c r="Z265" s="12"/>
    </row>
    <row r="266" spans="1:26" ht="15" customHeight="1" x14ac:dyDescent="0.3">
      <c r="A266" s="26" t="s">
        <v>744</v>
      </c>
      <c r="B266" s="17">
        <v>16.5</v>
      </c>
      <c r="C266" s="17">
        <v>8.6999999999999993</v>
      </c>
      <c r="D266" s="17">
        <v>5</v>
      </c>
      <c r="E266" s="17">
        <v>10.4</v>
      </c>
      <c r="F266" s="17">
        <f>SQRT((4*(HSP!$B$2-$B266)^2+(HSP!$C$2-$C266)^2+(HSP!$D$2-$D266)^2))</f>
        <v>4.6322780572845597</v>
      </c>
      <c r="G266" s="17">
        <f>SQRT((4*(HSP!$B$3-$B266)^2+(HSP!$C$3-$C266)^2+(HSP!$D$3-$D266)^2))</f>
        <v>2.0538743875904402</v>
      </c>
      <c r="H266" s="17">
        <f>SQRT((4*(HSP!$B$4-$B266)^2+(HSP!$C$4-$C266)^2+(HSP!$D$4-$D266)^2))</f>
        <v>5.1454834563916343</v>
      </c>
      <c r="I266" s="17">
        <f>SQRT((4*(HSP!$B$5-$B266)^2+(HSP!$C$5-$C266)^2+(HSP!$D$5-$D266)^2))</f>
        <v>7.5747541214220284</v>
      </c>
      <c r="J266" s="17">
        <f>SQRT((4*(HSP!$B$6-$B266)^2+(HSP!$C$6-$C266)^2+(HSP!$D$6-$D266)^2))</f>
        <v>3.5393502228516471</v>
      </c>
      <c r="K266" s="17">
        <f t="shared" si="0"/>
        <v>0.44541135166197687</v>
      </c>
      <c r="L266" s="17">
        <f t="shared" si="1"/>
        <v>0.19748792188369615</v>
      </c>
      <c r="M266" s="17">
        <f t="shared" si="2"/>
        <v>0.49475802465304175</v>
      </c>
      <c r="N266" s="17">
        <f t="shared" si="3"/>
        <v>0.72834174244442573</v>
      </c>
      <c r="O266" s="17">
        <f t="shared" si="4"/>
        <v>0.34032213681265838</v>
      </c>
      <c r="P266" s="17">
        <f>$F266/HSP!$E$2</f>
        <v>0.28418883787021837</v>
      </c>
      <c r="Q266" s="17">
        <f>$G266/HSP!$E$3</f>
        <v>0.15213884352521778</v>
      </c>
      <c r="R266" s="17">
        <f>$H266/HSP!$E$4</f>
        <v>0.32361531172274427</v>
      </c>
      <c r="S266" s="17">
        <f>$I266/HSP!$E$5</f>
        <v>0.55290176068773933</v>
      </c>
      <c r="T266" s="17">
        <f>$J266/HSP!$E$6</f>
        <v>0.23914528532781398</v>
      </c>
      <c r="U266" s="18" t="s">
        <v>452</v>
      </c>
      <c r="V266" s="12"/>
      <c r="W266" s="12"/>
      <c r="X266" s="12"/>
      <c r="Y266" s="12"/>
      <c r="Z266" s="12"/>
    </row>
    <row r="267" spans="1:26" ht="15" customHeight="1" x14ac:dyDescent="0.3">
      <c r="A267" s="26" t="s">
        <v>745</v>
      </c>
      <c r="B267" s="17">
        <v>16.899999999999999</v>
      </c>
      <c r="C267" s="17">
        <v>7.8</v>
      </c>
      <c r="D267" s="17">
        <v>0.5</v>
      </c>
      <c r="E267" s="17">
        <v>7.3</v>
      </c>
      <c r="F267" s="17">
        <f>SQRT((4*(HSP!$B$2-$B267)^2+(HSP!$C$2-$C267)^2+(HSP!$D$2-$D267)^2))</f>
        <v>8.3800954648500277</v>
      </c>
      <c r="G267" s="17">
        <f>SQRT((4*(HSP!$B$3-$B267)^2+(HSP!$C$3-$C267)^2+(HSP!$D$3-$D267)^2))</f>
        <v>6.1333840577612611</v>
      </c>
      <c r="H267" s="17">
        <f>SQRT((4*(HSP!$B$4-$B267)^2+(HSP!$C$4-$C267)^2+(HSP!$D$4-$D267)^2))</f>
        <v>7.8355599672263363</v>
      </c>
      <c r="I267" s="17">
        <f>SQRT((4*(HSP!$B$5-$B267)^2+(HSP!$C$5-$C267)^2+(HSP!$D$5-$D267)^2))</f>
        <v>11.984110313243949</v>
      </c>
      <c r="J267" s="17">
        <f>SQRT((4*(HSP!$B$6-$B267)^2+(HSP!$C$6-$C267)^2+(HSP!$D$6-$D267)^2))</f>
        <v>4.8710368506099391</v>
      </c>
      <c r="K267" s="17">
        <f t="shared" si="0"/>
        <v>1.1479582828561683</v>
      </c>
      <c r="L267" s="17">
        <f t="shared" si="1"/>
        <v>0.84018959695359741</v>
      </c>
      <c r="M267" s="17">
        <f t="shared" si="2"/>
        <v>1.0733643790721008</v>
      </c>
      <c r="N267" s="17">
        <f t="shared" si="3"/>
        <v>1.6416589470197192</v>
      </c>
      <c r="O267" s="17">
        <f t="shared" si="4"/>
        <v>0.66726532200136157</v>
      </c>
      <c r="P267" s="17">
        <f>$F267/HSP!$E$2</f>
        <v>0.51411628618711824</v>
      </c>
      <c r="Q267" s="17">
        <f>$G267/HSP!$E$3</f>
        <v>0.45432474501935266</v>
      </c>
      <c r="R267" s="17">
        <f>$H267/HSP!$E$4</f>
        <v>0.4928025136620337</v>
      </c>
      <c r="S267" s="17">
        <f>$I267/HSP!$E$5</f>
        <v>0.87475257760904745</v>
      </c>
      <c r="T267" s="17">
        <f>$J267/HSP!$E$6</f>
        <v>0.32912411152769855</v>
      </c>
      <c r="U267" s="18" t="s">
        <v>452</v>
      </c>
      <c r="V267" s="12"/>
      <c r="W267" s="12"/>
      <c r="X267" s="12"/>
      <c r="Y267" s="12"/>
      <c r="Z267" s="12"/>
    </row>
    <row r="268" spans="1:26" ht="15" customHeight="1" x14ac:dyDescent="0.3">
      <c r="A268" s="26" t="s">
        <v>746</v>
      </c>
      <c r="B268" s="17">
        <v>17.3</v>
      </c>
      <c r="C268" s="17">
        <v>6.5</v>
      </c>
      <c r="D268" s="17">
        <v>11.7</v>
      </c>
      <c r="E268" s="17">
        <v>3</v>
      </c>
      <c r="F268" s="17">
        <f>SQRT((4*(HSP!$B$2-$B268)^2+(HSP!$C$2-$C268)^2+(HSP!$D$2-$D268)^2))</f>
        <v>8.1926796593056181</v>
      </c>
      <c r="G268" s="17">
        <f>SQRT((4*(HSP!$B$3-$B268)^2+(HSP!$C$3-$C268)^2+(HSP!$D$3-$D268)^2))</f>
        <v>7.4113696439996843</v>
      </c>
      <c r="H268" s="17">
        <f>SQRT((4*(HSP!$B$4-$B268)^2+(HSP!$C$4-$C268)^2+(HSP!$D$4-$D268)^2))</f>
        <v>6.7431446669932873</v>
      </c>
      <c r="I268" s="17">
        <f>SQRT((4*(HSP!$B$5-$B268)^2+(HSP!$C$5-$C268)^2+(HSP!$D$5-$D268)^2))</f>
        <v>7.4675899726752553</v>
      </c>
      <c r="J268" s="17">
        <f>SQRT((4*(HSP!$B$6-$B268)^2+(HSP!$C$6-$C268)^2+(HSP!$D$6-$D268)^2))</f>
        <v>8.8380427697539474</v>
      </c>
      <c r="K268" s="17">
        <f t="shared" si="0"/>
        <v>2.7308932197685394</v>
      </c>
      <c r="L268" s="17">
        <f t="shared" si="1"/>
        <v>2.4704565479998948</v>
      </c>
      <c r="M268" s="17">
        <f t="shared" si="2"/>
        <v>2.2477148889977623</v>
      </c>
      <c r="N268" s="17">
        <f t="shared" si="3"/>
        <v>2.4891966575584186</v>
      </c>
      <c r="O268" s="17">
        <f t="shared" si="4"/>
        <v>2.946014256584649</v>
      </c>
      <c r="P268" s="17">
        <f>$F268/HSP!$E$2</f>
        <v>0.50261838400647962</v>
      </c>
      <c r="Q268" s="17">
        <f>$G268/HSP!$E$3</f>
        <v>0.54899034399997659</v>
      </c>
      <c r="R268" s="17">
        <f>$H268/HSP!$E$4</f>
        <v>0.42409714886750233</v>
      </c>
      <c r="S268" s="17">
        <f>$I268/HSP!$E$5</f>
        <v>0.5450795600492887</v>
      </c>
      <c r="T268" s="17">
        <f>$J268/HSP!$E$6</f>
        <v>0.59716505201040182</v>
      </c>
      <c r="U268" s="18" t="s">
        <v>452</v>
      </c>
      <c r="V268" s="12"/>
      <c r="W268" s="12"/>
      <c r="X268" s="12"/>
      <c r="Y268" s="12"/>
      <c r="Z268" s="12"/>
    </row>
    <row r="269" spans="1:26" ht="15" customHeight="1" x14ac:dyDescent="0.3">
      <c r="A269" s="26" t="s">
        <v>747</v>
      </c>
      <c r="B269" s="17">
        <v>19.399999999999999</v>
      </c>
      <c r="C269" s="17">
        <v>12.2</v>
      </c>
      <c r="D269" s="17">
        <v>10.199999999999999</v>
      </c>
      <c r="E269" s="17">
        <v>10.8</v>
      </c>
      <c r="F269" s="17">
        <f>SQRT((4*(HSP!$B$2-$B269)^2+(HSP!$C$2-$C269)^2+(HSP!$D$2-$D269)^2))</f>
        <v>10.274044967781673</v>
      </c>
      <c r="G269" s="17">
        <f>SQRT((4*(HSP!$B$3-$B269)^2+(HSP!$C$3-$C269)^2+(HSP!$D$3-$D269)^2))</f>
        <v>8.9828948563366797</v>
      </c>
      <c r="H269" s="17">
        <f>SQRT((4*(HSP!$B$4-$B269)^2+(HSP!$C$4-$C269)^2+(HSP!$D$4-$D269)^2))</f>
        <v>11.818713974032875</v>
      </c>
      <c r="I269" s="17">
        <f>SQRT((4*(HSP!$B$5-$B269)^2+(HSP!$C$5-$C269)^2+(HSP!$D$5-$D269)^2))</f>
        <v>8.3084836161600482</v>
      </c>
      <c r="J269" s="17">
        <f>SQRT((4*(HSP!$B$6-$B269)^2+(HSP!$C$6-$C269)^2+(HSP!$D$6-$D269)^2))</f>
        <v>11.909785892282025</v>
      </c>
      <c r="K269" s="17">
        <f t="shared" si="0"/>
        <v>0.95130045997978452</v>
      </c>
      <c r="L269" s="17">
        <f t="shared" si="1"/>
        <v>0.83174952373487765</v>
      </c>
      <c r="M269" s="17">
        <f t="shared" si="2"/>
        <v>1.0943253679660068</v>
      </c>
      <c r="N269" s="17">
        <f t="shared" si="3"/>
        <v>0.76930403853333773</v>
      </c>
      <c r="O269" s="17">
        <f t="shared" si="4"/>
        <v>1.1027579529890763</v>
      </c>
      <c r="P269" s="17">
        <f>$F269/HSP!$E$2</f>
        <v>0.63030950722586954</v>
      </c>
      <c r="Q269" s="17">
        <f>$G269/HSP!$E$3</f>
        <v>0.66539961898790223</v>
      </c>
      <c r="R269" s="17">
        <f>$H269/HSP!$E$4</f>
        <v>0.74331534427879709</v>
      </c>
      <c r="S269" s="17">
        <f>$I269/HSP!$E$5</f>
        <v>0.60645865811387212</v>
      </c>
      <c r="T269" s="17">
        <f>$J269/HSP!$E$6</f>
        <v>0.80471526299202867</v>
      </c>
      <c r="U269" s="18" t="s">
        <v>459</v>
      </c>
      <c r="V269" s="12"/>
      <c r="W269" s="12"/>
      <c r="X269" s="12"/>
      <c r="Y269" s="12"/>
      <c r="Z269" s="12"/>
    </row>
    <row r="270" spans="1:26" ht="15" customHeight="1" x14ac:dyDescent="0.3">
      <c r="A270" s="26" t="s">
        <v>748</v>
      </c>
      <c r="B270" s="17">
        <v>17.55</v>
      </c>
      <c r="C270" s="17">
        <v>9.3699999999999992</v>
      </c>
      <c r="D270" s="17">
        <v>14.32</v>
      </c>
      <c r="E270" s="17">
        <v>10.64</v>
      </c>
      <c r="F270" s="17">
        <f>SQRT((4*(HSP!$B$2-$B270)^2+(HSP!$C$2-$C270)^2+(HSP!$D$2-$D270)^2))</f>
        <v>9.4801740490351776</v>
      </c>
      <c r="G270" s="17">
        <f>SQRT((4*(HSP!$B$3-$B270)^2+(HSP!$C$3-$C270)^2+(HSP!$D$3-$D270)^2))</f>
        <v>9.2829144130493848</v>
      </c>
      <c r="H270" s="17">
        <f>SQRT((4*(HSP!$B$4-$B270)^2+(HSP!$C$4-$C270)^2+(HSP!$D$4-$D270)^2))</f>
        <v>10.06002485086394</v>
      </c>
      <c r="I270" s="17">
        <f>SQRT((4*(HSP!$B$5-$B270)^2+(HSP!$C$5-$C270)^2+(HSP!$D$5-$D270)^2))</f>
        <v>6.5960745902392608</v>
      </c>
      <c r="J270" s="17">
        <f>SQRT((4*(HSP!$B$6-$B270)^2+(HSP!$C$6-$C270)^2+(HSP!$D$6-$D270)^2))</f>
        <v>11.792289853968144</v>
      </c>
      <c r="K270" s="17">
        <f t="shared" si="0"/>
        <v>0.89099380160105046</v>
      </c>
      <c r="L270" s="17">
        <f t="shared" si="1"/>
        <v>0.87245436212870153</v>
      </c>
      <c r="M270" s="17">
        <f t="shared" si="2"/>
        <v>0.94549105741202433</v>
      </c>
      <c r="N270" s="17">
        <f t="shared" si="3"/>
        <v>0.61993182239090794</v>
      </c>
      <c r="O270" s="17">
        <f t="shared" si="4"/>
        <v>1.1082979186060287</v>
      </c>
      <c r="P270" s="17">
        <f>$F270/HSP!$E$2</f>
        <v>0.58160576987945867</v>
      </c>
      <c r="Q270" s="17">
        <f>$G270/HSP!$E$3</f>
        <v>0.68762328985551002</v>
      </c>
      <c r="R270" s="17">
        <f>$H270/HSP!$E$4</f>
        <v>0.63270596546314084</v>
      </c>
      <c r="S270" s="17">
        <f>$I270/HSP!$E$5</f>
        <v>0.48146529855761028</v>
      </c>
      <c r="T270" s="17">
        <f>$J270/HSP!$E$6</f>
        <v>0.79677634148433407</v>
      </c>
      <c r="U270" s="18" t="s">
        <v>749</v>
      </c>
      <c r="V270" s="12"/>
      <c r="W270" s="12"/>
      <c r="X270" s="12"/>
      <c r="Y270" s="12"/>
      <c r="Z270" s="12"/>
    </row>
    <row r="271" spans="1:26" ht="15" customHeight="1" x14ac:dyDescent="0.3">
      <c r="A271" s="27" t="s">
        <v>750</v>
      </c>
      <c r="B271" s="19">
        <v>20.03</v>
      </c>
      <c r="C271" s="19">
        <v>5.81</v>
      </c>
      <c r="D271" s="19">
        <v>10.93</v>
      </c>
      <c r="E271" s="19">
        <v>11.66</v>
      </c>
      <c r="F271" s="19">
        <f>SQRT((4*(HSP!$B$2-$B271)^2+(HSP!$C$2-$C271)^2+(HSP!$D$2-$D271)^2))</f>
        <v>12.456508339017001</v>
      </c>
      <c r="G271" s="19">
        <f>SQRT((4*(HSP!$B$3-$B271)^2+(HSP!$C$3-$C271)^2+(HSP!$D$3-$D271)^2))</f>
        <v>10.783181348748618</v>
      </c>
      <c r="H271" s="19">
        <f>SQRT((4*(HSP!$B$4-$B271)^2+(HSP!$C$4-$C271)^2+(HSP!$D$4-$D271)^2))</f>
        <v>10.62130877058002</v>
      </c>
      <c r="I271" s="19">
        <f>SQRT((4*(HSP!$B$5-$B271)^2+(HSP!$C$5-$C271)^2+(HSP!$D$5-$D271)^2))</f>
        <v>11.763439122977603</v>
      </c>
      <c r="J271" s="19">
        <f>SQRT((4*(HSP!$B$6-$B271)^2+(HSP!$C$6-$C271)^2+(HSP!$D$6-$D271)^2))</f>
        <v>11.880286191838985</v>
      </c>
      <c r="K271" s="17">
        <f t="shared" si="0"/>
        <v>1.0683111783033448</v>
      </c>
      <c r="L271" s="17">
        <f t="shared" si="1"/>
        <v>0.92480114483264309</v>
      </c>
      <c r="M271" s="17">
        <f t="shared" si="2"/>
        <v>0.91091841943224872</v>
      </c>
      <c r="N271" s="17">
        <f t="shared" si="3"/>
        <v>1.0088712798437052</v>
      </c>
      <c r="O271" s="17">
        <f t="shared" si="4"/>
        <v>1.0188924692829318</v>
      </c>
      <c r="P271" s="17">
        <f>$F271/HSP!$E$2</f>
        <v>0.76420296558386502</v>
      </c>
      <c r="Q271" s="17">
        <f>$G271/HSP!$E$3</f>
        <v>0.79875417398137916</v>
      </c>
      <c r="R271" s="17">
        <f>$H271/HSP!$E$4</f>
        <v>0.66800684091698237</v>
      </c>
      <c r="S271" s="17">
        <f>$I271/HSP!$E$5</f>
        <v>0.85864519145821927</v>
      </c>
      <c r="T271" s="17">
        <f>$J271/HSP!$E$6</f>
        <v>0.80272203998912062</v>
      </c>
      <c r="U271" s="18" t="s">
        <v>749</v>
      </c>
      <c r="V271" s="12"/>
      <c r="W271" s="12"/>
      <c r="X271" s="12"/>
      <c r="Y271" s="12"/>
      <c r="Z271" s="12"/>
    </row>
    <row r="272" spans="1:26" ht="15" customHeight="1" x14ac:dyDescent="0.3">
      <c r="A272" s="27" t="s">
        <v>751</v>
      </c>
      <c r="B272" s="19">
        <v>21.5</v>
      </c>
      <c r="C272" s="19">
        <v>10.9</v>
      </c>
      <c r="D272" s="19">
        <v>13.1</v>
      </c>
      <c r="E272" s="19">
        <v>15.9</v>
      </c>
      <c r="F272" s="19">
        <f>SQRT((4*(HSP!$B$2-$B272)^2+(HSP!$C$2-$C272)^2+(HSP!$D$2-$D272)^2))</f>
        <v>15.102582560608633</v>
      </c>
      <c r="G272" s="19">
        <f>SQRT((4*(HSP!$B$3-$B272)^2+(HSP!$C$3-$C272)^2+(HSP!$D$3-$D272)^2))</f>
        <v>13.768093549943654</v>
      </c>
      <c r="H272" s="19">
        <f>SQRT((4*(HSP!$B$4-$B272)^2+(HSP!$C$4-$C272)^2+(HSP!$D$4-$D272)^2))</f>
        <v>15.448430340976394</v>
      </c>
      <c r="I272" s="19">
        <f>SQRT((4*(HSP!$B$5-$B272)^2+(HSP!$C$5-$C272)^2+(HSP!$D$5-$D272)^2))</f>
        <v>12.777828454005791</v>
      </c>
      <c r="J272" s="19">
        <f>SQRT((4*(HSP!$B$6-$B272)^2+(HSP!$C$6-$C272)^2+(HSP!$D$6-$D272)^2))</f>
        <v>16.149148584368156</v>
      </c>
      <c r="K272" s="17">
        <f t="shared" si="0"/>
        <v>0.94984795978670644</v>
      </c>
      <c r="L272" s="17">
        <f t="shared" si="1"/>
        <v>0.86591783332978955</v>
      </c>
      <c r="M272" s="17">
        <f t="shared" si="2"/>
        <v>0.97159939251423855</v>
      </c>
      <c r="N272" s="17">
        <f t="shared" si="3"/>
        <v>0.8036370096858988</v>
      </c>
      <c r="O272" s="17">
        <f t="shared" si="4"/>
        <v>1.0156697222873055</v>
      </c>
      <c r="P272" s="17">
        <f>$F272/HSP!$E$2</f>
        <v>0.92653880739930261</v>
      </c>
      <c r="Q272" s="17">
        <f>$G272/HSP!$E$3</f>
        <v>1.0198587814773077</v>
      </c>
      <c r="R272" s="17">
        <f>$H272/HSP!$E$4</f>
        <v>0.97159939251423855</v>
      </c>
      <c r="S272" s="17">
        <f>$I272/HSP!$E$5</f>
        <v>0.93268820832159061</v>
      </c>
      <c r="T272" s="17">
        <f>$J272/HSP!$E$6</f>
        <v>1.0911586881329836</v>
      </c>
      <c r="U272" s="18" t="s">
        <v>749</v>
      </c>
      <c r="V272" s="12"/>
      <c r="W272" s="12"/>
      <c r="X272" s="12"/>
      <c r="Y272" s="12"/>
      <c r="Z272" s="12"/>
    </row>
    <row r="273" spans="1:26" ht="15" customHeight="1" x14ac:dyDescent="0.3">
      <c r="A273" s="26" t="s">
        <v>752</v>
      </c>
      <c r="B273" s="17">
        <v>22.2</v>
      </c>
      <c r="C273" s="17">
        <v>11.2</v>
      </c>
      <c r="D273" s="17">
        <v>13.2</v>
      </c>
      <c r="E273" s="17">
        <v>17.100000000000001</v>
      </c>
      <c r="F273" s="17">
        <f>SQRT((4*(HSP!$B$2-$B273)^2+(HSP!$C$2-$C273)^2+(HSP!$D$2-$D273)^2))</f>
        <v>16.440072992538688</v>
      </c>
      <c r="G273" s="17">
        <f>SQRT((4*(HSP!$B$3-$B273)^2+(HSP!$C$3-$C273)^2+(HSP!$D$3-$D273)^2))</f>
        <v>15.045145396439343</v>
      </c>
      <c r="H273" s="17">
        <f>SQRT((4*(HSP!$B$4-$B273)^2+(HSP!$C$4-$C273)^2+(HSP!$D$4-$D273)^2))</f>
        <v>16.767647419957278</v>
      </c>
      <c r="I273" s="17">
        <f>SQRT((4*(HSP!$B$5-$B273)^2+(HSP!$C$5-$C273)^2+(HSP!$D$5-$D273)^2))</f>
        <v>14.126673352208579</v>
      </c>
      <c r="J273" s="17">
        <f>SQRT((4*(HSP!$B$6-$B273)^2+(HSP!$C$6-$C273)^2+(HSP!$D$6-$D273)^2))</f>
        <v>17.386057632482412</v>
      </c>
      <c r="K273" s="17">
        <f t="shared" si="0"/>
        <v>0.96140777734144367</v>
      </c>
      <c r="L273" s="17">
        <f t="shared" si="1"/>
        <v>0.87983306411925977</v>
      </c>
      <c r="M273" s="17">
        <f t="shared" si="2"/>
        <v>0.98056417660568873</v>
      </c>
      <c r="N273" s="17">
        <f t="shared" si="3"/>
        <v>0.8261212486671683</v>
      </c>
      <c r="O273" s="17">
        <f t="shared" si="4"/>
        <v>1.0167285165194393</v>
      </c>
      <c r="P273" s="17">
        <f>$F273/HSP!$E$2</f>
        <v>1.0085934351250729</v>
      </c>
      <c r="Q273" s="17">
        <f>$G273/HSP!$E$3</f>
        <v>1.1144552145510624</v>
      </c>
      <c r="R273" s="17">
        <f>$H273/HSP!$E$4</f>
        <v>1.0545690201230993</v>
      </c>
      <c r="S273" s="17">
        <f>$I273/HSP!$E$5</f>
        <v>1.0311440403071956</v>
      </c>
      <c r="T273" s="17">
        <f>$J273/HSP!$E$6</f>
        <v>1.1747336238163792</v>
      </c>
      <c r="U273" s="18" t="s">
        <v>556</v>
      </c>
      <c r="V273" s="12"/>
      <c r="W273" s="12"/>
      <c r="X273" s="12"/>
      <c r="Y273" s="12"/>
      <c r="Z273" s="12"/>
    </row>
    <row r="274" spans="1:26" ht="15" customHeight="1" x14ac:dyDescent="0.3">
      <c r="A274" s="26" t="s">
        <v>753</v>
      </c>
      <c r="B274" s="17">
        <v>17.399999999999999</v>
      </c>
      <c r="C274" s="17">
        <v>9.5</v>
      </c>
      <c r="D274" s="17">
        <v>3.8</v>
      </c>
      <c r="E274" s="17">
        <v>10</v>
      </c>
      <c r="F274" s="17">
        <f>SQRT((4*(HSP!$B$2-$B274)^2+(HSP!$C$2-$C274)^2+(HSP!$D$2-$D274)^2))</f>
        <v>6.5110675008019978</v>
      </c>
      <c r="G274" s="17">
        <f>SQRT((4*(HSP!$B$3-$B274)^2+(HSP!$C$3-$C274)^2+(HSP!$D$3-$D274)^2))</f>
        <v>3.9752232641702014</v>
      </c>
      <c r="H274" s="17">
        <f>SQRT((4*(HSP!$B$4-$B274)^2+(HSP!$C$4-$C274)^2+(HSP!$D$4-$D274)^2))</f>
        <v>7.2196952844285596</v>
      </c>
      <c r="I274" s="17">
        <f>SQRT((4*(HSP!$B$5-$B274)^2+(HSP!$C$5-$C274)^2+(HSP!$D$5-$D274)^2))</f>
        <v>8.9080244723507569</v>
      </c>
      <c r="J274" s="17">
        <f>SQRT((4*(HSP!$B$6-$B274)^2+(HSP!$C$6-$C274)^2+(HSP!$D$6-$D274)^2))</f>
        <v>5.2511903412464482</v>
      </c>
      <c r="K274" s="17">
        <f t="shared" si="0"/>
        <v>0.6511067500801998</v>
      </c>
      <c r="L274" s="17">
        <f t="shared" si="1"/>
        <v>0.39752232641702012</v>
      </c>
      <c r="M274" s="17">
        <f t="shared" si="2"/>
        <v>0.721969528442856</v>
      </c>
      <c r="N274" s="17">
        <f t="shared" si="3"/>
        <v>0.89080244723507573</v>
      </c>
      <c r="O274" s="17">
        <f t="shared" si="4"/>
        <v>0.52511903412464478</v>
      </c>
      <c r="P274" s="17">
        <f>$F274/HSP!$E$2</f>
        <v>0.39945199391423297</v>
      </c>
      <c r="Q274" s="17">
        <f>$G274/HSP!$E$3</f>
        <v>0.29446098253112601</v>
      </c>
      <c r="R274" s="17">
        <f>$H274/HSP!$E$4</f>
        <v>0.45406888581311694</v>
      </c>
      <c r="S274" s="17">
        <f>$I274/HSP!$E$5</f>
        <v>0.65022076440516474</v>
      </c>
      <c r="T274" s="17">
        <f>$J274/HSP!$E$6</f>
        <v>0.35481015819232758</v>
      </c>
      <c r="U274" s="18" t="s">
        <v>754</v>
      </c>
      <c r="V274" s="12"/>
      <c r="W274" s="12"/>
      <c r="X274" s="12"/>
      <c r="Y274" s="12"/>
      <c r="Z274" s="12"/>
    </row>
    <row r="275" spans="1:26" ht="15" customHeight="1" x14ac:dyDescent="0.3">
      <c r="A275" s="26" t="s">
        <v>755</v>
      </c>
      <c r="B275" s="17">
        <v>17.7</v>
      </c>
      <c r="C275" s="17">
        <v>9.6999999999999993</v>
      </c>
      <c r="D275" s="17">
        <v>6.4</v>
      </c>
      <c r="E275" s="17">
        <v>9.3000000000000007</v>
      </c>
      <c r="F275" s="17">
        <f>SQRT((4*(HSP!$B$2-$B275)^2+(HSP!$C$2-$C275)^2+(HSP!$D$2-$D275)^2))</f>
        <v>6.2732766557836417</v>
      </c>
      <c r="G275" s="17">
        <f>SQRT((4*(HSP!$B$3-$B275)^2+(HSP!$C$3-$C275)^2+(HSP!$D$3-$D275)^2))</f>
        <v>4.0618222511577233</v>
      </c>
      <c r="H275" s="17">
        <f>SQRT((4*(HSP!$B$4-$B275)^2+(HSP!$C$4-$C275)^2+(HSP!$D$4-$D275)^2))</f>
        <v>7.1389074794396921</v>
      </c>
      <c r="I275" s="17">
        <f>SQRT((4*(HSP!$B$5-$B275)^2+(HSP!$C$5-$C275)^2+(HSP!$D$5-$D275)^2))</f>
        <v>7.2980065771414591</v>
      </c>
      <c r="J275" s="17">
        <f>SQRT((4*(HSP!$B$6-$B275)^2+(HSP!$C$6-$C275)^2+(HSP!$D$6-$D275)^2))</f>
        <v>6.3886618317140558</v>
      </c>
      <c r="K275" s="17">
        <f t="shared" si="0"/>
        <v>0.67454587696598289</v>
      </c>
      <c r="L275" s="17">
        <f t="shared" si="1"/>
        <v>0.43675508076964764</v>
      </c>
      <c r="M275" s="17">
        <f t="shared" si="2"/>
        <v>0.76762446015480557</v>
      </c>
      <c r="N275" s="17">
        <f t="shared" si="3"/>
        <v>0.7847318900152106</v>
      </c>
      <c r="O275" s="17">
        <f t="shared" si="4"/>
        <v>0.68695288513054353</v>
      </c>
      <c r="P275" s="17">
        <f>$F275/HSP!$E$2</f>
        <v>0.38486359851433383</v>
      </c>
      <c r="Q275" s="17">
        <f>$G275/HSP!$E$3</f>
        <v>0.30087572230797949</v>
      </c>
      <c r="R275" s="17">
        <f>$H275/HSP!$E$4</f>
        <v>0.44898789178865989</v>
      </c>
      <c r="S275" s="17">
        <f>$I275/HSP!$E$5</f>
        <v>0.53270121001032555</v>
      </c>
      <c r="T275" s="17">
        <f>$J275/HSP!$E$6</f>
        <v>0.43166633998067944</v>
      </c>
      <c r="U275" s="18" t="s">
        <v>754</v>
      </c>
      <c r="V275" s="12"/>
      <c r="W275" s="12"/>
      <c r="X275" s="12"/>
      <c r="Y275" s="12"/>
      <c r="Z275" s="12"/>
    </row>
    <row r="276" spans="1:26" ht="15" customHeight="1" x14ac:dyDescent="0.3">
      <c r="A276" s="26" t="s">
        <v>756</v>
      </c>
      <c r="B276" s="17">
        <v>18.7</v>
      </c>
      <c r="C276" s="17">
        <v>10.5</v>
      </c>
      <c r="D276" s="17">
        <v>7.6</v>
      </c>
      <c r="E276" s="17">
        <v>9.1</v>
      </c>
      <c r="F276" s="17">
        <f>SQRT((4*(HSP!$B$2-$B276)^2+(HSP!$C$2-$C276)^2+(HSP!$D$2-$D276)^2))</f>
        <v>8.2235029032645208</v>
      </c>
      <c r="G276" s="17">
        <f>SQRT((4*(HSP!$B$3-$B276)^2+(HSP!$C$3-$C276)^2+(HSP!$D$3-$D276)^2))</f>
        <v>6.3335929771339101</v>
      </c>
      <c r="H276" s="17">
        <f>SQRT((4*(HSP!$B$4-$B276)^2+(HSP!$C$4-$C276)^2+(HSP!$D$4-$D276)^2))</f>
        <v>9.1845522482045894</v>
      </c>
      <c r="I276" s="17">
        <f>SQRT((4*(HSP!$B$5-$B276)^2+(HSP!$C$5-$C276)^2+(HSP!$D$5-$D276)^2))</f>
        <v>7.9420967004941456</v>
      </c>
      <c r="J276" s="17">
        <f>SQRT((4*(HSP!$B$6-$B276)^2+(HSP!$C$6-$C276)^2+(HSP!$D$6-$D276)^2))</f>
        <v>8.814022918055068</v>
      </c>
      <c r="K276" s="17">
        <f t="shared" si="0"/>
        <v>0.903681637721376</v>
      </c>
      <c r="L276" s="17">
        <f t="shared" si="1"/>
        <v>0.69599922825647365</v>
      </c>
      <c r="M276" s="17">
        <f t="shared" si="2"/>
        <v>1.0092914558466581</v>
      </c>
      <c r="N276" s="17">
        <f t="shared" si="3"/>
        <v>0.87275787917518088</v>
      </c>
      <c r="O276" s="17">
        <f t="shared" si="4"/>
        <v>0.96857394703901845</v>
      </c>
      <c r="P276" s="17">
        <f>$F276/HSP!$E$2</f>
        <v>0.50450938056837547</v>
      </c>
      <c r="Q276" s="17">
        <f>$G276/HSP!$E$3</f>
        <v>0.46915503534325259</v>
      </c>
      <c r="R276" s="17">
        <f>$H276/HSP!$E$4</f>
        <v>0.57764479548456538</v>
      </c>
      <c r="S276" s="17">
        <f>$I276/HSP!$E$5</f>
        <v>0.57971508762730994</v>
      </c>
      <c r="T276" s="17">
        <f>$J276/HSP!$E$6</f>
        <v>0.59554208905777484</v>
      </c>
      <c r="U276" s="18" t="s">
        <v>754</v>
      </c>
      <c r="V276" s="12"/>
      <c r="W276" s="12"/>
      <c r="X276" s="12"/>
      <c r="Y276" s="12"/>
      <c r="Z276" s="12"/>
    </row>
    <row r="277" spans="1:26" ht="15" customHeight="1" x14ac:dyDescent="0.3">
      <c r="A277" s="26" t="s">
        <v>757</v>
      </c>
      <c r="B277" s="17">
        <v>19.600000000000001</v>
      </c>
      <c r="C277" s="17">
        <v>10.8</v>
      </c>
      <c r="D277" s="17">
        <v>9.1999999999999993</v>
      </c>
      <c r="E277" s="17">
        <v>6.2</v>
      </c>
      <c r="F277" s="17">
        <f>SQRT((4*(HSP!$B$2-$B277)^2+(HSP!$C$2-$C277)^2+(HSP!$D$2-$D277)^2))</f>
        <v>10.249097521245471</v>
      </c>
      <c r="G277" s="17">
        <f>SQRT((4*(HSP!$B$3-$B277)^2+(HSP!$C$3-$C277)^2+(HSP!$D$3-$D277)^2))</f>
        <v>8.5951381606114996</v>
      </c>
      <c r="H277" s="17">
        <f>SQRT((4*(HSP!$B$4-$B277)^2+(HSP!$C$4-$C277)^2+(HSP!$D$4-$D277)^2))</f>
        <v>11.032406809033107</v>
      </c>
      <c r="I277" s="17">
        <f>SQRT((4*(HSP!$B$5-$B277)^2+(HSP!$C$5-$C277)^2+(HSP!$D$5-$D277)^2))</f>
        <v>9.037416666282466</v>
      </c>
      <c r="J277" s="17">
        <f>SQRT((4*(HSP!$B$6-$B277)^2+(HSP!$C$6-$C277)^2+(HSP!$D$6-$D277)^2))</f>
        <v>11.077680262582057</v>
      </c>
      <c r="K277" s="17">
        <f t="shared" si="0"/>
        <v>1.6530802453621727</v>
      </c>
      <c r="L277" s="17">
        <f t="shared" si="1"/>
        <v>1.3863126065502418</v>
      </c>
      <c r="M277" s="17">
        <f t="shared" si="2"/>
        <v>1.7794204530698559</v>
      </c>
      <c r="N277" s="17">
        <f t="shared" si="3"/>
        <v>1.4576478494003977</v>
      </c>
      <c r="O277" s="17">
        <f t="shared" si="4"/>
        <v>1.7867226229971058</v>
      </c>
      <c r="P277" s="17">
        <f>$F277/HSP!$E$2</f>
        <v>0.62877898903346441</v>
      </c>
      <c r="Q277" s="17">
        <f>$G277/HSP!$E$3</f>
        <v>0.636676900786037</v>
      </c>
      <c r="R277" s="17">
        <f>$H277/HSP!$E$4</f>
        <v>0.69386206346120172</v>
      </c>
      <c r="S277" s="17">
        <f>$I277/HSP!$E$5</f>
        <v>0.65966545009361066</v>
      </c>
      <c r="T277" s="17">
        <f>$J277/HSP!$E$6</f>
        <v>0.74849190963392265</v>
      </c>
      <c r="U277" s="18" t="s">
        <v>490</v>
      </c>
      <c r="V277" s="12"/>
      <c r="W277" s="12"/>
      <c r="X277" s="12"/>
      <c r="Y277" s="12"/>
      <c r="Z277" s="12"/>
    </row>
    <row r="278" spans="1:26" ht="15" customHeight="1" x14ac:dyDescent="0.3">
      <c r="A278" s="26" t="s">
        <v>758</v>
      </c>
      <c r="B278" s="17">
        <v>18.2</v>
      </c>
      <c r="C278" s="17">
        <v>6.4</v>
      </c>
      <c r="D278" s="17">
        <v>6.6</v>
      </c>
      <c r="E278" s="17">
        <v>8</v>
      </c>
      <c r="F278" s="17">
        <f>SQRT((4*(HSP!$B$2-$B278)^2+(HSP!$C$2-$C278)^2+(HSP!$D$2-$D278)^2))</f>
        <v>8.274539262097921</v>
      </c>
      <c r="G278" s="17">
        <f>SQRT((4*(HSP!$B$3-$B278)^2+(HSP!$C$3-$C278)^2+(HSP!$D$3-$D278)^2))</f>
        <v>6.0362571184468274</v>
      </c>
      <c r="H278" s="17">
        <f>SQRT((4*(HSP!$B$4-$B278)^2+(HSP!$C$4-$C278)^2+(HSP!$D$4-$D278)^2))</f>
        <v>6.3025391708421763</v>
      </c>
      <c r="I278" s="17">
        <f>SQRT((4*(HSP!$B$5-$B278)^2+(HSP!$C$5-$C278)^2+(HSP!$D$5-$D278)^2))</f>
        <v>9.6452527183065566</v>
      </c>
      <c r="J278" s="17">
        <f>SQRT((4*(HSP!$B$6-$B278)^2+(HSP!$C$6-$C278)^2+(HSP!$D$6-$D278)^2))</f>
        <v>6.4732526599847766</v>
      </c>
      <c r="K278" s="17">
        <f t="shared" si="0"/>
        <v>1.0343174077622401</v>
      </c>
      <c r="L278" s="17">
        <f t="shared" si="1"/>
        <v>0.75453213980585343</v>
      </c>
      <c r="M278" s="17">
        <f t="shared" si="2"/>
        <v>0.78781739635527204</v>
      </c>
      <c r="N278" s="17">
        <f t="shared" si="3"/>
        <v>1.2056565897883196</v>
      </c>
      <c r="O278" s="17">
        <f t="shared" si="4"/>
        <v>0.80915658249809708</v>
      </c>
      <c r="P278" s="17">
        <f>$F278/HSP!$E$2</f>
        <v>0.50764044552747978</v>
      </c>
      <c r="Q278" s="17">
        <f>$G278/HSP!$E$3</f>
        <v>0.44713015692198721</v>
      </c>
      <c r="R278" s="17">
        <f>$H278/HSP!$E$4</f>
        <v>0.39638611137372176</v>
      </c>
      <c r="S278" s="17">
        <f>$I278/HSP!$E$5</f>
        <v>0.70403304513186549</v>
      </c>
      <c r="T278" s="17">
        <f>$J278/HSP!$E$6</f>
        <v>0.43738193648545787</v>
      </c>
      <c r="U278" s="18" t="s">
        <v>490</v>
      </c>
      <c r="V278" s="21"/>
      <c r="W278" s="21"/>
      <c r="X278" s="21"/>
      <c r="Y278" s="21"/>
      <c r="Z278" s="21"/>
    </row>
    <row r="279" spans="1:26" ht="15" customHeight="1" x14ac:dyDescent="0.3">
      <c r="A279" s="26" t="s">
        <v>759</v>
      </c>
      <c r="B279" s="17">
        <v>18</v>
      </c>
      <c r="C279" s="17">
        <v>3</v>
      </c>
      <c r="D279" s="17">
        <v>4</v>
      </c>
      <c r="E279" s="17">
        <v>6</v>
      </c>
      <c r="F279" s="17">
        <f>SQRT((4*(HSP!$B$2-$B279)^2+(HSP!$C$2-$C279)^2+(HSP!$D$2-$D279)^2))</f>
        <v>10.524827789565016</v>
      </c>
      <c r="G279" s="17">
        <f>SQRT((4*(HSP!$B$3-$B279)^2+(HSP!$C$3-$C279)^2+(HSP!$D$3-$D279)^2))</f>
        <v>8.3073702216766545</v>
      </c>
      <c r="H279" s="17">
        <f>SQRT((4*(HSP!$B$4-$B279)^2+(HSP!$C$4-$C279)^2+(HSP!$D$4-$D279)^2))</f>
        <v>6.5343706659478693</v>
      </c>
      <c r="I279" s="17">
        <f>SQRT((4*(HSP!$B$5-$B279)^2+(HSP!$C$5-$C279)^2+(HSP!$D$5-$D279)^2))</f>
        <v>13.12687700864147</v>
      </c>
      <c r="J279" s="17">
        <f>SQRT((4*(HSP!$B$6-$B279)^2+(HSP!$C$6-$C279)^2+(HSP!$D$6-$D279)^2))</f>
        <v>6.4497286764638408</v>
      </c>
      <c r="K279" s="17">
        <f t="shared" si="0"/>
        <v>1.7541379649275026</v>
      </c>
      <c r="L279" s="17">
        <f t="shared" si="1"/>
        <v>1.3845617036127758</v>
      </c>
      <c r="M279" s="17">
        <f t="shared" si="2"/>
        <v>1.0890617776579783</v>
      </c>
      <c r="N279" s="17">
        <f t="shared" si="3"/>
        <v>2.1878128347735784</v>
      </c>
      <c r="O279" s="17">
        <f t="shared" si="4"/>
        <v>1.0749547794106402</v>
      </c>
      <c r="P279" s="17">
        <f>$F279/HSP!$E$2</f>
        <v>0.64569495641503161</v>
      </c>
      <c r="Q279" s="17">
        <f>$G279/HSP!$E$3</f>
        <v>0.61536075716123362</v>
      </c>
      <c r="R279" s="17">
        <f>$H279/HSP!$E$4</f>
        <v>0.41096670855018047</v>
      </c>
      <c r="S279" s="17">
        <f>$I279/HSP!$E$5</f>
        <v>0.95816620501032634</v>
      </c>
      <c r="T279" s="17">
        <f>$J279/HSP!$E$6</f>
        <v>0.43579247813944866</v>
      </c>
      <c r="U279" s="18" t="s">
        <v>760</v>
      </c>
      <c r="V279" s="12"/>
      <c r="W279" s="12"/>
      <c r="X279" s="12"/>
      <c r="Y279" s="12"/>
      <c r="Z279" s="12"/>
    </row>
    <row r="280" spans="1:26" ht="15" customHeight="1" x14ac:dyDescent="0.3">
      <c r="A280" s="26" t="s">
        <v>761</v>
      </c>
      <c r="B280" s="17">
        <v>18.2</v>
      </c>
      <c r="C280" s="17">
        <v>6.4</v>
      </c>
      <c r="D280" s="17">
        <v>6.6</v>
      </c>
      <c r="E280" s="17">
        <v>5</v>
      </c>
      <c r="F280" s="17">
        <f>SQRT((4*(HSP!$B$2-$B280)^2+(HSP!$C$2-$C280)^2+(HSP!$D$2-$D280)^2))</f>
        <v>8.274539262097921</v>
      </c>
      <c r="G280" s="17">
        <f>SQRT((4*(HSP!$B$3-$B280)^2+(HSP!$C$3-$C280)^2+(HSP!$D$3-$D280)^2))</f>
        <v>6.0362571184468274</v>
      </c>
      <c r="H280" s="17">
        <f>SQRT((4*(HSP!$B$4-$B280)^2+(HSP!$C$4-$C280)^2+(HSP!$D$4-$D280)^2))</f>
        <v>6.3025391708421763</v>
      </c>
      <c r="I280" s="17">
        <f>SQRT((4*(HSP!$B$5-$B280)^2+(HSP!$C$5-$C280)^2+(HSP!$D$5-$D280)^2))</f>
        <v>9.6452527183065566</v>
      </c>
      <c r="J280" s="17">
        <f>SQRT((4*(HSP!$B$6-$B280)^2+(HSP!$C$6-$C280)^2+(HSP!$D$6-$D280)^2))</f>
        <v>6.4732526599847766</v>
      </c>
      <c r="K280" s="17">
        <f t="shared" si="0"/>
        <v>1.6549078524195842</v>
      </c>
      <c r="L280" s="17">
        <f t="shared" si="1"/>
        <v>1.2072514236893654</v>
      </c>
      <c r="M280" s="17">
        <f t="shared" si="2"/>
        <v>1.2605078341684353</v>
      </c>
      <c r="N280" s="17">
        <f t="shared" si="3"/>
        <v>1.9290505436613112</v>
      </c>
      <c r="O280" s="17">
        <f t="shared" si="4"/>
        <v>1.2946505319969552</v>
      </c>
      <c r="P280" s="17">
        <f>$F280/HSP!$E$2</f>
        <v>0.50764044552747978</v>
      </c>
      <c r="Q280" s="17">
        <f>$G280/HSP!$E$3</f>
        <v>0.44713015692198721</v>
      </c>
      <c r="R280" s="17">
        <f>$H280/HSP!$E$4</f>
        <v>0.39638611137372176</v>
      </c>
      <c r="S280" s="17">
        <f>$I280/HSP!$E$5</f>
        <v>0.70403304513186549</v>
      </c>
      <c r="T280" s="17">
        <f>$J280/HSP!$E$6</f>
        <v>0.43738193648545787</v>
      </c>
      <c r="U280" s="18" t="s">
        <v>547</v>
      </c>
      <c r="V280" s="12"/>
      <c r="W280" s="12"/>
      <c r="X280" s="12"/>
      <c r="Y280" s="12"/>
      <c r="Z280" s="12"/>
    </row>
    <row r="281" spans="1:26" ht="15" customHeight="1" x14ac:dyDescent="0.3">
      <c r="A281" s="26" t="s">
        <v>762</v>
      </c>
      <c r="B281" s="17">
        <v>16.7</v>
      </c>
      <c r="C281" s="17">
        <v>7.7</v>
      </c>
      <c r="D281" s="17">
        <v>0.5</v>
      </c>
      <c r="E281" s="17">
        <v>8.1</v>
      </c>
      <c r="F281" s="17">
        <f>SQRT((4*(HSP!$B$2-$B281)^2+(HSP!$C$2-$C281)^2+(HSP!$D$2-$D281)^2))</f>
        <v>8.2004877903695466</v>
      </c>
      <c r="G281" s="17">
        <f>SQRT((4*(HSP!$B$3-$B281)^2+(HSP!$C$3-$C281)^2+(HSP!$D$3-$D281)^2))</f>
        <v>6.0186709496366388</v>
      </c>
      <c r="H281" s="17">
        <f>SQRT((4*(HSP!$B$4-$B281)^2+(HSP!$C$4-$C281)^2+(HSP!$D$4-$D281)^2))</f>
        <v>7.6271882106055306</v>
      </c>
      <c r="I281" s="17">
        <f>SQRT((4*(HSP!$B$5-$B281)^2+(HSP!$C$5-$C281)^2+(HSP!$D$5-$D281)^2))</f>
        <v>11.923292330560381</v>
      </c>
      <c r="J281" s="17">
        <f>SQRT((4*(HSP!$B$6-$B281)^2+(HSP!$C$6-$C281)^2+(HSP!$D$6-$D281)^2))</f>
        <v>4.5842120369808379</v>
      </c>
      <c r="K281" s="17">
        <f t="shared" si="0"/>
        <v>1.0124059000456231</v>
      </c>
      <c r="L281" s="17">
        <f t="shared" si="1"/>
        <v>0.74304579625143696</v>
      </c>
      <c r="M281" s="17">
        <f t="shared" si="2"/>
        <v>0.94162817414883093</v>
      </c>
      <c r="N281" s="17">
        <f t="shared" si="3"/>
        <v>1.4720113988346151</v>
      </c>
      <c r="O281" s="17">
        <f t="shared" si="4"/>
        <v>0.56595210333096768</v>
      </c>
      <c r="P281" s="17">
        <f>$F281/HSP!$E$2</f>
        <v>0.50309741045211942</v>
      </c>
      <c r="Q281" s="17">
        <f>$G281/HSP!$E$3</f>
        <v>0.44582747775086212</v>
      </c>
      <c r="R281" s="17">
        <f>$H281/HSP!$E$4</f>
        <v>0.47969737173619686</v>
      </c>
      <c r="S281" s="17">
        <f>$I281/HSP!$E$5</f>
        <v>0.87031330880002788</v>
      </c>
      <c r="T281" s="17">
        <f>$J281/HSP!$E$6</f>
        <v>0.30974405655275933</v>
      </c>
      <c r="U281" s="18" t="s">
        <v>547</v>
      </c>
      <c r="V281" s="12"/>
      <c r="W281" s="12"/>
      <c r="X281" s="12"/>
      <c r="Y281" s="12"/>
      <c r="Z281" s="12"/>
    </row>
    <row r="282" spans="1:26" ht="15" customHeight="1" x14ac:dyDescent="0.3">
      <c r="A282" s="26" t="s">
        <v>763</v>
      </c>
      <c r="B282" s="17">
        <v>19.739999999999998</v>
      </c>
      <c r="C282" s="17">
        <v>11.62</v>
      </c>
      <c r="D282" s="17">
        <v>14.59</v>
      </c>
      <c r="E282" s="17">
        <v>12.69</v>
      </c>
      <c r="F282" s="17">
        <f>SQRT((4*(HSP!$B$2-$B282)^2+(HSP!$C$2-$C282)^2+(HSP!$D$2-$D282)^2))</f>
        <v>12.842745033675625</v>
      </c>
      <c r="G282" s="17">
        <f>SQRT((4*(HSP!$B$3-$B282)^2+(HSP!$C$3-$C282)^2+(HSP!$D$3-$D282)^2))</f>
        <v>12.098119688612771</v>
      </c>
      <c r="H282" s="17">
        <f>SQRT((4*(HSP!$B$4-$B282)^2+(HSP!$C$4-$C282)^2+(HSP!$D$4-$D282)^2))</f>
        <v>13.87037490481061</v>
      </c>
      <c r="I282" s="17">
        <f>SQRT((4*(HSP!$B$5-$B282)^2+(HSP!$C$5-$C282)^2+(HSP!$D$5-$D282)^2))</f>
        <v>9.7226128175506386</v>
      </c>
      <c r="J282" s="17">
        <f>SQRT((4*(HSP!$B$6-$B282)^2+(HSP!$C$6-$C282)^2+(HSP!$D$6-$D282)^2))</f>
        <v>14.906619335047097</v>
      </c>
      <c r="K282" s="17">
        <f t="shared" si="0"/>
        <v>1.0120366456797183</v>
      </c>
      <c r="L282" s="17">
        <f t="shared" si="1"/>
        <v>0.95335852550140043</v>
      </c>
      <c r="M282" s="17">
        <f t="shared" si="2"/>
        <v>1.0930161469511908</v>
      </c>
      <c r="N282" s="17">
        <f t="shared" si="3"/>
        <v>0.76616334259658303</v>
      </c>
      <c r="O282" s="17">
        <f t="shared" si="4"/>
        <v>1.1746744944875569</v>
      </c>
      <c r="P282" s="17">
        <f>$F282/HSP!$E$2</f>
        <v>0.78789846832365795</v>
      </c>
      <c r="Q282" s="17">
        <f>$G282/HSP!$E$3</f>
        <v>0.89615701397131631</v>
      </c>
      <c r="R282" s="17">
        <f>$H282/HSP!$E$4</f>
        <v>0.87235062294406351</v>
      </c>
      <c r="S282" s="17">
        <f>$I282/HSP!$E$5</f>
        <v>0.7096797677044262</v>
      </c>
      <c r="T282" s="17">
        <f>$J282/HSP!$E$6</f>
        <v>1.0072040091248038</v>
      </c>
      <c r="U282" s="18" t="s">
        <v>454</v>
      </c>
      <c r="V282" s="12"/>
      <c r="W282" s="12"/>
      <c r="X282" s="12"/>
      <c r="Y282" s="12"/>
      <c r="Z282" s="12"/>
    </row>
    <row r="283" spans="1:26" ht="15" customHeight="1" x14ac:dyDescent="0.3">
      <c r="A283" s="26" t="s">
        <v>764</v>
      </c>
      <c r="B283" s="17">
        <v>21.6</v>
      </c>
      <c r="C283" s="17">
        <v>5.2</v>
      </c>
      <c r="D283" s="17">
        <v>18.8</v>
      </c>
      <c r="E283" s="17">
        <v>15.4</v>
      </c>
      <c r="F283" s="17">
        <f>SQRT((4*(HSP!$B$2-$B283)^2+(HSP!$C$2-$C283)^2+(HSP!$D$2-$D283)^2))</f>
        <v>19.062528688503004</v>
      </c>
      <c r="G283" s="17">
        <f>SQRT((4*(HSP!$B$3-$B283)^2+(HSP!$C$3-$C283)^2+(HSP!$D$3-$D283)^2))</f>
        <v>18.113100231600335</v>
      </c>
      <c r="H283" s="17">
        <f>SQRT((4*(HSP!$B$4-$B283)^2+(HSP!$C$4-$C283)^2+(HSP!$D$4-$D283)^2))</f>
        <v>17.596874722518205</v>
      </c>
      <c r="I283" s="17">
        <f>SQRT((4*(HSP!$B$5-$B283)^2+(HSP!$C$5-$C283)^2+(HSP!$D$5-$D283)^2))</f>
        <v>16.696194177117135</v>
      </c>
      <c r="J283" s="17">
        <f>SQRT((4*(HSP!$B$6-$B283)^2+(HSP!$C$6-$C283)^2+(HSP!$D$6-$D283)^2))</f>
        <v>19.628830836297919</v>
      </c>
      <c r="K283" s="17">
        <f t="shared" si="0"/>
        <v>1.2378265382144809</v>
      </c>
      <c r="L283" s="17">
        <f t="shared" si="1"/>
        <v>1.1761753397143073</v>
      </c>
      <c r="M283" s="17">
        <f t="shared" si="2"/>
        <v>1.1426542027609223</v>
      </c>
      <c r="N283" s="17">
        <f t="shared" si="3"/>
        <v>1.0841684530595541</v>
      </c>
      <c r="O283" s="17">
        <f t="shared" si="4"/>
        <v>1.2745994049544103</v>
      </c>
      <c r="P283" s="17">
        <f>$F283/HSP!$E$2</f>
        <v>1.1694802876382211</v>
      </c>
      <c r="Q283" s="17">
        <f>$G283/HSP!$E$3</f>
        <v>1.3417111282666914</v>
      </c>
      <c r="R283" s="17">
        <f>$H283/HSP!$E$4</f>
        <v>1.1067216806615223</v>
      </c>
      <c r="S283" s="17">
        <f>$I283/HSP!$E$5</f>
        <v>1.218700304899061</v>
      </c>
      <c r="T283" s="17">
        <f>$J283/HSP!$E$6</f>
        <v>1.3262723538039134</v>
      </c>
      <c r="U283" s="18" t="s">
        <v>464</v>
      </c>
      <c r="V283" s="12"/>
      <c r="W283" s="12"/>
      <c r="X283" s="12"/>
      <c r="Y283" s="12"/>
      <c r="Z283" s="12"/>
    </row>
    <row r="284" spans="1:26" ht="15" customHeight="1" x14ac:dyDescent="0.3">
      <c r="A284" s="26" t="s">
        <v>765</v>
      </c>
      <c r="B284" s="17">
        <v>19.8</v>
      </c>
      <c r="C284" s="17">
        <v>7.2</v>
      </c>
      <c r="D284" s="17">
        <v>10.8</v>
      </c>
      <c r="E284" s="17">
        <v>12.8</v>
      </c>
      <c r="F284" s="17">
        <f>SQRT((4*(HSP!$B$2-$B284)^2+(HSP!$C$2-$C284)^2+(HSP!$D$2-$D284)^2))</f>
        <v>11.549025932952096</v>
      </c>
      <c r="G284" s="17">
        <f>SQRT((4*(HSP!$B$3-$B284)^2+(HSP!$C$3-$C284)^2+(HSP!$D$3-$D284)^2))</f>
        <v>9.9207056200655419</v>
      </c>
      <c r="H284" s="17">
        <f>SQRT((4*(HSP!$B$4-$B284)^2+(HSP!$C$4-$C284)^2+(HSP!$D$4-$D284)^2))</f>
        <v>10.397018803484009</v>
      </c>
      <c r="I284" s="17">
        <f>SQRT((4*(HSP!$B$5-$B284)^2+(HSP!$C$5-$C284)^2+(HSP!$D$5-$D284)^2))</f>
        <v>10.60994344942517</v>
      </c>
      <c r="J284" s="17">
        <f>SQRT((4*(HSP!$B$6-$B284)^2+(HSP!$C$6-$C284)^2+(HSP!$D$6-$D284)^2))</f>
        <v>11.444605716231559</v>
      </c>
      <c r="K284" s="17">
        <f t="shared" si="0"/>
        <v>0.90226765101188244</v>
      </c>
      <c r="L284" s="17">
        <f t="shared" si="1"/>
        <v>0.77505512656762043</v>
      </c>
      <c r="M284" s="17">
        <f t="shared" si="2"/>
        <v>0.81226709402218822</v>
      </c>
      <c r="N284" s="17">
        <f t="shared" si="3"/>
        <v>0.82890183198634138</v>
      </c>
      <c r="O284" s="17">
        <f t="shared" si="4"/>
        <v>0.89410982158059049</v>
      </c>
      <c r="P284" s="17">
        <f>$F284/HSP!$E$2</f>
        <v>0.70852919834061934</v>
      </c>
      <c r="Q284" s="17">
        <f>$G284/HSP!$E$3</f>
        <v>0.73486708296781789</v>
      </c>
      <c r="R284" s="17">
        <f>$H284/HSP!$E$4</f>
        <v>0.65390055367823952</v>
      </c>
      <c r="S284" s="17">
        <f>$I284/HSP!$E$5</f>
        <v>0.77444842696534089</v>
      </c>
      <c r="T284" s="17">
        <f>$J284/HSP!$E$6</f>
        <v>0.77328417001564587</v>
      </c>
      <c r="U284" s="18" t="s">
        <v>452</v>
      </c>
      <c r="V284" s="12"/>
      <c r="W284" s="12"/>
      <c r="X284" s="12"/>
      <c r="Y284" s="12"/>
      <c r="Z284" s="12"/>
    </row>
    <row r="285" spans="1:26" ht="15" customHeight="1" x14ac:dyDescent="0.3">
      <c r="A285" s="26" t="s">
        <v>766</v>
      </c>
      <c r="B285" s="17">
        <v>17</v>
      </c>
      <c r="C285" s="17">
        <v>4.5999999999999996</v>
      </c>
      <c r="D285" s="17">
        <v>7.6</v>
      </c>
      <c r="E285" s="17">
        <v>9.5</v>
      </c>
      <c r="F285" s="17">
        <f>SQRT((4*(HSP!$B$2-$B285)^2+(HSP!$C$2-$C285)^2+(HSP!$D$2-$D285)^2))</f>
        <v>7.6002631533388376</v>
      </c>
      <c r="G285" s="17">
        <f>SQRT((4*(HSP!$B$3-$B285)^2+(HSP!$C$3-$C285)^2+(HSP!$D$3-$D285)^2))</f>
        <v>5.9696231036808349</v>
      </c>
      <c r="H285" s="17">
        <f>SQRT((4*(HSP!$B$4-$B285)^2+(HSP!$C$4-$C285)^2+(HSP!$D$4-$D285)^2))</f>
        <v>3.747265669791775</v>
      </c>
      <c r="I285" s="17">
        <f>SQRT((4*(HSP!$B$5-$B285)^2+(HSP!$C$5-$C285)^2+(HSP!$D$5-$D285)^2))</f>
        <v>9.4337108287248252</v>
      </c>
      <c r="J285" s="17">
        <f>SQRT((4*(HSP!$B$6-$B285)^2+(HSP!$C$6-$C285)^2+(HSP!$D$6-$D285)^2))</f>
        <v>5.4206088218944561</v>
      </c>
      <c r="K285" s="17">
        <f t="shared" si="0"/>
        <v>0.80002770035145654</v>
      </c>
      <c r="L285" s="17">
        <f t="shared" si="1"/>
        <v>0.62838137933482474</v>
      </c>
      <c r="M285" s="17">
        <f t="shared" si="2"/>
        <v>0.39444901787281844</v>
      </c>
      <c r="N285" s="17">
        <f t="shared" si="3"/>
        <v>0.99302219249735002</v>
      </c>
      <c r="O285" s="17">
        <f t="shared" si="4"/>
        <v>0.57059040230467961</v>
      </c>
      <c r="P285" s="17">
        <f>$F285/HSP!$E$2</f>
        <v>0.4662738130882722</v>
      </c>
      <c r="Q285" s="17">
        <f>$G285/HSP!$E$3</f>
        <v>0.44219430397635812</v>
      </c>
      <c r="R285" s="17">
        <f>$H285/HSP!$E$4</f>
        <v>0.2356770861504261</v>
      </c>
      <c r="S285" s="17">
        <f>$I285/HSP!$E$5</f>
        <v>0.68859203129378288</v>
      </c>
      <c r="T285" s="17">
        <f>$J285/HSP!$E$6</f>
        <v>0.36625735283070648</v>
      </c>
      <c r="U285" s="18" t="s">
        <v>767</v>
      </c>
      <c r="V285" s="12"/>
      <c r="W285" s="12"/>
      <c r="X285" s="12"/>
      <c r="Y285" s="12"/>
      <c r="Z285" s="12"/>
    </row>
    <row r="286" spans="1:26" ht="15" customHeight="1" x14ac:dyDescent="0.3">
      <c r="A286" s="26" t="s">
        <v>768</v>
      </c>
      <c r="B286" s="17">
        <v>17.100000000000001</v>
      </c>
      <c r="C286" s="17">
        <v>5.9</v>
      </c>
      <c r="D286" s="17">
        <v>0.7</v>
      </c>
      <c r="E286" s="17">
        <v>7.3</v>
      </c>
      <c r="F286" s="17">
        <f>SQRT((4*(HSP!$B$2-$B286)^2+(HSP!$C$2-$C286)^2+(HSP!$D$2-$D286)^2))</f>
        <v>9.2321178502010053</v>
      </c>
      <c r="G286" s="17">
        <f>SQRT((4*(HSP!$B$3-$B286)^2+(HSP!$C$3-$C286)^2+(HSP!$D$3-$D286)^2))</f>
        <v>6.9501366893033136</v>
      </c>
      <c r="H286" s="17">
        <f>SQRT((4*(HSP!$B$4-$B286)^2+(HSP!$C$4-$C286)^2+(HSP!$D$4-$D286)^2))</f>
        <v>7.3210654962238939</v>
      </c>
      <c r="I286" s="17">
        <f>SQRT((4*(HSP!$B$5-$B286)^2+(HSP!$C$5-$C286)^2+(HSP!$D$5-$D286)^2))</f>
        <v>12.828129247867752</v>
      </c>
      <c r="J286" s="17">
        <f>SQRT((4*(HSP!$B$6-$B286)^2+(HSP!$C$6-$C286)^2+(HSP!$D$6-$D286)^2))</f>
        <v>4.8578801961349383</v>
      </c>
      <c r="K286" s="17">
        <f t="shared" si="0"/>
        <v>1.2646736781097268</v>
      </c>
      <c r="L286" s="17">
        <f t="shared" si="1"/>
        <v>0.9520735190826457</v>
      </c>
      <c r="M286" s="17">
        <f t="shared" si="2"/>
        <v>1.002885684414232</v>
      </c>
      <c r="N286" s="17">
        <f t="shared" si="3"/>
        <v>1.757277979159966</v>
      </c>
      <c r="O286" s="17">
        <f t="shared" si="4"/>
        <v>0.66546304056642991</v>
      </c>
      <c r="P286" s="17">
        <f>$F286/HSP!$E$2</f>
        <v>0.56638759817184081</v>
      </c>
      <c r="Q286" s="17">
        <f>$G286/HSP!$E$3</f>
        <v>0.51482493994839362</v>
      </c>
      <c r="R286" s="17">
        <f>$H286/HSP!$E$4</f>
        <v>0.46044437083169143</v>
      </c>
      <c r="S286" s="17">
        <f>$I286/HSP!$E$5</f>
        <v>0.93635979911443445</v>
      </c>
      <c r="T286" s="17">
        <f>$J286/HSP!$E$6</f>
        <v>0.32823514838749579</v>
      </c>
      <c r="U286" s="18" t="s">
        <v>464</v>
      </c>
      <c r="V286" s="12"/>
      <c r="W286" s="12"/>
      <c r="X286" s="12"/>
      <c r="Y286" s="12"/>
      <c r="Z286" s="12"/>
    </row>
    <row r="287" spans="1:26" ht="15" customHeight="1" x14ac:dyDescent="0.3">
      <c r="A287" s="26" t="s">
        <v>769</v>
      </c>
      <c r="B287" s="17">
        <v>17.399999999999999</v>
      </c>
      <c r="C287" s="17">
        <v>7.8</v>
      </c>
      <c r="D287" s="17">
        <v>3.8</v>
      </c>
      <c r="E287" s="17">
        <v>7.7</v>
      </c>
      <c r="F287" s="17">
        <f>SQRT((4*(HSP!$B$2-$B287)^2+(HSP!$C$2-$C287)^2+(HSP!$D$2-$D287)^2))</f>
        <v>6.9676394855072683</v>
      </c>
      <c r="G287" s="17">
        <f>SQRT((4*(HSP!$B$3-$B287)^2+(HSP!$C$3-$C287)^2+(HSP!$D$3-$D287)^2))</f>
        <v>4.3859320560172828</v>
      </c>
      <c r="H287" s="17">
        <f>SQRT((4*(HSP!$B$4-$B287)^2+(HSP!$C$4-$C287)^2+(HSP!$D$4-$D287)^2))</f>
        <v>6.2149818986059788</v>
      </c>
      <c r="I287" s="17">
        <f>SQRT((4*(HSP!$B$5-$B287)^2+(HSP!$C$5-$C287)^2+(HSP!$D$5-$D287)^2))</f>
        <v>9.6535433909005661</v>
      </c>
      <c r="J287" s="17">
        <f>SQRT((4*(HSP!$B$6-$B287)^2+(HSP!$C$6-$C287)^2+(HSP!$D$6-$D287)^2))</f>
        <v>4.4751536286478464</v>
      </c>
      <c r="K287" s="17">
        <f t="shared" si="0"/>
        <v>0.90488824487107378</v>
      </c>
      <c r="L287" s="17">
        <f t="shared" si="1"/>
        <v>0.5696015657165302</v>
      </c>
      <c r="M287" s="17">
        <f t="shared" si="2"/>
        <v>0.80714050631246481</v>
      </c>
      <c r="N287" s="17">
        <f t="shared" si="3"/>
        <v>1.2537069338831903</v>
      </c>
      <c r="O287" s="17">
        <f t="shared" si="4"/>
        <v>0.58118878294127874</v>
      </c>
      <c r="P287" s="17">
        <f>$F287/HSP!$E$2</f>
        <v>0.4274625451231453</v>
      </c>
      <c r="Q287" s="17">
        <f>$G287/HSP!$E$3</f>
        <v>0.32488385600128022</v>
      </c>
      <c r="R287" s="17">
        <f>$H287/HSP!$E$4</f>
        <v>0.39087936469219992</v>
      </c>
      <c r="S287" s="17">
        <f>$I287/HSP!$E$5</f>
        <v>0.70463820371536978</v>
      </c>
      <c r="T287" s="17">
        <f>$J287/HSP!$E$6</f>
        <v>0.30237524517890851</v>
      </c>
      <c r="U287" s="18" t="s">
        <v>770</v>
      </c>
      <c r="V287" s="12"/>
      <c r="W287" s="12"/>
      <c r="X287" s="12"/>
      <c r="Y287" s="12"/>
      <c r="Z287" s="12"/>
    </row>
    <row r="288" spans="1:26" ht="15" customHeight="1" x14ac:dyDescent="0.3">
      <c r="A288" s="26" t="s">
        <v>771</v>
      </c>
      <c r="B288" s="17">
        <v>17.55</v>
      </c>
      <c r="C288" s="17">
        <v>1.19</v>
      </c>
      <c r="D288" s="17">
        <v>3.6</v>
      </c>
      <c r="E288" s="17">
        <v>6.55</v>
      </c>
      <c r="F288" s="17">
        <f>SQRT((4*(HSP!$B$2-$B288)^2+(HSP!$C$2-$C288)^2+(HSP!$D$2-$D288)^2))</f>
        <v>11.496403785532241</v>
      </c>
      <c r="G288" s="17">
        <f>SQRT((4*(HSP!$B$3-$B288)^2+(HSP!$C$3-$C288)^2+(HSP!$D$3-$D288)^2))</f>
        <v>9.5135534896273128</v>
      </c>
      <c r="H288" s="17">
        <f>SQRT((4*(HSP!$B$4-$B288)^2+(HSP!$C$4-$C288)^2+(HSP!$D$4-$D288)^2))</f>
        <v>6.7139928507558011</v>
      </c>
      <c r="I288" s="17">
        <f>SQRT((4*(HSP!$B$5-$B288)^2+(HSP!$C$5-$C288)^2+(HSP!$D$5-$D288)^2))</f>
        <v>14.40358983031661</v>
      </c>
      <c r="J288" s="17">
        <f>SQRT((4*(HSP!$B$6-$B288)^2+(HSP!$C$6-$C288)^2+(HSP!$D$6-$D288)^2))</f>
        <v>6.9508057086930597</v>
      </c>
      <c r="K288" s="17">
        <f t="shared" si="0"/>
        <v>1.7551761504629375</v>
      </c>
      <c r="L288" s="17">
        <f t="shared" si="1"/>
        <v>1.452450914446918</v>
      </c>
      <c r="M288" s="17">
        <f t="shared" si="2"/>
        <v>1.0250370764512673</v>
      </c>
      <c r="N288" s="17">
        <f t="shared" si="3"/>
        <v>2.1990213481399405</v>
      </c>
      <c r="O288" s="17">
        <f t="shared" si="4"/>
        <v>1.0611917112508489</v>
      </c>
      <c r="P288" s="17">
        <f>$F288/HSP!$E$2</f>
        <v>0.70530084573817431</v>
      </c>
      <c r="Q288" s="17">
        <f>$G288/HSP!$E$3</f>
        <v>0.70470766589831946</v>
      </c>
      <c r="R288" s="17">
        <f>$H288/HSP!$E$4</f>
        <v>0.42226370130539631</v>
      </c>
      <c r="S288" s="17">
        <f>$I288/HSP!$E$5</f>
        <v>1.0513569219209205</v>
      </c>
      <c r="T288" s="17">
        <f>$J288/HSP!$E$6</f>
        <v>0.46964903437115268</v>
      </c>
      <c r="U288" s="18" t="s">
        <v>770</v>
      </c>
      <c r="V288" s="12"/>
      <c r="W288" s="12"/>
      <c r="X288" s="12"/>
      <c r="Y288" s="12"/>
      <c r="Z288" s="12"/>
    </row>
    <row r="289" spans="1:26" ht="15" customHeight="1" x14ac:dyDescent="0.3">
      <c r="A289" s="26" t="s">
        <v>772</v>
      </c>
      <c r="B289" s="17">
        <v>19.420000000000002</v>
      </c>
      <c r="C289" s="17">
        <v>5.48</v>
      </c>
      <c r="D289" s="17">
        <v>5.77</v>
      </c>
      <c r="E289" s="17">
        <v>9.6199999999999992</v>
      </c>
      <c r="F289" s="17">
        <f>SQRT((4*(HSP!$B$2-$B289)^2+(HSP!$C$2-$C289)^2+(HSP!$D$2-$D289)^2))</f>
        <v>10.917605048727495</v>
      </c>
      <c r="G289" s="17">
        <f>SQRT((4*(HSP!$B$3-$B289)^2+(HSP!$C$3-$C289)^2+(HSP!$D$3-$D289)^2))</f>
        <v>8.5514033935957006</v>
      </c>
      <c r="H289" s="17">
        <f>SQRT((4*(HSP!$B$4-$B289)^2+(HSP!$C$4-$C289)^2+(HSP!$D$4-$D289)^2))</f>
        <v>8.5994709139574432</v>
      </c>
      <c r="I289" s="17">
        <f>SQRT((4*(HSP!$B$5-$B289)^2+(HSP!$C$5-$C289)^2+(HSP!$D$5-$D289)^2))</f>
        <v>12.162779287646391</v>
      </c>
      <c r="J289" s="17">
        <f>SQRT((4*(HSP!$B$6-$B289)^2+(HSP!$C$6-$C289)^2+(HSP!$D$6-$D289)^2))</f>
        <v>8.5719834344217016</v>
      </c>
      <c r="K289" s="17">
        <f t="shared" si="0"/>
        <v>1.1348861797014029</v>
      </c>
      <c r="L289" s="17">
        <f t="shared" si="1"/>
        <v>0.88891927168354479</v>
      </c>
      <c r="M289" s="17">
        <f t="shared" si="2"/>
        <v>0.89391589542177174</v>
      </c>
      <c r="N289" s="17">
        <f t="shared" si="3"/>
        <v>1.2643221712730137</v>
      </c>
      <c r="O289" s="17">
        <f t="shared" si="4"/>
        <v>0.891058569066705</v>
      </c>
      <c r="P289" s="17">
        <f>$F289/HSP!$E$2</f>
        <v>0.66979172078082783</v>
      </c>
      <c r="Q289" s="17">
        <f>$G289/HSP!$E$3</f>
        <v>0.63343728841449631</v>
      </c>
      <c r="R289" s="17">
        <f>$H289/HSP!$E$4</f>
        <v>0.5408472272929209</v>
      </c>
      <c r="S289" s="17">
        <f>$I289/HSP!$E$5</f>
        <v>0.88779410858732788</v>
      </c>
      <c r="T289" s="17">
        <f>$J289/HSP!$E$6</f>
        <v>0.57918806989335814</v>
      </c>
      <c r="U289" s="18" t="s">
        <v>770</v>
      </c>
      <c r="V289" s="12"/>
      <c r="W289" s="12"/>
      <c r="X289" s="12"/>
      <c r="Y289" s="12"/>
      <c r="Z289" s="12"/>
    </row>
    <row r="290" spans="1:26" ht="15" customHeight="1" x14ac:dyDescent="0.3">
      <c r="A290" s="26" t="s">
        <v>773</v>
      </c>
      <c r="B290" s="17">
        <v>23.4</v>
      </c>
      <c r="C290" s="17">
        <v>7.2</v>
      </c>
      <c r="D290" s="17">
        <v>14.8</v>
      </c>
      <c r="E290" s="17">
        <v>14.9</v>
      </c>
      <c r="F290" s="17">
        <f>SQRT((4*(HSP!$B$2-$B290)^2+(HSP!$C$2-$C290)^2+(HSP!$D$2-$D290)^2))</f>
        <v>19.533048917155764</v>
      </c>
      <c r="G290" s="17">
        <f>SQRT((4*(HSP!$B$3-$B290)^2+(HSP!$C$3-$C290)^2+(HSP!$D$3-$D290)^2))</f>
        <v>18.01300641203461</v>
      </c>
      <c r="H290" s="17">
        <f>SQRT((4*(HSP!$B$4-$B290)^2+(HSP!$C$4-$C290)^2+(HSP!$D$4-$D290)^2))</f>
        <v>18.473819312746347</v>
      </c>
      <c r="I290" s="17">
        <f>SQRT((4*(HSP!$B$5-$B290)^2+(HSP!$C$5-$C290)^2+(HSP!$D$5-$D290)^2))</f>
        <v>17.6021277122966</v>
      </c>
      <c r="J290" s="17">
        <f>SQRT((4*(HSP!$B$6-$B290)^2+(HSP!$C$6-$C290)^2+(HSP!$D$6-$D290)^2))</f>
        <v>19.618435207732546</v>
      </c>
      <c r="K290" s="17">
        <f t="shared" si="0"/>
        <v>1.3109428803460244</v>
      </c>
      <c r="L290" s="17">
        <f t="shared" si="1"/>
        <v>1.2089266048345375</v>
      </c>
      <c r="M290" s="17">
        <f t="shared" si="2"/>
        <v>1.2398536451507616</v>
      </c>
      <c r="N290" s="17">
        <f t="shared" si="3"/>
        <v>1.1813508531742685</v>
      </c>
      <c r="O290" s="17">
        <f t="shared" si="4"/>
        <v>1.3166735038746675</v>
      </c>
      <c r="P290" s="17">
        <f>$F290/HSP!$E$2</f>
        <v>1.1983465593347093</v>
      </c>
      <c r="Q290" s="17">
        <f>$G290/HSP!$E$3</f>
        <v>1.334296771261823</v>
      </c>
      <c r="R290" s="17">
        <f>$H290/HSP!$E$4</f>
        <v>1.1618754284746129</v>
      </c>
      <c r="S290" s="17">
        <f>$I290/HSP!$E$5</f>
        <v>1.2848268403136205</v>
      </c>
      <c r="T290" s="17">
        <f>$J290/HSP!$E$6</f>
        <v>1.3255699464684152</v>
      </c>
      <c r="U290" s="18" t="s">
        <v>547</v>
      </c>
      <c r="V290" s="12"/>
      <c r="W290" s="12"/>
      <c r="X290" s="12"/>
      <c r="Y290" s="12"/>
      <c r="Z290" s="12"/>
    </row>
    <row r="291" spans="1:26" ht="15" customHeight="1" x14ac:dyDescent="0.3">
      <c r="A291" s="26" t="s">
        <v>774</v>
      </c>
      <c r="B291" s="17">
        <v>18.72</v>
      </c>
      <c r="C291" s="17">
        <v>7.73</v>
      </c>
      <c r="D291" s="17">
        <v>7</v>
      </c>
      <c r="E291" s="17"/>
      <c r="F291" s="17">
        <f>SQRT((4*(HSP!$B$2-$B291)^2+(HSP!$C$2-$C291)^2+(HSP!$D$2-$D291)^2))</f>
        <v>8.6804896175273409</v>
      </c>
      <c r="G291" s="17">
        <f>SQRT((4*(HSP!$B$3-$B291)^2+(HSP!$C$3-$C291)^2+(HSP!$D$3-$D291)^2))</f>
        <v>6.4684542202909636</v>
      </c>
      <c r="H291" s="17">
        <f>SQRT((4*(HSP!$B$4-$B291)^2+(HSP!$C$4-$C291)^2+(HSP!$D$4-$D291)^2))</f>
        <v>7.7299741267354811</v>
      </c>
      <c r="I291" s="17">
        <f>SQRT((4*(HSP!$B$5-$B291)^2+(HSP!$C$5-$C291)^2+(HSP!$D$5-$D291)^2))</f>
        <v>9.3784327048819822</v>
      </c>
      <c r="J291" s="17">
        <f>SQRT((4*(HSP!$B$6-$B291)^2+(HSP!$C$6-$C291)^2+(HSP!$D$6-$D291)^2))</f>
        <v>7.6956156348923761</v>
      </c>
      <c r="K291" s="17" t="e">
        <f t="shared" si="0"/>
        <v>#DIV/0!</v>
      </c>
      <c r="L291" s="17" t="e">
        <f t="shared" si="1"/>
        <v>#DIV/0!</v>
      </c>
      <c r="M291" s="17" t="e">
        <f t="shared" si="2"/>
        <v>#DIV/0!</v>
      </c>
      <c r="N291" s="17" t="e">
        <f t="shared" si="3"/>
        <v>#DIV/0!</v>
      </c>
      <c r="O291" s="17" t="e">
        <f t="shared" si="4"/>
        <v>#DIV/0!</v>
      </c>
      <c r="P291" s="17">
        <f>$F291/HSP!$E$2</f>
        <v>0.53254537530842583</v>
      </c>
      <c r="Q291" s="17">
        <f>$G291/HSP!$E$3</f>
        <v>0.47914475705858989</v>
      </c>
      <c r="R291" s="17">
        <f>$H291/HSP!$E$4</f>
        <v>0.48616189476323779</v>
      </c>
      <c r="S291" s="17">
        <f>$I291/HSP!$E$5</f>
        <v>0.68455713174321042</v>
      </c>
      <c r="T291" s="17">
        <f>$J291/HSP!$E$6</f>
        <v>0.51997402938462001</v>
      </c>
      <c r="U291" s="18" t="s">
        <v>547</v>
      </c>
      <c r="V291" s="12"/>
      <c r="W291" s="12"/>
      <c r="X291" s="12"/>
      <c r="Y291" s="12"/>
      <c r="Z291" s="12"/>
    </row>
    <row r="292" spans="1:26" ht="15" customHeight="1" x14ac:dyDescent="0.3">
      <c r="A292" s="27" t="s">
        <v>775</v>
      </c>
      <c r="B292" s="19">
        <v>18.5</v>
      </c>
      <c r="C292" s="19">
        <v>8</v>
      </c>
      <c r="D292" s="19">
        <v>7</v>
      </c>
      <c r="E292" s="19"/>
      <c r="F292" s="19">
        <f>SQRT((4*(HSP!$B$2-$B292)^2+(HSP!$C$2-$C292)^2+(HSP!$D$2-$D292)^2))</f>
        <v>8.1787529611793506</v>
      </c>
      <c r="G292" s="19">
        <f>SQRT((4*(HSP!$B$3-$B292)^2+(HSP!$C$3-$C292)^2+(HSP!$D$3-$D292)^2))</f>
        <v>5.9776584044256005</v>
      </c>
      <c r="H292" s="19">
        <f>SQRT((4*(HSP!$B$4-$B292)^2+(HSP!$C$4-$C292)^2+(HSP!$D$4-$D292)^2))</f>
        <v>7.444326698902997</v>
      </c>
      <c r="I292" s="19">
        <f>SQRT((4*(HSP!$B$5-$B292)^2+(HSP!$C$5-$C292)^2+(HSP!$D$5-$D292)^2))</f>
        <v>8.9137478088624427</v>
      </c>
      <c r="J292" s="17">
        <f>SQRT((4*(HSP!$B$6-$B292)^2+(HSP!$C$6-$C292)^2+(HSP!$D$6-$D292)^2))</f>
        <v>7.3565616968798686</v>
      </c>
      <c r="K292" s="17" t="e">
        <f t="shared" si="0"/>
        <v>#DIV/0!</v>
      </c>
      <c r="L292" s="17" t="e">
        <f t="shared" si="1"/>
        <v>#DIV/0!</v>
      </c>
      <c r="M292" s="17" t="e">
        <f t="shared" si="2"/>
        <v>#DIV/0!</v>
      </c>
      <c r="N292" s="17" t="e">
        <f t="shared" si="3"/>
        <v>#DIV/0!</v>
      </c>
      <c r="O292" s="17" t="e">
        <f t="shared" si="4"/>
        <v>#DIV/0!</v>
      </c>
      <c r="P292" s="17">
        <f>$F292/HSP!$E$2</f>
        <v>0.50176398534842637</v>
      </c>
      <c r="Q292" s="17">
        <f>$G292/HSP!$E$3</f>
        <v>0.44278951143893336</v>
      </c>
      <c r="R292" s="17">
        <f>$H292/HSP!$E$4</f>
        <v>0.46819664772974823</v>
      </c>
      <c r="S292" s="17">
        <f>$I292/HSP!$E$5</f>
        <v>0.65063852619433893</v>
      </c>
      <c r="T292" s="17">
        <f>$J292/HSP!$E$6</f>
        <v>0.49706497951891004</v>
      </c>
      <c r="U292" s="18" t="s">
        <v>464</v>
      </c>
      <c r="V292" s="12"/>
      <c r="W292" s="12"/>
      <c r="X292" s="12"/>
      <c r="Y292" s="12"/>
      <c r="Z292" s="12"/>
    </row>
    <row r="293" spans="1:26" ht="15" customHeight="1" x14ac:dyDescent="0.3">
      <c r="A293" s="26" t="s">
        <v>776</v>
      </c>
      <c r="B293" s="17">
        <v>17.7</v>
      </c>
      <c r="C293" s="17">
        <v>8.6999999999999993</v>
      </c>
      <c r="D293" s="17">
        <v>10</v>
      </c>
      <c r="E293" s="17"/>
      <c r="F293" s="17">
        <f>SQRT((4*(HSP!$B$2-$B293)^2+(HSP!$C$2-$C293)^2+(HSP!$D$2-$D293)^2))</f>
        <v>7.1174433612077301</v>
      </c>
      <c r="G293" s="17">
        <f>SQRT((4*(HSP!$B$3-$B293)^2+(HSP!$C$3-$C293)^2+(HSP!$D$3-$D293)^2))</f>
        <v>5.8782990737117142</v>
      </c>
      <c r="H293" s="17">
        <f>SQRT((4*(HSP!$B$4-$B293)^2+(HSP!$C$4-$C293)^2+(HSP!$D$4-$D293)^2))</f>
        <v>7.2113798956926392</v>
      </c>
      <c r="I293" s="17">
        <f>SQRT((4*(HSP!$B$5-$B293)^2+(HSP!$C$5-$C293)^2+(HSP!$D$5-$D293)^2))</f>
        <v>6.3753352853006877</v>
      </c>
      <c r="J293" s="17">
        <f>SQRT((4*(HSP!$B$6-$B293)^2+(HSP!$C$6-$C293)^2+(HSP!$D$6-$D293)^2))</f>
        <v>8.1605759600655645</v>
      </c>
      <c r="K293" s="17" t="e">
        <f t="shared" si="0"/>
        <v>#DIV/0!</v>
      </c>
      <c r="L293" s="17" t="e">
        <f t="shared" si="1"/>
        <v>#DIV/0!</v>
      </c>
      <c r="M293" s="17" t="e">
        <f t="shared" si="2"/>
        <v>#DIV/0!</v>
      </c>
      <c r="N293" s="17" t="e">
        <f t="shared" si="3"/>
        <v>#DIV/0!</v>
      </c>
      <c r="O293" s="17" t="e">
        <f t="shared" si="4"/>
        <v>#DIV/0!</v>
      </c>
      <c r="P293" s="17">
        <f>$F293/HSP!$E$2</f>
        <v>0.43665296694525951</v>
      </c>
      <c r="Q293" s="17">
        <f>$G293/HSP!$E$3</f>
        <v>0.43542956101568253</v>
      </c>
      <c r="R293" s="17">
        <f>$H293/HSP!$E$4</f>
        <v>0.45354590538947415</v>
      </c>
      <c r="S293" s="17">
        <f>$I293/HSP!$E$5</f>
        <v>0.46535294053289694</v>
      </c>
      <c r="T293" s="17">
        <f>$J293/HSP!$E$6</f>
        <v>0.55139026757199761</v>
      </c>
      <c r="U293" s="18" t="s">
        <v>457</v>
      </c>
      <c r="V293" s="12"/>
      <c r="W293" s="12"/>
      <c r="X293" s="12"/>
      <c r="Y293" s="12"/>
      <c r="Z293" s="12"/>
    </row>
    <row r="294" spans="1:26" ht="15" customHeight="1" x14ac:dyDescent="0.3">
      <c r="A294" s="26" t="s">
        <v>777</v>
      </c>
      <c r="B294" s="17">
        <v>23.9</v>
      </c>
      <c r="C294" s="17">
        <v>7.8</v>
      </c>
      <c r="D294" s="17">
        <v>8.8000000000000007</v>
      </c>
      <c r="E294" s="17">
        <v>19.899999999999999</v>
      </c>
      <c r="F294" s="17">
        <f>SQRT((4*(HSP!$B$2-$B294)^2+(HSP!$C$2-$C294)^2+(HSP!$D$2-$D294)^2))</f>
        <v>18.877181993083607</v>
      </c>
      <c r="G294" s="17">
        <f>SQRT((4*(HSP!$B$3-$B294)^2+(HSP!$C$3-$C294)^2+(HSP!$D$3-$D294)^2))</f>
        <v>16.791557402456746</v>
      </c>
      <c r="H294" s="17">
        <f>SQRT((4*(HSP!$B$4-$B294)^2+(HSP!$C$4-$C294)^2+(HSP!$D$4-$D294)^2))</f>
        <v>17.848977561754058</v>
      </c>
      <c r="I294" s="17">
        <f>SQRT((4*(HSP!$B$5-$B294)^2+(HSP!$C$5-$C294)^2+(HSP!$D$5-$D294)^2))</f>
        <v>18.073486105342266</v>
      </c>
      <c r="J294" s="17">
        <f>SQRT((4*(HSP!$B$6-$B294)^2+(HSP!$C$6-$C294)^2+(HSP!$D$6-$D294)^2))</f>
        <v>18.007970457550176</v>
      </c>
      <c r="K294" s="17">
        <f t="shared" si="0"/>
        <v>0.94860211020520646</v>
      </c>
      <c r="L294" s="17">
        <f t="shared" si="1"/>
        <v>0.84379685439481145</v>
      </c>
      <c r="M294" s="17">
        <f t="shared" si="2"/>
        <v>0.89693354581678686</v>
      </c>
      <c r="N294" s="17">
        <f t="shared" si="3"/>
        <v>0.90821538217800335</v>
      </c>
      <c r="O294" s="17">
        <f t="shared" si="4"/>
        <v>0.90492313857036066</v>
      </c>
      <c r="P294" s="17">
        <f>$F294/HSP!$E$2</f>
        <v>1.1581093247290555</v>
      </c>
      <c r="Q294" s="17">
        <f>$G294/HSP!$E$3</f>
        <v>1.243819066848648</v>
      </c>
      <c r="R294" s="17">
        <f>$H294/HSP!$E$4</f>
        <v>1.1225772051417646</v>
      </c>
      <c r="S294" s="17">
        <f>$I294/HSP!$E$5</f>
        <v>1.319232562433742</v>
      </c>
      <c r="T294" s="17">
        <f>$J294/HSP!$E$6</f>
        <v>1.216754760645282</v>
      </c>
      <c r="U294" s="18" t="s">
        <v>533</v>
      </c>
      <c r="V294" s="12"/>
      <c r="W294" s="12"/>
      <c r="X294" s="12"/>
      <c r="Y294" s="12"/>
      <c r="Z294" s="12"/>
    </row>
    <row r="295" spans="1:26" ht="15" customHeight="1" x14ac:dyDescent="0.3">
      <c r="A295" s="26" t="s">
        <v>778</v>
      </c>
      <c r="B295" s="17">
        <v>20.100000000000001</v>
      </c>
      <c r="C295" s="17">
        <v>5.7</v>
      </c>
      <c r="D295" s="17">
        <v>5.3</v>
      </c>
      <c r="E295" s="17">
        <v>20</v>
      </c>
      <c r="F295" s="17">
        <f>SQRT((4*(HSP!$B$2-$B295)^2+(HSP!$C$2-$C295)^2+(HSP!$D$2-$D295)^2))</f>
        <v>12.10289221632582</v>
      </c>
      <c r="G295" s="17">
        <f>SQRT((4*(HSP!$B$3-$B295)^2+(HSP!$C$3-$C295)^2+(HSP!$D$3-$D295)^2))</f>
        <v>9.6821691784434378</v>
      </c>
      <c r="H295" s="17">
        <f>SQRT((4*(HSP!$B$4-$B295)^2+(HSP!$C$4-$C295)^2+(HSP!$D$4-$D295)^2))</f>
        <v>10.025467570143553</v>
      </c>
      <c r="I295" s="17">
        <f>SQRT((4*(HSP!$B$5-$B295)^2+(HSP!$C$5-$C295)^2+(HSP!$D$5-$D295)^2))</f>
        <v>13.202003635812259</v>
      </c>
      <c r="J295" s="17">
        <f>SQRT((4*(HSP!$B$6-$B295)^2+(HSP!$C$6-$C295)^2+(HSP!$D$6-$D295)^2))</f>
        <v>9.7954581311952982</v>
      </c>
      <c r="K295" s="17">
        <f t="shared" si="0"/>
        <v>0.60514461081629101</v>
      </c>
      <c r="L295" s="17">
        <f t="shared" si="1"/>
        <v>0.48410845892217191</v>
      </c>
      <c r="M295" s="17">
        <f t="shared" si="2"/>
        <v>0.50127337850717768</v>
      </c>
      <c r="N295" s="17">
        <f t="shared" si="3"/>
        <v>0.66010018179061292</v>
      </c>
      <c r="O295" s="17">
        <f t="shared" si="4"/>
        <v>0.48977290655976491</v>
      </c>
      <c r="P295" s="17">
        <f>$F295/HSP!$E$2</f>
        <v>0.74250872492796438</v>
      </c>
      <c r="Q295" s="17">
        <f>$G295/HSP!$E$3</f>
        <v>0.71719771692173617</v>
      </c>
      <c r="R295" s="17">
        <f>$H295/HSP!$E$4</f>
        <v>0.63053255158135546</v>
      </c>
      <c r="S295" s="17">
        <f>$I295/HSP!$E$5</f>
        <v>0.96364990042425258</v>
      </c>
      <c r="T295" s="17">
        <f>$J295/HSP!$E$6</f>
        <v>0.66185527913481745</v>
      </c>
      <c r="U295" s="18" t="s">
        <v>533</v>
      </c>
      <c r="V295" s="12"/>
      <c r="W295" s="12"/>
      <c r="X295" s="12"/>
      <c r="Y295" s="12"/>
      <c r="Z295" s="12"/>
    </row>
    <row r="296" spans="1:26" ht="15" customHeight="1" x14ac:dyDescent="0.3">
      <c r="A296" s="26" t="s">
        <v>779</v>
      </c>
      <c r="B296" s="17">
        <v>25.2</v>
      </c>
      <c r="C296" s="17">
        <v>9.1999999999999993</v>
      </c>
      <c r="D296" s="17">
        <v>3.7</v>
      </c>
      <c r="E296" s="17">
        <v>20</v>
      </c>
      <c r="F296" s="17">
        <f>SQRT((4*(HSP!$B$2-$B296)^2+(HSP!$C$2-$C296)^2+(HSP!$D$2-$D296)^2))</f>
        <v>21.489206593078304</v>
      </c>
      <c r="G296" s="17">
        <f>SQRT((4*(HSP!$B$3-$B296)^2+(HSP!$C$3-$C296)^2+(HSP!$D$3-$D296)^2))</f>
        <v>19.143312148110628</v>
      </c>
      <c r="H296" s="17">
        <f>SQRT((4*(HSP!$B$4-$B296)^2+(HSP!$C$4-$C296)^2+(HSP!$D$4-$D296)^2))</f>
        <v>20.795287927797489</v>
      </c>
      <c r="I296" s="17">
        <f>SQRT((4*(HSP!$B$5-$B296)^2+(HSP!$C$5-$C296)^2+(HSP!$D$5-$D296)^2))</f>
        <v>21.426219918595066</v>
      </c>
      <c r="J296" s="17">
        <f>SQRT((4*(HSP!$B$6-$B296)^2+(HSP!$C$6-$C296)^2+(HSP!$D$6-$D296)^2))</f>
        <v>20.052805290033611</v>
      </c>
      <c r="K296" s="17">
        <f t="shared" si="0"/>
        <v>1.0744603296539152</v>
      </c>
      <c r="L296" s="17">
        <f t="shared" si="1"/>
        <v>0.95716560740553136</v>
      </c>
      <c r="M296" s="17">
        <f t="shared" si="2"/>
        <v>1.0397643963898744</v>
      </c>
      <c r="N296" s="17">
        <f t="shared" si="3"/>
        <v>1.0713109959297533</v>
      </c>
      <c r="O296" s="17">
        <f t="shared" si="4"/>
        <v>1.0026402645016805</v>
      </c>
      <c r="P296" s="17">
        <f>$F296/HSP!$E$2</f>
        <v>1.3183562327041904</v>
      </c>
      <c r="Q296" s="17">
        <f>$G296/HSP!$E$3</f>
        <v>1.4180231220822688</v>
      </c>
      <c r="R296" s="17">
        <f>$H296/HSP!$E$4</f>
        <v>1.3078797438866345</v>
      </c>
      <c r="S296" s="17">
        <f>$I296/HSP!$E$5</f>
        <v>1.5639576582916108</v>
      </c>
      <c r="T296" s="17">
        <f>$J296/HSP!$E$6</f>
        <v>1.3549192763536222</v>
      </c>
      <c r="U296" s="18" t="s">
        <v>462</v>
      </c>
      <c r="V296" s="12"/>
      <c r="W296" s="12"/>
      <c r="X296" s="12"/>
      <c r="Y296" s="12"/>
      <c r="Z296" s="12"/>
    </row>
    <row r="297" spans="1:26" ht="15" customHeight="1" x14ac:dyDescent="0.3">
      <c r="A297" s="26" t="s">
        <v>780</v>
      </c>
      <c r="B297" s="17">
        <v>23.7</v>
      </c>
      <c r="C297" s="17">
        <v>0.5</v>
      </c>
      <c r="D297" s="17">
        <v>10.3</v>
      </c>
      <c r="E297" s="17">
        <v>20</v>
      </c>
      <c r="F297" s="17">
        <f>SQRT((4*(HSP!$B$2-$B297)^2+(HSP!$C$2-$C297)^2+(HSP!$D$2-$D297)^2))</f>
        <v>21.011044714625687</v>
      </c>
      <c r="G297" s="17">
        <f>SQRT((4*(HSP!$B$3-$B297)^2+(HSP!$C$3-$C297)^2+(HSP!$D$3-$D297)^2))</f>
        <v>18.989902580055539</v>
      </c>
      <c r="H297" s="17">
        <f>SQRT((4*(HSP!$B$4-$B297)^2+(HSP!$C$4-$C297)^2+(HSP!$D$4-$D297)^2))</f>
        <v>17.909941373438382</v>
      </c>
      <c r="I297" s="17">
        <f>SQRT((4*(HSP!$B$5-$B297)^2+(HSP!$C$5-$C297)^2+(HSP!$D$5-$D297)^2))</f>
        <v>20.832304241249933</v>
      </c>
      <c r="J297" s="17">
        <f>SQRT((4*(HSP!$B$6-$B297)^2+(HSP!$C$6-$C297)^2+(HSP!$D$6-$D297)^2))</f>
        <v>19.000710513030821</v>
      </c>
      <c r="K297" s="17">
        <f t="shared" si="0"/>
        <v>1.0505522357312844</v>
      </c>
      <c r="L297" s="17">
        <f t="shared" si="1"/>
        <v>0.94949512900277688</v>
      </c>
      <c r="M297" s="17">
        <f t="shared" si="2"/>
        <v>0.89549706867191914</v>
      </c>
      <c r="N297" s="17">
        <f t="shared" si="3"/>
        <v>1.0416152120624966</v>
      </c>
      <c r="O297" s="17">
        <f t="shared" si="4"/>
        <v>0.95003552565154104</v>
      </c>
      <c r="P297" s="17">
        <f>$F297/HSP!$E$2</f>
        <v>1.2890211481365452</v>
      </c>
      <c r="Q297" s="17">
        <f>$G297/HSP!$E$3</f>
        <v>1.4066594503744843</v>
      </c>
      <c r="R297" s="17">
        <f>$H297/HSP!$E$4</f>
        <v>1.1264114071344895</v>
      </c>
      <c r="S297" s="17">
        <f>$I297/HSP!$E$5</f>
        <v>1.5206061489963456</v>
      </c>
      <c r="T297" s="17">
        <f>$J297/HSP!$E$6</f>
        <v>1.2838317914210013</v>
      </c>
      <c r="U297" s="18" t="s">
        <v>482</v>
      </c>
      <c r="V297" s="12"/>
      <c r="W297" s="12"/>
      <c r="X297" s="12"/>
      <c r="Y297" s="12"/>
      <c r="Z297" s="12"/>
    </row>
    <row r="298" spans="1:26" ht="15" customHeight="1" x14ac:dyDescent="0.3">
      <c r="A298" s="26" t="s">
        <v>781</v>
      </c>
      <c r="B298" s="17">
        <v>20.81</v>
      </c>
      <c r="C298" s="17">
        <v>8.2899999999999991</v>
      </c>
      <c r="D298" s="17">
        <v>14.96</v>
      </c>
      <c r="E298" s="17">
        <v>12.69</v>
      </c>
      <c r="F298" s="17">
        <f>SQRT((4*(HSP!$B$2-$B298)^2+(HSP!$C$2-$C298)^2+(HSP!$D$2-$D298)^2))</f>
        <v>14.92131696600538</v>
      </c>
      <c r="G298" s="17">
        <f>SQRT((4*(HSP!$B$3-$B298)^2+(HSP!$C$3-$C298)^2+(HSP!$D$3-$D298)^2))</f>
        <v>13.793987820786271</v>
      </c>
      <c r="H298" s="17">
        <f>SQRT((4*(HSP!$B$4-$B298)^2+(HSP!$C$4-$C298)^2+(HSP!$D$4-$D298)^2))</f>
        <v>14.382492829826127</v>
      </c>
      <c r="I298" s="17">
        <f>SQRT((4*(HSP!$B$5-$B298)^2+(HSP!$C$5-$C298)^2+(HSP!$D$5-$D298)^2))</f>
        <v>12.594927550406949</v>
      </c>
      <c r="J298" s="17">
        <f>SQRT((4*(HSP!$B$6-$B298)^2+(HSP!$C$6-$C298)^2+(HSP!$D$6-$D298)^2))</f>
        <v>15.800572774428147</v>
      </c>
      <c r="K298" s="17">
        <f t="shared" si="0"/>
        <v>1.1758327002368305</v>
      </c>
      <c r="L298" s="17">
        <f t="shared" si="1"/>
        <v>1.0869966761848913</v>
      </c>
      <c r="M298" s="17">
        <f t="shared" si="2"/>
        <v>1.1333721694110424</v>
      </c>
      <c r="N298" s="17">
        <f t="shared" si="3"/>
        <v>0.99250808119834111</v>
      </c>
      <c r="O298" s="17">
        <f t="shared" si="4"/>
        <v>1.2451199979848817</v>
      </c>
      <c r="P298" s="17">
        <f>$F298/HSP!$E$2</f>
        <v>0.91541821877333618</v>
      </c>
      <c r="Q298" s="17">
        <f>$G298/HSP!$E$3</f>
        <v>1.0217768756137977</v>
      </c>
      <c r="R298" s="17">
        <f>$H298/HSP!$E$4</f>
        <v>0.90455929747334129</v>
      </c>
      <c r="S298" s="17">
        <f>$I298/HSP!$E$5</f>
        <v>0.91933777740196709</v>
      </c>
      <c r="T298" s="17">
        <f>$J298/HSP!$E$6</f>
        <v>1.0676062685424423</v>
      </c>
      <c r="U298" s="18" t="s">
        <v>452</v>
      </c>
      <c r="V298" s="12"/>
      <c r="W298" s="12"/>
      <c r="X298" s="12"/>
      <c r="Y298" s="12"/>
      <c r="Z298" s="12"/>
    </row>
    <row r="299" spans="1:26" ht="15" customHeight="1" x14ac:dyDescent="0.3">
      <c r="A299" s="26" t="s">
        <v>782</v>
      </c>
      <c r="B299" s="17">
        <v>18.5</v>
      </c>
      <c r="C299" s="17">
        <v>9.2100000000000009</v>
      </c>
      <c r="D299" s="17">
        <v>4.91</v>
      </c>
      <c r="E299" s="17">
        <v>10.64</v>
      </c>
      <c r="F299" s="17">
        <f>SQRT((4*(HSP!$B$2-$B299)^2+(HSP!$C$2-$C299)^2+(HSP!$D$2-$D299)^2))</f>
        <v>8.166235362760494</v>
      </c>
      <c r="G299" s="17">
        <f>SQRT((4*(HSP!$B$3-$B299)^2+(HSP!$C$3-$C299)^2+(HSP!$D$3-$D299)^2))</f>
        <v>5.7109543860899485</v>
      </c>
      <c r="H299" s="17">
        <f>SQRT((4*(HSP!$B$4-$B299)^2+(HSP!$C$4-$C299)^2+(HSP!$D$4-$D299)^2))</f>
        <v>8.2733669083390726</v>
      </c>
      <c r="I299" s="17">
        <f>SQRT((4*(HSP!$B$5-$B299)^2+(HSP!$C$5-$C299)^2+(HSP!$D$5-$D299)^2))</f>
        <v>9.5022155311274652</v>
      </c>
      <c r="J299" s="17">
        <f>SQRT((4*(HSP!$B$6-$B299)^2+(HSP!$C$6-$C299)^2+(HSP!$D$6-$D299)^2))</f>
        <v>7.1122148448988822</v>
      </c>
      <c r="K299" s="17">
        <f t="shared" si="0"/>
        <v>0.76750332356771556</v>
      </c>
      <c r="L299" s="17">
        <f t="shared" si="1"/>
        <v>0.53674383327913044</v>
      </c>
      <c r="M299" s="17">
        <f t="shared" si="2"/>
        <v>0.77757207785141658</v>
      </c>
      <c r="N299" s="17">
        <f t="shared" si="3"/>
        <v>0.89306536946686699</v>
      </c>
      <c r="O299" s="17">
        <f t="shared" si="4"/>
        <v>0.6684412448213235</v>
      </c>
      <c r="P299" s="17">
        <f>$F299/HSP!$E$2</f>
        <v>0.50099603452518371</v>
      </c>
      <c r="Q299" s="17">
        <f>$G299/HSP!$E$3</f>
        <v>0.42303365822888506</v>
      </c>
      <c r="R299" s="17">
        <f>$H299/HSP!$E$4</f>
        <v>0.52033754140497313</v>
      </c>
      <c r="S299" s="17">
        <f>$I299/HSP!$E$5</f>
        <v>0.69359237453485156</v>
      </c>
      <c r="T299" s="17">
        <f>$J299/HSP!$E$6</f>
        <v>0.48055505708776231</v>
      </c>
      <c r="U299" s="18" t="s">
        <v>452</v>
      </c>
      <c r="V299" s="12"/>
      <c r="W299" s="12"/>
      <c r="X299" s="12"/>
      <c r="Y299" s="12"/>
      <c r="Z299" s="12"/>
    </row>
    <row r="300" spans="1:26" ht="15" customHeight="1" x14ac:dyDescent="0.3">
      <c r="A300" s="26" t="s">
        <v>783</v>
      </c>
      <c r="B300" s="17">
        <v>18.399999999999999</v>
      </c>
      <c r="C300" s="17">
        <v>9.4</v>
      </c>
      <c r="D300" s="17">
        <v>6.5</v>
      </c>
      <c r="E300" s="17">
        <v>10.7</v>
      </c>
      <c r="F300" s="17">
        <f>SQRT((4*(HSP!$B$2-$B300)^2+(HSP!$C$2-$C300)^2+(HSP!$D$2-$D300)^2))</f>
        <v>7.6885629346451978</v>
      </c>
      <c r="G300" s="17">
        <f>SQRT((4*(HSP!$B$3-$B300)^2+(HSP!$C$3-$C300)^2+(HSP!$D$3-$D300)^2))</f>
        <v>5.4686744280492672</v>
      </c>
      <c r="H300" s="17">
        <f>SQRT((4*(HSP!$B$4-$B300)^2+(HSP!$C$4-$C300)^2+(HSP!$D$4-$D300)^2))</f>
        <v>8.0062475604992365</v>
      </c>
      <c r="I300" s="17">
        <f>SQRT((4*(HSP!$B$5-$B300)^2+(HSP!$C$5-$C300)^2+(HSP!$D$5-$D300)^2))</f>
        <v>8.3567278285223558</v>
      </c>
      <c r="J300" s="17">
        <f>SQRT((4*(HSP!$B$6-$B300)^2+(HSP!$C$6-$C300)^2+(HSP!$D$6-$D300)^2))</f>
        <v>7.4182882122495064</v>
      </c>
      <c r="K300" s="17">
        <f t="shared" si="0"/>
        <v>0.71855728361170079</v>
      </c>
      <c r="L300" s="17">
        <f t="shared" si="1"/>
        <v>0.51109106804198767</v>
      </c>
      <c r="M300" s="17">
        <f t="shared" si="2"/>
        <v>0.74824743556067641</v>
      </c>
      <c r="N300" s="17">
        <f t="shared" si="3"/>
        <v>0.78100260079648187</v>
      </c>
      <c r="O300" s="17">
        <f t="shared" si="4"/>
        <v>0.6932979637616361</v>
      </c>
      <c r="P300" s="17">
        <f>$F300/HSP!$E$2</f>
        <v>0.47169097758559492</v>
      </c>
      <c r="Q300" s="17">
        <f>$G300/HSP!$E$3</f>
        <v>0.40508699467031611</v>
      </c>
      <c r="R300" s="17">
        <f>$H300/HSP!$E$4</f>
        <v>0.50353758242133562</v>
      </c>
      <c r="S300" s="17">
        <f>$I300/HSP!$E$5</f>
        <v>0.6099801334687851</v>
      </c>
      <c r="T300" s="17">
        <f>$J300/HSP!$E$6</f>
        <v>0.50123569001685853</v>
      </c>
      <c r="U300" s="18" t="s">
        <v>784</v>
      </c>
      <c r="V300" s="12"/>
      <c r="W300" s="12"/>
      <c r="X300" s="12"/>
      <c r="Y300" s="12"/>
      <c r="Z300" s="12"/>
    </row>
    <row r="301" spans="1:26" ht="15" customHeight="1" x14ac:dyDescent="0.3">
      <c r="A301" s="26" t="s">
        <v>785</v>
      </c>
      <c r="B301" s="17">
        <v>18.600000000000001</v>
      </c>
      <c r="C301" s="17">
        <v>10.8</v>
      </c>
      <c r="D301" s="17">
        <v>4.0999999999999996</v>
      </c>
      <c r="E301" s="17">
        <v>11.5</v>
      </c>
      <c r="F301" s="17">
        <f>SQRT((4*(HSP!$B$2-$B301)^2+(HSP!$C$2-$C301)^2+(HSP!$D$2-$D301)^2))</f>
        <v>8.5094065598019277</v>
      </c>
      <c r="G301" s="17">
        <f>SQRT((4*(HSP!$B$3-$B301)^2+(HSP!$C$3-$C301)^2+(HSP!$D$3-$D301)^2))</f>
        <v>6.1749817813496461</v>
      </c>
      <c r="H301" s="17">
        <f>SQRT((4*(HSP!$B$4-$B301)^2+(HSP!$C$4-$C301)^2+(HSP!$D$4-$D301)^2))</f>
        <v>9.5814403927593297</v>
      </c>
      <c r="I301" s="17">
        <f>SQRT((4*(HSP!$B$5-$B301)^2+(HSP!$C$5-$C301)^2+(HSP!$D$5-$D301)^2))</f>
        <v>9.7309249303444965</v>
      </c>
      <c r="J301" s="17">
        <f>SQRT((4*(HSP!$B$6-$B301)^2+(HSP!$C$6-$C301)^2+(HSP!$D$6-$D301)^2))</f>
        <v>7.9696298533871737</v>
      </c>
      <c r="K301" s="17">
        <f t="shared" si="0"/>
        <v>0.73994839650451549</v>
      </c>
      <c r="L301" s="17">
        <f t="shared" si="1"/>
        <v>0.53695493750866485</v>
      </c>
      <c r="M301" s="17">
        <f t="shared" si="2"/>
        <v>0.8331687298051591</v>
      </c>
      <c r="N301" s="17">
        <f t="shared" si="3"/>
        <v>0.84616738524734747</v>
      </c>
      <c r="O301" s="17">
        <f t="shared" si="4"/>
        <v>0.69301129159888464</v>
      </c>
      <c r="P301" s="17">
        <f>$F301/HSP!$E$2</f>
        <v>0.52204948219643721</v>
      </c>
      <c r="Q301" s="17">
        <f>$G301/HSP!$E$3</f>
        <v>0.45740605787775157</v>
      </c>
      <c r="R301" s="17">
        <f>$H301/HSP!$E$4</f>
        <v>0.60260631401002074</v>
      </c>
      <c r="S301" s="17">
        <f>$I301/HSP!$E$5</f>
        <v>0.71028649126602172</v>
      </c>
      <c r="T301" s="17">
        <f>$J301/HSP!$E$6</f>
        <v>0.53848850360724143</v>
      </c>
      <c r="U301" s="18" t="s">
        <v>464</v>
      </c>
      <c r="V301" s="12"/>
      <c r="W301" s="12"/>
      <c r="X301" s="12"/>
      <c r="Y301" s="12"/>
      <c r="Z301" s="12"/>
    </row>
    <row r="302" spans="1:26" ht="15" customHeight="1" x14ac:dyDescent="0.3">
      <c r="A302" s="26" t="s">
        <v>786</v>
      </c>
      <c r="B302" s="17">
        <v>18.100000000000001</v>
      </c>
      <c r="C302" s="17">
        <v>4.7</v>
      </c>
      <c r="D302" s="17">
        <v>3.7</v>
      </c>
      <c r="E302" s="17">
        <v>3.9</v>
      </c>
      <c r="F302" s="17">
        <f>SQRT((4*(HSP!$B$2-$B302)^2+(HSP!$C$2-$C302)^2+(HSP!$D$2-$D302)^2))</f>
        <v>9.6403319444923721</v>
      </c>
      <c r="G302" s="17">
        <f>SQRT((4*(HSP!$B$3-$B302)^2+(HSP!$C$3-$C302)^2+(HSP!$D$3-$D302)^2))</f>
        <v>7.2338371560327532</v>
      </c>
      <c r="H302" s="17">
        <f>SQRT((4*(HSP!$B$4-$B302)^2+(HSP!$C$4-$C302)^2+(HSP!$D$4-$D302)^2))</f>
        <v>6.6294796175868909</v>
      </c>
      <c r="I302" s="17">
        <f>SQRT((4*(HSP!$B$5-$B302)^2+(HSP!$C$5-$C302)^2+(HSP!$D$5-$D302)^2))</f>
        <v>12.191345290820044</v>
      </c>
      <c r="J302" s="17">
        <f>SQRT((4*(HSP!$B$6-$B302)^2+(HSP!$C$6-$C302)^2+(HSP!$D$6-$D302)^2))</f>
        <v>5.920388500765811</v>
      </c>
      <c r="K302" s="17">
        <f t="shared" si="0"/>
        <v>2.4718799857672749</v>
      </c>
      <c r="L302" s="17">
        <f t="shared" si="1"/>
        <v>1.8548300400083984</v>
      </c>
      <c r="M302" s="17">
        <f t="shared" si="2"/>
        <v>1.6998665686120233</v>
      </c>
      <c r="N302" s="17">
        <f t="shared" si="3"/>
        <v>3.1259859720051395</v>
      </c>
      <c r="O302" s="17">
        <f t="shared" si="4"/>
        <v>1.5180483335296953</v>
      </c>
      <c r="P302" s="17">
        <f>$F302/HSP!$E$2</f>
        <v>0.59143140763756885</v>
      </c>
      <c r="Q302" s="17">
        <f>$G302/HSP!$E$3</f>
        <v>0.53583978933575949</v>
      </c>
      <c r="R302" s="17">
        <f>$H302/HSP!$E$4</f>
        <v>0.41694840362181701</v>
      </c>
      <c r="S302" s="17">
        <f>$I302/HSP!$E$5</f>
        <v>0.8898792183080324</v>
      </c>
      <c r="T302" s="17">
        <f>$J302/HSP!$E$6</f>
        <v>0.40002625005174397</v>
      </c>
      <c r="U302" s="18" t="s">
        <v>454</v>
      </c>
      <c r="V302" s="12"/>
      <c r="W302" s="12"/>
      <c r="X302" s="12"/>
      <c r="Y302" s="12"/>
      <c r="Z302" s="12"/>
    </row>
    <row r="303" spans="1:26" ht="15" customHeight="1" x14ac:dyDescent="0.3">
      <c r="A303" s="26" t="s">
        <v>787</v>
      </c>
      <c r="B303" s="17">
        <v>16.47</v>
      </c>
      <c r="C303" s="17">
        <v>0.37</v>
      </c>
      <c r="D303" s="17">
        <v>2.84</v>
      </c>
      <c r="E303" s="17">
        <v>8.59</v>
      </c>
      <c r="F303" s="17">
        <f>SQRT((4*(HSP!$B$2-$B303)^2+(HSP!$C$2-$C303)^2+(HSP!$D$2-$D303)^2))</f>
        <v>11.529757152689733</v>
      </c>
      <c r="G303" s="17">
        <f>SQRT((4*(HSP!$B$3-$B303)^2+(HSP!$C$3-$C303)^2+(HSP!$D$3-$D303)^2))</f>
        <v>9.8801872451892336</v>
      </c>
      <c r="H303" s="17">
        <f>SQRT((4*(HSP!$B$4-$B303)^2+(HSP!$C$4-$C303)^2+(HSP!$D$4-$D303)^2))</f>
        <v>6.404506226088003</v>
      </c>
      <c r="I303" s="17">
        <f>SQRT((4*(HSP!$B$5-$B303)^2+(HSP!$C$5-$C303)^2+(HSP!$D$5-$D303)^2))</f>
        <v>14.9576268171124</v>
      </c>
      <c r="J303" s="17">
        <f>SQRT((4*(HSP!$B$6-$B303)^2+(HSP!$C$6-$C303)^2+(HSP!$D$6-$D303)^2))</f>
        <v>6.5957334694482608</v>
      </c>
      <c r="K303" s="17">
        <f t="shared" si="0"/>
        <v>1.342230169114055</v>
      </c>
      <c r="L303" s="17">
        <f t="shared" si="1"/>
        <v>1.1501964196960692</v>
      </c>
      <c r="M303" s="17">
        <f t="shared" si="2"/>
        <v>0.74557697626170005</v>
      </c>
      <c r="N303" s="17">
        <f t="shared" si="3"/>
        <v>1.7412836806882888</v>
      </c>
      <c r="O303" s="17">
        <f t="shared" si="4"/>
        <v>0.76783858782866832</v>
      </c>
      <c r="P303" s="17">
        <f>$F303/HSP!$E$2</f>
        <v>0.70734706458219221</v>
      </c>
      <c r="Q303" s="17">
        <f>$G303/HSP!$E$3</f>
        <v>0.73186572186586918</v>
      </c>
      <c r="R303" s="17">
        <f>$H303/HSP!$E$4</f>
        <v>0.40279913371622661</v>
      </c>
      <c r="S303" s="17">
        <f>$I303/HSP!$E$5</f>
        <v>1.0917975778914162</v>
      </c>
      <c r="T303" s="17">
        <f>$J303/HSP!$E$6</f>
        <v>0.44565766685461217</v>
      </c>
      <c r="U303" s="18" t="s">
        <v>452</v>
      </c>
      <c r="V303" s="12"/>
      <c r="W303" s="12"/>
      <c r="X303" s="12"/>
      <c r="Y303" s="12"/>
      <c r="Z303" s="12"/>
    </row>
    <row r="304" spans="1:26" ht="15" customHeight="1" x14ac:dyDescent="0.3">
      <c r="A304" s="26" t="s">
        <v>788</v>
      </c>
      <c r="B304" s="17">
        <v>18.64</v>
      </c>
      <c r="C304" s="17">
        <v>10.52</v>
      </c>
      <c r="D304" s="17">
        <v>7.51</v>
      </c>
      <c r="E304" s="17">
        <v>8.59</v>
      </c>
      <c r="F304" s="17">
        <f>SQRT((4*(HSP!$B$2-$B304)^2+(HSP!$C$2-$C304)^2+(HSP!$D$2-$D304)^2))</f>
        <v>8.0975860600551837</v>
      </c>
      <c r="G304" s="17">
        <f>SQRT((4*(HSP!$B$3-$B304)^2+(HSP!$C$3-$C304)^2+(HSP!$D$3-$D304)^2))</f>
        <v>6.1972332536382728</v>
      </c>
      <c r="H304" s="17">
        <f>SQRT((4*(HSP!$B$4-$B304)^2+(HSP!$C$4-$C304)^2+(HSP!$D$4-$D304)^2))</f>
        <v>9.097983293016096</v>
      </c>
      <c r="I304" s="17">
        <f>SQRT((4*(HSP!$B$5-$B304)^2+(HSP!$C$5-$C304)^2+(HSP!$D$5-$D304)^2))</f>
        <v>7.8717215397903928</v>
      </c>
      <c r="J304" s="17">
        <f>SQRT((4*(HSP!$B$6-$B304)^2+(HSP!$C$6-$C304)^2+(HSP!$D$6-$D304)^2))</f>
        <v>8.6920250804976416</v>
      </c>
      <c r="K304" s="17">
        <f t="shared" si="0"/>
        <v>0.94267590920316457</v>
      </c>
      <c r="L304" s="17">
        <f t="shared" si="1"/>
        <v>0.72144741020236003</v>
      </c>
      <c r="M304" s="17">
        <f t="shared" si="2"/>
        <v>1.0591365882440158</v>
      </c>
      <c r="N304" s="17">
        <f t="shared" si="3"/>
        <v>0.91638201860190838</v>
      </c>
      <c r="O304" s="17">
        <f t="shared" si="4"/>
        <v>1.0118771921417511</v>
      </c>
      <c r="P304" s="17">
        <f>$F304/HSP!$E$2</f>
        <v>0.4967844208622812</v>
      </c>
      <c r="Q304" s="17">
        <f>$G304/HSP!$E$3</f>
        <v>0.45905431508431649</v>
      </c>
      <c r="R304" s="17">
        <f>$H304/HSP!$E$4</f>
        <v>0.57220020710793051</v>
      </c>
      <c r="S304" s="17">
        <f>$I304/HSP!$E$5</f>
        <v>0.57457821458324043</v>
      </c>
      <c r="T304" s="17">
        <f>$J304/HSP!$E$6</f>
        <v>0.58729899192551627</v>
      </c>
      <c r="U304" s="18" t="s">
        <v>454</v>
      </c>
      <c r="V304" s="12"/>
      <c r="W304" s="12"/>
      <c r="X304" s="12"/>
      <c r="Y304" s="12"/>
      <c r="Z304" s="12"/>
    </row>
    <row r="305" spans="1:26" ht="15" customHeight="1" x14ac:dyDescent="0.3">
      <c r="A305" s="26" t="s">
        <v>788</v>
      </c>
      <c r="B305" s="17">
        <v>18.100000000000001</v>
      </c>
      <c r="C305" s="17">
        <v>10.5</v>
      </c>
      <c r="D305" s="17">
        <v>5.0999999999999996</v>
      </c>
      <c r="E305" s="17">
        <v>9.5</v>
      </c>
      <c r="F305" s="17">
        <f>SQRT((4*(HSP!$B$2-$B305)^2+(HSP!$C$2-$C305)^2+(HSP!$D$2-$D305)^2))</f>
        <v>7.2481721833852744</v>
      </c>
      <c r="G305" s="17">
        <f>SQRT((4*(HSP!$B$3-$B305)^2+(HSP!$C$3-$C305)^2+(HSP!$D$3-$D305)^2))</f>
        <v>4.9453412420175855</v>
      </c>
      <c r="H305" s="17">
        <f>SQRT((4*(HSP!$B$4-$B305)^2+(HSP!$C$4-$C305)^2+(HSP!$D$4-$D305)^2))</f>
        <v>8.4322001873769601</v>
      </c>
      <c r="I305" s="17">
        <f>SQRT((4*(HSP!$B$5-$B305)^2+(HSP!$C$5-$C305)^2+(HSP!$D$5-$D305)^2))</f>
        <v>8.4233544387019634</v>
      </c>
      <c r="J305" s="17">
        <f>SQRT((4*(HSP!$B$6-$B305)^2+(HSP!$C$6-$C305)^2+(HSP!$D$6-$D305)^2))</f>
        <v>7.0825842741191609</v>
      </c>
      <c r="K305" s="17">
        <f t="shared" si="0"/>
        <v>0.7629654929879236</v>
      </c>
      <c r="L305" s="17">
        <f t="shared" si="1"/>
        <v>0.52056223600185114</v>
      </c>
      <c r="M305" s="17">
        <f t="shared" si="2"/>
        <v>0.88760001972389058</v>
      </c>
      <c r="N305" s="17">
        <f t="shared" si="3"/>
        <v>0.88666888828441726</v>
      </c>
      <c r="O305" s="17">
        <f t="shared" si="4"/>
        <v>0.74553518674938535</v>
      </c>
      <c r="P305" s="17">
        <f>$F305/HSP!$E$2</f>
        <v>0.44467314008498615</v>
      </c>
      <c r="Q305" s="17">
        <f>$G305/HSP!$E$3</f>
        <v>0.3663215734827841</v>
      </c>
      <c r="R305" s="17">
        <f>$H305/HSP!$E$4</f>
        <v>0.53032705580987172</v>
      </c>
      <c r="S305" s="17">
        <f>$I305/HSP!$E$5</f>
        <v>0.61484338968627472</v>
      </c>
      <c r="T305" s="17">
        <f>$J305/HSP!$E$6</f>
        <v>0.47855299149453789</v>
      </c>
      <c r="U305" s="18" t="s">
        <v>789</v>
      </c>
      <c r="V305" s="12"/>
      <c r="W305" s="12"/>
      <c r="X305" s="12"/>
      <c r="Y305" s="12"/>
      <c r="Z305" s="12"/>
    </row>
    <row r="306" spans="1:26" ht="15" customHeight="1" x14ac:dyDescent="0.3">
      <c r="A306" s="26" t="s">
        <v>790</v>
      </c>
      <c r="B306" s="17">
        <v>17.8</v>
      </c>
      <c r="C306" s="17">
        <v>10.4</v>
      </c>
      <c r="D306" s="17">
        <v>2.9</v>
      </c>
      <c r="E306" s="17">
        <v>9.6</v>
      </c>
      <c r="F306" s="17">
        <f>SQRT((4*(HSP!$B$2-$B306)^2+(HSP!$C$2-$C306)^2+(HSP!$D$2-$D306)^2))</f>
        <v>7.5901251636583718</v>
      </c>
      <c r="G306" s="17">
        <f>SQRT((4*(HSP!$B$3-$B306)^2+(HSP!$C$3-$C306)^2+(HSP!$D$3-$D306)^2))</f>
        <v>5.184824008585057</v>
      </c>
      <c r="H306" s="17">
        <f>SQRT((4*(HSP!$B$4-$B306)^2+(HSP!$C$4-$C306)^2+(HSP!$D$4-$D306)^2))</f>
        <v>8.6945960228178532</v>
      </c>
      <c r="I306" s="17">
        <f>SQRT((4*(HSP!$B$5-$B306)^2+(HSP!$C$5-$C306)^2+(HSP!$D$5-$D306)^2))</f>
        <v>9.7707164527479762</v>
      </c>
      <c r="J306" s="17">
        <f>SQRT((4*(HSP!$B$6-$B306)^2+(HSP!$C$6-$C306)^2+(HSP!$D$6-$D306)^2))</f>
        <v>6.5013075607911395</v>
      </c>
      <c r="K306" s="17">
        <f t="shared" si="0"/>
        <v>0.79063803788108045</v>
      </c>
      <c r="L306" s="17">
        <f t="shared" si="1"/>
        <v>0.54008583422761014</v>
      </c>
      <c r="M306" s="17">
        <f t="shared" si="2"/>
        <v>0.90568708571019307</v>
      </c>
      <c r="N306" s="17">
        <f t="shared" si="3"/>
        <v>1.0177829638279143</v>
      </c>
      <c r="O306" s="17">
        <f t="shared" si="4"/>
        <v>0.67721953758241038</v>
      </c>
      <c r="P306" s="17">
        <f>$F306/HSP!$E$2</f>
        <v>0.4656518505311884</v>
      </c>
      <c r="Q306" s="17">
        <f>$G306/HSP!$E$3</f>
        <v>0.38406103767296718</v>
      </c>
      <c r="R306" s="17">
        <f>$H306/HSP!$E$4</f>
        <v>0.54682993854200335</v>
      </c>
      <c r="S306" s="17">
        <f>$I306/HSP!$E$5</f>
        <v>0.71319098195240704</v>
      </c>
      <c r="T306" s="17">
        <f>$J306/HSP!$E$6</f>
        <v>0.4392775378912932</v>
      </c>
      <c r="U306" s="18" t="s">
        <v>454</v>
      </c>
      <c r="V306" s="12"/>
      <c r="W306" s="12"/>
      <c r="X306" s="12"/>
      <c r="Y306" s="12"/>
      <c r="Z306" s="12"/>
    </row>
    <row r="307" spans="1:26" ht="15" customHeight="1" x14ac:dyDescent="0.3">
      <c r="A307" s="26" t="s">
        <v>790</v>
      </c>
      <c r="B307" s="17">
        <v>17.600000000000001</v>
      </c>
      <c r="C307" s="17">
        <v>10.1</v>
      </c>
      <c r="D307" s="17">
        <v>5.8</v>
      </c>
      <c r="E307" s="17">
        <v>9.4</v>
      </c>
      <c r="F307" s="17">
        <f>SQRT((4*(HSP!$B$2-$B307)^2+(HSP!$C$2-$C307)^2+(HSP!$D$2-$D307)^2))</f>
        <v>6.125520386057012</v>
      </c>
      <c r="G307" s="17">
        <f>SQRT((4*(HSP!$B$3-$B307)^2+(HSP!$C$3-$C307)^2+(HSP!$D$3-$D307)^2))</f>
        <v>3.845308830250183</v>
      </c>
      <c r="H307" s="17">
        <f>SQRT((4*(HSP!$B$4-$B307)^2+(HSP!$C$4-$C307)^2+(HSP!$D$4-$D307)^2))</f>
        <v>7.3481970577822713</v>
      </c>
      <c r="I307" s="17">
        <f>SQRT((4*(HSP!$B$5-$B307)^2+(HSP!$C$5-$C307)^2+(HSP!$D$5-$D307)^2))</f>
        <v>7.4092442259652938</v>
      </c>
      <c r="J307" s="17">
        <f>SQRT((4*(HSP!$B$6-$B307)^2+(HSP!$C$6-$C307)^2+(HSP!$D$6-$D307)^2))</f>
        <v>6.2439570786481262</v>
      </c>
      <c r="K307" s="17">
        <f t="shared" si="0"/>
        <v>0.65165110489968214</v>
      </c>
      <c r="L307" s="17">
        <f t="shared" si="1"/>
        <v>0.40907540747342369</v>
      </c>
      <c r="M307" s="17">
        <f t="shared" si="2"/>
        <v>0.78172309125343309</v>
      </c>
      <c r="N307" s="17">
        <f t="shared" si="3"/>
        <v>0.78821747084737159</v>
      </c>
      <c r="O307" s="17">
        <f t="shared" si="4"/>
        <v>0.664250753047673</v>
      </c>
      <c r="P307" s="17">
        <f>$F307/HSP!$E$2</f>
        <v>0.37579879669061422</v>
      </c>
      <c r="Q307" s="17">
        <f>$G307/HSP!$E$3</f>
        <v>0.28483769112964319</v>
      </c>
      <c r="R307" s="17">
        <f>$H307/HSP!$E$4</f>
        <v>0.46215075835108621</v>
      </c>
      <c r="S307" s="17">
        <f>$I307/HSP!$E$5</f>
        <v>0.54082074642082434</v>
      </c>
      <c r="T307" s="17">
        <f>$J307/HSP!$E$6</f>
        <v>0.42188899180054906</v>
      </c>
      <c r="U307" s="18" t="s">
        <v>547</v>
      </c>
      <c r="V307" s="12"/>
      <c r="W307" s="12"/>
      <c r="X307" s="12"/>
      <c r="Y307" s="12"/>
      <c r="Z307" s="12"/>
    </row>
    <row r="308" spans="1:26" ht="15" customHeight="1" x14ac:dyDescent="0.3">
      <c r="A308" s="26" t="s">
        <v>791</v>
      </c>
      <c r="B308" s="17">
        <v>17.2</v>
      </c>
      <c r="C308" s="17">
        <v>7.2</v>
      </c>
      <c r="D308" s="17">
        <v>3.5</v>
      </c>
      <c r="E308" s="17">
        <v>4.8</v>
      </c>
      <c r="F308" s="17">
        <f>SQRT((4*(HSP!$B$2-$B308)^2+(HSP!$C$2-$C308)^2+(HSP!$D$2-$D308)^2))</f>
        <v>7.0553525780077075</v>
      </c>
      <c r="G308" s="17">
        <f>SQRT((4*(HSP!$B$3-$B308)^2+(HSP!$C$3-$C308)^2+(HSP!$D$3-$D308)^2))</f>
        <v>4.5336960639195913</v>
      </c>
      <c r="H308" s="17">
        <f>SQRT((4*(HSP!$B$4-$B308)^2+(HSP!$C$4-$C308)^2+(HSP!$D$4-$D308)^2))</f>
        <v>5.8072368644648886</v>
      </c>
      <c r="I308" s="17">
        <f>SQRT((4*(HSP!$B$5-$B308)^2+(HSP!$C$5-$C308)^2+(HSP!$D$5-$D308)^2))</f>
        <v>10.028703804580131</v>
      </c>
      <c r="J308" s="17">
        <f>SQRT((4*(HSP!$B$6-$B308)^2+(HSP!$C$6-$C308)^2+(HSP!$D$6-$D308)^2))</f>
        <v>3.951581961695847</v>
      </c>
      <c r="K308" s="17">
        <f t="shared" si="0"/>
        <v>1.4698651204182724</v>
      </c>
      <c r="L308" s="17">
        <f t="shared" si="1"/>
        <v>0.94452001331658153</v>
      </c>
      <c r="M308" s="17">
        <f t="shared" si="2"/>
        <v>1.2098410134301851</v>
      </c>
      <c r="N308" s="17">
        <f t="shared" si="3"/>
        <v>2.0893132926208606</v>
      </c>
      <c r="O308" s="17">
        <f t="shared" si="4"/>
        <v>0.8232462420199681</v>
      </c>
      <c r="P308" s="17">
        <f>$F308/HSP!$E$2</f>
        <v>0.43284371644219061</v>
      </c>
      <c r="Q308" s="17">
        <f>$G308/HSP!$E$3</f>
        <v>0.33582933806811788</v>
      </c>
      <c r="R308" s="17">
        <f>$H308/HSP!$E$4</f>
        <v>0.36523502292232002</v>
      </c>
      <c r="S308" s="17">
        <f>$I308/HSP!$E$5</f>
        <v>0.73202217551679793</v>
      </c>
      <c r="T308" s="17">
        <f>$J308/HSP!$E$6</f>
        <v>0.26699878119566534</v>
      </c>
      <c r="U308" s="18" t="s">
        <v>547</v>
      </c>
      <c r="V308" s="12"/>
      <c r="W308" s="12"/>
      <c r="X308" s="12"/>
      <c r="Y308" s="12"/>
      <c r="Z308" s="12"/>
    </row>
    <row r="309" spans="1:26" ht="15" customHeight="1" x14ac:dyDescent="0.3">
      <c r="A309" s="26" t="s">
        <v>791</v>
      </c>
      <c r="B309" s="17">
        <v>17.5</v>
      </c>
      <c r="C309" s="17">
        <v>5.5</v>
      </c>
      <c r="D309" s="17">
        <v>3.8</v>
      </c>
      <c r="E309" s="17">
        <v>4.5</v>
      </c>
      <c r="F309" s="17">
        <f>SQRT((4*(HSP!$B$2-$B309)^2+(HSP!$C$2-$C309)^2+(HSP!$D$2-$D309)^2))</f>
        <v>8.2676477912402646</v>
      </c>
      <c r="G309" s="17">
        <f>SQRT((4*(HSP!$B$3-$B309)^2+(HSP!$C$3-$C309)^2+(HSP!$D$3-$D309)^2))</f>
        <v>5.872852799108796</v>
      </c>
      <c r="H309" s="17">
        <f>SQRT((4*(HSP!$B$4-$B309)^2+(HSP!$C$4-$C309)^2+(HSP!$D$4-$D309)^2))</f>
        <v>5.6024994422132703</v>
      </c>
      <c r="I309" s="17">
        <f>SQRT((4*(HSP!$B$5-$B309)^2+(HSP!$C$5-$C309)^2+(HSP!$D$5-$D309)^2))</f>
        <v>11.084083182654306</v>
      </c>
      <c r="J309" s="17">
        <f>SQRT((4*(HSP!$B$6-$B309)^2+(HSP!$C$6-$C309)^2+(HSP!$D$6-$D309)^2))</f>
        <v>4.556204560815944</v>
      </c>
      <c r="K309" s="17">
        <f t="shared" si="0"/>
        <v>1.8372550647200587</v>
      </c>
      <c r="L309" s="17">
        <f t="shared" si="1"/>
        <v>1.3050783998019546</v>
      </c>
      <c r="M309" s="17">
        <f t="shared" si="2"/>
        <v>1.2449998760473935</v>
      </c>
      <c r="N309" s="17">
        <f t="shared" si="3"/>
        <v>2.4631295961454014</v>
      </c>
      <c r="O309" s="17">
        <f t="shared" si="4"/>
        <v>1.0124899024035432</v>
      </c>
      <c r="P309" s="17">
        <f>$F309/HSP!$E$2</f>
        <v>0.50721765590431067</v>
      </c>
      <c r="Q309" s="17">
        <f>$G309/HSP!$E$3</f>
        <v>0.4350261332673182</v>
      </c>
      <c r="R309" s="17">
        <f>$H309/HSP!$E$4</f>
        <v>0.35235845548511135</v>
      </c>
      <c r="S309" s="17">
        <f>$I309/HSP!$E$5</f>
        <v>0.80905716661710259</v>
      </c>
      <c r="T309" s="17">
        <f>$J309/HSP!$E$6</f>
        <v>0.30785165951459081</v>
      </c>
      <c r="U309" s="18" t="s">
        <v>490</v>
      </c>
      <c r="V309" s="12"/>
      <c r="W309" s="12"/>
      <c r="X309" s="12"/>
      <c r="Y309" s="12"/>
      <c r="Z309" s="12"/>
    </row>
    <row r="310" spans="1:26" ht="15" customHeight="1" x14ac:dyDescent="0.3">
      <c r="A310" s="26" t="s">
        <v>792</v>
      </c>
      <c r="B310" s="17">
        <v>16</v>
      </c>
      <c r="C310" s="17">
        <v>5</v>
      </c>
      <c r="D310" s="17">
        <v>12</v>
      </c>
      <c r="E310" s="17">
        <v>13</v>
      </c>
      <c r="F310" s="17">
        <f>SQRT((4*(HSP!$B$2-$B310)^2+(HSP!$C$2-$C310)^2+(HSP!$D$2-$D310)^2))</f>
        <v>7.927925327599902</v>
      </c>
      <c r="G310" s="17">
        <f>SQRT((4*(HSP!$B$3-$B310)^2+(HSP!$C$3-$C310)^2+(HSP!$D$3-$D310)^2))</f>
        <v>7.7648180918808398</v>
      </c>
      <c r="H310" s="17">
        <f>SQRT((4*(HSP!$B$4-$B310)^2+(HSP!$C$4-$C310)^2+(HSP!$D$4-$D310)^2))</f>
        <v>5.4679063634996536</v>
      </c>
      <c r="I310" s="17">
        <f>SQRT((4*(HSP!$B$5-$B310)^2+(HSP!$C$5-$C310)^2+(HSP!$D$5-$D310)^2))</f>
        <v>7.9293694579077361</v>
      </c>
      <c r="J310" s="17">
        <f>SQRT((4*(HSP!$B$6-$B310)^2+(HSP!$C$6-$C310)^2+(HSP!$D$6-$D310)^2))</f>
        <v>8.4023211078844167</v>
      </c>
      <c r="K310" s="17">
        <f t="shared" si="0"/>
        <v>0.60984040981537713</v>
      </c>
      <c r="L310" s="17">
        <f t="shared" si="1"/>
        <v>0.59729369937544918</v>
      </c>
      <c r="M310" s="17">
        <f t="shared" si="2"/>
        <v>0.42060818180766568</v>
      </c>
      <c r="N310" s="17">
        <f t="shared" si="3"/>
        <v>0.60995149676213356</v>
      </c>
      <c r="O310" s="17">
        <f t="shared" si="4"/>
        <v>0.64633239291418587</v>
      </c>
      <c r="P310" s="17">
        <f>$F310/HSP!$E$2</f>
        <v>0.4863757869693191</v>
      </c>
      <c r="Q310" s="17">
        <f>$G310/HSP!$E$3</f>
        <v>0.57517171050969185</v>
      </c>
      <c r="R310" s="17">
        <f>$H310/HSP!$E$4</f>
        <v>0.3438934819811103</v>
      </c>
      <c r="S310" s="17">
        <f>$I310/HSP!$E$5</f>
        <v>0.57878609181808294</v>
      </c>
      <c r="T310" s="17">
        <f>$J310/HSP!$E$6</f>
        <v>0.56772439918137951</v>
      </c>
      <c r="U310" s="18" t="s">
        <v>793</v>
      </c>
      <c r="V310" s="12"/>
      <c r="W310" s="12"/>
      <c r="X310" s="12"/>
      <c r="Y310" s="12"/>
      <c r="Z310" s="12"/>
    </row>
    <row r="311" spans="1:26" ht="15" customHeight="1" x14ac:dyDescent="0.3">
      <c r="A311" s="26" t="s">
        <v>794</v>
      </c>
      <c r="B311" s="17">
        <v>16.2</v>
      </c>
      <c r="C311" s="17">
        <v>9</v>
      </c>
      <c r="D311" s="17">
        <v>3</v>
      </c>
      <c r="E311" s="17">
        <v>10.1</v>
      </c>
      <c r="F311" s="17">
        <f>SQRT((4*(HSP!$B$2-$B311)^2+(HSP!$C$2-$C311)^2+(HSP!$D$2-$D311)^2))</f>
        <v>5.3114969641335579</v>
      </c>
      <c r="G311" s="17">
        <f>SQRT((4*(HSP!$B$3-$B311)^2+(HSP!$C$3-$C311)^2+(HSP!$D$3-$D311)^2))</f>
        <v>3.0705699796617569</v>
      </c>
      <c r="H311" s="17">
        <f>SQRT((4*(HSP!$B$4-$B311)^2+(HSP!$C$4-$C311)^2+(HSP!$D$4-$D311)^2))</f>
        <v>6.1111373736809416</v>
      </c>
      <c r="I311" s="17">
        <f>SQRT((4*(HSP!$B$5-$B311)^2+(HSP!$C$5-$C311)^2+(HSP!$D$5-$D311)^2))</f>
        <v>8.9544904936015204</v>
      </c>
      <c r="J311" s="17">
        <f>SQRT((4*(HSP!$B$6-$B311)^2+(HSP!$C$6-$C311)^2+(HSP!$D$6-$D311)^2))</f>
        <v>3.284356862461812</v>
      </c>
      <c r="K311" s="17">
        <f t="shared" si="0"/>
        <v>0.52589078852807503</v>
      </c>
      <c r="L311" s="17">
        <f t="shared" si="1"/>
        <v>0.3040168296694809</v>
      </c>
      <c r="M311" s="17">
        <f t="shared" si="2"/>
        <v>0.60506310630504379</v>
      </c>
      <c r="N311" s="17">
        <f t="shared" si="3"/>
        <v>0.88658321718826938</v>
      </c>
      <c r="O311" s="17">
        <f t="shared" si="4"/>
        <v>0.32518384776849624</v>
      </c>
      <c r="P311" s="17">
        <f>$F311/HSP!$E$2</f>
        <v>0.3258587094560465</v>
      </c>
      <c r="Q311" s="17">
        <f>$G311/HSP!$E$3</f>
        <v>0.22744962812309311</v>
      </c>
      <c r="R311" s="17">
        <f>$H311/HSP!$E$4</f>
        <v>0.38434826249565668</v>
      </c>
      <c r="S311" s="17">
        <f>$I311/HSP!$E$5</f>
        <v>0.65361244478843217</v>
      </c>
      <c r="T311" s="17">
        <f>$J311/HSP!$E$6</f>
        <v>0.2219160042203927</v>
      </c>
      <c r="U311" s="18" t="s">
        <v>793</v>
      </c>
      <c r="V311" s="12"/>
      <c r="W311" s="12"/>
      <c r="X311" s="12"/>
      <c r="Y311" s="12"/>
      <c r="Z311" s="12"/>
    </row>
    <row r="312" spans="1:26" ht="15" customHeight="1" x14ac:dyDescent="0.3">
      <c r="A312" s="26" t="s">
        <v>795</v>
      </c>
      <c r="B312" s="17">
        <v>15.9</v>
      </c>
      <c r="C312" s="17">
        <v>5.5</v>
      </c>
      <c r="D312" s="17">
        <v>5.9</v>
      </c>
      <c r="E312" s="17">
        <v>8.5</v>
      </c>
      <c r="F312" s="17">
        <f>SQRT((4*(HSP!$B$2-$B312)^2+(HSP!$C$2-$C312)^2+(HSP!$D$2-$D312)^2))</f>
        <v>5.7033323592440253</v>
      </c>
      <c r="G312" s="17">
        <f>SQRT((4*(HSP!$B$3-$B312)^2+(HSP!$C$3-$C312)^2+(HSP!$D$3-$D312)^2))</f>
        <v>4.181913437650282</v>
      </c>
      <c r="H312" s="17">
        <f>SQRT((4*(HSP!$B$4-$B312)^2+(HSP!$C$4-$C312)^2+(HSP!$D$4-$D312)^2))</f>
        <v>1.9010523401526855</v>
      </c>
      <c r="I312" s="17">
        <f>SQRT((4*(HSP!$B$5-$B312)^2+(HSP!$C$5-$C312)^2+(HSP!$D$5-$D312)^2))</f>
        <v>8.8891450657529489</v>
      </c>
      <c r="J312" s="17">
        <f>SQRT((4*(HSP!$B$6-$B312)^2+(HSP!$C$6-$C312)^2+(HSP!$D$6-$D312)^2))</f>
        <v>2.579728667902887</v>
      </c>
      <c r="K312" s="17">
        <f t="shared" si="0"/>
        <v>0.67098027755812062</v>
      </c>
      <c r="L312" s="17">
        <f t="shared" si="1"/>
        <v>0.49198981619415083</v>
      </c>
      <c r="M312" s="17">
        <f t="shared" si="2"/>
        <v>0.22365321648855124</v>
      </c>
      <c r="N312" s="17">
        <f t="shared" si="3"/>
        <v>1.0457817724415235</v>
      </c>
      <c r="O312" s="17">
        <f t="shared" si="4"/>
        <v>0.30349749034151613</v>
      </c>
      <c r="P312" s="17">
        <f>$F312/HSP!$E$2</f>
        <v>0.34989769075116717</v>
      </c>
      <c r="Q312" s="17">
        <f>$G312/HSP!$E$3</f>
        <v>0.30977136575187275</v>
      </c>
      <c r="R312" s="17">
        <f>$H312/HSP!$E$4</f>
        <v>0.11956304026117519</v>
      </c>
      <c r="S312" s="17">
        <f>$I312/HSP!$E$5</f>
        <v>0.64884270552941237</v>
      </c>
      <c r="T312" s="17">
        <f>$J312/HSP!$E$6</f>
        <v>0.17430599107451938</v>
      </c>
      <c r="U312" s="18" t="s">
        <v>492</v>
      </c>
      <c r="V312" s="12"/>
      <c r="W312" s="12"/>
      <c r="X312" s="12"/>
      <c r="Y312" s="12"/>
      <c r="Z312" s="12"/>
    </row>
    <row r="313" spans="1:26" ht="15" customHeight="1" x14ac:dyDescent="0.3">
      <c r="A313" s="26" t="s">
        <v>796</v>
      </c>
      <c r="B313" s="17">
        <v>17</v>
      </c>
      <c r="C313" s="17">
        <v>11</v>
      </c>
      <c r="D313" s="17">
        <v>5.2</v>
      </c>
      <c r="E313" s="17">
        <v>8.1999999999999993</v>
      </c>
      <c r="F313" s="17">
        <f>SQRT((4*(HSP!$B$2-$B313)^2+(HSP!$C$2-$C313)^2+(HSP!$D$2-$D313)^2))</f>
        <v>5.1478150704935013</v>
      </c>
      <c r="G313" s="17">
        <f>SQRT((4*(HSP!$B$3-$B313)^2+(HSP!$C$3-$C313)^2+(HSP!$D$3-$D313)^2))</f>
        <v>3.007390895776604</v>
      </c>
      <c r="H313" s="17">
        <f>SQRT((4*(HSP!$B$4-$B313)^2+(HSP!$C$4-$C313)^2+(HSP!$D$4-$D313)^2))</f>
        <v>7.4764965057171002</v>
      </c>
      <c r="I313" s="17">
        <f>SQRT((4*(HSP!$B$5-$B313)^2+(HSP!$C$5-$C313)^2+(HSP!$D$5-$D313)^2))</f>
        <v>6.9110708287500575</v>
      </c>
      <c r="J313" s="17">
        <f>SQRT((4*(HSP!$B$6-$B313)^2+(HSP!$C$6-$C313)^2+(HSP!$D$6-$D313)^2))</f>
        <v>5.8888878406707672</v>
      </c>
      <c r="K313" s="17">
        <f t="shared" si="0"/>
        <v>0.62778232566993919</v>
      </c>
      <c r="L313" s="17">
        <f t="shared" si="1"/>
        <v>0.3667549872898298</v>
      </c>
      <c r="M313" s="17">
        <f t="shared" si="2"/>
        <v>0.91176786655086595</v>
      </c>
      <c r="N313" s="17">
        <f t="shared" si="3"/>
        <v>0.84281351570122665</v>
      </c>
      <c r="O313" s="17">
        <f t="shared" si="4"/>
        <v>0.71815705374033756</v>
      </c>
      <c r="P313" s="17">
        <f>$F313/HSP!$E$2</f>
        <v>0.31581687549039883</v>
      </c>
      <c r="Q313" s="17">
        <f>$G313/HSP!$E$3</f>
        <v>0.22276969598345214</v>
      </c>
      <c r="R313" s="17">
        <f>$H313/HSP!$E$4</f>
        <v>0.4702199060199434</v>
      </c>
      <c r="S313" s="17">
        <f>$I313/HSP!$E$5</f>
        <v>0.50445772472628159</v>
      </c>
      <c r="T313" s="17">
        <f>$J313/HSP!$E$6</f>
        <v>0.39789782707234911</v>
      </c>
      <c r="U313" s="18"/>
      <c r="V313" s="12"/>
      <c r="W313" s="12"/>
      <c r="X313" s="12"/>
      <c r="Y313" s="12"/>
      <c r="Z313" s="12"/>
    </row>
    <row r="314" spans="1:26" ht="15" customHeight="1" x14ac:dyDescent="0.3">
      <c r="A314" s="26" t="s">
        <v>797</v>
      </c>
      <c r="B314" s="17">
        <v>17.3</v>
      </c>
      <c r="C314" s="17">
        <v>9.5</v>
      </c>
      <c r="D314" s="17">
        <v>3.3</v>
      </c>
      <c r="E314" s="17">
        <v>10</v>
      </c>
      <c r="F314" s="17">
        <f>SQRT((4*(HSP!$B$2-$B314)^2+(HSP!$C$2-$C314)^2+(HSP!$D$2-$D314)^2))</f>
        <v>6.6048467052612221</v>
      </c>
      <c r="G314" s="17">
        <f>SQRT((4*(HSP!$B$3-$B314)^2+(HSP!$C$3-$C314)^2+(HSP!$D$3-$D314)^2))</f>
        <v>4.0919921798556773</v>
      </c>
      <c r="H314" s="17">
        <f>SQRT((4*(HSP!$B$4-$B314)^2+(HSP!$C$4-$C314)^2+(HSP!$D$4-$D314)^2))</f>
        <v>7.3232506443518659</v>
      </c>
      <c r="I314" s="17">
        <f>SQRT((4*(HSP!$B$5-$B314)^2+(HSP!$C$5-$C314)^2+(HSP!$D$5-$D314)^2))</f>
        <v>9.2232803275190562</v>
      </c>
      <c r="J314" s="17">
        <f>SQRT((4*(HSP!$B$6-$B314)^2+(HSP!$C$6-$C314)^2+(HSP!$D$6-$D314)^2))</f>
        <v>5.1196679579832152</v>
      </c>
      <c r="K314" s="17">
        <f t="shared" si="0"/>
        <v>0.66048467052612225</v>
      </c>
      <c r="L314" s="17">
        <f t="shared" si="1"/>
        <v>0.40919921798556774</v>
      </c>
      <c r="M314" s="17">
        <f t="shared" si="2"/>
        <v>0.73232506443518663</v>
      </c>
      <c r="N314" s="17">
        <f t="shared" si="3"/>
        <v>0.92232803275190567</v>
      </c>
      <c r="O314" s="17">
        <f t="shared" si="4"/>
        <v>0.51196679579832149</v>
      </c>
      <c r="P314" s="17">
        <f>$F314/HSP!$E$2</f>
        <v>0.40520531934117926</v>
      </c>
      <c r="Q314" s="17">
        <f>$G314/HSP!$E$3</f>
        <v>0.30311053184116127</v>
      </c>
      <c r="R314" s="17">
        <f>$H314/HSP!$E$4</f>
        <v>0.46058180153156386</v>
      </c>
      <c r="S314" s="17">
        <f>$I314/HSP!$E$5</f>
        <v>0.67323214069482162</v>
      </c>
      <c r="T314" s="17">
        <f>$J314/HSP!$E$6</f>
        <v>0.34592351067454152</v>
      </c>
      <c r="U314" s="18"/>
      <c r="V314" s="12"/>
      <c r="W314" s="12"/>
      <c r="X314" s="12"/>
      <c r="Y314" s="12"/>
      <c r="Z314" s="12"/>
    </row>
    <row r="315" spans="1:26" ht="15" customHeight="1" x14ac:dyDescent="0.3">
      <c r="A315" s="26" t="s">
        <v>798</v>
      </c>
      <c r="B315" s="17">
        <v>17.899999999999999</v>
      </c>
      <c r="C315" s="17">
        <v>3.1</v>
      </c>
      <c r="D315" s="17">
        <v>8.5</v>
      </c>
      <c r="E315" s="17">
        <v>8</v>
      </c>
      <c r="F315" s="17">
        <f>SQRT((4*(HSP!$B$2-$B315)^2+(HSP!$C$2-$C315)^2+(HSP!$D$2-$D315)^2))</f>
        <v>10.001999800039989</v>
      </c>
      <c r="G315" s="17">
        <f>SQRT((4*(HSP!$B$3-$B315)^2+(HSP!$C$3-$C315)^2+(HSP!$D$3-$D315)^2))</f>
        <v>8.3517902272506817</v>
      </c>
      <c r="H315" s="17">
        <f>SQRT((4*(HSP!$B$4-$B315)^2+(HSP!$C$4-$C315)^2+(HSP!$D$4-$D315)^2))</f>
        <v>5.9327902373166683</v>
      </c>
      <c r="I315" s="17">
        <f>SQRT((4*(HSP!$B$5-$B315)^2+(HSP!$C$5-$C315)^2+(HSP!$D$5-$D315)^2))</f>
        <v>11.230178092977868</v>
      </c>
      <c r="J315" s="17">
        <f>SQRT((4*(HSP!$B$6-$B315)^2+(HSP!$C$6-$C315)^2+(HSP!$D$6-$D315)^2))</f>
        <v>7.7703925254777175</v>
      </c>
      <c r="K315" s="17">
        <f t="shared" si="0"/>
        <v>1.2502499750049987</v>
      </c>
      <c r="L315" s="17">
        <f t="shared" si="1"/>
        <v>1.0439737784063352</v>
      </c>
      <c r="M315" s="17">
        <f t="shared" si="2"/>
        <v>0.74159877966458354</v>
      </c>
      <c r="N315" s="17">
        <f t="shared" si="3"/>
        <v>1.4037722616222335</v>
      </c>
      <c r="O315" s="17">
        <f t="shared" si="4"/>
        <v>0.97129906568471469</v>
      </c>
      <c r="P315" s="17">
        <f>$F315/HSP!$E$2</f>
        <v>0.61361961963435518</v>
      </c>
      <c r="Q315" s="17">
        <f>$G315/HSP!$E$3</f>
        <v>0.61865112794449495</v>
      </c>
      <c r="R315" s="17">
        <f>$H315/HSP!$E$4</f>
        <v>0.37313146146645709</v>
      </c>
      <c r="S315" s="17">
        <f>$I315/HSP!$E$5</f>
        <v>0.81972102868451591</v>
      </c>
      <c r="T315" s="17">
        <f>$J315/HSP!$E$6</f>
        <v>0.5250265219917376</v>
      </c>
      <c r="U315" s="18"/>
      <c r="V315" s="12"/>
      <c r="W315" s="12"/>
      <c r="X315" s="12"/>
      <c r="Y315" s="12"/>
      <c r="Z315" s="12"/>
    </row>
    <row r="316" spans="1:26" ht="15" customHeight="1" x14ac:dyDescent="0.3">
      <c r="A316" s="26" t="s">
        <v>799</v>
      </c>
      <c r="B316" s="17">
        <v>17.399999999999999</v>
      </c>
      <c r="C316" s="17">
        <v>3.4</v>
      </c>
      <c r="D316" s="17">
        <v>7.8</v>
      </c>
      <c r="E316" s="17">
        <v>8.4</v>
      </c>
      <c r="F316" s="17">
        <f>SQRT((4*(HSP!$B$2-$B316)^2+(HSP!$C$2-$C316)^2+(HSP!$D$2-$D316)^2))</f>
        <v>9.0485357931546009</v>
      </c>
      <c r="G316" s="17">
        <f>SQRT((4*(HSP!$B$3-$B316)^2+(HSP!$C$3-$C316)^2+(HSP!$D$3-$D316)^2))</f>
        <v>7.4029993921382964</v>
      </c>
      <c r="H316" s="17">
        <f>SQRT((4*(HSP!$B$4-$B316)^2+(HSP!$C$4-$C316)^2+(HSP!$D$4-$D316)^2))</f>
        <v>4.7465777145223251</v>
      </c>
      <c r="I316" s="17">
        <f>SQRT((4*(HSP!$B$5-$B316)^2+(HSP!$C$5-$C316)^2+(HSP!$D$5-$D316)^2))</f>
        <v>10.714798178220622</v>
      </c>
      <c r="J316" s="17">
        <f>SQRT((4*(HSP!$B$6-$B316)^2+(HSP!$C$6-$C316)^2+(HSP!$D$6-$D316)^2))</f>
        <v>6.552175211332492</v>
      </c>
      <c r="K316" s="17">
        <f t="shared" si="0"/>
        <v>1.0772066420422144</v>
      </c>
      <c r="L316" s="17">
        <f t="shared" si="1"/>
        <v>0.88130945144503525</v>
      </c>
      <c r="M316" s="17">
        <f t="shared" si="2"/>
        <v>0.56506877553837198</v>
      </c>
      <c r="N316" s="17">
        <f t="shared" si="3"/>
        <v>1.2755712116929312</v>
      </c>
      <c r="O316" s="17">
        <f t="shared" si="4"/>
        <v>0.78002085849196334</v>
      </c>
      <c r="P316" s="17">
        <f>$F316/HSP!$E$2</f>
        <v>0.55512489528555831</v>
      </c>
      <c r="Q316" s="17">
        <f>$G316/HSP!$E$3</f>
        <v>0.54837032534357755</v>
      </c>
      <c r="R316" s="17">
        <f>$H316/HSP!$E$4</f>
        <v>0.29852690028442297</v>
      </c>
      <c r="S316" s="17">
        <f>$I316/HSP!$E$5</f>
        <v>0.78210205680442502</v>
      </c>
      <c r="T316" s="17">
        <f>$J316/HSP!$E$6</f>
        <v>0.44271454130624943</v>
      </c>
      <c r="U316" s="18" t="s">
        <v>800</v>
      </c>
      <c r="V316" s="12"/>
      <c r="W316" s="12"/>
      <c r="X316" s="12"/>
      <c r="Y316" s="12"/>
      <c r="Z316" s="12"/>
    </row>
    <row r="317" spans="1:26" ht="15" customHeight="1" x14ac:dyDescent="0.3">
      <c r="A317" s="26" t="s">
        <v>801</v>
      </c>
      <c r="B317" s="17">
        <v>15.1</v>
      </c>
      <c r="C317" s="17">
        <v>3.1</v>
      </c>
      <c r="D317" s="17">
        <v>11.9</v>
      </c>
      <c r="E317" s="17">
        <v>12.9</v>
      </c>
      <c r="F317" s="17">
        <f>SQRT((4*(HSP!$B$2-$B317)^2+(HSP!$C$2-$C317)^2+(HSP!$D$2-$D317)^2))</f>
        <v>8.909320961779299</v>
      </c>
      <c r="G317" s="17">
        <f>SQRT((4*(HSP!$B$3-$B317)^2+(HSP!$C$3-$C317)^2+(HSP!$D$3-$D317)^2))</f>
        <v>9.0217736615368498</v>
      </c>
      <c r="H317" s="17">
        <f>SQRT((4*(HSP!$B$4-$B317)^2+(HSP!$C$4-$C317)^2+(HSP!$D$4-$D317)^2))</f>
        <v>5.3409736939999997</v>
      </c>
      <c r="I317" s="17">
        <f>SQRT((4*(HSP!$B$5-$B317)^2+(HSP!$C$5-$C317)^2+(HSP!$D$5-$D317)^2))</f>
        <v>9.6747558108719218</v>
      </c>
      <c r="J317" s="17">
        <f>SQRT((4*(HSP!$B$6-$B317)^2+(HSP!$C$6-$C317)^2+(HSP!$D$6-$D317)^2))</f>
        <v>8.7181993553714978</v>
      </c>
      <c r="K317" s="17">
        <f t="shared" si="0"/>
        <v>0.69064503579684489</v>
      </c>
      <c r="L317" s="17">
        <f t="shared" si="1"/>
        <v>0.69936229934394178</v>
      </c>
      <c r="M317" s="17">
        <f t="shared" si="2"/>
        <v>0.41402896852713172</v>
      </c>
      <c r="N317" s="17">
        <f t="shared" si="3"/>
        <v>0.74998107061022645</v>
      </c>
      <c r="O317" s="17">
        <f t="shared" si="4"/>
        <v>0.67582940739313935</v>
      </c>
      <c r="P317" s="17">
        <f>$F317/HSP!$E$2</f>
        <v>0.54658410808461955</v>
      </c>
      <c r="Q317" s="17">
        <f>$G317/HSP!$E$3</f>
        <v>0.66827953048421107</v>
      </c>
      <c r="R317" s="17">
        <f>$H317/HSP!$E$4</f>
        <v>0.33591029522012578</v>
      </c>
      <c r="S317" s="17">
        <f>$I317/HSP!$E$5</f>
        <v>0.70618655553809651</v>
      </c>
      <c r="T317" s="17">
        <f>$J317/HSP!$E$6</f>
        <v>0.58906752401158768</v>
      </c>
      <c r="U317" s="18" t="s">
        <v>800</v>
      </c>
      <c r="V317" s="12"/>
      <c r="W317" s="12"/>
      <c r="X317" s="12"/>
      <c r="Y317" s="12"/>
      <c r="Z317" s="12"/>
    </row>
    <row r="318" spans="1:26" ht="15" customHeight="1" x14ac:dyDescent="0.3">
      <c r="A318" s="26" t="s">
        <v>802</v>
      </c>
      <c r="B318" s="17">
        <v>22.4</v>
      </c>
      <c r="C318" s="17">
        <v>14.1</v>
      </c>
      <c r="D318" s="17">
        <v>9.1</v>
      </c>
      <c r="E318" s="17">
        <v>8</v>
      </c>
      <c r="F318" s="17">
        <f>SQRT((4*(HSP!$B$2-$B318)^2+(HSP!$C$2-$C318)^2+(HSP!$D$2-$D318)^2))</f>
        <v>16.158712820023752</v>
      </c>
      <c r="G318" s="17">
        <f>SQRT((4*(HSP!$B$3-$B318)^2+(HSP!$C$3-$C318)^2+(HSP!$D$3-$D318)^2))</f>
        <v>14.510975156756349</v>
      </c>
      <c r="H318" s="17">
        <f>SQRT((4*(HSP!$B$4-$B318)^2+(HSP!$C$4-$C318)^2+(HSP!$D$4-$D318)^2))</f>
        <v>17.410284317035146</v>
      </c>
      <c r="I318" s="17">
        <f>SQRT((4*(HSP!$B$5-$B318)^2+(HSP!$C$5-$C318)^2+(HSP!$D$5-$D318)^2))</f>
        <v>14.443022536851487</v>
      </c>
      <c r="J318" s="17">
        <f>SQRT((4*(HSP!$B$6-$B318)^2+(HSP!$C$6-$C318)^2+(HSP!$D$6-$D318)^2))</f>
        <v>17.021721417060025</v>
      </c>
      <c r="K318" s="17">
        <f t="shared" si="0"/>
        <v>2.0198391025029689</v>
      </c>
      <c r="L318" s="17">
        <f t="shared" si="1"/>
        <v>1.8138718945945436</v>
      </c>
      <c r="M318" s="17">
        <f t="shared" si="2"/>
        <v>2.1762855396293932</v>
      </c>
      <c r="N318" s="17">
        <f t="shared" si="3"/>
        <v>1.8053778171064359</v>
      </c>
      <c r="O318" s="17">
        <f t="shared" si="4"/>
        <v>2.1277151771325031</v>
      </c>
      <c r="P318" s="17">
        <f>$F318/HSP!$E$2</f>
        <v>0.99133207484808283</v>
      </c>
      <c r="Q318" s="17">
        <f>$G318/HSP!$E$3</f>
        <v>1.0748870486486184</v>
      </c>
      <c r="R318" s="17">
        <f>$H318/HSP!$E$4</f>
        <v>1.0949864350336569</v>
      </c>
      <c r="S318" s="17">
        <f>$I318/HSP!$E$5</f>
        <v>1.0542352216679918</v>
      </c>
      <c r="T318" s="17">
        <f>$J318/HSP!$E$6</f>
        <v>1.1501163119635152</v>
      </c>
      <c r="U318" s="18" t="s">
        <v>800</v>
      </c>
      <c r="V318" s="12"/>
      <c r="W318" s="12"/>
      <c r="X318" s="12"/>
      <c r="Y318" s="12"/>
      <c r="Z318" s="12"/>
    </row>
    <row r="319" spans="1:26" ht="15" customHeight="1" x14ac:dyDescent="0.3">
      <c r="A319" s="26" t="s">
        <v>803</v>
      </c>
      <c r="B319" s="17">
        <v>20</v>
      </c>
      <c r="C319" s="17">
        <v>15.1</v>
      </c>
      <c r="D319" s="17">
        <v>7.9</v>
      </c>
      <c r="E319" s="17">
        <v>10.9</v>
      </c>
      <c r="F319" s="17">
        <f>SQRT((4*(HSP!$B$2-$B319)^2+(HSP!$C$2-$C319)^2+(HSP!$D$2-$D319)^2))</f>
        <v>11.790504654169812</v>
      </c>
      <c r="G319" s="17">
        <f>SQRT((4*(HSP!$B$3-$B319)^2+(HSP!$C$3-$C319)^2+(HSP!$D$3-$D319)^2))</f>
        <v>10.403095693109817</v>
      </c>
      <c r="H319" s="17">
        <f>SQRT((4*(HSP!$B$4-$B319)^2+(HSP!$C$4-$C319)^2+(HSP!$D$4-$D319)^2))</f>
        <v>14.25138589751888</v>
      </c>
      <c r="I319" s="17">
        <f>SQRT((4*(HSP!$B$5-$B319)^2+(HSP!$C$5-$C319)^2+(HSP!$D$5-$D319)^2))</f>
        <v>10.214543553189248</v>
      </c>
      <c r="J319" s="17">
        <f>SQRT((4*(HSP!$B$6-$B319)^2+(HSP!$C$6-$C319)^2+(HSP!$D$6-$D319)^2))</f>
        <v>13.45596521993127</v>
      </c>
      <c r="K319" s="17">
        <f t="shared" si="0"/>
        <v>1.0816976746944782</v>
      </c>
      <c r="L319" s="17">
        <f t="shared" si="1"/>
        <v>0.95441244890915755</v>
      </c>
      <c r="M319" s="17">
        <f t="shared" si="2"/>
        <v>1.3074665961026495</v>
      </c>
      <c r="N319" s="17">
        <f t="shared" si="3"/>
        <v>0.93711408744855484</v>
      </c>
      <c r="O319" s="17">
        <f t="shared" si="4"/>
        <v>1.2344922220120431</v>
      </c>
      <c r="P319" s="17">
        <f>$F319/HSP!$E$2</f>
        <v>0.72334384381409889</v>
      </c>
      <c r="Q319" s="17">
        <f>$G319/HSP!$E$3</f>
        <v>0.77059968097109754</v>
      </c>
      <c r="R319" s="17">
        <f>$H319/HSP!$E$4</f>
        <v>0.8963135784603069</v>
      </c>
      <c r="S319" s="17">
        <f>$I319/HSP!$E$5</f>
        <v>0.74558712067074806</v>
      </c>
      <c r="T319" s="17">
        <f>$J319/HSP!$E$6</f>
        <v>0.90918683918454524</v>
      </c>
      <c r="U319" s="18" t="s">
        <v>800</v>
      </c>
      <c r="V319" s="12"/>
      <c r="W319" s="12"/>
      <c r="X319" s="12"/>
      <c r="Y319" s="12"/>
      <c r="Z319" s="12"/>
    </row>
    <row r="320" spans="1:26" ht="15" customHeight="1" x14ac:dyDescent="0.3">
      <c r="A320" s="26" t="s">
        <v>804</v>
      </c>
      <c r="B320" s="17">
        <v>16</v>
      </c>
      <c r="C320" s="17">
        <v>11</v>
      </c>
      <c r="D320" s="17">
        <v>24</v>
      </c>
      <c r="E320" s="17">
        <v>3</v>
      </c>
      <c r="F320" s="17">
        <f>SQRT((4*(HSP!$B$2-$B320)^2+(HSP!$C$2-$C320)^2+(HSP!$D$2-$D320)^2))</f>
        <v>17.257230368746892</v>
      </c>
      <c r="G320" s="17">
        <f>SQRT((4*(HSP!$B$3-$B320)^2+(HSP!$C$3-$C320)^2+(HSP!$D$3-$D320)^2))</f>
        <v>18.239857455583365</v>
      </c>
      <c r="H320" s="17">
        <f>SQRT((4*(HSP!$B$4-$B320)^2+(HSP!$C$4-$C320)^2+(HSP!$D$4-$D320)^2))</f>
        <v>18.399402164200879</v>
      </c>
      <c r="I320" s="17">
        <f>SQRT((4*(HSP!$B$5-$B320)^2+(HSP!$C$5-$C320)^2+(HSP!$D$5-$D320)^2))</f>
        <v>13.263291446696028</v>
      </c>
      <c r="J320" s="17">
        <f>SQRT((4*(HSP!$B$6-$B320)^2+(HSP!$C$6-$C320)^2+(HSP!$D$6-$D320)^2))</f>
        <v>20.71325662468362</v>
      </c>
      <c r="K320" s="17">
        <f t="shared" si="0"/>
        <v>5.7524101229156308</v>
      </c>
      <c r="L320" s="17">
        <f t="shared" si="1"/>
        <v>6.0799524851944549</v>
      </c>
      <c r="M320" s="17">
        <f t="shared" si="2"/>
        <v>6.1331340547336266</v>
      </c>
      <c r="N320" s="17">
        <f t="shared" si="3"/>
        <v>4.4210971488986761</v>
      </c>
      <c r="O320" s="17">
        <f t="shared" si="4"/>
        <v>6.9044188748945396</v>
      </c>
      <c r="P320" s="17">
        <f>$F320/HSP!$E$2</f>
        <v>1.0587257894936744</v>
      </c>
      <c r="Q320" s="17">
        <f>$G320/HSP!$E$3</f>
        <v>1.3511005522654345</v>
      </c>
      <c r="R320" s="17">
        <f>$H320/HSP!$E$4</f>
        <v>1.1571951046667219</v>
      </c>
      <c r="S320" s="17">
        <f>$I320/HSP!$E$5</f>
        <v>0.96812346326248389</v>
      </c>
      <c r="T320" s="17">
        <f>$J320/HSP!$E$6</f>
        <v>1.399544366532677</v>
      </c>
      <c r="U320" s="18" t="s">
        <v>500</v>
      </c>
      <c r="V320" s="12"/>
      <c r="W320" s="12"/>
      <c r="X320" s="12"/>
      <c r="Y320" s="12"/>
      <c r="Z320" s="12"/>
    </row>
    <row r="321" spans="1:26" ht="15" customHeight="1" x14ac:dyDescent="0.3">
      <c r="A321" s="26" t="s">
        <v>805</v>
      </c>
      <c r="B321" s="17">
        <v>17.7</v>
      </c>
      <c r="C321" s="17">
        <v>5</v>
      </c>
      <c r="D321" s="17">
        <v>8.4</v>
      </c>
      <c r="E321" s="17">
        <v>8</v>
      </c>
      <c r="F321" s="17">
        <f>SQRT((4*(HSP!$B$2-$B321)^2+(HSP!$C$2-$C321)^2+(HSP!$D$2-$D321)^2))</f>
        <v>8.3826010283205061</v>
      </c>
      <c r="G321" s="17">
        <f>SQRT((4*(HSP!$B$3-$B321)^2+(HSP!$C$3-$C321)^2+(HSP!$D$3-$D321)^2))</f>
        <v>6.6732600728579428</v>
      </c>
      <c r="H321" s="17">
        <f>SQRT((4*(HSP!$B$4-$B321)^2+(HSP!$C$4-$C321)^2+(HSP!$D$4-$D321)^2))</f>
        <v>5.3165778466980038</v>
      </c>
      <c r="I321" s="17">
        <f>SQRT((4*(HSP!$B$5-$B321)^2+(HSP!$C$5-$C321)^2+(HSP!$D$5-$D321)^2))</f>
        <v>9.4667259387815808</v>
      </c>
      <c r="J321" s="17">
        <f>SQRT((4*(HSP!$B$6-$B321)^2+(HSP!$C$6-$C321)^2+(HSP!$D$6-$D321)^2))</f>
        <v>6.8093318321256753</v>
      </c>
      <c r="K321" s="17">
        <f t="shared" si="0"/>
        <v>1.0478251285400633</v>
      </c>
      <c r="L321" s="17">
        <f t="shared" si="1"/>
        <v>0.83415750910724284</v>
      </c>
      <c r="M321" s="17">
        <f t="shared" si="2"/>
        <v>0.66457223083725048</v>
      </c>
      <c r="N321" s="17">
        <f t="shared" si="3"/>
        <v>1.1833407423476976</v>
      </c>
      <c r="O321" s="17">
        <f t="shared" si="4"/>
        <v>0.85116647901570941</v>
      </c>
      <c r="P321" s="17">
        <f>$F321/HSP!$E$2</f>
        <v>0.5142700017374543</v>
      </c>
      <c r="Q321" s="17">
        <f>$G321/HSP!$E$3</f>
        <v>0.49431556095244022</v>
      </c>
      <c r="R321" s="17">
        <f>$H321/HSP!$E$4</f>
        <v>0.33437596520113233</v>
      </c>
      <c r="S321" s="17">
        <f>$I321/HSP!$E$5</f>
        <v>0.69100189334172124</v>
      </c>
      <c r="T321" s="17">
        <f>$J321/HSP!$E$6</f>
        <v>0.46008998865714018</v>
      </c>
      <c r="U321" s="18" t="s">
        <v>473</v>
      </c>
      <c r="V321" s="12"/>
      <c r="W321" s="12"/>
      <c r="X321" s="12"/>
      <c r="Y321" s="12"/>
      <c r="Z321" s="12"/>
    </row>
    <row r="322" spans="1:26" ht="15" customHeight="1" x14ac:dyDescent="0.3">
      <c r="A322" s="26" t="s">
        <v>806</v>
      </c>
      <c r="B322" s="17">
        <v>18.2</v>
      </c>
      <c r="C322" s="17">
        <v>5.9</v>
      </c>
      <c r="D322" s="17">
        <v>6.9</v>
      </c>
      <c r="E322" s="17">
        <v>8</v>
      </c>
      <c r="F322" s="17">
        <f>SQRT((4*(HSP!$B$2-$B322)^2+(HSP!$C$2-$C322)^2+(HSP!$D$2-$D322)^2))</f>
        <v>8.5229103010650071</v>
      </c>
      <c r="G322" s="17">
        <f>SQRT((4*(HSP!$B$3-$B322)^2+(HSP!$C$3-$C322)^2+(HSP!$D$3-$D322)^2))</f>
        <v>6.3643067179387263</v>
      </c>
      <c r="H322" s="17">
        <f>SQRT((4*(HSP!$B$4-$B322)^2+(HSP!$C$4-$C322)^2+(HSP!$D$4-$D322)^2))</f>
        <v>6.1823943581754781</v>
      </c>
      <c r="I322" s="17">
        <f>SQRT((4*(HSP!$B$5-$B322)^2+(HSP!$C$5-$C322)^2+(HSP!$D$5-$D322)^2))</f>
        <v>9.8535729560398551</v>
      </c>
      <c r="J322" s="17">
        <f>SQRT((4*(HSP!$B$6-$B322)^2+(HSP!$C$6-$C322)^2+(HSP!$D$6-$D322)^2))</f>
        <v>6.6274429458125095</v>
      </c>
      <c r="K322" s="17">
        <f t="shared" si="0"/>
        <v>1.0653637876331259</v>
      </c>
      <c r="L322" s="17">
        <f t="shared" si="1"/>
        <v>0.79553833974234078</v>
      </c>
      <c r="M322" s="17">
        <f t="shared" si="2"/>
        <v>0.77279929477193476</v>
      </c>
      <c r="N322" s="17">
        <f t="shared" si="3"/>
        <v>1.2316966195049819</v>
      </c>
      <c r="O322" s="17">
        <f t="shared" si="4"/>
        <v>0.82843036822656368</v>
      </c>
      <c r="P322" s="17">
        <f>$F322/HSP!$E$2</f>
        <v>0.52287793258067528</v>
      </c>
      <c r="Q322" s="17">
        <f>$G322/HSP!$E$3</f>
        <v>0.47143012725472044</v>
      </c>
      <c r="R322" s="17">
        <f>$H322/HSP!$E$4</f>
        <v>0.38882983384751435</v>
      </c>
      <c r="S322" s="17">
        <f>$I322/HSP!$E$5</f>
        <v>0.71923890190071937</v>
      </c>
      <c r="T322" s="17">
        <f>$J322/HSP!$E$6</f>
        <v>0.44780019904138574</v>
      </c>
      <c r="U322" s="18" t="s">
        <v>443</v>
      </c>
      <c r="V322" s="12"/>
      <c r="W322" s="12"/>
      <c r="X322" s="12"/>
      <c r="Y322" s="12"/>
      <c r="Z322" s="12"/>
    </row>
    <row r="323" spans="1:26" ht="15" customHeight="1" x14ac:dyDescent="0.3">
      <c r="A323" s="26" t="s">
        <v>807</v>
      </c>
      <c r="B323" s="17">
        <v>19</v>
      </c>
      <c r="C323" s="17">
        <v>9</v>
      </c>
      <c r="D323" s="17">
        <v>15</v>
      </c>
      <c r="E323" s="17">
        <v>12</v>
      </c>
      <c r="F323" s="17">
        <f>SQRT((4*(HSP!$B$2-$B323)^2+(HSP!$C$2-$C323)^2+(HSP!$D$2-$D323)^2))</f>
        <v>11.995499155933445</v>
      </c>
      <c r="G323" s="17">
        <f>SQRT((4*(HSP!$B$3-$B323)^2+(HSP!$C$3-$C323)^2+(HSP!$D$3-$D323)^2))</f>
        <v>11.337213061418577</v>
      </c>
      <c r="H323" s="17">
        <f>SQRT((4*(HSP!$B$4-$B323)^2+(HSP!$C$4-$C323)^2+(HSP!$D$4-$D323)^2))</f>
        <v>12.024059214757719</v>
      </c>
      <c r="I323" s="17">
        <f>SQRT((4*(HSP!$B$5-$B323)^2+(HSP!$C$5-$C323)^2+(HSP!$D$5-$D323)^2))</f>
        <v>9.276578032873978</v>
      </c>
      <c r="J323" s="17">
        <f>SQRT((4*(HSP!$B$6-$B323)^2+(HSP!$C$6-$C323)^2+(HSP!$D$6-$D323)^2))</f>
        <v>13.65939237301572</v>
      </c>
      <c r="K323" s="17">
        <f t="shared" si="0"/>
        <v>0.99962492966112038</v>
      </c>
      <c r="L323" s="17">
        <f t="shared" si="1"/>
        <v>0.94476775511821476</v>
      </c>
      <c r="M323" s="17">
        <f t="shared" si="2"/>
        <v>1.0020049345631432</v>
      </c>
      <c r="N323" s="17">
        <f t="shared" si="3"/>
        <v>0.77304816940616483</v>
      </c>
      <c r="O323" s="17">
        <f t="shared" si="4"/>
        <v>1.1382826977513101</v>
      </c>
      <c r="P323" s="17">
        <f>$F323/HSP!$E$2</f>
        <v>0.73592019361554872</v>
      </c>
      <c r="Q323" s="17">
        <f>$G323/HSP!$E$3</f>
        <v>0.83979356010507977</v>
      </c>
      <c r="R323" s="17">
        <f>$H323/HSP!$E$4</f>
        <v>0.75623013929293825</v>
      </c>
      <c r="S323" s="17">
        <f>$I323/HSP!$E$5</f>
        <v>0.67712248415138532</v>
      </c>
      <c r="T323" s="17">
        <f>$J323/HSP!$E$6</f>
        <v>0.9229319170956567</v>
      </c>
      <c r="U323" s="18" t="s">
        <v>443</v>
      </c>
      <c r="V323" s="12"/>
      <c r="W323" s="12"/>
      <c r="X323" s="12"/>
      <c r="Y323" s="12"/>
      <c r="Z323" s="12"/>
    </row>
    <row r="324" spans="1:26" ht="15" customHeight="1" x14ac:dyDescent="0.3">
      <c r="A324" s="26" t="s">
        <v>808</v>
      </c>
      <c r="B324" s="17">
        <v>19</v>
      </c>
      <c r="C324" s="17">
        <v>11</v>
      </c>
      <c r="D324" s="17">
        <v>9</v>
      </c>
      <c r="E324" s="17">
        <v>7</v>
      </c>
      <c r="F324" s="17">
        <f>SQRT((4*(HSP!$B$2-$B324)^2+(HSP!$C$2-$C324)^2+(HSP!$D$2-$D324)^2))</f>
        <v>9.0449986180209017</v>
      </c>
      <c r="G324" s="17">
        <f>SQRT((4*(HSP!$B$3-$B324)^2+(HSP!$C$3-$C324)^2+(HSP!$D$3-$D324)^2))</f>
        <v>7.4654135853280099</v>
      </c>
      <c r="H324" s="17">
        <f>SQRT((4*(HSP!$B$4-$B324)^2+(HSP!$C$4-$C324)^2+(HSP!$D$4-$D324)^2))</f>
        <v>10.17143057784892</v>
      </c>
      <c r="I324" s="17">
        <f>SQRT((4*(HSP!$B$5-$B324)^2+(HSP!$C$5-$C324)^2+(HSP!$D$5-$D324)^2))</f>
        <v>7.8952454046723597</v>
      </c>
      <c r="J324" s="17">
        <f>SQRT((4*(HSP!$B$6-$B324)^2+(HSP!$C$6-$C324)^2+(HSP!$D$6-$D324)^2))</f>
        <v>10.151797870328192</v>
      </c>
      <c r="K324" s="17">
        <f t="shared" si="0"/>
        <v>1.2921426597172716</v>
      </c>
      <c r="L324" s="17">
        <f t="shared" si="1"/>
        <v>1.0664876550468585</v>
      </c>
      <c r="M324" s="17">
        <f t="shared" si="2"/>
        <v>1.4530615111212744</v>
      </c>
      <c r="N324" s="17">
        <f t="shared" si="3"/>
        <v>1.1278922006674799</v>
      </c>
      <c r="O324" s="17">
        <f t="shared" si="4"/>
        <v>1.4502568386183132</v>
      </c>
      <c r="P324" s="17">
        <f>$F324/HSP!$E$2</f>
        <v>0.55490789067612889</v>
      </c>
      <c r="Q324" s="17">
        <f>$G324/HSP!$E$3</f>
        <v>0.55299359891318589</v>
      </c>
      <c r="R324" s="17">
        <f>$H324/HSP!$E$4</f>
        <v>0.63971261495905152</v>
      </c>
      <c r="S324" s="17">
        <f>$I324/HSP!$E$5</f>
        <v>0.57629528501258098</v>
      </c>
      <c r="T324" s="17">
        <f>$J324/HSP!$E$6</f>
        <v>0.68593228853568866</v>
      </c>
      <c r="U324" s="18" t="s">
        <v>793</v>
      </c>
      <c r="V324" s="12"/>
      <c r="W324" s="12"/>
      <c r="X324" s="12"/>
      <c r="Y324" s="12"/>
      <c r="Z324" s="12"/>
    </row>
    <row r="325" spans="1:26" ht="15" customHeight="1" x14ac:dyDescent="0.3">
      <c r="A325" s="26" t="s">
        <v>809</v>
      </c>
      <c r="B325" s="17">
        <v>19</v>
      </c>
      <c r="C325" s="17">
        <v>11</v>
      </c>
      <c r="D325" s="17">
        <v>8</v>
      </c>
      <c r="E325" s="17">
        <v>5.6</v>
      </c>
      <c r="F325" s="17">
        <f>SQRT((4*(HSP!$B$2-$B325)^2+(HSP!$C$2-$C325)^2+(HSP!$D$2-$D325)^2))</f>
        <v>8.875359147662703</v>
      </c>
      <c r="G325" s="17">
        <f>SQRT((4*(HSP!$B$3-$B325)^2+(HSP!$C$3-$C325)^2+(HSP!$D$3-$D325)^2))</f>
        <v>7.0973516187377959</v>
      </c>
      <c r="H325" s="17">
        <f>SQRT((4*(HSP!$B$4-$B325)^2+(HSP!$C$4-$C325)^2+(HSP!$D$4-$D325)^2))</f>
        <v>10.002899579621902</v>
      </c>
      <c r="I325" s="17">
        <f>SQRT((4*(HSP!$B$5-$B325)^2+(HSP!$C$5-$C325)^2+(HSP!$D$5-$D325)^2))</f>
        <v>8.1972495387172408</v>
      </c>
      <c r="J325" s="17">
        <f>SQRT((4*(HSP!$B$6-$B325)^2+(HSP!$C$6-$C325)^2+(HSP!$D$6-$D325)^2))</f>
        <v>9.6829231123664314</v>
      </c>
      <c r="K325" s="17">
        <f t="shared" si="0"/>
        <v>1.5848855620826257</v>
      </c>
      <c r="L325" s="17">
        <f t="shared" si="1"/>
        <v>1.2673842176317494</v>
      </c>
      <c r="M325" s="17">
        <f t="shared" si="2"/>
        <v>1.7862320677896255</v>
      </c>
      <c r="N325" s="17">
        <f t="shared" si="3"/>
        <v>1.4637945604852216</v>
      </c>
      <c r="O325" s="17">
        <f t="shared" si="4"/>
        <v>1.7290934129225772</v>
      </c>
      <c r="P325" s="17">
        <f>$F325/HSP!$E$2</f>
        <v>0.54450056120630075</v>
      </c>
      <c r="Q325" s="17">
        <f>$G325/HSP!$E$3</f>
        <v>0.52572974953613305</v>
      </c>
      <c r="R325" s="17">
        <f>$H325/HSP!$E$4</f>
        <v>0.62911318110829573</v>
      </c>
      <c r="S325" s="17">
        <f>$I325/HSP!$E$5</f>
        <v>0.59833938238811979</v>
      </c>
      <c r="T325" s="17">
        <f>$J325/HSP!$E$6</f>
        <v>0.65425156164638043</v>
      </c>
      <c r="U325" s="18" t="s">
        <v>443</v>
      </c>
      <c r="V325" s="12"/>
      <c r="W325" s="12"/>
      <c r="X325" s="12"/>
      <c r="Y325" s="12"/>
      <c r="Z325" s="12"/>
    </row>
    <row r="326" spans="1:26" ht="15" customHeight="1" x14ac:dyDescent="0.3">
      <c r="A326" s="26" t="s">
        <v>810</v>
      </c>
      <c r="B326" s="17">
        <v>19</v>
      </c>
      <c r="C326" s="17">
        <v>11</v>
      </c>
      <c r="D326" s="17">
        <v>8</v>
      </c>
      <c r="E326" s="17">
        <v>8</v>
      </c>
      <c r="F326" s="17">
        <f>SQRT((4*(HSP!$B$2-$B326)^2+(HSP!$C$2-$C326)^2+(HSP!$D$2-$D326)^2))</f>
        <v>8.875359147662703</v>
      </c>
      <c r="G326" s="17">
        <f>SQRT((4*(HSP!$B$3-$B326)^2+(HSP!$C$3-$C326)^2+(HSP!$D$3-$D326)^2))</f>
        <v>7.0973516187377959</v>
      </c>
      <c r="H326" s="17">
        <f>SQRT((4*(HSP!$B$4-$B326)^2+(HSP!$C$4-$C326)^2+(HSP!$D$4-$D326)^2))</f>
        <v>10.002899579621902</v>
      </c>
      <c r="I326" s="17">
        <f>SQRT((4*(HSP!$B$5-$B326)^2+(HSP!$C$5-$C326)^2+(HSP!$D$5-$D326)^2))</f>
        <v>8.1972495387172408</v>
      </c>
      <c r="J326" s="17">
        <f>SQRT((4*(HSP!$B$6-$B326)^2+(HSP!$C$6-$C326)^2+(HSP!$D$6-$D326)^2))</f>
        <v>9.6829231123664314</v>
      </c>
      <c r="K326" s="17">
        <f t="shared" si="0"/>
        <v>1.1094198934578379</v>
      </c>
      <c r="L326" s="17">
        <f t="shared" si="1"/>
        <v>0.88716895234222448</v>
      </c>
      <c r="M326" s="17">
        <f t="shared" si="2"/>
        <v>1.2503624474527377</v>
      </c>
      <c r="N326" s="17">
        <f t="shared" si="3"/>
        <v>1.0246561923396551</v>
      </c>
      <c r="O326" s="17">
        <f t="shared" si="4"/>
        <v>1.2103653890458039</v>
      </c>
      <c r="P326" s="17">
        <f>$F326/HSP!$E$2</f>
        <v>0.54450056120630075</v>
      </c>
      <c r="Q326" s="17">
        <f>$G326/HSP!$E$3</f>
        <v>0.52572974953613305</v>
      </c>
      <c r="R326" s="17">
        <f>$H326/HSP!$E$4</f>
        <v>0.62911318110829573</v>
      </c>
      <c r="S326" s="17">
        <f>$I326/HSP!$E$5</f>
        <v>0.59833938238811979</v>
      </c>
      <c r="T326" s="17">
        <f>$J326/HSP!$E$6</f>
        <v>0.65425156164638043</v>
      </c>
      <c r="U326" s="18" t="s">
        <v>547</v>
      </c>
      <c r="V326" s="12"/>
      <c r="W326" s="12"/>
      <c r="X326" s="12"/>
      <c r="Y326" s="12"/>
      <c r="Z326" s="12"/>
    </row>
    <row r="327" spans="1:26" ht="15" customHeight="1" x14ac:dyDescent="0.3">
      <c r="A327" s="26" t="s">
        <v>811</v>
      </c>
      <c r="B327" s="17">
        <v>17.8</v>
      </c>
      <c r="C327" s="17">
        <v>11.8</v>
      </c>
      <c r="D327" s="17">
        <v>9</v>
      </c>
      <c r="E327" s="17">
        <v>5</v>
      </c>
      <c r="F327" s="17">
        <f>SQRT((4*(HSP!$B$2-$B327)^2+(HSP!$C$2-$C327)^2+(HSP!$D$2-$D327)^2))</f>
        <v>6.8436832188522594</v>
      </c>
      <c r="G327" s="17">
        <f>SQRT((4*(HSP!$B$3-$B327)^2+(HSP!$C$3-$C327)^2+(HSP!$D$3-$D327)^2))</f>
        <v>5.7009122077085186</v>
      </c>
      <c r="H327" s="17">
        <f>SQRT((4*(HSP!$B$4-$B327)^2+(HSP!$C$4-$C327)^2+(HSP!$D$4-$D327)^2))</f>
        <v>9.1215130323866802</v>
      </c>
      <c r="I327" s="17">
        <f>SQRT((4*(HSP!$B$5-$B327)^2+(HSP!$C$5-$C327)^2+(HSP!$D$5-$D327)^2))</f>
        <v>5.4931684845815552</v>
      </c>
      <c r="J327" s="17">
        <f>SQRT((4*(HSP!$B$6-$B327)^2+(HSP!$C$6-$C327)^2+(HSP!$D$6-$D327)^2))</f>
        <v>8.9979442096514486</v>
      </c>
      <c r="K327" s="17">
        <f t="shared" si="0"/>
        <v>1.3687366437704518</v>
      </c>
      <c r="L327" s="17">
        <f t="shared" si="1"/>
        <v>1.1401824415417037</v>
      </c>
      <c r="M327" s="17">
        <f t="shared" si="2"/>
        <v>1.824302606477336</v>
      </c>
      <c r="N327" s="17">
        <f t="shared" si="3"/>
        <v>1.0986336969163111</v>
      </c>
      <c r="O327" s="17">
        <f t="shared" si="4"/>
        <v>1.7995888419302897</v>
      </c>
      <c r="P327" s="17">
        <f>$F327/HSP!$E$2</f>
        <v>0.41985786618725518</v>
      </c>
      <c r="Q327" s="17">
        <f>$G327/HSP!$E$3</f>
        <v>0.422289793163594</v>
      </c>
      <c r="R327" s="17">
        <f>$H327/HSP!$E$4</f>
        <v>0.57368006492997992</v>
      </c>
      <c r="S327" s="17">
        <f>$I327/HSP!$E$5</f>
        <v>0.40096120325412815</v>
      </c>
      <c r="T327" s="17">
        <f>$J327/HSP!$E$6</f>
        <v>0.60796920335482763</v>
      </c>
      <c r="U327" s="18" t="s">
        <v>547</v>
      </c>
      <c r="V327" s="12"/>
      <c r="W327" s="12"/>
      <c r="X327" s="12"/>
      <c r="Y327" s="12"/>
      <c r="Z327" s="12"/>
    </row>
    <row r="328" spans="1:26" ht="15" customHeight="1" x14ac:dyDescent="0.3">
      <c r="A328" s="26" t="s">
        <v>812</v>
      </c>
      <c r="B328" s="17">
        <v>16.899999999999999</v>
      </c>
      <c r="C328" s="17">
        <v>0.8</v>
      </c>
      <c r="D328" s="17">
        <v>2.8</v>
      </c>
      <c r="E328" s="17">
        <v>8</v>
      </c>
      <c r="F328" s="17">
        <f>SQRT((4*(HSP!$B$2-$B328)^2+(HSP!$C$2-$C328)^2+(HSP!$D$2-$D328)^2))</f>
        <v>11.486862060632571</v>
      </c>
      <c r="G328" s="17">
        <f>SQRT((4*(HSP!$B$3-$B328)^2+(HSP!$C$3-$C328)^2+(HSP!$D$3-$D328)^2))</f>
        <v>9.6683193989441616</v>
      </c>
      <c r="H328" s="17">
        <f>SQRT((4*(HSP!$B$4-$B328)^2+(HSP!$C$4-$C328)^2+(HSP!$D$4-$D328)^2))</f>
        <v>6.5594207061294663</v>
      </c>
      <c r="I328" s="17">
        <f>SQRT((4*(HSP!$B$5-$B328)^2+(HSP!$C$5-$C328)^2+(HSP!$D$5-$D328)^2))</f>
        <v>14.792258110241317</v>
      </c>
      <c r="J328" s="17">
        <f>SQRT((4*(HSP!$B$6-$B328)^2+(HSP!$C$6-$C328)^2+(HSP!$D$6-$D328)^2))</f>
        <v>6.5899165396839425</v>
      </c>
      <c r="K328" s="17">
        <f t="shared" si="0"/>
        <v>1.4358577575790714</v>
      </c>
      <c r="L328" s="17">
        <f t="shared" si="1"/>
        <v>1.2085399248680202</v>
      </c>
      <c r="M328" s="17">
        <f t="shared" si="2"/>
        <v>0.81992758826618328</v>
      </c>
      <c r="N328" s="17">
        <f t="shared" si="3"/>
        <v>1.8490322637801646</v>
      </c>
      <c r="O328" s="17">
        <f t="shared" si="4"/>
        <v>0.82373956746049282</v>
      </c>
      <c r="P328" s="17">
        <f>$F328/HSP!$E$2</f>
        <v>0.70471546384248895</v>
      </c>
      <c r="Q328" s="17">
        <f>$G328/HSP!$E$3</f>
        <v>0.71617180732919716</v>
      </c>
      <c r="R328" s="17">
        <f>$H328/HSP!$E$4</f>
        <v>0.41254218277543814</v>
      </c>
      <c r="S328" s="17">
        <f>$I328/HSP!$E$5</f>
        <v>1.0797268693606801</v>
      </c>
      <c r="T328" s="17">
        <f>$J328/HSP!$E$6</f>
        <v>0.4452646310597258</v>
      </c>
      <c r="U328" s="18" t="s">
        <v>547</v>
      </c>
      <c r="V328" s="12"/>
      <c r="W328" s="12"/>
      <c r="X328" s="12"/>
      <c r="Y328" s="12"/>
      <c r="Z328" s="12"/>
    </row>
    <row r="329" spans="1:26" ht="15" customHeight="1" x14ac:dyDescent="0.3">
      <c r="A329" s="26" t="s">
        <v>813</v>
      </c>
      <c r="B329" s="17">
        <v>17.100000000000001</v>
      </c>
      <c r="C329" s="17">
        <v>3.1</v>
      </c>
      <c r="D329" s="17">
        <v>5.2</v>
      </c>
      <c r="E329" s="17">
        <v>8.1999999999999993</v>
      </c>
      <c r="F329" s="17">
        <f>SQRT((4*(HSP!$B$2-$B329)^2+(HSP!$C$2-$C329)^2+(HSP!$D$2-$D329)^2))</f>
        <v>9.0740288736591559</v>
      </c>
      <c r="G329" s="17">
        <f>SQRT((4*(HSP!$B$3-$B329)^2+(HSP!$C$3-$C329)^2+(HSP!$D$3-$D329)^2))</f>
        <v>7.1673146993835859</v>
      </c>
      <c r="H329" s="17">
        <f>SQRT((4*(HSP!$B$4-$B329)^2+(HSP!$C$4-$C329)^2+(HSP!$D$4-$D329)^2))</f>
        <v>4.4672138968265243</v>
      </c>
      <c r="I329" s="17">
        <f>SQRT((4*(HSP!$B$5-$B329)^2+(HSP!$C$5-$C329)^2+(HSP!$D$5-$D329)^2))</f>
        <v>11.780191000149363</v>
      </c>
      <c r="J329" s="17">
        <f>SQRT((4*(HSP!$B$6-$B329)^2+(HSP!$C$6-$C329)^2+(HSP!$D$6-$D329)^2))</f>
        <v>5.129034996956058</v>
      </c>
      <c r="K329" s="17">
        <f t="shared" si="0"/>
        <v>1.1065888870316045</v>
      </c>
      <c r="L329" s="17">
        <f t="shared" si="1"/>
        <v>0.8740627682175105</v>
      </c>
      <c r="M329" s="17">
        <f t="shared" si="2"/>
        <v>0.54478218253982003</v>
      </c>
      <c r="N329" s="17">
        <f t="shared" si="3"/>
        <v>1.4366086585548006</v>
      </c>
      <c r="O329" s="17">
        <f t="shared" si="4"/>
        <v>0.62549207279951935</v>
      </c>
      <c r="P329" s="17">
        <f>$F329/HSP!$E$2</f>
        <v>0.55668888795454941</v>
      </c>
      <c r="Q329" s="17">
        <f>$G329/HSP!$E$3</f>
        <v>0.53091219995433969</v>
      </c>
      <c r="R329" s="17">
        <f>$H329/HSP!$E$4</f>
        <v>0.28095684885701411</v>
      </c>
      <c r="S329" s="17">
        <f>$I329/HSP!$E$5</f>
        <v>0.859867956215282</v>
      </c>
      <c r="T329" s="17">
        <f>$J329/HSP!$E$6</f>
        <v>0.34655641871324716</v>
      </c>
      <c r="U329" s="18" t="s">
        <v>547</v>
      </c>
      <c r="V329" s="12"/>
      <c r="W329" s="12"/>
      <c r="X329" s="12"/>
      <c r="Y329" s="12"/>
      <c r="Z329" s="12"/>
    </row>
    <row r="330" spans="1:26" ht="15" customHeight="1" x14ac:dyDescent="0.3">
      <c r="A330" s="26" t="s">
        <v>814</v>
      </c>
      <c r="B330" s="17">
        <v>16.899999999999999</v>
      </c>
      <c r="C330" s="17">
        <v>3.3</v>
      </c>
      <c r="D330" s="17">
        <v>4.0999999999999996</v>
      </c>
      <c r="E330" s="17">
        <v>8.1</v>
      </c>
      <c r="F330" s="17">
        <f>SQRT((4*(HSP!$B$2-$B330)^2+(HSP!$C$2-$C330)^2+(HSP!$D$2-$D330)^2))</f>
        <v>8.9844309780864808</v>
      </c>
      <c r="G330" s="17">
        <f>SQRT((4*(HSP!$B$3-$B330)^2+(HSP!$C$3-$C330)^2+(HSP!$D$3-$D330)^2))</f>
        <v>7.0188603063460384</v>
      </c>
      <c r="H330" s="17">
        <f>SQRT((4*(HSP!$B$4-$B330)^2+(HSP!$C$4-$C330)^2+(HSP!$D$4-$D330)^2))</f>
        <v>4.6006521276879848</v>
      </c>
      <c r="I330" s="17">
        <f>SQRT((4*(HSP!$B$5-$B330)^2+(HSP!$C$5-$C330)^2+(HSP!$D$5-$D330)^2))</f>
        <v>12.083579767601984</v>
      </c>
      <c r="J330" s="17">
        <f>SQRT((4*(HSP!$B$6-$B330)^2+(HSP!$C$6-$C330)^2+(HSP!$D$6-$D330)^2))</f>
        <v>4.5262567315608591</v>
      </c>
      <c r="K330" s="17">
        <f t="shared" si="0"/>
        <v>1.1091890096403063</v>
      </c>
      <c r="L330" s="17">
        <f t="shared" si="1"/>
        <v>0.86652596374642454</v>
      </c>
      <c r="M330" s="17">
        <f t="shared" si="2"/>
        <v>0.56798174415901048</v>
      </c>
      <c r="N330" s="17">
        <f t="shared" si="3"/>
        <v>1.491799971308887</v>
      </c>
      <c r="O330" s="17">
        <f t="shared" si="4"/>
        <v>0.55879712735319254</v>
      </c>
      <c r="P330" s="17">
        <f>$F330/HSP!$E$2</f>
        <v>0.55119208454518287</v>
      </c>
      <c r="Q330" s="17">
        <f>$G330/HSP!$E$3</f>
        <v>0.51991557824785473</v>
      </c>
      <c r="R330" s="17">
        <f>$H330/HSP!$E$4</f>
        <v>0.28934919042062796</v>
      </c>
      <c r="S330" s="17">
        <f>$I330/HSP!$E$5</f>
        <v>0.88201312172277258</v>
      </c>
      <c r="T330" s="17">
        <f>$J330/HSP!$E$6</f>
        <v>0.30582815753789588</v>
      </c>
      <c r="U330" s="18" t="s">
        <v>452</v>
      </c>
      <c r="V330" s="12"/>
      <c r="W330" s="12"/>
      <c r="X330" s="12"/>
      <c r="Y330" s="12"/>
      <c r="Z330" s="12"/>
    </row>
    <row r="331" spans="1:26" ht="15" customHeight="1" x14ac:dyDescent="0.3">
      <c r="A331" s="26" t="s">
        <v>815</v>
      </c>
      <c r="B331" s="17">
        <v>24.1</v>
      </c>
      <c r="C331" s="17">
        <v>14.9</v>
      </c>
      <c r="D331" s="17">
        <v>0.3</v>
      </c>
      <c r="E331" s="17">
        <v>24.3</v>
      </c>
      <c r="F331" s="17">
        <f>SQRT((4*(HSP!$B$2-$B331)^2+(HSP!$C$2-$C331)^2+(HSP!$D$2-$D331)^2))</f>
        <v>20.623675715061079</v>
      </c>
      <c r="G331" s="17">
        <f>SQRT((4*(HSP!$B$3-$B331)^2+(HSP!$C$3-$C331)^2+(HSP!$D$3-$D331)^2))</f>
        <v>18.461863394576401</v>
      </c>
      <c r="H331" s="17">
        <f>SQRT((4*(HSP!$B$4-$B331)^2+(HSP!$C$4-$C331)^2+(HSP!$D$4-$D331)^2))</f>
        <v>21.579573675121576</v>
      </c>
      <c r="I331" s="17">
        <f>SQRT((4*(HSP!$B$5-$B331)^2+(HSP!$C$5-$C331)^2+(HSP!$D$5-$D331)^2))</f>
        <v>20.727394915907791</v>
      </c>
      <c r="J331" s="17">
        <f>SQRT((4*(HSP!$B$6-$B331)^2+(HSP!$C$6-$C331)^2+(HSP!$D$6-$D331)^2))</f>
        <v>19.905250563607588</v>
      </c>
      <c r="K331" s="17">
        <f t="shared" si="0"/>
        <v>0.8487109347761761</v>
      </c>
      <c r="L331" s="17">
        <f t="shared" si="1"/>
        <v>0.75974746479738275</v>
      </c>
      <c r="M331" s="17">
        <f t="shared" si="2"/>
        <v>0.88804829938771912</v>
      </c>
      <c r="N331" s="17">
        <f t="shared" si="3"/>
        <v>0.85297921464641113</v>
      </c>
      <c r="O331" s="17">
        <f t="shared" si="4"/>
        <v>0.81914611372870727</v>
      </c>
      <c r="P331" s="17">
        <f>$F331/HSP!$E$2</f>
        <v>1.2652561788381029</v>
      </c>
      <c r="Q331" s="17">
        <f>$G331/HSP!$E$3</f>
        <v>1.367545436635289</v>
      </c>
      <c r="R331" s="17">
        <f>$H331/HSP!$E$4</f>
        <v>1.3572058915170802</v>
      </c>
      <c r="S331" s="17">
        <f>$I331/HSP!$E$5</f>
        <v>1.5129485340078681</v>
      </c>
      <c r="T331" s="17">
        <f>$J331/HSP!$E$6</f>
        <v>1.3449493624059181</v>
      </c>
      <c r="U331" s="18" t="s">
        <v>464</v>
      </c>
      <c r="V331" s="12"/>
      <c r="W331" s="12"/>
      <c r="X331" s="12"/>
      <c r="Y331" s="12"/>
      <c r="Z331" s="12"/>
    </row>
    <row r="332" spans="1:26" ht="15" customHeight="1" x14ac:dyDescent="0.3">
      <c r="A332" s="26" t="s">
        <v>816</v>
      </c>
      <c r="B332" s="17">
        <v>17</v>
      </c>
      <c r="C332" s="17">
        <v>10</v>
      </c>
      <c r="D332" s="17">
        <v>5</v>
      </c>
      <c r="E332" s="17">
        <v>8</v>
      </c>
      <c r="F332" s="17">
        <f>SQRT((4*(HSP!$B$2-$B332)^2+(HSP!$C$2-$C332)^2+(HSP!$D$2-$D332)^2))</f>
        <v>5.2126768555129148</v>
      </c>
      <c r="G332" s="17">
        <f>SQRT((4*(HSP!$B$3-$B332)^2+(HSP!$C$3-$C332)^2+(HSP!$D$3-$D332)^2))</f>
        <v>2.7662971640805343</v>
      </c>
      <c r="H332" s="17">
        <f>SQRT((4*(HSP!$B$4-$B332)^2+(HSP!$C$4-$C332)^2+(HSP!$D$4-$D332)^2))</f>
        <v>6.7035811324992558</v>
      </c>
      <c r="I332" s="17">
        <f>SQRT((4*(HSP!$B$5-$B332)^2+(HSP!$C$5-$C332)^2+(HSP!$D$5-$D332)^2))</f>
        <v>7.3847748780853166</v>
      </c>
      <c r="J332" s="17">
        <f>SQRT((4*(HSP!$B$6-$B332)^2+(HSP!$C$6-$C332)^2+(HSP!$D$6-$D332)^2))</f>
        <v>5.1028423452033094</v>
      </c>
      <c r="K332" s="17">
        <f t="shared" si="0"/>
        <v>0.65158460693911435</v>
      </c>
      <c r="L332" s="17">
        <f t="shared" si="1"/>
        <v>0.34578714551006678</v>
      </c>
      <c r="M332" s="17">
        <f t="shared" si="2"/>
        <v>0.83794764156240698</v>
      </c>
      <c r="N332" s="17">
        <f t="shared" si="3"/>
        <v>0.92309685976066458</v>
      </c>
      <c r="O332" s="17">
        <f t="shared" si="4"/>
        <v>0.63785529315041367</v>
      </c>
      <c r="P332" s="17">
        <f>$F332/HSP!$E$2</f>
        <v>0.31979612610508679</v>
      </c>
      <c r="Q332" s="17">
        <f>$G332/HSP!$E$3</f>
        <v>0.20491090104300255</v>
      </c>
      <c r="R332" s="17">
        <f>$H332/HSP!$E$4</f>
        <v>0.42160887625781485</v>
      </c>
      <c r="S332" s="17">
        <f>$I332/HSP!$E$5</f>
        <v>0.53903466263396471</v>
      </c>
      <c r="T332" s="17">
        <f>$J332/HSP!$E$6</f>
        <v>0.34478664494616956</v>
      </c>
      <c r="U332" s="18" t="s">
        <v>464</v>
      </c>
      <c r="V332" s="12"/>
      <c r="W332" s="12"/>
      <c r="X332" s="12"/>
      <c r="Y332" s="12"/>
      <c r="Z332" s="12"/>
    </row>
    <row r="333" spans="1:26" ht="15" customHeight="1" x14ac:dyDescent="0.3">
      <c r="A333" s="26" t="s">
        <v>817</v>
      </c>
      <c r="B333" s="17">
        <v>17.8</v>
      </c>
      <c r="C333" s="17">
        <v>3.8</v>
      </c>
      <c r="D333" s="17">
        <v>2.2000000000000002</v>
      </c>
      <c r="E333" s="17">
        <v>4.0999999999999996</v>
      </c>
      <c r="F333" s="17">
        <f>SQRT((4*(HSP!$B$2-$B333)^2+(HSP!$C$2-$C333)^2+(HSP!$D$2-$D333)^2))</f>
        <v>10.40019230591435</v>
      </c>
      <c r="G333" s="17">
        <f>SQRT((4*(HSP!$B$3-$B333)^2+(HSP!$C$3-$C333)^2+(HSP!$D$3-$D333)^2))</f>
        <v>8.0778957656062893</v>
      </c>
      <c r="H333" s="17">
        <f>SQRT((4*(HSP!$B$4-$B333)^2+(HSP!$C$4-$C333)^2+(HSP!$D$4-$D333)^2))</f>
        <v>7.04286873369084</v>
      </c>
      <c r="I333" s="17">
        <f>SQRT((4*(HSP!$B$5-$B333)^2+(HSP!$C$5-$C333)^2+(HSP!$D$5-$D333)^2))</f>
        <v>13.467846895476651</v>
      </c>
      <c r="J333" s="17">
        <f>SQRT((4*(HSP!$B$6-$B333)^2+(HSP!$C$6-$C333)^2+(HSP!$D$6-$D333)^2))</f>
        <v>5.9365815079050348</v>
      </c>
      <c r="K333" s="17">
        <f t="shared" si="0"/>
        <v>2.5366322697352075</v>
      </c>
      <c r="L333" s="17">
        <f t="shared" si="1"/>
        <v>1.9702184794161683</v>
      </c>
      <c r="M333" s="17">
        <f t="shared" si="2"/>
        <v>1.7177728618758148</v>
      </c>
      <c r="N333" s="17">
        <f t="shared" si="3"/>
        <v>3.2848407062138176</v>
      </c>
      <c r="O333" s="17">
        <f t="shared" si="4"/>
        <v>1.4479467092451306</v>
      </c>
      <c r="P333" s="17">
        <f>$F333/HSP!$E$2</f>
        <v>0.63804860772480676</v>
      </c>
      <c r="Q333" s="17">
        <f>$G333/HSP!$E$3</f>
        <v>0.5983626493041696</v>
      </c>
      <c r="R333" s="17">
        <f>$H333/HSP!$E$4</f>
        <v>0.44294771910005282</v>
      </c>
      <c r="S333" s="17">
        <f>$I333/HSP!$E$5</f>
        <v>0.9830545179180038</v>
      </c>
      <c r="T333" s="17">
        <f>$J333/HSP!$E$6</f>
        <v>0.40112037215574559</v>
      </c>
      <c r="U333" s="18" t="s">
        <v>464</v>
      </c>
      <c r="V333" s="12"/>
      <c r="W333" s="12"/>
      <c r="X333" s="12"/>
      <c r="Y333" s="12"/>
      <c r="Z333" s="12"/>
    </row>
    <row r="334" spans="1:26" ht="15" customHeight="1" x14ac:dyDescent="0.3">
      <c r="A334" s="26" t="s">
        <v>818</v>
      </c>
      <c r="B334" s="17">
        <v>17.8</v>
      </c>
      <c r="C334" s="17">
        <v>3.8</v>
      </c>
      <c r="D334" s="17">
        <v>2.2000000000000002</v>
      </c>
      <c r="E334" s="17">
        <v>4.0999999999999996</v>
      </c>
      <c r="F334" s="17">
        <f>SQRT((4*(HSP!$B$2-$B334)^2+(HSP!$C$2-$C334)^2+(HSP!$D$2-$D334)^2))</f>
        <v>10.40019230591435</v>
      </c>
      <c r="G334" s="17">
        <f>SQRT((4*(HSP!$B$3-$B334)^2+(HSP!$C$3-$C334)^2+(HSP!$D$3-$D334)^2))</f>
        <v>8.0778957656062893</v>
      </c>
      <c r="H334" s="17">
        <f>SQRT((4*(HSP!$B$4-$B334)^2+(HSP!$C$4-$C334)^2+(HSP!$D$4-$D334)^2))</f>
        <v>7.04286873369084</v>
      </c>
      <c r="I334" s="17">
        <f>SQRT((4*(HSP!$B$5-$B334)^2+(HSP!$C$5-$C334)^2+(HSP!$D$5-$D334)^2))</f>
        <v>13.467846895476651</v>
      </c>
      <c r="J334" s="17">
        <f>SQRT((4*(HSP!$B$6-$B334)^2+(HSP!$C$6-$C334)^2+(HSP!$D$6-$D334)^2))</f>
        <v>5.9365815079050348</v>
      </c>
      <c r="K334" s="17">
        <f t="shared" si="0"/>
        <v>2.5366322697352075</v>
      </c>
      <c r="L334" s="17">
        <f t="shared" si="1"/>
        <v>1.9702184794161683</v>
      </c>
      <c r="M334" s="17">
        <f t="shared" si="2"/>
        <v>1.7177728618758148</v>
      </c>
      <c r="N334" s="17">
        <f t="shared" si="3"/>
        <v>3.2848407062138176</v>
      </c>
      <c r="O334" s="17">
        <f t="shared" si="4"/>
        <v>1.4479467092451306</v>
      </c>
      <c r="P334" s="17">
        <f>$F334/HSP!$E$2</f>
        <v>0.63804860772480676</v>
      </c>
      <c r="Q334" s="17">
        <f>$G334/HSP!$E$3</f>
        <v>0.5983626493041696</v>
      </c>
      <c r="R334" s="17">
        <f>$H334/HSP!$E$4</f>
        <v>0.44294771910005282</v>
      </c>
      <c r="S334" s="17">
        <f>$I334/HSP!$E$5</f>
        <v>0.9830545179180038</v>
      </c>
      <c r="T334" s="17">
        <f>$J334/HSP!$E$6</f>
        <v>0.40112037215574559</v>
      </c>
      <c r="U334" s="18" t="s">
        <v>464</v>
      </c>
      <c r="V334" s="12"/>
      <c r="W334" s="12"/>
      <c r="X334" s="12"/>
      <c r="Y334" s="12"/>
      <c r="Z334" s="12"/>
    </row>
    <row r="335" spans="1:26" ht="15" customHeight="1" x14ac:dyDescent="0.3">
      <c r="A335" s="27" t="s">
        <v>819</v>
      </c>
      <c r="B335" s="19">
        <v>17.8</v>
      </c>
      <c r="C335" s="19">
        <v>3.8</v>
      </c>
      <c r="D335" s="19">
        <v>2.2000000000000002</v>
      </c>
      <c r="E335" s="19">
        <v>4.0999999999999996</v>
      </c>
      <c r="F335" s="19">
        <f>SQRT((4*(HSP!$B$2-$B335)^2+(HSP!$C$2-$C335)^2+(HSP!$D$2-$D335)^2))</f>
        <v>10.40019230591435</v>
      </c>
      <c r="G335" s="19">
        <f>SQRT((4*(HSP!$B$3-$B335)^2+(HSP!$C$3-$C335)^2+(HSP!$D$3-$D335)^2))</f>
        <v>8.0778957656062893</v>
      </c>
      <c r="H335" s="19">
        <f>SQRT((4*(HSP!$B$4-$B335)^2+(HSP!$C$4-$C335)^2+(HSP!$D$4-$D335)^2))</f>
        <v>7.04286873369084</v>
      </c>
      <c r="I335" s="19">
        <f>SQRT((4*(HSP!$B$5-$B335)^2+(HSP!$C$5-$C335)^2+(HSP!$D$5-$D335)^2))</f>
        <v>13.467846895476651</v>
      </c>
      <c r="J335" s="19">
        <f>SQRT((4*(HSP!$B$6-$B335)^2+(HSP!$C$6-$C335)^2+(HSP!$D$6-$D335)^2))</f>
        <v>5.9365815079050348</v>
      </c>
      <c r="K335" s="17">
        <f t="shared" si="0"/>
        <v>2.5366322697352075</v>
      </c>
      <c r="L335" s="17">
        <f t="shared" si="1"/>
        <v>1.9702184794161683</v>
      </c>
      <c r="M335" s="17">
        <f t="shared" si="2"/>
        <v>1.7177728618758148</v>
      </c>
      <c r="N335" s="17">
        <f t="shared" si="3"/>
        <v>3.2848407062138176</v>
      </c>
      <c r="O335" s="17">
        <f t="shared" si="4"/>
        <v>1.4479467092451306</v>
      </c>
      <c r="P335" s="17">
        <f>$F335/HSP!$E$2</f>
        <v>0.63804860772480676</v>
      </c>
      <c r="Q335" s="17">
        <f>$G335/HSP!$E$3</f>
        <v>0.5983626493041696</v>
      </c>
      <c r="R335" s="17">
        <f>$H335/HSP!$E$4</f>
        <v>0.44294771910005282</v>
      </c>
      <c r="S335" s="17">
        <f>$I335/HSP!$E$5</f>
        <v>0.9830545179180038</v>
      </c>
      <c r="T335" s="17">
        <f>$J335/HSP!$E$6</f>
        <v>0.40112037215574559</v>
      </c>
      <c r="U335" s="18" t="s">
        <v>464</v>
      </c>
      <c r="V335" s="12"/>
      <c r="W335" s="12"/>
      <c r="X335" s="12"/>
      <c r="Y335" s="12"/>
      <c r="Z335" s="12"/>
    </row>
    <row r="336" spans="1:26" ht="15" customHeight="1" x14ac:dyDescent="0.3">
      <c r="A336" s="26" t="s">
        <v>820</v>
      </c>
      <c r="B336" s="17">
        <v>17.600000000000001</v>
      </c>
      <c r="C336" s="17">
        <v>9.6999999999999993</v>
      </c>
      <c r="D336" s="17">
        <v>4</v>
      </c>
      <c r="E336" s="17">
        <v>8</v>
      </c>
      <c r="F336" s="17">
        <f>SQRT((4*(HSP!$B$2-$B336)^2+(HSP!$C$2-$C336)^2+(HSP!$D$2-$D336)^2))</f>
        <v>6.7422548157126228</v>
      </c>
      <c r="G336" s="17">
        <f>SQRT((4*(HSP!$B$3-$B336)^2+(HSP!$C$3-$C336)^2+(HSP!$D$3-$D336)^2))</f>
        <v>4.2315954438013126</v>
      </c>
      <c r="H336" s="17">
        <f>SQRT((4*(HSP!$B$4-$B336)^2+(HSP!$C$4-$C336)^2+(HSP!$D$4-$D336)^2))</f>
        <v>7.5272837066235265</v>
      </c>
      <c r="I336" s="17">
        <f>SQRT((4*(HSP!$B$5-$B336)^2+(HSP!$C$5-$C336)^2+(HSP!$D$5-$D336)^2))</f>
        <v>8.8803659834491082</v>
      </c>
      <c r="J336" s="17">
        <f>SQRT((4*(HSP!$B$6-$B336)^2+(HSP!$C$6-$C336)^2+(HSP!$D$6-$D336)^2))</f>
        <v>5.6948222096918908</v>
      </c>
      <c r="K336" s="17">
        <f t="shared" si="0"/>
        <v>0.84278185196407784</v>
      </c>
      <c r="L336" s="17">
        <f t="shared" si="1"/>
        <v>0.52894943047516407</v>
      </c>
      <c r="M336" s="17">
        <f t="shared" si="2"/>
        <v>0.94091046332794082</v>
      </c>
      <c r="N336" s="17">
        <f t="shared" si="3"/>
        <v>1.1100457479311385</v>
      </c>
      <c r="O336" s="17">
        <f t="shared" si="4"/>
        <v>0.71185277621148635</v>
      </c>
      <c r="P336" s="17">
        <f>$F336/HSP!$E$2</f>
        <v>0.41363526476764556</v>
      </c>
      <c r="Q336" s="17">
        <f>$G336/HSP!$E$3</f>
        <v>0.31345151435565277</v>
      </c>
      <c r="R336" s="17">
        <f>$H336/HSP!$E$4</f>
        <v>0.47341406959896393</v>
      </c>
      <c r="S336" s="17">
        <f>$I336/HSP!$E$5</f>
        <v>0.64820189660212468</v>
      </c>
      <c r="T336" s="17">
        <f>$J336/HSP!$E$6</f>
        <v>0.38478528443864124</v>
      </c>
      <c r="U336" s="18" t="s">
        <v>464</v>
      </c>
      <c r="V336" s="12"/>
      <c r="W336" s="12"/>
      <c r="X336" s="12"/>
      <c r="Y336" s="12"/>
      <c r="Z336" s="12"/>
    </row>
    <row r="337" spans="1:26" ht="15" customHeight="1" x14ac:dyDescent="0.3">
      <c r="A337" s="26" t="s">
        <v>821</v>
      </c>
      <c r="B337" s="17">
        <v>18.8</v>
      </c>
      <c r="C337" s="17">
        <v>1.5</v>
      </c>
      <c r="D337" s="17">
        <v>1.3</v>
      </c>
      <c r="E337" s="17">
        <v>1</v>
      </c>
      <c r="F337" s="17">
        <f>SQRT((4*(HSP!$B$2-$B337)^2+(HSP!$C$2-$C337)^2+(HSP!$D$2-$D337)^2))</f>
        <v>13.531592663097721</v>
      </c>
      <c r="G337" s="17">
        <f>SQRT((4*(HSP!$B$3-$B337)^2+(HSP!$C$3-$C337)^2+(HSP!$D$3-$D337)^2))</f>
        <v>11.21179735814022</v>
      </c>
      <c r="H337" s="17">
        <f>SQRT((4*(HSP!$B$4-$B337)^2+(HSP!$C$4-$C337)^2+(HSP!$D$4-$D337)^2))</f>
        <v>9.6472794092427954</v>
      </c>
      <c r="I337" s="17">
        <f>SQRT((4*(HSP!$B$5-$B337)^2+(HSP!$C$5-$C337)^2+(HSP!$D$5-$D337)^2))</f>
        <v>16.385020598095078</v>
      </c>
      <c r="J337" s="17">
        <f>SQRT((4*(HSP!$B$6-$B337)^2+(HSP!$C$6-$C337)^2+(HSP!$D$6-$D337)^2))</f>
        <v>8.9805901810515785</v>
      </c>
      <c r="K337" s="17">
        <f t="shared" si="0"/>
        <v>13.531592663097721</v>
      </c>
      <c r="L337" s="17">
        <f t="shared" si="1"/>
        <v>11.21179735814022</v>
      </c>
      <c r="M337" s="17">
        <f t="shared" si="2"/>
        <v>9.6472794092427954</v>
      </c>
      <c r="N337" s="17">
        <f t="shared" si="3"/>
        <v>16.385020598095078</v>
      </c>
      <c r="O337" s="17">
        <f t="shared" si="4"/>
        <v>8.9805901810515785</v>
      </c>
      <c r="P337" s="17">
        <f>$F337/HSP!$E$2</f>
        <v>0.83015905908574972</v>
      </c>
      <c r="Q337" s="17">
        <f>$G337/HSP!$E$3</f>
        <v>0.83050350801038675</v>
      </c>
      <c r="R337" s="17">
        <f>$H337/HSP!$E$4</f>
        <v>0.6067471326567796</v>
      </c>
      <c r="S337" s="17">
        <f>$I337/HSP!$E$5</f>
        <v>1.1959869049704437</v>
      </c>
      <c r="T337" s="17">
        <f>$J337/HSP!$E$6</f>
        <v>0.6067966338548364</v>
      </c>
      <c r="U337" s="18" t="s">
        <v>464</v>
      </c>
      <c r="V337" s="12"/>
      <c r="W337" s="12"/>
      <c r="X337" s="12"/>
      <c r="Y337" s="12"/>
      <c r="Z337" s="12"/>
    </row>
    <row r="338" spans="1:26" ht="15" customHeight="1" x14ac:dyDescent="0.3">
      <c r="A338" s="26" t="s">
        <v>822</v>
      </c>
      <c r="B338" s="17">
        <v>17</v>
      </c>
      <c r="C338" s="17">
        <v>4</v>
      </c>
      <c r="D338" s="17">
        <v>4</v>
      </c>
      <c r="E338" s="17">
        <v>7.3</v>
      </c>
      <c r="F338" s="17">
        <f>SQRT((4*(HSP!$B$2-$B338)^2+(HSP!$C$2-$C338)^2+(HSP!$D$2-$D338)^2))</f>
        <v>8.5820743413233167</v>
      </c>
      <c r="G338" s="17">
        <f>SQRT((4*(HSP!$B$3-$B338)^2+(HSP!$C$3-$C338)^2+(HSP!$D$3-$D338)^2))</f>
        <v>6.4971070485255211</v>
      </c>
      <c r="H338" s="17">
        <f>SQRT((4*(HSP!$B$4-$B338)^2+(HSP!$C$4-$C338)^2+(HSP!$D$4-$D338)^2))</f>
        <v>4.6581112051989484</v>
      </c>
      <c r="I338" s="17">
        <f>SQRT((4*(HSP!$B$5-$B338)^2+(HSP!$C$5-$C338)^2+(HSP!$D$5-$D338)^2))</f>
        <v>11.663400018862426</v>
      </c>
      <c r="J338" s="17">
        <f>SQRT((4*(HSP!$B$6-$B338)^2+(HSP!$C$6-$C338)^2+(HSP!$D$6-$D338)^2))</f>
        <v>4.230720978745822</v>
      </c>
      <c r="K338" s="17">
        <f t="shared" si="0"/>
        <v>1.1756266220990845</v>
      </c>
      <c r="L338" s="17">
        <f t="shared" si="1"/>
        <v>0.89001466418157826</v>
      </c>
      <c r="M338" s="17">
        <f t="shared" si="2"/>
        <v>0.63809742536971892</v>
      </c>
      <c r="N338" s="17">
        <f t="shared" si="3"/>
        <v>1.5977260299811542</v>
      </c>
      <c r="O338" s="17">
        <f t="shared" si="4"/>
        <v>0.57955081900627703</v>
      </c>
      <c r="P338" s="17">
        <f>$F338/HSP!$E$2</f>
        <v>0.5265076283020439</v>
      </c>
      <c r="Q338" s="17">
        <f>$G338/HSP!$E$3</f>
        <v>0.48126718877966823</v>
      </c>
      <c r="R338" s="17">
        <f>$H338/HSP!$E$4</f>
        <v>0.29296296888043699</v>
      </c>
      <c r="S338" s="17">
        <f>$I338/HSP!$E$5</f>
        <v>0.85134306707025009</v>
      </c>
      <c r="T338" s="17">
        <f>$J338/HSP!$E$6</f>
        <v>0.28585952559093392</v>
      </c>
      <c r="U338" s="18" t="s">
        <v>471</v>
      </c>
      <c r="V338" s="12"/>
      <c r="W338" s="12"/>
      <c r="X338" s="12"/>
      <c r="Y338" s="12"/>
      <c r="Z338" s="12"/>
    </row>
    <row r="339" spans="1:26" ht="15" customHeight="1" x14ac:dyDescent="0.3">
      <c r="A339" s="26" t="s">
        <v>823</v>
      </c>
      <c r="B339" s="17">
        <v>18.600000000000001</v>
      </c>
      <c r="C339" s="17">
        <v>9.9</v>
      </c>
      <c r="D339" s="17">
        <v>6</v>
      </c>
      <c r="E339" s="17">
        <v>10.7</v>
      </c>
      <c r="F339" s="17">
        <f>SQRT((4*(HSP!$B$2-$B339)^2+(HSP!$C$2-$C339)^2+(HSP!$D$2-$D339)^2))</f>
        <v>8.0792326368288254</v>
      </c>
      <c r="G339" s="17">
        <f>SQRT((4*(HSP!$B$3-$B339)^2+(HSP!$C$3-$C339)^2+(HSP!$D$3-$D339)^2))</f>
        <v>5.8277268295622822</v>
      </c>
      <c r="H339" s="17">
        <f>SQRT((4*(HSP!$B$4-$B339)^2+(HSP!$C$4-$C339)^2+(HSP!$D$4-$D339)^2))</f>
        <v>8.6572512958790817</v>
      </c>
      <c r="I339" s="17">
        <f>SQRT((4*(HSP!$B$5-$B339)^2+(HSP!$C$5-$C339)^2+(HSP!$D$5-$D339)^2))</f>
        <v>8.7528795261902275</v>
      </c>
      <c r="J339" s="17">
        <f>SQRT((4*(HSP!$B$6-$B339)^2+(HSP!$C$6-$C339)^2+(HSP!$D$6-$D339)^2))</f>
        <v>7.8114659315649622</v>
      </c>
      <c r="K339" s="17">
        <f t="shared" si="0"/>
        <v>0.75506847073166594</v>
      </c>
      <c r="L339" s="17">
        <f t="shared" si="1"/>
        <v>0.54464736724881146</v>
      </c>
      <c r="M339" s="17">
        <f t="shared" si="2"/>
        <v>0.80908890615692353</v>
      </c>
      <c r="N339" s="17">
        <f t="shared" si="3"/>
        <v>0.818026123943012</v>
      </c>
      <c r="O339" s="17">
        <f t="shared" si="4"/>
        <v>0.73004354500607127</v>
      </c>
      <c r="P339" s="17">
        <f>$F339/HSP!$E$2</f>
        <v>0.49565844397722852</v>
      </c>
      <c r="Q339" s="17">
        <f>$G339/HSP!$E$3</f>
        <v>0.43168346885646536</v>
      </c>
      <c r="R339" s="17">
        <f>$H339/HSP!$E$4</f>
        <v>0.54448121357730073</v>
      </c>
      <c r="S339" s="17">
        <f>$I339/HSP!$E$5</f>
        <v>0.63889631578030859</v>
      </c>
      <c r="T339" s="17">
        <f>$J339/HSP!$E$6</f>
        <v>0.5278017521327677</v>
      </c>
      <c r="U339" s="18" t="s">
        <v>464</v>
      </c>
      <c r="V339" s="12"/>
      <c r="W339" s="12"/>
      <c r="X339" s="12"/>
      <c r="Y339" s="12"/>
      <c r="Z339" s="12"/>
    </row>
    <row r="340" spans="1:26" ht="15" customHeight="1" x14ac:dyDescent="0.3">
      <c r="A340" s="26" t="s">
        <v>823</v>
      </c>
      <c r="B340" s="17">
        <v>18.5</v>
      </c>
      <c r="C340" s="17">
        <v>8</v>
      </c>
      <c r="D340" s="17">
        <v>7</v>
      </c>
      <c r="E340" s="17">
        <v>8</v>
      </c>
      <c r="F340" s="17">
        <f>SQRT((4*(HSP!$B$2-$B340)^2+(HSP!$C$2-$C340)^2+(HSP!$D$2-$D340)^2))</f>
        <v>8.1787529611793506</v>
      </c>
      <c r="G340" s="17">
        <f>SQRT((4*(HSP!$B$3-$B340)^2+(HSP!$C$3-$C340)^2+(HSP!$D$3-$D340)^2))</f>
        <v>5.9776584044256005</v>
      </c>
      <c r="H340" s="17">
        <f>SQRT((4*(HSP!$B$4-$B340)^2+(HSP!$C$4-$C340)^2+(HSP!$D$4-$D340)^2))</f>
        <v>7.444326698902997</v>
      </c>
      <c r="I340" s="17">
        <f>SQRT((4*(HSP!$B$5-$B340)^2+(HSP!$C$5-$C340)^2+(HSP!$D$5-$D340)^2))</f>
        <v>8.9137478088624427</v>
      </c>
      <c r="J340" s="17">
        <f>SQRT((4*(HSP!$B$6-$B340)^2+(HSP!$C$6-$C340)^2+(HSP!$D$6-$D340)^2))</f>
        <v>7.3565616968798686</v>
      </c>
      <c r="K340" s="17">
        <f t="shared" si="0"/>
        <v>1.0223441201474188</v>
      </c>
      <c r="L340" s="17">
        <f t="shared" si="1"/>
        <v>0.74720730055320006</v>
      </c>
      <c r="M340" s="17">
        <f t="shared" si="2"/>
        <v>0.93054083736287463</v>
      </c>
      <c r="N340" s="17">
        <f t="shared" si="3"/>
        <v>1.1142184761078053</v>
      </c>
      <c r="O340" s="17">
        <f t="shared" si="4"/>
        <v>0.91957021210998358</v>
      </c>
      <c r="P340" s="17">
        <f>$F340/HSP!$E$2</f>
        <v>0.50176398534842637</v>
      </c>
      <c r="Q340" s="17">
        <f>$G340/HSP!$E$3</f>
        <v>0.44278951143893336</v>
      </c>
      <c r="R340" s="17">
        <f>$H340/HSP!$E$4</f>
        <v>0.46819664772974823</v>
      </c>
      <c r="S340" s="17">
        <f>$I340/HSP!$E$5</f>
        <v>0.65063852619433893</v>
      </c>
      <c r="T340" s="17">
        <f>$J340/HSP!$E$6</f>
        <v>0.49706497951891004</v>
      </c>
      <c r="U340" s="18" t="s">
        <v>464</v>
      </c>
      <c r="V340" s="12"/>
      <c r="W340" s="12"/>
      <c r="X340" s="12"/>
      <c r="Y340" s="12"/>
      <c r="Z340" s="12"/>
    </row>
    <row r="341" spans="1:26" ht="15" customHeight="1" x14ac:dyDescent="0.3">
      <c r="A341" s="26" t="s">
        <v>824</v>
      </c>
      <c r="B341" s="17">
        <v>17.2</v>
      </c>
      <c r="C341" s="17">
        <v>14.4</v>
      </c>
      <c r="D341" s="17">
        <v>7.6</v>
      </c>
      <c r="E341" s="17">
        <v>3.8</v>
      </c>
      <c r="F341" s="17">
        <f>SQRT((4*(HSP!$B$2-$B341)^2+(HSP!$C$2-$C341)^2+(HSP!$D$2-$D341)^2))</f>
        <v>6.5534723620383097</v>
      </c>
      <c r="G341" s="17">
        <f>SQRT((4*(HSP!$B$3-$B341)^2+(HSP!$C$3-$C341)^2+(HSP!$D$3-$D341)^2))</f>
        <v>5.8954558771989802</v>
      </c>
      <c r="H341" s="17">
        <f>SQRT((4*(HSP!$B$4-$B341)^2+(HSP!$C$4-$C341)^2+(HSP!$D$4-$D341)^2))</f>
        <v>10.564184776877012</v>
      </c>
      <c r="I341" s="17">
        <f>SQRT((4*(HSP!$B$5-$B341)^2+(HSP!$C$5-$C341)^2+(HSP!$D$5-$D341)^2))</f>
        <v>5.3675785974683219</v>
      </c>
      <c r="J341" s="17">
        <f>SQRT((4*(HSP!$B$6-$B341)^2+(HSP!$C$6-$C341)^2+(HSP!$D$6-$D341)^2))</f>
        <v>9.6168082023091213</v>
      </c>
      <c r="K341" s="17">
        <f t="shared" si="0"/>
        <v>1.7245979900100816</v>
      </c>
      <c r="L341" s="17">
        <f t="shared" si="1"/>
        <v>1.5514357571576265</v>
      </c>
      <c r="M341" s="17">
        <f t="shared" si="2"/>
        <v>2.7800486254939507</v>
      </c>
      <c r="N341" s="17">
        <f t="shared" si="3"/>
        <v>1.4125206835442954</v>
      </c>
      <c r="O341" s="17">
        <f t="shared" si="4"/>
        <v>2.5307390006076638</v>
      </c>
      <c r="P341" s="17">
        <f>$F341/HSP!$E$2</f>
        <v>0.40205351914345455</v>
      </c>
      <c r="Q341" s="17">
        <f>$G341/HSP!$E$3</f>
        <v>0.43670043534807262</v>
      </c>
      <c r="R341" s="17">
        <f>$H341/HSP!$E$4</f>
        <v>0.66441413691050388</v>
      </c>
      <c r="S341" s="17">
        <f>$I341/HSP!$E$5</f>
        <v>0.39179405820936658</v>
      </c>
      <c r="T341" s="17">
        <f>$J341/HSP!$E$6</f>
        <v>0.64978433799385948</v>
      </c>
      <c r="U341" s="18" t="s">
        <v>464</v>
      </c>
      <c r="V341" s="12"/>
      <c r="W341" s="12"/>
      <c r="X341" s="12"/>
      <c r="Y341" s="12"/>
      <c r="Z341" s="12"/>
    </row>
    <row r="342" spans="1:26" ht="15" customHeight="1" x14ac:dyDescent="0.3">
      <c r="A342" s="26" t="s">
        <v>825</v>
      </c>
      <c r="B342" s="17">
        <v>18.600000000000001</v>
      </c>
      <c r="C342" s="17">
        <v>10.5</v>
      </c>
      <c r="D342" s="17">
        <v>5.0999999999999996</v>
      </c>
      <c r="E342" s="17">
        <v>8</v>
      </c>
      <c r="F342" s="17">
        <f>SQRT((4*(HSP!$B$2-$B342)^2+(HSP!$C$2-$C342)^2+(HSP!$D$2-$D342)^2))</f>
        <v>8.2180289607666914</v>
      </c>
      <c r="G342" s="17">
        <f>SQRT((4*(HSP!$B$3-$B342)^2+(HSP!$C$3-$C342)^2+(HSP!$D$3-$D342)^2))</f>
        <v>5.9242214678386258</v>
      </c>
      <c r="H342" s="17">
        <f>SQRT((4*(HSP!$B$4-$B342)^2+(HSP!$C$4-$C342)^2+(HSP!$D$4-$D342)^2))</f>
        <v>9.1554355439815112</v>
      </c>
      <c r="I342" s="17">
        <f>SQRT((4*(HSP!$B$5-$B342)^2+(HSP!$C$5-$C342)^2+(HSP!$D$5-$D342)^2))</f>
        <v>9.1253986214301914</v>
      </c>
      <c r="J342" s="17">
        <f>SQRT((4*(HSP!$B$6-$B342)^2+(HSP!$C$6-$C342)^2+(HSP!$D$6-$D342)^2))</f>
        <v>7.9046189028946898</v>
      </c>
      <c r="K342" s="17">
        <f t="shared" si="0"/>
        <v>1.0272536200958364</v>
      </c>
      <c r="L342" s="17">
        <f t="shared" si="1"/>
        <v>0.74052768347982822</v>
      </c>
      <c r="M342" s="17">
        <f t="shared" si="2"/>
        <v>1.1444294429976889</v>
      </c>
      <c r="N342" s="17">
        <f t="shared" si="3"/>
        <v>1.1406748276787739</v>
      </c>
      <c r="O342" s="17">
        <f t="shared" si="4"/>
        <v>0.98807736286183623</v>
      </c>
      <c r="P342" s="17">
        <f>$F342/HSP!$E$2</f>
        <v>0.50417355587525714</v>
      </c>
      <c r="Q342" s="17">
        <f>$G342/HSP!$E$3</f>
        <v>0.4388312198398982</v>
      </c>
      <c r="R342" s="17">
        <f>$H342/HSP!$E$4</f>
        <v>0.57581355622525221</v>
      </c>
      <c r="S342" s="17">
        <f>$I342/HSP!$E$5</f>
        <v>0.66608749061534245</v>
      </c>
      <c r="T342" s="17">
        <f>$J342/HSP!$E$6</f>
        <v>0.53409587181720874</v>
      </c>
      <c r="U342" s="18" t="s">
        <v>464</v>
      </c>
      <c r="V342" s="12"/>
      <c r="W342" s="12"/>
      <c r="X342" s="12"/>
      <c r="Y342" s="12"/>
      <c r="Z342" s="12"/>
    </row>
    <row r="343" spans="1:26" ht="15" customHeight="1" x14ac:dyDescent="0.3">
      <c r="A343" s="26" t="s">
        <v>826</v>
      </c>
      <c r="B343" s="17">
        <v>18.8</v>
      </c>
      <c r="C343" s="17">
        <v>10.5</v>
      </c>
      <c r="D343" s="17">
        <v>5.7</v>
      </c>
      <c r="E343" s="17">
        <v>8.59</v>
      </c>
      <c r="F343" s="17">
        <f>SQRT((4*(HSP!$B$2-$B343)^2+(HSP!$C$2-$C343)^2+(HSP!$D$2-$D343)^2))</f>
        <v>8.4970583144992027</v>
      </c>
      <c r="G343" s="17">
        <f>SQRT((4*(HSP!$B$3-$B343)^2+(HSP!$C$3-$C343)^2+(HSP!$D$3-$D343)^2))</f>
        <v>6.2776110105676368</v>
      </c>
      <c r="H343" s="17">
        <f>SQRT((4*(HSP!$B$4-$B343)^2+(HSP!$C$4-$C343)^2+(HSP!$D$4-$D343)^2))</f>
        <v>9.3696317963941365</v>
      </c>
      <c r="I343" s="17">
        <f>SQRT((4*(HSP!$B$5-$B343)^2+(HSP!$C$5-$C343)^2+(HSP!$D$5-$D343)^2))</f>
        <v>9.0622789628216598</v>
      </c>
      <c r="J343" s="17">
        <f>SQRT((4*(HSP!$B$6-$B343)^2+(HSP!$C$6-$C343)^2+(HSP!$D$6-$D343)^2))</f>
        <v>8.3564944803428212</v>
      </c>
      <c r="K343" s="17">
        <f t="shared" si="0"/>
        <v>0.98918024615823086</v>
      </c>
      <c r="L343" s="17">
        <f t="shared" si="1"/>
        <v>0.73080454139320572</v>
      </c>
      <c r="M343" s="17">
        <f t="shared" si="2"/>
        <v>1.0907603953893057</v>
      </c>
      <c r="N343" s="17">
        <f t="shared" si="3"/>
        <v>1.0549800888034528</v>
      </c>
      <c r="O343" s="17">
        <f t="shared" si="4"/>
        <v>0.97281658676866367</v>
      </c>
      <c r="P343" s="17">
        <f>$F343/HSP!$E$2</f>
        <v>0.5212919211349204</v>
      </c>
      <c r="Q343" s="17">
        <f>$G343/HSP!$E$3</f>
        <v>0.46500822300501016</v>
      </c>
      <c r="R343" s="17">
        <f>$H343/HSP!$E$4</f>
        <v>0.58928501864114069</v>
      </c>
      <c r="S343" s="17">
        <f>$I343/HSP!$E$5</f>
        <v>0.66148021626435471</v>
      </c>
      <c r="T343" s="17">
        <f>$J343/HSP!$E$6</f>
        <v>0.56462800542856895</v>
      </c>
      <c r="U343" s="18" t="s">
        <v>464</v>
      </c>
      <c r="V343" s="12"/>
      <c r="W343" s="12"/>
      <c r="X343" s="12"/>
      <c r="Y343" s="12"/>
      <c r="Z343" s="12"/>
    </row>
    <row r="344" spans="1:26" ht="15" customHeight="1" x14ac:dyDescent="0.3">
      <c r="A344" s="26" t="s">
        <v>827</v>
      </c>
      <c r="B344" s="17">
        <v>18.64</v>
      </c>
      <c r="C344" s="17">
        <v>10.52</v>
      </c>
      <c r="D344" s="17">
        <v>7.51</v>
      </c>
      <c r="E344" s="17">
        <v>8.59</v>
      </c>
      <c r="F344" s="17">
        <f>SQRT((4*(HSP!$B$2-$B344)^2+(HSP!$C$2-$C344)^2+(HSP!$D$2-$D344)^2))</f>
        <v>8.0975860600551837</v>
      </c>
      <c r="G344" s="17">
        <f>SQRT((4*(HSP!$B$3-$B344)^2+(HSP!$C$3-$C344)^2+(HSP!$D$3-$D344)^2))</f>
        <v>6.1972332536382728</v>
      </c>
      <c r="H344" s="17">
        <f>SQRT((4*(HSP!$B$4-$B344)^2+(HSP!$C$4-$C344)^2+(HSP!$D$4-$D344)^2))</f>
        <v>9.097983293016096</v>
      </c>
      <c r="I344" s="17">
        <f>SQRT((4*(HSP!$B$5-$B344)^2+(HSP!$C$5-$C344)^2+(HSP!$D$5-$D344)^2))</f>
        <v>7.8717215397903928</v>
      </c>
      <c r="J344" s="17">
        <f>SQRT((4*(HSP!$B$6-$B344)^2+(HSP!$C$6-$C344)^2+(HSP!$D$6-$D344)^2))</f>
        <v>8.6920250804976416</v>
      </c>
      <c r="K344" s="17">
        <f t="shared" si="0"/>
        <v>0.94267590920316457</v>
      </c>
      <c r="L344" s="17">
        <f t="shared" si="1"/>
        <v>0.72144741020236003</v>
      </c>
      <c r="M344" s="17">
        <f t="shared" si="2"/>
        <v>1.0591365882440158</v>
      </c>
      <c r="N344" s="17">
        <f t="shared" si="3"/>
        <v>0.91638201860190838</v>
      </c>
      <c r="O344" s="17">
        <f t="shared" si="4"/>
        <v>1.0118771921417511</v>
      </c>
      <c r="P344" s="17">
        <f>$F344/HSP!$E$2</f>
        <v>0.4967844208622812</v>
      </c>
      <c r="Q344" s="17">
        <f>$G344/HSP!$E$3</f>
        <v>0.45905431508431649</v>
      </c>
      <c r="R344" s="17">
        <f>$H344/HSP!$E$4</f>
        <v>0.57220020710793051</v>
      </c>
      <c r="S344" s="17">
        <f>$I344/HSP!$E$5</f>
        <v>0.57457821458324043</v>
      </c>
      <c r="T344" s="17">
        <f>$J344/HSP!$E$6</f>
        <v>0.58729899192551627</v>
      </c>
      <c r="U344" s="18" t="s">
        <v>518</v>
      </c>
      <c r="V344" s="12"/>
      <c r="W344" s="12"/>
      <c r="X344" s="12"/>
      <c r="Y344" s="12"/>
      <c r="Z344" s="12"/>
    </row>
    <row r="345" spans="1:26" ht="15" customHeight="1" x14ac:dyDescent="0.3">
      <c r="A345" s="26" t="s">
        <v>828</v>
      </c>
      <c r="B345" s="17">
        <v>17.2</v>
      </c>
      <c r="C345" s="17">
        <v>9.1999999999999993</v>
      </c>
      <c r="D345" s="17">
        <v>9.8000000000000007</v>
      </c>
      <c r="E345" s="17">
        <v>8</v>
      </c>
      <c r="F345" s="17">
        <f>SQRT((4*(HSP!$B$2-$B345)^2+(HSP!$C$2-$C345)^2+(HSP!$D$2-$D345)^2))</f>
        <v>6.0481402100149761</v>
      </c>
      <c r="G345" s="17">
        <f>SQRT((4*(HSP!$B$3-$B345)^2+(HSP!$C$3-$C345)^2+(HSP!$D$3-$D345)^2))</f>
        <v>5.0172103802810586</v>
      </c>
      <c r="H345" s="17">
        <f>SQRT((4*(HSP!$B$4-$B345)^2+(HSP!$C$4-$C345)^2+(HSP!$D$4-$D345)^2))</f>
        <v>6.775987012974567</v>
      </c>
      <c r="I345" s="17">
        <f>SQRT((4*(HSP!$B$5-$B345)^2+(HSP!$C$5-$C345)^2+(HSP!$D$5-$D345)^2))</f>
        <v>5.3448012123932171</v>
      </c>
      <c r="J345" s="17">
        <f>SQRT((4*(HSP!$B$6-$B345)^2+(HSP!$C$6-$C345)^2+(HSP!$D$6-$D345)^2))</f>
        <v>7.6141315985475329</v>
      </c>
      <c r="K345" s="17">
        <f t="shared" si="0"/>
        <v>0.75601752625187202</v>
      </c>
      <c r="L345" s="17">
        <f t="shared" si="1"/>
        <v>0.62715129753513232</v>
      </c>
      <c r="M345" s="17">
        <f t="shared" si="2"/>
        <v>0.84699837662182087</v>
      </c>
      <c r="N345" s="17">
        <f t="shared" si="3"/>
        <v>0.66810015154915214</v>
      </c>
      <c r="O345" s="17">
        <f t="shared" si="4"/>
        <v>0.95176644981844161</v>
      </c>
      <c r="P345" s="17">
        <f>$F345/HSP!$E$2</f>
        <v>0.37105154662668566</v>
      </c>
      <c r="Q345" s="17">
        <f>$G345/HSP!$E$3</f>
        <v>0.37164521335415251</v>
      </c>
      <c r="R345" s="17">
        <f>$H345/HSP!$E$4</f>
        <v>0.42616270521852623</v>
      </c>
      <c r="S345" s="17">
        <f>$I345/HSP!$E$5</f>
        <v>0.39013147535716913</v>
      </c>
      <c r="T345" s="17">
        <f>$J345/HSP!$E$6</f>
        <v>0.51446835125321166</v>
      </c>
      <c r="U345" s="18" t="s">
        <v>518</v>
      </c>
      <c r="V345" s="12"/>
      <c r="W345" s="12"/>
      <c r="X345" s="12"/>
      <c r="Y345" s="12"/>
      <c r="Z345" s="12"/>
    </row>
    <row r="346" spans="1:26" ht="15" customHeight="1" x14ac:dyDescent="0.3">
      <c r="A346" s="26" t="s">
        <v>829</v>
      </c>
      <c r="B346" s="17">
        <v>17.899999999999999</v>
      </c>
      <c r="C346" s="17">
        <v>3.1</v>
      </c>
      <c r="D346" s="17">
        <v>8.5</v>
      </c>
      <c r="E346" s="17">
        <v>8</v>
      </c>
      <c r="F346" s="17">
        <f>SQRT((4*(HSP!$B$2-$B346)^2+(HSP!$C$2-$C346)^2+(HSP!$D$2-$D346)^2))</f>
        <v>10.001999800039989</v>
      </c>
      <c r="G346" s="17">
        <f>SQRT((4*(HSP!$B$3-$B346)^2+(HSP!$C$3-$C346)^2+(HSP!$D$3-$D346)^2))</f>
        <v>8.3517902272506817</v>
      </c>
      <c r="H346" s="17">
        <f>SQRT((4*(HSP!$B$4-$B346)^2+(HSP!$C$4-$C346)^2+(HSP!$D$4-$D346)^2))</f>
        <v>5.9327902373166683</v>
      </c>
      <c r="I346" s="17">
        <f>SQRT((4*(HSP!$B$5-$B346)^2+(HSP!$C$5-$C346)^2+(HSP!$D$5-$D346)^2))</f>
        <v>11.230178092977868</v>
      </c>
      <c r="J346" s="17">
        <f>SQRT((4*(HSP!$B$6-$B346)^2+(HSP!$C$6-$C346)^2+(HSP!$D$6-$D346)^2))</f>
        <v>7.7703925254777175</v>
      </c>
      <c r="K346" s="17">
        <f t="shared" si="0"/>
        <v>1.2502499750049987</v>
      </c>
      <c r="L346" s="17">
        <f t="shared" si="1"/>
        <v>1.0439737784063352</v>
      </c>
      <c r="M346" s="17">
        <f t="shared" si="2"/>
        <v>0.74159877966458354</v>
      </c>
      <c r="N346" s="17">
        <f t="shared" si="3"/>
        <v>1.4037722616222335</v>
      </c>
      <c r="O346" s="17">
        <f t="shared" si="4"/>
        <v>0.97129906568471469</v>
      </c>
      <c r="P346" s="17">
        <f>$F346/HSP!$E$2</f>
        <v>0.61361961963435518</v>
      </c>
      <c r="Q346" s="17">
        <f>$G346/HSP!$E$3</f>
        <v>0.61865112794449495</v>
      </c>
      <c r="R346" s="17">
        <f>$H346/HSP!$E$4</f>
        <v>0.37313146146645709</v>
      </c>
      <c r="S346" s="17">
        <f>$I346/HSP!$E$5</f>
        <v>0.81972102868451591</v>
      </c>
      <c r="T346" s="17">
        <f>$J346/HSP!$E$6</f>
        <v>0.5250265219917376</v>
      </c>
      <c r="U346" s="18" t="s">
        <v>518</v>
      </c>
      <c r="V346" s="12"/>
      <c r="W346" s="12"/>
      <c r="X346" s="12"/>
      <c r="Y346" s="12"/>
      <c r="Z346" s="12"/>
    </row>
    <row r="347" spans="1:26" ht="15" customHeight="1" x14ac:dyDescent="0.3">
      <c r="A347" s="26" t="s">
        <v>830</v>
      </c>
      <c r="B347" s="17">
        <v>18</v>
      </c>
      <c r="C347" s="17">
        <v>0</v>
      </c>
      <c r="D347" s="17">
        <v>1</v>
      </c>
      <c r="E347" s="17">
        <v>8</v>
      </c>
      <c r="F347" s="17">
        <f>SQRT((4*(HSP!$B$2-$B347)^2+(HSP!$C$2-$C347)^2+(HSP!$D$2-$D347)^2))</f>
        <v>13.835172568493681</v>
      </c>
      <c r="G347" s="17">
        <f>SQRT((4*(HSP!$B$3-$B347)^2+(HSP!$C$3-$C347)^2+(HSP!$D$3-$D347)^2))</f>
        <v>11.742759471265687</v>
      </c>
      <c r="H347" s="17">
        <f>SQRT((4*(HSP!$B$4-$B347)^2+(HSP!$C$4-$C347)^2+(HSP!$D$4-$D347)^2))</f>
        <v>9.3583118135697951</v>
      </c>
      <c r="I347" s="17">
        <f>SQRT((4*(HSP!$B$5-$B347)^2+(HSP!$C$5-$C347)^2+(HSP!$D$5-$D347)^2))</f>
        <v>17.035694878695146</v>
      </c>
      <c r="J347" s="17">
        <f>SQRT((4*(HSP!$B$6-$B347)^2+(HSP!$C$6-$C347)^2+(HSP!$D$6-$D347)^2))</f>
        <v>8.9038755606758127</v>
      </c>
      <c r="K347" s="17">
        <f t="shared" si="0"/>
        <v>1.7293965710617101</v>
      </c>
      <c r="L347" s="17">
        <f t="shared" si="1"/>
        <v>1.4678449339082109</v>
      </c>
      <c r="M347" s="17">
        <f t="shared" si="2"/>
        <v>1.1697889766962244</v>
      </c>
      <c r="N347" s="17">
        <f t="shared" si="3"/>
        <v>2.1294618598368933</v>
      </c>
      <c r="O347" s="17">
        <f t="shared" si="4"/>
        <v>1.1129844450844766</v>
      </c>
      <c r="P347" s="17">
        <f>$F347/HSP!$E$2</f>
        <v>0.84878359315912144</v>
      </c>
      <c r="Q347" s="17">
        <f>$G347/HSP!$E$3</f>
        <v>0.86983403490856948</v>
      </c>
      <c r="R347" s="17">
        <f>$H347/HSP!$E$4</f>
        <v>0.58857307003583614</v>
      </c>
      <c r="S347" s="17">
        <f>$I347/HSP!$E$5</f>
        <v>1.2434813780069451</v>
      </c>
      <c r="T347" s="17">
        <f>$J347/HSP!$E$6</f>
        <v>0.60161321355917652</v>
      </c>
      <c r="U347" s="18" t="s">
        <v>464</v>
      </c>
      <c r="V347" s="12"/>
      <c r="W347" s="12"/>
      <c r="X347" s="12"/>
      <c r="Y347" s="12"/>
      <c r="Z347" s="12"/>
    </row>
    <row r="348" spans="1:26" ht="15" customHeight="1" x14ac:dyDescent="0.3">
      <c r="A348" s="26" t="s">
        <v>831</v>
      </c>
      <c r="B348" s="17">
        <v>16.5</v>
      </c>
      <c r="C348" s="17">
        <v>9</v>
      </c>
      <c r="D348" s="17">
        <v>7</v>
      </c>
      <c r="E348" s="17">
        <v>8</v>
      </c>
      <c r="F348" s="17">
        <f>SQRT((4*(HSP!$B$2-$B348)^2+(HSP!$C$2-$C348)^2+(HSP!$D$2-$D348)^2))</f>
        <v>4.0708721424284509</v>
      </c>
      <c r="G348" s="17">
        <f>SQRT((4*(HSP!$B$3-$B348)^2+(HSP!$C$3-$C348)^2+(HSP!$D$3-$D348)^2))</f>
        <v>2.1100710888498524</v>
      </c>
      <c r="H348" s="17">
        <f>SQRT((4*(HSP!$B$4-$B348)^2+(HSP!$C$4-$C348)^2+(HSP!$D$4-$D348)^2))</f>
        <v>5.0772039549342516</v>
      </c>
      <c r="I348" s="17">
        <f>SQRT((4*(HSP!$B$5-$B348)^2+(HSP!$C$5-$C348)^2+(HSP!$D$5-$D348)^2))</f>
        <v>5.9443166133711287</v>
      </c>
      <c r="J348" s="17">
        <f>SQRT((4*(HSP!$B$6-$B348)^2+(HSP!$C$6-$C348)^2+(HSP!$D$6-$D348)^2))</f>
        <v>4.7517365246823191</v>
      </c>
      <c r="K348" s="17">
        <f t="shared" si="0"/>
        <v>0.50885901780355636</v>
      </c>
      <c r="L348" s="17">
        <f t="shared" si="1"/>
        <v>0.26375888610623155</v>
      </c>
      <c r="M348" s="17">
        <f t="shared" si="2"/>
        <v>0.63465049436678145</v>
      </c>
      <c r="N348" s="17">
        <f t="shared" si="3"/>
        <v>0.74303957667139109</v>
      </c>
      <c r="O348" s="17">
        <f t="shared" si="4"/>
        <v>0.59396706558528989</v>
      </c>
      <c r="P348" s="17">
        <f>$F348/HSP!$E$2</f>
        <v>0.24974675720419942</v>
      </c>
      <c r="Q348" s="17">
        <f>$G348/HSP!$E$3</f>
        <v>0.15630156213702609</v>
      </c>
      <c r="R348" s="17">
        <f>$H348/HSP!$E$4</f>
        <v>0.31932100345498438</v>
      </c>
      <c r="S348" s="17">
        <f>$I348/HSP!$E$5</f>
        <v>0.43389172360373207</v>
      </c>
      <c r="T348" s="17">
        <f>$J348/HSP!$E$6</f>
        <v>0.32106327869475126</v>
      </c>
      <c r="U348" s="18" t="s">
        <v>464</v>
      </c>
      <c r="V348" s="12"/>
      <c r="W348" s="12"/>
      <c r="X348" s="12"/>
      <c r="Y348" s="12"/>
      <c r="Z348" s="12"/>
    </row>
    <row r="349" spans="1:26" ht="15" customHeight="1" x14ac:dyDescent="0.3">
      <c r="A349" s="26" t="s">
        <v>832</v>
      </c>
      <c r="B349" s="17">
        <v>17.55</v>
      </c>
      <c r="C349" s="17">
        <v>3.35</v>
      </c>
      <c r="D349" s="17">
        <v>2.7</v>
      </c>
      <c r="E349" s="17">
        <v>6.55</v>
      </c>
      <c r="F349" s="17">
        <f>SQRT((4*(HSP!$B$2-$B349)^2+(HSP!$C$2-$C349)^2+(HSP!$D$2-$D349)^2))</f>
        <v>10.182362201375476</v>
      </c>
      <c r="G349" s="17">
        <f>SQRT((4*(HSP!$B$3-$B349)^2+(HSP!$C$3-$C349)^2+(HSP!$D$3-$D349)^2))</f>
        <v>7.9617146394479645</v>
      </c>
      <c r="H349" s="17">
        <f>SQRT((4*(HSP!$B$4-$B349)^2+(HSP!$C$4-$C349)^2+(HSP!$D$4-$D349)^2))</f>
        <v>6.4215652297551271</v>
      </c>
      <c r="I349" s="17">
        <f>SQRT((4*(HSP!$B$5-$B349)^2+(HSP!$C$5-$C349)^2+(HSP!$D$5-$D349)^2))</f>
        <v>13.278682163528128</v>
      </c>
      <c r="J349" s="17">
        <f>SQRT((4*(HSP!$B$6-$B349)^2+(HSP!$C$6-$C349)^2+(HSP!$D$6-$D349)^2))</f>
        <v>5.621610089645138</v>
      </c>
      <c r="K349" s="17">
        <f t="shared" si="0"/>
        <v>1.5545591147138131</v>
      </c>
      <c r="L349" s="17">
        <f t="shared" si="1"/>
        <v>1.2155289525874755</v>
      </c>
      <c r="M349" s="17">
        <f t="shared" si="2"/>
        <v>0.98039163813055374</v>
      </c>
      <c r="N349" s="17">
        <f t="shared" si="3"/>
        <v>2.0272797196226149</v>
      </c>
      <c r="O349" s="17">
        <f t="shared" si="4"/>
        <v>0.85826108238857068</v>
      </c>
      <c r="P349" s="17">
        <f>$F349/HSP!$E$2</f>
        <v>0.6246847976303973</v>
      </c>
      <c r="Q349" s="17">
        <f>$G349/HSP!$E$3</f>
        <v>0.58975663995910843</v>
      </c>
      <c r="R349" s="17">
        <f>$H349/HSP!$E$4</f>
        <v>0.40387202702862435</v>
      </c>
      <c r="S349" s="17">
        <f>$I349/HSP!$E$5</f>
        <v>0.9692468732502284</v>
      </c>
      <c r="T349" s="17">
        <f>$J349/HSP!$E$6</f>
        <v>0.37983851957061743</v>
      </c>
      <c r="U349" s="18" t="s">
        <v>464</v>
      </c>
      <c r="V349" s="12"/>
      <c r="W349" s="12"/>
      <c r="X349" s="12"/>
      <c r="Y349" s="12"/>
      <c r="Z349" s="12"/>
    </row>
    <row r="350" spans="1:26" ht="15" customHeight="1" x14ac:dyDescent="0.3">
      <c r="A350" s="26" t="s">
        <v>833</v>
      </c>
      <c r="B350" s="17">
        <v>17.2</v>
      </c>
      <c r="C350" s="17">
        <v>3</v>
      </c>
      <c r="D350" s="17">
        <v>3</v>
      </c>
      <c r="E350" s="17">
        <v>8</v>
      </c>
      <c r="F350" s="17">
        <f>SQRT((4*(HSP!$B$2-$B350)^2+(HSP!$C$2-$C350)^2+(HSP!$D$2-$D350)^2))</f>
        <v>9.9263286264358594</v>
      </c>
      <c r="G350" s="17">
        <f>SQRT((4*(HSP!$B$3-$B350)^2+(HSP!$C$3-$C350)^2+(HSP!$D$3-$D350)^2))</f>
        <v>7.8376271919503804</v>
      </c>
      <c r="H350" s="17">
        <f>SQRT((4*(HSP!$B$4-$B350)^2+(HSP!$C$4-$C350)^2+(HSP!$D$4-$D350)^2))</f>
        <v>5.8091307439237401</v>
      </c>
      <c r="I350" s="17">
        <f>SQRT((4*(HSP!$B$5-$B350)^2+(HSP!$C$5-$C350)^2+(HSP!$D$5-$D350)^2))</f>
        <v>13.124896190065657</v>
      </c>
      <c r="J350" s="17">
        <f>SQRT((4*(HSP!$B$6-$B350)^2+(HSP!$C$6-$C350)^2+(HSP!$D$6-$D350)^2))</f>
        <v>5.2332590228269797</v>
      </c>
      <c r="K350" s="17">
        <f t="shared" si="0"/>
        <v>1.2407910783044824</v>
      </c>
      <c r="L350" s="17">
        <f t="shared" si="1"/>
        <v>0.97970339899379755</v>
      </c>
      <c r="M350" s="17">
        <f t="shared" si="2"/>
        <v>0.72614134299046751</v>
      </c>
      <c r="N350" s="17">
        <f t="shared" si="3"/>
        <v>1.6406120237582071</v>
      </c>
      <c r="O350" s="17">
        <f t="shared" si="4"/>
        <v>0.65415737785337247</v>
      </c>
      <c r="P350" s="17">
        <f>$F350/HSP!$E$2</f>
        <v>0.60897721634575819</v>
      </c>
      <c r="Q350" s="17">
        <f>$G350/HSP!$E$3</f>
        <v>0.58056497718150968</v>
      </c>
      <c r="R350" s="17">
        <f>$H350/HSP!$E$4</f>
        <v>0.36535413483797108</v>
      </c>
      <c r="S350" s="17">
        <f>$I350/HSP!$E$5</f>
        <v>0.95802161971282174</v>
      </c>
      <c r="T350" s="17">
        <f>$J350/HSP!$E$6</f>
        <v>0.35359858262344457</v>
      </c>
      <c r="U350" s="18" t="s">
        <v>464</v>
      </c>
      <c r="V350" s="12"/>
      <c r="W350" s="12"/>
      <c r="X350" s="12"/>
      <c r="Y350" s="12"/>
      <c r="Z350" s="12"/>
    </row>
    <row r="351" spans="1:26" ht="15" customHeight="1" x14ac:dyDescent="0.3">
      <c r="A351" s="26" t="s">
        <v>834</v>
      </c>
      <c r="B351" s="17">
        <v>18</v>
      </c>
      <c r="C351" s="17">
        <v>5</v>
      </c>
      <c r="D351" s="17">
        <v>5</v>
      </c>
      <c r="E351" s="17">
        <v>10</v>
      </c>
      <c r="F351" s="17">
        <f>SQRT((4*(HSP!$B$2-$B351)^2+(HSP!$C$2-$C351)^2+(HSP!$D$2-$D351)^2))</f>
        <v>8.9427065254317739</v>
      </c>
      <c r="G351" s="17">
        <f>SQRT((4*(HSP!$B$3-$B351)^2+(HSP!$C$3-$C351)^2+(HSP!$D$3-$D351)^2))</f>
        <v>6.6130477088858219</v>
      </c>
      <c r="H351" s="17">
        <f>SQRT((4*(HSP!$B$4-$B351)^2+(HSP!$C$4-$C351)^2+(HSP!$D$4-$D351)^2))</f>
        <v>5.9479408201494408</v>
      </c>
      <c r="I351" s="17">
        <f>SQRT((4*(HSP!$B$5-$B351)^2+(HSP!$C$5-$C351)^2+(HSP!$D$5-$D351)^2))</f>
        <v>11.16131264681713</v>
      </c>
      <c r="J351" s="17">
        <f>SQRT((4*(HSP!$B$6-$B351)^2+(HSP!$C$6-$C351)^2+(HSP!$D$6-$D351)^2))</f>
        <v>5.7601215264957739</v>
      </c>
      <c r="K351" s="17">
        <f t="shared" si="0"/>
        <v>0.89427065254317739</v>
      </c>
      <c r="L351" s="17">
        <f t="shared" si="1"/>
        <v>0.66130477088858219</v>
      </c>
      <c r="M351" s="17">
        <f t="shared" si="2"/>
        <v>0.5947940820149441</v>
      </c>
      <c r="N351" s="17">
        <f t="shared" si="3"/>
        <v>1.116131264681713</v>
      </c>
      <c r="O351" s="17">
        <f t="shared" si="4"/>
        <v>0.57601215264957739</v>
      </c>
      <c r="P351" s="17">
        <f>$F351/HSP!$E$2</f>
        <v>0.54863230217372849</v>
      </c>
      <c r="Q351" s="17">
        <f>$G351/HSP!$E$3</f>
        <v>0.48985538584339422</v>
      </c>
      <c r="R351" s="17">
        <f>$H351/HSP!$E$4</f>
        <v>0.37408432831128557</v>
      </c>
      <c r="S351" s="17">
        <f>$I351/HSP!$E$5</f>
        <v>0.81469435378227228</v>
      </c>
      <c r="T351" s="17">
        <f>$J351/HSP!$E$6</f>
        <v>0.38919740043890361</v>
      </c>
      <c r="U351" s="18" t="s">
        <v>464</v>
      </c>
      <c r="V351" s="12"/>
      <c r="W351" s="12"/>
      <c r="X351" s="12"/>
      <c r="Y351" s="12"/>
      <c r="Z351" s="12"/>
    </row>
    <row r="352" spans="1:26" ht="15" customHeight="1" x14ac:dyDescent="0.3">
      <c r="A352" s="26" t="s">
        <v>834</v>
      </c>
      <c r="B352" s="17">
        <v>18.5</v>
      </c>
      <c r="C352" s="17">
        <v>4.5</v>
      </c>
      <c r="D352" s="17">
        <v>2.9</v>
      </c>
      <c r="E352" s="17">
        <v>8</v>
      </c>
      <c r="F352" s="17">
        <f>SQRT((4*(HSP!$B$2-$B352)^2+(HSP!$C$2-$C352)^2+(HSP!$D$2-$D352)^2))</f>
        <v>10.630522094422268</v>
      </c>
      <c r="G352" s="17">
        <f>SQRT((4*(HSP!$B$3-$B352)^2+(HSP!$C$3-$C352)^2+(HSP!$D$3-$D352)^2))</f>
        <v>8.1692349703016873</v>
      </c>
      <c r="H352" s="17">
        <f>SQRT((4*(HSP!$B$4-$B352)^2+(HSP!$C$4-$C352)^2+(HSP!$D$4-$D352)^2))</f>
        <v>7.7199740932207801</v>
      </c>
      <c r="I352" s="17">
        <f>SQRT((4*(HSP!$B$5-$B352)^2+(HSP!$C$5-$C352)^2+(HSP!$D$5-$D352)^2))</f>
        <v>13.182598378165059</v>
      </c>
      <c r="J352" s="17">
        <f>SQRT((4*(HSP!$B$6-$B352)^2+(HSP!$C$6-$C352)^2+(HSP!$D$6-$D352)^2))</f>
        <v>6.8087443776367476</v>
      </c>
      <c r="K352" s="17">
        <f t="shared" si="0"/>
        <v>1.3288152618027835</v>
      </c>
      <c r="L352" s="17">
        <f t="shared" si="1"/>
        <v>1.0211543712877109</v>
      </c>
      <c r="M352" s="17">
        <f t="shared" si="2"/>
        <v>0.96499676165259751</v>
      </c>
      <c r="N352" s="17">
        <f t="shared" si="3"/>
        <v>1.6478247972706324</v>
      </c>
      <c r="O352" s="17">
        <f t="shared" si="4"/>
        <v>0.85109304720459344</v>
      </c>
      <c r="P352" s="17">
        <f>$F352/HSP!$E$2</f>
        <v>0.65217926959645811</v>
      </c>
      <c r="Q352" s="17">
        <f>$G352/HSP!$E$3</f>
        <v>0.60512851631864351</v>
      </c>
      <c r="R352" s="17">
        <f>$H352/HSP!$E$4</f>
        <v>0.48553296183778488</v>
      </c>
      <c r="S352" s="17">
        <f>$I352/HSP!$E$5</f>
        <v>0.96223345826022333</v>
      </c>
      <c r="T352" s="17">
        <f>$J352/HSP!$E$6</f>
        <v>0.46005029578626672</v>
      </c>
      <c r="U352" s="18" t="s">
        <v>835</v>
      </c>
      <c r="V352" s="12"/>
      <c r="W352" s="12"/>
      <c r="X352" s="12"/>
      <c r="Y352" s="12"/>
      <c r="Z352" s="12"/>
    </row>
    <row r="353" spans="1:26" ht="15" customHeight="1" x14ac:dyDescent="0.3">
      <c r="A353" s="26" t="s">
        <v>836</v>
      </c>
      <c r="B353" s="17">
        <v>22.28</v>
      </c>
      <c r="C353" s="17">
        <v>5.75</v>
      </c>
      <c r="D353" s="17">
        <v>4.3</v>
      </c>
      <c r="E353" s="17">
        <v>12.68</v>
      </c>
      <c r="F353" s="17">
        <f>SQRT((4*(HSP!$B$2-$B353)^2+(HSP!$C$2-$C353)^2+(HSP!$D$2-$D353)^2))</f>
        <v>16.287912696229686</v>
      </c>
      <c r="G353" s="17">
        <f>SQRT((4*(HSP!$B$3-$B353)^2+(HSP!$C$3-$C353)^2+(HSP!$D$3-$D353)^2))</f>
        <v>13.831518354830033</v>
      </c>
      <c r="H353" s="17">
        <f>SQRT((4*(HSP!$B$4-$B353)^2+(HSP!$C$4-$C353)^2+(HSP!$D$4-$D353)^2))</f>
        <v>14.477682825645825</v>
      </c>
      <c r="I353" s="17">
        <f>SQRT((4*(HSP!$B$5-$B353)^2+(HSP!$C$5-$C353)^2+(HSP!$D$5-$D353)^2))</f>
        <v>17.002887989985705</v>
      </c>
      <c r="J353" s="17">
        <f>SQRT((4*(HSP!$B$6-$B353)^2+(HSP!$C$6-$C353)^2+(HSP!$D$6-$D353)^2))</f>
        <v>14.043692534372862</v>
      </c>
      <c r="K353" s="17">
        <f t="shared" si="0"/>
        <v>1.2845357015954011</v>
      </c>
      <c r="L353" s="17">
        <f t="shared" si="1"/>
        <v>1.0908137503809174</v>
      </c>
      <c r="M353" s="17">
        <f t="shared" si="2"/>
        <v>1.1417730935051913</v>
      </c>
      <c r="N353" s="17">
        <f t="shared" si="3"/>
        <v>1.3409217657717434</v>
      </c>
      <c r="O353" s="17">
        <f t="shared" si="4"/>
        <v>1.1075467298401311</v>
      </c>
      <c r="P353" s="17">
        <f>$F353/HSP!$E$2</f>
        <v>0.99925844762145311</v>
      </c>
      <c r="Q353" s="17">
        <f>$G353/HSP!$E$3</f>
        <v>1.0245569151725951</v>
      </c>
      <c r="R353" s="17">
        <f>$H353/HSP!$E$4</f>
        <v>0.91054608966325945</v>
      </c>
      <c r="S353" s="17">
        <f>$I353/HSP!$E$5</f>
        <v>1.2410867145974969</v>
      </c>
      <c r="T353" s="17">
        <f>$J353/HSP!$E$6</f>
        <v>0.94889814421438257</v>
      </c>
      <c r="U353" s="18" t="s">
        <v>464</v>
      </c>
      <c r="V353" s="12"/>
      <c r="W353" s="12"/>
      <c r="X353" s="12"/>
      <c r="Y353" s="12"/>
      <c r="Z353" s="12"/>
    </row>
    <row r="354" spans="1:26" ht="15" customHeight="1" x14ac:dyDescent="0.3">
      <c r="A354" s="26" t="s">
        <v>837</v>
      </c>
      <c r="B354" s="17">
        <v>16</v>
      </c>
      <c r="C354" s="17">
        <v>6</v>
      </c>
      <c r="D354" s="17">
        <v>6.6</v>
      </c>
      <c r="E354" s="17">
        <v>8</v>
      </c>
      <c r="F354" s="17">
        <f>SQRT((4*(HSP!$B$2-$B354)^2+(HSP!$C$2-$C354)^2+(HSP!$D$2-$D354)^2))</f>
        <v>5.2797727223811455</v>
      </c>
      <c r="G354" s="17">
        <f>SQRT((4*(HSP!$B$3-$B354)^2+(HSP!$C$3-$C354)^2+(HSP!$D$3-$D354)^2))</f>
        <v>3.7932044500659337</v>
      </c>
      <c r="H354" s="17">
        <f>SQRT((4*(HSP!$B$4-$B354)^2+(HSP!$C$4-$C354)^2+(HSP!$D$4-$D354)^2))</f>
        <v>2.130258200312817</v>
      </c>
      <c r="I354" s="17">
        <f>SQRT((4*(HSP!$B$5-$B354)^2+(HSP!$C$5-$C354)^2+(HSP!$D$5-$D354)^2))</f>
        <v>8.1264321814680773</v>
      </c>
      <c r="J354" s="17">
        <f>SQRT((4*(HSP!$B$6-$B354)^2+(HSP!$C$6-$C354)^2+(HSP!$D$6-$D354)^2))</f>
        <v>3.1430876538843138</v>
      </c>
      <c r="K354" s="17">
        <f t="shared" si="0"/>
        <v>0.65997159029764318</v>
      </c>
      <c r="L354" s="17">
        <f t="shared" si="1"/>
        <v>0.47415055625824171</v>
      </c>
      <c r="M354" s="17">
        <f t="shared" si="2"/>
        <v>0.26628227503910212</v>
      </c>
      <c r="N354" s="17">
        <f t="shared" si="3"/>
        <v>1.0158040226835097</v>
      </c>
      <c r="O354" s="17">
        <f t="shared" si="4"/>
        <v>0.39288595673553922</v>
      </c>
      <c r="P354" s="17">
        <f>$F354/HSP!$E$2</f>
        <v>0.3239124369558985</v>
      </c>
      <c r="Q354" s="17">
        <f>$G354/HSP!$E$3</f>
        <v>0.2809781074122914</v>
      </c>
      <c r="R354" s="17">
        <f>$H354/HSP!$E$4</f>
        <v>0.13397850316432811</v>
      </c>
      <c r="S354" s="17">
        <f>$I354/HSP!$E$5</f>
        <v>0.59317023222394727</v>
      </c>
      <c r="T354" s="17">
        <f>$J354/HSP!$E$6</f>
        <v>0.21237078742461579</v>
      </c>
      <c r="U354" s="18" t="s">
        <v>464</v>
      </c>
      <c r="V354" s="12"/>
      <c r="W354" s="12"/>
      <c r="X354" s="12"/>
      <c r="Y354" s="12"/>
      <c r="Z354" s="12"/>
    </row>
    <row r="355" spans="1:26" ht="15" customHeight="1" x14ac:dyDescent="0.3">
      <c r="A355" s="26" t="s">
        <v>838</v>
      </c>
      <c r="B355" s="17">
        <v>18.100000000000001</v>
      </c>
      <c r="C355" s="17">
        <v>9.3000000000000007</v>
      </c>
      <c r="D355" s="17">
        <v>4.5</v>
      </c>
      <c r="E355" s="17">
        <v>8</v>
      </c>
      <c r="F355" s="17">
        <f>SQRT((4*(HSP!$B$2-$B355)^2+(HSP!$C$2-$C355)^2+(HSP!$D$2-$D355)^2))</f>
        <v>7.5163821084348852</v>
      </c>
      <c r="G355" s="17">
        <f>SQRT((4*(HSP!$B$3-$B355)^2+(HSP!$C$3-$C355)^2+(HSP!$D$3-$D355)^2))</f>
        <v>5.0104291233386427</v>
      </c>
      <c r="H355" s="17">
        <f>SQRT((4*(HSP!$B$4-$B355)^2+(HSP!$C$4-$C355)^2+(HSP!$D$4-$D355)^2))</f>
        <v>7.8085850190671575</v>
      </c>
      <c r="I355" s="17">
        <f>SQRT((4*(HSP!$B$5-$B355)^2+(HSP!$C$5-$C355)^2+(HSP!$D$5-$D355)^2))</f>
        <v>9.2237140025046322</v>
      </c>
      <c r="J355" s="17">
        <f>SQRT((4*(HSP!$B$6-$B355)^2+(HSP!$C$6-$C355)^2+(HSP!$D$6-$D355)^2))</f>
        <v>6.379263280348292</v>
      </c>
      <c r="K355" s="17">
        <f t="shared" si="0"/>
        <v>0.93954776355436065</v>
      </c>
      <c r="L355" s="17">
        <f t="shared" si="1"/>
        <v>0.62630364041733033</v>
      </c>
      <c r="M355" s="17">
        <f t="shared" si="2"/>
        <v>0.97607312738339469</v>
      </c>
      <c r="N355" s="17">
        <f t="shared" si="3"/>
        <v>1.152964250313079</v>
      </c>
      <c r="O355" s="17">
        <f t="shared" si="4"/>
        <v>0.79740791004353651</v>
      </c>
      <c r="P355" s="17">
        <f>$F355/HSP!$E$2</f>
        <v>0.46112773671379664</v>
      </c>
      <c r="Q355" s="17">
        <f>$G355/HSP!$E$3</f>
        <v>0.37114289802508466</v>
      </c>
      <c r="R355" s="17">
        <f>$H355/HSP!$E$4</f>
        <v>0.4911059760419596</v>
      </c>
      <c r="S355" s="17">
        <f>$I355/HSP!$E$5</f>
        <v>0.6732637958032579</v>
      </c>
      <c r="T355" s="17">
        <f>$J355/HSP!$E$6</f>
        <v>0.43103130272623591</v>
      </c>
      <c r="U355" s="18" t="s">
        <v>464</v>
      </c>
      <c r="V355" s="12"/>
      <c r="W355" s="12"/>
      <c r="X355" s="12"/>
      <c r="Y355" s="12"/>
      <c r="Z355" s="12"/>
    </row>
    <row r="356" spans="1:26" ht="15" customHeight="1" x14ac:dyDescent="0.3">
      <c r="A356" s="27" t="s">
        <v>839</v>
      </c>
      <c r="B356" s="19">
        <v>17.600000000000001</v>
      </c>
      <c r="C356" s="19">
        <v>2.2000000000000002</v>
      </c>
      <c r="D356" s="19">
        <v>4</v>
      </c>
      <c r="E356" s="19">
        <v>8</v>
      </c>
      <c r="F356" s="19">
        <f>SQRT((4*(HSP!$B$2-$B356)^2+(HSP!$C$2-$C356)^2+(HSP!$D$2-$D356)^2))</f>
        <v>10.635224492223946</v>
      </c>
      <c r="G356" s="19">
        <f>SQRT((4*(HSP!$B$3-$B356)^2+(HSP!$C$3-$C356)^2+(HSP!$D$3-$D356)^2))</f>
        <v>8.5765027837691523</v>
      </c>
      <c r="H356" s="19">
        <f>SQRT((4*(HSP!$B$4-$B356)^2+(HSP!$C$4-$C356)^2+(HSP!$D$4-$D356)^2))</f>
        <v>6.1326992425847875</v>
      </c>
      <c r="I356" s="19">
        <f>SQRT((4*(HSP!$B$5-$B356)^2+(HSP!$C$5-$C356)^2+(HSP!$D$5-$D356)^2))</f>
        <v>13.431712474587894</v>
      </c>
      <c r="J356" s="19">
        <f>SQRT((4*(HSP!$B$6-$B356)^2+(HSP!$C$6-$C356)^2+(HSP!$D$6-$D356)^2))</f>
        <v>6.2953157188500111</v>
      </c>
      <c r="K356" s="17">
        <f t="shared" si="0"/>
        <v>1.3294030615279933</v>
      </c>
      <c r="L356" s="17">
        <f t="shared" si="1"/>
        <v>1.072062847971144</v>
      </c>
      <c r="M356" s="17">
        <f t="shared" si="2"/>
        <v>0.76658740532309844</v>
      </c>
      <c r="N356" s="17">
        <f t="shared" si="3"/>
        <v>1.6789640593234867</v>
      </c>
      <c r="O356" s="17">
        <f t="shared" si="4"/>
        <v>0.78691446485625138</v>
      </c>
      <c r="P356" s="17">
        <f>$F356/HSP!$E$2</f>
        <v>0.65246776025913777</v>
      </c>
      <c r="Q356" s="17">
        <f>$G356/HSP!$E$3</f>
        <v>0.63529650250141867</v>
      </c>
      <c r="R356" s="17">
        <f>$H356/HSP!$E$4</f>
        <v>0.38570435487954635</v>
      </c>
      <c r="S356" s="17">
        <f>$I356/HSP!$E$5</f>
        <v>0.98041696894802144</v>
      </c>
      <c r="T356" s="17">
        <f>$J356/HSP!$E$6</f>
        <v>0.4253591701925683</v>
      </c>
      <c r="U356" s="18" t="s">
        <v>464</v>
      </c>
      <c r="V356" s="12"/>
      <c r="W356" s="12"/>
      <c r="X356" s="12"/>
      <c r="Y356" s="12"/>
      <c r="Z356" s="12"/>
    </row>
    <row r="357" spans="1:26" ht="15" customHeight="1" x14ac:dyDescent="0.3">
      <c r="A357" s="27" t="s">
        <v>840</v>
      </c>
      <c r="B357" s="19">
        <v>15</v>
      </c>
      <c r="C357" s="19">
        <v>17.2</v>
      </c>
      <c r="D357" s="19">
        <v>17.8</v>
      </c>
      <c r="E357" s="19">
        <v>10.199999999999999</v>
      </c>
      <c r="F357" s="19">
        <f>SQRT((4*(HSP!$B$2-$B357)^2+(HSP!$C$2-$C357)^2+(HSP!$D$2-$D357)^2))</f>
        <v>12.772626981165621</v>
      </c>
      <c r="G357" s="19">
        <f>SQRT((4*(HSP!$B$3-$B357)^2+(HSP!$C$3-$C357)^2+(HSP!$D$3-$D357)^2))</f>
        <v>14.222390797612054</v>
      </c>
      <c r="H357" s="19">
        <f>SQRT((4*(HSP!$B$4-$B357)^2+(HSP!$C$4-$C357)^2+(HSP!$D$4-$D357)^2))</f>
        <v>16.669313123221364</v>
      </c>
      <c r="I357" s="19">
        <f>SQRT((4*(HSP!$B$5-$B357)^2+(HSP!$C$5-$C357)^2+(HSP!$D$5-$D357)^2))</f>
        <v>8.2194221208063034</v>
      </c>
      <c r="J357" s="19">
        <f>SQRT((4*(HSP!$B$6-$B357)^2+(HSP!$C$6-$C357)^2+(HSP!$D$6-$D357)^2))</f>
        <v>17.631987976402435</v>
      </c>
      <c r="K357" s="17">
        <f t="shared" si="0"/>
        <v>1.2522183314868256</v>
      </c>
      <c r="L357" s="17">
        <f t="shared" si="1"/>
        <v>1.394352038981574</v>
      </c>
      <c r="M357" s="17">
        <f t="shared" si="2"/>
        <v>1.6342463846295456</v>
      </c>
      <c r="N357" s="17">
        <f t="shared" si="3"/>
        <v>0.8058256981182651</v>
      </c>
      <c r="O357" s="17">
        <f t="shared" si="4"/>
        <v>1.7286262721963173</v>
      </c>
      <c r="P357" s="17">
        <f>$F357/HSP!$E$2</f>
        <v>0.78359674731077422</v>
      </c>
      <c r="Q357" s="17">
        <f>$G357/HSP!$E$3</f>
        <v>1.0535104294527446</v>
      </c>
      <c r="R357" s="17">
        <f>$H357/HSP!$E$4</f>
        <v>1.0483844731585763</v>
      </c>
      <c r="S357" s="17">
        <f>$I357/HSP!$E$5</f>
        <v>0.59995781903695644</v>
      </c>
      <c r="T357" s="17">
        <f>$J357/HSP!$E$6</f>
        <v>1.1913505389461103</v>
      </c>
      <c r="U357" s="18"/>
      <c r="V357" s="12"/>
      <c r="W357" s="12"/>
      <c r="X357" s="12"/>
      <c r="Y357" s="12"/>
      <c r="Z357" s="12"/>
    </row>
    <row r="358" spans="1:26" ht="15" customHeight="1" x14ac:dyDescent="0.3">
      <c r="A358" s="26" t="s">
        <v>841</v>
      </c>
      <c r="B358" s="17">
        <v>15</v>
      </c>
      <c r="C358" s="17">
        <v>17.2</v>
      </c>
      <c r="D358" s="17">
        <v>17.8</v>
      </c>
      <c r="E358" s="17">
        <v>8</v>
      </c>
      <c r="F358" s="17">
        <f>SQRT((4*(HSP!$B$2-$B358)^2+(HSP!$C$2-$C358)^2+(HSP!$D$2-$D358)^2))</f>
        <v>12.772626981165621</v>
      </c>
      <c r="G358" s="17">
        <f>SQRT((4*(HSP!$B$3-$B358)^2+(HSP!$C$3-$C358)^2+(HSP!$D$3-$D358)^2))</f>
        <v>14.222390797612054</v>
      </c>
      <c r="H358" s="17">
        <f>SQRT((4*(HSP!$B$4-$B358)^2+(HSP!$C$4-$C358)^2+(HSP!$D$4-$D358)^2))</f>
        <v>16.669313123221364</v>
      </c>
      <c r="I358" s="17">
        <f>SQRT((4*(HSP!$B$5-$B358)^2+(HSP!$C$5-$C358)^2+(HSP!$D$5-$D358)^2))</f>
        <v>8.2194221208063034</v>
      </c>
      <c r="J358" s="17">
        <f>SQRT((4*(HSP!$B$6-$B358)^2+(HSP!$C$6-$C358)^2+(HSP!$D$6-$D358)^2))</f>
        <v>17.631987976402435</v>
      </c>
      <c r="K358" s="17">
        <f t="shared" si="0"/>
        <v>1.5965783726457026</v>
      </c>
      <c r="L358" s="17">
        <f t="shared" si="1"/>
        <v>1.7777988497015067</v>
      </c>
      <c r="M358" s="17">
        <f t="shared" si="2"/>
        <v>2.0836641404026706</v>
      </c>
      <c r="N358" s="17">
        <f t="shared" si="3"/>
        <v>1.0274277651007879</v>
      </c>
      <c r="O358" s="17">
        <f t="shared" si="4"/>
        <v>2.2039984970503044</v>
      </c>
      <c r="P358" s="17">
        <f>$F358/HSP!$E$2</f>
        <v>0.78359674731077422</v>
      </c>
      <c r="Q358" s="17">
        <f>$G358/HSP!$E$3</f>
        <v>1.0535104294527446</v>
      </c>
      <c r="R358" s="17">
        <f>$H358/HSP!$E$4</f>
        <v>1.0483844731585763</v>
      </c>
      <c r="S358" s="17">
        <f>$I358/HSP!$E$5</f>
        <v>0.59995781903695644</v>
      </c>
      <c r="T358" s="17">
        <f>$J358/HSP!$E$6</f>
        <v>1.1913505389461103</v>
      </c>
      <c r="U358" s="18" t="s">
        <v>464</v>
      </c>
      <c r="V358" s="12"/>
      <c r="W358" s="12"/>
      <c r="X358" s="12"/>
      <c r="Y358" s="12"/>
      <c r="Z358" s="12"/>
    </row>
    <row r="359" spans="1:26" ht="15" customHeight="1" x14ac:dyDescent="0.3">
      <c r="A359" s="26" t="s">
        <v>842</v>
      </c>
      <c r="B359" s="17">
        <v>15.3</v>
      </c>
      <c r="C359" s="17">
        <v>13.2</v>
      </c>
      <c r="D359" s="17">
        <v>13.5</v>
      </c>
      <c r="E359" s="17">
        <v>8.8000000000000007</v>
      </c>
      <c r="F359" s="17">
        <f>SQRT((4*(HSP!$B$2-$B359)^2+(HSP!$C$2-$C359)^2+(HSP!$D$2-$D359)^2))</f>
        <v>7.2095769640111333</v>
      </c>
      <c r="G359" s="17">
        <f>SQRT((4*(HSP!$B$3-$B359)^2+(HSP!$C$3-$C359)^2+(HSP!$D$3-$D359)^2))</f>
        <v>8.492490800701523</v>
      </c>
      <c r="H359" s="17">
        <f>SQRT((4*(HSP!$B$4-$B359)^2+(HSP!$C$4-$C359)^2+(HSP!$D$4-$D359)^2))</f>
        <v>10.841955543166556</v>
      </c>
      <c r="I359" s="17">
        <f>SQRT((4*(HSP!$B$5-$B359)^2+(HSP!$C$5-$C359)^2+(HSP!$D$5-$D359)^2))</f>
        <v>2.6151290599127228</v>
      </c>
      <c r="J359" s="17">
        <f>SQRT((4*(HSP!$B$6-$B359)^2+(HSP!$C$6-$C359)^2+(HSP!$D$6-$D359)^2))</f>
        <v>11.788087207006912</v>
      </c>
      <c r="K359" s="17">
        <f t="shared" si="0"/>
        <v>0.81927010954671964</v>
      </c>
      <c r="L359" s="17">
        <f t="shared" si="1"/>
        <v>0.96505577280699117</v>
      </c>
      <c r="M359" s="17">
        <f t="shared" si="2"/>
        <v>1.2320404026325631</v>
      </c>
      <c r="N359" s="17">
        <f t="shared" si="3"/>
        <v>0.29717375680826391</v>
      </c>
      <c r="O359" s="17">
        <f t="shared" si="4"/>
        <v>1.3395553644326035</v>
      </c>
      <c r="P359" s="17">
        <f>$F359/HSP!$E$2</f>
        <v>0.44230533521540694</v>
      </c>
      <c r="Q359" s="17">
        <f>$G359/HSP!$E$3</f>
        <v>0.62907339264455731</v>
      </c>
      <c r="R359" s="17">
        <f>$H359/HSP!$E$4</f>
        <v>0.68188399642556952</v>
      </c>
      <c r="S359" s="17">
        <f>$I359/HSP!$E$5</f>
        <v>0.19088533284034473</v>
      </c>
      <c r="T359" s="17">
        <f>$J359/HSP!$E$6</f>
        <v>0.79649237885181834</v>
      </c>
      <c r="U359" s="18" t="s">
        <v>464</v>
      </c>
      <c r="V359" s="12"/>
      <c r="W359" s="12"/>
      <c r="X359" s="12"/>
      <c r="Y359" s="12"/>
      <c r="Z359" s="12"/>
    </row>
    <row r="360" spans="1:26" ht="15" customHeight="1" x14ac:dyDescent="0.3">
      <c r="A360" s="26" t="s">
        <v>843</v>
      </c>
      <c r="B360" s="17">
        <v>11.2</v>
      </c>
      <c r="C360" s="17">
        <v>12.4</v>
      </c>
      <c r="D360" s="17">
        <v>13</v>
      </c>
      <c r="E360" s="17">
        <v>12.1</v>
      </c>
      <c r="F360" s="17">
        <f>SQRT((4*(HSP!$B$2-$B360)^2+(HSP!$C$2-$C360)^2+(HSP!$D$2-$D360)^2))</f>
        <v>9.286764775744027</v>
      </c>
      <c r="G360" s="17">
        <f>SQRT((4*(HSP!$B$3-$B360)^2+(HSP!$C$3-$C360)^2+(HSP!$D$3-$D360)^2))</f>
        <v>11.819492374886496</v>
      </c>
      <c r="H360" s="17">
        <f>SQRT((4*(HSP!$B$4-$B360)^2+(HSP!$C$4-$C360)^2+(HSP!$D$4-$D360)^2))</f>
        <v>12.69180838178705</v>
      </c>
      <c r="I360" s="17">
        <f>SQRT((4*(HSP!$B$5-$B360)^2+(HSP!$C$5-$C360)^2+(HSP!$D$5-$D360)^2))</f>
        <v>8.4051710274092581</v>
      </c>
      <c r="J360" s="17">
        <f>SQRT((4*(HSP!$B$6-$B360)^2+(HSP!$C$6-$C360)^2+(HSP!$D$6-$D360)^2))</f>
        <v>13.624353195656667</v>
      </c>
      <c r="K360" s="17">
        <f t="shared" si="0"/>
        <v>0.76750122113587005</v>
      </c>
      <c r="L360" s="17">
        <f t="shared" si="1"/>
        <v>0.97681755164351203</v>
      </c>
      <c r="M360" s="17">
        <f t="shared" si="2"/>
        <v>1.0489097836187644</v>
      </c>
      <c r="N360" s="17">
        <f t="shared" si="3"/>
        <v>0.69464223367018663</v>
      </c>
      <c r="O360" s="17">
        <f t="shared" si="4"/>
        <v>1.1259796029468321</v>
      </c>
      <c r="P360" s="17">
        <f>$F360/HSP!$E$2</f>
        <v>0.56974017029104462</v>
      </c>
      <c r="Q360" s="17">
        <f>$G360/HSP!$E$3</f>
        <v>0.87551795369529595</v>
      </c>
      <c r="R360" s="17">
        <f>$H360/HSP!$E$4</f>
        <v>0.79822694225075785</v>
      </c>
      <c r="S360" s="17">
        <f>$I360/HSP!$E$5</f>
        <v>0.61351613338753708</v>
      </c>
      <c r="T360" s="17">
        <f>$J360/HSP!$E$6</f>
        <v>0.92056440511193693</v>
      </c>
      <c r="U360" s="18" t="s">
        <v>464</v>
      </c>
      <c r="V360" s="12"/>
      <c r="W360" s="12"/>
      <c r="X360" s="12"/>
      <c r="Y360" s="12"/>
      <c r="Z360" s="12"/>
    </row>
    <row r="361" spans="1:26" ht="15" customHeight="1" x14ac:dyDescent="0.3">
      <c r="A361" s="26" t="s">
        <v>844</v>
      </c>
      <c r="B361" s="17">
        <v>17.2</v>
      </c>
      <c r="C361" s="17">
        <v>13.6</v>
      </c>
      <c r="D361" s="17">
        <v>15.4</v>
      </c>
      <c r="E361" s="17">
        <v>10.9</v>
      </c>
      <c r="F361" s="17">
        <f>SQRT((4*(HSP!$B$2-$B361)^2+(HSP!$C$2-$C361)^2+(HSP!$D$2-$D361)^2))</f>
        <v>10.382485251614856</v>
      </c>
      <c r="G361" s="17">
        <f>SQRT((4*(HSP!$B$3-$B361)^2+(HSP!$C$3-$C361)^2+(HSP!$D$3-$D361)^2))</f>
        <v>10.789828543586779</v>
      </c>
      <c r="H361" s="17">
        <f>SQRT((4*(HSP!$B$4-$B361)^2+(HSP!$C$4-$C361)^2+(HSP!$D$4-$D361)^2))</f>
        <v>13.038788287260438</v>
      </c>
      <c r="I361" s="17">
        <f>SQRT((4*(HSP!$B$5-$B361)^2+(HSP!$C$5-$C361)^2+(HSP!$D$5-$D361)^2))</f>
        <v>5.9711724141913702</v>
      </c>
      <c r="J361" s="17">
        <f>SQRT((4*(HSP!$B$6-$B361)^2+(HSP!$C$6-$C361)^2+(HSP!$D$6-$D361)^2))</f>
        <v>14.131914236931953</v>
      </c>
      <c r="K361" s="17">
        <f t="shared" si="0"/>
        <v>0.95252158271695919</v>
      </c>
      <c r="L361" s="17">
        <f t="shared" si="1"/>
        <v>0.98989252693456686</v>
      </c>
      <c r="M361" s="17">
        <f t="shared" si="2"/>
        <v>1.1962191089229759</v>
      </c>
      <c r="N361" s="17">
        <f t="shared" si="3"/>
        <v>0.54781398295333672</v>
      </c>
      <c r="O361" s="17">
        <f t="shared" si="4"/>
        <v>1.2965058932965094</v>
      </c>
      <c r="P361" s="17">
        <f>$F361/HSP!$E$2</f>
        <v>0.63696228537514454</v>
      </c>
      <c r="Q361" s="17">
        <f>$G361/HSP!$E$3</f>
        <v>0.79924655878420581</v>
      </c>
      <c r="R361" s="17">
        <f>$H361/HSP!$E$4</f>
        <v>0.82004957781512189</v>
      </c>
      <c r="S361" s="17">
        <f>$I361/HSP!$E$5</f>
        <v>0.43585200103586647</v>
      </c>
      <c r="T361" s="17">
        <f>$J361/HSP!$E$6</f>
        <v>0.95485907006296977</v>
      </c>
      <c r="U361" s="18" t="s">
        <v>464</v>
      </c>
      <c r="V361" s="12"/>
      <c r="W361" s="12"/>
      <c r="X361" s="12"/>
      <c r="Y361" s="12"/>
      <c r="Z361" s="12"/>
    </row>
    <row r="362" spans="1:26" ht="15" customHeight="1" x14ac:dyDescent="0.3">
      <c r="A362" s="26" t="s">
        <v>845</v>
      </c>
      <c r="B362" s="17">
        <v>17.399999999999999</v>
      </c>
      <c r="C362" s="17">
        <v>4.3</v>
      </c>
      <c r="D362" s="17">
        <v>8.4</v>
      </c>
      <c r="E362" s="17">
        <v>7.4</v>
      </c>
      <c r="F362" s="17">
        <f>SQRT((4*(HSP!$B$2-$B362)^2+(HSP!$C$2-$C362)^2+(HSP!$D$2-$D362)^2))</f>
        <v>8.4452353430795508</v>
      </c>
      <c r="G362" s="17">
        <f>SQRT((4*(HSP!$B$3-$B362)^2+(HSP!$C$3-$C362)^2+(HSP!$D$3-$D362)^2))</f>
        <v>6.8616616063457974</v>
      </c>
      <c r="H362" s="17">
        <f>SQRT((4*(HSP!$B$4-$B362)^2+(HSP!$C$4-$C362)^2+(HSP!$D$4-$D362)^2))</f>
        <v>4.7535250078231392</v>
      </c>
      <c r="I362" s="17">
        <f>SQRT((4*(HSP!$B$5-$B362)^2+(HSP!$C$5-$C362)^2+(HSP!$D$5-$D362)^2))</f>
        <v>9.769590574839869</v>
      </c>
      <c r="J362" s="17">
        <f>SQRT((4*(HSP!$B$6-$B362)^2+(HSP!$C$6-$C362)^2+(HSP!$D$6-$D362)^2))</f>
        <v>6.5868809006995095</v>
      </c>
      <c r="K362" s="17">
        <f t="shared" si="0"/>
        <v>1.1412480193350745</v>
      </c>
      <c r="L362" s="17">
        <f t="shared" si="1"/>
        <v>0.9272515684251077</v>
      </c>
      <c r="M362" s="17">
        <f t="shared" si="2"/>
        <v>0.64236824430042416</v>
      </c>
      <c r="N362" s="17">
        <f t="shared" si="3"/>
        <v>1.3202149425459282</v>
      </c>
      <c r="O362" s="17">
        <f t="shared" si="4"/>
        <v>0.89011904063506886</v>
      </c>
      <c r="P362" s="17">
        <f>$F362/HSP!$E$2</f>
        <v>0.51811259773494178</v>
      </c>
      <c r="Q362" s="17">
        <f>$G362/HSP!$E$3</f>
        <v>0.50827123009968866</v>
      </c>
      <c r="R362" s="17">
        <f>$H362/HSP!$E$4</f>
        <v>0.29896383697000878</v>
      </c>
      <c r="S362" s="17">
        <f>$I362/HSP!$E$5</f>
        <v>0.71310880108320218</v>
      </c>
      <c r="T362" s="17">
        <f>$J362/HSP!$E$6</f>
        <v>0.44505952031753443</v>
      </c>
      <c r="U362" s="18" t="s">
        <v>846</v>
      </c>
      <c r="V362" s="12"/>
      <c r="W362" s="12"/>
      <c r="X362" s="12"/>
      <c r="Y362" s="12"/>
      <c r="Z362" s="12"/>
    </row>
    <row r="363" spans="1:26" ht="15" customHeight="1" x14ac:dyDescent="0.3">
      <c r="A363" s="26" t="s">
        <v>516</v>
      </c>
      <c r="B363" s="17">
        <v>18.600000000000001</v>
      </c>
      <c r="C363" s="17">
        <v>4.4000000000000004</v>
      </c>
      <c r="D363" s="17">
        <v>13</v>
      </c>
      <c r="E363" s="17">
        <v>8</v>
      </c>
      <c r="F363" s="17">
        <f>SQRT((4*(HSP!$B$2-$B363)^2+(HSP!$C$2-$C363)^2+(HSP!$D$2-$D363)^2))</f>
        <v>11.703161965896228</v>
      </c>
      <c r="G363" s="17">
        <f>SQRT((4*(HSP!$B$3-$B363)^2+(HSP!$C$3-$C363)^2+(HSP!$D$3-$D363)^2))</f>
        <v>10.634491055052894</v>
      </c>
      <c r="H363" s="17">
        <f>SQRT((4*(HSP!$B$4-$B363)^2+(HSP!$C$4-$C363)^2+(HSP!$D$4-$D363)^2))</f>
        <v>9.2508377998968321</v>
      </c>
      <c r="I363" s="17">
        <f>SQRT((4*(HSP!$B$5-$B363)^2+(HSP!$C$5-$C363)^2+(HSP!$D$5-$D363)^2))</f>
        <v>10.856468118131239</v>
      </c>
      <c r="J363" s="17">
        <f>SQRT((4*(HSP!$B$6-$B363)^2+(HSP!$C$6-$C363)^2+(HSP!$D$6-$D363)^2))</f>
        <v>11.497782394879462</v>
      </c>
      <c r="K363" s="17">
        <f t="shared" si="0"/>
        <v>1.4628952457370286</v>
      </c>
      <c r="L363" s="17">
        <f t="shared" si="1"/>
        <v>1.3293113818816118</v>
      </c>
      <c r="M363" s="17">
        <f t="shared" si="2"/>
        <v>1.156354724987104</v>
      </c>
      <c r="N363" s="17">
        <f t="shared" si="3"/>
        <v>1.3570585147664049</v>
      </c>
      <c r="O363" s="17">
        <f t="shared" si="4"/>
        <v>1.4372227993599327</v>
      </c>
      <c r="P363" s="17">
        <f>$F363/HSP!$E$2</f>
        <v>0.71798539668075023</v>
      </c>
      <c r="Q363" s="17">
        <f>$G363/HSP!$E$3</f>
        <v>0.78774007815206626</v>
      </c>
      <c r="R363" s="17">
        <f>$H363/HSP!$E$4</f>
        <v>0.58181369810671901</v>
      </c>
      <c r="S363" s="17">
        <f>$I363/HSP!$E$5</f>
        <v>0.79244292833074748</v>
      </c>
      <c r="T363" s="17">
        <f>$J363/HSP!$E$6</f>
        <v>0.77687718884320678</v>
      </c>
      <c r="U363" s="18" t="s">
        <v>464</v>
      </c>
      <c r="V363" s="12"/>
      <c r="W363" s="12"/>
      <c r="X363" s="12"/>
      <c r="Y363" s="12"/>
      <c r="Z363" s="12"/>
    </row>
    <row r="364" spans="1:26" ht="15" customHeight="1" x14ac:dyDescent="0.3">
      <c r="A364" s="26" t="s">
        <v>847</v>
      </c>
      <c r="B364" s="17">
        <v>18.8</v>
      </c>
      <c r="C364" s="17">
        <v>9.1999999999999993</v>
      </c>
      <c r="D364" s="17">
        <v>6.3</v>
      </c>
      <c r="E364" s="17">
        <v>8</v>
      </c>
      <c r="F364" s="17">
        <f>SQRT((4*(HSP!$B$2-$B364)^2+(HSP!$C$2-$C364)^2+(HSP!$D$2-$D364)^2))</f>
        <v>8.5211501571090764</v>
      </c>
      <c r="G364" s="17">
        <f>SQRT((4*(HSP!$B$3-$B364)^2+(HSP!$C$3-$C364)^2+(HSP!$D$3-$D364)^2))</f>
        <v>6.2554296415194406</v>
      </c>
      <c r="H364" s="17">
        <f>SQRT((4*(HSP!$B$4-$B364)^2+(HSP!$C$4-$C364)^2+(HSP!$D$4-$D364)^2))</f>
        <v>8.5666796368254623</v>
      </c>
      <c r="I364" s="17">
        <f>SQRT((4*(HSP!$B$5-$B364)^2+(HSP!$C$5-$C364)^2+(HSP!$D$5-$D364)^2))</f>
        <v>9.1471798932785848</v>
      </c>
      <c r="J364" s="17">
        <f>SQRT((4*(HSP!$B$6-$B364)^2+(HSP!$C$6-$C364)^2+(HSP!$D$6-$D364)^2))</f>
        <v>7.9698808021199428</v>
      </c>
      <c r="K364" s="17">
        <f t="shared" si="0"/>
        <v>1.0651437696386346</v>
      </c>
      <c r="L364" s="17">
        <f t="shared" si="1"/>
        <v>0.78192870518993007</v>
      </c>
      <c r="M364" s="17">
        <f t="shared" si="2"/>
        <v>1.0708349546031828</v>
      </c>
      <c r="N364" s="17">
        <f t="shared" si="3"/>
        <v>1.1433974866598231</v>
      </c>
      <c r="O364" s="17">
        <f t="shared" si="4"/>
        <v>0.99623510026499285</v>
      </c>
      <c r="P364" s="17">
        <f>$F364/HSP!$E$2</f>
        <v>0.52276994828890033</v>
      </c>
      <c r="Q364" s="17">
        <f>$G364/HSP!$E$3</f>
        <v>0.4633651586310697</v>
      </c>
      <c r="R364" s="17">
        <f>$H364/HSP!$E$4</f>
        <v>0.53878488281921144</v>
      </c>
      <c r="S364" s="17">
        <f>$I364/HSP!$E$5</f>
        <v>0.66767736447288939</v>
      </c>
      <c r="T364" s="17">
        <f>$J364/HSP!$E$6</f>
        <v>0.5385054596026988</v>
      </c>
      <c r="U364" s="18" t="s">
        <v>464</v>
      </c>
      <c r="V364" s="12"/>
      <c r="W364" s="12"/>
      <c r="X364" s="12"/>
      <c r="Y364" s="12"/>
      <c r="Z364" s="12"/>
    </row>
    <row r="365" spans="1:26" ht="15" customHeight="1" x14ac:dyDescent="0.3">
      <c r="A365" s="26" t="s">
        <v>848</v>
      </c>
      <c r="B365" s="17">
        <v>17</v>
      </c>
      <c r="C365" s="17">
        <v>12.1</v>
      </c>
      <c r="D365" s="17">
        <v>10.199999999999999</v>
      </c>
      <c r="E365" s="17">
        <v>8</v>
      </c>
      <c r="F365" s="17">
        <f>SQRT((4*(HSP!$B$2-$B365)^2+(HSP!$C$2-$C365)^2+(HSP!$D$2-$D365)^2))</f>
        <v>6.0081611163483286</v>
      </c>
      <c r="G365" s="17">
        <f>SQRT((4*(HSP!$B$3-$B365)^2+(HSP!$C$3-$C365)^2+(HSP!$D$3-$D365)^2))</f>
        <v>5.657066377549409</v>
      </c>
      <c r="H365" s="17">
        <f>SQRT((4*(HSP!$B$4-$B365)^2+(HSP!$C$4-$C365)^2+(HSP!$D$4-$D365)^2))</f>
        <v>8.94494270523853</v>
      </c>
      <c r="I365" s="17">
        <f>SQRT((4*(HSP!$B$5-$B365)^2+(HSP!$C$5-$C365)^2+(HSP!$D$5-$D365)^2))</f>
        <v>3.5901114188838217</v>
      </c>
      <c r="J365" s="17">
        <f>SQRT((4*(HSP!$B$6-$B365)^2+(HSP!$C$6-$C365)^2+(HSP!$D$6-$D365)^2))</f>
        <v>9.1892872411302946</v>
      </c>
      <c r="K365" s="17">
        <f t="shared" si="0"/>
        <v>0.75102013954354108</v>
      </c>
      <c r="L365" s="17">
        <f t="shared" si="1"/>
        <v>0.70713329719367612</v>
      </c>
      <c r="M365" s="17">
        <f t="shared" si="2"/>
        <v>1.1181178381548162</v>
      </c>
      <c r="N365" s="17">
        <f t="shared" si="3"/>
        <v>0.44876392736047771</v>
      </c>
      <c r="O365" s="17">
        <f t="shared" si="4"/>
        <v>1.1486609051412868</v>
      </c>
      <c r="P365" s="17">
        <f>$F365/HSP!$E$2</f>
        <v>0.36859884149376249</v>
      </c>
      <c r="Q365" s="17">
        <f>$G365/HSP!$E$3</f>
        <v>0.41904195389254884</v>
      </c>
      <c r="R365" s="17">
        <f>$H365/HSP!$E$4</f>
        <v>0.56257501290808365</v>
      </c>
      <c r="S365" s="17">
        <f>$I365/HSP!$E$5</f>
        <v>0.26205192838568042</v>
      </c>
      <c r="T365" s="17">
        <f>$J365/HSP!$E$6</f>
        <v>0.62089778656285777</v>
      </c>
      <c r="U365" s="18" t="s">
        <v>464</v>
      </c>
      <c r="V365" s="12"/>
      <c r="W365" s="12"/>
      <c r="X365" s="12"/>
      <c r="Y365" s="12"/>
      <c r="Z365" s="12"/>
    </row>
    <row r="366" spans="1:26" ht="15" customHeight="1" x14ac:dyDescent="0.3">
      <c r="A366" s="26" t="s">
        <v>849</v>
      </c>
      <c r="B366" s="17">
        <v>17</v>
      </c>
      <c r="C366" s="17">
        <v>12.1</v>
      </c>
      <c r="D366" s="17">
        <v>10.199999999999999</v>
      </c>
      <c r="E366" s="17">
        <v>4.0999999999999996</v>
      </c>
      <c r="F366" s="17">
        <f>SQRT((4*(HSP!$B$2-$B366)^2+(HSP!$C$2-$C366)^2+(HSP!$D$2-$D366)^2))</f>
        <v>6.0081611163483286</v>
      </c>
      <c r="G366" s="17">
        <f>SQRT((4*(HSP!$B$3-$B366)^2+(HSP!$C$3-$C366)^2+(HSP!$D$3-$D366)^2))</f>
        <v>5.657066377549409</v>
      </c>
      <c r="H366" s="17">
        <f>SQRT((4*(HSP!$B$4-$B366)^2+(HSP!$C$4-$C366)^2+(HSP!$D$4-$D366)^2))</f>
        <v>8.94494270523853</v>
      </c>
      <c r="I366" s="17">
        <f>SQRT((4*(HSP!$B$5-$B366)^2+(HSP!$C$5-$C366)^2+(HSP!$D$5-$D366)^2))</f>
        <v>3.5901114188838217</v>
      </c>
      <c r="J366" s="17">
        <f>SQRT((4*(HSP!$B$6-$B366)^2+(HSP!$C$6-$C366)^2+(HSP!$D$6-$D366)^2))</f>
        <v>9.1892872411302946</v>
      </c>
      <c r="K366" s="17">
        <f t="shared" si="0"/>
        <v>1.4654051503288608</v>
      </c>
      <c r="L366" s="17">
        <f t="shared" si="1"/>
        <v>1.3797722872071732</v>
      </c>
      <c r="M366" s="17">
        <f t="shared" si="2"/>
        <v>2.1816933427411049</v>
      </c>
      <c r="N366" s="17">
        <f t="shared" si="3"/>
        <v>0.87563693143507848</v>
      </c>
      <c r="O366" s="17">
        <f t="shared" si="4"/>
        <v>2.241289571007389</v>
      </c>
      <c r="P366" s="17">
        <f>$F366/HSP!$E$2</f>
        <v>0.36859884149376249</v>
      </c>
      <c r="Q366" s="17">
        <f>$G366/HSP!$E$3</f>
        <v>0.41904195389254884</v>
      </c>
      <c r="R366" s="17">
        <f>$H366/HSP!$E$4</f>
        <v>0.56257501290808365</v>
      </c>
      <c r="S366" s="17">
        <f>$I366/HSP!$E$5</f>
        <v>0.26205192838568042</v>
      </c>
      <c r="T366" s="17">
        <f>$J366/HSP!$E$6</f>
        <v>0.62089778656285777</v>
      </c>
      <c r="U366" s="18" t="s">
        <v>850</v>
      </c>
      <c r="V366" s="12"/>
      <c r="W366" s="12"/>
      <c r="X366" s="12"/>
      <c r="Y366" s="12"/>
      <c r="Z366" s="12"/>
    </row>
    <row r="367" spans="1:26" ht="15" customHeight="1" x14ac:dyDescent="0.3">
      <c r="A367" s="26" t="s">
        <v>851</v>
      </c>
      <c r="B367" s="17">
        <v>18.100000000000001</v>
      </c>
      <c r="C367" s="17">
        <v>10</v>
      </c>
      <c r="D367" s="17">
        <v>18</v>
      </c>
      <c r="E367" s="17">
        <v>10</v>
      </c>
      <c r="F367" s="17">
        <f>SQRT((4*(HSP!$B$2-$B367)^2+(HSP!$C$2-$C367)^2+(HSP!$D$2-$D367)^2))</f>
        <v>13.063383941383643</v>
      </c>
      <c r="G367" s="17">
        <f>SQRT((4*(HSP!$B$3-$B367)^2+(HSP!$C$3-$C367)^2+(HSP!$D$3-$D367)^2))</f>
        <v>13.103449927404617</v>
      </c>
      <c r="H367" s="17">
        <f>SQRT((4*(HSP!$B$4-$B367)^2+(HSP!$C$4-$C367)^2+(HSP!$D$4-$D367)^2))</f>
        <v>13.714299107136318</v>
      </c>
      <c r="I367" s="17">
        <f>SQRT((4*(HSP!$B$5-$B367)^2+(HSP!$C$5-$C367)^2+(HSP!$D$5-$D367)^2))</f>
        <v>9.4561567245895439</v>
      </c>
      <c r="J367" s="17">
        <f>SQRT((4*(HSP!$B$6-$B367)^2+(HSP!$C$6-$C367)^2+(HSP!$D$6-$D367)^2))</f>
        <v>15.65257167368992</v>
      </c>
      <c r="K367" s="17">
        <f t="shared" si="0"/>
        <v>1.3063383941383644</v>
      </c>
      <c r="L367" s="17">
        <f t="shared" si="1"/>
        <v>1.3103449927404616</v>
      </c>
      <c r="M367" s="17">
        <f t="shared" si="2"/>
        <v>1.3714299107136319</v>
      </c>
      <c r="N367" s="17">
        <f t="shared" si="3"/>
        <v>0.94561567245895439</v>
      </c>
      <c r="O367" s="17">
        <f t="shared" si="4"/>
        <v>1.5652571673689919</v>
      </c>
      <c r="P367" s="17">
        <f>$F367/HSP!$E$2</f>
        <v>0.8014345976308983</v>
      </c>
      <c r="Q367" s="17">
        <f>$G367/HSP!$E$3</f>
        <v>0.97062592054849006</v>
      </c>
      <c r="R367" s="17">
        <f>$H367/HSP!$E$4</f>
        <v>0.86253453504001998</v>
      </c>
      <c r="S367" s="17">
        <f>$I367/HSP!$E$5</f>
        <v>0.69023041785325145</v>
      </c>
      <c r="T367" s="17">
        <f>$J367/HSP!$E$6</f>
        <v>1.0576061941682378</v>
      </c>
      <c r="U367" s="18" t="s">
        <v>464</v>
      </c>
      <c r="V367" s="12"/>
      <c r="W367" s="12"/>
      <c r="X367" s="12"/>
      <c r="Y367" s="12"/>
      <c r="Z367" s="12"/>
    </row>
    <row r="368" spans="1:26" ht="15" customHeight="1" x14ac:dyDescent="0.3">
      <c r="A368" s="26" t="s">
        <v>851</v>
      </c>
      <c r="B368" s="17">
        <v>18.100000000000001</v>
      </c>
      <c r="C368" s="17">
        <v>10</v>
      </c>
      <c r="D368" s="17">
        <v>18</v>
      </c>
      <c r="E368" s="17">
        <v>8</v>
      </c>
      <c r="F368" s="17">
        <f>SQRT((4*(HSP!$B$2-$B368)^2+(HSP!$C$2-$C368)^2+(HSP!$D$2-$D368)^2))</f>
        <v>13.063383941383643</v>
      </c>
      <c r="G368" s="17">
        <f>SQRT((4*(HSP!$B$3-$B368)^2+(HSP!$C$3-$C368)^2+(HSP!$D$3-$D368)^2))</f>
        <v>13.103449927404617</v>
      </c>
      <c r="H368" s="17">
        <f>SQRT((4*(HSP!$B$4-$B368)^2+(HSP!$C$4-$C368)^2+(HSP!$D$4-$D368)^2))</f>
        <v>13.714299107136318</v>
      </c>
      <c r="I368" s="17">
        <f>SQRT((4*(HSP!$B$5-$B368)^2+(HSP!$C$5-$C368)^2+(HSP!$D$5-$D368)^2))</f>
        <v>9.4561567245895439</v>
      </c>
      <c r="J368" s="17">
        <f>SQRT((4*(HSP!$B$6-$B368)^2+(HSP!$C$6-$C368)^2+(HSP!$D$6-$D368)^2))</f>
        <v>15.65257167368992</v>
      </c>
      <c r="K368" s="17">
        <f t="shared" si="0"/>
        <v>1.6329229926729554</v>
      </c>
      <c r="L368" s="17">
        <f t="shared" si="1"/>
        <v>1.6379312409255771</v>
      </c>
      <c r="M368" s="17">
        <f t="shared" si="2"/>
        <v>1.7142873883920398</v>
      </c>
      <c r="N368" s="17">
        <f t="shared" si="3"/>
        <v>1.182019590573693</v>
      </c>
      <c r="O368" s="17">
        <f t="shared" si="4"/>
        <v>1.95657145921124</v>
      </c>
      <c r="P368" s="17">
        <f>$F368/HSP!$E$2</f>
        <v>0.8014345976308983</v>
      </c>
      <c r="Q368" s="17">
        <f>$G368/HSP!$E$3</f>
        <v>0.97062592054849006</v>
      </c>
      <c r="R368" s="17">
        <f>$H368/HSP!$E$4</f>
        <v>0.86253453504001998</v>
      </c>
      <c r="S368" s="17">
        <f>$I368/HSP!$E$5</f>
        <v>0.69023041785325145</v>
      </c>
      <c r="T368" s="17">
        <f>$J368/HSP!$E$6</f>
        <v>1.0576061941682378</v>
      </c>
      <c r="U368" s="18" t="s">
        <v>464</v>
      </c>
      <c r="V368" s="12"/>
      <c r="W368" s="12"/>
      <c r="X368" s="12"/>
      <c r="Y368" s="12"/>
      <c r="Z368" s="12"/>
    </row>
    <row r="369" spans="1:26" ht="15" customHeight="1" x14ac:dyDescent="0.3">
      <c r="A369" s="26" t="s">
        <v>852</v>
      </c>
      <c r="B369" s="17">
        <v>17.100000000000001</v>
      </c>
      <c r="C369" s="17">
        <v>3.1</v>
      </c>
      <c r="D369" s="17">
        <v>10.7</v>
      </c>
      <c r="E369" s="17">
        <v>5.2</v>
      </c>
      <c r="F369" s="17">
        <f>SQRT((4*(HSP!$B$2-$B369)^2+(HSP!$C$2-$C369)^2+(HSP!$D$2-$D369)^2))</f>
        <v>9.6440655327512186</v>
      </c>
      <c r="G369" s="17">
        <f>SQRT((4*(HSP!$B$3-$B369)^2+(HSP!$C$3-$C369)^2+(HSP!$D$3-$D369)^2))</f>
        <v>8.6487224490094512</v>
      </c>
      <c r="H369" s="17">
        <f>SQRT((4*(HSP!$B$4-$B369)^2+(HSP!$C$4-$C369)^2+(HSP!$D$4-$D369)^2))</f>
        <v>5.71016637235729</v>
      </c>
      <c r="I369" s="17">
        <f>SQRT((4*(HSP!$B$5-$B369)^2+(HSP!$C$5-$C369)^2+(HSP!$D$5-$D369)^2))</f>
        <v>10.29528532873179</v>
      </c>
      <c r="J369" s="17">
        <f>SQRT((4*(HSP!$B$6-$B369)^2+(HSP!$C$6-$C369)^2+(HSP!$D$6-$D369)^2))</f>
        <v>8.4502662679941629</v>
      </c>
      <c r="K369" s="17">
        <f t="shared" si="0"/>
        <v>1.8546279870675419</v>
      </c>
      <c r="L369" s="17">
        <f t="shared" si="1"/>
        <v>1.6632158555787406</v>
      </c>
      <c r="M369" s="17">
        <f t="shared" si="2"/>
        <v>1.0981089177610173</v>
      </c>
      <c r="N369" s="17">
        <f t="shared" si="3"/>
        <v>1.9798625632176519</v>
      </c>
      <c r="O369" s="17">
        <f t="shared" si="4"/>
        <v>1.6250512053834929</v>
      </c>
      <c r="P369" s="17">
        <f>$F369/HSP!$E$2</f>
        <v>0.59166046213197654</v>
      </c>
      <c r="Q369" s="17">
        <f>$G369/HSP!$E$3</f>
        <v>0.64064610733403338</v>
      </c>
      <c r="R369" s="17">
        <f>$H369/HSP!$E$4</f>
        <v>0.35912996052561569</v>
      </c>
      <c r="S369" s="17">
        <f>$I369/HSP!$E$5</f>
        <v>0.75148068092932774</v>
      </c>
      <c r="T369" s="17">
        <f>$J369/HSP!$E$6</f>
        <v>0.57096393702663262</v>
      </c>
      <c r="U369" s="18" t="s">
        <v>464</v>
      </c>
      <c r="V369" s="12"/>
      <c r="W369" s="12"/>
      <c r="X369" s="12"/>
      <c r="Y369" s="12"/>
      <c r="Z369" s="12"/>
    </row>
    <row r="370" spans="1:26" ht="15" customHeight="1" x14ac:dyDescent="0.3">
      <c r="A370" s="26" t="s">
        <v>853</v>
      </c>
      <c r="B370" s="17">
        <v>18</v>
      </c>
      <c r="C370" s="17">
        <v>0</v>
      </c>
      <c r="D370" s="17">
        <v>1</v>
      </c>
      <c r="E370" s="17">
        <v>6</v>
      </c>
      <c r="F370" s="17">
        <f>SQRT((4*(HSP!$B$2-$B370)^2+(HSP!$C$2-$C370)^2+(HSP!$D$2-$D370)^2))</f>
        <v>13.835172568493681</v>
      </c>
      <c r="G370" s="17">
        <f>SQRT((4*(HSP!$B$3-$B370)^2+(HSP!$C$3-$C370)^2+(HSP!$D$3-$D370)^2))</f>
        <v>11.742759471265687</v>
      </c>
      <c r="H370" s="17">
        <f>SQRT((4*(HSP!$B$4-$B370)^2+(HSP!$C$4-$C370)^2+(HSP!$D$4-$D370)^2))</f>
        <v>9.3583118135697951</v>
      </c>
      <c r="I370" s="17">
        <f>SQRT((4*(HSP!$B$5-$B370)^2+(HSP!$C$5-$C370)^2+(HSP!$D$5-$D370)^2))</f>
        <v>17.035694878695146</v>
      </c>
      <c r="J370" s="17">
        <f>SQRT((4*(HSP!$B$6-$B370)^2+(HSP!$C$6-$C370)^2+(HSP!$D$6-$D370)^2))</f>
        <v>8.9038755606758127</v>
      </c>
      <c r="K370" s="17">
        <f t="shared" si="0"/>
        <v>2.3058620947489468</v>
      </c>
      <c r="L370" s="17">
        <f t="shared" si="1"/>
        <v>1.9571265785442813</v>
      </c>
      <c r="M370" s="17">
        <f t="shared" si="2"/>
        <v>1.5597186355949659</v>
      </c>
      <c r="N370" s="17">
        <f t="shared" si="3"/>
        <v>2.8392824797825242</v>
      </c>
      <c r="O370" s="17">
        <f t="shared" si="4"/>
        <v>1.4839792601126354</v>
      </c>
      <c r="P370" s="17">
        <f>$F370/HSP!$E$2</f>
        <v>0.84878359315912144</v>
      </c>
      <c r="Q370" s="17">
        <f>$G370/HSP!$E$3</f>
        <v>0.86983403490856948</v>
      </c>
      <c r="R370" s="17">
        <f>$H370/HSP!$E$4</f>
        <v>0.58857307003583614</v>
      </c>
      <c r="S370" s="17">
        <f>$I370/HSP!$E$5</f>
        <v>1.2434813780069451</v>
      </c>
      <c r="T370" s="17">
        <f>$J370/HSP!$E$6</f>
        <v>0.60161321355917652</v>
      </c>
      <c r="U370" s="18" t="s">
        <v>449</v>
      </c>
      <c r="V370" s="12"/>
      <c r="W370" s="12"/>
      <c r="X370" s="12"/>
      <c r="Y370" s="12"/>
      <c r="Z370" s="12"/>
    </row>
    <row r="371" spans="1:26" ht="15" customHeight="1" x14ac:dyDescent="0.3">
      <c r="A371" s="26" t="s">
        <v>854</v>
      </c>
      <c r="B371" s="17">
        <v>17.899999999999999</v>
      </c>
      <c r="C371" s="17">
        <v>3.1</v>
      </c>
      <c r="D371" s="17">
        <v>8.5</v>
      </c>
      <c r="E371" s="17">
        <v>8.6</v>
      </c>
      <c r="F371" s="17">
        <f>SQRT((4*(HSP!$B$2-$B371)^2+(HSP!$C$2-$C371)^2+(HSP!$D$2-$D371)^2))</f>
        <v>10.001999800039989</v>
      </c>
      <c r="G371" s="17">
        <f>SQRT((4*(HSP!$B$3-$B371)^2+(HSP!$C$3-$C371)^2+(HSP!$D$3-$D371)^2))</f>
        <v>8.3517902272506817</v>
      </c>
      <c r="H371" s="17">
        <f>SQRT((4*(HSP!$B$4-$B371)^2+(HSP!$C$4-$C371)^2+(HSP!$D$4-$D371)^2))</f>
        <v>5.9327902373166683</v>
      </c>
      <c r="I371" s="17">
        <f>SQRT((4*(HSP!$B$5-$B371)^2+(HSP!$C$5-$C371)^2+(HSP!$D$5-$D371)^2))</f>
        <v>11.230178092977868</v>
      </c>
      <c r="J371" s="17">
        <f>SQRT((4*(HSP!$B$6-$B371)^2+(HSP!$C$6-$C371)^2+(HSP!$D$6-$D371)^2))</f>
        <v>7.7703925254777175</v>
      </c>
      <c r="K371" s="17">
        <f t="shared" si="0"/>
        <v>1.1630232325627896</v>
      </c>
      <c r="L371" s="17">
        <f t="shared" si="1"/>
        <v>0.97113839851752115</v>
      </c>
      <c r="M371" s="17">
        <f t="shared" si="2"/>
        <v>0.68985932992054289</v>
      </c>
      <c r="N371" s="17">
        <f t="shared" si="3"/>
        <v>1.3058346619741708</v>
      </c>
      <c r="O371" s="17">
        <f t="shared" si="4"/>
        <v>0.90353401459043226</v>
      </c>
      <c r="P371" s="17">
        <f>$F371/HSP!$E$2</f>
        <v>0.61361961963435518</v>
      </c>
      <c r="Q371" s="17">
        <f>$G371/HSP!$E$3</f>
        <v>0.61865112794449495</v>
      </c>
      <c r="R371" s="17">
        <f>$H371/HSP!$E$4</f>
        <v>0.37313146146645709</v>
      </c>
      <c r="S371" s="17">
        <f>$I371/HSP!$E$5</f>
        <v>0.81972102868451591</v>
      </c>
      <c r="T371" s="17">
        <f>$J371/HSP!$E$6</f>
        <v>0.5250265219917376</v>
      </c>
      <c r="U371" s="18" t="s">
        <v>464</v>
      </c>
      <c r="V371" s="12"/>
      <c r="W371" s="12"/>
      <c r="X371" s="12"/>
      <c r="Y371" s="12"/>
      <c r="Z371" s="12"/>
    </row>
    <row r="372" spans="1:26" ht="15" customHeight="1" x14ac:dyDescent="0.3">
      <c r="A372" s="26" t="s">
        <v>855</v>
      </c>
      <c r="B372" s="17">
        <v>18.8</v>
      </c>
      <c r="C372" s="17">
        <v>4.8</v>
      </c>
      <c r="D372" s="17">
        <v>6.8</v>
      </c>
      <c r="E372" s="17">
        <v>2.8</v>
      </c>
      <c r="F372" s="17">
        <f>SQRT((4*(HSP!$B$2-$B372)^2+(HSP!$C$2-$C372)^2+(HSP!$D$2-$D372)^2))</f>
        <v>10.130547862776231</v>
      </c>
      <c r="G372" s="17">
        <f>SQRT((4*(HSP!$B$3-$B372)^2+(HSP!$C$3-$C372)^2+(HSP!$D$3-$D372)^2))</f>
        <v>7.9541435742636706</v>
      </c>
      <c r="H372" s="17">
        <f>SQRT((4*(HSP!$B$4-$B372)^2+(HSP!$C$4-$C372)^2+(HSP!$D$4-$D372)^2))</f>
        <v>7.2609916678095718</v>
      </c>
      <c r="I372" s="17">
        <f>SQRT((4*(HSP!$B$5-$B372)^2+(HSP!$C$5-$C372)^2+(HSP!$D$5-$D372)^2))</f>
        <v>11.385380977376208</v>
      </c>
      <c r="J372" s="17">
        <f>SQRT((4*(HSP!$B$6-$B372)^2+(HSP!$C$6-$C372)^2+(HSP!$D$6-$D372)^2))</f>
        <v>7.8232346251406799</v>
      </c>
      <c r="K372" s="17">
        <f t="shared" si="0"/>
        <v>3.6180528081343684</v>
      </c>
      <c r="L372" s="17">
        <f t="shared" si="1"/>
        <v>2.8407655622370256</v>
      </c>
      <c r="M372" s="17">
        <f t="shared" si="2"/>
        <v>2.59321130993199</v>
      </c>
      <c r="N372" s="17">
        <f t="shared" si="3"/>
        <v>4.0662074919200748</v>
      </c>
      <c r="O372" s="17">
        <f t="shared" si="4"/>
        <v>2.7940123661216716</v>
      </c>
      <c r="P372" s="17">
        <f>$F372/HSP!$E$2</f>
        <v>0.6215060038513025</v>
      </c>
      <c r="Q372" s="17">
        <f>$G372/HSP!$E$3</f>
        <v>0.5891958203158274</v>
      </c>
      <c r="R372" s="17">
        <f>$H372/HSP!$E$4</f>
        <v>0.45666614262953281</v>
      </c>
      <c r="S372" s="17">
        <f>$I372/HSP!$E$5</f>
        <v>0.83104970637782549</v>
      </c>
      <c r="T372" s="17">
        <f>$J372/HSP!$E$6</f>
        <v>0.52859693413112696</v>
      </c>
      <c r="U372" s="18" t="s">
        <v>518</v>
      </c>
      <c r="V372" s="12"/>
      <c r="W372" s="12"/>
      <c r="X372" s="12"/>
      <c r="Y372" s="12"/>
      <c r="Z372" s="12"/>
    </row>
    <row r="373" spans="1:26" ht="15" customHeight="1" x14ac:dyDescent="0.3">
      <c r="A373" s="26" t="s">
        <v>856</v>
      </c>
      <c r="B373" s="17">
        <v>18.7</v>
      </c>
      <c r="C373" s="17">
        <v>5.3</v>
      </c>
      <c r="D373" s="17">
        <v>3.7</v>
      </c>
      <c r="E373" s="17">
        <v>6.7</v>
      </c>
      <c r="F373" s="17">
        <f>SQRT((4*(HSP!$B$2-$B373)^2+(HSP!$C$2-$C373)^2+(HSP!$D$2-$D373)^2))</f>
        <v>10.228587390250913</v>
      </c>
      <c r="G373" s="17">
        <f>SQRT((4*(HSP!$B$3-$B373)^2+(HSP!$C$3-$C373)^2+(HSP!$D$3-$D373)^2))</f>
        <v>7.7294501744949491</v>
      </c>
      <c r="H373" s="17">
        <f>SQRT((4*(HSP!$B$4-$B373)^2+(HSP!$C$4-$C373)^2+(HSP!$D$4-$D373)^2))</f>
        <v>7.7355025693228221</v>
      </c>
      <c r="I373" s="17">
        <f>SQRT((4*(HSP!$B$5-$B373)^2+(HSP!$C$5-$C373)^2+(HSP!$D$5-$D373)^2))</f>
        <v>12.425332993525766</v>
      </c>
      <c r="J373" s="17">
        <f>SQRT((4*(HSP!$B$6-$B373)^2+(HSP!$C$6-$C373)^2+(HSP!$D$6-$D373)^2))</f>
        <v>6.9540635602502219</v>
      </c>
      <c r="K373" s="17">
        <f t="shared" si="0"/>
        <v>1.526654834365808</v>
      </c>
      <c r="L373" s="17">
        <f t="shared" si="1"/>
        <v>1.1536492797753655</v>
      </c>
      <c r="M373" s="17">
        <f t="shared" si="2"/>
        <v>1.1545526222869884</v>
      </c>
      <c r="N373" s="17">
        <f t="shared" si="3"/>
        <v>1.8545273124665322</v>
      </c>
      <c r="O373" s="17">
        <f t="shared" si="4"/>
        <v>1.0379199343657046</v>
      </c>
      <c r="P373" s="17">
        <f>$F373/HSP!$E$2</f>
        <v>0.62752069878839956</v>
      </c>
      <c r="Q373" s="17">
        <f>$G373/HSP!$E$3</f>
        <v>0.57255186477740361</v>
      </c>
      <c r="R373" s="17">
        <f>$H373/HSP!$E$4</f>
        <v>0.48650959555489448</v>
      </c>
      <c r="S373" s="17">
        <f>$I373/HSP!$E$5</f>
        <v>0.90695861266611433</v>
      </c>
      <c r="T373" s="17">
        <f>$J373/HSP!$E$6</f>
        <v>0.46986915947636632</v>
      </c>
      <c r="U373" s="18" t="s">
        <v>518</v>
      </c>
      <c r="V373" s="12"/>
      <c r="W373" s="12"/>
      <c r="X373" s="12"/>
      <c r="Y373" s="12"/>
      <c r="Z373" s="12"/>
    </row>
    <row r="374" spans="1:26" ht="15" customHeight="1" x14ac:dyDescent="0.3">
      <c r="A374" s="26" t="s">
        <v>857</v>
      </c>
      <c r="B374" s="17">
        <v>18.5</v>
      </c>
      <c r="C374" s="17">
        <v>4.5</v>
      </c>
      <c r="D374" s="17">
        <v>2.9</v>
      </c>
      <c r="E374" s="17">
        <v>5.3</v>
      </c>
      <c r="F374" s="17">
        <f>SQRT((4*(HSP!$B$2-$B374)^2+(HSP!$C$2-$C374)^2+(HSP!$D$2-$D374)^2))</f>
        <v>10.630522094422268</v>
      </c>
      <c r="G374" s="17">
        <f>SQRT((4*(HSP!$B$3-$B374)^2+(HSP!$C$3-$C374)^2+(HSP!$D$3-$D374)^2))</f>
        <v>8.1692349703016873</v>
      </c>
      <c r="H374" s="17">
        <f>SQRT((4*(HSP!$B$4-$B374)^2+(HSP!$C$4-$C374)^2+(HSP!$D$4-$D374)^2))</f>
        <v>7.7199740932207801</v>
      </c>
      <c r="I374" s="17">
        <f>SQRT((4*(HSP!$B$5-$B374)^2+(HSP!$C$5-$C374)^2+(HSP!$D$5-$D374)^2))</f>
        <v>13.182598378165059</v>
      </c>
      <c r="J374" s="17">
        <f>SQRT((4*(HSP!$B$6-$B374)^2+(HSP!$C$6-$C374)^2+(HSP!$D$6-$D374)^2))</f>
        <v>6.8087443776367476</v>
      </c>
      <c r="K374" s="17">
        <f t="shared" si="0"/>
        <v>2.0057588857400508</v>
      </c>
      <c r="L374" s="17">
        <f t="shared" si="1"/>
        <v>1.5413650887361674</v>
      </c>
      <c r="M374" s="17">
        <f t="shared" si="2"/>
        <v>1.4565988855133547</v>
      </c>
      <c r="N374" s="17">
        <f t="shared" si="3"/>
        <v>2.4872827128613317</v>
      </c>
      <c r="O374" s="17">
        <f t="shared" si="4"/>
        <v>1.2846687504974996</v>
      </c>
      <c r="P374" s="17">
        <f>$F374/HSP!$E$2</f>
        <v>0.65217926959645811</v>
      </c>
      <c r="Q374" s="17">
        <f>$G374/HSP!$E$3</f>
        <v>0.60512851631864351</v>
      </c>
      <c r="R374" s="17">
        <f>$H374/HSP!$E$4</f>
        <v>0.48553296183778488</v>
      </c>
      <c r="S374" s="17">
        <f>$I374/HSP!$E$5</f>
        <v>0.96223345826022333</v>
      </c>
      <c r="T374" s="17">
        <f>$J374/HSP!$E$6</f>
        <v>0.46005029578626672</v>
      </c>
      <c r="U374" s="18" t="s">
        <v>518</v>
      </c>
      <c r="V374" s="12"/>
      <c r="W374" s="12"/>
      <c r="X374" s="12"/>
      <c r="Y374" s="12"/>
      <c r="Z374" s="12"/>
    </row>
    <row r="375" spans="1:26" ht="15" customHeight="1" x14ac:dyDescent="0.3">
      <c r="A375" s="26" t="s">
        <v>858</v>
      </c>
      <c r="B375" s="17">
        <v>24.64</v>
      </c>
      <c r="C375" s="17">
        <v>11.94</v>
      </c>
      <c r="D375" s="17">
        <v>12.92</v>
      </c>
      <c r="E375" s="17">
        <v>19.04</v>
      </c>
      <c r="F375" s="17">
        <f>SQRT((4*(HSP!$B$2-$B375)^2+(HSP!$C$2-$C375)^2+(HSP!$D$2-$D375)^2))</f>
        <v>20.992389097003706</v>
      </c>
      <c r="G375" s="17">
        <f>SQRT((4*(HSP!$B$3-$B375)^2+(HSP!$C$3-$C375)^2+(HSP!$D$3-$D375)^2))</f>
        <v>19.391193877634251</v>
      </c>
      <c r="H375" s="17">
        <f>SQRT((4*(HSP!$B$4-$B375)^2+(HSP!$C$4-$C375)^2+(HSP!$D$4-$D375)^2))</f>
        <v>21.186920493549788</v>
      </c>
      <c r="I375" s="17">
        <f>SQRT((4*(HSP!$B$5-$B375)^2+(HSP!$C$5-$C375)^2+(HSP!$D$5-$D375)^2))</f>
        <v>18.861497819632461</v>
      </c>
      <c r="J375" s="17">
        <f>SQRT((4*(HSP!$B$6-$B375)^2+(HSP!$C$6-$C375)^2+(HSP!$D$6-$D375)^2))</f>
        <v>21.53630887594251</v>
      </c>
      <c r="K375" s="17">
        <f t="shared" si="0"/>
        <v>1.1025414441703627</v>
      </c>
      <c r="L375" s="17">
        <f t="shared" si="1"/>
        <v>1.0184450565984375</v>
      </c>
      <c r="M375" s="17">
        <f t="shared" si="2"/>
        <v>1.1127584292830772</v>
      </c>
      <c r="N375" s="17">
        <f t="shared" si="3"/>
        <v>0.99062488548489824</v>
      </c>
      <c r="O375" s="17">
        <f t="shared" si="4"/>
        <v>1.1311086594507622</v>
      </c>
      <c r="P375" s="17">
        <f>$F375/HSP!$E$2</f>
        <v>1.2878766317180188</v>
      </c>
      <c r="Q375" s="17">
        <f>$G375/HSP!$E$3</f>
        <v>1.4363847316766112</v>
      </c>
      <c r="R375" s="17">
        <f>$H375/HSP!$E$4</f>
        <v>1.3325107228647666</v>
      </c>
      <c r="S375" s="17">
        <f>$I375/HSP!$E$5</f>
        <v>1.376751665666603</v>
      </c>
      <c r="T375" s="17">
        <f>$J375/HSP!$E$6</f>
        <v>1.4551560051312507</v>
      </c>
      <c r="U375" s="18" t="s">
        <v>705</v>
      </c>
      <c r="V375" s="12"/>
      <c r="W375" s="12"/>
      <c r="X375" s="12"/>
      <c r="Y375" s="12"/>
      <c r="Z375" s="12"/>
    </row>
    <row r="376" spans="1:26" ht="15" customHeight="1" x14ac:dyDescent="0.3">
      <c r="A376" s="26" t="s">
        <v>859</v>
      </c>
      <c r="B376" s="17">
        <v>16</v>
      </c>
      <c r="C376" s="17">
        <v>6</v>
      </c>
      <c r="D376" s="17">
        <v>6.6</v>
      </c>
      <c r="E376" s="17">
        <v>9</v>
      </c>
      <c r="F376" s="17">
        <f>SQRT((4*(HSP!$B$2-$B376)^2+(HSP!$C$2-$C376)^2+(HSP!$D$2-$D376)^2))</f>
        <v>5.2797727223811455</v>
      </c>
      <c r="G376" s="17">
        <f>SQRT((4*(HSP!$B$3-$B376)^2+(HSP!$C$3-$C376)^2+(HSP!$D$3-$D376)^2))</f>
        <v>3.7932044500659337</v>
      </c>
      <c r="H376" s="17">
        <f>SQRT((4*(HSP!$B$4-$B376)^2+(HSP!$C$4-$C376)^2+(HSP!$D$4-$D376)^2))</f>
        <v>2.130258200312817</v>
      </c>
      <c r="I376" s="17">
        <f>SQRT((4*(HSP!$B$5-$B376)^2+(HSP!$C$5-$C376)^2+(HSP!$D$5-$D376)^2))</f>
        <v>8.1264321814680773</v>
      </c>
      <c r="J376" s="17">
        <f>SQRT((4*(HSP!$B$6-$B376)^2+(HSP!$C$6-$C376)^2+(HSP!$D$6-$D376)^2))</f>
        <v>3.1430876538843138</v>
      </c>
      <c r="K376" s="17">
        <f t="shared" si="0"/>
        <v>0.586641413597905</v>
      </c>
      <c r="L376" s="17">
        <f t="shared" si="1"/>
        <v>0.42146716111843707</v>
      </c>
      <c r="M376" s="17">
        <f t="shared" si="2"/>
        <v>0.23669535559031299</v>
      </c>
      <c r="N376" s="17">
        <f t="shared" si="3"/>
        <v>0.90293690905200863</v>
      </c>
      <c r="O376" s="17">
        <f t="shared" si="4"/>
        <v>0.34923196154270153</v>
      </c>
      <c r="P376" s="17">
        <f>$F376/HSP!$E$2</f>
        <v>0.3239124369558985</v>
      </c>
      <c r="Q376" s="17">
        <f>$G376/HSP!$E$3</f>
        <v>0.2809781074122914</v>
      </c>
      <c r="R376" s="17">
        <f>$H376/HSP!$E$4</f>
        <v>0.13397850316432811</v>
      </c>
      <c r="S376" s="17">
        <f>$I376/HSP!$E$5</f>
        <v>0.59317023222394727</v>
      </c>
      <c r="T376" s="17">
        <f>$J376/HSP!$E$6</f>
        <v>0.21237078742461579</v>
      </c>
      <c r="U376" s="18" t="s">
        <v>464</v>
      </c>
      <c r="V376" s="12"/>
      <c r="W376" s="12"/>
      <c r="X376" s="12"/>
      <c r="Y376" s="12"/>
      <c r="Z376" s="12"/>
    </row>
    <row r="377" spans="1:26" ht="15" customHeight="1" x14ac:dyDescent="0.3">
      <c r="A377" s="26" t="s">
        <v>860</v>
      </c>
      <c r="B377" s="17">
        <v>19.7</v>
      </c>
      <c r="C377" s="17">
        <v>8.3000000000000007</v>
      </c>
      <c r="D377" s="17">
        <v>8.3000000000000007</v>
      </c>
      <c r="E377" s="17">
        <v>8</v>
      </c>
      <c r="F377" s="17">
        <f>SQRT((4*(HSP!$B$2-$B377)^2+(HSP!$C$2-$C377)^2+(HSP!$D$2-$D377)^2))</f>
        <v>10.509424341989432</v>
      </c>
      <c r="G377" s="17">
        <f>SQRT((4*(HSP!$B$3-$B377)^2+(HSP!$C$3-$C377)^2+(HSP!$D$3-$D377)^2))</f>
        <v>8.5041401681769102</v>
      </c>
      <c r="H377" s="17">
        <f>SQRT((4*(HSP!$B$4-$B377)^2+(HSP!$C$4-$C377)^2+(HSP!$D$4-$D377)^2))</f>
        <v>9.871068837770304</v>
      </c>
      <c r="I377" s="17">
        <f>SQRT((4*(HSP!$B$5-$B377)^2+(HSP!$C$5-$C377)^2+(HSP!$D$5-$D377)^2))</f>
        <v>10.244652263498258</v>
      </c>
      <c r="J377" s="17">
        <f>SQRT((4*(HSP!$B$6-$B377)^2+(HSP!$C$6-$C377)^2+(HSP!$D$6-$D377)^2))</f>
        <v>10.089549048396563</v>
      </c>
      <c r="K377" s="17">
        <f t="shared" si="0"/>
        <v>1.3136780427486789</v>
      </c>
      <c r="L377" s="17">
        <f t="shared" si="1"/>
        <v>1.0630175210221138</v>
      </c>
      <c r="M377" s="17">
        <f t="shared" si="2"/>
        <v>1.233883604721288</v>
      </c>
      <c r="N377" s="17">
        <f t="shared" si="3"/>
        <v>1.2805815329372823</v>
      </c>
      <c r="O377" s="17">
        <f t="shared" si="4"/>
        <v>1.2611936310495704</v>
      </c>
      <c r="P377" s="17">
        <f>$F377/HSP!$E$2</f>
        <v>0.64474995963125348</v>
      </c>
      <c r="Q377" s="17">
        <f>$G377/HSP!$E$3</f>
        <v>0.62993630875384521</v>
      </c>
      <c r="R377" s="17">
        <f>$H377/HSP!$E$4</f>
        <v>0.62082193948240905</v>
      </c>
      <c r="S377" s="17">
        <f>$I377/HSP!$E$5</f>
        <v>0.74778483675169771</v>
      </c>
      <c r="T377" s="17">
        <f>$J377/HSP!$E$6</f>
        <v>0.68172628705382177</v>
      </c>
      <c r="U377" s="18" t="s">
        <v>464</v>
      </c>
      <c r="V377" s="12"/>
      <c r="W377" s="12"/>
      <c r="X377" s="12"/>
      <c r="Y377" s="12"/>
      <c r="Z377" s="12"/>
    </row>
    <row r="378" spans="1:26" ht="15" customHeight="1" x14ac:dyDescent="0.3">
      <c r="A378" s="26" t="s">
        <v>861</v>
      </c>
      <c r="B378" s="17">
        <v>16.2</v>
      </c>
      <c r="C378" s="17">
        <v>1.8</v>
      </c>
      <c r="D378" s="17">
        <v>3.4</v>
      </c>
      <c r="E378" s="17">
        <v>3.9</v>
      </c>
      <c r="F378" s="17">
        <f>SQRT((4*(HSP!$B$2-$B378)^2+(HSP!$C$2-$C378)^2+(HSP!$D$2-$D378)^2))</f>
        <v>9.9021209849203515</v>
      </c>
      <c r="G378" s="17">
        <f>SQRT((4*(HSP!$B$3-$B378)^2+(HSP!$C$3-$C378)^2+(HSP!$D$3-$D378)^2))</f>
        <v>8.2871225404237876</v>
      </c>
      <c r="H378" s="17">
        <f>SQRT((4*(HSP!$B$4-$B378)^2+(HSP!$C$4-$C378)^2+(HSP!$D$4-$D378)^2))</f>
        <v>4.9089713790161777</v>
      </c>
      <c r="I378" s="17">
        <f>SQRT((4*(HSP!$B$5-$B378)^2+(HSP!$C$5-$C378)^2+(HSP!$D$5-$D378)^2))</f>
        <v>13.394286095197458</v>
      </c>
      <c r="J378" s="17">
        <f>SQRT((4*(HSP!$B$6-$B378)^2+(HSP!$C$6-$C378)^2+(HSP!$D$6-$D378)^2))</f>
        <v>5.0098902183580822</v>
      </c>
      <c r="K378" s="17">
        <f t="shared" si="0"/>
        <v>2.539005380748808</v>
      </c>
      <c r="L378" s="17">
        <f t="shared" si="1"/>
        <v>2.124903215493279</v>
      </c>
      <c r="M378" s="17">
        <f t="shared" si="2"/>
        <v>1.2587106100041481</v>
      </c>
      <c r="N378" s="17">
        <f t="shared" si="3"/>
        <v>3.4344323321019123</v>
      </c>
      <c r="O378" s="17">
        <f t="shared" si="4"/>
        <v>1.2845872354764314</v>
      </c>
      <c r="P378" s="17">
        <f>$F378/HSP!$E$2</f>
        <v>0.60749208496443874</v>
      </c>
      <c r="Q378" s="17">
        <f>$G378/HSP!$E$3</f>
        <v>0.61386092892028055</v>
      </c>
      <c r="R378" s="17">
        <f>$H378/HSP!$E$4</f>
        <v>0.30874033830290426</v>
      </c>
      <c r="S378" s="17">
        <f>$I378/HSP!$E$5</f>
        <v>0.97768511643777067</v>
      </c>
      <c r="T378" s="17">
        <f>$J378/HSP!$E$6</f>
        <v>0.33850609583500552</v>
      </c>
      <c r="U378" s="18" t="s">
        <v>464</v>
      </c>
      <c r="V378" s="12"/>
      <c r="W378" s="12"/>
      <c r="X378" s="12"/>
      <c r="Y378" s="12"/>
      <c r="Z378" s="12"/>
    </row>
    <row r="379" spans="1:26" ht="15" customHeight="1" x14ac:dyDescent="0.3">
      <c r="A379" s="26" t="s">
        <v>862</v>
      </c>
      <c r="B379" s="17">
        <v>24.6</v>
      </c>
      <c r="C379" s="17">
        <v>18.600000000000001</v>
      </c>
      <c r="D379" s="17">
        <v>16.399999999999999</v>
      </c>
      <c r="E379" s="17">
        <v>20.9</v>
      </c>
      <c r="F379" s="17">
        <f>SQRT((4*(HSP!$B$2-$B379)^2+(HSP!$C$2-$C379)^2+(HSP!$D$2-$D379)^2))</f>
        <v>23.558353083354536</v>
      </c>
      <c r="G379" s="17">
        <f>SQRT((4*(HSP!$B$3-$B379)^2+(HSP!$C$3-$C379)^2+(HSP!$D$3-$D379)^2))</f>
        <v>22.570166149144764</v>
      </c>
      <c r="H379" s="17">
        <f>SQRT((4*(HSP!$B$4-$B379)^2+(HSP!$C$4-$C379)^2+(HSP!$D$4-$D379)^2))</f>
        <v>25.330337542164735</v>
      </c>
      <c r="I379" s="17">
        <f>SQRT((4*(HSP!$B$5-$B379)^2+(HSP!$C$5-$C379)^2+(HSP!$D$5-$D379)^2))</f>
        <v>20.314795101107965</v>
      </c>
      <c r="J379" s="17">
        <f>SQRT((4*(HSP!$B$6-$B379)^2+(HSP!$C$6-$C379)^2+(HSP!$D$6-$D379)^2))</f>
        <v>25.569649978050151</v>
      </c>
      <c r="K379" s="17">
        <f t="shared" si="0"/>
        <v>1.1271939274332314</v>
      </c>
      <c r="L379" s="17">
        <f t="shared" si="1"/>
        <v>1.079912255939941</v>
      </c>
      <c r="M379" s="17">
        <f t="shared" si="2"/>
        <v>1.2119778728308486</v>
      </c>
      <c r="N379" s="17">
        <f t="shared" si="3"/>
        <v>0.97199976560325196</v>
      </c>
      <c r="O379" s="17">
        <f t="shared" si="4"/>
        <v>1.2234282286148399</v>
      </c>
      <c r="P379" s="17">
        <f>$F379/HSP!$E$2</f>
        <v>1.4452977351751248</v>
      </c>
      <c r="Q379" s="17">
        <f>$G379/HSP!$E$3</f>
        <v>1.6718641591959085</v>
      </c>
      <c r="R379" s="17">
        <f>$H379/HSP!$E$4</f>
        <v>1.5931029900732536</v>
      </c>
      <c r="S379" s="17">
        <f>$I379/HSP!$E$5</f>
        <v>1.4828317592049609</v>
      </c>
      <c r="T379" s="17">
        <f>$J379/HSP!$E$6</f>
        <v>1.727679052570956</v>
      </c>
      <c r="U379" s="18" t="s">
        <v>35</v>
      </c>
      <c r="V379" s="12"/>
      <c r="W379" s="12"/>
      <c r="X379" s="12"/>
      <c r="Y379" s="12"/>
      <c r="Z379" s="12"/>
    </row>
    <row r="380" spans="1:26" ht="15" customHeight="1" x14ac:dyDescent="0.3">
      <c r="A380" s="26" t="s">
        <v>863</v>
      </c>
      <c r="B380" s="17">
        <v>17.899999999999999</v>
      </c>
      <c r="C380" s="17">
        <v>6.9</v>
      </c>
      <c r="D380" s="17">
        <v>3.7</v>
      </c>
      <c r="E380" s="17">
        <v>2.7</v>
      </c>
      <c r="F380" s="17">
        <f>SQRT((4*(HSP!$B$2-$B380)^2+(HSP!$C$2-$C380)^2+(HSP!$D$2-$D380)^2))</f>
        <v>8.184864079506756</v>
      </c>
      <c r="G380" s="17">
        <f>SQRT((4*(HSP!$B$3-$B380)^2+(HSP!$C$3-$C380)^2+(HSP!$D$3-$D380)^2))</f>
        <v>5.6256910686599193</v>
      </c>
      <c r="H380" s="17">
        <f>SQRT((4*(HSP!$B$4-$B380)^2+(HSP!$C$4-$C380)^2+(HSP!$D$4-$D380)^2))</f>
        <v>6.6595795663089703</v>
      </c>
      <c r="I380" s="17">
        <f>SQRT((4*(HSP!$B$5-$B380)^2+(HSP!$C$5-$C380)^2+(HSP!$D$5-$D380)^2))</f>
        <v>10.668312893799094</v>
      </c>
      <c r="J380" s="17">
        <f>SQRT((4*(HSP!$B$6-$B380)^2+(HSP!$C$6-$C380)^2+(HSP!$D$6-$D380)^2))</f>
        <v>5.2830862192472292</v>
      </c>
      <c r="K380" s="17">
        <f t="shared" si="0"/>
        <v>3.0314311405580576</v>
      </c>
      <c r="L380" s="17">
        <f t="shared" si="1"/>
        <v>2.0835892846888591</v>
      </c>
      <c r="M380" s="17">
        <f t="shared" si="2"/>
        <v>2.4665109504848037</v>
      </c>
      <c r="N380" s="17">
        <f t="shared" si="3"/>
        <v>3.9512269977033676</v>
      </c>
      <c r="O380" s="17">
        <f t="shared" si="4"/>
        <v>1.9566985997211959</v>
      </c>
      <c r="P380" s="17">
        <f>$F380/HSP!$E$2</f>
        <v>0.50213890058323651</v>
      </c>
      <c r="Q380" s="17">
        <f>$G380/HSP!$E$3</f>
        <v>0.4167178569377718</v>
      </c>
      <c r="R380" s="17">
        <f>$H380/HSP!$E$4</f>
        <v>0.41884148215779687</v>
      </c>
      <c r="S380" s="17">
        <f>$I380/HSP!$E$5</f>
        <v>0.77870897035029885</v>
      </c>
      <c r="T380" s="17">
        <f>$J380/HSP!$E$6</f>
        <v>0.35696528508427222</v>
      </c>
      <c r="U380" s="18" t="s">
        <v>459</v>
      </c>
      <c r="V380" s="12"/>
      <c r="W380" s="12"/>
      <c r="X380" s="12"/>
      <c r="Y380" s="12"/>
      <c r="Z380" s="12"/>
    </row>
    <row r="381" spans="1:26" ht="15" customHeight="1" x14ac:dyDescent="0.3">
      <c r="A381" s="26" t="s">
        <v>863</v>
      </c>
      <c r="B381" s="17">
        <v>18.100000000000001</v>
      </c>
      <c r="C381" s="17">
        <v>11.1</v>
      </c>
      <c r="D381" s="17">
        <v>9.1</v>
      </c>
      <c r="E381" s="17">
        <v>5.7</v>
      </c>
      <c r="F381" s="17">
        <f>SQRT((4*(HSP!$B$2-$B381)^2+(HSP!$C$2-$C381)^2+(HSP!$D$2-$D381)^2))</f>
        <v>7.3419343500197582</v>
      </c>
      <c r="G381" s="17">
        <f>SQRT((4*(HSP!$B$3-$B381)^2+(HSP!$C$3-$C381)^2+(HSP!$D$3-$D381)^2))</f>
        <v>6.005364268718429</v>
      </c>
      <c r="H381" s="17">
        <f>SQRT((4*(HSP!$B$4-$B381)^2+(HSP!$C$4-$C381)^2+(HSP!$D$4-$D381)^2))</f>
        <v>8.9914403740446414</v>
      </c>
      <c r="I381" s="17">
        <f>SQRT((4*(HSP!$B$5-$B381)^2+(HSP!$C$5-$C381)^2+(HSP!$D$5-$D381)^2))</f>
        <v>6.1651358460296759</v>
      </c>
      <c r="J381" s="17">
        <f>SQRT((4*(HSP!$B$6-$B381)^2+(HSP!$C$6-$C381)^2+(HSP!$D$6-$D381)^2))</f>
        <v>9.0225827787834696</v>
      </c>
      <c r="K381" s="17">
        <f t="shared" si="0"/>
        <v>1.2880586578982032</v>
      </c>
      <c r="L381" s="17">
        <f t="shared" si="1"/>
        <v>1.0535726787225315</v>
      </c>
      <c r="M381" s="17">
        <f t="shared" si="2"/>
        <v>1.5774456796569545</v>
      </c>
      <c r="N381" s="17">
        <f t="shared" si="3"/>
        <v>1.0816027800052062</v>
      </c>
      <c r="O381" s="17">
        <f t="shared" si="4"/>
        <v>1.5829092594356964</v>
      </c>
      <c r="P381" s="17">
        <f>$F381/HSP!$E$2</f>
        <v>0.45042542024661092</v>
      </c>
      <c r="Q381" s="17">
        <f>$G381/HSP!$E$3</f>
        <v>0.4448417976828466</v>
      </c>
      <c r="R381" s="17">
        <f>$H381/HSP!$E$4</f>
        <v>0.56549939459400256</v>
      </c>
      <c r="S381" s="17">
        <f>$I381/HSP!$E$5</f>
        <v>0.45000991576858951</v>
      </c>
      <c r="T381" s="17">
        <f>$J381/HSP!$E$6</f>
        <v>0.60963397153942356</v>
      </c>
      <c r="U381" s="18" t="s">
        <v>464</v>
      </c>
      <c r="V381" s="12"/>
      <c r="W381" s="12"/>
      <c r="X381" s="12"/>
      <c r="Y381" s="12"/>
      <c r="Z381" s="12"/>
    </row>
    <row r="382" spans="1:26" ht="15" customHeight="1" x14ac:dyDescent="0.3">
      <c r="A382" s="26" t="s">
        <v>864</v>
      </c>
      <c r="B382" s="17">
        <v>18.100000000000001</v>
      </c>
      <c r="C382" s="17">
        <v>9.3000000000000007</v>
      </c>
      <c r="D382" s="17">
        <v>4.5</v>
      </c>
      <c r="E382" s="17">
        <v>9.6999999999999993</v>
      </c>
      <c r="F382" s="17">
        <f>SQRT((4*(HSP!$B$2-$B382)^2+(HSP!$C$2-$C382)^2+(HSP!$D$2-$D382)^2))</f>
        <v>7.5163821084348852</v>
      </c>
      <c r="G382" s="17">
        <f>SQRT((4*(HSP!$B$3-$B382)^2+(HSP!$C$3-$C382)^2+(HSP!$D$3-$D382)^2))</f>
        <v>5.0104291233386427</v>
      </c>
      <c r="H382" s="17">
        <f>SQRT((4*(HSP!$B$4-$B382)^2+(HSP!$C$4-$C382)^2+(HSP!$D$4-$D382)^2))</f>
        <v>7.8085850190671575</v>
      </c>
      <c r="I382" s="17">
        <f>SQRT((4*(HSP!$B$5-$B382)^2+(HSP!$C$5-$C382)^2+(HSP!$D$5-$D382)^2))</f>
        <v>9.2237140025046322</v>
      </c>
      <c r="J382" s="17">
        <f>SQRT((4*(HSP!$B$6-$B382)^2+(HSP!$C$6-$C382)^2+(HSP!$D$6-$D382)^2))</f>
        <v>6.379263280348292</v>
      </c>
      <c r="K382" s="17">
        <f t="shared" si="0"/>
        <v>0.77488475344689545</v>
      </c>
      <c r="L382" s="17">
        <f t="shared" si="1"/>
        <v>0.51653908488027245</v>
      </c>
      <c r="M382" s="17">
        <f t="shared" si="2"/>
        <v>0.80500876485228434</v>
      </c>
      <c r="N382" s="17">
        <f t="shared" si="3"/>
        <v>0.95089835077367346</v>
      </c>
      <c r="O382" s="17">
        <f t="shared" si="4"/>
        <v>0.65765600828332915</v>
      </c>
      <c r="P382" s="17">
        <f>$F382/HSP!$E$2</f>
        <v>0.46112773671379664</v>
      </c>
      <c r="Q382" s="17">
        <f>$G382/HSP!$E$3</f>
        <v>0.37114289802508466</v>
      </c>
      <c r="R382" s="17">
        <f>$H382/HSP!$E$4</f>
        <v>0.4911059760419596</v>
      </c>
      <c r="S382" s="17">
        <f>$I382/HSP!$E$5</f>
        <v>0.6732637958032579</v>
      </c>
      <c r="T382" s="17">
        <f>$J382/HSP!$E$6</f>
        <v>0.43103130272623591</v>
      </c>
      <c r="U382" s="18" t="s">
        <v>452</v>
      </c>
      <c r="V382" s="12"/>
      <c r="W382" s="12"/>
      <c r="X382" s="12"/>
      <c r="Y382" s="12"/>
      <c r="Z382" s="12"/>
    </row>
    <row r="383" spans="1:26" ht="15" customHeight="1" x14ac:dyDescent="0.3">
      <c r="A383" s="26" t="s">
        <v>865</v>
      </c>
      <c r="B383" s="17">
        <v>17.600000000000001</v>
      </c>
      <c r="C383" s="17">
        <v>2.2000000000000002</v>
      </c>
      <c r="D383" s="17">
        <v>4</v>
      </c>
      <c r="E383" s="17">
        <v>4.0999999999999996</v>
      </c>
      <c r="F383" s="17">
        <f>SQRT((4*(HSP!$B$2-$B383)^2+(HSP!$C$2-$C383)^2+(HSP!$D$2-$D383)^2))</f>
        <v>10.635224492223946</v>
      </c>
      <c r="G383" s="17">
        <f>SQRT((4*(HSP!$B$3-$B383)^2+(HSP!$C$3-$C383)^2+(HSP!$D$3-$D383)^2))</f>
        <v>8.5765027837691523</v>
      </c>
      <c r="H383" s="17">
        <f>SQRT((4*(HSP!$B$4-$B383)^2+(HSP!$C$4-$C383)^2+(HSP!$D$4-$D383)^2))</f>
        <v>6.1326992425847875</v>
      </c>
      <c r="I383" s="17">
        <f>SQRT((4*(HSP!$B$5-$B383)^2+(HSP!$C$5-$C383)^2+(HSP!$D$5-$D383)^2))</f>
        <v>13.431712474587894</v>
      </c>
      <c r="J383" s="17">
        <f>SQRT((4*(HSP!$B$6-$B383)^2+(HSP!$C$6-$C383)^2+(HSP!$D$6-$D383)^2))</f>
        <v>6.2953157188500111</v>
      </c>
      <c r="K383" s="17">
        <f t="shared" si="0"/>
        <v>2.5939571932253531</v>
      </c>
      <c r="L383" s="17">
        <f t="shared" si="1"/>
        <v>2.0918299472607691</v>
      </c>
      <c r="M383" s="17">
        <f t="shared" si="2"/>
        <v>1.4957803030694605</v>
      </c>
      <c r="N383" s="17">
        <f t="shared" si="3"/>
        <v>3.2760274328263157</v>
      </c>
      <c r="O383" s="17">
        <f t="shared" si="4"/>
        <v>1.5354428582561004</v>
      </c>
      <c r="P383" s="17">
        <f>$F383/HSP!$E$2</f>
        <v>0.65246776025913777</v>
      </c>
      <c r="Q383" s="17">
        <f>$G383/HSP!$E$3</f>
        <v>0.63529650250141867</v>
      </c>
      <c r="R383" s="17">
        <f>$H383/HSP!$E$4</f>
        <v>0.38570435487954635</v>
      </c>
      <c r="S383" s="17">
        <f>$I383/HSP!$E$5</f>
        <v>0.98041696894802144</v>
      </c>
      <c r="T383" s="17">
        <f>$J383/HSP!$E$6</f>
        <v>0.4253591701925683</v>
      </c>
      <c r="U383" s="18" t="s">
        <v>454</v>
      </c>
      <c r="V383" s="12"/>
      <c r="W383" s="12"/>
      <c r="X383" s="12"/>
      <c r="Y383" s="12"/>
      <c r="Z383" s="12"/>
    </row>
    <row r="384" spans="1:26" ht="15" customHeight="1" x14ac:dyDescent="0.3">
      <c r="A384" s="26" t="s">
        <v>866</v>
      </c>
      <c r="B384" s="17">
        <v>16.7</v>
      </c>
      <c r="C384" s="17">
        <v>3.7</v>
      </c>
      <c r="D384" s="17">
        <v>8.3000000000000007</v>
      </c>
      <c r="E384" s="17">
        <v>8.6</v>
      </c>
      <c r="F384" s="17">
        <f>SQRT((4*(HSP!$B$2-$B384)^2+(HSP!$C$2-$C384)^2+(HSP!$D$2-$D384)^2))</f>
        <v>8.0672176120394816</v>
      </c>
      <c r="G384" s="17">
        <f>SQRT((4*(HSP!$B$3-$B384)^2+(HSP!$C$3-$C384)^2+(HSP!$D$3-$D384)^2))</f>
        <v>6.7640520400127029</v>
      </c>
      <c r="H384" s="17">
        <f>SQRT((4*(HSP!$B$4-$B384)^2+(HSP!$C$4-$C384)^2+(HSP!$D$4-$D384)^2))</f>
        <v>3.5459836435042948</v>
      </c>
      <c r="I384" s="17">
        <f>SQRT((4*(HSP!$B$5-$B384)^2+(HSP!$C$5-$C384)^2+(HSP!$D$5-$D384)^2))</f>
        <v>9.8212473749519198</v>
      </c>
      <c r="J384" s="17">
        <f>SQRT((4*(HSP!$B$6-$B384)^2+(HSP!$C$6-$C384)^2+(HSP!$D$6-$D384)^2))</f>
        <v>5.9527304659290596</v>
      </c>
      <c r="K384" s="17">
        <f t="shared" si="0"/>
        <v>0.93804855953947464</v>
      </c>
      <c r="L384" s="17">
        <f t="shared" si="1"/>
        <v>0.78651767907124459</v>
      </c>
      <c r="M384" s="17">
        <f t="shared" si="2"/>
        <v>0.41232367947724358</v>
      </c>
      <c r="N384" s="17">
        <f t="shared" si="3"/>
        <v>1.1420055087153396</v>
      </c>
      <c r="O384" s="17">
        <f t="shared" si="4"/>
        <v>0.69217796115454189</v>
      </c>
      <c r="P384" s="17">
        <f>$F384/HSP!$E$2</f>
        <v>0.49492132589199272</v>
      </c>
      <c r="Q384" s="17">
        <f>$G384/HSP!$E$3</f>
        <v>0.50104089185279277</v>
      </c>
      <c r="R384" s="17">
        <f>$H384/HSP!$E$4</f>
        <v>0.22301783921410659</v>
      </c>
      <c r="S384" s="17">
        <f>$I384/HSP!$E$5</f>
        <v>0.71687937043444672</v>
      </c>
      <c r="T384" s="17">
        <f>$J384/HSP!$E$6</f>
        <v>0.40221151796817967</v>
      </c>
      <c r="U384" s="18" t="s">
        <v>452</v>
      </c>
      <c r="V384" s="12"/>
      <c r="W384" s="12"/>
      <c r="X384" s="12"/>
      <c r="Y384" s="12"/>
      <c r="Z384" s="12"/>
    </row>
    <row r="385" spans="1:26" ht="15" customHeight="1" x14ac:dyDescent="0.3">
      <c r="A385" s="26" t="s">
        <v>867</v>
      </c>
      <c r="B385" s="17">
        <v>17.600000000000001</v>
      </c>
      <c r="C385" s="17">
        <v>7.8</v>
      </c>
      <c r="D385" s="17">
        <v>3.4</v>
      </c>
      <c r="E385" s="17">
        <v>8.1999999999999993</v>
      </c>
      <c r="F385" s="17">
        <f>SQRT((4*(HSP!$B$2-$B385)^2+(HSP!$C$2-$C385)^2+(HSP!$D$2-$D385)^2))</f>
        <v>7.4760952374886216</v>
      </c>
      <c r="G385" s="17">
        <f>SQRT((4*(HSP!$B$3-$B385)^2+(HSP!$C$3-$C385)^2+(HSP!$D$3-$D385)^2))</f>
        <v>4.8896216622556832</v>
      </c>
      <c r="H385" s="17">
        <f>SQRT((4*(HSP!$B$4-$B385)^2+(HSP!$C$4-$C385)^2+(HSP!$D$4-$D385)^2))</f>
        <v>6.7017908054489457</v>
      </c>
      <c r="I385" s="17">
        <f>SQRT((4*(HSP!$B$5-$B385)^2+(HSP!$C$5-$C385)^2+(HSP!$D$5-$D385)^2))</f>
        <v>10.13029614572052</v>
      </c>
      <c r="J385" s="17">
        <f>SQRT((4*(HSP!$B$6-$B385)^2+(HSP!$C$6-$C385)^2+(HSP!$D$6-$D385)^2))</f>
        <v>4.8780118901044132</v>
      </c>
      <c r="K385" s="17">
        <f t="shared" si="0"/>
        <v>0.91171893140105154</v>
      </c>
      <c r="L385" s="17">
        <f t="shared" si="1"/>
        <v>0.59629532466532731</v>
      </c>
      <c r="M385" s="17">
        <f t="shared" si="2"/>
        <v>0.8172915616401154</v>
      </c>
      <c r="N385" s="17">
        <f t="shared" si="3"/>
        <v>1.2354019689903073</v>
      </c>
      <c r="O385" s="17">
        <f t="shared" si="4"/>
        <v>0.59487949879322122</v>
      </c>
      <c r="P385" s="17">
        <f>$F385/HSP!$E$2</f>
        <v>0.45865614953917921</v>
      </c>
      <c r="Q385" s="17">
        <f>$G385/HSP!$E$3</f>
        <v>0.36219419720412466</v>
      </c>
      <c r="R385" s="17">
        <f>$H385/HSP!$E$4</f>
        <v>0.42149627707226073</v>
      </c>
      <c r="S385" s="17">
        <f>$I385/HSP!$E$5</f>
        <v>0.73943767487011092</v>
      </c>
      <c r="T385" s="17">
        <f>$J385/HSP!$E$6</f>
        <v>0.3295953979800279</v>
      </c>
      <c r="U385" s="18" t="s">
        <v>452</v>
      </c>
      <c r="V385" s="12"/>
      <c r="W385" s="12"/>
      <c r="X385" s="12"/>
      <c r="Y385" s="12"/>
      <c r="Z385" s="12"/>
    </row>
    <row r="386" spans="1:26" ht="15" customHeight="1" x14ac:dyDescent="0.3">
      <c r="A386" s="26" t="s">
        <v>868</v>
      </c>
      <c r="B386" s="17">
        <v>14.9</v>
      </c>
      <c r="C386" s="17">
        <v>11.1</v>
      </c>
      <c r="D386" s="17">
        <v>3.8</v>
      </c>
      <c r="E386" s="17">
        <v>13.2</v>
      </c>
      <c r="F386" s="17">
        <f>SQRT((4*(HSP!$B$2-$B386)^2+(HSP!$C$2-$C386)^2+(HSP!$D$2-$D386)^2))</f>
        <v>3.2987876560942819</v>
      </c>
      <c r="G386" s="17">
        <f>SQRT((4*(HSP!$B$3-$B386)^2+(HSP!$C$3-$C386)^2+(HSP!$D$3-$D386)^2))</f>
        <v>2.9411562352245069</v>
      </c>
      <c r="H386" s="17">
        <f>SQRT((4*(HSP!$B$4-$B386)^2+(HSP!$C$4-$C386)^2+(HSP!$D$4-$D386)^2))</f>
        <v>7.1068980575212981</v>
      </c>
      <c r="I386" s="17">
        <f>SQRT((4*(HSP!$B$5-$B386)^2+(HSP!$C$5-$C386)^2+(HSP!$D$5-$D386)^2))</f>
        <v>7.3490747716974552</v>
      </c>
      <c r="J386" s="17">
        <f>SQRT((4*(HSP!$B$6-$B386)^2+(HSP!$C$6-$C386)^2+(HSP!$D$6-$D386)^2))</f>
        <v>4.7285304270988888</v>
      </c>
      <c r="K386" s="17">
        <f t="shared" si="0"/>
        <v>0.24990815576471834</v>
      </c>
      <c r="L386" s="17">
        <f t="shared" si="1"/>
        <v>0.22281486630488689</v>
      </c>
      <c r="M386" s="17">
        <f t="shared" si="2"/>
        <v>0.53840136799403782</v>
      </c>
      <c r="N386" s="17">
        <f t="shared" si="3"/>
        <v>0.55674808876495874</v>
      </c>
      <c r="O386" s="17">
        <f t="shared" si="4"/>
        <v>0.35822200205294613</v>
      </c>
      <c r="P386" s="17">
        <f>$F386/HSP!$E$2</f>
        <v>0.20237961080333017</v>
      </c>
      <c r="Q386" s="17">
        <f>$G386/HSP!$E$3</f>
        <v>0.21786342483144494</v>
      </c>
      <c r="R386" s="17">
        <f>$H386/HSP!$E$4</f>
        <v>0.44697472059882376</v>
      </c>
      <c r="S386" s="17">
        <f>$I386/HSP!$E$5</f>
        <v>0.53642881545236898</v>
      </c>
      <c r="T386" s="17">
        <f>$J386/HSP!$E$6</f>
        <v>0.31949529912830327</v>
      </c>
      <c r="U386" s="18" t="s">
        <v>452</v>
      </c>
      <c r="V386" s="12"/>
      <c r="W386" s="12"/>
      <c r="X386" s="12"/>
      <c r="Y386" s="12"/>
      <c r="Z386" s="12"/>
    </row>
    <row r="387" spans="1:26" ht="15" customHeight="1" x14ac:dyDescent="0.3">
      <c r="A387" s="26" t="s">
        <v>869</v>
      </c>
      <c r="B387" s="17">
        <v>16.100000000000001</v>
      </c>
      <c r="C387" s="17">
        <v>7.1</v>
      </c>
      <c r="D387" s="17">
        <v>5.9</v>
      </c>
      <c r="E387" s="17">
        <v>9.3000000000000007</v>
      </c>
      <c r="F387" s="17">
        <f>SQRT((4*(HSP!$B$2-$B387)^2+(HSP!$C$2-$C387)^2+(HSP!$D$2-$D387)^2))</f>
        <v>4.6320621757485112</v>
      </c>
      <c r="G387" s="17">
        <f>SQRT((4*(HSP!$B$3-$B387)^2+(HSP!$C$3-$C387)^2+(HSP!$D$3-$D387)^2))</f>
        <v>2.6893121797217985</v>
      </c>
      <c r="H387" s="17">
        <f>SQRT((4*(HSP!$B$4-$B387)^2+(HSP!$C$4-$C387)^2+(HSP!$D$4-$D387)^2))</f>
        <v>3.1821376463000481</v>
      </c>
      <c r="I387" s="17">
        <f>SQRT((4*(HSP!$B$5-$B387)^2+(HSP!$C$5-$C387)^2+(HSP!$D$5-$D387)^2))</f>
        <v>7.722752100125966</v>
      </c>
      <c r="J387" s="17">
        <f>SQRT((4*(HSP!$B$6-$B387)^2+(HSP!$C$6-$C387)^2+(HSP!$D$6-$D387)^2))</f>
        <v>2.7215804232100167</v>
      </c>
      <c r="K387" s="17">
        <f t="shared" si="0"/>
        <v>0.49807120169338825</v>
      </c>
      <c r="L387" s="17">
        <f t="shared" si="1"/>
        <v>0.28917335265825789</v>
      </c>
      <c r="M387" s="17">
        <f t="shared" si="2"/>
        <v>0.3421653383118331</v>
      </c>
      <c r="N387" s="17">
        <f t="shared" si="3"/>
        <v>0.83040345162644791</v>
      </c>
      <c r="O387" s="17">
        <f t="shared" si="4"/>
        <v>0.29264305625914155</v>
      </c>
      <c r="P387" s="17">
        <f>$F387/HSP!$E$2</f>
        <v>0.28417559360420314</v>
      </c>
      <c r="Q387" s="17">
        <f>$G387/HSP!$E$3</f>
        <v>0.19920830960902211</v>
      </c>
      <c r="R387" s="17">
        <f>$H387/HSP!$E$4</f>
        <v>0.20013444316352502</v>
      </c>
      <c r="S387" s="17">
        <f>$I387/HSP!$E$5</f>
        <v>0.56370453285590993</v>
      </c>
      <c r="T387" s="17">
        <f>$J387/HSP!$E$6</f>
        <v>0.18389056913581192</v>
      </c>
      <c r="U387" s="18" t="s">
        <v>445</v>
      </c>
      <c r="V387" s="12"/>
      <c r="W387" s="12"/>
      <c r="X387" s="12"/>
      <c r="Y387" s="12"/>
      <c r="Z387" s="12"/>
    </row>
    <row r="388" spans="1:26" ht="15" customHeight="1" x14ac:dyDescent="0.3">
      <c r="A388" s="26" t="s">
        <v>870</v>
      </c>
      <c r="B388" s="17">
        <v>24.4</v>
      </c>
      <c r="C388" s="17">
        <v>4.9000000000000004</v>
      </c>
      <c r="D388" s="17">
        <v>9.9</v>
      </c>
      <c r="E388" s="17">
        <v>22.7</v>
      </c>
      <c r="F388" s="17">
        <f>SQRT((4*(HSP!$B$2-$B388)^2+(HSP!$C$2-$C388)^2+(HSP!$D$2-$D388)^2))</f>
        <v>20.581545131500697</v>
      </c>
      <c r="G388" s="17">
        <f>SQRT((4*(HSP!$B$3-$B388)^2+(HSP!$C$3-$C388)^2+(HSP!$D$3-$D388)^2))</f>
        <v>18.513789455430238</v>
      </c>
      <c r="H388" s="17">
        <f>SQRT((4*(HSP!$B$4-$B388)^2+(HSP!$C$4-$C388)^2+(HSP!$D$4-$D388)^2))</f>
        <v>18.719775639681153</v>
      </c>
      <c r="I388" s="17">
        <f>SQRT((4*(HSP!$B$5-$B388)^2+(HSP!$C$5-$C388)^2+(HSP!$D$5-$D388)^2))</f>
        <v>19.890723968724718</v>
      </c>
      <c r="J388" s="17">
        <f>SQRT((4*(HSP!$B$6-$B388)^2+(HSP!$C$6-$C388)^2+(HSP!$D$6-$D388)^2))</f>
        <v>19.296916852181333</v>
      </c>
      <c r="K388" s="17">
        <f t="shared" si="0"/>
        <v>0.90667599698240953</v>
      </c>
      <c r="L388" s="17">
        <f t="shared" si="1"/>
        <v>0.81558543856520882</v>
      </c>
      <c r="M388" s="17">
        <f t="shared" si="2"/>
        <v>0.8246597198097424</v>
      </c>
      <c r="N388" s="17">
        <f t="shared" si="3"/>
        <v>0.87624334663985548</v>
      </c>
      <c r="O388" s="17">
        <f t="shared" si="4"/>
        <v>0.8500844428273715</v>
      </c>
      <c r="P388" s="17">
        <f>$F388/HSP!$E$2</f>
        <v>1.2626714804601653</v>
      </c>
      <c r="Q388" s="17">
        <f>$G388/HSP!$E$3</f>
        <v>1.371391811513351</v>
      </c>
      <c r="R388" s="17">
        <f>$H388/HSP!$E$4</f>
        <v>1.1773443798541605</v>
      </c>
      <c r="S388" s="17">
        <f>$I388/HSP!$E$5</f>
        <v>1.4518776619507094</v>
      </c>
      <c r="T388" s="17">
        <f>$J388/HSP!$E$6</f>
        <v>1.3038457332554954</v>
      </c>
      <c r="U388" s="18" t="s">
        <v>452</v>
      </c>
      <c r="V388" s="12"/>
      <c r="W388" s="12"/>
      <c r="X388" s="12"/>
      <c r="Y388" s="12"/>
      <c r="Z388" s="12"/>
    </row>
    <row r="389" spans="1:26" ht="15" customHeight="1" x14ac:dyDescent="0.3">
      <c r="A389" s="26" t="s">
        <v>871</v>
      </c>
      <c r="B389" s="17">
        <v>18.7</v>
      </c>
      <c r="C389" s="17">
        <v>9.6999999999999993</v>
      </c>
      <c r="D389" s="17">
        <v>7.7</v>
      </c>
      <c r="E389" s="17">
        <v>6.4</v>
      </c>
      <c r="F389" s="17">
        <f>SQRT((4*(HSP!$B$2-$B389)^2+(HSP!$C$2-$C389)^2+(HSP!$D$2-$D389)^2))</f>
        <v>8.2665591390856203</v>
      </c>
      <c r="G389" s="17">
        <f>SQRT((4*(HSP!$B$3-$B389)^2+(HSP!$C$3-$C389)^2+(HSP!$D$3-$D389)^2))</f>
        <v>6.3068534151349986</v>
      </c>
      <c r="H389" s="17">
        <f>SQRT((4*(HSP!$B$4-$B389)^2+(HSP!$C$4-$C389)^2+(HSP!$D$4-$D389)^2))</f>
        <v>8.7094201873603492</v>
      </c>
      <c r="I389" s="17">
        <f>SQRT((4*(HSP!$B$5-$B389)^2+(HSP!$C$5-$C389)^2+(HSP!$D$5-$D389)^2))</f>
        <v>8.1616726226919933</v>
      </c>
      <c r="J389" s="17">
        <f>SQRT((4*(HSP!$B$6-$B389)^2+(HSP!$C$6-$C389)^2+(HSP!$D$6-$D389)^2))</f>
        <v>8.5190961961935834</v>
      </c>
      <c r="K389" s="17">
        <f t="shared" si="0"/>
        <v>1.291649865482128</v>
      </c>
      <c r="L389" s="17">
        <f t="shared" si="1"/>
        <v>0.98544584611484354</v>
      </c>
      <c r="M389" s="17">
        <f t="shared" si="2"/>
        <v>1.3608469042750544</v>
      </c>
      <c r="N389" s="17">
        <f t="shared" si="3"/>
        <v>1.2752613472956238</v>
      </c>
      <c r="O389" s="17">
        <f t="shared" si="4"/>
        <v>1.3311087806552473</v>
      </c>
      <c r="P389" s="17">
        <f>$F389/HSP!$E$2</f>
        <v>0.50715086742856563</v>
      </c>
      <c r="Q389" s="17">
        <f>$G389/HSP!$E$3</f>
        <v>0.46717432704703693</v>
      </c>
      <c r="R389" s="17">
        <f>$H389/HSP!$E$4</f>
        <v>0.54776227593461313</v>
      </c>
      <c r="S389" s="17">
        <f>$I389/HSP!$E$5</f>
        <v>0.59574252720379517</v>
      </c>
      <c r="T389" s="17">
        <f>$J389/HSP!$E$6</f>
        <v>0.57561460785091778</v>
      </c>
      <c r="U389" s="18" t="s">
        <v>872</v>
      </c>
      <c r="V389" s="12"/>
      <c r="W389" s="12"/>
      <c r="X389" s="12"/>
      <c r="Y389" s="12"/>
      <c r="Z389" s="12"/>
    </row>
    <row r="390" spans="1:26" ht="15" customHeight="1" x14ac:dyDescent="0.3">
      <c r="A390" s="26" t="s">
        <v>873</v>
      </c>
      <c r="B390" s="17">
        <v>17.600000000000001</v>
      </c>
      <c r="C390" s="17">
        <v>9.1</v>
      </c>
      <c r="D390" s="17">
        <v>7.8</v>
      </c>
      <c r="E390" s="17">
        <v>3.9</v>
      </c>
      <c r="F390" s="17">
        <f>SQRT((4*(HSP!$B$2-$B390)^2+(HSP!$C$2-$C390)^2+(HSP!$D$2-$D390)^2))</f>
        <v>6.2066093803299758</v>
      </c>
      <c r="G390" s="17">
        <f>SQRT((4*(HSP!$B$3-$B390)^2+(HSP!$C$3-$C390)^2+(HSP!$D$3-$D390)^2))</f>
        <v>4.3389399627097891</v>
      </c>
      <c r="H390" s="17">
        <f>SQRT((4*(HSP!$B$4-$B390)^2+(HSP!$C$4-$C390)^2+(HSP!$D$4-$D390)^2))</f>
        <v>6.6449981188861171</v>
      </c>
      <c r="I390" s="17">
        <f>SQRT((4*(HSP!$B$5-$B390)^2+(HSP!$C$5-$C390)^2+(HSP!$D$5-$D390)^2))</f>
        <v>6.6795883106670608</v>
      </c>
      <c r="J390" s="17">
        <f>SQRT((4*(HSP!$B$6-$B390)^2+(HSP!$C$6-$C390)^2+(HSP!$D$6-$D390)^2))</f>
        <v>6.666858330578207</v>
      </c>
      <c r="K390" s="17">
        <f t="shared" si="0"/>
        <v>1.5914383026487118</v>
      </c>
      <c r="L390" s="17">
        <f t="shared" si="1"/>
        <v>1.1125487083871255</v>
      </c>
      <c r="M390" s="17">
        <f t="shared" si="2"/>
        <v>1.7038456715092609</v>
      </c>
      <c r="N390" s="17">
        <f t="shared" si="3"/>
        <v>1.7127149514530926</v>
      </c>
      <c r="O390" s="17">
        <f t="shared" si="4"/>
        <v>1.709450853994412</v>
      </c>
      <c r="P390" s="17">
        <f>$F390/HSP!$E$2</f>
        <v>0.38077358161533592</v>
      </c>
      <c r="Q390" s="17">
        <f>$G390/HSP!$E$3</f>
        <v>0.32140296020072512</v>
      </c>
      <c r="R390" s="17">
        <f>$H390/HSP!$E$4</f>
        <v>0.41792440999283753</v>
      </c>
      <c r="S390" s="17">
        <f>$I390/HSP!$E$5</f>
        <v>0.48756119055963948</v>
      </c>
      <c r="T390" s="17">
        <f>$J390/HSP!$E$6</f>
        <v>0.45046340071474367</v>
      </c>
      <c r="U390" s="18" t="s">
        <v>452</v>
      </c>
      <c r="V390" s="12"/>
      <c r="W390" s="12"/>
      <c r="X390" s="12"/>
      <c r="Y390" s="12"/>
      <c r="Z390" s="12"/>
    </row>
    <row r="391" spans="1:26" ht="15" customHeight="1" x14ac:dyDescent="0.3">
      <c r="A391" s="26" t="s">
        <v>874</v>
      </c>
      <c r="B391" s="17">
        <v>20.399999999999999</v>
      </c>
      <c r="C391" s="17">
        <v>10</v>
      </c>
      <c r="D391" s="17">
        <v>10.199999999999999</v>
      </c>
      <c r="E391" s="17">
        <v>7.6</v>
      </c>
      <c r="F391" s="17">
        <f>SQRT((4*(HSP!$B$2-$B391)^2+(HSP!$C$2-$C391)^2+(HSP!$D$2-$D391)^2))</f>
        <v>12.047406359876799</v>
      </c>
      <c r="G391" s="17">
        <f>SQRT((4*(HSP!$B$3-$B391)^2+(HSP!$C$3-$C391)^2+(HSP!$D$3-$D391)^2))</f>
        <v>10.394055993691778</v>
      </c>
      <c r="H391" s="17">
        <f>SQRT((4*(HSP!$B$4-$B391)^2+(HSP!$C$4-$C391)^2+(HSP!$D$4-$D391)^2))</f>
        <v>12.21777393799705</v>
      </c>
      <c r="I391" s="17">
        <f>SQRT((4*(HSP!$B$5-$B391)^2+(HSP!$C$5-$C391)^2+(HSP!$D$5-$D391)^2))</f>
        <v>10.639497168569573</v>
      </c>
      <c r="J391" s="17">
        <f>SQRT((4*(HSP!$B$6-$B391)^2+(HSP!$C$6-$C391)^2+(HSP!$D$6-$D391)^2))</f>
        <v>12.583123618561487</v>
      </c>
      <c r="K391" s="17">
        <f t="shared" si="0"/>
        <v>1.5851850473522104</v>
      </c>
      <c r="L391" s="17">
        <f t="shared" si="1"/>
        <v>1.3676389465383918</v>
      </c>
      <c r="M391" s="17">
        <f t="shared" si="2"/>
        <v>1.6076018339469804</v>
      </c>
      <c r="N391" s="17">
        <f t="shared" si="3"/>
        <v>1.3999338379696806</v>
      </c>
      <c r="O391" s="17">
        <f t="shared" si="4"/>
        <v>1.6556741603370377</v>
      </c>
      <c r="P391" s="17">
        <f>$F391/HSP!$E$2</f>
        <v>0.73910468465501833</v>
      </c>
      <c r="Q391" s="17">
        <f>$G391/HSP!$E$3</f>
        <v>0.76993007360679833</v>
      </c>
      <c r="R391" s="17">
        <f>$H391/HSP!$E$4</f>
        <v>0.7684134552199402</v>
      </c>
      <c r="S391" s="17">
        <f>$I391/HSP!$E$5</f>
        <v>0.77660563274230465</v>
      </c>
      <c r="T391" s="17">
        <f>$J391/HSP!$E$6</f>
        <v>0.85021105530820851</v>
      </c>
      <c r="U391" s="18" t="s">
        <v>464</v>
      </c>
      <c r="V391" s="12"/>
      <c r="W391" s="12"/>
      <c r="X391" s="12"/>
      <c r="Y391" s="12"/>
      <c r="Z391" s="12"/>
    </row>
    <row r="392" spans="1:26" ht="15" customHeight="1" x14ac:dyDescent="0.3">
      <c r="A392" s="26" t="s">
        <v>875</v>
      </c>
      <c r="B392" s="17">
        <v>16</v>
      </c>
      <c r="C392" s="17">
        <v>4</v>
      </c>
      <c r="D392" s="17">
        <v>12</v>
      </c>
      <c r="E392" s="17">
        <v>14</v>
      </c>
      <c r="F392" s="17">
        <f>SQRT((4*(HSP!$B$2-$B392)^2+(HSP!$C$2-$C392)^2+(HSP!$D$2-$D392)^2))</f>
        <v>8.6470804321458701</v>
      </c>
      <c r="G392" s="17">
        <f>SQRT((4*(HSP!$B$3-$B392)^2+(HSP!$C$3-$C392)^2+(HSP!$D$3-$D392)^2))</f>
        <v>8.4031184687590841</v>
      </c>
      <c r="H392" s="17">
        <f>SQRT((4*(HSP!$B$4-$B392)^2+(HSP!$C$4-$C392)^2+(HSP!$D$4-$D392)^2))</f>
        <v>5.5007272246494825</v>
      </c>
      <c r="I392" s="17">
        <f>SQRT((4*(HSP!$B$5-$B392)^2+(HSP!$C$5-$C392)^2+(HSP!$D$5-$D392)^2))</f>
        <v>8.905891308566483</v>
      </c>
      <c r="J392" s="17">
        <f>SQRT((4*(HSP!$B$6-$B392)^2+(HSP!$C$6-$C392)^2+(HSP!$D$6-$D392)^2))</f>
        <v>8.6289628577251385</v>
      </c>
      <c r="K392" s="17">
        <f t="shared" si="0"/>
        <v>0.61764860229613361</v>
      </c>
      <c r="L392" s="17">
        <f t="shared" si="1"/>
        <v>0.60022274776850604</v>
      </c>
      <c r="M392" s="17">
        <f t="shared" si="2"/>
        <v>0.39290908747496306</v>
      </c>
      <c r="N392" s="17">
        <f t="shared" si="3"/>
        <v>0.63613509346903452</v>
      </c>
      <c r="O392" s="17">
        <f t="shared" si="4"/>
        <v>0.61635448983750984</v>
      </c>
      <c r="P392" s="17">
        <f>$F392/HSP!$E$2</f>
        <v>0.53049573203348899</v>
      </c>
      <c r="Q392" s="17">
        <f>$G392/HSP!$E$3</f>
        <v>0.62245321990808034</v>
      </c>
      <c r="R392" s="17">
        <f>$H392/HSP!$E$4</f>
        <v>0.34595768708487312</v>
      </c>
      <c r="S392" s="17">
        <f>$I392/HSP!$E$5</f>
        <v>0.65006505901945133</v>
      </c>
      <c r="T392" s="17">
        <f>$J392/HSP!$E$6</f>
        <v>0.58303803092737416</v>
      </c>
      <c r="U392" s="18" t="s">
        <v>452</v>
      </c>
      <c r="V392" s="12"/>
      <c r="W392" s="12"/>
      <c r="X392" s="12"/>
      <c r="Y392" s="12"/>
      <c r="Z392" s="12"/>
    </row>
    <row r="393" spans="1:26" ht="15" customHeight="1" x14ac:dyDescent="0.3">
      <c r="A393" s="26" t="s">
        <v>876</v>
      </c>
      <c r="B393" s="17">
        <v>17.399999999999999</v>
      </c>
      <c r="C393" s="17">
        <v>13.7</v>
      </c>
      <c r="D393" s="17">
        <v>11.3</v>
      </c>
      <c r="E393" s="17">
        <v>2</v>
      </c>
      <c r="F393" s="17">
        <f>SQRT((4*(HSP!$B$2-$B393)^2+(HSP!$C$2-$C393)^2+(HSP!$D$2-$D393)^2))</f>
        <v>7.7794601355106874</v>
      </c>
      <c r="G393" s="17">
        <f>SQRT((4*(HSP!$B$3-$B393)^2+(HSP!$C$3-$C393)^2+(HSP!$D$3-$D393)^2))</f>
        <v>7.6189500588991912</v>
      </c>
      <c r="H393" s="17">
        <f>SQRT((4*(HSP!$B$4-$B393)^2+(HSP!$C$4-$C393)^2+(HSP!$D$4-$D393)^2))</f>
        <v>11.022794563993289</v>
      </c>
      <c r="I393" s="17">
        <f>SQRT((4*(HSP!$B$5-$B393)^2+(HSP!$C$5-$C393)^2+(HSP!$D$5-$D393)^2))</f>
        <v>4.3869009562560199</v>
      </c>
      <c r="J393" s="17">
        <f>SQRT((4*(HSP!$B$6-$B393)^2+(HSP!$C$6-$C393)^2+(HSP!$D$6-$D393)^2))</f>
        <v>11.247355244678635</v>
      </c>
      <c r="K393" s="17">
        <f t="shared" si="0"/>
        <v>3.8897300677553437</v>
      </c>
      <c r="L393" s="17">
        <f t="shared" si="1"/>
        <v>3.8094750294495956</v>
      </c>
      <c r="M393" s="17">
        <f t="shared" si="2"/>
        <v>5.5113972819966444</v>
      </c>
      <c r="N393" s="17">
        <f t="shared" si="3"/>
        <v>2.19345047812801</v>
      </c>
      <c r="O393" s="17">
        <f t="shared" si="4"/>
        <v>5.6236776223393177</v>
      </c>
      <c r="P393" s="17">
        <f>$F393/HSP!$E$2</f>
        <v>0.47726749297611576</v>
      </c>
      <c r="Q393" s="17">
        <f>$G393/HSP!$E$3</f>
        <v>0.56436667102956972</v>
      </c>
      <c r="R393" s="17">
        <f>$H393/HSP!$E$4</f>
        <v>0.69325751974800554</v>
      </c>
      <c r="S393" s="17">
        <f>$I393/HSP!$E$5</f>
        <v>0.32021174863182628</v>
      </c>
      <c r="T393" s="17">
        <f>$J393/HSP!$E$6</f>
        <v>0.75995643545125913</v>
      </c>
      <c r="U393" s="18" t="s">
        <v>471</v>
      </c>
      <c r="V393" s="12"/>
      <c r="W393" s="12"/>
      <c r="X393" s="12"/>
      <c r="Y393" s="12"/>
      <c r="Z393" s="12"/>
    </row>
    <row r="394" spans="1:26" ht="15" customHeight="1" x14ac:dyDescent="0.3">
      <c r="A394" s="26" t="s">
        <v>877</v>
      </c>
      <c r="B394" s="17">
        <v>16</v>
      </c>
      <c r="C394" s="17">
        <v>1</v>
      </c>
      <c r="D394" s="17">
        <v>8</v>
      </c>
      <c r="E394" s="17">
        <v>10</v>
      </c>
      <c r="F394" s="17">
        <f>SQRT((4*(HSP!$B$2-$B394)^2+(HSP!$C$2-$C394)^2+(HSP!$D$2-$D394)^2))</f>
        <v>9.9182659774781214</v>
      </c>
      <c r="G394" s="17">
        <f>SQRT((4*(HSP!$B$3-$B394)^2+(HSP!$C$3-$C394)^2+(HSP!$D$3-$D394)^2))</f>
        <v>8.9516702352130899</v>
      </c>
      <c r="H394" s="17">
        <f>SQRT((4*(HSP!$B$4-$B394)^2+(HSP!$C$4-$C394)^2+(HSP!$D$4-$D394)^2))</f>
        <v>4.2116505078175708</v>
      </c>
      <c r="I394" s="17">
        <f>SQRT((4*(HSP!$B$5-$B394)^2+(HSP!$C$5-$C394)^2+(HSP!$D$5-$D394)^2))</f>
        <v>12.168603042255919</v>
      </c>
      <c r="J394" s="17">
        <f>SQRT((4*(HSP!$B$6-$B394)^2+(HSP!$C$6-$C394)^2+(HSP!$D$6-$D394)^2))</f>
        <v>6.9884905380203524</v>
      </c>
      <c r="K394" s="17">
        <f t="shared" si="0"/>
        <v>0.99182659774781212</v>
      </c>
      <c r="L394" s="17">
        <f t="shared" si="1"/>
        <v>0.89516702352130895</v>
      </c>
      <c r="M394" s="17">
        <f t="shared" si="2"/>
        <v>0.42116505078175709</v>
      </c>
      <c r="N394" s="17">
        <f t="shared" si="3"/>
        <v>1.2168603042255919</v>
      </c>
      <c r="O394" s="17">
        <f t="shared" si="4"/>
        <v>0.69884905380203521</v>
      </c>
      <c r="P394" s="17">
        <f>$F394/HSP!$E$2</f>
        <v>0.60848257530540617</v>
      </c>
      <c r="Q394" s="17">
        <f>$G394/HSP!$E$3</f>
        <v>0.66308668408985849</v>
      </c>
      <c r="R394" s="17">
        <f>$H394/HSP!$E$4</f>
        <v>0.26488367973695415</v>
      </c>
      <c r="S394" s="17">
        <f>$I394/HSP!$E$5</f>
        <v>0.8882192001646656</v>
      </c>
      <c r="T394" s="17">
        <f>$J394/HSP!$E$6</f>
        <v>0.47219530662299675</v>
      </c>
      <c r="U394" s="18" t="s">
        <v>518</v>
      </c>
      <c r="V394" s="12"/>
      <c r="W394" s="12"/>
      <c r="X394" s="12"/>
      <c r="Y394" s="12"/>
      <c r="Z394" s="12"/>
    </row>
    <row r="395" spans="1:26" ht="15" customHeight="1" x14ac:dyDescent="0.3">
      <c r="A395" s="26" t="s">
        <v>878</v>
      </c>
      <c r="B395" s="17">
        <v>17</v>
      </c>
      <c r="C395" s="17">
        <v>9</v>
      </c>
      <c r="D395" s="17">
        <v>18</v>
      </c>
      <c r="E395" s="17">
        <v>4</v>
      </c>
      <c r="F395" s="17">
        <f>SQRT((4*(HSP!$B$2-$B395)^2+(HSP!$C$2-$C395)^2+(HSP!$D$2-$D395)^2))</f>
        <v>12.108344230323153</v>
      </c>
      <c r="G395" s="17">
        <f>SQRT((4*(HSP!$B$3-$B395)^2+(HSP!$C$3-$C395)^2+(HSP!$D$3-$D395)^2))</f>
        <v>12.476073100138521</v>
      </c>
      <c r="H395" s="17">
        <f>SQRT((4*(HSP!$B$4-$B395)^2+(HSP!$C$4-$C395)^2+(HSP!$D$4-$D395)^2))</f>
        <v>12.549820715850883</v>
      </c>
      <c r="I395" s="17">
        <f>SQRT((4*(HSP!$B$5-$B395)^2+(HSP!$C$5-$C395)^2+(HSP!$D$5-$D395)^2))</f>
        <v>8.7060266482477537</v>
      </c>
      <c r="J395" s="17">
        <f>SQRT((4*(HSP!$B$6-$B395)^2+(HSP!$C$6-$C395)^2+(HSP!$D$6-$D395)^2))</f>
        <v>14.791855867334565</v>
      </c>
      <c r="K395" s="17">
        <f t="shared" si="0"/>
        <v>3.0270860575807883</v>
      </c>
      <c r="L395" s="17">
        <f t="shared" si="1"/>
        <v>3.1190182750346302</v>
      </c>
      <c r="M395" s="17">
        <f t="shared" si="2"/>
        <v>3.1374551789627207</v>
      </c>
      <c r="N395" s="17">
        <f t="shared" si="3"/>
        <v>2.1765066620619384</v>
      </c>
      <c r="O395" s="17">
        <f t="shared" si="4"/>
        <v>3.6979639668336413</v>
      </c>
      <c r="P395" s="17">
        <f>$F395/HSP!$E$2</f>
        <v>0.74284320431430384</v>
      </c>
      <c r="Q395" s="17">
        <f>$G395/HSP!$E$3</f>
        <v>0.92415356297322382</v>
      </c>
      <c r="R395" s="17">
        <f>$H395/HSP!$E$4</f>
        <v>0.78929690036798006</v>
      </c>
      <c r="S395" s="17">
        <f>$I395/HSP!$E$5</f>
        <v>0.63547639768231778</v>
      </c>
      <c r="T395" s="17">
        <f>$J395/HSP!$E$6</f>
        <v>0.99944972076584893</v>
      </c>
      <c r="U395" s="18" t="s">
        <v>518</v>
      </c>
      <c r="V395" s="12"/>
      <c r="W395" s="12"/>
      <c r="X395" s="12"/>
      <c r="Y395" s="12"/>
      <c r="Z395" s="12"/>
    </row>
    <row r="396" spans="1:26" ht="15" customHeight="1" x14ac:dyDescent="0.3">
      <c r="A396" s="26" t="s">
        <v>879</v>
      </c>
      <c r="B396" s="17">
        <v>17.600000000000001</v>
      </c>
      <c r="C396" s="17">
        <v>8.6</v>
      </c>
      <c r="D396" s="17">
        <v>6.4</v>
      </c>
      <c r="E396" s="17">
        <v>10.9</v>
      </c>
      <c r="F396" s="17">
        <f>SQRT((4*(HSP!$B$2-$B396)^2+(HSP!$C$2-$C396)^2+(HSP!$D$2-$D396)^2))</f>
        <v>6.3084070889567707</v>
      </c>
      <c r="G396" s="17">
        <f>SQRT((4*(HSP!$B$3-$B396)^2+(HSP!$C$3-$C396)^2+(HSP!$D$3-$D396)^2))</f>
        <v>4.006544645951176</v>
      </c>
      <c r="H396" s="17">
        <f>SQRT((4*(HSP!$B$4-$B396)^2+(HSP!$C$4-$C396)^2+(HSP!$D$4-$D396)^2))</f>
        <v>6.2566764340183063</v>
      </c>
      <c r="I396" s="17">
        <f>SQRT((4*(HSP!$B$5-$B396)^2+(HSP!$C$5-$C396)^2+(HSP!$D$5-$D396)^2))</f>
        <v>7.6948619220880135</v>
      </c>
      <c r="J396" s="17">
        <f>SQRT((4*(HSP!$B$6-$B396)^2+(HSP!$C$6-$C396)^2+(HSP!$D$6-$D396)^2))</f>
        <v>5.7382052943407347</v>
      </c>
      <c r="K396" s="17">
        <f t="shared" si="0"/>
        <v>0.57875294394098808</v>
      </c>
      <c r="L396" s="17">
        <f t="shared" si="1"/>
        <v>0.36757290329827302</v>
      </c>
      <c r="M396" s="17">
        <f t="shared" si="2"/>
        <v>0.57400701229525741</v>
      </c>
      <c r="N396" s="17">
        <f t="shared" si="3"/>
        <v>0.70595063505394617</v>
      </c>
      <c r="O396" s="17">
        <f t="shared" si="4"/>
        <v>0.52644085269181051</v>
      </c>
      <c r="P396" s="17">
        <f>$F396/HSP!$E$2</f>
        <v>0.38701883981329882</v>
      </c>
      <c r="Q396" s="17">
        <f>$G396/HSP!$E$3</f>
        <v>0.29678108488527227</v>
      </c>
      <c r="R396" s="17">
        <f>$H396/HSP!$E$4</f>
        <v>0.39350166251687463</v>
      </c>
      <c r="S396" s="17">
        <f>$I396/HSP!$E$5</f>
        <v>0.56166875343708134</v>
      </c>
      <c r="T396" s="17">
        <f>$J396/HSP!$E$6</f>
        <v>0.38771657394194153</v>
      </c>
      <c r="U396" s="18" t="s">
        <v>518</v>
      </c>
      <c r="V396" s="12"/>
      <c r="W396" s="12"/>
      <c r="X396" s="12"/>
      <c r="Y396" s="12"/>
      <c r="Z396" s="12"/>
    </row>
    <row r="397" spans="1:26" ht="15" customHeight="1" x14ac:dyDescent="0.3">
      <c r="A397" s="26" t="s">
        <v>880</v>
      </c>
      <c r="B397" s="17">
        <v>16.8</v>
      </c>
      <c r="C397" s="17">
        <v>11.8</v>
      </c>
      <c r="D397" s="17">
        <v>11.6</v>
      </c>
      <c r="E397" s="17">
        <v>17</v>
      </c>
      <c r="F397" s="17">
        <f>SQRT((4*(HSP!$B$2-$B397)^2+(HSP!$C$2-$C397)^2+(HSP!$D$2-$D397)^2))</f>
        <v>6.51920240520265</v>
      </c>
      <c r="G397" s="17">
        <f>SQRT((4*(HSP!$B$3-$B397)^2+(HSP!$C$3-$C397)^2+(HSP!$D$3-$D397)^2))</f>
        <v>6.5510609827721806</v>
      </c>
      <c r="H397" s="17">
        <f>SQRT((4*(HSP!$B$4-$B397)^2+(HSP!$C$4-$C397)^2+(HSP!$D$4-$D397)^2))</f>
        <v>9.1848788778078081</v>
      </c>
      <c r="I397" s="17">
        <f>SQRT((4*(HSP!$B$5-$B397)^2+(HSP!$C$5-$C397)^2+(HSP!$D$5-$D397)^2))</f>
        <v>3.2647970840467271</v>
      </c>
      <c r="J397" s="17">
        <f>SQRT((4*(HSP!$B$6-$B397)^2+(HSP!$C$6-$C397)^2+(HSP!$D$6-$D397)^2))</f>
        <v>9.9127695423630247</v>
      </c>
      <c r="K397" s="17">
        <f t="shared" si="0"/>
        <v>0.38348249442368532</v>
      </c>
      <c r="L397" s="17">
        <f t="shared" si="1"/>
        <v>0.38535652839836354</v>
      </c>
      <c r="M397" s="17">
        <f t="shared" si="2"/>
        <v>0.54028699281222403</v>
      </c>
      <c r="N397" s="17">
        <f t="shared" si="3"/>
        <v>0.19204688729686631</v>
      </c>
      <c r="O397" s="17">
        <f t="shared" si="4"/>
        <v>0.58310409072723679</v>
      </c>
      <c r="P397" s="17">
        <f>$F397/HSP!$E$2</f>
        <v>0.39995106780384354</v>
      </c>
      <c r="Q397" s="17">
        <f>$G397/HSP!$E$3</f>
        <v>0.48526377650164298</v>
      </c>
      <c r="R397" s="17">
        <f>$H397/HSP!$E$4</f>
        <v>0.57766533822690613</v>
      </c>
      <c r="S397" s="17">
        <f>$I397/HSP!$E$5</f>
        <v>0.23830635649976112</v>
      </c>
      <c r="T397" s="17">
        <f>$J397/HSP!$E$6</f>
        <v>0.66978172583533946</v>
      </c>
      <c r="U397" s="18" t="s">
        <v>464</v>
      </c>
      <c r="V397" s="12"/>
      <c r="W397" s="12"/>
      <c r="X397" s="12"/>
      <c r="Y397" s="12"/>
      <c r="Z397" s="12"/>
    </row>
    <row r="398" spans="1:26" ht="15" customHeight="1" x14ac:dyDescent="0.3">
      <c r="A398" s="26" t="s">
        <v>881</v>
      </c>
      <c r="B398" s="17">
        <v>17.899999999999999</v>
      </c>
      <c r="C398" s="17">
        <v>13.3</v>
      </c>
      <c r="D398" s="17">
        <v>10.7</v>
      </c>
      <c r="E398" s="17">
        <v>17.100000000000001</v>
      </c>
      <c r="F398" s="17">
        <f>SQRT((4*(HSP!$B$2-$B398)^2+(HSP!$C$2-$C398)^2+(HSP!$D$2-$D398)^2))</f>
        <v>8.0909826350079364</v>
      </c>
      <c r="G398" s="17">
        <f>SQRT((4*(HSP!$B$3-$B398)^2+(HSP!$C$3-$C398)^2+(HSP!$D$3-$D398)^2))</f>
        <v>7.523323733563509</v>
      </c>
      <c r="H398" s="17">
        <f>SQRT((4*(HSP!$B$4-$B398)^2+(HSP!$C$4-$C398)^2+(HSP!$D$4-$D398)^2))</f>
        <v>10.923644080617052</v>
      </c>
      <c r="I398" s="17">
        <f>SQRT((4*(HSP!$B$5-$B398)^2+(HSP!$C$5-$C398)^2+(HSP!$D$5-$D398)^2))</f>
        <v>5.2968764380529008</v>
      </c>
      <c r="J398" s="17">
        <f>SQRT((4*(HSP!$B$6-$B398)^2+(HSP!$C$6-$C398)^2+(HSP!$D$6-$D398)^2))</f>
        <v>11.035714748035126</v>
      </c>
      <c r="K398" s="17">
        <f t="shared" si="0"/>
        <v>0.47315687924023014</v>
      </c>
      <c r="L398" s="17">
        <f t="shared" si="1"/>
        <v>0.43996045225517594</v>
      </c>
      <c r="M398" s="17">
        <f t="shared" si="2"/>
        <v>0.6388095953577223</v>
      </c>
      <c r="N398" s="17">
        <f t="shared" si="3"/>
        <v>0.3097588560264854</v>
      </c>
      <c r="O398" s="17">
        <f t="shared" si="4"/>
        <v>0.64536343555760967</v>
      </c>
      <c r="P398" s="17">
        <f>$F398/HSP!$E$2</f>
        <v>0.49637930276122305</v>
      </c>
      <c r="Q398" s="17">
        <f>$G398/HSP!$E$3</f>
        <v>0.5572832395232229</v>
      </c>
      <c r="R398" s="17">
        <f>$H398/HSP!$E$4</f>
        <v>0.6870216402903806</v>
      </c>
      <c r="S398" s="17">
        <f>$I398/HSP!$E$5</f>
        <v>0.38663331664619716</v>
      </c>
      <c r="T398" s="17">
        <f>$J398/HSP!$E$6</f>
        <v>0.74565640189426519</v>
      </c>
      <c r="U398" s="18" t="s">
        <v>882</v>
      </c>
      <c r="V398" s="12"/>
      <c r="W398" s="12"/>
      <c r="X398" s="12"/>
      <c r="Y398" s="12"/>
      <c r="Z398" s="12"/>
    </row>
    <row r="399" spans="1:26" ht="15" customHeight="1" x14ac:dyDescent="0.3">
      <c r="A399" s="26" t="s">
        <v>883</v>
      </c>
      <c r="B399" s="17">
        <v>18</v>
      </c>
      <c r="C399" s="17">
        <v>0</v>
      </c>
      <c r="D399" s="17">
        <v>3</v>
      </c>
      <c r="E399" s="17">
        <v>9</v>
      </c>
      <c r="F399" s="17">
        <f>SQRT((4*(HSP!$B$2-$B399)^2+(HSP!$C$2-$C399)^2+(HSP!$D$2-$D399)^2))</f>
        <v>13.095495408727386</v>
      </c>
      <c r="G399" s="17">
        <f>SQRT((4*(HSP!$B$3-$B399)^2+(HSP!$C$3-$C399)^2+(HSP!$D$3-$D399)^2))</f>
        <v>11.073048360772205</v>
      </c>
      <c r="H399" s="17">
        <f>SQRT((4*(HSP!$B$4-$B399)^2+(HSP!$C$4-$C399)^2+(HSP!$D$4-$D399)^2))</f>
        <v>8.2690991044974176</v>
      </c>
      <c r="I399" s="17">
        <f>SQRT((4*(HSP!$B$5-$B399)^2+(HSP!$C$5-$C399)^2+(HSP!$D$5-$D399)^2))</f>
        <v>15.952896288762114</v>
      </c>
      <c r="J399" s="17">
        <f>SQRT((4*(HSP!$B$6-$B399)^2+(HSP!$C$6-$C399)^2+(HSP!$D$6-$D399)^2))</f>
        <v>8.4781483827543394</v>
      </c>
      <c r="K399" s="17">
        <f t="shared" si="0"/>
        <v>1.455055045414154</v>
      </c>
      <c r="L399" s="17">
        <f t="shared" si="1"/>
        <v>1.2303387067524671</v>
      </c>
      <c r="M399" s="17">
        <f t="shared" si="2"/>
        <v>0.91878878938860198</v>
      </c>
      <c r="N399" s="17">
        <f t="shared" si="3"/>
        <v>1.7725440320846793</v>
      </c>
      <c r="O399" s="17">
        <f t="shared" si="4"/>
        <v>0.94201648697270435</v>
      </c>
      <c r="P399" s="17">
        <f>$F399/HSP!$E$2</f>
        <v>0.80340462630229359</v>
      </c>
      <c r="Q399" s="17">
        <f>$G399/HSP!$E$3</f>
        <v>0.82022580450164484</v>
      </c>
      <c r="R399" s="17">
        <f>$H399/HSP!$E$4</f>
        <v>0.52006912606902</v>
      </c>
      <c r="S399" s="17">
        <f>$I399/HSP!$E$5</f>
        <v>1.1644449845811762</v>
      </c>
      <c r="T399" s="17">
        <f>$J399/HSP!$E$6</f>
        <v>0.57284786369961749</v>
      </c>
      <c r="U399" s="18" t="s">
        <v>882</v>
      </c>
      <c r="V399" s="12"/>
      <c r="W399" s="12"/>
      <c r="X399" s="12"/>
      <c r="Y399" s="12"/>
      <c r="Z399" s="12"/>
    </row>
    <row r="400" spans="1:26" ht="15" customHeight="1" x14ac:dyDescent="0.3">
      <c r="A400" s="26" t="s">
        <v>884</v>
      </c>
      <c r="B400" s="17">
        <v>14.9</v>
      </c>
      <c r="C400" s="17">
        <v>7.1</v>
      </c>
      <c r="D400" s="17">
        <v>11.1</v>
      </c>
      <c r="E400" s="17">
        <v>12.4</v>
      </c>
      <c r="F400" s="17">
        <f>SQRT((4*(HSP!$B$2-$B400)^2+(HSP!$C$2-$C400)^2+(HSP!$D$2-$D400)^2))</f>
        <v>5.3501401850792663</v>
      </c>
      <c r="G400" s="17">
        <f>SQRT((4*(HSP!$B$3-$B400)^2+(HSP!$C$3-$C400)^2+(HSP!$D$3-$D400)^2))</f>
        <v>6.0768741964927981</v>
      </c>
      <c r="H400" s="17">
        <f>SQRT((4*(HSP!$B$4-$B400)^2+(HSP!$C$4-$C400)^2+(HSP!$D$4-$D400)^2))</f>
        <v>4.9636679985671881</v>
      </c>
      <c r="I400" s="17">
        <f>SQRT((4*(HSP!$B$5-$B400)^2+(HSP!$C$5-$C400)^2+(HSP!$D$5-$D400)^2))</f>
        <v>5.6710581023297593</v>
      </c>
      <c r="J400" s="17">
        <f>SQRT((4*(HSP!$B$6-$B400)^2+(HSP!$C$6-$C400)^2+(HSP!$D$6-$D400)^2))</f>
        <v>7.3184014648009024</v>
      </c>
      <c r="K400" s="17">
        <f t="shared" si="0"/>
        <v>0.43146291815155374</v>
      </c>
      <c r="L400" s="17">
        <f t="shared" si="1"/>
        <v>0.4900704997171611</v>
      </c>
      <c r="M400" s="17">
        <f t="shared" si="2"/>
        <v>0.40029580633606354</v>
      </c>
      <c r="N400" s="17">
        <f t="shared" si="3"/>
        <v>0.45734339534917412</v>
      </c>
      <c r="O400" s="17">
        <f t="shared" si="4"/>
        <v>0.59019366651620175</v>
      </c>
      <c r="P400" s="17">
        <f>$F400/HSP!$E$2</f>
        <v>0.32822945920731694</v>
      </c>
      <c r="Q400" s="17">
        <f>$G400/HSP!$E$3</f>
        <v>0.4501388293698369</v>
      </c>
      <c r="R400" s="17">
        <f>$H400/HSP!$E$4</f>
        <v>0.31218037726837661</v>
      </c>
      <c r="S400" s="17">
        <f>$I400/HSP!$E$5</f>
        <v>0.41394584688538388</v>
      </c>
      <c r="T400" s="17">
        <f>$J400/HSP!$E$6</f>
        <v>0.4944865854595204</v>
      </c>
      <c r="U400" s="18" t="s">
        <v>471</v>
      </c>
      <c r="V400" s="12"/>
      <c r="W400" s="12"/>
      <c r="X400" s="12"/>
      <c r="Y400" s="12"/>
      <c r="Z400" s="12"/>
    </row>
    <row r="401" spans="1:26" ht="15" customHeight="1" x14ac:dyDescent="0.3">
      <c r="A401" s="26" t="s">
        <v>885</v>
      </c>
      <c r="B401" s="17">
        <v>17.5</v>
      </c>
      <c r="C401" s="17">
        <v>6.5</v>
      </c>
      <c r="D401" s="17">
        <v>5.5</v>
      </c>
      <c r="E401" s="17">
        <v>6.3</v>
      </c>
      <c r="F401" s="17">
        <f>SQRT((4*(HSP!$B$2-$B401)^2+(HSP!$C$2-$C401)^2+(HSP!$D$2-$D401)^2))</f>
        <v>7.1771860781228201</v>
      </c>
      <c r="G401" s="17">
        <f>SQRT((4*(HSP!$B$3-$B401)^2+(HSP!$C$3-$C401)^2+(HSP!$D$3-$D401)^2))</f>
        <v>4.8158488348369088</v>
      </c>
      <c r="H401" s="17">
        <f>SQRT((4*(HSP!$B$4-$B401)^2+(HSP!$C$4-$C401)^2+(HSP!$D$4-$D401)^2))</f>
        <v>5.1689457338997089</v>
      </c>
      <c r="I401" s="17">
        <f>SQRT((4*(HSP!$B$5-$B401)^2+(HSP!$C$5-$C401)^2+(HSP!$D$5-$D401)^2))</f>
        <v>9.3842900637181934</v>
      </c>
      <c r="J401" s="17">
        <f>SQRT((4*(HSP!$B$6-$B401)^2+(HSP!$C$6-$C401)^2+(HSP!$D$6-$D401)^2))</f>
        <v>4.7559436497923322</v>
      </c>
      <c r="K401" s="17">
        <f t="shared" si="0"/>
        <v>1.1392358854163207</v>
      </c>
      <c r="L401" s="17">
        <f t="shared" si="1"/>
        <v>0.76442044997411251</v>
      </c>
      <c r="M401" s="17">
        <f t="shared" si="2"/>
        <v>0.82046757680947757</v>
      </c>
      <c r="N401" s="17">
        <f t="shared" si="3"/>
        <v>1.4895698513838402</v>
      </c>
      <c r="O401" s="17">
        <f t="shared" si="4"/>
        <v>0.75491169044322737</v>
      </c>
      <c r="P401" s="17">
        <f>$F401/HSP!$E$2</f>
        <v>0.44031816430201348</v>
      </c>
      <c r="Q401" s="17">
        <f>$G401/HSP!$E$3</f>
        <v>0.35672954332125251</v>
      </c>
      <c r="R401" s="17">
        <f>$H401/HSP!$E$4</f>
        <v>0.32509092666035905</v>
      </c>
      <c r="S401" s="17">
        <f>$I401/HSP!$E$5</f>
        <v>0.68498467618380976</v>
      </c>
      <c r="T401" s="17">
        <f>$J401/HSP!$E$6</f>
        <v>0.32134754390488729</v>
      </c>
      <c r="U401" s="18" t="s">
        <v>784</v>
      </c>
      <c r="V401" s="12"/>
      <c r="W401" s="12"/>
      <c r="X401" s="12"/>
      <c r="Y401" s="12"/>
      <c r="Z401" s="12"/>
    </row>
    <row r="402" spans="1:26" ht="15" customHeight="1" x14ac:dyDescent="0.3">
      <c r="A402" s="26" t="s">
        <v>886</v>
      </c>
      <c r="B402" s="17">
        <v>18</v>
      </c>
      <c r="C402" s="17">
        <v>5</v>
      </c>
      <c r="D402" s="17">
        <v>5</v>
      </c>
      <c r="E402" s="17">
        <v>9</v>
      </c>
      <c r="F402" s="17">
        <f>SQRT((4*(HSP!$B$2-$B402)^2+(HSP!$C$2-$C402)^2+(HSP!$D$2-$D402)^2))</f>
        <v>8.9427065254317739</v>
      </c>
      <c r="G402" s="17">
        <f>SQRT((4*(HSP!$B$3-$B402)^2+(HSP!$C$3-$C402)^2+(HSP!$D$3-$D402)^2))</f>
        <v>6.6130477088858219</v>
      </c>
      <c r="H402" s="17">
        <f>SQRT((4*(HSP!$B$4-$B402)^2+(HSP!$C$4-$C402)^2+(HSP!$D$4-$D402)^2))</f>
        <v>5.9479408201494408</v>
      </c>
      <c r="I402" s="17">
        <f>SQRT((4*(HSP!$B$5-$B402)^2+(HSP!$C$5-$C402)^2+(HSP!$D$5-$D402)^2))</f>
        <v>11.16131264681713</v>
      </c>
      <c r="J402" s="17">
        <f>SQRT((4*(HSP!$B$6-$B402)^2+(HSP!$C$6-$C402)^2+(HSP!$D$6-$D402)^2))</f>
        <v>5.7601215264957739</v>
      </c>
      <c r="K402" s="17">
        <f t="shared" si="0"/>
        <v>0.99363405838130825</v>
      </c>
      <c r="L402" s="17">
        <f t="shared" si="1"/>
        <v>0.7347830787650913</v>
      </c>
      <c r="M402" s="17">
        <f t="shared" si="2"/>
        <v>0.66088231334993786</v>
      </c>
      <c r="N402" s="17">
        <f t="shared" si="3"/>
        <v>1.2401458496463478</v>
      </c>
      <c r="O402" s="17">
        <f t="shared" si="4"/>
        <v>0.64001350294397485</v>
      </c>
      <c r="P402" s="17">
        <f>$F402/HSP!$E$2</f>
        <v>0.54863230217372849</v>
      </c>
      <c r="Q402" s="17">
        <f>$G402/HSP!$E$3</f>
        <v>0.48985538584339422</v>
      </c>
      <c r="R402" s="17">
        <f>$H402/HSP!$E$4</f>
        <v>0.37408432831128557</v>
      </c>
      <c r="S402" s="17">
        <f>$I402/HSP!$E$5</f>
        <v>0.81469435378227228</v>
      </c>
      <c r="T402" s="17">
        <f>$J402/HSP!$E$6</f>
        <v>0.38919740043890361</v>
      </c>
      <c r="U402" s="18" t="s">
        <v>471</v>
      </c>
      <c r="V402" s="12"/>
      <c r="W402" s="12"/>
      <c r="X402" s="12"/>
      <c r="Y402" s="12"/>
      <c r="Z402" s="12"/>
    </row>
    <row r="403" spans="1:26" ht="15" customHeight="1" x14ac:dyDescent="0.3">
      <c r="A403" s="26" t="s">
        <v>887</v>
      </c>
      <c r="B403" s="17">
        <v>28</v>
      </c>
      <c r="C403" s="17">
        <v>14</v>
      </c>
      <c r="D403" s="17">
        <v>3.4</v>
      </c>
      <c r="E403" s="17">
        <v>28.3</v>
      </c>
      <c r="F403" s="17">
        <f>SQRT((4*(HSP!$B$2-$B403)^2+(HSP!$C$2-$C403)^2+(HSP!$D$2-$D403)^2))</f>
        <v>27.268810021707953</v>
      </c>
      <c r="G403" s="17">
        <f>SQRT((4*(HSP!$B$3-$B403)^2+(HSP!$C$3-$C403)^2+(HSP!$D$3-$D403)^2))</f>
        <v>25.116456756477415</v>
      </c>
      <c r="H403" s="17">
        <f>SQRT((4*(HSP!$B$4-$B403)^2+(HSP!$C$4-$C403)^2+(HSP!$D$4-$D403)^2))</f>
        <v>27.511052324474974</v>
      </c>
      <c r="I403" s="17">
        <f>SQRT((4*(HSP!$B$5-$B403)^2+(HSP!$C$5-$C403)^2+(HSP!$D$5-$D403)^2))</f>
        <v>26.581025187151834</v>
      </c>
      <c r="J403" s="17">
        <f>SQRT((4*(HSP!$B$6-$B403)^2+(HSP!$C$6-$C403)^2+(HSP!$D$6-$D403)^2))</f>
        <v>26.565372197656107</v>
      </c>
      <c r="K403" s="17">
        <f t="shared" si="0"/>
        <v>0.96356219157978629</v>
      </c>
      <c r="L403" s="17">
        <f t="shared" si="1"/>
        <v>0.88750730588259419</v>
      </c>
      <c r="M403" s="17">
        <f t="shared" si="2"/>
        <v>0.97212199026413337</v>
      </c>
      <c r="N403" s="17">
        <f t="shared" si="3"/>
        <v>0.93925884053540043</v>
      </c>
      <c r="O403" s="17">
        <f t="shared" si="4"/>
        <v>0.93870573136594015</v>
      </c>
      <c r="P403" s="17">
        <f>$F403/HSP!$E$2</f>
        <v>1.6729331301661321</v>
      </c>
      <c r="Q403" s="17">
        <f>$G403/HSP!$E$3</f>
        <v>1.8604782782575864</v>
      </c>
      <c r="R403" s="17">
        <f>$H403/HSP!$E$4</f>
        <v>1.7302548631745267</v>
      </c>
      <c r="S403" s="17">
        <f>$I403/HSP!$E$5</f>
        <v>1.940220816580426</v>
      </c>
      <c r="T403" s="17">
        <f>$J403/HSP!$E$6</f>
        <v>1.7949575809227098</v>
      </c>
      <c r="U403" s="18" t="s">
        <v>888</v>
      </c>
      <c r="V403" s="12"/>
      <c r="W403" s="12"/>
      <c r="X403" s="12"/>
      <c r="Y403" s="12"/>
      <c r="Z403" s="12"/>
    </row>
    <row r="404" spans="1:26" ht="15" customHeight="1" x14ac:dyDescent="0.3">
      <c r="A404" s="26" t="s">
        <v>889</v>
      </c>
      <c r="B404" s="17">
        <v>22.2</v>
      </c>
      <c r="C404" s="17">
        <v>12.2</v>
      </c>
      <c r="D404" s="17">
        <v>8.6</v>
      </c>
      <c r="E404" s="17">
        <v>15.8</v>
      </c>
      <c r="F404" s="17">
        <f>SQRT((4*(HSP!$B$2-$B404)^2+(HSP!$C$2-$C404)^2+(HSP!$D$2-$D404)^2))</f>
        <v>15.384797691227533</v>
      </c>
      <c r="G404" s="17">
        <f>SQRT((4*(HSP!$B$3-$B404)^2+(HSP!$C$3-$C404)^2+(HSP!$D$3-$D404)^2))</f>
        <v>13.553612064685929</v>
      </c>
      <c r="H404" s="17">
        <f>SQRT((4*(HSP!$B$4-$B404)^2+(HSP!$C$4-$C404)^2+(HSP!$D$4-$D404)^2))</f>
        <v>16.045996385391589</v>
      </c>
      <c r="I404" s="17">
        <f>SQRT((4*(HSP!$B$5-$B404)^2+(HSP!$C$5-$C404)^2+(HSP!$D$5-$D404)^2))</f>
        <v>14.064099686791188</v>
      </c>
      <c r="J404" s="17">
        <f>SQRT((4*(HSP!$B$6-$B404)^2+(HSP!$C$6-$C404)^2+(HSP!$D$6-$D404)^2))</f>
        <v>15.746586931776676</v>
      </c>
      <c r="K404" s="17">
        <f t="shared" si="0"/>
        <v>0.97372137286250204</v>
      </c>
      <c r="L404" s="17">
        <f t="shared" si="1"/>
        <v>0.85782354839784358</v>
      </c>
      <c r="M404" s="17">
        <f t="shared" si="2"/>
        <v>1.0155693914804802</v>
      </c>
      <c r="N404" s="17">
        <f t="shared" si="3"/>
        <v>0.8901328915690625</v>
      </c>
      <c r="O404" s="17">
        <f t="shared" si="4"/>
        <v>0.99661942606181486</v>
      </c>
      <c r="P404" s="17">
        <f>$F404/HSP!$E$2</f>
        <v>0.94385261909371365</v>
      </c>
      <c r="Q404" s="17">
        <f>$G404/HSP!$E$3</f>
        <v>1.0039712640508096</v>
      </c>
      <c r="R404" s="17">
        <f>$H404/HSP!$E$4</f>
        <v>1.0091821626032447</v>
      </c>
      <c r="S404" s="17">
        <f>$I404/HSP!$E$5</f>
        <v>1.0265766194738093</v>
      </c>
      <c r="T404" s="17">
        <f>$J404/HSP!$E$6</f>
        <v>1.063958576471397</v>
      </c>
      <c r="U404" s="18" t="s">
        <v>890</v>
      </c>
      <c r="V404" s="12"/>
      <c r="W404" s="12"/>
      <c r="X404" s="12"/>
      <c r="Y404" s="12"/>
      <c r="Z404" s="12"/>
    </row>
    <row r="405" spans="1:26" ht="15" customHeight="1" x14ac:dyDescent="0.3">
      <c r="A405" s="26" t="s">
        <v>891</v>
      </c>
      <c r="B405" s="17">
        <v>18.7</v>
      </c>
      <c r="C405" s="17">
        <v>6.1</v>
      </c>
      <c r="D405" s="17">
        <v>2.7</v>
      </c>
      <c r="E405" s="17">
        <v>6.6</v>
      </c>
      <c r="F405" s="17">
        <f>SQRT((4*(HSP!$B$2-$B405)^2+(HSP!$C$2-$C405)^2+(HSP!$D$2-$D405)^2))</f>
        <v>10.225849597955174</v>
      </c>
      <c r="G405" s="17">
        <f>SQRT((4*(HSP!$B$3-$B405)^2+(HSP!$C$3-$C405)^2+(HSP!$D$3-$D405)^2))</f>
        <v>7.6582243372729693</v>
      </c>
      <c r="H405" s="17">
        <f>SQRT((4*(HSP!$B$4-$B405)^2+(HSP!$C$4-$C405)^2+(HSP!$D$4-$D405)^2))</f>
        <v>8.286736390159879</v>
      </c>
      <c r="I405" s="17">
        <f>SQRT((4*(HSP!$B$5-$B405)^2+(HSP!$C$5-$C405)^2+(HSP!$D$5-$D405)^2))</f>
        <v>12.59432014838435</v>
      </c>
      <c r="J405" s="17">
        <f>SQRT((4*(HSP!$B$6-$B405)^2+(HSP!$C$6-$C405)^2+(HSP!$D$6-$D405)^2))</f>
        <v>6.9635479462699177</v>
      </c>
      <c r="K405" s="17">
        <f t="shared" si="0"/>
        <v>1.5493711512053294</v>
      </c>
      <c r="L405" s="17">
        <f t="shared" si="1"/>
        <v>1.1603370207989347</v>
      </c>
      <c r="M405" s="17">
        <f t="shared" si="2"/>
        <v>1.2555661197211938</v>
      </c>
      <c r="N405" s="17">
        <f t="shared" si="3"/>
        <v>1.9082303255127804</v>
      </c>
      <c r="O405" s="17">
        <f t="shared" si="4"/>
        <v>1.0550830221621088</v>
      </c>
      <c r="P405" s="17">
        <f>$F405/HSP!$E$2</f>
        <v>0.6273527360708695</v>
      </c>
      <c r="Q405" s="17">
        <f>$G405/HSP!$E$3</f>
        <v>0.56727587683503478</v>
      </c>
      <c r="R405" s="17">
        <f>$H405/HSP!$E$4</f>
        <v>0.52117838931823135</v>
      </c>
      <c r="S405" s="17">
        <f>$I405/HSP!$E$5</f>
        <v>0.91929344148790881</v>
      </c>
      <c r="T405" s="17">
        <f>$J405/HSP!$E$6</f>
        <v>0.47050999636958901</v>
      </c>
      <c r="U405" s="18" t="s">
        <v>890</v>
      </c>
      <c r="V405" s="12"/>
      <c r="W405" s="12"/>
      <c r="X405" s="12"/>
      <c r="Y405" s="12"/>
      <c r="Z405" s="12"/>
    </row>
    <row r="406" spans="1:26" ht="15" customHeight="1" x14ac:dyDescent="0.3">
      <c r="A406" s="26" t="s">
        <v>892</v>
      </c>
      <c r="B406" s="17">
        <v>21.3</v>
      </c>
      <c r="C406" s="17">
        <v>8.1</v>
      </c>
      <c r="D406" s="17">
        <v>6.1</v>
      </c>
      <c r="E406" s="17">
        <v>12</v>
      </c>
      <c r="F406" s="17">
        <f>SQRT((4*(HSP!$B$2-$B406)^2+(HSP!$C$2-$C406)^2+(HSP!$D$2-$D406)^2))</f>
        <v>13.634661711975111</v>
      </c>
      <c r="G406" s="17">
        <f>SQRT((4*(HSP!$B$3-$B406)^2+(HSP!$C$3-$C406)^2+(HSP!$D$3-$D406)^2))</f>
        <v>11.331390029471232</v>
      </c>
      <c r="H406" s="17">
        <f>SQRT((4*(HSP!$B$4-$B406)^2+(HSP!$C$4-$C406)^2+(HSP!$D$4-$D406)^2))</f>
        <v>12.747313442447394</v>
      </c>
      <c r="I406" s="17">
        <f>SQRT((4*(HSP!$B$5-$B406)^2+(HSP!$C$5-$C406)^2+(HSP!$D$5-$D406)^2))</f>
        <v>13.788288508730881</v>
      </c>
      <c r="J406" s="17">
        <f>SQRT((4*(HSP!$B$6-$B406)^2+(HSP!$C$6-$C406)^2+(HSP!$D$6-$D406)^2))</f>
        <v>12.3812358026168</v>
      </c>
      <c r="K406" s="17">
        <f t="shared" si="0"/>
        <v>1.1362218093312593</v>
      </c>
      <c r="L406" s="17">
        <f t="shared" si="1"/>
        <v>0.94428250245593592</v>
      </c>
      <c r="M406" s="17">
        <f t="shared" si="2"/>
        <v>1.0622761202039495</v>
      </c>
      <c r="N406" s="17">
        <f t="shared" si="3"/>
        <v>1.1490240423942402</v>
      </c>
      <c r="O406" s="17">
        <f t="shared" si="4"/>
        <v>1.0317696502180667</v>
      </c>
      <c r="P406" s="17">
        <f>$F406/HSP!$E$2</f>
        <v>0.83648231361810499</v>
      </c>
      <c r="Q406" s="17">
        <f>$G406/HSP!$E$3</f>
        <v>0.83936222440527641</v>
      </c>
      <c r="R406" s="17">
        <f>$H406/HSP!$E$4</f>
        <v>0.80171782656901847</v>
      </c>
      <c r="S406" s="17">
        <f>$I406/HSP!$E$5</f>
        <v>1.0064444166956847</v>
      </c>
      <c r="T406" s="17">
        <f>$J406/HSP!$E$6</f>
        <v>0.83656998666329729</v>
      </c>
      <c r="U406" s="18" t="s">
        <v>890</v>
      </c>
      <c r="V406" s="12"/>
      <c r="W406" s="12"/>
      <c r="X406" s="12"/>
      <c r="Y406" s="12"/>
      <c r="Z406" s="12"/>
    </row>
    <row r="407" spans="1:26" ht="15" customHeight="1" x14ac:dyDescent="0.3">
      <c r="A407" s="26" t="s">
        <v>893</v>
      </c>
      <c r="B407" s="17">
        <v>18.600000000000001</v>
      </c>
      <c r="C407" s="17">
        <v>3.4</v>
      </c>
      <c r="D407" s="17">
        <v>4.4000000000000004</v>
      </c>
      <c r="E407" s="17">
        <v>10.7</v>
      </c>
      <c r="F407" s="17">
        <f>SQRT((4*(HSP!$B$2-$B407)^2+(HSP!$C$2-$C407)^2+(HSP!$D$2-$D407)^2))</f>
        <v>10.977249200050078</v>
      </c>
      <c r="G407" s="17">
        <f>SQRT((4*(HSP!$B$3-$B407)^2+(HSP!$C$3-$C407)^2+(HSP!$D$3-$D407)^2))</f>
        <v>8.6646638711493029</v>
      </c>
      <c r="H407" s="17">
        <f>SQRT((4*(HSP!$B$4-$B407)^2+(HSP!$C$4-$C407)^2+(HSP!$D$4-$D407)^2))</f>
        <v>7.3795663829252209</v>
      </c>
      <c r="I407" s="17">
        <f>SQRT((4*(HSP!$B$5-$B407)^2+(HSP!$C$5-$C407)^2+(HSP!$D$5-$D407)^2))</f>
        <v>13.185556491858812</v>
      </c>
      <c r="J407" s="17">
        <f>SQRT((4*(HSP!$B$6-$B407)^2+(HSP!$C$6-$C407)^2+(HSP!$D$6-$D407)^2))</f>
        <v>7.3375063884128959</v>
      </c>
      <c r="K407" s="17">
        <f t="shared" si="0"/>
        <v>1.0259111401915961</v>
      </c>
      <c r="L407" s="17">
        <f t="shared" si="1"/>
        <v>0.80978167020086944</v>
      </c>
      <c r="M407" s="17">
        <f t="shared" si="2"/>
        <v>0.68967910120796461</v>
      </c>
      <c r="N407" s="17">
        <f t="shared" si="3"/>
        <v>1.2322949992391414</v>
      </c>
      <c r="O407" s="17">
        <f t="shared" si="4"/>
        <v>0.68574826059933613</v>
      </c>
      <c r="P407" s="17">
        <f>$F407/HSP!$E$2</f>
        <v>0.67345087116871638</v>
      </c>
      <c r="Q407" s="17">
        <f>$G407/HSP!$E$3</f>
        <v>0.64182695341846685</v>
      </c>
      <c r="R407" s="17">
        <f>$H407/HSP!$E$4</f>
        <v>0.46412367188208936</v>
      </c>
      <c r="S407" s="17">
        <f>$I407/HSP!$E$5</f>
        <v>0.96244937896779648</v>
      </c>
      <c r="T407" s="17">
        <f>$J407/HSP!$E$6</f>
        <v>0.49577745867654699</v>
      </c>
      <c r="U407" s="18" t="s">
        <v>888</v>
      </c>
      <c r="V407" s="12"/>
      <c r="W407" s="12"/>
      <c r="X407" s="12"/>
      <c r="Y407" s="12"/>
      <c r="Z407" s="12"/>
    </row>
    <row r="408" spans="1:26" ht="15" customHeight="1" x14ac:dyDescent="0.3">
      <c r="A408" s="26" t="s">
        <v>894</v>
      </c>
      <c r="B408" s="17">
        <v>16.8</v>
      </c>
      <c r="C408" s="17">
        <v>10.8</v>
      </c>
      <c r="D408" s="17">
        <v>8.8000000000000007</v>
      </c>
      <c r="E408" s="17">
        <v>8.1999999999999993</v>
      </c>
      <c r="F408" s="17">
        <f>SQRT((4*(HSP!$B$2-$B408)^2+(HSP!$C$2-$C408)^2+(HSP!$D$2-$D408)^2))</f>
        <v>4.7736778274198626</v>
      </c>
      <c r="G408" s="17">
        <f>SQRT((4*(HSP!$B$3-$B408)^2+(HSP!$C$3-$C408)^2+(HSP!$D$3-$D408)^2))</f>
        <v>3.8869525337981701</v>
      </c>
      <c r="H408" s="17">
        <f>SQRT((4*(HSP!$B$4-$B408)^2+(HSP!$C$4-$C408)^2+(HSP!$D$4-$D408)^2))</f>
        <v>7.2167859882360386</v>
      </c>
      <c r="I408" s="17">
        <f>SQRT((4*(HSP!$B$5-$B408)^2+(HSP!$C$5-$C408)^2+(HSP!$D$5-$D408)^2))</f>
        <v>4.1936738070574835</v>
      </c>
      <c r="J408" s="17">
        <f>SQRT((4*(HSP!$B$6-$B408)^2+(HSP!$C$6-$C408)^2+(HSP!$D$6-$D408)^2))</f>
        <v>7.2775682751864332</v>
      </c>
      <c r="K408" s="17">
        <f t="shared" si="0"/>
        <v>0.5821558326121784</v>
      </c>
      <c r="L408" s="17">
        <f t="shared" si="1"/>
        <v>0.47401860168270371</v>
      </c>
      <c r="M408" s="17">
        <f t="shared" si="2"/>
        <v>0.88009585222390718</v>
      </c>
      <c r="N408" s="17">
        <f t="shared" si="3"/>
        <v>0.51142363500701027</v>
      </c>
      <c r="O408" s="17">
        <f t="shared" si="4"/>
        <v>0.88750832624224807</v>
      </c>
      <c r="P408" s="17">
        <f>$F408/HSP!$E$2</f>
        <v>0.29286367039385658</v>
      </c>
      <c r="Q408" s="17">
        <f>$G408/HSP!$E$3</f>
        <v>0.28792240991097556</v>
      </c>
      <c r="R408" s="17">
        <f>$H408/HSP!$E$4</f>
        <v>0.45388591120981375</v>
      </c>
      <c r="S408" s="17">
        <f>$I408/HSP!$E$5</f>
        <v>0.30610757715748055</v>
      </c>
      <c r="T408" s="17">
        <f>$J408/HSP!$E$6</f>
        <v>0.49172758616124546</v>
      </c>
      <c r="U408" s="18" t="s">
        <v>888</v>
      </c>
      <c r="V408" s="12"/>
      <c r="W408" s="12"/>
      <c r="X408" s="12"/>
      <c r="Y408" s="12"/>
      <c r="Z408" s="12"/>
    </row>
    <row r="409" spans="1:26" ht="15" customHeight="1" x14ac:dyDescent="0.3">
      <c r="A409" s="26" t="s">
        <v>895</v>
      </c>
      <c r="B409" s="17">
        <v>18.3</v>
      </c>
      <c r="C409" s="17">
        <v>12.3</v>
      </c>
      <c r="D409" s="17">
        <v>9.6999999999999993</v>
      </c>
      <c r="E409" s="17">
        <v>7.3</v>
      </c>
      <c r="F409" s="17">
        <f>SQRT((4*(HSP!$B$2-$B409)^2+(HSP!$C$2-$C409)^2+(HSP!$D$2-$D409)^2))</f>
        <v>8.0959249008374599</v>
      </c>
      <c r="G409" s="17">
        <f>SQRT((4*(HSP!$B$3-$B409)^2+(HSP!$C$3-$C409)^2+(HSP!$D$3-$D409)^2))</f>
        <v>7.019430176303489</v>
      </c>
      <c r="H409" s="17">
        <f>SQRT((4*(HSP!$B$4-$B409)^2+(HSP!$C$4-$C409)^2+(HSP!$D$4-$D409)^2))</f>
        <v>10.279202303680965</v>
      </c>
      <c r="I409" s="17">
        <f>SQRT((4*(HSP!$B$5-$B409)^2+(HSP!$C$5-$C409)^2+(HSP!$D$5-$D409)^2))</f>
        <v>6.1978141308045069</v>
      </c>
      <c r="J409" s="17">
        <f>SQRT((4*(HSP!$B$6-$B409)^2+(HSP!$C$6-$C409)^2+(HSP!$D$6-$D409)^2))</f>
        <v>10.266596320105316</v>
      </c>
      <c r="K409" s="17">
        <f t="shared" si="0"/>
        <v>1.1090308083338987</v>
      </c>
      <c r="L409" s="17">
        <f t="shared" si="1"/>
        <v>0.9615657775758204</v>
      </c>
      <c r="M409" s="17">
        <f t="shared" si="2"/>
        <v>1.4081099046138308</v>
      </c>
      <c r="N409" s="17">
        <f t="shared" si="3"/>
        <v>0.84901563435678185</v>
      </c>
      <c r="O409" s="17">
        <f t="shared" si="4"/>
        <v>1.4063830575486735</v>
      </c>
      <c r="P409" s="17">
        <f>$F409/HSP!$E$2</f>
        <v>0.49668250925383189</v>
      </c>
      <c r="Q409" s="17">
        <f>$G409/HSP!$E$3</f>
        <v>0.51995779083729543</v>
      </c>
      <c r="R409" s="17">
        <f>$H409/HSP!$E$4</f>
        <v>0.6464907109233311</v>
      </c>
      <c r="S409" s="17">
        <f>$I409/HSP!$E$5</f>
        <v>0.45239519202952605</v>
      </c>
      <c r="T409" s="17">
        <f>$J409/HSP!$E$6</f>
        <v>0.69368894054765651</v>
      </c>
      <c r="U409" s="18" t="s">
        <v>890</v>
      </c>
      <c r="V409" s="12"/>
      <c r="W409" s="12"/>
      <c r="X409" s="12"/>
      <c r="Y409" s="12"/>
      <c r="Z409" s="12"/>
    </row>
    <row r="410" spans="1:26" ht="15" customHeight="1" x14ac:dyDescent="0.3">
      <c r="A410" s="26" t="s">
        <v>896</v>
      </c>
      <c r="B410" s="17">
        <v>16.600000000000001</v>
      </c>
      <c r="C410" s="17">
        <v>0</v>
      </c>
      <c r="D410" s="17">
        <v>5.2</v>
      </c>
      <c r="E410" s="17">
        <v>9.1</v>
      </c>
      <c r="F410" s="17">
        <f>SQRT((4*(HSP!$B$2-$B410)^2+(HSP!$C$2-$C410)^2+(HSP!$D$2-$D410)^2))</f>
        <v>11.339312148450629</v>
      </c>
      <c r="G410" s="17">
        <f>SQRT((4*(HSP!$B$3-$B410)^2+(HSP!$C$3-$C410)^2+(HSP!$D$3-$D410)^2))</f>
        <v>9.8494872963012661</v>
      </c>
      <c r="H410" s="17">
        <f>SQRT((4*(HSP!$B$4-$B410)^2+(HSP!$C$4-$C410)^2+(HSP!$D$4-$D410)^2))</f>
        <v>5.7133177751635706</v>
      </c>
      <c r="I410" s="17">
        <f>SQRT((4*(HSP!$B$5-$B410)^2+(HSP!$C$5-$C410)^2+(HSP!$D$5-$D410)^2))</f>
        <v>14.202355438447526</v>
      </c>
      <c r="J410" s="17">
        <f>SQRT((4*(HSP!$B$6-$B410)^2+(HSP!$C$6-$C410)^2+(HSP!$D$6-$D410)^2))</f>
        <v>7.0882296802516223</v>
      </c>
      <c r="K410" s="17">
        <f t="shared" si="0"/>
        <v>1.2460782580714977</v>
      </c>
      <c r="L410" s="17">
        <f t="shared" si="1"/>
        <v>1.0823612413517876</v>
      </c>
      <c r="M410" s="17">
        <f t="shared" si="2"/>
        <v>0.627837118149843</v>
      </c>
      <c r="N410" s="17">
        <f t="shared" si="3"/>
        <v>1.5606983998293986</v>
      </c>
      <c r="O410" s="17">
        <f t="shared" si="4"/>
        <v>0.77892633848918924</v>
      </c>
      <c r="P410" s="17">
        <f>$F410/HSP!$E$2</f>
        <v>0.69566332199083614</v>
      </c>
      <c r="Q410" s="17">
        <f>$G410/HSP!$E$3</f>
        <v>0.72959165157787154</v>
      </c>
      <c r="R410" s="17">
        <f>$H410/HSP!$E$4</f>
        <v>0.35932816195997297</v>
      </c>
      <c r="S410" s="17">
        <f>$I410/HSP!$E$5</f>
        <v>1.0366682801786515</v>
      </c>
      <c r="T410" s="17">
        <f>$J410/HSP!$E$6</f>
        <v>0.4789344378548393</v>
      </c>
      <c r="U410" s="18" t="s">
        <v>890</v>
      </c>
      <c r="V410" s="12"/>
      <c r="W410" s="12"/>
      <c r="X410" s="12"/>
      <c r="Y410" s="12"/>
      <c r="Z410" s="12"/>
    </row>
    <row r="411" spans="1:26" ht="15" customHeight="1" x14ac:dyDescent="0.3">
      <c r="A411" s="26" t="s">
        <v>897</v>
      </c>
      <c r="B411" s="17">
        <v>11.6</v>
      </c>
      <c r="C411" s="17">
        <v>23</v>
      </c>
      <c r="D411" s="17">
        <v>5</v>
      </c>
      <c r="E411" s="17">
        <v>21.6</v>
      </c>
      <c r="F411" s="17">
        <f>SQRT((4*(HSP!$B$2-$B411)^2+(HSP!$C$2-$C411)^2+(HSP!$D$2-$D411)^2))</f>
        <v>14.041794757081446</v>
      </c>
      <c r="G411" s="17">
        <f>SQRT((4*(HSP!$B$3-$B411)^2+(HSP!$C$3-$C411)^2+(HSP!$D$3-$D411)^2))</f>
        <v>15.669728778763211</v>
      </c>
      <c r="H411" s="17">
        <f>SQRT((4*(HSP!$B$4-$B411)^2+(HSP!$C$4-$C411)^2+(HSP!$D$4-$D411)^2))</f>
        <v>19.744416932388763</v>
      </c>
      <c r="I411" s="17">
        <f>SQRT((4*(HSP!$B$5-$B411)^2+(HSP!$C$5-$C411)^2+(HSP!$D$5-$D411)^2))</f>
        <v>13.954171419328341</v>
      </c>
      <c r="J411" s="17">
        <f>SQRT((4*(HSP!$B$6-$B411)^2+(HSP!$C$6-$C411)^2+(HSP!$D$6-$D411)^2))</f>
        <v>18.159377742643056</v>
      </c>
      <c r="K411" s="17">
        <f t="shared" si="0"/>
        <v>0.65008309060562242</v>
      </c>
      <c r="L411" s="17">
        <f t="shared" si="1"/>
        <v>0.72545040642422265</v>
      </c>
      <c r="M411" s="17">
        <f t="shared" si="2"/>
        <v>0.91409337649947975</v>
      </c>
      <c r="N411" s="17">
        <f t="shared" si="3"/>
        <v>0.64602645459853425</v>
      </c>
      <c r="O411" s="17">
        <f t="shared" si="4"/>
        <v>0.84071193252977106</v>
      </c>
      <c r="P411" s="17">
        <f>$F411/HSP!$E$2</f>
        <v>0.8614598010479414</v>
      </c>
      <c r="Q411" s="17">
        <f>$G411/HSP!$E$3</f>
        <v>1.1607206502787564</v>
      </c>
      <c r="R411" s="17">
        <f>$H411/HSP!$E$4</f>
        <v>1.2417872284521234</v>
      </c>
      <c r="S411" s="17">
        <f>$I411/HSP!$E$5</f>
        <v>1.0185526583451345</v>
      </c>
      <c r="T411" s="17">
        <f>$J411/HSP!$E$6</f>
        <v>1.2269849826110173</v>
      </c>
      <c r="U411" s="18" t="s">
        <v>888</v>
      </c>
      <c r="V411" s="12"/>
      <c r="W411" s="12"/>
      <c r="X411" s="12"/>
      <c r="Y411" s="12"/>
      <c r="Z411" s="12"/>
    </row>
    <row r="412" spans="1:26" ht="15" customHeight="1" x14ac:dyDescent="0.3">
      <c r="A412" s="26" t="s">
        <v>898</v>
      </c>
      <c r="B412" s="17">
        <v>15.9</v>
      </c>
      <c r="C412" s="17">
        <v>20.100000000000001</v>
      </c>
      <c r="D412" s="17">
        <v>6.9</v>
      </c>
      <c r="E412" s="17">
        <v>16.8</v>
      </c>
      <c r="F412" s="17">
        <f>SQRT((4*(HSP!$B$2-$B412)^2+(HSP!$C$2-$C412)^2+(HSP!$D$2-$D412)^2))</f>
        <v>9.9847884304075265</v>
      </c>
      <c r="G412" s="17">
        <f>SQRT((4*(HSP!$B$3-$B412)^2+(HSP!$C$3-$C412)^2+(HSP!$D$3-$D412)^2))</f>
        <v>10.504113479965838</v>
      </c>
      <c r="H412" s="17">
        <f>SQRT((4*(HSP!$B$4-$B412)^2+(HSP!$C$4-$C412)^2+(HSP!$D$4-$D412)^2))</f>
        <v>15.489286620112626</v>
      </c>
      <c r="I412" s="17">
        <f>SQRT((4*(HSP!$B$5-$B412)^2+(HSP!$C$5-$C412)^2+(HSP!$D$5-$D412)^2))</f>
        <v>8.5025231549228959</v>
      </c>
      <c r="J412" s="17">
        <f>SQRT((4*(HSP!$B$6-$B412)^2+(HSP!$C$6-$C412)^2+(HSP!$D$6-$D412)^2))</f>
        <v>14.062681109944863</v>
      </c>
      <c r="K412" s="17">
        <f t="shared" si="0"/>
        <v>0.59433264466711466</v>
      </c>
      <c r="L412" s="17">
        <f t="shared" si="1"/>
        <v>0.62524484999796648</v>
      </c>
      <c r="M412" s="17">
        <f t="shared" si="2"/>
        <v>0.9219813464352753</v>
      </c>
      <c r="N412" s="17">
        <f t="shared" si="3"/>
        <v>0.50610256874541049</v>
      </c>
      <c r="O412" s="17">
        <f t="shared" si="4"/>
        <v>0.83706435178243233</v>
      </c>
      <c r="P412" s="17">
        <f>$F412/HSP!$E$2</f>
        <v>0.61256370738696475</v>
      </c>
      <c r="Q412" s="17">
        <f>$G412/HSP!$E$3</f>
        <v>0.77808247999746949</v>
      </c>
      <c r="R412" s="17">
        <f>$H412/HSP!$E$4</f>
        <v>0.97416896981840417</v>
      </c>
      <c r="S412" s="17">
        <f>$I412/HSP!$E$5</f>
        <v>0.62062212809656181</v>
      </c>
      <c r="T412" s="17">
        <f>$J412/HSP!$E$6</f>
        <v>0.95018115607735554</v>
      </c>
      <c r="U412" s="18" t="s">
        <v>890</v>
      </c>
      <c r="V412" s="12"/>
      <c r="W412" s="12"/>
      <c r="X412" s="12"/>
      <c r="Y412" s="12"/>
      <c r="Z412" s="12"/>
    </row>
    <row r="413" spans="1:26" ht="15" customHeight="1" x14ac:dyDescent="0.3">
      <c r="A413" s="26" t="s">
        <v>899</v>
      </c>
      <c r="B413" s="17">
        <v>17.5</v>
      </c>
      <c r="C413" s="17">
        <v>4.3</v>
      </c>
      <c r="D413" s="17">
        <v>8.3000000000000007</v>
      </c>
      <c r="E413" s="17">
        <v>3.9</v>
      </c>
      <c r="F413" s="17">
        <f>SQRT((4*(HSP!$B$2-$B413)^2+(HSP!$C$2-$C413)^2+(HSP!$D$2-$D413)^2))</f>
        <v>8.5631769805370741</v>
      </c>
      <c r="G413" s="17">
        <f>SQRT((4*(HSP!$B$3-$B413)^2+(HSP!$C$3-$C413)^2+(HSP!$D$3-$D413)^2))</f>
        <v>6.9270773057617898</v>
      </c>
      <c r="H413" s="17">
        <f>SQRT((4*(HSP!$B$4-$B413)^2+(HSP!$C$4-$C413)^2+(HSP!$D$4-$D413)^2))</f>
        <v>4.9101934788763675</v>
      </c>
      <c r="I413" s="17">
        <f>SQRT((4*(HSP!$B$5-$B413)^2+(HSP!$C$5-$C413)^2+(HSP!$D$5-$D413)^2))</f>
        <v>9.884578898466037</v>
      </c>
      <c r="J413" s="17">
        <f>SQRT((4*(HSP!$B$6-$B413)^2+(HSP!$C$6-$C413)^2+(HSP!$D$6-$D413)^2))</f>
        <v>6.6506390670370932</v>
      </c>
      <c r="K413" s="17">
        <f t="shared" si="0"/>
        <v>2.1956864052659166</v>
      </c>
      <c r="L413" s="17">
        <f t="shared" si="1"/>
        <v>1.7761736681440488</v>
      </c>
      <c r="M413" s="17">
        <f t="shared" si="2"/>
        <v>1.2590239689426583</v>
      </c>
      <c r="N413" s="17">
        <f t="shared" si="3"/>
        <v>2.5345074098630866</v>
      </c>
      <c r="O413" s="17">
        <f t="shared" si="4"/>
        <v>1.7052920684710495</v>
      </c>
      <c r="P413" s="17">
        <f>$F413/HSP!$E$2</f>
        <v>0.52534828101454445</v>
      </c>
      <c r="Q413" s="17">
        <f>$G413/HSP!$E$3</f>
        <v>0.5131168374638363</v>
      </c>
      <c r="R413" s="17">
        <f>$H413/HSP!$E$4</f>
        <v>0.30881719992933127</v>
      </c>
      <c r="S413" s="17">
        <f>$I413/HSP!$E$5</f>
        <v>0.72150210937708303</v>
      </c>
      <c r="T413" s="17">
        <f>$J413/HSP!$E$6</f>
        <v>0.44936750452953328</v>
      </c>
      <c r="U413" s="18" t="s">
        <v>890</v>
      </c>
      <c r="V413" s="12"/>
      <c r="W413" s="12"/>
      <c r="X413" s="12"/>
      <c r="Y413" s="12"/>
      <c r="Z413" s="12"/>
    </row>
    <row r="414" spans="1:26" ht="15" customHeight="1" x14ac:dyDescent="0.3">
      <c r="A414" s="26" t="s">
        <v>900</v>
      </c>
      <c r="B414" s="17">
        <v>17.5</v>
      </c>
      <c r="C414" s="17">
        <v>11.3</v>
      </c>
      <c r="D414" s="17">
        <v>8.3000000000000007</v>
      </c>
      <c r="E414" s="17">
        <v>8.6</v>
      </c>
      <c r="F414" s="17">
        <f>SQRT((4*(HSP!$B$2-$B414)^2+(HSP!$C$2-$C414)^2+(HSP!$D$2-$D414)^2))</f>
        <v>6.0073288573208652</v>
      </c>
      <c r="G414" s="17">
        <f>SQRT((4*(HSP!$B$3-$B414)^2+(HSP!$C$3-$C414)^2+(HSP!$D$3-$D414)^2))</f>
        <v>4.6844850303955514</v>
      </c>
      <c r="H414" s="17">
        <f>SQRT((4*(HSP!$B$4-$B414)^2+(HSP!$C$4-$C414)^2+(HSP!$D$4-$D414)^2))</f>
        <v>8.2334682849938776</v>
      </c>
      <c r="I414" s="17">
        <f>SQRT((4*(HSP!$B$5-$B414)^2+(HSP!$C$5-$C414)^2+(HSP!$D$5-$D414)^2))</f>
        <v>5.3688825653016474</v>
      </c>
      <c r="J414" s="17">
        <f>SQRT((4*(HSP!$B$6-$B414)^2+(HSP!$C$6-$C414)^2+(HSP!$D$6-$D414)^2))</f>
        <v>7.9631024104930379</v>
      </c>
      <c r="K414" s="17">
        <f t="shared" si="0"/>
        <v>0.69852661131637972</v>
      </c>
      <c r="L414" s="17">
        <f t="shared" si="1"/>
        <v>0.54470756167390133</v>
      </c>
      <c r="M414" s="17">
        <f t="shared" si="2"/>
        <v>0.95738003313882303</v>
      </c>
      <c r="N414" s="17">
        <f t="shared" si="3"/>
        <v>0.62428867038391256</v>
      </c>
      <c r="O414" s="17">
        <f t="shared" si="4"/>
        <v>0.92594214075500447</v>
      </c>
      <c r="P414" s="17">
        <f>$F414/HSP!$E$2</f>
        <v>0.36854778265772176</v>
      </c>
      <c r="Q414" s="17">
        <f>$G414/HSP!$E$3</f>
        <v>0.34699889114041121</v>
      </c>
      <c r="R414" s="17">
        <f>$H414/HSP!$E$4</f>
        <v>0.5178281940247722</v>
      </c>
      <c r="S414" s="17">
        <f>$I414/HSP!$E$5</f>
        <v>0.39188923834318595</v>
      </c>
      <c r="T414" s="17">
        <f>$J414/HSP!$E$6</f>
        <v>0.53804746016844851</v>
      </c>
      <c r="U414" s="18" t="s">
        <v>890</v>
      </c>
      <c r="V414" s="12"/>
      <c r="W414" s="12"/>
      <c r="X414" s="12"/>
      <c r="Y414" s="12"/>
      <c r="Z414" s="12"/>
    </row>
    <row r="415" spans="1:26" ht="15" customHeight="1" x14ac:dyDescent="0.3">
      <c r="A415" s="26" t="s">
        <v>901</v>
      </c>
      <c r="B415" s="17">
        <v>19.8</v>
      </c>
      <c r="C415" s="17">
        <v>17.399999999999999</v>
      </c>
      <c r="D415" s="17">
        <v>4.2</v>
      </c>
      <c r="E415" s="17">
        <v>18</v>
      </c>
      <c r="F415" s="17">
        <f>SQRT((4*(HSP!$B$2-$B415)^2+(HSP!$C$2-$C415)^2+(HSP!$D$2-$D415)^2))</f>
        <v>12.808278572860601</v>
      </c>
      <c r="G415" s="17">
        <f>SQRT((4*(HSP!$B$3-$B415)^2+(HSP!$C$3-$C415)^2+(HSP!$D$3-$D415)^2))</f>
        <v>11.406156232491295</v>
      </c>
      <c r="H415" s="17">
        <f>SQRT((4*(HSP!$B$4-$B415)^2+(HSP!$C$4-$C415)^2+(HSP!$D$4-$D415)^2))</f>
        <v>15.946974634707361</v>
      </c>
      <c r="I415" s="17">
        <f>SQRT((4*(HSP!$B$5-$B415)^2+(HSP!$C$5-$C415)^2+(HSP!$D$5-$D415)^2))</f>
        <v>12.217974463879028</v>
      </c>
      <c r="J415" s="17">
        <f>SQRT((4*(HSP!$B$6-$B415)^2+(HSP!$C$6-$C415)^2+(HSP!$D$6-$D415)^2))</f>
        <v>14.231900786613151</v>
      </c>
      <c r="K415" s="17">
        <f t="shared" si="0"/>
        <v>0.71157103182558901</v>
      </c>
      <c r="L415" s="17">
        <f t="shared" si="1"/>
        <v>0.63367534624951638</v>
      </c>
      <c r="M415" s="17">
        <f t="shared" si="2"/>
        <v>0.88594303526152007</v>
      </c>
      <c r="N415" s="17">
        <f t="shared" si="3"/>
        <v>0.67877635910439038</v>
      </c>
      <c r="O415" s="17">
        <f t="shared" si="4"/>
        <v>0.79066115481184174</v>
      </c>
      <c r="P415" s="17">
        <f>$F415/HSP!$E$2</f>
        <v>0.78578396152519026</v>
      </c>
      <c r="Q415" s="17">
        <f>$G415/HSP!$E$3</f>
        <v>0.84490046166602184</v>
      </c>
      <c r="R415" s="17">
        <f>$H415/HSP!$E$4</f>
        <v>1.0029543795413434</v>
      </c>
      <c r="S415" s="17">
        <f>$I415/HSP!$E$5</f>
        <v>0.89182295356781227</v>
      </c>
      <c r="T415" s="17">
        <f>$J415/HSP!$E$6</f>
        <v>0.96161491801440202</v>
      </c>
      <c r="U415" s="18" t="s">
        <v>888</v>
      </c>
      <c r="V415" s="12"/>
      <c r="W415" s="12"/>
      <c r="X415" s="12"/>
      <c r="Y415" s="12"/>
      <c r="Z415" s="12"/>
    </row>
    <row r="416" spans="1:26" ht="15" customHeight="1" x14ac:dyDescent="0.3">
      <c r="A416" s="26" t="s">
        <v>902</v>
      </c>
      <c r="B416" s="17">
        <v>20.8</v>
      </c>
      <c r="C416" s="17">
        <v>1.8</v>
      </c>
      <c r="D416" s="17">
        <v>3.6</v>
      </c>
      <c r="E416" s="17">
        <v>14</v>
      </c>
      <c r="F416" s="17">
        <f>SQRT((4*(HSP!$B$2-$B416)^2+(HSP!$C$2-$C416)^2+(HSP!$D$2-$D416)^2))</f>
        <v>15.497741770980701</v>
      </c>
      <c r="G416" s="17">
        <f>SQRT((4*(HSP!$B$3-$B416)^2+(HSP!$C$3-$C416)^2+(HSP!$D$3-$D416)^2))</f>
        <v>13.082675567329494</v>
      </c>
      <c r="H416" s="17">
        <f>SQRT((4*(HSP!$B$4-$B416)^2+(HSP!$C$4-$C416)^2+(HSP!$D$4-$D416)^2))</f>
        <v>12.054957486445154</v>
      </c>
      <c r="I416" s="17">
        <f>SQRT((4*(HSP!$B$5-$B416)^2+(HSP!$C$5-$C416)^2+(HSP!$D$5-$D416)^2))</f>
        <v>17.184263149754198</v>
      </c>
      <c r="J416" s="17">
        <f>SQRT((4*(HSP!$B$6-$B416)^2+(HSP!$C$6-$C416)^2+(HSP!$D$6-$D416)^2))</f>
        <v>11.992622732330075</v>
      </c>
      <c r="K416" s="17">
        <f t="shared" si="0"/>
        <v>1.1069815550700501</v>
      </c>
      <c r="L416" s="17">
        <f t="shared" si="1"/>
        <v>0.93447682623782102</v>
      </c>
      <c r="M416" s="17">
        <f t="shared" si="2"/>
        <v>0.86106839188893958</v>
      </c>
      <c r="N416" s="17">
        <f t="shared" si="3"/>
        <v>1.2274473678395856</v>
      </c>
      <c r="O416" s="17">
        <f t="shared" si="4"/>
        <v>0.85661590945214816</v>
      </c>
      <c r="P416" s="17">
        <f>$F416/HSP!$E$2</f>
        <v>0.95078170374114723</v>
      </c>
      <c r="Q416" s="17">
        <f>$G416/HSP!$E$3</f>
        <v>0.96908707906144398</v>
      </c>
      <c r="R416" s="17">
        <f>$H416/HSP!$E$4</f>
        <v>0.75817342682044997</v>
      </c>
      <c r="S416" s="17">
        <f>$I416/HSP!$E$5</f>
        <v>1.254325777354321</v>
      </c>
      <c r="T416" s="17">
        <f>$J416/HSP!$E$6</f>
        <v>0.81031234677905906</v>
      </c>
      <c r="U416" s="18" t="s">
        <v>888</v>
      </c>
      <c r="V416" s="12"/>
      <c r="W416" s="12"/>
      <c r="X416" s="12"/>
      <c r="Y416" s="12"/>
      <c r="Z416" s="12"/>
    </row>
    <row r="417" spans="1:26" ht="15" customHeight="1" x14ac:dyDescent="0.3">
      <c r="A417" s="26" t="s">
        <v>903</v>
      </c>
      <c r="B417" s="17">
        <v>19.8</v>
      </c>
      <c r="C417" s="17">
        <v>17.8</v>
      </c>
      <c r="D417" s="17">
        <v>3.2</v>
      </c>
      <c r="E417" s="17">
        <v>19</v>
      </c>
      <c r="F417" s="17">
        <f>SQRT((4*(HSP!$B$2-$B417)^2+(HSP!$C$2-$C417)^2+(HSP!$D$2-$D417)^2))</f>
        <v>13.278704756112324</v>
      </c>
      <c r="G417" s="17">
        <f>SQRT((4*(HSP!$B$3-$B417)^2+(HSP!$C$3-$C417)^2+(HSP!$D$3-$D417)^2))</f>
        <v>11.861382718722131</v>
      </c>
      <c r="H417" s="17">
        <f>SQRT((4*(HSP!$B$4-$B417)^2+(HSP!$C$4-$C417)^2+(HSP!$D$4-$D417)^2))</f>
        <v>16.457278025238562</v>
      </c>
      <c r="I417" s="17">
        <f>SQRT((4*(HSP!$B$5-$B417)^2+(HSP!$C$5-$C417)^2+(HSP!$D$5-$D417)^2))</f>
        <v>12.947698637209626</v>
      </c>
      <c r="J417" s="17">
        <f>SQRT((4*(HSP!$B$6-$B417)^2+(HSP!$C$6-$C417)^2+(HSP!$D$6-$D417)^2))</f>
        <v>14.552766060100055</v>
      </c>
      <c r="K417" s="17">
        <f t="shared" si="0"/>
        <v>0.6988791976901223</v>
      </c>
      <c r="L417" s="17">
        <f t="shared" si="1"/>
        <v>0.62428330098537532</v>
      </c>
      <c r="M417" s="17">
        <f t="shared" si="2"/>
        <v>0.86617252764413488</v>
      </c>
      <c r="N417" s="17">
        <f t="shared" si="3"/>
        <v>0.68145782301103297</v>
      </c>
      <c r="O417" s="17">
        <f t="shared" si="4"/>
        <v>0.76593505579473975</v>
      </c>
      <c r="P417" s="17">
        <f>$F417/HSP!$E$2</f>
        <v>0.81464446356517317</v>
      </c>
      <c r="Q417" s="17">
        <f>$G417/HSP!$E$3</f>
        <v>0.87862094212756525</v>
      </c>
      <c r="R417" s="17">
        <f>$H417/HSP!$E$4</f>
        <v>1.035048932404941</v>
      </c>
      <c r="S417" s="17">
        <f>$I417/HSP!$E$5</f>
        <v>0.94508749176712603</v>
      </c>
      <c r="T417" s="17">
        <f>$J417/HSP!$E$6</f>
        <v>0.98329500406081449</v>
      </c>
      <c r="U417" s="18" t="s">
        <v>890</v>
      </c>
      <c r="V417" s="12"/>
      <c r="W417" s="12"/>
      <c r="X417" s="12"/>
      <c r="Y417" s="12"/>
      <c r="Z417" s="12"/>
    </row>
    <row r="418" spans="1:26" ht="15" customHeight="1" x14ac:dyDescent="0.3">
      <c r="A418" s="26" t="s">
        <v>904</v>
      </c>
      <c r="B418" s="17">
        <v>18.5</v>
      </c>
      <c r="C418" s="17">
        <v>8.1</v>
      </c>
      <c r="D418" s="17">
        <v>9.1</v>
      </c>
      <c r="E418" s="17">
        <v>6.3</v>
      </c>
      <c r="F418" s="17">
        <f>SQRT((4*(HSP!$B$2-$B418)^2+(HSP!$C$2-$C418)^2+(HSP!$D$2-$D418)^2))</f>
        <v>8.4204512943190881</v>
      </c>
      <c r="G418" s="17">
        <f>SQRT((4*(HSP!$B$3-$B418)^2+(HSP!$C$3-$C418)^2+(HSP!$D$3-$D418)^2))</f>
        <v>6.6915170178368379</v>
      </c>
      <c r="H418" s="17">
        <f>SQRT((4*(HSP!$B$4-$B418)^2+(HSP!$C$4-$C418)^2+(HSP!$D$4-$D418)^2))</f>
        <v>7.8321133801803455</v>
      </c>
      <c r="I418" s="17">
        <f>SQRT((4*(HSP!$B$5-$B418)^2+(HSP!$C$5-$C418)^2+(HSP!$D$5-$D418)^2))</f>
        <v>8.1501472379338047</v>
      </c>
      <c r="J418" s="17">
        <f>SQRT((4*(HSP!$B$6-$B418)^2+(HSP!$C$6-$C418)^2+(HSP!$D$6-$D418)^2))</f>
        <v>8.4901707874459156</v>
      </c>
      <c r="K418" s="17">
        <f t="shared" si="0"/>
        <v>1.3365795705268395</v>
      </c>
      <c r="L418" s="17">
        <f t="shared" si="1"/>
        <v>1.0621455583867998</v>
      </c>
      <c r="M418" s="17">
        <f t="shared" si="2"/>
        <v>1.2431926000286264</v>
      </c>
      <c r="N418" s="17">
        <f t="shared" si="3"/>
        <v>1.2936741647513976</v>
      </c>
      <c r="O418" s="17">
        <f t="shared" si="4"/>
        <v>1.3476461567374469</v>
      </c>
      <c r="P418" s="17">
        <f>$F418/HSP!$E$2</f>
        <v>0.51659210394595634</v>
      </c>
      <c r="Q418" s="17">
        <f>$G418/HSP!$E$3</f>
        <v>0.49566792724717318</v>
      </c>
      <c r="R418" s="17">
        <f>$H418/HSP!$E$4</f>
        <v>0.49258574718115378</v>
      </c>
      <c r="S418" s="17">
        <f>$I418/HSP!$E$5</f>
        <v>0.59490125824334339</v>
      </c>
      <c r="T418" s="17">
        <f>$J418/HSP!$E$6</f>
        <v>0.57366018834094024</v>
      </c>
      <c r="U418" s="18" t="s">
        <v>890</v>
      </c>
      <c r="V418" s="12"/>
      <c r="W418" s="12"/>
      <c r="X418" s="12"/>
      <c r="Y418" s="12"/>
      <c r="Z418" s="12"/>
    </row>
    <row r="419" spans="1:26" ht="15" customHeight="1" x14ac:dyDescent="0.3">
      <c r="A419" s="26" t="s">
        <v>905</v>
      </c>
      <c r="B419" s="17">
        <v>18.2</v>
      </c>
      <c r="C419" s="17">
        <v>8.8000000000000007</v>
      </c>
      <c r="D419" s="17">
        <v>10.8</v>
      </c>
      <c r="E419" s="17">
        <v>5.2</v>
      </c>
      <c r="F419" s="17">
        <f>SQRT((4*(HSP!$B$2-$B419)^2+(HSP!$C$2-$C419)^2+(HSP!$D$2-$D419)^2))</f>
        <v>8.3179324354072506</v>
      </c>
      <c r="G419" s="17">
        <f>SQRT((4*(HSP!$B$3-$B419)^2+(HSP!$C$3-$C419)^2+(HSP!$D$3-$D419)^2))</f>
        <v>7.1232296046105379</v>
      </c>
      <c r="H419" s="17">
        <f>SQRT((4*(HSP!$B$4-$B419)^2+(HSP!$C$4-$C419)^2+(HSP!$D$4-$D419)^2))</f>
        <v>8.3485328052299117</v>
      </c>
      <c r="I419" s="17">
        <f>SQRT((4*(HSP!$B$5-$B419)^2+(HSP!$C$5-$C419)^2+(HSP!$D$5-$D419)^2))</f>
        <v>7.0514466600833048</v>
      </c>
      <c r="J419" s="17">
        <f>SQRT((4*(HSP!$B$6-$B419)^2+(HSP!$C$6-$C419)^2+(HSP!$D$6-$D419)^2))</f>
        <v>9.3946261234814461</v>
      </c>
      <c r="K419" s="17">
        <f t="shared" si="0"/>
        <v>1.5996023914244712</v>
      </c>
      <c r="L419" s="17">
        <f t="shared" si="1"/>
        <v>1.3698518470404879</v>
      </c>
      <c r="M419" s="17">
        <f t="shared" si="2"/>
        <v>1.6054870779288291</v>
      </c>
      <c r="N419" s="17">
        <f t="shared" si="3"/>
        <v>1.3560474346314046</v>
      </c>
      <c r="O419" s="17">
        <f t="shared" si="4"/>
        <v>1.8066588699002781</v>
      </c>
      <c r="P419" s="17">
        <f>$F419/HSP!$E$2</f>
        <v>0.51030260339921785</v>
      </c>
      <c r="Q419" s="17">
        <f>$G419/HSP!$E$3</f>
        <v>0.52764663737855833</v>
      </c>
      <c r="R419" s="17">
        <f>$H419/HSP!$E$4</f>
        <v>0.52506495630376804</v>
      </c>
      <c r="S419" s="17">
        <f>$I419/HSP!$E$5</f>
        <v>0.51470413577250407</v>
      </c>
      <c r="T419" s="17">
        <f>$J419/HSP!$E$6</f>
        <v>0.63477203537036797</v>
      </c>
      <c r="U419" s="18" t="s">
        <v>890</v>
      </c>
      <c r="V419" s="12"/>
      <c r="W419" s="12"/>
      <c r="X419" s="12"/>
      <c r="Y419" s="12"/>
      <c r="Z419" s="12"/>
    </row>
    <row r="420" spans="1:26" ht="15" customHeight="1" x14ac:dyDescent="0.3">
      <c r="A420" s="26" t="s">
        <v>906</v>
      </c>
      <c r="B420" s="17">
        <v>19.100000000000001</v>
      </c>
      <c r="C420" s="17">
        <v>6.3</v>
      </c>
      <c r="D420" s="17">
        <v>9.1</v>
      </c>
      <c r="E420" s="17">
        <v>4.8</v>
      </c>
      <c r="F420" s="17">
        <f>SQRT((4*(HSP!$B$2-$B420)^2+(HSP!$C$2-$C420)^2+(HSP!$D$2-$D420)^2))</f>
        <v>10.139033484509264</v>
      </c>
      <c r="G420" s="17">
        <f>SQRT((4*(HSP!$B$3-$B420)^2+(HSP!$C$3-$C420)^2+(HSP!$D$3-$D420)^2))</f>
        <v>8.2801207720660717</v>
      </c>
      <c r="H420" s="17">
        <f>SQRT((4*(HSP!$B$4-$B420)^2+(HSP!$C$4-$C420)^2+(HSP!$D$4-$D420)^2))</f>
        <v>8.3482932387404816</v>
      </c>
      <c r="I420" s="17">
        <f>SQRT((4*(HSP!$B$5-$B420)^2+(HSP!$C$5-$C420)^2+(HSP!$D$5-$D420)^2))</f>
        <v>10.160752924857491</v>
      </c>
      <c r="J420" s="17">
        <f>SQRT((4*(HSP!$B$6-$B420)^2+(HSP!$C$6-$C420)^2+(HSP!$D$6-$D420)^2))</f>
        <v>9.2873569975531822</v>
      </c>
      <c r="K420" s="17">
        <f t="shared" si="0"/>
        <v>2.1122986426060968</v>
      </c>
      <c r="L420" s="17">
        <f t="shared" si="1"/>
        <v>1.7250251608470983</v>
      </c>
      <c r="M420" s="17">
        <f t="shared" si="2"/>
        <v>1.7392277580709337</v>
      </c>
      <c r="N420" s="17">
        <f t="shared" si="3"/>
        <v>2.1168235260119772</v>
      </c>
      <c r="O420" s="17">
        <f t="shared" si="4"/>
        <v>1.934866041156913</v>
      </c>
      <c r="P420" s="17">
        <f>$F420/HSP!$E$2</f>
        <v>0.62202659414167261</v>
      </c>
      <c r="Q420" s="17">
        <f>$G420/HSP!$E$3</f>
        <v>0.61334227941230157</v>
      </c>
      <c r="R420" s="17">
        <f>$H420/HSP!$E$4</f>
        <v>0.52504988922896112</v>
      </c>
      <c r="S420" s="17">
        <f>$I420/HSP!$E$5</f>
        <v>0.74166079743485336</v>
      </c>
      <c r="T420" s="17">
        <f>$J420/HSP!$E$6</f>
        <v>0.6275241214562961</v>
      </c>
      <c r="U420" s="18" t="s">
        <v>888</v>
      </c>
      <c r="V420" s="12"/>
      <c r="W420" s="12"/>
      <c r="X420" s="12"/>
      <c r="Y420" s="12"/>
      <c r="Z420" s="12"/>
    </row>
    <row r="421" spans="1:26" ht="15" customHeight="1" x14ac:dyDescent="0.3">
      <c r="A421" s="26" t="s">
        <v>907</v>
      </c>
      <c r="B421" s="17">
        <v>17.899999999999999</v>
      </c>
      <c r="C421" s="17">
        <v>13.3</v>
      </c>
      <c r="D421" s="17">
        <v>10.7</v>
      </c>
      <c r="E421" s="17">
        <v>17.100000000000001</v>
      </c>
      <c r="F421" s="17">
        <f>SQRT((4*(HSP!$B$2-$B421)^2+(HSP!$C$2-$C421)^2+(HSP!$D$2-$D421)^2))</f>
        <v>8.0909826350079364</v>
      </c>
      <c r="G421" s="17">
        <f>SQRT((4*(HSP!$B$3-$B421)^2+(HSP!$C$3-$C421)^2+(HSP!$D$3-$D421)^2))</f>
        <v>7.523323733563509</v>
      </c>
      <c r="H421" s="17">
        <f>SQRT((4*(HSP!$B$4-$B421)^2+(HSP!$C$4-$C421)^2+(HSP!$D$4-$D421)^2))</f>
        <v>10.923644080617052</v>
      </c>
      <c r="I421" s="17">
        <f>SQRT((4*(HSP!$B$5-$B421)^2+(HSP!$C$5-$C421)^2+(HSP!$D$5-$D421)^2))</f>
        <v>5.2968764380529008</v>
      </c>
      <c r="J421" s="17">
        <f>SQRT((4*(HSP!$B$6-$B421)^2+(HSP!$C$6-$C421)^2+(HSP!$D$6-$D421)^2))</f>
        <v>11.035714748035126</v>
      </c>
      <c r="K421" s="17">
        <f t="shared" si="0"/>
        <v>0.47315687924023014</v>
      </c>
      <c r="L421" s="17">
        <f t="shared" si="1"/>
        <v>0.43996045225517594</v>
      </c>
      <c r="M421" s="17">
        <f t="shared" si="2"/>
        <v>0.6388095953577223</v>
      </c>
      <c r="N421" s="17">
        <f t="shared" si="3"/>
        <v>0.3097588560264854</v>
      </c>
      <c r="O421" s="17">
        <f t="shared" si="4"/>
        <v>0.64536343555760967</v>
      </c>
      <c r="P421" s="17">
        <f>$F421/HSP!$E$2</f>
        <v>0.49637930276122305</v>
      </c>
      <c r="Q421" s="17">
        <f>$G421/HSP!$E$3</f>
        <v>0.5572832395232229</v>
      </c>
      <c r="R421" s="17">
        <f>$H421/HSP!$E$4</f>
        <v>0.6870216402903806</v>
      </c>
      <c r="S421" s="17">
        <f>$I421/HSP!$E$5</f>
        <v>0.38663331664619716</v>
      </c>
      <c r="T421" s="17">
        <f>$J421/HSP!$E$6</f>
        <v>0.74565640189426519</v>
      </c>
      <c r="U421" s="18" t="s">
        <v>888</v>
      </c>
      <c r="V421" s="12"/>
      <c r="W421" s="12"/>
      <c r="X421" s="12"/>
      <c r="Y421" s="12"/>
      <c r="Z421" s="12"/>
    </row>
    <row r="422" spans="1:26" ht="15" customHeight="1" x14ac:dyDescent="0.3">
      <c r="A422" s="26" t="s">
        <v>908</v>
      </c>
      <c r="B422" s="17">
        <v>19.3</v>
      </c>
      <c r="C422" s="17">
        <v>16.7</v>
      </c>
      <c r="D422" s="17">
        <v>4.7</v>
      </c>
      <c r="E422" s="17">
        <v>17.399999999999999</v>
      </c>
      <c r="F422" s="17">
        <f>SQRT((4*(HSP!$B$2-$B422)^2+(HSP!$C$2-$C422)^2+(HSP!$D$2-$D422)^2))</f>
        <v>11.510690683012902</v>
      </c>
      <c r="G422" s="17">
        <f>SQRT((4*(HSP!$B$3-$B422)^2+(HSP!$C$3-$C422)^2+(HSP!$D$3-$D422)^2))</f>
        <v>10.146151979938011</v>
      </c>
      <c r="H422" s="17">
        <f>SQRT((4*(HSP!$B$4-$B422)^2+(HSP!$C$4-$C422)^2+(HSP!$D$4-$D422)^2))</f>
        <v>14.734924499297579</v>
      </c>
      <c r="I422" s="17">
        <f>SQRT((4*(HSP!$B$5-$B422)^2+(HSP!$C$5-$C422)^2+(HSP!$D$5-$D422)^2))</f>
        <v>10.936951129085291</v>
      </c>
      <c r="J422" s="17">
        <f>SQRT((4*(HSP!$B$6-$B422)^2+(HSP!$C$6-$C422)^2+(HSP!$D$6-$D422)^2))</f>
        <v>13.082774935005189</v>
      </c>
      <c r="K422" s="17">
        <f t="shared" si="0"/>
        <v>0.66153394729959214</v>
      </c>
      <c r="L422" s="17">
        <f t="shared" si="1"/>
        <v>0.58311218275505816</v>
      </c>
      <c r="M422" s="17">
        <f t="shared" si="2"/>
        <v>0.84683474133894132</v>
      </c>
      <c r="N422" s="17">
        <f t="shared" si="3"/>
        <v>0.62856040971754545</v>
      </c>
      <c r="O422" s="17">
        <f t="shared" si="4"/>
        <v>0.75188361695432127</v>
      </c>
      <c r="P422" s="17">
        <f>$F422/HSP!$E$2</f>
        <v>0.70617734251612896</v>
      </c>
      <c r="Q422" s="17">
        <f>$G422/HSP!$E$3</f>
        <v>0.75156681332874153</v>
      </c>
      <c r="R422" s="17">
        <f>$H422/HSP!$E$4</f>
        <v>0.92672481127657724</v>
      </c>
      <c r="S422" s="17">
        <f>$I422/HSP!$E$5</f>
        <v>0.79831760066315993</v>
      </c>
      <c r="T422" s="17">
        <f>$J422/HSP!$E$6</f>
        <v>0.8839712793922424</v>
      </c>
      <c r="U422" s="18" t="s">
        <v>888</v>
      </c>
      <c r="V422" s="12"/>
      <c r="W422" s="12"/>
      <c r="X422" s="12"/>
      <c r="Y422" s="12"/>
      <c r="Z422" s="12"/>
    </row>
    <row r="423" spans="1:26" ht="15" customHeight="1" x14ac:dyDescent="0.3">
      <c r="A423" s="26" t="s">
        <v>909</v>
      </c>
      <c r="B423" s="17">
        <v>18.5</v>
      </c>
      <c r="C423" s="17">
        <v>5.7</v>
      </c>
      <c r="D423" s="17">
        <v>8.6999999999999993</v>
      </c>
      <c r="E423" s="17">
        <v>4.2</v>
      </c>
      <c r="F423" s="17">
        <f>SQRT((4*(HSP!$B$2-$B423)^2+(HSP!$C$2-$C423)^2+(HSP!$D$2-$D423)^2))</f>
        <v>9.2981718633288342</v>
      </c>
      <c r="G423" s="17">
        <f>SQRT((4*(HSP!$B$3-$B423)^2+(HSP!$C$3-$C423)^2+(HSP!$D$3-$D423)^2))</f>
        <v>7.4538848931278787</v>
      </c>
      <c r="H423" s="17">
        <f>SQRT((4*(HSP!$B$4-$B423)^2+(HSP!$C$4-$C423)^2+(HSP!$D$4-$D423)^2))</f>
        <v>7.0004285583098413</v>
      </c>
      <c r="I423" s="17">
        <f>SQRT((4*(HSP!$B$5-$B423)^2+(HSP!$C$5-$C423)^2+(HSP!$D$5-$D423)^2))</f>
        <v>9.7971883721810737</v>
      </c>
      <c r="J423" s="17">
        <f>SQRT((4*(HSP!$B$6-$B423)^2+(HSP!$C$6-$C423)^2+(HSP!$D$6-$D423)^2))</f>
        <v>8.1109185669688486</v>
      </c>
      <c r="K423" s="17">
        <f t="shared" si="0"/>
        <v>2.2138504436497222</v>
      </c>
      <c r="L423" s="17">
        <f t="shared" si="1"/>
        <v>1.7747344983637805</v>
      </c>
      <c r="M423" s="17">
        <f t="shared" si="2"/>
        <v>1.6667687043594859</v>
      </c>
      <c r="N423" s="17">
        <f t="shared" si="3"/>
        <v>2.332663898138351</v>
      </c>
      <c r="O423" s="17">
        <f t="shared" si="4"/>
        <v>1.9311710873735353</v>
      </c>
      <c r="P423" s="17">
        <f>$F423/HSP!$E$2</f>
        <v>0.57043999161526593</v>
      </c>
      <c r="Q423" s="17">
        <f>$G423/HSP!$E$3</f>
        <v>0.55213962171317621</v>
      </c>
      <c r="R423" s="17">
        <f>$H423/HSP!$E$4</f>
        <v>0.44027852567986425</v>
      </c>
      <c r="S423" s="17">
        <f>$I423/HSP!$E$5</f>
        <v>0.71512323884533391</v>
      </c>
      <c r="T423" s="17">
        <f>$J423/HSP!$E$6</f>
        <v>0.54803503830870592</v>
      </c>
      <c r="U423" s="18" t="s">
        <v>890</v>
      </c>
      <c r="V423" s="12"/>
      <c r="W423" s="12"/>
      <c r="X423" s="12"/>
      <c r="Y423" s="12"/>
      <c r="Z423" s="12"/>
    </row>
    <row r="424" spans="1:26" ht="15" customHeight="1" x14ac:dyDescent="0.3">
      <c r="A424" s="26" t="s">
        <v>910</v>
      </c>
      <c r="B424" s="17">
        <v>18</v>
      </c>
      <c r="C424" s="17">
        <v>5.6</v>
      </c>
      <c r="D424" s="17">
        <v>8.4</v>
      </c>
      <c r="E424" s="17">
        <v>4.5</v>
      </c>
      <c r="F424" s="17">
        <f>SQRT((4*(HSP!$B$2-$B424)^2+(HSP!$C$2-$C424)^2+(HSP!$D$2-$D424)^2))</f>
        <v>8.4779714554839138</v>
      </c>
      <c r="G424" s="17">
        <f>SQRT((4*(HSP!$B$3-$B424)^2+(HSP!$C$3-$C424)^2+(HSP!$D$3-$D424)^2))</f>
        <v>6.6696626601350699</v>
      </c>
      <c r="H424" s="17">
        <f>SQRT((4*(HSP!$B$4-$B424)^2+(HSP!$C$4-$C424)^2+(HSP!$D$4-$D424)^2))</f>
        <v>5.9533184023702281</v>
      </c>
      <c r="I424" s="17">
        <f>SQRT((4*(HSP!$B$5-$B424)^2+(HSP!$C$5-$C424)^2+(HSP!$D$5-$D424)^2))</f>
        <v>9.3223870333729444</v>
      </c>
      <c r="J424" s="17">
        <f>SQRT((4*(HSP!$B$6-$B424)^2+(HSP!$C$6-$C424)^2+(HSP!$D$6-$D424)^2))</f>
        <v>7.155627156301537</v>
      </c>
      <c r="K424" s="17">
        <f t="shared" si="0"/>
        <v>1.8839936567742031</v>
      </c>
      <c r="L424" s="17">
        <f t="shared" si="1"/>
        <v>1.4821472578077932</v>
      </c>
      <c r="M424" s="17">
        <f t="shared" si="2"/>
        <v>1.3229596449711618</v>
      </c>
      <c r="N424" s="17">
        <f t="shared" si="3"/>
        <v>2.0716415629717653</v>
      </c>
      <c r="O424" s="17">
        <f t="shared" si="4"/>
        <v>1.5901393680670082</v>
      </c>
      <c r="P424" s="17">
        <f>$F424/HSP!$E$2</f>
        <v>0.52012094818919719</v>
      </c>
      <c r="Q424" s="17">
        <f>$G424/HSP!$E$3</f>
        <v>0.49404908593593111</v>
      </c>
      <c r="R424" s="17">
        <f>$H424/HSP!$E$4</f>
        <v>0.37442254102957406</v>
      </c>
      <c r="S424" s="17">
        <f>$I424/HSP!$E$5</f>
        <v>0.68046620681554337</v>
      </c>
      <c r="T424" s="17">
        <f>$J424/HSP!$E$6</f>
        <v>0.48348832137172543</v>
      </c>
      <c r="U424" s="18" t="s">
        <v>890</v>
      </c>
      <c r="V424" s="12"/>
      <c r="W424" s="12"/>
      <c r="X424" s="12"/>
      <c r="Y424" s="12"/>
      <c r="Z424" s="12"/>
    </row>
    <row r="425" spans="1:26" ht="15" customHeight="1" x14ac:dyDescent="0.3">
      <c r="A425" s="26" t="s">
        <v>911</v>
      </c>
      <c r="B425" s="17">
        <v>19.100000000000001</v>
      </c>
      <c r="C425" s="17">
        <v>10.9</v>
      </c>
      <c r="D425" s="17">
        <v>5.0999999999999996</v>
      </c>
      <c r="E425" s="17">
        <v>12.1</v>
      </c>
      <c r="F425" s="17">
        <f>SQRT((4*(HSP!$B$2-$B425)^2+(HSP!$C$2-$C425)^2+(HSP!$D$2-$D425)^2))</f>
        <v>9.2047813662248412</v>
      </c>
      <c r="G425" s="17">
        <f>SQRT((4*(HSP!$B$3-$B425)^2+(HSP!$C$3-$C425)^2+(HSP!$D$3-$D425)^2))</f>
        <v>6.9691032421682522</v>
      </c>
      <c r="H425" s="17">
        <f>SQRT((4*(HSP!$B$4-$B425)^2+(HSP!$C$4-$C425)^2+(HSP!$D$4-$D425)^2))</f>
        <v>10.166513660050827</v>
      </c>
      <c r="I425" s="17">
        <f>SQRT((4*(HSP!$B$5-$B425)^2+(HSP!$C$5-$C425)^2+(HSP!$D$5-$D425)^2))</f>
        <v>9.796780083272262</v>
      </c>
      <c r="J425" s="17">
        <f>SQRT((4*(HSP!$B$6-$B425)^2+(HSP!$C$6-$C425)^2+(HSP!$D$6-$D425)^2))</f>
        <v>8.9565060151824873</v>
      </c>
      <c r="K425" s="17">
        <f t="shared" si="0"/>
        <v>0.76072573274585464</v>
      </c>
      <c r="L425" s="17">
        <f t="shared" si="1"/>
        <v>0.57595894563373984</v>
      </c>
      <c r="M425" s="17">
        <f t="shared" si="2"/>
        <v>0.8402077405000683</v>
      </c>
      <c r="N425" s="17">
        <f t="shared" si="3"/>
        <v>0.80965124655142662</v>
      </c>
      <c r="O425" s="17">
        <f t="shared" si="4"/>
        <v>0.74020710869276762</v>
      </c>
      <c r="P425" s="17">
        <f>$F425/HSP!$E$2</f>
        <v>0.56471051326532762</v>
      </c>
      <c r="Q425" s="17">
        <f>$G425/HSP!$E$3</f>
        <v>0.51622986979024088</v>
      </c>
      <c r="R425" s="17">
        <f>$H425/HSP!$E$4</f>
        <v>0.63940337484596388</v>
      </c>
      <c r="S425" s="17">
        <f>$I425/HSP!$E$5</f>
        <v>0.71509343673520165</v>
      </c>
      <c r="T425" s="17">
        <f>$J425/HSP!$E$6</f>
        <v>0.60516932535016799</v>
      </c>
      <c r="U425" s="18" t="s">
        <v>888</v>
      </c>
      <c r="V425" s="12"/>
      <c r="W425" s="12"/>
      <c r="X425" s="12"/>
      <c r="Y425" s="12"/>
      <c r="Z425" s="12"/>
    </row>
    <row r="426" spans="1:26" ht="15" customHeight="1" x14ac:dyDescent="0.3">
      <c r="A426" s="26" t="s">
        <v>912</v>
      </c>
      <c r="B426" s="17">
        <v>24.3</v>
      </c>
      <c r="C426" s="17">
        <v>19.5</v>
      </c>
      <c r="D426" s="17">
        <v>22.9</v>
      </c>
      <c r="E426" s="17">
        <v>21.6</v>
      </c>
      <c r="F426" s="17">
        <f>SQRT((4*(HSP!$B$2-$B426)^2+(HSP!$C$2-$C426)^2+(HSP!$D$2-$D426)^2))</f>
        <v>26.674482188038816</v>
      </c>
      <c r="G426" s="17">
        <f>SQRT((4*(HSP!$B$3-$B426)^2+(HSP!$C$3-$C426)^2+(HSP!$D$3-$D426)^2))</f>
        <v>26.174040574584584</v>
      </c>
      <c r="H426" s="17">
        <f>SQRT((4*(HSP!$B$4-$B426)^2+(HSP!$C$4-$C426)^2+(HSP!$D$4-$D426)^2))</f>
        <v>28.500350875033099</v>
      </c>
      <c r="I426" s="17">
        <f>SQRT((4*(HSP!$B$5-$B426)^2+(HSP!$C$5-$C426)^2+(HSP!$D$5-$D426)^2))</f>
        <v>22.702706887065251</v>
      </c>
      <c r="J426" s="17">
        <f>SQRT((4*(HSP!$B$6-$B426)^2+(HSP!$C$6-$C426)^2+(HSP!$D$6-$D426)^2))</f>
        <v>29.323898103765128</v>
      </c>
      <c r="K426" s="17">
        <f t="shared" si="0"/>
        <v>1.234929730927723</v>
      </c>
      <c r="L426" s="17">
        <f t="shared" si="1"/>
        <v>1.2117611377122492</v>
      </c>
      <c r="M426" s="17">
        <f t="shared" si="2"/>
        <v>1.3194606886589397</v>
      </c>
      <c r="N426" s="17">
        <f t="shared" si="3"/>
        <v>1.0510512447715392</v>
      </c>
      <c r="O426" s="17">
        <f t="shared" si="4"/>
        <v>1.3575878751743113</v>
      </c>
      <c r="P426" s="17">
        <f>$F426/HSP!$E$2</f>
        <v>1.636471299879682</v>
      </c>
      <c r="Q426" s="17">
        <f>$G426/HSP!$E$3</f>
        <v>1.9388178203395989</v>
      </c>
      <c r="R426" s="17">
        <f>$H426/HSP!$E$4</f>
        <v>1.7924748978008238</v>
      </c>
      <c r="S426" s="17">
        <f>$I426/HSP!$E$5</f>
        <v>1.6571318895668068</v>
      </c>
      <c r="T426" s="17">
        <f>$J426/HSP!$E$6</f>
        <v>1.9813444664706166</v>
      </c>
      <c r="U426" s="18" t="s">
        <v>888</v>
      </c>
      <c r="V426" s="12"/>
      <c r="W426" s="12"/>
      <c r="X426" s="12"/>
      <c r="Y426" s="12"/>
      <c r="Z426" s="12"/>
    </row>
    <row r="427" spans="1:26" ht="15" customHeight="1" x14ac:dyDescent="0.3">
      <c r="A427" s="26" t="s">
        <v>913</v>
      </c>
      <c r="B427" s="17">
        <v>16.899999999999999</v>
      </c>
      <c r="C427" s="17">
        <v>8.9</v>
      </c>
      <c r="D427" s="17">
        <v>2.7</v>
      </c>
      <c r="E427" s="17">
        <v>11.7</v>
      </c>
      <c r="F427" s="17">
        <f>SQRT((4*(HSP!$B$2-$B427)^2+(HSP!$C$2-$C427)^2+(HSP!$D$2-$D427)^2))</f>
        <v>6.4739477909541394</v>
      </c>
      <c r="G427" s="17">
        <f>SQRT((4*(HSP!$B$3-$B427)^2+(HSP!$C$3-$C427)^2+(HSP!$D$3-$D427)^2))</f>
        <v>4.0209949017624966</v>
      </c>
      <c r="H427" s="17">
        <f>SQRT((4*(HSP!$B$4-$B427)^2+(HSP!$C$4-$C427)^2+(HSP!$D$4-$D427)^2))</f>
        <v>6.8256867786326083</v>
      </c>
      <c r="I427" s="17">
        <f>SQRT((4*(HSP!$B$5-$B427)^2+(HSP!$C$5-$C427)^2+(HSP!$D$5-$D427)^2))</f>
        <v>9.6412084304821448</v>
      </c>
      <c r="J427" s="17">
        <f>SQRT((4*(HSP!$B$6-$B427)^2+(HSP!$C$6-$C427)^2+(HSP!$D$6-$D427)^2))</f>
        <v>4.2486468434079088</v>
      </c>
      <c r="K427" s="17">
        <f t="shared" si="0"/>
        <v>0.55332887102172135</v>
      </c>
      <c r="L427" s="17">
        <f t="shared" si="1"/>
        <v>0.34367477792841855</v>
      </c>
      <c r="M427" s="17">
        <f t="shared" si="2"/>
        <v>0.5833920323617614</v>
      </c>
      <c r="N427" s="17">
        <f t="shared" si="3"/>
        <v>0.8240349085882176</v>
      </c>
      <c r="O427" s="17">
        <f t="shared" si="4"/>
        <v>0.36313220883828284</v>
      </c>
      <c r="P427" s="17">
        <f>$F427/HSP!$E$2</f>
        <v>0.39717471110148095</v>
      </c>
      <c r="Q427" s="17">
        <f>$G427/HSP!$E$3</f>
        <v>0.29785147420462937</v>
      </c>
      <c r="R427" s="17">
        <f>$H427/HSP!$E$4</f>
        <v>0.42928847664356024</v>
      </c>
      <c r="S427" s="17">
        <f>$I427/HSP!$E$5</f>
        <v>0.70373784164103248</v>
      </c>
      <c r="T427" s="17">
        <f>$J427/HSP!$E$6</f>
        <v>0.2870707326626965</v>
      </c>
      <c r="U427" s="18" t="s">
        <v>888</v>
      </c>
      <c r="V427" s="12"/>
      <c r="W427" s="12"/>
      <c r="X427" s="12"/>
      <c r="Y427" s="12"/>
      <c r="Z427" s="12"/>
    </row>
    <row r="428" spans="1:26" ht="15" customHeight="1" x14ac:dyDescent="0.3">
      <c r="A428" s="26" t="s">
        <v>914</v>
      </c>
      <c r="B428" s="17">
        <v>17.2</v>
      </c>
      <c r="C428" s="17">
        <v>5.6</v>
      </c>
      <c r="D428" s="17">
        <v>0.4</v>
      </c>
      <c r="E428" s="17">
        <v>4.5</v>
      </c>
      <c r="F428" s="17">
        <f>SQRT((4*(HSP!$B$2-$B428)^2+(HSP!$C$2-$C428)^2+(HSP!$D$2-$D428)^2))</f>
        <v>9.6930903224926155</v>
      </c>
      <c r="G428" s="17">
        <f>SQRT((4*(HSP!$B$3-$B428)^2+(HSP!$C$3-$C428)^2+(HSP!$D$3-$D428)^2))</f>
        <v>7.4148769376166994</v>
      </c>
      <c r="H428" s="17">
        <f>SQRT((4*(HSP!$B$4-$B428)^2+(HSP!$C$4-$C428)^2+(HSP!$D$4-$D428)^2))</f>
        <v>7.6347887986505549</v>
      </c>
      <c r="I428" s="17">
        <f>SQRT((4*(HSP!$B$5-$B428)^2+(HSP!$C$5-$C428)^2+(HSP!$D$5-$D428)^2))</f>
        <v>13.284385571037902</v>
      </c>
      <c r="J428" s="17">
        <f>SQRT((4*(HSP!$B$6-$B428)^2+(HSP!$C$6-$C428)^2+(HSP!$D$6-$D428)^2))</f>
        <v>5.2431860542994277</v>
      </c>
      <c r="K428" s="17">
        <f t="shared" si="0"/>
        <v>2.1540200716650255</v>
      </c>
      <c r="L428" s="17">
        <f t="shared" si="1"/>
        <v>1.6477504305814887</v>
      </c>
      <c r="M428" s="17">
        <f t="shared" si="2"/>
        <v>1.6966197330334567</v>
      </c>
      <c r="N428" s="17">
        <f t="shared" si="3"/>
        <v>2.952085682452867</v>
      </c>
      <c r="O428" s="17">
        <f t="shared" si="4"/>
        <v>1.1651524565109839</v>
      </c>
      <c r="P428" s="17">
        <f>$F428/HSP!$E$2</f>
        <v>0.59466811794433216</v>
      </c>
      <c r="Q428" s="17">
        <f>$G428/HSP!$E$3</f>
        <v>0.54925014352716295</v>
      </c>
      <c r="R428" s="17">
        <f>$H428/HSP!$E$4</f>
        <v>0.48017539614154431</v>
      </c>
      <c r="S428" s="17">
        <f>$I428/HSP!$E$5</f>
        <v>0.96966318036773014</v>
      </c>
      <c r="T428" s="17">
        <f>$J428/HSP!$E$6</f>
        <v>0.35426932799320454</v>
      </c>
      <c r="U428" s="18" t="s">
        <v>890</v>
      </c>
      <c r="V428" s="12"/>
      <c r="W428" s="12"/>
      <c r="X428" s="12"/>
      <c r="Y428" s="12"/>
      <c r="Z428" s="12"/>
    </row>
    <row r="429" spans="1:26" ht="15" customHeight="1" x14ac:dyDescent="0.3">
      <c r="A429" s="26" t="s">
        <v>915</v>
      </c>
      <c r="B429" s="17">
        <v>19.8</v>
      </c>
      <c r="C429" s="17">
        <v>11.2</v>
      </c>
      <c r="D429" s="17">
        <v>6.2</v>
      </c>
      <c r="E429" s="17">
        <v>11.3</v>
      </c>
      <c r="F429" s="17">
        <f>SQRT((4*(HSP!$B$2-$B429)^2+(HSP!$C$2-$C429)^2+(HSP!$D$2-$D429)^2))</f>
        <v>10.455429211658412</v>
      </c>
      <c r="G429" s="17">
        <f>SQRT((4*(HSP!$B$3-$B429)^2+(HSP!$C$3-$C429)^2+(HSP!$D$3-$D429)^2))</f>
        <v>8.3716426106230823</v>
      </c>
      <c r="H429" s="17">
        <f>SQRT((4*(HSP!$B$4-$B429)^2+(HSP!$C$4-$C429)^2+(HSP!$D$4-$D429)^2))</f>
        <v>11.340987611314988</v>
      </c>
      <c r="I429" s="17">
        <f>SQRT((4*(HSP!$B$5-$B429)^2+(HSP!$C$5-$C429)^2+(HSP!$D$5-$D429)^2))</f>
        <v>10.332806975841562</v>
      </c>
      <c r="J429" s="17">
        <f>SQRT((4*(HSP!$B$6-$B429)^2+(HSP!$C$6-$C429)^2+(HSP!$D$6-$D429)^2))</f>
        <v>10.505189193917454</v>
      </c>
      <c r="K429" s="17">
        <f t="shared" si="0"/>
        <v>0.92525922227065593</v>
      </c>
      <c r="L429" s="17">
        <f t="shared" si="1"/>
        <v>0.74085332837372408</v>
      </c>
      <c r="M429" s="17">
        <f t="shared" si="2"/>
        <v>1.0036272222402645</v>
      </c>
      <c r="N429" s="17">
        <f t="shared" si="3"/>
        <v>0.91440769697712931</v>
      </c>
      <c r="O429" s="17">
        <f t="shared" si="4"/>
        <v>0.92966276052366847</v>
      </c>
      <c r="P429" s="17">
        <f>$F429/HSP!$E$2</f>
        <v>0.64143737494836883</v>
      </c>
      <c r="Q429" s="17">
        <f>$G429/HSP!$E$3</f>
        <v>0.62012167486096903</v>
      </c>
      <c r="R429" s="17">
        <f>$H429/HSP!$E$4</f>
        <v>0.71326966108899292</v>
      </c>
      <c r="S429" s="17">
        <f>$I429/HSP!$E$5</f>
        <v>0.75421948728770527</v>
      </c>
      <c r="T429" s="17">
        <f>$J429/HSP!$E$6</f>
        <v>0.70981008067009821</v>
      </c>
      <c r="U429" s="18" t="s">
        <v>888</v>
      </c>
      <c r="V429" s="12"/>
      <c r="W429" s="12"/>
      <c r="X429" s="12"/>
      <c r="Y429" s="12"/>
      <c r="Z429" s="12"/>
    </row>
    <row r="430" spans="1:26" ht="15" customHeight="1" x14ac:dyDescent="0.3">
      <c r="A430" s="26" t="s">
        <v>916</v>
      </c>
      <c r="B430" s="17">
        <v>17.2</v>
      </c>
      <c r="C430" s="17">
        <v>9</v>
      </c>
      <c r="D430" s="17">
        <v>9.8000000000000007</v>
      </c>
      <c r="E430" s="17">
        <v>5.3</v>
      </c>
      <c r="F430" s="17">
        <f>SQRT((4*(HSP!$B$2-$B430)^2+(HSP!$C$2-$C430)^2+(HSP!$D$2-$D430)^2))</f>
        <v>6.0929467419303771</v>
      </c>
      <c r="G430" s="17">
        <f>SQRT((4*(HSP!$B$3-$B430)^2+(HSP!$C$3-$C430)^2+(HSP!$D$3-$D430)^2))</f>
        <v>5.0394841005801378</v>
      </c>
      <c r="H430" s="17">
        <f>SQRT((4*(HSP!$B$4-$B430)^2+(HSP!$C$4-$C430)^2+(HSP!$D$4-$D430)^2))</f>
        <v>6.6442456306190243</v>
      </c>
      <c r="I430" s="17">
        <f>SQRT((4*(HSP!$B$5-$B430)^2+(HSP!$C$5-$C430)^2+(HSP!$D$5-$D430)^2))</f>
        <v>5.4785855838893305</v>
      </c>
      <c r="J430" s="17">
        <f>SQRT((4*(HSP!$B$6-$B430)^2+(HSP!$C$6-$C430)^2+(HSP!$D$6-$D430)^2))</f>
        <v>7.5436728455043704</v>
      </c>
      <c r="K430" s="17">
        <f t="shared" si="0"/>
        <v>1.1496125928170524</v>
      </c>
      <c r="L430" s="17">
        <f t="shared" si="1"/>
        <v>0.95084605671323363</v>
      </c>
      <c r="M430" s="17">
        <f t="shared" si="2"/>
        <v>1.2536312510601932</v>
      </c>
      <c r="N430" s="17">
        <f t="shared" si="3"/>
        <v>1.0336953931866661</v>
      </c>
      <c r="O430" s="17">
        <f t="shared" si="4"/>
        <v>1.423334499151768</v>
      </c>
      <c r="P430" s="17">
        <f>$F430/HSP!$E$2</f>
        <v>0.37380041361536054</v>
      </c>
      <c r="Q430" s="17">
        <f>$G430/HSP!$E$3</f>
        <v>0.37329511856149167</v>
      </c>
      <c r="R430" s="17">
        <f>$H430/HSP!$E$4</f>
        <v>0.4178770836867311</v>
      </c>
      <c r="S430" s="17">
        <f>$I430/HSP!$E$5</f>
        <v>0.39989675794812635</v>
      </c>
      <c r="T430" s="17">
        <f>$J430/HSP!$E$6</f>
        <v>0.5097076246962412</v>
      </c>
      <c r="U430" s="18" t="s">
        <v>888</v>
      </c>
      <c r="V430" s="12"/>
      <c r="W430" s="12"/>
      <c r="X430" s="12"/>
      <c r="Y430" s="12"/>
      <c r="Z430" s="12"/>
    </row>
    <row r="431" spans="1:26" ht="15" customHeight="1" x14ac:dyDescent="0.3">
      <c r="A431" s="26" t="s">
        <v>917</v>
      </c>
      <c r="B431" s="17">
        <v>13.8</v>
      </c>
      <c r="C431" s="17">
        <v>5</v>
      </c>
      <c r="D431" s="17">
        <v>1.2</v>
      </c>
      <c r="E431" s="17">
        <v>14.3</v>
      </c>
      <c r="F431" s="17">
        <f>SQRT((4*(HSP!$B$2-$B431)^2+(HSP!$C$2-$C431)^2+(HSP!$D$2-$D431)^2))</f>
        <v>8.1104870383966468</v>
      </c>
      <c r="G431" s="17">
        <f>SQRT((4*(HSP!$B$3-$B431)^2+(HSP!$C$3-$C431)^2+(HSP!$D$3-$D431)^2))</f>
        <v>7.5728726385698568</v>
      </c>
      <c r="H431" s="17">
        <f>SQRT((4*(HSP!$B$4-$B431)^2+(HSP!$C$4-$C431)^2+(HSP!$D$4-$D431)^2))</f>
        <v>6.2425956140054426</v>
      </c>
      <c r="I431" s="17">
        <f>SQRT((4*(HSP!$B$5-$B431)^2+(HSP!$C$5-$C431)^2+(HSP!$D$5-$D431)^2))</f>
        <v>12.76381212647695</v>
      </c>
      <c r="J431" s="17">
        <f>SQRT((4*(HSP!$B$6-$B431)^2+(HSP!$C$6-$C431)^2+(HSP!$D$6-$D431)^2))</f>
        <v>4.208443892937149</v>
      </c>
      <c r="K431" s="17">
        <f t="shared" si="0"/>
        <v>0.56716692576200323</v>
      </c>
      <c r="L431" s="17">
        <f t="shared" si="1"/>
        <v>0.52957151318670326</v>
      </c>
      <c r="M431" s="17">
        <f t="shared" si="2"/>
        <v>0.43654514783254839</v>
      </c>
      <c r="N431" s="17">
        <f t="shared" si="3"/>
        <v>0.89257427457880767</v>
      </c>
      <c r="O431" s="17">
        <f t="shared" si="4"/>
        <v>0.29429677572987056</v>
      </c>
      <c r="P431" s="17">
        <f>$F431/HSP!$E$2</f>
        <v>0.49757589192617463</v>
      </c>
      <c r="Q431" s="17">
        <f>$G431/HSP!$E$3</f>
        <v>0.56095352878295235</v>
      </c>
      <c r="R431" s="17">
        <f>$H431/HSP!$E$4</f>
        <v>0.39261607635254353</v>
      </c>
      <c r="S431" s="17">
        <f>$I431/HSP!$E$5</f>
        <v>0.93166511872094526</v>
      </c>
      <c r="T431" s="17">
        <f>$J431/HSP!$E$6</f>
        <v>0.28435431709034792</v>
      </c>
      <c r="U431" s="18" t="s">
        <v>888</v>
      </c>
      <c r="V431" s="12"/>
      <c r="W431" s="12"/>
      <c r="X431" s="12"/>
      <c r="Y431" s="12"/>
      <c r="Z431" s="12"/>
    </row>
    <row r="432" spans="1:26" ht="15" customHeight="1" x14ac:dyDescent="0.3">
      <c r="A432" s="26" t="s">
        <v>918</v>
      </c>
      <c r="B432" s="17">
        <v>17.2</v>
      </c>
      <c r="C432" s="17">
        <v>6</v>
      </c>
      <c r="D432" s="17">
        <v>4.5999999999999996</v>
      </c>
      <c r="E432" s="17">
        <v>9.8000000000000007</v>
      </c>
      <c r="F432" s="17">
        <f>SQRT((4*(HSP!$B$2-$B432)^2+(HSP!$C$2-$C432)^2+(HSP!$D$2-$D432)^2))</f>
        <v>7.252309976828073</v>
      </c>
      <c r="G432" s="17">
        <f>SQRT((4*(HSP!$B$3-$B432)^2+(HSP!$C$3-$C432)^2+(HSP!$D$3-$D432)^2))</f>
        <v>4.8994285381052354</v>
      </c>
      <c r="H432" s="17">
        <f>SQRT((4*(HSP!$B$4-$B432)^2+(HSP!$C$4-$C432)^2+(HSP!$D$4-$D432)^2))</f>
        <v>4.8027075696944106</v>
      </c>
      <c r="I432" s="17">
        <f>SQRT((4*(HSP!$B$5-$B432)^2+(HSP!$C$5-$C432)^2+(HSP!$D$5-$D432)^2))</f>
        <v>10.006342988324956</v>
      </c>
      <c r="J432" s="17">
        <f>SQRT((4*(HSP!$B$6-$B432)^2+(HSP!$C$6-$C432)^2+(HSP!$D$6-$D432)^2))</f>
        <v>3.9556289006932888</v>
      </c>
      <c r="K432" s="17">
        <f t="shared" si="0"/>
        <v>0.74003163028857877</v>
      </c>
      <c r="L432" s="17">
        <f t="shared" si="1"/>
        <v>0.49994168756175866</v>
      </c>
      <c r="M432" s="17">
        <f t="shared" si="2"/>
        <v>0.49007220098922555</v>
      </c>
      <c r="N432" s="17">
        <f t="shared" si="3"/>
        <v>1.0210554069719342</v>
      </c>
      <c r="O432" s="17">
        <f t="shared" si="4"/>
        <v>0.40363560211156002</v>
      </c>
      <c r="P432" s="17">
        <f>$F432/HSP!$E$2</f>
        <v>0.44492699244344003</v>
      </c>
      <c r="Q432" s="17">
        <f>$G432/HSP!$E$3</f>
        <v>0.36292063245223966</v>
      </c>
      <c r="R432" s="17">
        <f>$H432/HSP!$E$4</f>
        <v>0.30205707985499436</v>
      </c>
      <c r="S432" s="17">
        <f>$I432/HSP!$E$5</f>
        <v>0.73038999914780711</v>
      </c>
      <c r="T432" s="17">
        <f>$J432/HSP!$E$6</f>
        <v>0.26727222301981679</v>
      </c>
      <c r="U432" s="18" t="s">
        <v>888</v>
      </c>
      <c r="V432" s="12"/>
      <c r="W432" s="12"/>
      <c r="X432" s="12"/>
      <c r="Y432" s="12"/>
      <c r="Z432" s="12"/>
    </row>
    <row r="433" spans="1:26" ht="15" customHeight="1" x14ac:dyDescent="0.3">
      <c r="A433" s="26" t="s">
        <v>919</v>
      </c>
      <c r="B433" s="17">
        <v>25.3</v>
      </c>
      <c r="C433" s="17">
        <v>17.3</v>
      </c>
      <c r="D433" s="17">
        <v>6.7</v>
      </c>
      <c r="E433" s="17">
        <v>23.6</v>
      </c>
      <c r="F433" s="17">
        <f>SQRT((4*(HSP!$B$2-$B433)^2+(HSP!$C$2-$C433)^2+(HSP!$D$2-$D433)^2))</f>
        <v>22.46828876438969</v>
      </c>
      <c r="G433" s="17">
        <f>SQRT((4*(HSP!$B$3-$B433)^2+(HSP!$C$3-$C433)^2+(HSP!$D$3-$D433)^2))</f>
        <v>20.701507191506614</v>
      </c>
      <c r="H433" s="17">
        <f>SQRT((4*(HSP!$B$4-$B433)^2+(HSP!$C$4-$C433)^2+(HSP!$D$4-$D433)^2))</f>
        <v>23.869268945654788</v>
      </c>
      <c r="I433" s="17">
        <f>SQRT((4*(HSP!$B$5-$B433)^2+(HSP!$C$5-$C433)^2+(HSP!$D$5-$D433)^2))</f>
        <v>21.006496614142971</v>
      </c>
      <c r="J433" s="17">
        <f>SQRT((4*(HSP!$B$6-$B433)^2+(HSP!$C$6-$C433)^2+(HSP!$D$6-$D433)^2))</f>
        <v>22.993107662949786</v>
      </c>
      <c r="K433" s="17">
        <f t="shared" si="0"/>
        <v>0.95204613408430883</v>
      </c>
      <c r="L433" s="17">
        <f t="shared" si="1"/>
        <v>0.87718250811468701</v>
      </c>
      <c r="M433" s="17">
        <f t="shared" si="2"/>
        <v>1.0114097010870673</v>
      </c>
      <c r="N433" s="17">
        <f t="shared" si="3"/>
        <v>0.89010578873487167</v>
      </c>
      <c r="O433" s="17">
        <f t="shared" si="4"/>
        <v>0.97428422300634676</v>
      </c>
      <c r="P433" s="17">
        <f>$F433/HSP!$E$2</f>
        <v>1.3784226235821895</v>
      </c>
      <c r="Q433" s="17">
        <f>$G433/HSP!$E$3</f>
        <v>1.533444977148638</v>
      </c>
      <c r="R433" s="17">
        <f>$H433/HSP!$E$4</f>
        <v>1.5012118833745149</v>
      </c>
      <c r="S433" s="17">
        <f>$I433/HSP!$E$5</f>
        <v>1.5333209207403629</v>
      </c>
      <c r="T433" s="17">
        <f>$J433/HSP!$E$6</f>
        <v>1.5535883556047152</v>
      </c>
      <c r="U433" s="18" t="s">
        <v>888</v>
      </c>
      <c r="V433" s="12"/>
      <c r="W433" s="12"/>
      <c r="X433" s="12"/>
      <c r="Y433" s="12"/>
      <c r="Z433" s="12"/>
    </row>
    <row r="434" spans="1:26" ht="15" customHeight="1" x14ac:dyDescent="0.3">
      <c r="A434" s="26" t="s">
        <v>920</v>
      </c>
      <c r="B434" s="17">
        <v>19.8</v>
      </c>
      <c r="C434" s="17">
        <v>17.399999999999999</v>
      </c>
      <c r="D434" s="17">
        <v>4.2</v>
      </c>
      <c r="E434" s="17">
        <v>18</v>
      </c>
      <c r="F434" s="17">
        <f>SQRT((4*(HSP!$B$2-$B434)^2+(HSP!$C$2-$C434)^2+(HSP!$D$2-$D434)^2))</f>
        <v>12.808278572860601</v>
      </c>
      <c r="G434" s="17">
        <f>SQRT((4*(HSP!$B$3-$B434)^2+(HSP!$C$3-$C434)^2+(HSP!$D$3-$D434)^2))</f>
        <v>11.406156232491295</v>
      </c>
      <c r="H434" s="17">
        <f>SQRT((4*(HSP!$B$4-$B434)^2+(HSP!$C$4-$C434)^2+(HSP!$D$4-$D434)^2))</f>
        <v>15.946974634707361</v>
      </c>
      <c r="I434" s="17">
        <f>SQRT((4*(HSP!$B$5-$B434)^2+(HSP!$C$5-$C434)^2+(HSP!$D$5-$D434)^2))</f>
        <v>12.217974463879028</v>
      </c>
      <c r="J434" s="17">
        <f>SQRT((4*(HSP!$B$6-$B434)^2+(HSP!$C$6-$C434)^2+(HSP!$D$6-$D434)^2))</f>
        <v>14.231900786613151</v>
      </c>
      <c r="K434" s="17">
        <f t="shared" si="0"/>
        <v>0.71157103182558901</v>
      </c>
      <c r="L434" s="17">
        <f t="shared" si="1"/>
        <v>0.63367534624951638</v>
      </c>
      <c r="M434" s="17">
        <f t="shared" si="2"/>
        <v>0.88594303526152007</v>
      </c>
      <c r="N434" s="17">
        <f t="shared" si="3"/>
        <v>0.67877635910439038</v>
      </c>
      <c r="O434" s="17">
        <f t="shared" si="4"/>
        <v>0.79066115481184174</v>
      </c>
      <c r="P434" s="17">
        <f>$F434/HSP!$E$2</f>
        <v>0.78578396152519026</v>
      </c>
      <c r="Q434" s="17">
        <f>$G434/HSP!$E$3</f>
        <v>0.84490046166602184</v>
      </c>
      <c r="R434" s="17">
        <f>$H434/HSP!$E$4</f>
        <v>1.0029543795413434</v>
      </c>
      <c r="S434" s="17">
        <f>$I434/HSP!$E$5</f>
        <v>0.89182295356781227</v>
      </c>
      <c r="T434" s="17">
        <f>$J434/HSP!$E$6</f>
        <v>0.96161491801440202</v>
      </c>
      <c r="U434" s="18" t="s">
        <v>888</v>
      </c>
      <c r="V434" s="12"/>
      <c r="W434" s="12"/>
      <c r="X434" s="12"/>
      <c r="Y434" s="12"/>
      <c r="Z434" s="12"/>
    </row>
    <row r="435" spans="1:26" ht="15" customHeight="1" x14ac:dyDescent="0.3">
      <c r="A435" s="26" t="s">
        <v>921</v>
      </c>
      <c r="B435" s="17">
        <v>16.600000000000001</v>
      </c>
      <c r="C435" s="17">
        <v>6.8</v>
      </c>
      <c r="D435" s="17">
        <v>0.6</v>
      </c>
      <c r="E435" s="17">
        <v>7.9</v>
      </c>
      <c r="F435" s="17">
        <f>SQRT((4*(HSP!$B$2-$B435)^2+(HSP!$C$2-$C435)^2+(HSP!$D$2-$D435)^2))</f>
        <v>8.3725742755737951</v>
      </c>
      <c r="G435" s="17">
        <f>SQRT((4*(HSP!$B$3-$B435)^2+(HSP!$C$3-$C435)^2+(HSP!$D$3-$D435)^2))</f>
        <v>6.2241786606748386</v>
      </c>
      <c r="H435" s="17">
        <f>SQRT((4*(HSP!$B$4-$B435)^2+(HSP!$C$4-$C435)^2+(HSP!$D$4-$D435)^2))</f>
        <v>7.1494055696959879</v>
      </c>
      <c r="I435" s="17">
        <f>SQRT((4*(HSP!$B$5-$B435)^2+(HSP!$C$5-$C435)^2+(HSP!$D$5-$D435)^2))</f>
        <v>12.199627043479651</v>
      </c>
      <c r="J435" s="17">
        <f>SQRT((4*(HSP!$B$6-$B435)^2+(HSP!$C$6-$C435)^2+(HSP!$D$6-$D435)^2))</f>
        <v>4.2160407967665607</v>
      </c>
      <c r="K435" s="17">
        <f t="shared" si="0"/>
        <v>1.0598195285536449</v>
      </c>
      <c r="L435" s="17">
        <f t="shared" si="1"/>
        <v>0.78787071654111873</v>
      </c>
      <c r="M435" s="17">
        <f t="shared" si="2"/>
        <v>0.90498804679696043</v>
      </c>
      <c r="N435" s="17">
        <f t="shared" si="3"/>
        <v>1.5442565877822343</v>
      </c>
      <c r="O435" s="17">
        <f t="shared" si="4"/>
        <v>0.53367605022361531</v>
      </c>
      <c r="P435" s="17">
        <f>$F435/HSP!$E$2</f>
        <v>0.51365486353213463</v>
      </c>
      <c r="Q435" s="17">
        <f>$G435/HSP!$E$3</f>
        <v>0.46105027116109915</v>
      </c>
      <c r="R435" s="17">
        <f>$H435/HSP!$E$4</f>
        <v>0.44964814903748351</v>
      </c>
      <c r="S435" s="17">
        <f>$I435/HSP!$E$5</f>
        <v>0.89048372580143442</v>
      </c>
      <c r="T435" s="17">
        <f>$J435/HSP!$E$6</f>
        <v>0.28486762140314598</v>
      </c>
      <c r="U435" s="18" t="s">
        <v>888</v>
      </c>
      <c r="V435" s="12"/>
      <c r="W435" s="12"/>
      <c r="X435" s="12"/>
      <c r="Y435" s="12"/>
      <c r="Z435" s="12"/>
    </row>
    <row r="436" spans="1:26" ht="15" customHeight="1" x14ac:dyDescent="0.3">
      <c r="A436" s="26" t="s">
        <v>922</v>
      </c>
      <c r="B436" s="17">
        <v>18.8</v>
      </c>
      <c r="C436" s="17">
        <v>1.4</v>
      </c>
      <c r="D436" s="17">
        <v>6.4</v>
      </c>
      <c r="E436" s="17">
        <v>7.9</v>
      </c>
      <c r="F436" s="17">
        <f>SQRT((4*(HSP!$B$2-$B436)^2+(HSP!$C$2-$C436)^2+(HSP!$D$2-$D436)^2))</f>
        <v>12.368508398347799</v>
      </c>
      <c r="G436" s="17">
        <f>SQRT((4*(HSP!$B$3-$B436)^2+(HSP!$C$3-$C436)^2+(HSP!$D$3-$D436)^2))</f>
        <v>10.356273461047657</v>
      </c>
      <c r="H436" s="17">
        <f>SQRT((4*(HSP!$B$4-$B436)^2+(HSP!$C$4-$C436)^2+(HSP!$D$4-$D436)^2))</f>
        <v>7.9765907504396898</v>
      </c>
      <c r="I436" s="17">
        <f>SQRT((4*(HSP!$B$5-$B436)^2+(HSP!$C$5-$C436)^2+(HSP!$D$5-$D436)^2))</f>
        <v>14.089247673314571</v>
      </c>
      <c r="J436" s="17">
        <f>SQRT((4*(HSP!$B$6-$B436)^2+(HSP!$C$6-$C436)^2+(HSP!$D$6-$D436)^2))</f>
        <v>9.0358729517407461</v>
      </c>
      <c r="K436" s="17">
        <f t="shared" si="0"/>
        <v>1.565633974474405</v>
      </c>
      <c r="L436" s="17">
        <f t="shared" si="1"/>
        <v>1.3109206912718552</v>
      </c>
      <c r="M436" s="17">
        <f t="shared" si="2"/>
        <v>1.0096950317012265</v>
      </c>
      <c r="N436" s="17">
        <f t="shared" si="3"/>
        <v>1.7834490725714645</v>
      </c>
      <c r="O436" s="17">
        <f t="shared" si="4"/>
        <v>1.1437813862962969</v>
      </c>
      <c r="P436" s="17">
        <f>$F436/HSP!$E$2</f>
        <v>0.75880419621765638</v>
      </c>
      <c r="Q436" s="17">
        <f>$G436/HSP!$E$3</f>
        <v>0.76713136748501165</v>
      </c>
      <c r="R436" s="17">
        <f>$H436/HSP!$E$4</f>
        <v>0.50167237424148992</v>
      </c>
      <c r="S436" s="17">
        <f>$I436/HSP!$E$5</f>
        <v>1.028412238928071</v>
      </c>
      <c r="T436" s="17">
        <f>$J436/HSP!$E$6</f>
        <v>0.61053195619869904</v>
      </c>
      <c r="U436" s="18" t="s">
        <v>888</v>
      </c>
      <c r="V436" s="12"/>
      <c r="W436" s="12"/>
      <c r="X436" s="12"/>
      <c r="Y436" s="12"/>
      <c r="Z436" s="12"/>
    </row>
    <row r="437" spans="1:26" ht="15" customHeight="1" x14ac:dyDescent="0.3">
      <c r="A437" s="26" t="s">
        <v>923</v>
      </c>
      <c r="B437" s="17">
        <v>16</v>
      </c>
      <c r="C437" s="17">
        <v>8</v>
      </c>
      <c r="D437" s="17">
        <v>8</v>
      </c>
      <c r="E437" s="17">
        <v>12</v>
      </c>
      <c r="F437" s="17">
        <f>SQRT((4*(HSP!$B$2-$B437)^2+(HSP!$C$2-$C437)^2+(HSP!$D$2-$D437)^2))</f>
        <v>3.8641946120763646</v>
      </c>
      <c r="G437" s="17">
        <f>SQRT((4*(HSP!$B$3-$B437)^2+(HSP!$C$3-$C437)^2+(HSP!$D$3-$D437)^2))</f>
        <v>2.8093415598677209</v>
      </c>
      <c r="H437" s="17">
        <f>SQRT((4*(HSP!$B$4-$B437)^2+(HSP!$C$4-$C437)^2+(HSP!$D$4-$D437)^2))</f>
        <v>3.9010255061970569</v>
      </c>
      <c r="I437" s="17">
        <f>SQRT((4*(HSP!$B$5-$B437)^2+(HSP!$C$5-$C437)^2+(HSP!$D$5-$D437)^2))</f>
        <v>5.744118731363411</v>
      </c>
      <c r="J437" s="17">
        <f>SQRT((4*(HSP!$B$6-$B437)^2+(HSP!$C$6-$C437)^2+(HSP!$D$6-$D437)^2))</f>
        <v>4.6710812452792991</v>
      </c>
      <c r="K437" s="17">
        <f t="shared" si="0"/>
        <v>0.3220162176730304</v>
      </c>
      <c r="L437" s="17">
        <f t="shared" si="1"/>
        <v>0.23411179665564341</v>
      </c>
      <c r="M437" s="17">
        <f t="shared" si="2"/>
        <v>0.32508545884975476</v>
      </c>
      <c r="N437" s="17">
        <f t="shared" si="3"/>
        <v>0.47867656094695094</v>
      </c>
      <c r="O437" s="17">
        <f t="shared" si="4"/>
        <v>0.38925677043994161</v>
      </c>
      <c r="P437" s="17">
        <f>$F437/HSP!$E$2</f>
        <v>0.23706715411511439</v>
      </c>
      <c r="Q437" s="17">
        <f>$G437/HSP!$E$3</f>
        <v>0.20809937480501636</v>
      </c>
      <c r="R437" s="17">
        <f>$H437/HSP!$E$4</f>
        <v>0.24534751611302244</v>
      </c>
      <c r="S437" s="17">
        <f>$I437/HSP!$E$5</f>
        <v>0.41927873951557748</v>
      </c>
      <c r="T437" s="17">
        <f>$J437/HSP!$E$6</f>
        <v>0.31561359765400671</v>
      </c>
      <c r="U437" s="18" t="s">
        <v>888</v>
      </c>
      <c r="V437" s="12"/>
      <c r="W437" s="12"/>
      <c r="X437" s="12"/>
      <c r="Y437" s="12"/>
      <c r="Z437" s="12"/>
    </row>
    <row r="438" spans="1:26" ht="15" customHeight="1" x14ac:dyDescent="0.3">
      <c r="A438" s="26" t="s">
        <v>924</v>
      </c>
      <c r="B438" s="17">
        <v>19</v>
      </c>
      <c r="C438" s="17">
        <v>9</v>
      </c>
      <c r="D438" s="17">
        <v>8</v>
      </c>
      <c r="E438" s="17">
        <v>11</v>
      </c>
      <c r="F438" s="17">
        <f>SQRT((4*(HSP!$B$2-$B438)^2+(HSP!$C$2-$C438)^2+(HSP!$D$2-$D438)^2))</f>
        <v>8.9784185689908682</v>
      </c>
      <c r="G438" s="17">
        <f>SQRT((4*(HSP!$B$3-$B438)^2+(HSP!$C$3-$C438)^2+(HSP!$D$3-$D438)^2))</f>
        <v>7.0008856582578192</v>
      </c>
      <c r="H438" s="17">
        <f>SQRT((4*(HSP!$B$4-$B438)^2+(HSP!$C$4-$C438)^2+(HSP!$D$4-$D438)^2))</f>
        <v>8.8756971557168409</v>
      </c>
      <c r="I438" s="17">
        <f>SQRT((4*(HSP!$B$5-$B438)^2+(HSP!$C$5-$C438)^2+(HSP!$D$5-$D438)^2))</f>
        <v>8.8360002263467603</v>
      </c>
      <c r="J438" s="17">
        <f>SQRT((4*(HSP!$B$6-$B438)^2+(HSP!$C$6-$C438)^2+(HSP!$D$6-$D438)^2))</f>
        <v>8.9150995507621786</v>
      </c>
      <c r="K438" s="17">
        <f t="shared" si="0"/>
        <v>0.81621986990826079</v>
      </c>
      <c r="L438" s="17">
        <f t="shared" si="1"/>
        <v>0.63644415075071081</v>
      </c>
      <c r="M438" s="17">
        <f t="shared" si="2"/>
        <v>0.80688155961062191</v>
      </c>
      <c r="N438" s="17">
        <f t="shared" si="3"/>
        <v>0.80327274784970548</v>
      </c>
      <c r="O438" s="17">
        <f t="shared" si="4"/>
        <v>0.8104635955238344</v>
      </c>
      <c r="P438" s="17">
        <f>$F438/HSP!$E$2</f>
        <v>0.55082322509146431</v>
      </c>
      <c r="Q438" s="17">
        <f>$G438/HSP!$E$3</f>
        <v>0.51858412283391253</v>
      </c>
      <c r="R438" s="17">
        <f>$H438/HSP!$E$4</f>
        <v>0.5582199469004302</v>
      </c>
      <c r="S438" s="17">
        <f>$I438/HSP!$E$5</f>
        <v>0.64496352017129643</v>
      </c>
      <c r="T438" s="17">
        <f>$J438/HSP!$E$6</f>
        <v>0.60237159126771478</v>
      </c>
      <c r="U438" s="18" t="s">
        <v>890</v>
      </c>
      <c r="V438" s="12"/>
      <c r="W438" s="12"/>
      <c r="X438" s="12"/>
      <c r="Y438" s="12"/>
      <c r="Z438" s="12"/>
    </row>
    <row r="439" spans="1:26" ht="15" customHeight="1" x14ac:dyDescent="0.3">
      <c r="A439" s="26" t="s">
        <v>925</v>
      </c>
      <c r="B439" s="17">
        <v>20.7</v>
      </c>
      <c r="C439" s="17">
        <v>4.0999999999999996</v>
      </c>
      <c r="D439" s="17">
        <v>10.7</v>
      </c>
      <c r="E439" s="17">
        <v>11.5</v>
      </c>
      <c r="F439" s="17">
        <f>SQRT((4*(HSP!$B$2-$B439)^2+(HSP!$C$2-$C439)^2+(HSP!$D$2-$D439)^2))</f>
        <v>14.25229806031294</v>
      </c>
      <c r="G439" s="17">
        <f>SQRT((4*(HSP!$B$3-$B439)^2+(HSP!$C$3-$C439)^2+(HSP!$D$3-$D439)^2))</f>
        <v>12.45505519859306</v>
      </c>
      <c r="H439" s="17">
        <f>SQRT((4*(HSP!$B$4-$B439)^2+(HSP!$C$4-$C439)^2+(HSP!$D$4-$D439)^2))</f>
        <v>11.741805653305626</v>
      </c>
      <c r="I439" s="17">
        <f>SQRT((4*(HSP!$B$5-$B439)^2+(HSP!$C$5-$C439)^2+(HSP!$D$5-$D439)^2))</f>
        <v>13.867115777983539</v>
      </c>
      <c r="J439" s="17">
        <f>SQRT((4*(HSP!$B$6-$B439)^2+(HSP!$C$6-$C439)^2+(HSP!$D$6-$D439)^2))</f>
        <v>13.049559379534619</v>
      </c>
      <c r="K439" s="17">
        <f t="shared" si="0"/>
        <v>1.2393302661141687</v>
      </c>
      <c r="L439" s="17">
        <f t="shared" si="1"/>
        <v>1.0830482781385269</v>
      </c>
      <c r="M439" s="17">
        <f t="shared" si="2"/>
        <v>1.0210265785483152</v>
      </c>
      <c r="N439" s="17">
        <f t="shared" si="3"/>
        <v>1.2058361546072642</v>
      </c>
      <c r="O439" s="17">
        <f t="shared" si="4"/>
        <v>1.1347442938725756</v>
      </c>
      <c r="P439" s="17">
        <f>$F439/HSP!$E$2</f>
        <v>0.87437411412962818</v>
      </c>
      <c r="Q439" s="17">
        <f>$G439/HSP!$E$3</f>
        <v>0.92259668137726369</v>
      </c>
      <c r="R439" s="17">
        <f>$H439/HSP!$E$4</f>
        <v>0.73847834297519654</v>
      </c>
      <c r="S439" s="17">
        <f>$I439/HSP!$E$5</f>
        <v>1.0121982319696015</v>
      </c>
      <c r="T439" s="17">
        <f>$J439/HSP!$E$6</f>
        <v>0.88172698510369041</v>
      </c>
      <c r="U439" s="18" t="s">
        <v>890</v>
      </c>
      <c r="V439" s="12"/>
      <c r="W439" s="12"/>
      <c r="X439" s="12"/>
      <c r="Y439" s="12"/>
      <c r="Z439" s="12"/>
    </row>
    <row r="440" spans="1:26" ht="15" customHeight="1" x14ac:dyDescent="0.3">
      <c r="A440" s="26" t="s">
        <v>926</v>
      </c>
      <c r="B440" s="17">
        <v>25.6</v>
      </c>
      <c r="C440" s="17">
        <v>11.2</v>
      </c>
      <c r="D440" s="17">
        <v>19.600000000000001</v>
      </c>
      <c r="E440" s="17">
        <v>20.3</v>
      </c>
      <c r="F440" s="17">
        <f>SQRT((4*(HSP!$B$2-$B440)^2+(HSP!$C$2-$C440)^2+(HSP!$D$2-$D440)^2))</f>
        <v>25.373450691618594</v>
      </c>
      <c r="G440" s="17">
        <f>SQRT((4*(HSP!$B$3-$B440)^2+(HSP!$C$3-$C440)^2+(HSP!$D$3-$D440)^2))</f>
        <v>24.188683304388444</v>
      </c>
      <c r="H440" s="17">
        <f>SQRT((4*(HSP!$B$4-$B440)^2+(HSP!$C$4-$C440)^2+(HSP!$D$4-$D440)^2))</f>
        <v>25.32765287191058</v>
      </c>
      <c r="I440" s="17">
        <f>SQRT((4*(HSP!$B$5-$B440)^2+(HSP!$C$5-$C440)^2+(HSP!$D$5-$D440)^2))</f>
        <v>22.456956605916133</v>
      </c>
      <c r="J440" s="17">
        <f>SQRT((4*(HSP!$B$6-$B440)^2+(HSP!$C$6-$C440)^2+(HSP!$D$6-$D440)^2))</f>
        <v>26.413083879017236</v>
      </c>
      <c r="K440" s="17">
        <f t="shared" si="0"/>
        <v>1.2499236793900785</v>
      </c>
      <c r="L440" s="17">
        <f t="shared" si="1"/>
        <v>1.1915607539107607</v>
      </c>
      <c r="M440" s="17">
        <f t="shared" si="2"/>
        <v>1.2476676291581565</v>
      </c>
      <c r="N440" s="17">
        <f t="shared" si="3"/>
        <v>1.1062540199958686</v>
      </c>
      <c r="O440" s="17">
        <f t="shared" si="4"/>
        <v>1.3011371368974007</v>
      </c>
      <c r="P440" s="17">
        <f>$F440/HSP!$E$2</f>
        <v>1.5566534166637174</v>
      </c>
      <c r="Q440" s="17">
        <f>$G440/HSP!$E$3</f>
        <v>1.7917543188435885</v>
      </c>
      <c r="R440" s="17">
        <f>$H440/HSP!$E$4</f>
        <v>1.5929341428874577</v>
      </c>
      <c r="S440" s="17">
        <f>$I440/HSP!$E$5</f>
        <v>1.6391939128405937</v>
      </c>
      <c r="T440" s="17">
        <f>$J440/HSP!$E$6</f>
        <v>1.7846678296633267</v>
      </c>
      <c r="U440" s="18" t="s">
        <v>890</v>
      </c>
      <c r="V440" s="12"/>
      <c r="W440" s="12"/>
      <c r="X440" s="12"/>
      <c r="Y440" s="12"/>
      <c r="Z440" s="12"/>
    </row>
    <row r="441" spans="1:26" ht="15" customHeight="1" x14ac:dyDescent="0.3">
      <c r="A441" s="26" t="s">
        <v>927</v>
      </c>
      <c r="B441" s="17">
        <v>19.100000000000001</v>
      </c>
      <c r="C441" s="17">
        <v>11.3</v>
      </c>
      <c r="D441" s="17">
        <v>4.0999999999999996</v>
      </c>
      <c r="E441" s="17">
        <v>10.3</v>
      </c>
      <c r="F441" s="17">
        <f>SQRT((4*(HSP!$B$2-$B441)^2+(HSP!$C$2-$C441)^2+(HSP!$D$2-$D441)^2))</f>
        <v>9.4868329805051417</v>
      </c>
      <c r="G441" s="17">
        <f>SQRT((4*(HSP!$B$3-$B441)^2+(HSP!$C$3-$C441)^2+(HSP!$D$3-$D441)^2))</f>
        <v>7.2222157264928093</v>
      </c>
      <c r="H441" s="17">
        <f>SQRT((4*(HSP!$B$4-$B441)^2+(HSP!$C$4-$C441)^2+(HSP!$D$4-$D441)^2))</f>
        <v>10.625158822342378</v>
      </c>
      <c r="I441" s="17">
        <f>SQRT((4*(HSP!$B$5-$B441)^2+(HSP!$C$5-$C441)^2+(HSP!$D$5-$D441)^2))</f>
        <v>10.36054535244164</v>
      </c>
      <c r="J441" s="17">
        <f>SQRT((4*(HSP!$B$6-$B441)^2+(HSP!$C$6-$C441)^2+(HSP!$D$6-$D441)^2))</f>
        <v>9.0804735559330858</v>
      </c>
      <c r="K441" s="17">
        <f t="shared" si="0"/>
        <v>0.92105174568011083</v>
      </c>
      <c r="L441" s="17">
        <f t="shared" si="1"/>
        <v>0.70118599286337946</v>
      </c>
      <c r="M441" s="17">
        <f t="shared" si="2"/>
        <v>1.0315688177031435</v>
      </c>
      <c r="N441" s="17">
        <f t="shared" si="3"/>
        <v>1.0058781895574407</v>
      </c>
      <c r="O441" s="17">
        <f t="shared" si="4"/>
        <v>0.88159937436243541</v>
      </c>
      <c r="P441" s="17">
        <f>$F441/HSP!$E$2</f>
        <v>0.58201429328252396</v>
      </c>
      <c r="Q441" s="17">
        <f>$G441/HSP!$E$3</f>
        <v>0.53497894270317103</v>
      </c>
      <c r="R441" s="17">
        <f>$H441/HSP!$E$4</f>
        <v>0.66824898253725651</v>
      </c>
      <c r="S441" s="17">
        <f>$I441/HSP!$E$5</f>
        <v>0.75624418630960888</v>
      </c>
      <c r="T441" s="17">
        <f>$J441/HSP!$E$6</f>
        <v>0.61354551053601925</v>
      </c>
      <c r="U441" s="18" t="s">
        <v>888</v>
      </c>
      <c r="V441" s="12"/>
      <c r="W441" s="12"/>
      <c r="X441" s="12"/>
      <c r="Y441" s="12"/>
      <c r="Z441" s="12"/>
    </row>
    <row r="442" spans="1:26" ht="15" customHeight="1" x14ac:dyDescent="0.3">
      <c r="A442" s="26" t="s">
        <v>928</v>
      </c>
      <c r="B442" s="17">
        <v>16</v>
      </c>
      <c r="C442" s="17">
        <v>6.2</v>
      </c>
      <c r="D442" s="17">
        <v>6.6</v>
      </c>
      <c r="E442" s="17">
        <v>9.5</v>
      </c>
      <c r="F442" s="17">
        <f>SQRT((4*(HSP!$B$2-$B442)^2+(HSP!$C$2-$C442)^2+(HSP!$D$2-$D442)^2))</f>
        <v>5.1119467915853747</v>
      </c>
      <c r="G442" s="17">
        <f>SQRT((4*(HSP!$B$3-$B442)^2+(HSP!$C$3-$C442)^2+(HSP!$D$3-$D442)^2))</f>
        <v>3.6006110592509155</v>
      </c>
      <c r="H442" s="17">
        <f>SQRT((4*(HSP!$B$4-$B442)^2+(HSP!$C$4-$C442)^2+(HSP!$D$4-$D442)^2))</f>
        <v>2.2596459899727659</v>
      </c>
      <c r="I442" s="17">
        <f>SQRT((4*(HSP!$B$5-$B442)^2+(HSP!$C$5-$C442)^2+(HSP!$D$5-$D442)^2))</f>
        <v>7.9618402395426155</v>
      </c>
      <c r="J442" s="17">
        <f>SQRT((4*(HSP!$B$6-$B442)^2+(HSP!$C$6-$C442)^2+(HSP!$D$6-$D442)^2))</f>
        <v>3.1220185777794467</v>
      </c>
      <c r="K442" s="17">
        <f t="shared" si="0"/>
        <v>0.53809966227214467</v>
      </c>
      <c r="L442" s="17">
        <f t="shared" si="1"/>
        <v>0.3790116904474648</v>
      </c>
      <c r="M442" s="17">
        <f t="shared" si="2"/>
        <v>0.23785747262871221</v>
      </c>
      <c r="N442" s="17">
        <f t="shared" si="3"/>
        <v>0.83808844626764378</v>
      </c>
      <c r="O442" s="17">
        <f t="shared" si="4"/>
        <v>0.32863353450309968</v>
      </c>
      <c r="P442" s="17">
        <f>$F442/HSP!$E$2</f>
        <v>0.31361636758192479</v>
      </c>
      <c r="Q442" s="17">
        <f>$G442/HSP!$E$3</f>
        <v>0.26671193031488261</v>
      </c>
      <c r="R442" s="17">
        <f>$H442/HSP!$E$4</f>
        <v>0.14211609999828717</v>
      </c>
      <c r="S442" s="17">
        <f>$I442/HSP!$E$5</f>
        <v>0.5811562218644245</v>
      </c>
      <c r="T442" s="17">
        <f>$J442/HSP!$E$6</f>
        <v>0.21094720120131397</v>
      </c>
      <c r="U442" s="18" t="s">
        <v>890</v>
      </c>
      <c r="V442" s="12"/>
      <c r="W442" s="12"/>
      <c r="X442" s="12"/>
      <c r="Y442" s="12"/>
      <c r="Z442" s="12"/>
    </row>
    <row r="443" spans="1:26" ht="15" customHeight="1" x14ac:dyDescent="0.3">
      <c r="A443" s="26" t="s">
        <v>929</v>
      </c>
      <c r="B443" s="17">
        <v>16.7</v>
      </c>
      <c r="C443" s="17">
        <v>17.5</v>
      </c>
      <c r="D443" s="17">
        <v>18.5</v>
      </c>
      <c r="E443" s="17">
        <v>12.2</v>
      </c>
      <c r="F443" s="17">
        <f>SQRT((4*(HSP!$B$2-$B443)^2+(HSP!$C$2-$C443)^2+(HSP!$D$2-$D443)^2))</f>
        <v>14.139024011578734</v>
      </c>
      <c r="G443" s="17">
        <f>SQRT((4*(HSP!$B$3-$B443)^2+(HSP!$C$3-$C443)^2+(HSP!$D$3-$D443)^2))</f>
        <v>15.04421483494569</v>
      </c>
      <c r="H443" s="17">
        <f>SQRT((4*(HSP!$B$4-$B443)^2+(HSP!$C$4-$C443)^2+(HSP!$D$4-$D443)^2))</f>
        <v>17.624017703123201</v>
      </c>
      <c r="I443" s="17">
        <f>SQRT((4*(HSP!$B$5-$B443)^2+(HSP!$C$5-$C443)^2+(HSP!$D$5-$D443)^2))</f>
        <v>9.3985584000951974</v>
      </c>
      <c r="J443" s="17">
        <f>SQRT((4*(HSP!$B$6-$B443)^2+(HSP!$C$6-$C443)^2+(HSP!$D$6-$D443)^2))</f>
        <v>18.583514199418794</v>
      </c>
      <c r="K443" s="17">
        <f t="shared" si="0"/>
        <v>1.1589363943916995</v>
      </c>
      <c r="L443" s="17">
        <f t="shared" si="1"/>
        <v>1.2331323635201386</v>
      </c>
      <c r="M443" s="17">
        <f t="shared" si="2"/>
        <v>1.4445916150100986</v>
      </c>
      <c r="N443" s="17">
        <f t="shared" si="3"/>
        <v>0.77037363935206538</v>
      </c>
      <c r="O443" s="17">
        <f t="shared" si="4"/>
        <v>1.5232388688048193</v>
      </c>
      <c r="P443" s="17">
        <f>$F443/HSP!$E$2</f>
        <v>0.86742478598642536</v>
      </c>
      <c r="Q443" s="17">
        <f>$G443/HSP!$E$3</f>
        <v>1.1143862840700511</v>
      </c>
      <c r="R443" s="17">
        <f>$H443/HSP!$E$4</f>
        <v>1.1084287863599498</v>
      </c>
      <c r="S443" s="17">
        <f>$I443/HSP!$E$5</f>
        <v>0.68602616059089039</v>
      </c>
      <c r="T443" s="17">
        <f>$J443/HSP!$E$6</f>
        <v>1.2556428513120805</v>
      </c>
      <c r="U443" s="18" t="s">
        <v>888</v>
      </c>
      <c r="V443" s="12"/>
      <c r="W443" s="12"/>
      <c r="X443" s="12"/>
      <c r="Y443" s="12"/>
      <c r="Z443" s="12"/>
    </row>
    <row r="444" spans="1:26" ht="15" customHeight="1" x14ac:dyDescent="0.3">
      <c r="A444" s="26" t="s">
        <v>930</v>
      </c>
      <c r="B444" s="17">
        <v>16.600000000000001</v>
      </c>
      <c r="C444" s="17">
        <v>9.8000000000000007</v>
      </c>
      <c r="D444" s="17">
        <v>7.6</v>
      </c>
      <c r="E444" s="17">
        <v>4.8</v>
      </c>
      <c r="F444" s="17">
        <f>SQRT((4*(HSP!$B$2-$B444)^2+(HSP!$C$2-$C444)^2+(HSP!$D$2-$D444)^2))</f>
        <v>4.1012193308819791</v>
      </c>
      <c r="G444" s="17">
        <f>SQRT((4*(HSP!$B$3-$B444)^2+(HSP!$C$3-$C444)^2+(HSP!$D$3-$D444)^2))</f>
        <v>2.5495882020436187</v>
      </c>
      <c r="H444" s="17">
        <f>SQRT((4*(HSP!$B$4-$B444)^2+(HSP!$C$4-$C444)^2+(HSP!$D$4-$D444)^2))</f>
        <v>5.9189526100485068</v>
      </c>
      <c r="I444" s="17">
        <f>SQRT((4*(HSP!$B$5-$B444)^2+(HSP!$C$5-$C444)^2+(HSP!$D$5-$D444)^2))</f>
        <v>5.1663236445271234</v>
      </c>
      <c r="J444" s="17">
        <f>SQRT((4*(HSP!$B$6-$B444)^2+(HSP!$C$6-$C444)^2+(HSP!$D$6-$D444)^2))</f>
        <v>5.7004385796182397</v>
      </c>
      <c r="K444" s="17">
        <f t="shared" si="0"/>
        <v>0.85442069393374565</v>
      </c>
      <c r="L444" s="17">
        <f t="shared" si="1"/>
        <v>0.53116420875908721</v>
      </c>
      <c r="M444" s="17">
        <f t="shared" si="2"/>
        <v>1.2331151270934391</v>
      </c>
      <c r="N444" s="17">
        <f t="shared" si="3"/>
        <v>1.0763174259431507</v>
      </c>
      <c r="O444" s="17">
        <f t="shared" si="4"/>
        <v>1.1875913707537999</v>
      </c>
      <c r="P444" s="17">
        <f>$F444/HSP!$E$2</f>
        <v>0.25160854790686987</v>
      </c>
      <c r="Q444" s="17">
        <f>$G444/HSP!$E$3</f>
        <v>0.18885838533656435</v>
      </c>
      <c r="R444" s="17">
        <f>$H444/HSP!$E$4</f>
        <v>0.37226117044330231</v>
      </c>
      <c r="S444" s="17">
        <f>$I444/HSP!$E$5</f>
        <v>0.37710391565891416</v>
      </c>
      <c r="T444" s="17">
        <f>$J444/HSP!$E$6</f>
        <v>0.38516476889312429</v>
      </c>
      <c r="U444" s="18" t="s">
        <v>466</v>
      </c>
      <c r="V444" s="12"/>
      <c r="W444" s="12"/>
      <c r="X444" s="12"/>
      <c r="Y444" s="12"/>
      <c r="Z444" s="12"/>
    </row>
    <row r="445" spans="1:26" ht="15" customHeight="1" x14ac:dyDescent="0.3">
      <c r="A445" s="26" t="s">
        <v>931</v>
      </c>
      <c r="B445" s="17">
        <v>19.100000000000001</v>
      </c>
      <c r="C445" s="17">
        <v>9.5</v>
      </c>
      <c r="D445" s="17">
        <v>3.1</v>
      </c>
      <c r="E445" s="17">
        <v>8.6999999999999993</v>
      </c>
      <c r="F445" s="17">
        <f>SQRT((4*(HSP!$B$2-$B445)^2+(HSP!$C$2-$C445)^2+(HSP!$D$2-$D445)^2))</f>
        <v>9.8476393110227214</v>
      </c>
      <c r="G445" s="17">
        <f>SQRT((4*(HSP!$B$3-$B445)^2+(HSP!$C$3-$C445)^2+(HSP!$D$3-$D445)^2))</f>
        <v>7.344140521531437</v>
      </c>
      <c r="H445" s="17">
        <f>SQRT((4*(HSP!$B$4-$B445)^2+(HSP!$C$4-$C445)^2+(HSP!$D$4-$D445)^2))</f>
        <v>9.9348880215128759</v>
      </c>
      <c r="I445" s="17">
        <f>SQRT((4*(HSP!$B$5-$B445)^2+(HSP!$C$5-$C445)^2+(HSP!$D$5-$D445)^2))</f>
        <v>11.41721945133753</v>
      </c>
      <c r="J445" s="17">
        <f>SQRT((4*(HSP!$B$6-$B445)^2+(HSP!$C$6-$C445)^2+(HSP!$D$6-$D445)^2))</f>
        <v>8.2863140177041359</v>
      </c>
      <c r="K445" s="17">
        <f t="shared" si="0"/>
        <v>1.1319125644853705</v>
      </c>
      <c r="L445" s="17">
        <f t="shared" si="1"/>
        <v>0.844154082934648</v>
      </c>
      <c r="M445" s="17">
        <f t="shared" si="2"/>
        <v>1.1419411518980318</v>
      </c>
      <c r="N445" s="17">
        <f t="shared" si="3"/>
        <v>1.3123240748663829</v>
      </c>
      <c r="O445" s="17">
        <f t="shared" si="4"/>
        <v>0.9524498870924295</v>
      </c>
      <c r="P445" s="17">
        <f>$F445/HSP!$E$2</f>
        <v>0.60414965098298901</v>
      </c>
      <c r="Q445" s="17">
        <f>$G445/HSP!$E$3</f>
        <v>0.54401040900232867</v>
      </c>
      <c r="R445" s="17">
        <f>$H445/HSP!$E$4</f>
        <v>0.62483572462345127</v>
      </c>
      <c r="S445" s="17">
        <f>$I445/HSP!$E$5</f>
        <v>0.83337368257938182</v>
      </c>
      <c r="T445" s="17">
        <f>$J445/HSP!$E$6</f>
        <v>0.55988608227730641</v>
      </c>
      <c r="U445" s="18" t="s">
        <v>466</v>
      </c>
      <c r="V445" s="12"/>
      <c r="W445" s="12"/>
      <c r="X445" s="12"/>
      <c r="Y445" s="12"/>
      <c r="Z445" s="12"/>
    </row>
    <row r="446" spans="1:26" ht="15" customHeight="1" x14ac:dyDescent="0.3">
      <c r="A446" s="26" t="s">
        <v>932</v>
      </c>
      <c r="B446" s="17">
        <v>18.399999999999999</v>
      </c>
      <c r="C446" s="17">
        <v>12</v>
      </c>
      <c r="D446" s="17">
        <v>8.4</v>
      </c>
      <c r="E446" s="17">
        <v>10.6</v>
      </c>
      <c r="F446" s="17">
        <f>SQRT((4*(HSP!$B$2-$B446)^2+(HSP!$C$2-$C446)^2+(HSP!$D$2-$D446)^2))</f>
        <v>7.8834002816043762</v>
      </c>
      <c r="G446" s="17">
        <f>SQRT((4*(HSP!$B$3-$B446)^2+(HSP!$C$3-$C446)^2+(HSP!$D$3-$D446)^2))</f>
        <v>6.4427012968164199</v>
      </c>
      <c r="H446" s="17">
        <f>SQRT((4*(HSP!$B$4-$B446)^2+(HSP!$C$4-$C446)^2+(HSP!$D$4-$D446)^2))</f>
        <v>9.8931289287060213</v>
      </c>
      <c r="I446" s="17">
        <f>SQRT((4*(HSP!$B$5-$B446)^2+(HSP!$C$5-$C446)^2+(HSP!$D$5-$D446)^2))</f>
        <v>6.7902061824365809</v>
      </c>
      <c r="J446" s="17">
        <f>SQRT((4*(HSP!$B$6-$B446)^2+(HSP!$C$6-$C446)^2+(HSP!$D$6-$D446)^2))</f>
        <v>9.5349357627621174</v>
      </c>
      <c r="K446" s="17">
        <f t="shared" si="0"/>
        <v>0.74371700769852611</v>
      </c>
      <c r="L446" s="17">
        <f t="shared" si="1"/>
        <v>0.60780200913362459</v>
      </c>
      <c r="M446" s="17">
        <f t="shared" si="2"/>
        <v>0.93331404987792654</v>
      </c>
      <c r="N446" s="17">
        <f t="shared" si="3"/>
        <v>0.64058548890911138</v>
      </c>
      <c r="O446" s="17">
        <f t="shared" si="4"/>
        <v>0.89952224177001106</v>
      </c>
      <c r="P446" s="17">
        <f>$F446/HSP!$E$2</f>
        <v>0.48364418905548318</v>
      </c>
      <c r="Q446" s="17">
        <f>$G446/HSP!$E$3</f>
        <v>0.47723713309751259</v>
      </c>
      <c r="R446" s="17">
        <f>$H446/HSP!$E$4</f>
        <v>0.62220936658528436</v>
      </c>
      <c r="S446" s="17">
        <f>$I446/HSP!$E$5</f>
        <v>0.4956354877690935</v>
      </c>
      <c r="T446" s="17">
        <f>$J446/HSP!$E$6</f>
        <v>0.6442524164028457</v>
      </c>
      <c r="U446" s="18" t="s">
        <v>466</v>
      </c>
      <c r="V446" s="12"/>
      <c r="W446" s="12"/>
      <c r="X446" s="12"/>
      <c r="Y446" s="12"/>
      <c r="Z446" s="12"/>
    </row>
    <row r="447" spans="1:26" ht="15" customHeight="1" x14ac:dyDescent="0.3">
      <c r="A447" s="26" t="s">
        <v>933</v>
      </c>
      <c r="B447" s="17">
        <v>28.8</v>
      </c>
      <c r="C447" s="17">
        <v>16.8</v>
      </c>
      <c r="D447" s="17">
        <v>0.8</v>
      </c>
      <c r="E447" s="17">
        <v>23.7</v>
      </c>
      <c r="F447" s="17">
        <f>SQRT((4*(HSP!$B$2-$B447)^2+(HSP!$C$2-$C447)^2+(HSP!$D$2-$D447)^2))</f>
        <v>29.74807556800944</v>
      </c>
      <c r="G447" s="17">
        <f>SQRT((4*(HSP!$B$3-$B447)^2+(HSP!$C$3-$C447)^2+(HSP!$D$3-$D447)^2))</f>
        <v>27.634550837674208</v>
      </c>
      <c r="H447" s="17">
        <f>SQRT((4*(HSP!$B$4-$B447)^2+(HSP!$C$4-$C447)^2+(HSP!$D$4-$D447)^2))</f>
        <v>30.430280971427131</v>
      </c>
      <c r="I447" s="17">
        <f>SQRT((4*(HSP!$B$5-$B447)^2+(HSP!$C$5-$C447)^2+(HSP!$D$5-$D447)^2))</f>
        <v>29.180591152339598</v>
      </c>
      <c r="J447" s="17">
        <f>SQRT((4*(HSP!$B$6-$B447)^2+(HSP!$C$6-$C447)^2+(HSP!$D$6-$D447)^2))</f>
        <v>29.139028810171421</v>
      </c>
      <c r="K447" s="17">
        <f t="shared" si="0"/>
        <v>1.2551930619413267</v>
      </c>
      <c r="L447" s="17">
        <f t="shared" si="1"/>
        <v>1.1660148032773927</v>
      </c>
      <c r="M447" s="17">
        <f t="shared" si="2"/>
        <v>1.2839781000602166</v>
      </c>
      <c r="N447" s="17">
        <f t="shared" si="3"/>
        <v>1.231248571828675</v>
      </c>
      <c r="O447" s="17">
        <f t="shared" si="4"/>
        <v>1.2294948865051234</v>
      </c>
      <c r="P447" s="17">
        <f>$F447/HSP!$E$2</f>
        <v>1.8250353109208244</v>
      </c>
      <c r="Q447" s="17">
        <f>$G447/HSP!$E$3</f>
        <v>2.0470037657536451</v>
      </c>
      <c r="R447" s="17">
        <f>$H447/HSP!$E$4</f>
        <v>1.9138541491463603</v>
      </c>
      <c r="S447" s="17">
        <f>$I447/HSP!$E$5</f>
        <v>2.1299701571050802</v>
      </c>
      <c r="T447" s="17">
        <f>$J447/HSP!$E$6</f>
        <v>1.9688532979845554</v>
      </c>
      <c r="U447" s="18" t="s">
        <v>466</v>
      </c>
      <c r="V447" s="12"/>
      <c r="W447" s="12"/>
      <c r="X447" s="12"/>
      <c r="Y447" s="12"/>
      <c r="Z447" s="12"/>
    </row>
    <row r="448" spans="1:26" ht="15" customHeight="1" x14ac:dyDescent="0.3">
      <c r="A448" s="26" t="s">
        <v>934</v>
      </c>
      <c r="B448" s="17">
        <v>28.8</v>
      </c>
      <c r="C448" s="17">
        <v>16.8</v>
      </c>
      <c r="D448" s="17">
        <v>0.8</v>
      </c>
      <c r="E448" s="17">
        <v>23.7</v>
      </c>
      <c r="F448" s="17">
        <f>SQRT((4*(HSP!$B$2-$B448)^2+(HSP!$C$2-$C448)^2+(HSP!$D$2-$D448)^2))</f>
        <v>29.74807556800944</v>
      </c>
      <c r="G448" s="17">
        <f>SQRT((4*(HSP!$B$3-$B448)^2+(HSP!$C$3-$C448)^2+(HSP!$D$3-$D448)^2))</f>
        <v>27.634550837674208</v>
      </c>
      <c r="H448" s="17">
        <f>SQRT((4*(HSP!$B$4-$B448)^2+(HSP!$C$4-$C448)^2+(HSP!$D$4-$D448)^2))</f>
        <v>30.430280971427131</v>
      </c>
      <c r="I448" s="17">
        <f>SQRT((4*(HSP!$B$5-$B448)^2+(HSP!$C$5-$C448)^2+(HSP!$D$5-$D448)^2))</f>
        <v>29.180591152339598</v>
      </c>
      <c r="J448" s="17">
        <f>SQRT((4*(HSP!$B$6-$B448)^2+(HSP!$C$6-$C448)^2+(HSP!$D$6-$D448)^2))</f>
        <v>29.139028810171421</v>
      </c>
      <c r="K448" s="17">
        <f t="shared" si="0"/>
        <v>1.2551930619413267</v>
      </c>
      <c r="L448" s="17">
        <f t="shared" si="1"/>
        <v>1.1660148032773927</v>
      </c>
      <c r="M448" s="17">
        <f t="shared" si="2"/>
        <v>1.2839781000602166</v>
      </c>
      <c r="N448" s="17">
        <f t="shared" si="3"/>
        <v>1.231248571828675</v>
      </c>
      <c r="O448" s="17">
        <f t="shared" si="4"/>
        <v>1.2294948865051234</v>
      </c>
      <c r="P448" s="17">
        <f>$F448/HSP!$E$2</f>
        <v>1.8250353109208244</v>
      </c>
      <c r="Q448" s="17">
        <f>$G448/HSP!$E$3</f>
        <v>2.0470037657536451</v>
      </c>
      <c r="R448" s="17">
        <f>$H448/HSP!$E$4</f>
        <v>1.9138541491463603</v>
      </c>
      <c r="S448" s="17">
        <f>$I448/HSP!$E$5</f>
        <v>2.1299701571050802</v>
      </c>
      <c r="T448" s="17">
        <f>$J448/HSP!$E$6</f>
        <v>1.9688532979845554</v>
      </c>
      <c r="U448" s="18" t="s">
        <v>466</v>
      </c>
      <c r="V448" s="12"/>
      <c r="W448" s="12"/>
      <c r="X448" s="12"/>
      <c r="Y448" s="12"/>
      <c r="Z448" s="12"/>
    </row>
    <row r="449" spans="1:26" ht="15" customHeight="1" x14ac:dyDescent="0.3">
      <c r="A449" s="26" t="s">
        <v>935</v>
      </c>
      <c r="B449" s="17">
        <v>17.7</v>
      </c>
      <c r="C449" s="17">
        <v>18.3</v>
      </c>
      <c r="D449" s="17">
        <v>0.7</v>
      </c>
      <c r="E449" s="17">
        <v>18.399999999999999</v>
      </c>
      <c r="F449" s="17">
        <f>SQRT((4*(HSP!$B$2-$B449)^2+(HSP!$C$2-$C449)^2+(HSP!$D$2-$D449)^2))</f>
        <v>11.804405957099238</v>
      </c>
      <c r="G449" s="17">
        <f>SQRT((4*(HSP!$B$3-$B449)^2+(HSP!$C$3-$C449)^2+(HSP!$D$3-$D449)^2))</f>
        <v>10.817781657992548</v>
      </c>
      <c r="H449" s="17">
        <f>SQRT((4*(HSP!$B$4-$B449)^2+(HSP!$C$4-$C449)^2+(HSP!$D$4-$D449)^2))</f>
        <v>15.758109023610668</v>
      </c>
      <c r="I449" s="17">
        <f>SQRT((4*(HSP!$B$5-$B449)^2+(HSP!$C$5-$C449)^2+(HSP!$D$5-$D449)^2))</f>
        <v>12.625723741631607</v>
      </c>
      <c r="J449" s="17">
        <f>SQRT((4*(HSP!$B$6-$B449)^2+(HSP!$C$6-$C449)^2+(HSP!$D$6-$D449)^2))</f>
        <v>13.207535727757847</v>
      </c>
      <c r="K449" s="17">
        <f t="shared" si="0"/>
        <v>0.64154380201626304</v>
      </c>
      <c r="L449" s="17">
        <f t="shared" si="1"/>
        <v>0.58792291619524717</v>
      </c>
      <c r="M449" s="17">
        <f t="shared" si="2"/>
        <v>0.85641896867449285</v>
      </c>
      <c r="N449" s="17">
        <f t="shared" si="3"/>
        <v>0.68618063813215258</v>
      </c>
      <c r="O449" s="17">
        <f t="shared" si="4"/>
        <v>0.71780085476944822</v>
      </c>
      <c r="P449" s="17">
        <f>$F449/HSP!$E$2</f>
        <v>0.72419668448461583</v>
      </c>
      <c r="Q449" s="17">
        <f>$G449/HSP!$E$3</f>
        <v>0.80131715985129981</v>
      </c>
      <c r="R449" s="17">
        <f>$H449/HSP!$E$4</f>
        <v>0.99107603922079668</v>
      </c>
      <c r="S449" s="17">
        <f>$I449/HSP!$E$5</f>
        <v>0.92158567457165019</v>
      </c>
      <c r="T449" s="17">
        <f>$J449/HSP!$E$6</f>
        <v>0.89240106268634101</v>
      </c>
      <c r="U449" s="18" t="s">
        <v>466</v>
      </c>
      <c r="V449" s="12"/>
      <c r="W449" s="12"/>
      <c r="X449" s="12"/>
      <c r="Y449" s="12"/>
      <c r="Z449" s="12"/>
    </row>
    <row r="450" spans="1:26" ht="15" customHeight="1" x14ac:dyDescent="0.3">
      <c r="A450" s="26" t="s">
        <v>936</v>
      </c>
      <c r="B450" s="17">
        <v>19.600000000000001</v>
      </c>
      <c r="C450" s="17">
        <v>10</v>
      </c>
      <c r="D450" s="17">
        <v>3.6</v>
      </c>
      <c r="E450" s="17">
        <v>9.4</v>
      </c>
      <c r="F450" s="17">
        <f>SQRT((4*(HSP!$B$2-$B450)^2+(HSP!$C$2-$C450)^2+(HSP!$D$2-$D450)^2))</f>
        <v>10.565793865110187</v>
      </c>
      <c r="G450" s="17">
        <f>SQRT((4*(HSP!$B$3-$B450)^2+(HSP!$C$3-$C450)^2+(HSP!$D$3-$D450)^2))</f>
        <v>8.1361170099747255</v>
      </c>
      <c r="H450" s="17">
        <f>SQRT((4*(HSP!$B$4-$B450)^2+(HSP!$C$4-$C450)^2+(HSP!$D$4-$D450)^2))</f>
        <v>10.818595102877271</v>
      </c>
      <c r="I450" s="17">
        <f>SQRT((4*(HSP!$B$5-$B450)^2+(HSP!$C$5-$C450)^2+(HSP!$D$5-$D450)^2))</f>
        <v>11.667171893822431</v>
      </c>
      <c r="J450" s="17">
        <f>SQRT((4*(HSP!$B$6-$B450)^2+(HSP!$C$6-$C450)^2+(HSP!$D$6-$D450)^2))</f>
        <v>9.3703255012832969</v>
      </c>
      <c r="K450" s="17">
        <f t="shared" si="0"/>
        <v>1.1240206239478923</v>
      </c>
      <c r="L450" s="17">
        <f t="shared" si="1"/>
        <v>0.86554436276326863</v>
      </c>
      <c r="M450" s="17">
        <f t="shared" si="2"/>
        <v>1.1509143726465181</v>
      </c>
      <c r="N450" s="17">
        <f t="shared" si="3"/>
        <v>1.2411884993428117</v>
      </c>
      <c r="O450" s="17">
        <f t="shared" si="4"/>
        <v>0.99684313843439321</v>
      </c>
      <c r="P450" s="17">
        <f>$F450/HSP!$E$2</f>
        <v>0.64820821258344707</v>
      </c>
      <c r="Q450" s="17">
        <f>$G450/HSP!$E$3</f>
        <v>0.60267533407220186</v>
      </c>
      <c r="R450" s="17">
        <f>$H450/HSP!$E$4</f>
        <v>0.68041478634448249</v>
      </c>
      <c r="S450" s="17">
        <f>$I450/HSP!$E$5</f>
        <v>0.85161838641039644</v>
      </c>
      <c r="T450" s="17">
        <f>$J450/HSP!$E$6</f>
        <v>0.63313010143806059</v>
      </c>
      <c r="U450" s="18" t="s">
        <v>445</v>
      </c>
      <c r="V450" s="12"/>
      <c r="W450" s="12"/>
      <c r="X450" s="12"/>
      <c r="Y450" s="12"/>
      <c r="Z450" s="12"/>
    </row>
    <row r="451" spans="1:26" ht="15" customHeight="1" x14ac:dyDescent="0.3">
      <c r="A451" s="26" t="s">
        <v>937</v>
      </c>
      <c r="B451" s="17">
        <v>19.600000000000001</v>
      </c>
      <c r="C451" s="17">
        <v>10</v>
      </c>
      <c r="D451" s="17">
        <v>3.6</v>
      </c>
      <c r="E451" s="17">
        <v>9.4</v>
      </c>
      <c r="F451" s="17">
        <f>SQRT((4*(HSP!$B$2-$B451)^2+(HSP!$C$2-$C451)^2+(HSP!$D$2-$D451)^2))</f>
        <v>10.565793865110187</v>
      </c>
      <c r="G451" s="17">
        <f>SQRT((4*(HSP!$B$3-$B451)^2+(HSP!$C$3-$C451)^2+(HSP!$D$3-$D451)^2))</f>
        <v>8.1361170099747255</v>
      </c>
      <c r="H451" s="17">
        <f>SQRT((4*(HSP!$B$4-$B451)^2+(HSP!$C$4-$C451)^2+(HSP!$D$4-$D451)^2))</f>
        <v>10.818595102877271</v>
      </c>
      <c r="I451" s="17">
        <f>SQRT((4*(HSP!$B$5-$B451)^2+(HSP!$C$5-$C451)^2+(HSP!$D$5-$D451)^2))</f>
        <v>11.667171893822431</v>
      </c>
      <c r="J451" s="17">
        <f>SQRT((4*(HSP!$B$6-$B451)^2+(HSP!$C$6-$C451)^2+(HSP!$D$6-$D451)^2))</f>
        <v>9.3703255012832969</v>
      </c>
      <c r="K451" s="17">
        <f t="shared" si="0"/>
        <v>1.1240206239478923</v>
      </c>
      <c r="L451" s="17">
        <f t="shared" si="1"/>
        <v>0.86554436276326863</v>
      </c>
      <c r="M451" s="17">
        <f t="shared" si="2"/>
        <v>1.1509143726465181</v>
      </c>
      <c r="N451" s="17">
        <f t="shared" si="3"/>
        <v>1.2411884993428117</v>
      </c>
      <c r="O451" s="17">
        <f t="shared" si="4"/>
        <v>0.99684313843439321</v>
      </c>
      <c r="P451" s="17">
        <f>$F451/HSP!$E$2</f>
        <v>0.64820821258344707</v>
      </c>
      <c r="Q451" s="17">
        <f>$G451/HSP!$E$3</f>
        <v>0.60267533407220186</v>
      </c>
      <c r="R451" s="17">
        <f>$H451/HSP!$E$4</f>
        <v>0.68041478634448249</v>
      </c>
      <c r="S451" s="17">
        <f>$I451/HSP!$E$5</f>
        <v>0.85161838641039644</v>
      </c>
      <c r="T451" s="17">
        <f>$J451/HSP!$E$6</f>
        <v>0.63313010143806059</v>
      </c>
      <c r="U451" s="18" t="s">
        <v>490</v>
      </c>
      <c r="V451" s="12"/>
      <c r="W451" s="12"/>
      <c r="X451" s="12"/>
      <c r="Y451" s="12"/>
      <c r="Z451" s="12"/>
    </row>
    <row r="452" spans="1:26" ht="15" customHeight="1" x14ac:dyDescent="0.3">
      <c r="A452" s="26" t="s">
        <v>938</v>
      </c>
      <c r="B452" s="17">
        <v>19.3</v>
      </c>
      <c r="C452" s="17">
        <v>9.5</v>
      </c>
      <c r="D452" s="17">
        <v>11.1</v>
      </c>
      <c r="E452" s="17">
        <v>11.1</v>
      </c>
      <c r="F452" s="17">
        <f>SQRT((4*(HSP!$B$2-$B452)^2+(HSP!$C$2-$C452)^2+(HSP!$D$2-$D452)^2))</f>
        <v>10.308055102685474</v>
      </c>
      <c r="G452" s="17">
        <f>SQRT((4*(HSP!$B$3-$B452)^2+(HSP!$C$3-$C452)^2+(HSP!$D$3-$D452)^2))</f>
        <v>8.946082941712536</v>
      </c>
      <c r="H452" s="17">
        <f>SQRT((4*(HSP!$B$4-$B452)^2+(HSP!$C$4-$C452)^2+(HSP!$D$4-$D452)^2))</f>
        <v>10.48570455429677</v>
      </c>
      <c r="I452" s="17">
        <f>SQRT((4*(HSP!$B$5-$B452)^2+(HSP!$C$5-$C452)^2+(HSP!$D$5-$D452)^2))</f>
        <v>8.6810656027932449</v>
      </c>
      <c r="J452" s="17">
        <f>SQRT((4*(HSP!$B$6-$B452)^2+(HSP!$C$6-$C452)^2+(HSP!$D$6-$D452)^2))</f>
        <v>11.267253436397002</v>
      </c>
      <c r="K452" s="17">
        <f t="shared" si="0"/>
        <v>0.92865361285454717</v>
      </c>
      <c r="L452" s="17">
        <f t="shared" si="1"/>
        <v>0.8059534181723006</v>
      </c>
      <c r="M452" s="17">
        <f t="shared" si="2"/>
        <v>0.944658067954664</v>
      </c>
      <c r="N452" s="17">
        <f t="shared" si="3"/>
        <v>0.78207798223362568</v>
      </c>
      <c r="O452" s="17">
        <f t="shared" si="4"/>
        <v>1.0150678771528832</v>
      </c>
      <c r="P452" s="17">
        <f>$F452/HSP!$E$2</f>
        <v>0.63239601856966099</v>
      </c>
      <c r="Q452" s="17">
        <f>$G452/HSP!$E$3</f>
        <v>0.66267281049722493</v>
      </c>
      <c r="R452" s="17">
        <f>$H452/HSP!$E$4</f>
        <v>0.65947827385514279</v>
      </c>
      <c r="S452" s="17">
        <f>$I452/HSP!$E$5</f>
        <v>0.63365442356155077</v>
      </c>
      <c r="T452" s="17">
        <f>$J452/HSP!$E$6</f>
        <v>0.76130090786466231</v>
      </c>
      <c r="U452" s="18" t="s">
        <v>462</v>
      </c>
      <c r="V452" s="12"/>
      <c r="W452" s="12"/>
      <c r="X452" s="12"/>
      <c r="Y452" s="12"/>
      <c r="Z452" s="12"/>
    </row>
    <row r="453" spans="1:26" ht="15" customHeight="1" x14ac:dyDescent="0.3">
      <c r="A453" s="26" t="s">
        <v>939</v>
      </c>
      <c r="B453" s="17">
        <v>19.7</v>
      </c>
      <c r="C453" s="17">
        <v>10.1</v>
      </c>
      <c r="D453" s="17">
        <v>15.1</v>
      </c>
      <c r="E453" s="17">
        <v>10.7</v>
      </c>
      <c r="F453" s="17">
        <f>SQRT((4*(HSP!$B$2-$B453)^2+(HSP!$C$2-$C453)^2+(HSP!$D$2-$D453)^2))</f>
        <v>13.042392418571065</v>
      </c>
      <c r="G453" s="17">
        <f>SQRT((4*(HSP!$B$3-$B453)^2+(HSP!$C$3-$C453)^2+(HSP!$D$3-$D453)^2))</f>
        <v>12.273239181243067</v>
      </c>
      <c r="H453" s="17">
        <f>SQRT((4*(HSP!$B$4-$B453)^2+(HSP!$C$4-$C453)^2+(HSP!$D$4-$D453)^2))</f>
        <v>13.429445260322558</v>
      </c>
      <c r="I453" s="17">
        <f>SQRT((4*(HSP!$B$5-$B453)^2+(HSP!$C$5-$C453)^2+(HSP!$D$5-$D453)^2))</f>
        <v>10.136710511798192</v>
      </c>
      <c r="J453" s="17">
        <f>SQRT((4*(HSP!$B$6-$B453)^2+(HSP!$C$6-$C453)^2+(HSP!$D$6-$D453)^2))</f>
        <v>14.782794052546359</v>
      </c>
      <c r="K453" s="17">
        <f t="shared" si="0"/>
        <v>1.2189151793057071</v>
      </c>
      <c r="L453" s="17">
        <f t="shared" si="1"/>
        <v>1.1470316991815952</v>
      </c>
      <c r="M453" s="17">
        <f t="shared" si="2"/>
        <v>1.2550883420862204</v>
      </c>
      <c r="N453" s="17">
        <f t="shared" si="3"/>
        <v>0.94735612259796198</v>
      </c>
      <c r="O453" s="17">
        <f t="shared" si="4"/>
        <v>1.3815695376211552</v>
      </c>
      <c r="P453" s="17">
        <f>$F453/HSP!$E$2</f>
        <v>0.80014677414546409</v>
      </c>
      <c r="Q453" s="17">
        <f>$G453/HSP!$E$3</f>
        <v>0.90912882824022723</v>
      </c>
      <c r="R453" s="17">
        <f>$H453/HSP!$E$4</f>
        <v>0.84461919876242497</v>
      </c>
      <c r="S453" s="17">
        <f>$I453/HSP!$E$5</f>
        <v>0.73990587677359065</v>
      </c>
      <c r="T453" s="17">
        <f>$J453/HSP!$E$6</f>
        <v>0.99883743598286201</v>
      </c>
      <c r="U453" s="18" t="s">
        <v>471</v>
      </c>
      <c r="V453" s="12"/>
      <c r="W453" s="12"/>
      <c r="X453" s="12"/>
      <c r="Y453" s="12"/>
      <c r="Z453" s="12"/>
    </row>
    <row r="454" spans="1:26" ht="15" customHeight="1" x14ac:dyDescent="0.3">
      <c r="A454" s="26" t="s">
        <v>940</v>
      </c>
      <c r="B454" s="17">
        <v>16.399999999999999</v>
      </c>
      <c r="C454" s="17">
        <v>0</v>
      </c>
      <c r="D454" s="17">
        <v>7.8</v>
      </c>
      <c r="E454" s="17">
        <v>5.5</v>
      </c>
      <c r="F454" s="17">
        <f>SQRT((4*(HSP!$B$2-$B454)^2+(HSP!$C$2-$C454)^2+(HSP!$D$2-$D454)^2))</f>
        <v>11.092520002235741</v>
      </c>
      <c r="G454" s="17">
        <f>SQRT((4*(HSP!$B$3-$B454)^2+(HSP!$C$3-$C454)^2+(HSP!$D$3-$D454)^2))</f>
        <v>9.9625498744046439</v>
      </c>
      <c r="H454" s="17">
        <f>SQRT((4*(HSP!$B$4-$B454)^2+(HSP!$C$4-$C454)^2+(HSP!$D$4-$D454)^2))</f>
        <v>5.3808921193422918</v>
      </c>
      <c r="I454" s="17">
        <f>SQRT((4*(HSP!$B$5-$B454)^2+(HSP!$C$5-$C454)^2+(HSP!$D$5-$D454)^2))</f>
        <v>13.29296430447325</v>
      </c>
      <c r="J454" s="17">
        <f>SQRT((4*(HSP!$B$6-$B454)^2+(HSP!$C$6-$C454)^2+(HSP!$D$6-$D454)^2))</f>
        <v>7.8774996033005289</v>
      </c>
      <c r="K454" s="17">
        <f t="shared" si="0"/>
        <v>2.0168218185883164</v>
      </c>
      <c r="L454" s="17">
        <f t="shared" si="1"/>
        <v>1.8113727044372079</v>
      </c>
      <c r="M454" s="17">
        <f t="shared" si="2"/>
        <v>0.97834402169859846</v>
      </c>
      <c r="N454" s="17">
        <f t="shared" si="3"/>
        <v>2.4169026008133181</v>
      </c>
      <c r="O454" s="17">
        <f t="shared" si="4"/>
        <v>1.4322726551455507</v>
      </c>
      <c r="P454" s="17">
        <f>$F454/HSP!$E$2</f>
        <v>0.68052269952366506</v>
      </c>
      <c r="Q454" s="17">
        <f>$G454/HSP!$E$3</f>
        <v>0.73796665736330691</v>
      </c>
      <c r="R454" s="17">
        <f>$H454/HSP!$E$4</f>
        <v>0.33842088800894915</v>
      </c>
      <c r="S454" s="17">
        <f>$I454/HSP!$E$5</f>
        <v>0.9702893652900183</v>
      </c>
      <c r="T454" s="17">
        <f>$J454/HSP!$E$6</f>
        <v>0.53226348670949519</v>
      </c>
      <c r="U454" s="18" t="s">
        <v>471</v>
      </c>
      <c r="V454" s="12"/>
      <c r="W454" s="12"/>
      <c r="X454" s="12"/>
      <c r="Y454" s="12"/>
      <c r="Z454" s="12"/>
    </row>
    <row r="455" spans="1:26" ht="15" customHeight="1" x14ac:dyDescent="0.3">
      <c r="A455" s="26" t="s">
        <v>941</v>
      </c>
      <c r="B455" s="17">
        <v>19.600000000000001</v>
      </c>
      <c r="C455" s="17">
        <v>3.4</v>
      </c>
      <c r="D455" s="17">
        <v>10.8</v>
      </c>
      <c r="E455" s="17">
        <v>9.8000000000000007</v>
      </c>
      <c r="F455" s="17">
        <f>SQRT((4*(HSP!$B$2-$B455)^2+(HSP!$C$2-$C455)^2+(HSP!$D$2-$D455)^2))</f>
        <v>12.823260115898769</v>
      </c>
      <c r="G455" s="17">
        <f>SQRT((4*(HSP!$B$3-$B455)^2+(HSP!$C$3-$C455)^2+(HSP!$D$3-$D455)^2))</f>
        <v>11.186617004260048</v>
      </c>
      <c r="H455" s="17">
        <f>SQRT((4*(HSP!$B$4-$B455)^2+(HSP!$C$4-$C455)^2+(HSP!$D$4-$D455)^2))</f>
        <v>9.8049987251401554</v>
      </c>
      <c r="I455" s="17">
        <f>SQRT((4*(HSP!$B$5-$B455)^2+(HSP!$C$5-$C455)^2+(HSP!$D$5-$D455)^2))</f>
        <v>12.723006720111409</v>
      </c>
      <c r="J455" s="17">
        <f>SQRT((4*(HSP!$B$6-$B455)^2+(HSP!$C$6-$C455)^2+(HSP!$D$6-$D455)^2))</f>
        <v>11.509952215365626</v>
      </c>
      <c r="K455" s="17">
        <f t="shared" si="0"/>
        <v>1.3084959301937518</v>
      </c>
      <c r="L455" s="17">
        <f t="shared" si="1"/>
        <v>1.1414915310469436</v>
      </c>
      <c r="M455" s="17">
        <f t="shared" si="2"/>
        <v>1.0005100739938932</v>
      </c>
      <c r="N455" s="17">
        <f t="shared" si="3"/>
        <v>1.2982659918481028</v>
      </c>
      <c r="O455" s="17">
        <f t="shared" si="4"/>
        <v>1.1744849199352678</v>
      </c>
      <c r="P455" s="17">
        <f>$F455/HSP!$E$2</f>
        <v>0.78670307459501643</v>
      </c>
      <c r="Q455" s="17">
        <f>$G455/HSP!$E$3</f>
        <v>0.8286382966118554</v>
      </c>
      <c r="R455" s="17">
        <f>$H455/HSP!$E$4</f>
        <v>0.61666658648680217</v>
      </c>
      <c r="S455" s="17">
        <f>$I455/HSP!$E$5</f>
        <v>0.92868662190594231</v>
      </c>
      <c r="T455" s="17">
        <f>$J455/HSP!$E$6</f>
        <v>0.77769947401119088</v>
      </c>
      <c r="U455" s="18" t="s">
        <v>449</v>
      </c>
      <c r="V455" s="12"/>
      <c r="W455" s="12"/>
      <c r="X455" s="12"/>
      <c r="Y455" s="12"/>
      <c r="Z455" s="12"/>
    </row>
    <row r="456" spans="1:26" ht="15" customHeight="1" x14ac:dyDescent="0.3">
      <c r="A456" s="26" t="s">
        <v>942</v>
      </c>
      <c r="B456" s="17">
        <v>17.2</v>
      </c>
      <c r="C456" s="17">
        <v>2.1</v>
      </c>
      <c r="D456" s="17">
        <v>2.9</v>
      </c>
      <c r="E456" s="17">
        <v>5.8</v>
      </c>
      <c r="F456" s="17">
        <f>SQRT((4*(HSP!$B$2-$B456)^2+(HSP!$C$2-$C456)^2+(HSP!$D$2-$D456)^2))</f>
        <v>10.65720413617005</v>
      </c>
      <c r="G456" s="17">
        <f>SQRT((4*(HSP!$B$3-$B456)^2+(HSP!$C$3-$C456)^2+(HSP!$D$3-$D456)^2))</f>
        <v>8.6487224490094494</v>
      </c>
      <c r="H456" s="17">
        <f>SQRT((4*(HSP!$B$4-$B456)^2+(HSP!$C$4-$C456)^2+(HSP!$D$4-$D456)^2))</f>
        <v>6.1927376821564133</v>
      </c>
      <c r="I456" s="17">
        <f>SQRT((4*(HSP!$B$5-$B456)^2+(HSP!$C$5-$C456)^2+(HSP!$D$5-$D456)^2))</f>
        <v>13.862355499697733</v>
      </c>
      <c r="J456" s="17">
        <f>SQRT((4*(HSP!$B$6-$B456)^2+(HSP!$C$6-$C456)^2+(HSP!$D$6-$D456)^2))</f>
        <v>5.878009867293521</v>
      </c>
      <c r="K456" s="17">
        <f t="shared" si="0"/>
        <v>1.8374489889948362</v>
      </c>
      <c r="L456" s="17">
        <f t="shared" si="1"/>
        <v>1.4911590429326638</v>
      </c>
      <c r="M456" s="17">
        <f t="shared" si="2"/>
        <v>1.0677133934752436</v>
      </c>
      <c r="N456" s="17">
        <f t="shared" si="3"/>
        <v>2.3900612930513332</v>
      </c>
      <c r="O456" s="17">
        <f t="shared" si="4"/>
        <v>1.0134499771195726</v>
      </c>
      <c r="P456" s="17">
        <f>$F456/HSP!$E$2</f>
        <v>0.65381620467300916</v>
      </c>
      <c r="Q456" s="17">
        <f>$G456/HSP!$E$3</f>
        <v>0.64064610733403327</v>
      </c>
      <c r="R456" s="17">
        <f>$H456/HSP!$E$4</f>
        <v>0.38948035736832787</v>
      </c>
      <c r="S456" s="17">
        <f>$I456/HSP!$E$5</f>
        <v>1.0118507664012943</v>
      </c>
      <c r="T456" s="17">
        <f>$J456/HSP!$E$6</f>
        <v>0.39716282887118382</v>
      </c>
      <c r="U456" s="18" t="s">
        <v>490</v>
      </c>
      <c r="V456" s="12"/>
      <c r="W456" s="12"/>
      <c r="X456" s="12"/>
      <c r="Y456" s="12"/>
      <c r="Z456" s="12"/>
    </row>
    <row r="457" spans="1:26" ht="15" customHeight="1" x14ac:dyDescent="0.3">
      <c r="A457" s="26" t="s">
        <v>943</v>
      </c>
      <c r="B457" s="17">
        <v>18.399999999999999</v>
      </c>
      <c r="C457" s="17">
        <v>4</v>
      </c>
      <c r="D457" s="17">
        <v>9.6</v>
      </c>
      <c r="E457" s="17">
        <v>7.3</v>
      </c>
      <c r="F457" s="17">
        <f>SQRT((4*(HSP!$B$2-$B457)^2+(HSP!$C$2-$C457)^2+(HSP!$D$2-$D457)^2))</f>
        <v>10.312904537519969</v>
      </c>
      <c r="G457" s="17">
        <f>SQRT((4*(HSP!$B$3-$B457)^2+(HSP!$C$3-$C457)^2+(HSP!$D$3-$D457)^2))</f>
        <v>8.700597680619417</v>
      </c>
      <c r="H457" s="17">
        <f>SQRT((4*(HSP!$B$4-$B457)^2+(HSP!$C$4-$C457)^2+(HSP!$D$4-$D457)^2))</f>
        <v>7.0734715663526888</v>
      </c>
      <c r="I457" s="17">
        <f>SQRT((4*(HSP!$B$5-$B457)^2+(HSP!$C$5-$C457)^2+(HSP!$D$5-$D457)^2))</f>
        <v>10.816418076239472</v>
      </c>
      <c r="J457" s="17">
        <f>SQRT((4*(HSP!$B$6-$B457)^2+(HSP!$C$6-$C457)^2+(HSP!$D$6-$D457)^2))</f>
        <v>8.8405316582205611</v>
      </c>
      <c r="K457" s="17">
        <f t="shared" si="0"/>
        <v>1.4127266489753383</v>
      </c>
      <c r="L457" s="17">
        <f t="shared" si="1"/>
        <v>1.1918626959752627</v>
      </c>
      <c r="M457" s="17">
        <f t="shared" si="2"/>
        <v>0.96896870771954646</v>
      </c>
      <c r="N457" s="17">
        <f t="shared" si="3"/>
        <v>1.4817011063341743</v>
      </c>
      <c r="O457" s="17">
        <f t="shared" si="4"/>
        <v>1.2110317340028167</v>
      </c>
      <c r="P457" s="17">
        <f>$F457/HSP!$E$2</f>
        <v>0.63269352990920058</v>
      </c>
      <c r="Q457" s="17">
        <f>$G457/HSP!$E$3</f>
        <v>0.64448871708291977</v>
      </c>
      <c r="R457" s="17">
        <f>$H457/HSP!$E$4</f>
        <v>0.44487242555677287</v>
      </c>
      <c r="S457" s="17">
        <f>$I457/HSP!$E$5</f>
        <v>0.78951956760872066</v>
      </c>
      <c r="T457" s="17">
        <f>$J457/HSP!$E$6</f>
        <v>0.59733322015003787</v>
      </c>
      <c r="U457" s="18" t="s">
        <v>490</v>
      </c>
      <c r="V457" s="12"/>
      <c r="W457" s="12"/>
      <c r="X457" s="12"/>
      <c r="Y457" s="12"/>
      <c r="Z457" s="12"/>
    </row>
    <row r="458" spans="1:26" ht="15" customHeight="1" x14ac:dyDescent="0.3">
      <c r="A458" s="26" t="s">
        <v>944</v>
      </c>
      <c r="B458" s="17">
        <v>17.600000000000001</v>
      </c>
      <c r="C458" s="17">
        <v>12.5</v>
      </c>
      <c r="D458" s="17">
        <v>11</v>
      </c>
      <c r="E458" s="17">
        <v>5</v>
      </c>
      <c r="F458" s="17">
        <f>SQRT((4*(HSP!$B$2-$B458)^2+(HSP!$C$2-$C458)^2+(HSP!$D$2-$D458)^2))</f>
        <v>7.5047984649822563</v>
      </c>
      <c r="G458" s="17">
        <f>SQRT((4*(HSP!$B$3-$B458)^2+(HSP!$C$3-$C458)^2+(HSP!$D$3-$D458)^2))</f>
        <v>7.0349413643611856</v>
      </c>
      <c r="H458" s="17">
        <f>SQRT((4*(HSP!$B$4-$B458)^2+(HSP!$C$4-$C458)^2+(HSP!$D$4-$D458)^2))</f>
        <v>10.119881422230204</v>
      </c>
      <c r="I458" s="17">
        <f>SQRT((4*(HSP!$B$5-$B458)^2+(HSP!$C$5-$C458)^2+(HSP!$D$5-$D458)^2))</f>
        <v>4.6657153792317887</v>
      </c>
      <c r="J458" s="17">
        <f>SQRT((4*(HSP!$B$6-$B458)^2+(HSP!$C$6-$C458)^2+(HSP!$D$6-$D458)^2))</f>
        <v>10.47296519616102</v>
      </c>
      <c r="K458" s="17">
        <f t="shared" si="0"/>
        <v>1.5009596929964513</v>
      </c>
      <c r="L458" s="17">
        <f t="shared" si="1"/>
        <v>1.4069882728722372</v>
      </c>
      <c r="M458" s="17">
        <f t="shared" si="2"/>
        <v>2.0239762844460407</v>
      </c>
      <c r="N458" s="17">
        <f t="shared" si="3"/>
        <v>0.93314307584635769</v>
      </c>
      <c r="O458" s="17">
        <f t="shared" si="4"/>
        <v>2.0945930392322039</v>
      </c>
      <c r="P458" s="17">
        <f>$F458/HSP!$E$2</f>
        <v>0.46041708374124268</v>
      </c>
      <c r="Q458" s="17">
        <f>$G458/HSP!$E$3</f>
        <v>0.52110676773045816</v>
      </c>
      <c r="R458" s="17">
        <f>$H458/HSP!$E$4</f>
        <v>0.63647052970001283</v>
      </c>
      <c r="S458" s="17">
        <f>$I458/HSP!$E$5</f>
        <v>0.34056316636728384</v>
      </c>
      <c r="T458" s="17">
        <f>$J458/HSP!$E$6</f>
        <v>0.70763278352439318</v>
      </c>
      <c r="U458" s="18" t="s">
        <v>490</v>
      </c>
      <c r="V458" s="12"/>
      <c r="W458" s="12"/>
      <c r="X458" s="12"/>
      <c r="Y458" s="12"/>
      <c r="Z458" s="12"/>
    </row>
    <row r="459" spans="1:26" ht="15" customHeight="1" x14ac:dyDescent="0.3">
      <c r="A459" s="26" t="s">
        <v>945</v>
      </c>
      <c r="B459" s="17">
        <v>18.8</v>
      </c>
      <c r="C459" s="17">
        <v>11.4</v>
      </c>
      <c r="D459" s="17">
        <v>16.399999999999999</v>
      </c>
      <c r="E459" s="17">
        <v>14.1</v>
      </c>
      <c r="F459" s="17">
        <f>SQRT((4*(HSP!$B$2-$B459)^2+(HSP!$C$2-$C459)^2+(HSP!$D$2-$D459)^2))</f>
        <v>12.656223765404908</v>
      </c>
      <c r="G459" s="17">
        <f>SQRT((4*(HSP!$B$3-$B459)^2+(HSP!$C$3-$C459)^2+(HSP!$D$3-$D459)^2))</f>
        <v>12.395660531008422</v>
      </c>
      <c r="H459" s="17">
        <f>SQRT((4*(HSP!$B$4-$B459)^2+(HSP!$C$4-$C459)^2+(HSP!$D$4-$D459)^2))</f>
        <v>13.784991838952969</v>
      </c>
      <c r="I459" s="17">
        <f>SQRT((4*(HSP!$B$5-$B459)^2+(HSP!$C$5-$C459)^2+(HSP!$D$5-$D459)^2))</f>
        <v>9.028117190200847</v>
      </c>
      <c r="J459" s="17">
        <f>SQRT((4*(HSP!$B$6-$B459)^2+(HSP!$C$6-$C459)^2+(HSP!$D$6-$D459)^2))</f>
        <v>15.233088984181771</v>
      </c>
      <c r="K459" s="17">
        <f t="shared" si="0"/>
        <v>0.89760452236914245</v>
      </c>
      <c r="L459" s="17">
        <f t="shared" si="1"/>
        <v>0.87912486035520732</v>
      </c>
      <c r="M459" s="17">
        <f t="shared" si="2"/>
        <v>0.97765899567042336</v>
      </c>
      <c r="N459" s="17">
        <f t="shared" si="3"/>
        <v>0.64029199930502467</v>
      </c>
      <c r="O459" s="17">
        <f t="shared" si="4"/>
        <v>1.0803609208639555</v>
      </c>
      <c r="P459" s="17">
        <f>$F459/HSP!$E$2</f>
        <v>0.7764554457303624</v>
      </c>
      <c r="Q459" s="17">
        <f>$G459/HSP!$E$3</f>
        <v>0.91819707637099424</v>
      </c>
      <c r="R459" s="17">
        <f>$H459/HSP!$E$4</f>
        <v>0.86698061880207355</v>
      </c>
      <c r="S459" s="17">
        <f>$I459/HSP!$E$5</f>
        <v>0.65898665621903996</v>
      </c>
      <c r="T459" s="17">
        <f>$J459/HSP!$E$6</f>
        <v>1.0292627692014711</v>
      </c>
      <c r="U459" s="18" t="s">
        <v>464</v>
      </c>
      <c r="V459" s="12"/>
      <c r="W459" s="12"/>
      <c r="X459" s="12"/>
      <c r="Y459" s="12"/>
      <c r="Z459" s="12"/>
    </row>
    <row r="460" spans="1:26" ht="15" customHeight="1" x14ac:dyDescent="0.3">
      <c r="A460" s="26" t="s">
        <v>946</v>
      </c>
      <c r="B460" s="17">
        <v>18</v>
      </c>
      <c r="C460" s="17">
        <v>11.6</v>
      </c>
      <c r="D460" s="17">
        <v>8.5</v>
      </c>
      <c r="E460" s="17">
        <v>9</v>
      </c>
      <c r="F460" s="17">
        <f>SQRT((4*(HSP!$B$2-$B460)^2+(HSP!$C$2-$C460)^2+(HSP!$D$2-$D460)^2))</f>
        <v>7.0604532432415423</v>
      </c>
      <c r="G460" s="17">
        <f>SQRT((4*(HSP!$B$3-$B460)^2+(HSP!$C$3-$C460)^2+(HSP!$D$3-$D460)^2))</f>
        <v>5.6824642541770558</v>
      </c>
      <c r="H460" s="17">
        <f>SQRT((4*(HSP!$B$4-$B460)^2+(HSP!$C$4-$C460)^2+(HSP!$D$4-$D460)^2))</f>
        <v>9.1001098894463901</v>
      </c>
      <c r="I460" s="17">
        <f>SQRT((4*(HSP!$B$5-$B460)^2+(HSP!$C$5-$C460)^2+(HSP!$D$5-$D460)^2))</f>
        <v>6.0803700545279318</v>
      </c>
      <c r="J460" s="17">
        <f>SQRT((4*(HSP!$B$6-$B460)^2+(HSP!$C$6-$C460)^2+(HSP!$D$6-$D460)^2))</f>
        <v>8.8409841081182812</v>
      </c>
      <c r="K460" s="17">
        <f t="shared" si="0"/>
        <v>0.78449480480461586</v>
      </c>
      <c r="L460" s="17">
        <f t="shared" si="1"/>
        <v>0.63138491713078393</v>
      </c>
      <c r="M460" s="17">
        <f t="shared" si="2"/>
        <v>1.0111233210495989</v>
      </c>
      <c r="N460" s="17">
        <f t="shared" si="3"/>
        <v>0.67559667272532575</v>
      </c>
      <c r="O460" s="17">
        <f t="shared" si="4"/>
        <v>0.98233156756869788</v>
      </c>
      <c r="P460" s="17">
        <f>$F460/HSP!$E$2</f>
        <v>0.43315664068966514</v>
      </c>
      <c r="Q460" s="17">
        <f>$G460/HSP!$E$3</f>
        <v>0.42092327808718932</v>
      </c>
      <c r="R460" s="17">
        <f>$H460/HSP!$E$4</f>
        <v>0.57233395531109366</v>
      </c>
      <c r="S460" s="17">
        <f>$I460/HSP!$E$5</f>
        <v>0.4438226317173673</v>
      </c>
      <c r="T460" s="17">
        <f>$J460/HSP!$E$6</f>
        <v>0.597363791089073</v>
      </c>
      <c r="U460" s="18" t="s">
        <v>471</v>
      </c>
      <c r="V460" s="12"/>
      <c r="W460" s="12"/>
      <c r="X460" s="12"/>
      <c r="Y460" s="12"/>
      <c r="Z460" s="12"/>
    </row>
    <row r="461" spans="1:26" ht="15" customHeight="1" x14ac:dyDescent="0.3">
      <c r="A461" s="26" t="s">
        <v>947</v>
      </c>
      <c r="B461" s="17">
        <v>15.9</v>
      </c>
      <c r="C461" s="17">
        <v>8.1</v>
      </c>
      <c r="D461" s="17">
        <v>6.5</v>
      </c>
      <c r="E461" s="17">
        <v>10.6</v>
      </c>
      <c r="F461" s="17">
        <f>SQRT((4*(HSP!$B$2-$B461)^2+(HSP!$C$2-$C461)^2+(HSP!$D$2-$D461)^2))</f>
        <v>3.5440090293338722</v>
      </c>
      <c r="G461" s="17">
        <f>SQRT((4*(HSP!$B$3-$B461)^2+(HSP!$C$3-$C461)^2+(HSP!$D$3-$D461)^2))</f>
        <v>1.7528262891684396</v>
      </c>
      <c r="H461" s="17">
        <f>SQRT((4*(HSP!$B$4-$B461)^2+(HSP!$C$4-$C461)^2+(HSP!$D$4-$D461)^2))</f>
        <v>3.7306835834736778</v>
      </c>
      <c r="I461" s="17">
        <f>SQRT((4*(HSP!$B$5-$B461)^2+(HSP!$C$5-$C461)^2+(HSP!$D$5-$D461)^2))</f>
        <v>6.5235649762993866</v>
      </c>
      <c r="J461" s="17">
        <f>SQRT((4*(HSP!$B$6-$B461)^2+(HSP!$C$6-$C461)^2+(HSP!$D$6-$D461)^2))</f>
        <v>3.3762405127597179</v>
      </c>
      <c r="K461" s="17">
        <f t="shared" si="0"/>
        <v>0.33434047446545967</v>
      </c>
      <c r="L461" s="17">
        <f t="shared" si="1"/>
        <v>0.1653609706762679</v>
      </c>
      <c r="M461" s="17">
        <f t="shared" si="2"/>
        <v>0.35195128145978094</v>
      </c>
      <c r="N461" s="17">
        <f t="shared" si="3"/>
        <v>0.61543065814145159</v>
      </c>
      <c r="O461" s="17">
        <f t="shared" si="4"/>
        <v>0.3185132559207281</v>
      </c>
      <c r="P461" s="17">
        <f>$F461/HSP!$E$2</f>
        <v>0.21742386683029891</v>
      </c>
      <c r="Q461" s="17">
        <f>$G461/HSP!$E$3</f>
        <v>0.12983898438284738</v>
      </c>
      <c r="R461" s="17">
        <f>$H461/HSP!$E$4</f>
        <v>0.23463418763985394</v>
      </c>
      <c r="S461" s="17">
        <f>$I461/HSP!$E$5</f>
        <v>0.47617262600725452</v>
      </c>
      <c r="T461" s="17">
        <f>$J461/HSP!$E$6</f>
        <v>0.22812435897025121</v>
      </c>
      <c r="U461" s="18" t="s">
        <v>445</v>
      </c>
      <c r="V461" s="12"/>
      <c r="W461" s="12"/>
      <c r="X461" s="12"/>
      <c r="Y461" s="12"/>
      <c r="Z461" s="12"/>
    </row>
    <row r="462" spans="1:26" ht="15" customHeight="1" x14ac:dyDescent="0.3">
      <c r="A462" s="26" t="s">
        <v>948</v>
      </c>
      <c r="B462" s="17">
        <v>19</v>
      </c>
      <c r="C462" s="17">
        <v>5</v>
      </c>
      <c r="D462" s="17">
        <v>4</v>
      </c>
      <c r="E462" s="17">
        <v>5</v>
      </c>
      <c r="F462" s="17">
        <f>SQRT((4*(HSP!$B$2-$B462)^2+(HSP!$C$2-$C462)^2+(HSP!$D$2-$D462)^2))</f>
        <v>10.776455818124994</v>
      </c>
      <c r="G462" s="17">
        <f>SQRT((4*(HSP!$B$3-$B462)^2+(HSP!$C$3-$C462)^2+(HSP!$D$3-$D462)^2))</f>
        <v>8.2977346306085256</v>
      </c>
      <c r="H462" s="17">
        <f>SQRT((4*(HSP!$B$4-$B462)^2+(HSP!$C$4-$C462)^2+(HSP!$D$4-$D462)^2))</f>
        <v>8.161985052669479</v>
      </c>
      <c r="I462" s="17">
        <f>SQRT((4*(HSP!$B$5-$B462)^2+(HSP!$C$5-$C462)^2+(HSP!$D$5-$D462)^2))</f>
        <v>12.777906714325317</v>
      </c>
      <c r="J462" s="17">
        <f>SQRT((4*(HSP!$B$6-$B462)^2+(HSP!$C$6-$C462)^2+(HSP!$D$6-$D462)^2))</f>
        <v>7.5973021527381688</v>
      </c>
      <c r="K462" s="17">
        <f t="shared" si="0"/>
        <v>2.155291163624999</v>
      </c>
      <c r="L462" s="17">
        <f t="shared" si="1"/>
        <v>1.6595469261217051</v>
      </c>
      <c r="M462" s="17">
        <f t="shared" si="2"/>
        <v>1.6323970105338959</v>
      </c>
      <c r="N462" s="17">
        <f t="shared" si="3"/>
        <v>2.5555813428650636</v>
      </c>
      <c r="O462" s="17">
        <f t="shared" si="4"/>
        <v>1.5194604305476338</v>
      </c>
      <c r="P462" s="17">
        <f>$F462/HSP!$E$2</f>
        <v>0.66113225878067439</v>
      </c>
      <c r="Q462" s="17">
        <f>$G462/HSP!$E$3</f>
        <v>0.61464700967470565</v>
      </c>
      <c r="R462" s="17">
        <f>$H462/HSP!$E$4</f>
        <v>0.51333239324965274</v>
      </c>
      <c r="S462" s="17">
        <f>$I462/HSP!$E$5</f>
        <v>0.93269392075367286</v>
      </c>
      <c r="T462" s="17">
        <f>$J462/HSP!$E$6</f>
        <v>0.51333122653636276</v>
      </c>
      <c r="U462" s="18" t="s">
        <v>490</v>
      </c>
      <c r="V462" s="12"/>
      <c r="W462" s="12"/>
      <c r="X462" s="12"/>
      <c r="Y462" s="12"/>
      <c r="Z462" s="12"/>
    </row>
    <row r="463" spans="1:26" ht="15" customHeight="1" x14ac:dyDescent="0.3">
      <c r="A463" s="26" t="s">
        <v>949</v>
      </c>
      <c r="B463" s="17">
        <v>19</v>
      </c>
      <c r="C463" s="17">
        <v>5</v>
      </c>
      <c r="D463" s="17">
        <v>5</v>
      </c>
      <c r="E463" s="17">
        <v>5</v>
      </c>
      <c r="F463" s="17">
        <f>SQRT((4*(HSP!$B$2-$B463)^2+(HSP!$C$2-$C463)^2+(HSP!$D$2-$D463)^2))</f>
        <v>10.543813351914004</v>
      </c>
      <c r="G463" s="17">
        <f>SQRT((4*(HSP!$B$3-$B463)^2+(HSP!$C$3-$C463)^2+(HSP!$D$3-$D463)^2))</f>
        <v>8.137100220594558</v>
      </c>
      <c r="H463" s="17">
        <f>SQRT((4*(HSP!$B$4-$B463)^2+(HSP!$C$4-$C463)^2+(HSP!$D$4-$D463)^2))</f>
        <v>7.8751507922070934</v>
      </c>
      <c r="I463" s="17">
        <f>SQRT((4*(HSP!$B$5-$B463)^2+(HSP!$C$5-$C463)^2+(HSP!$D$5-$D463)^2))</f>
        <v>12.264375238877847</v>
      </c>
      <c r="J463" s="17">
        <f>SQRT((4*(HSP!$B$6-$B463)^2+(HSP!$C$6-$C463)^2+(HSP!$D$6-$D463)^2))</f>
        <v>7.6823824429665057</v>
      </c>
      <c r="K463" s="17">
        <f t="shared" si="0"/>
        <v>2.1087626703828009</v>
      </c>
      <c r="L463" s="17">
        <f t="shared" si="1"/>
        <v>1.6274200441189115</v>
      </c>
      <c r="M463" s="17">
        <f t="shared" si="2"/>
        <v>1.5750301584414186</v>
      </c>
      <c r="N463" s="17">
        <f t="shared" si="3"/>
        <v>2.4528750477755694</v>
      </c>
      <c r="O463" s="17">
        <f t="shared" si="4"/>
        <v>1.5364764885933011</v>
      </c>
      <c r="P463" s="17">
        <f>$F463/HSP!$E$2</f>
        <v>0.64685971484134985</v>
      </c>
      <c r="Q463" s="17">
        <f>$G463/HSP!$E$3</f>
        <v>0.60274816448848578</v>
      </c>
      <c r="R463" s="17">
        <f>$H463/HSP!$E$4</f>
        <v>0.49529250265453417</v>
      </c>
      <c r="S463" s="17">
        <f>$I463/HSP!$E$5</f>
        <v>0.89520987145093778</v>
      </c>
      <c r="T463" s="17">
        <f>$J463/HSP!$E$6</f>
        <v>0.51907989479503414</v>
      </c>
      <c r="U463" s="18" t="s">
        <v>473</v>
      </c>
      <c r="V463" s="12"/>
      <c r="W463" s="12"/>
      <c r="X463" s="12"/>
      <c r="Y463" s="12"/>
      <c r="Z463" s="12"/>
    </row>
    <row r="464" spans="1:26" ht="15" customHeight="1" x14ac:dyDescent="0.3">
      <c r="A464" s="26" t="s">
        <v>950</v>
      </c>
      <c r="B464" s="17">
        <v>17.7</v>
      </c>
      <c r="C464" s="17">
        <v>4.9000000000000004</v>
      </c>
      <c r="D464" s="17">
        <v>5.9</v>
      </c>
      <c r="E464" s="17">
        <v>5.9</v>
      </c>
      <c r="F464" s="17">
        <f>SQRT((4*(HSP!$B$2-$B464)^2+(HSP!$C$2-$C464)^2+(HSP!$D$2-$D464)^2))</f>
        <v>8.3976187100868067</v>
      </c>
      <c r="G464" s="17">
        <f>SQRT((4*(HSP!$B$3-$B464)^2+(HSP!$C$3-$C464)^2+(HSP!$D$3-$D464)^2))</f>
        <v>6.2309228850949516</v>
      </c>
      <c r="H464" s="17">
        <f>SQRT((4*(HSP!$B$4-$B464)^2+(HSP!$C$4-$C464)^2+(HSP!$D$4-$D464)^2))</f>
        <v>5.1441228601191078</v>
      </c>
      <c r="I464" s="17">
        <f>SQRT((4*(HSP!$B$5-$B464)^2+(HSP!$C$5-$C464)^2+(HSP!$D$5-$D464)^2))</f>
        <v>10.491563277224229</v>
      </c>
      <c r="J464" s="17">
        <f>SQRT((4*(HSP!$B$6-$B464)^2+(HSP!$C$6-$C464)^2+(HSP!$D$6-$D464)^2))</f>
        <v>5.4920852141968801</v>
      </c>
      <c r="K464" s="17">
        <f t="shared" si="0"/>
        <v>1.4233252050994587</v>
      </c>
      <c r="L464" s="17">
        <f t="shared" si="1"/>
        <v>1.0560886245923646</v>
      </c>
      <c r="M464" s="17">
        <f t="shared" si="2"/>
        <v>0.87188523052866229</v>
      </c>
      <c r="N464" s="17">
        <f t="shared" si="3"/>
        <v>1.7782310639363099</v>
      </c>
      <c r="O464" s="17">
        <f t="shared" si="4"/>
        <v>0.93086190071133557</v>
      </c>
      <c r="P464" s="17">
        <f>$F464/HSP!$E$2</f>
        <v>0.51519133190716604</v>
      </c>
      <c r="Q464" s="17">
        <f>$G464/HSP!$E$3</f>
        <v>0.46154984334036681</v>
      </c>
      <c r="R464" s="17">
        <f>$H464/HSP!$E$4</f>
        <v>0.32352973963013254</v>
      </c>
      <c r="S464" s="17">
        <f>$I464/HSP!$E$5</f>
        <v>0.76580753848352034</v>
      </c>
      <c r="T464" s="17">
        <f>$J464/HSP!$E$6</f>
        <v>0.37108683879708648</v>
      </c>
      <c r="U464" s="18" t="s">
        <v>500</v>
      </c>
      <c r="V464" s="12"/>
      <c r="W464" s="12"/>
      <c r="X464" s="12"/>
      <c r="Y464" s="12"/>
      <c r="Z464" s="12"/>
    </row>
    <row r="465" spans="1:26" ht="15" customHeight="1" x14ac:dyDescent="0.3">
      <c r="A465" s="26" t="s">
        <v>951</v>
      </c>
      <c r="B465" s="17">
        <v>17.399999999999999</v>
      </c>
      <c r="C465" s="17">
        <v>7.8</v>
      </c>
      <c r="D465" s="17">
        <v>3.8</v>
      </c>
      <c r="E465" s="17">
        <v>7.7</v>
      </c>
      <c r="F465" s="17">
        <f>SQRT((4*(HSP!$B$2-$B465)^2+(HSP!$C$2-$C465)^2+(HSP!$D$2-$D465)^2))</f>
        <v>6.9676394855072683</v>
      </c>
      <c r="G465" s="17">
        <f>SQRT((4*(HSP!$B$3-$B465)^2+(HSP!$C$3-$C465)^2+(HSP!$D$3-$D465)^2))</f>
        <v>4.3859320560172828</v>
      </c>
      <c r="H465" s="17">
        <f>SQRT((4*(HSP!$B$4-$B465)^2+(HSP!$C$4-$C465)^2+(HSP!$D$4-$D465)^2))</f>
        <v>6.2149818986059788</v>
      </c>
      <c r="I465" s="17">
        <f>SQRT((4*(HSP!$B$5-$B465)^2+(HSP!$C$5-$C465)^2+(HSP!$D$5-$D465)^2))</f>
        <v>9.6535433909005661</v>
      </c>
      <c r="J465" s="17">
        <f>SQRT((4*(HSP!$B$6-$B465)^2+(HSP!$C$6-$C465)^2+(HSP!$D$6-$D465)^2))</f>
        <v>4.4751536286478464</v>
      </c>
      <c r="K465" s="17">
        <f t="shared" si="0"/>
        <v>0.90488824487107378</v>
      </c>
      <c r="L465" s="17">
        <f t="shared" si="1"/>
        <v>0.5696015657165302</v>
      </c>
      <c r="M465" s="17">
        <f t="shared" si="2"/>
        <v>0.80714050631246481</v>
      </c>
      <c r="N465" s="17">
        <f t="shared" si="3"/>
        <v>1.2537069338831903</v>
      </c>
      <c r="O465" s="17">
        <f t="shared" si="4"/>
        <v>0.58118878294127874</v>
      </c>
      <c r="P465" s="17">
        <f>$F465/HSP!$E$2</f>
        <v>0.4274625451231453</v>
      </c>
      <c r="Q465" s="17">
        <f>$G465/HSP!$E$3</f>
        <v>0.32488385600128022</v>
      </c>
      <c r="R465" s="17">
        <f>$H465/HSP!$E$4</f>
        <v>0.39087936469219992</v>
      </c>
      <c r="S465" s="17">
        <f>$I465/HSP!$E$5</f>
        <v>0.70463820371536978</v>
      </c>
      <c r="T465" s="17">
        <f>$J465/HSP!$E$6</f>
        <v>0.30237524517890851</v>
      </c>
      <c r="U465" s="18" t="s">
        <v>457</v>
      </c>
      <c r="V465" s="12"/>
      <c r="W465" s="12"/>
      <c r="X465" s="12"/>
      <c r="Y465" s="12"/>
      <c r="Z465" s="12"/>
    </row>
    <row r="466" spans="1:26" ht="15" customHeight="1" x14ac:dyDescent="0.3">
      <c r="A466" s="26" t="s">
        <v>952</v>
      </c>
      <c r="B466" s="17">
        <v>18.2</v>
      </c>
      <c r="C466" s="17">
        <v>5.6</v>
      </c>
      <c r="D466" s="17">
        <v>7.2</v>
      </c>
      <c r="E466" s="17">
        <v>5.7</v>
      </c>
      <c r="F466" s="17">
        <f>SQRT((4*(HSP!$B$2-$B466)^2+(HSP!$C$2-$C466)^2+(HSP!$D$2-$D466)^2))</f>
        <v>8.6895339345674927</v>
      </c>
      <c r="G466" s="17">
        <f>SQRT((4*(HSP!$B$3-$B466)^2+(HSP!$C$3-$C466)^2+(HSP!$D$3-$D466)^2))</f>
        <v>6.6021511645826472</v>
      </c>
      <c r="H466" s="17">
        <f>SQRT((4*(HSP!$B$4-$B466)^2+(HSP!$C$4-$C466)^2+(HSP!$D$4-$D466)^2))</f>
        <v>6.1424750711744842</v>
      </c>
      <c r="I466" s="17">
        <f>SQRT((4*(HSP!$B$5-$B466)^2+(HSP!$C$5-$C466)^2+(HSP!$D$5-$D466)^2))</f>
        <v>9.9472056377658138</v>
      </c>
      <c r="J466" s="17">
        <f>SQRT((4*(HSP!$B$6-$B466)^2+(HSP!$C$6-$C466)^2+(HSP!$D$6-$D466)^2))</f>
        <v>6.8008087754325217</v>
      </c>
      <c r="K466" s="17">
        <f t="shared" si="0"/>
        <v>1.5244796376434198</v>
      </c>
      <c r="L466" s="17">
        <f t="shared" si="1"/>
        <v>1.1582721341373066</v>
      </c>
      <c r="M466" s="17">
        <f t="shared" si="2"/>
        <v>1.0776272054692078</v>
      </c>
      <c r="N466" s="17">
        <f t="shared" si="3"/>
        <v>1.7451237960992656</v>
      </c>
      <c r="O466" s="17">
        <f t="shared" si="4"/>
        <v>1.1931243465671091</v>
      </c>
      <c r="P466" s="17">
        <f>$F466/HSP!$E$2</f>
        <v>0.53310024138450873</v>
      </c>
      <c r="Q466" s="17">
        <f>$G466/HSP!$E$3</f>
        <v>0.4890482344135294</v>
      </c>
      <c r="R466" s="17">
        <f>$H466/HSP!$E$4</f>
        <v>0.38631918686631977</v>
      </c>
      <c r="S466" s="17">
        <f>$I466/HSP!$E$5</f>
        <v>0.72607340421648281</v>
      </c>
      <c r="T466" s="17">
        <f>$J466/HSP!$E$6</f>
        <v>0.45951410644814333</v>
      </c>
      <c r="U466" s="18" t="s">
        <v>457</v>
      </c>
      <c r="V466" s="12"/>
      <c r="W466" s="12"/>
      <c r="X466" s="12"/>
      <c r="Y466" s="12"/>
      <c r="Z466" s="12"/>
    </row>
    <row r="467" spans="1:26" ht="15" customHeight="1" x14ac:dyDescent="0.3">
      <c r="A467" s="26" t="s">
        <v>953</v>
      </c>
      <c r="B467" s="17">
        <v>18.899999999999999</v>
      </c>
      <c r="C467" s="17">
        <v>10.9</v>
      </c>
      <c r="D467" s="17">
        <v>10.7</v>
      </c>
      <c r="E467" s="17">
        <v>9.6999999999999993</v>
      </c>
      <c r="F467" s="17">
        <f>SQRT((4*(HSP!$B$2-$B467)^2+(HSP!$C$2-$C467)^2+(HSP!$D$2-$D467)^2))</f>
        <v>9.3804051085227638</v>
      </c>
      <c r="G467" s="17">
        <f>SQRT((4*(HSP!$B$3-$B467)^2+(HSP!$C$3-$C467)^2+(HSP!$D$3-$D467)^2))</f>
        <v>8.1589460103618752</v>
      </c>
      <c r="H467" s="17">
        <f>SQRT((4*(HSP!$B$4-$B467)^2+(HSP!$C$4-$C467)^2+(HSP!$D$4-$D467)^2))</f>
        <v>10.466613587975814</v>
      </c>
      <c r="I467" s="17">
        <f>SQRT((4*(HSP!$B$5-$B467)^2+(HSP!$C$5-$C467)^2+(HSP!$D$5-$D467)^2))</f>
        <v>7.4881840255164658</v>
      </c>
      <c r="J467" s="17">
        <f>SQRT((4*(HSP!$B$6-$B467)^2+(HSP!$C$6-$C467)^2+(HSP!$D$6-$D467)^2))</f>
        <v>10.936681397937857</v>
      </c>
      <c r="K467" s="17">
        <f t="shared" si="0"/>
        <v>0.96705207304358398</v>
      </c>
      <c r="L467" s="17">
        <f t="shared" si="1"/>
        <v>0.84112845467648201</v>
      </c>
      <c r="M467" s="17">
        <f t="shared" si="2"/>
        <v>1.0790323286573005</v>
      </c>
      <c r="N467" s="17">
        <f t="shared" si="3"/>
        <v>0.77197773458932639</v>
      </c>
      <c r="O467" s="17">
        <f t="shared" si="4"/>
        <v>1.1274929276224597</v>
      </c>
      <c r="P467" s="17">
        <f>$F467/HSP!$E$2</f>
        <v>0.57548497598299164</v>
      </c>
      <c r="Q467" s="17">
        <f>$G467/HSP!$E$3</f>
        <v>0.60436637113791669</v>
      </c>
      <c r="R467" s="17">
        <f>$H467/HSP!$E$4</f>
        <v>0.65827758414942228</v>
      </c>
      <c r="S467" s="17">
        <f>$I467/HSP!$E$5</f>
        <v>0.54658277558514357</v>
      </c>
      <c r="T467" s="17">
        <f>$J467/HSP!$E$6</f>
        <v>0.7389649593201254</v>
      </c>
      <c r="U467" s="18" t="s">
        <v>490</v>
      </c>
      <c r="V467" s="12"/>
      <c r="W467" s="12"/>
      <c r="X467" s="12"/>
      <c r="Y467" s="12"/>
      <c r="Z467" s="12"/>
    </row>
    <row r="468" spans="1:26" ht="15" customHeight="1" x14ac:dyDescent="0.3">
      <c r="A468" s="26" t="s">
        <v>954</v>
      </c>
      <c r="B468" s="17">
        <v>18</v>
      </c>
      <c r="C468" s="17">
        <v>9</v>
      </c>
      <c r="D468" s="17">
        <v>3</v>
      </c>
      <c r="E468" s="17">
        <v>9</v>
      </c>
      <c r="F468" s="17">
        <f>SQRT((4*(HSP!$B$2-$B468)^2+(HSP!$C$2-$C468)^2+(HSP!$D$2-$D468)^2))</f>
        <v>8.0132390454796756</v>
      </c>
      <c r="G468" s="17">
        <f>SQRT((4*(HSP!$B$3-$B468)^2+(HSP!$C$3-$C468)^2+(HSP!$D$3-$D468)^2))</f>
        <v>5.4527424292735498</v>
      </c>
      <c r="H468" s="17">
        <f>SQRT((4*(HSP!$B$4-$B468)^2+(HSP!$C$4-$C468)^2+(HSP!$D$4-$D468)^2))</f>
        <v>8.0708116072672649</v>
      </c>
      <c r="I468" s="17">
        <f>SQRT((4*(HSP!$B$5-$B468)^2+(HSP!$C$5-$C468)^2+(HSP!$D$5-$D468)^2))</f>
        <v>10.321574492295253</v>
      </c>
      <c r="J468" s="17">
        <f>SQRT((4*(HSP!$B$6-$B468)^2+(HSP!$C$6-$C468)^2+(HSP!$D$6-$D468)^2))</f>
        <v>6.0941775491037351</v>
      </c>
      <c r="K468" s="17">
        <f t="shared" si="0"/>
        <v>0.89035989394218618</v>
      </c>
      <c r="L468" s="17">
        <f t="shared" si="1"/>
        <v>0.60586026991928332</v>
      </c>
      <c r="M468" s="17">
        <f t="shared" si="2"/>
        <v>0.89675684525191834</v>
      </c>
      <c r="N468" s="17">
        <f t="shared" si="3"/>
        <v>1.1468416102550281</v>
      </c>
      <c r="O468" s="17">
        <f t="shared" si="4"/>
        <v>0.67713083878930391</v>
      </c>
      <c r="P468" s="17">
        <f>$F468/HSP!$E$2</f>
        <v>0.49160975739139112</v>
      </c>
      <c r="Q468" s="17">
        <f>$G468/HSP!$E$3</f>
        <v>0.40390684661285553</v>
      </c>
      <c r="R468" s="17">
        <f>$H468/HSP!$E$4</f>
        <v>0.50759821429353869</v>
      </c>
      <c r="S468" s="17">
        <f>$I468/HSP!$E$5</f>
        <v>0.7533995979777558</v>
      </c>
      <c r="T468" s="17">
        <f>$J468/HSP!$E$6</f>
        <v>0.41176875331781992</v>
      </c>
      <c r="U468" s="18" t="s">
        <v>490</v>
      </c>
      <c r="V468" s="12"/>
      <c r="W468" s="12"/>
      <c r="X468" s="12"/>
      <c r="Y468" s="12"/>
      <c r="Z468" s="12"/>
    </row>
    <row r="469" spans="1:26" ht="15" customHeight="1" x14ac:dyDescent="0.3">
      <c r="A469" s="26" t="s">
        <v>955</v>
      </c>
      <c r="B469" s="17">
        <v>18.7</v>
      </c>
      <c r="C469" s="17">
        <v>6.3</v>
      </c>
      <c r="D469" s="17">
        <v>7.3</v>
      </c>
      <c r="E469" s="17">
        <v>6.7</v>
      </c>
      <c r="F469" s="17">
        <f>SQRT((4*(HSP!$B$2-$B469)^2+(HSP!$C$2-$C469)^2+(HSP!$D$2-$D469)^2))</f>
        <v>9.2004347723354911</v>
      </c>
      <c r="G469" s="17">
        <f>SQRT((4*(HSP!$B$3-$B469)^2+(HSP!$C$3-$C469)^2+(HSP!$D$3-$D469)^2))</f>
        <v>7.0512693892660199</v>
      </c>
      <c r="H469" s="17">
        <f>SQRT((4*(HSP!$B$4-$B469)^2+(HSP!$C$4-$C469)^2+(HSP!$D$4-$D469)^2))</f>
        <v>7.2607162181151237</v>
      </c>
      <c r="I469" s="17">
        <f>SQRT((4*(HSP!$B$5-$B469)^2+(HSP!$C$5-$C469)^2+(HSP!$D$5-$D469)^2))</f>
        <v>10.072383034813559</v>
      </c>
      <c r="J469" s="17">
        <f>SQRT((4*(HSP!$B$6-$B469)^2+(HSP!$C$6-$C469)^2+(HSP!$D$6-$D469)^2))</f>
        <v>7.6797786426432877</v>
      </c>
      <c r="K469" s="17">
        <f t="shared" si="0"/>
        <v>1.3731992197515659</v>
      </c>
      <c r="L469" s="17">
        <f t="shared" si="1"/>
        <v>1.0524282670546299</v>
      </c>
      <c r="M469" s="17">
        <f t="shared" si="2"/>
        <v>1.0836889877783766</v>
      </c>
      <c r="N469" s="17">
        <f t="shared" si="3"/>
        <v>1.5033407514647101</v>
      </c>
      <c r="O469" s="17">
        <f t="shared" si="4"/>
        <v>1.1462356183049682</v>
      </c>
      <c r="P469" s="17">
        <f>$F469/HSP!$E$2</f>
        <v>0.56444385106352701</v>
      </c>
      <c r="Q469" s="17">
        <f>$G469/HSP!$E$3</f>
        <v>0.52231625105674218</v>
      </c>
      <c r="R469" s="17">
        <f>$H469/HSP!$E$4</f>
        <v>0.45664881874937885</v>
      </c>
      <c r="S469" s="17">
        <f>$I469/HSP!$E$5</f>
        <v>0.73521044049734008</v>
      </c>
      <c r="T469" s="17">
        <f>$J469/HSP!$E$6</f>
        <v>0.51890396234076264</v>
      </c>
      <c r="U469" s="18" t="s">
        <v>490</v>
      </c>
      <c r="V469" s="12"/>
      <c r="W469" s="12"/>
      <c r="X469" s="12"/>
      <c r="Y469" s="12"/>
      <c r="Z469" s="12"/>
    </row>
    <row r="470" spans="1:26" ht="15" customHeight="1" x14ac:dyDescent="0.3">
      <c r="A470" s="26" t="s">
        <v>956</v>
      </c>
      <c r="B470" s="17">
        <v>18</v>
      </c>
      <c r="C470" s="17">
        <v>9.8000000000000007</v>
      </c>
      <c r="D470" s="17">
        <v>8.4</v>
      </c>
      <c r="E470" s="17">
        <v>10.1</v>
      </c>
      <c r="F470" s="17">
        <f>SQRT((4*(HSP!$B$2-$B470)^2+(HSP!$C$2-$C470)^2+(HSP!$D$2-$D470)^2))</f>
        <v>6.9779653194896296</v>
      </c>
      <c r="G470" s="17">
        <f>SQRT((4*(HSP!$B$3-$B470)^2+(HSP!$C$3-$C470)^2+(HSP!$D$3-$D470)^2))</f>
        <v>5.2934298899673751</v>
      </c>
      <c r="H470" s="17">
        <f>SQRT((4*(HSP!$B$4-$B470)^2+(HSP!$C$4-$C470)^2+(HSP!$D$4-$D470)^2))</f>
        <v>7.7980766859527622</v>
      </c>
      <c r="I470" s="17">
        <f>SQRT((4*(HSP!$B$5-$B470)^2+(HSP!$C$5-$C470)^2+(HSP!$D$5-$D470)^2))</f>
        <v>6.6887143757227365</v>
      </c>
      <c r="J470" s="17">
        <f>SQRT((4*(HSP!$B$6-$B470)^2+(HSP!$C$6-$C470)^2+(HSP!$D$6-$D470)^2))</f>
        <v>7.8658121004763411</v>
      </c>
      <c r="K470" s="17">
        <f t="shared" si="0"/>
        <v>0.69088765539501285</v>
      </c>
      <c r="L470" s="17">
        <f t="shared" si="1"/>
        <v>0.52410196930370057</v>
      </c>
      <c r="M470" s="17">
        <f t="shared" si="2"/>
        <v>0.77208680058938239</v>
      </c>
      <c r="N470" s="17">
        <f t="shared" si="3"/>
        <v>0.66224894809136003</v>
      </c>
      <c r="O470" s="17">
        <f t="shared" si="4"/>
        <v>0.77879327727488523</v>
      </c>
      <c r="P470" s="17">
        <f>$F470/HSP!$E$2</f>
        <v>0.42809603187052941</v>
      </c>
      <c r="Q470" s="17">
        <f>$G470/HSP!$E$3</f>
        <v>0.39210591777536113</v>
      </c>
      <c r="R470" s="17">
        <f>$H470/HSP!$E$4</f>
        <v>0.49044507458822401</v>
      </c>
      <c r="S470" s="17">
        <f>$I470/HSP!$E$5</f>
        <v>0.48822732669509028</v>
      </c>
      <c r="T470" s="17">
        <f>$J470/HSP!$E$6</f>
        <v>0.5314737905727257</v>
      </c>
      <c r="U470" s="18" t="s">
        <v>490</v>
      </c>
      <c r="V470" s="12"/>
      <c r="W470" s="12"/>
      <c r="X470" s="12"/>
      <c r="Y470" s="12"/>
      <c r="Z470" s="12"/>
    </row>
    <row r="471" spans="1:26" ht="15" customHeight="1" x14ac:dyDescent="0.3">
      <c r="A471" s="26" t="s">
        <v>957</v>
      </c>
      <c r="B471" s="17">
        <v>17.399999999999999</v>
      </c>
      <c r="C471" s="17">
        <v>7.8</v>
      </c>
      <c r="D471" s="17">
        <v>3.8</v>
      </c>
      <c r="E471" s="17">
        <v>7.7</v>
      </c>
      <c r="F471" s="17">
        <f>SQRT((4*(HSP!$B$2-$B471)^2+(HSP!$C$2-$C471)^2+(HSP!$D$2-$D471)^2))</f>
        <v>6.9676394855072683</v>
      </c>
      <c r="G471" s="17">
        <f>SQRT((4*(HSP!$B$3-$B471)^2+(HSP!$C$3-$C471)^2+(HSP!$D$3-$D471)^2))</f>
        <v>4.3859320560172828</v>
      </c>
      <c r="H471" s="17">
        <f>SQRT((4*(HSP!$B$4-$B471)^2+(HSP!$C$4-$C471)^2+(HSP!$D$4-$D471)^2))</f>
        <v>6.2149818986059788</v>
      </c>
      <c r="I471" s="17">
        <f>SQRT((4*(HSP!$B$5-$B471)^2+(HSP!$C$5-$C471)^2+(HSP!$D$5-$D471)^2))</f>
        <v>9.6535433909005661</v>
      </c>
      <c r="J471" s="17">
        <f>SQRT((4*(HSP!$B$6-$B471)^2+(HSP!$C$6-$C471)^2+(HSP!$D$6-$D471)^2))</f>
        <v>4.4751536286478464</v>
      </c>
      <c r="K471" s="17">
        <f t="shared" si="0"/>
        <v>0.90488824487107378</v>
      </c>
      <c r="L471" s="17">
        <f t="shared" si="1"/>
        <v>0.5696015657165302</v>
      </c>
      <c r="M471" s="17">
        <f t="shared" si="2"/>
        <v>0.80714050631246481</v>
      </c>
      <c r="N471" s="17">
        <f t="shared" si="3"/>
        <v>1.2537069338831903</v>
      </c>
      <c r="O471" s="17">
        <f t="shared" si="4"/>
        <v>0.58118878294127874</v>
      </c>
      <c r="P471" s="17">
        <f>$F471/HSP!$E$2</f>
        <v>0.4274625451231453</v>
      </c>
      <c r="Q471" s="17">
        <f>$G471/HSP!$E$3</f>
        <v>0.32488385600128022</v>
      </c>
      <c r="R471" s="17">
        <f>$H471/HSP!$E$4</f>
        <v>0.39087936469219992</v>
      </c>
      <c r="S471" s="17">
        <f>$I471/HSP!$E$5</f>
        <v>0.70463820371536978</v>
      </c>
      <c r="T471" s="17">
        <f>$J471/HSP!$E$6</f>
        <v>0.30237524517890851</v>
      </c>
      <c r="U471" s="18" t="s">
        <v>490</v>
      </c>
      <c r="V471" s="12"/>
      <c r="W471" s="12"/>
      <c r="X471" s="12"/>
      <c r="Y471" s="12"/>
      <c r="Z471" s="12"/>
    </row>
    <row r="472" spans="1:26" ht="15" customHeight="1" x14ac:dyDescent="0.3">
      <c r="A472" s="26" t="s">
        <v>958</v>
      </c>
      <c r="B472" s="17">
        <v>17.8</v>
      </c>
      <c r="C472" s="17">
        <v>16.8</v>
      </c>
      <c r="D472" s="17">
        <v>9.1999999999999993</v>
      </c>
      <c r="E472" s="17">
        <v>8</v>
      </c>
      <c r="F472" s="17">
        <f>SQRT((4*(HSP!$B$2-$B472)^2+(HSP!$C$2-$C472)^2+(HSP!$D$2-$D472)^2))</f>
        <v>9.2781463665971557</v>
      </c>
      <c r="G472" s="17">
        <f>SQRT((4*(HSP!$B$3-$B472)^2+(HSP!$C$3-$C472)^2+(HSP!$D$3-$D472)^2))</f>
        <v>8.9561375603549109</v>
      </c>
      <c r="H472" s="17">
        <f>SQRT((4*(HSP!$B$4-$B472)^2+(HSP!$C$4-$C472)^2+(HSP!$D$4-$D472)^2))</f>
        <v>13.428402734502717</v>
      </c>
      <c r="I472" s="17">
        <f>SQRT((4*(HSP!$B$5-$B472)^2+(HSP!$C$5-$C472)^2+(HSP!$D$5-$D472)^2))</f>
        <v>6.7262842639900393</v>
      </c>
      <c r="J472" s="17">
        <f>SQRT((4*(HSP!$B$6-$B472)^2+(HSP!$C$6-$C472)^2+(HSP!$D$6-$D472)^2))</f>
        <v>12.718608414445349</v>
      </c>
      <c r="K472" s="17">
        <f t="shared" si="0"/>
        <v>1.1597682958246445</v>
      </c>
      <c r="L472" s="17">
        <f t="shared" si="1"/>
        <v>1.1195171950443639</v>
      </c>
      <c r="M472" s="17">
        <f t="shared" si="2"/>
        <v>1.6785503418128396</v>
      </c>
      <c r="N472" s="17">
        <f t="shared" si="3"/>
        <v>0.84078553299875491</v>
      </c>
      <c r="O472" s="17">
        <f t="shared" si="4"/>
        <v>1.5898260518056686</v>
      </c>
      <c r="P472" s="17">
        <f>$F472/HSP!$E$2</f>
        <v>0.56921143353356785</v>
      </c>
      <c r="Q472" s="17">
        <f>$G472/HSP!$E$3</f>
        <v>0.6634175970633267</v>
      </c>
      <c r="R472" s="17">
        <f>$H472/HSP!$E$4</f>
        <v>0.84455363110079973</v>
      </c>
      <c r="S472" s="17">
        <f>$I472/HSP!$E$5</f>
        <v>0.49096965430584233</v>
      </c>
      <c r="T472" s="17">
        <f>$J472/HSP!$E$6</f>
        <v>0.85936543340846949</v>
      </c>
      <c r="U472" s="18" t="s">
        <v>490</v>
      </c>
      <c r="V472" s="12"/>
      <c r="W472" s="12"/>
      <c r="X472" s="12"/>
      <c r="Y472" s="12"/>
      <c r="Z472" s="12"/>
    </row>
    <row r="473" spans="1:26" ht="15" customHeight="1" x14ac:dyDescent="0.3">
      <c r="A473" s="26" t="s">
        <v>958</v>
      </c>
      <c r="B473" s="17">
        <v>18.5</v>
      </c>
      <c r="C473" s="17">
        <v>7.8</v>
      </c>
      <c r="D473" s="17">
        <v>7.8</v>
      </c>
      <c r="E473" s="17">
        <v>8</v>
      </c>
      <c r="F473" s="17">
        <f>SQRT((4*(HSP!$B$2-$B473)^2+(HSP!$C$2-$C473)^2+(HSP!$D$2-$D473)^2))</f>
        <v>8.281787246723983</v>
      </c>
      <c r="G473" s="17">
        <f>SQRT((4*(HSP!$B$3-$B473)^2+(HSP!$C$3-$C473)^2+(HSP!$D$3-$D473)^2))</f>
        <v>6.2421470665148551</v>
      </c>
      <c r="H473" s="17">
        <f>SQRT((4*(HSP!$B$4-$B473)^2+(HSP!$C$4-$C473)^2+(HSP!$D$4-$D473)^2))</f>
        <v>7.4222638056054029</v>
      </c>
      <c r="I473" s="17">
        <f>SQRT((4*(HSP!$B$5-$B473)^2+(HSP!$C$5-$C473)^2+(HSP!$D$5-$D473)^2))</f>
        <v>8.7025800771954991</v>
      </c>
      <c r="J473" s="17">
        <f>SQRT((4*(HSP!$B$6-$B473)^2+(HSP!$C$6-$C473)^2+(HSP!$D$6-$D473)^2))</f>
        <v>7.6948684199276602</v>
      </c>
      <c r="K473" s="17">
        <f t="shared" si="0"/>
        <v>1.0352234058404979</v>
      </c>
      <c r="L473" s="17">
        <f t="shared" si="1"/>
        <v>0.78026838331435688</v>
      </c>
      <c r="M473" s="17">
        <f t="shared" si="2"/>
        <v>0.92778297570067536</v>
      </c>
      <c r="N473" s="17">
        <f t="shared" si="3"/>
        <v>1.0878225096494374</v>
      </c>
      <c r="O473" s="17">
        <f t="shared" si="4"/>
        <v>0.96185855249095753</v>
      </c>
      <c r="P473" s="17">
        <f>$F473/HSP!$E$2</f>
        <v>0.50808510716098054</v>
      </c>
      <c r="Q473" s="17">
        <f>$G473/HSP!$E$3</f>
        <v>0.46238126418628556</v>
      </c>
      <c r="R473" s="17">
        <f>$H473/HSP!$E$4</f>
        <v>0.46680904437769827</v>
      </c>
      <c r="S473" s="17">
        <f>$I473/HSP!$E$5</f>
        <v>0.63522482315295614</v>
      </c>
      <c r="T473" s="17">
        <f>$J473/HSP!$E$6</f>
        <v>0.51992354188700407</v>
      </c>
      <c r="U473" s="18" t="s">
        <v>490</v>
      </c>
      <c r="V473" s="12"/>
      <c r="W473" s="12"/>
      <c r="X473" s="12"/>
      <c r="Y473" s="12"/>
      <c r="Z473" s="12"/>
    </row>
    <row r="474" spans="1:26" ht="15" customHeight="1" x14ac:dyDescent="0.3">
      <c r="A474" s="26" t="s">
        <v>959</v>
      </c>
      <c r="B474" s="17">
        <v>20</v>
      </c>
      <c r="C474" s="17">
        <v>5</v>
      </c>
      <c r="D474" s="17">
        <v>1</v>
      </c>
      <c r="E474" s="17">
        <v>7</v>
      </c>
      <c r="F474" s="17">
        <f>SQRT((4*(HSP!$B$2-$B474)^2+(HSP!$C$2-$C474)^2+(HSP!$D$2-$D474)^2))</f>
        <v>13.498592519222143</v>
      </c>
      <c r="G474" s="17">
        <f>SQRT((4*(HSP!$B$3-$B474)^2+(HSP!$C$3-$C474)^2+(HSP!$D$3-$D474)^2))</f>
        <v>10.920274721819045</v>
      </c>
      <c r="H474" s="17">
        <f>SQRT((4*(HSP!$B$4-$B474)^2+(HSP!$C$4-$C474)^2+(HSP!$D$4-$D474)^2))</f>
        <v>11.272000709723185</v>
      </c>
      <c r="I474" s="17">
        <f>SQRT((4*(HSP!$B$5-$B474)^2+(HSP!$C$5-$C474)^2+(HSP!$D$5-$D474)^2))</f>
        <v>15.738325832184312</v>
      </c>
      <c r="J474" s="17">
        <f>SQRT((4*(HSP!$B$6-$B474)^2+(HSP!$C$6-$C474)^2+(HSP!$D$6-$D474)^2))</f>
        <v>9.9829354400396682</v>
      </c>
      <c r="K474" s="17">
        <f t="shared" si="0"/>
        <v>1.9283703598888775</v>
      </c>
      <c r="L474" s="17">
        <f t="shared" si="1"/>
        <v>1.5600392459741492</v>
      </c>
      <c r="M474" s="17">
        <f t="shared" si="2"/>
        <v>1.6102858156747408</v>
      </c>
      <c r="N474" s="17">
        <f t="shared" si="3"/>
        <v>2.2483322617406158</v>
      </c>
      <c r="O474" s="17">
        <f t="shared" si="4"/>
        <v>1.4261336342913811</v>
      </c>
      <c r="P474" s="17">
        <f>$F474/HSP!$E$2</f>
        <v>0.82813451038172647</v>
      </c>
      <c r="Q474" s="17">
        <f>$G474/HSP!$E$3</f>
        <v>0.80890923865326259</v>
      </c>
      <c r="R474" s="17">
        <f>$H474/HSP!$E$4</f>
        <v>0.70893086224674118</v>
      </c>
      <c r="S474" s="17">
        <f>$I474/HSP!$E$5</f>
        <v>1.148782907458709</v>
      </c>
      <c r="T474" s="17">
        <f>$J474/HSP!$E$6</f>
        <v>0.67452266486754509</v>
      </c>
      <c r="U474" s="18" t="s">
        <v>490</v>
      </c>
      <c r="V474" s="12"/>
      <c r="W474" s="12"/>
      <c r="X474" s="12"/>
      <c r="Y474" s="12"/>
      <c r="Z474" s="12"/>
    </row>
    <row r="475" spans="1:26" ht="15" customHeight="1" x14ac:dyDescent="0.3">
      <c r="A475" s="32" t="s">
        <v>960</v>
      </c>
      <c r="B475" s="17">
        <v>20</v>
      </c>
      <c r="C475" s="17">
        <v>5</v>
      </c>
      <c r="D475" s="17">
        <v>1</v>
      </c>
      <c r="E475" s="17">
        <v>7</v>
      </c>
      <c r="F475" s="17">
        <f>SQRT((4*(HSP!$B$2-$B475)^2+(HSP!$C$2-$C475)^2+(HSP!$D$2-$D475)^2))</f>
        <v>13.498592519222143</v>
      </c>
      <c r="G475" s="17">
        <f>SQRT((4*(HSP!$B$3-$B475)^2+(HSP!$C$3-$C475)^2+(HSP!$D$3-$D475)^2))</f>
        <v>10.920274721819045</v>
      </c>
      <c r="H475" s="17">
        <f>SQRT((4*(HSP!$B$4-$B475)^2+(HSP!$C$4-$C475)^2+(HSP!$D$4-$D475)^2))</f>
        <v>11.272000709723185</v>
      </c>
      <c r="I475" s="17">
        <f>SQRT((4*(HSP!$B$5-$B475)^2+(HSP!$C$5-$C475)^2+(HSP!$D$5-$D475)^2))</f>
        <v>15.738325832184312</v>
      </c>
      <c r="J475" s="17">
        <f>SQRT((4*(HSP!$B$6-$B475)^2+(HSP!$C$6-$C475)^2+(HSP!$D$6-$D475)^2))</f>
        <v>9.9829354400396682</v>
      </c>
      <c r="K475" s="17">
        <f t="shared" si="0"/>
        <v>1.9283703598888775</v>
      </c>
      <c r="L475" s="17">
        <f t="shared" si="1"/>
        <v>1.5600392459741492</v>
      </c>
      <c r="M475" s="17">
        <f t="shared" si="2"/>
        <v>1.6102858156747408</v>
      </c>
      <c r="N475" s="17">
        <f t="shared" si="3"/>
        <v>2.2483322617406158</v>
      </c>
      <c r="O475" s="17">
        <f t="shared" si="4"/>
        <v>1.4261336342913811</v>
      </c>
      <c r="P475" s="17">
        <f>$F475/HSP!$E$2</f>
        <v>0.82813451038172647</v>
      </c>
      <c r="Q475" s="17">
        <f>$G475/HSP!$E$3</f>
        <v>0.80890923865326259</v>
      </c>
      <c r="R475" s="17">
        <f>$H475/HSP!$E$4</f>
        <v>0.70893086224674118</v>
      </c>
      <c r="S475" s="17">
        <f>$I475/HSP!$E$5</f>
        <v>1.148782907458709</v>
      </c>
      <c r="T475" s="17">
        <f>$J475/HSP!$E$6</f>
        <v>0.67452266486754509</v>
      </c>
      <c r="U475" s="18" t="s">
        <v>464</v>
      </c>
      <c r="V475" s="12"/>
      <c r="W475" s="12"/>
      <c r="X475" s="12"/>
      <c r="Y475" s="12"/>
      <c r="Z475" s="12"/>
    </row>
    <row r="476" spans="1:26" ht="15" customHeight="1" x14ac:dyDescent="0.3">
      <c r="A476" s="32" t="s">
        <v>961</v>
      </c>
      <c r="B476" s="17">
        <v>20</v>
      </c>
      <c r="C476" s="17">
        <v>6</v>
      </c>
      <c r="D476" s="17">
        <v>4</v>
      </c>
      <c r="E476" s="17">
        <v>5.3</v>
      </c>
      <c r="F476" s="17">
        <f>SQRT((4*(HSP!$B$2-$B476)^2+(HSP!$C$2-$C476)^2+(HSP!$D$2-$D476)^2))</f>
        <v>12.058689812745</v>
      </c>
      <c r="G476" s="17">
        <f>SQRT((4*(HSP!$B$3-$B476)^2+(HSP!$C$3-$C476)^2+(HSP!$D$3-$D476)^2))</f>
        <v>9.5400419286290354</v>
      </c>
      <c r="H476" s="17">
        <f>SQRT((4*(HSP!$B$4-$B476)^2+(HSP!$C$4-$C476)^2+(HSP!$D$4-$D476)^2))</f>
        <v>10.143865141059399</v>
      </c>
      <c r="I476" s="17">
        <f>SQRT((4*(HSP!$B$5-$B476)^2+(HSP!$C$5-$C476)^2+(HSP!$D$5-$D476)^2))</f>
        <v>13.515727875331022</v>
      </c>
      <c r="J476" s="17">
        <f>SQRT((4*(HSP!$B$6-$B476)^2+(HSP!$C$6-$C476)^2+(HSP!$D$6-$D476)^2))</f>
        <v>9.4709556012051923</v>
      </c>
      <c r="K476" s="17">
        <f t="shared" si="0"/>
        <v>2.2752244929707546</v>
      </c>
      <c r="L476" s="17">
        <f t="shared" si="1"/>
        <v>1.8000079110620821</v>
      </c>
      <c r="M476" s="17">
        <f t="shared" si="2"/>
        <v>1.9139368190678112</v>
      </c>
      <c r="N476" s="17">
        <f t="shared" si="3"/>
        <v>2.5501373349681176</v>
      </c>
      <c r="O476" s="17">
        <f t="shared" si="4"/>
        <v>1.7869727549443759</v>
      </c>
      <c r="P476" s="17">
        <f>$F476/HSP!$E$2</f>
        <v>0.73979692102730055</v>
      </c>
      <c r="Q476" s="17">
        <f>$G476/HSP!$E$3</f>
        <v>0.70666977249103968</v>
      </c>
      <c r="R476" s="17">
        <f>$H476/HSP!$E$4</f>
        <v>0.63797893968927033</v>
      </c>
      <c r="S476" s="17">
        <f>$I476/HSP!$E$5</f>
        <v>0.98654947995116948</v>
      </c>
      <c r="T476" s="17">
        <f>$J476/HSP!$E$6</f>
        <v>0.63992943251386436</v>
      </c>
      <c r="U476" s="18" t="s">
        <v>464</v>
      </c>
      <c r="V476" s="12"/>
      <c r="W476" s="12"/>
      <c r="X476" s="12"/>
      <c r="Y476" s="12"/>
      <c r="Z476" s="12"/>
    </row>
    <row r="477" spans="1:26" ht="15" customHeight="1" x14ac:dyDescent="0.3">
      <c r="A477" s="26" t="s">
        <v>962</v>
      </c>
      <c r="B477" s="17">
        <v>21.67</v>
      </c>
      <c r="C477" s="17">
        <v>26.26</v>
      </c>
      <c r="D477" s="17">
        <v>29.62</v>
      </c>
      <c r="E477" s="17">
        <v>20.440000000000001</v>
      </c>
      <c r="F477" s="17">
        <f>SQRT((4*(HSP!$B$2-$B477)^2+(HSP!$C$2-$C477)^2+(HSP!$D$2-$D477)^2))</f>
        <v>31.018529945824323</v>
      </c>
      <c r="G477" s="17">
        <f>SQRT((4*(HSP!$B$3-$B477)^2+(HSP!$C$3-$C477)^2+(HSP!$D$3-$D477)^2))</f>
        <v>31.385372389060485</v>
      </c>
      <c r="H477" s="17">
        <f>SQRT((4*(HSP!$B$4-$B477)^2+(HSP!$C$4-$C477)^2+(HSP!$D$4-$D477)^2))</f>
        <v>33.991893151161797</v>
      </c>
      <c r="I477" s="17">
        <f>SQRT((4*(HSP!$B$5-$B477)^2+(HSP!$C$5-$C477)^2+(HSP!$D$5-$D477)^2))</f>
        <v>26.39105340830487</v>
      </c>
      <c r="J477" s="17">
        <f>SQRT((4*(HSP!$B$6-$B477)^2+(HSP!$C$6-$C477)^2+(HSP!$D$6-$D477)^2))</f>
        <v>34.945125554217149</v>
      </c>
      <c r="K477" s="17">
        <f t="shared" si="0"/>
        <v>1.5175406040031467</v>
      </c>
      <c r="L477" s="17">
        <f t="shared" si="1"/>
        <v>1.5354878859618633</v>
      </c>
      <c r="M477" s="17">
        <f t="shared" si="2"/>
        <v>1.6630084711918687</v>
      </c>
      <c r="N477" s="17">
        <f t="shared" si="3"/>
        <v>1.2911474270207861</v>
      </c>
      <c r="O477" s="17">
        <f t="shared" si="4"/>
        <v>1.7096441073491755</v>
      </c>
      <c r="P477" s="17">
        <f>$F477/HSP!$E$2</f>
        <v>1.9029772972898358</v>
      </c>
      <c r="Q477" s="17">
        <f>$G477/HSP!$E$3</f>
        <v>2.3248423991896656</v>
      </c>
      <c r="R477" s="17">
        <f>$H477/HSP!$E$4</f>
        <v>2.1378549151674084</v>
      </c>
      <c r="S477" s="17">
        <f>$I477/HSP!$E$5</f>
        <v>1.9263542633799176</v>
      </c>
      <c r="T477" s="17">
        <f>$J477/HSP!$E$6</f>
        <v>2.3611571320416993</v>
      </c>
      <c r="U477" s="18" t="s">
        <v>490</v>
      </c>
      <c r="V477" s="12"/>
      <c r="W477" s="12"/>
      <c r="X477" s="12"/>
      <c r="Y477" s="12"/>
      <c r="Z477" s="12"/>
    </row>
    <row r="478" spans="1:26" ht="15" customHeight="1" x14ac:dyDescent="0.3">
      <c r="A478" s="26" t="s">
        <v>963</v>
      </c>
      <c r="B478" s="17">
        <v>23.26</v>
      </c>
      <c r="C478" s="17">
        <v>6.55</v>
      </c>
      <c r="D478" s="17">
        <v>8.35</v>
      </c>
      <c r="E478" s="17">
        <v>19.850000000000001</v>
      </c>
      <c r="F478" s="17">
        <f>SQRT((4*(HSP!$B$2-$B478)^2+(HSP!$C$2-$C478)^2+(HSP!$D$2-$D478)^2))</f>
        <v>17.808632738085205</v>
      </c>
      <c r="G478" s="17">
        <f>SQRT((4*(HSP!$B$3-$B478)^2+(HSP!$C$3-$C478)^2+(HSP!$D$3-$D478)^2))</f>
        <v>15.661819817632948</v>
      </c>
      <c r="H478" s="17">
        <f>SQRT((4*(HSP!$B$4-$B478)^2+(HSP!$C$4-$C478)^2+(HSP!$D$4-$D478)^2))</f>
        <v>16.361289680217755</v>
      </c>
      <c r="I478" s="17">
        <f>SQRT((4*(HSP!$B$5-$B478)^2+(HSP!$C$5-$C478)^2+(HSP!$D$5-$D478)^2))</f>
        <v>17.322981844936518</v>
      </c>
      <c r="J478" s="17">
        <f>SQRT((4*(HSP!$B$6-$B478)^2+(HSP!$C$6-$C478)^2+(HSP!$D$6-$D478)^2))</f>
        <v>16.601951692496883</v>
      </c>
      <c r="K478" s="17">
        <f t="shared" si="0"/>
        <v>0.89716033945013618</v>
      </c>
      <c r="L478" s="17">
        <f t="shared" si="1"/>
        <v>0.78900855504448097</v>
      </c>
      <c r="M478" s="17">
        <f t="shared" si="2"/>
        <v>0.82424633149711612</v>
      </c>
      <c r="N478" s="17">
        <f t="shared" si="3"/>
        <v>0.87269429949302346</v>
      </c>
      <c r="O478" s="17">
        <f t="shared" si="4"/>
        <v>0.83637036234241213</v>
      </c>
      <c r="P478" s="17">
        <f>$F478/HSP!$E$2</f>
        <v>1.0925541557107488</v>
      </c>
      <c r="Q478" s="17">
        <f>$G478/HSP!$E$3</f>
        <v>1.1601348013061443</v>
      </c>
      <c r="R478" s="17">
        <f>$H478/HSP!$E$4</f>
        <v>1.0290119295734437</v>
      </c>
      <c r="S478" s="17">
        <f>$I478/HSP!$E$5</f>
        <v>1.2644512295574102</v>
      </c>
      <c r="T478" s="17">
        <f>$J478/HSP!$E$6</f>
        <v>1.1217534927362758</v>
      </c>
      <c r="U478" s="18" t="s">
        <v>490</v>
      </c>
      <c r="V478" s="12"/>
      <c r="W478" s="12"/>
      <c r="X478" s="12"/>
      <c r="Y478" s="12"/>
      <c r="Z478" s="12"/>
    </row>
    <row r="479" spans="1:26" ht="15" customHeight="1" x14ac:dyDescent="0.3">
      <c r="A479" s="26" t="s">
        <v>964</v>
      </c>
      <c r="B479" s="17">
        <v>19.7</v>
      </c>
      <c r="C479" s="17">
        <v>12.9</v>
      </c>
      <c r="D479" s="17">
        <v>12.8</v>
      </c>
      <c r="E479" s="17">
        <v>11.4</v>
      </c>
      <c r="F479" s="17">
        <f>SQRT((4*(HSP!$B$2-$B479)^2+(HSP!$C$2-$C479)^2+(HSP!$D$2-$D479)^2))</f>
        <v>11.994415367161501</v>
      </c>
      <c r="G479" s="17">
        <f>SQRT((4*(HSP!$B$3-$B479)^2+(HSP!$C$3-$C479)^2+(HSP!$D$3-$D479)^2))</f>
        <v>11.1147829488479</v>
      </c>
      <c r="H479" s="17">
        <f>SQRT((4*(HSP!$B$4-$B479)^2+(HSP!$C$4-$C479)^2+(HSP!$D$4-$D479)^2))</f>
        <v>13.625417424798405</v>
      </c>
      <c r="I479" s="17">
        <f>SQRT((4*(HSP!$B$5-$B479)^2+(HSP!$C$5-$C479)^2+(HSP!$D$5-$D479)^2))</f>
        <v>9.0569807331140986</v>
      </c>
      <c r="J479" s="17">
        <f>SQRT((4*(HSP!$B$6-$B479)^2+(HSP!$C$6-$C479)^2+(HSP!$D$6-$D479)^2))</f>
        <v>14.158495682804725</v>
      </c>
      <c r="K479" s="17">
        <f t="shared" si="0"/>
        <v>1.0521416988738159</v>
      </c>
      <c r="L479" s="17">
        <f t="shared" si="1"/>
        <v>0.97498096042525428</v>
      </c>
      <c r="M479" s="17">
        <f t="shared" si="2"/>
        <v>1.1952120548068776</v>
      </c>
      <c r="N479" s="17">
        <f t="shared" si="3"/>
        <v>0.79447199413281566</v>
      </c>
      <c r="O479" s="17">
        <f t="shared" si="4"/>
        <v>1.2419733055091864</v>
      </c>
      <c r="P479" s="17">
        <f>$F479/HSP!$E$2</f>
        <v>0.73585370350684054</v>
      </c>
      <c r="Q479" s="17">
        <f>$G479/HSP!$E$3</f>
        <v>0.82331725547021484</v>
      </c>
      <c r="R479" s="17">
        <f>$H479/HSP!$E$4</f>
        <v>0.8569444921256858</v>
      </c>
      <c r="S479" s="17">
        <f>$I479/HSP!$E$5</f>
        <v>0.66109348416891234</v>
      </c>
      <c r="T479" s="17">
        <f>$J479/HSP!$E$6</f>
        <v>0.95665511370302192</v>
      </c>
      <c r="U479" s="18" t="s">
        <v>490</v>
      </c>
      <c r="V479" s="12"/>
      <c r="W479" s="12"/>
      <c r="X479" s="12"/>
      <c r="Y479" s="12"/>
      <c r="Z479" s="12"/>
    </row>
    <row r="480" spans="1:26" ht="15" customHeight="1" x14ac:dyDescent="0.3">
      <c r="A480" s="26" t="s">
        <v>965</v>
      </c>
      <c r="B480" s="17">
        <v>22.1</v>
      </c>
      <c r="C480" s="17">
        <v>5</v>
      </c>
      <c r="D480" s="17">
        <v>11.3</v>
      </c>
      <c r="E480" s="17">
        <v>15.5</v>
      </c>
      <c r="F480" s="17">
        <f>SQRT((4*(HSP!$B$2-$B480)^2+(HSP!$C$2-$C480)^2+(HSP!$D$2-$D480)^2))</f>
        <v>16.537049313586753</v>
      </c>
      <c r="G480" s="17">
        <f>SQRT((4*(HSP!$B$3-$B480)^2+(HSP!$C$3-$C480)^2+(HSP!$D$3-$D480)^2))</f>
        <v>14.700285711509151</v>
      </c>
      <c r="H480" s="17">
        <f>SQRT((4*(HSP!$B$4-$B480)^2+(HSP!$C$4-$C480)^2+(HSP!$D$4-$D480)^2))</f>
        <v>14.575733257712974</v>
      </c>
      <c r="I480" s="17">
        <f>SQRT((4*(HSP!$B$5-$B480)^2+(HSP!$C$5-$C480)^2+(HSP!$D$5-$D480)^2))</f>
        <v>15.694932303135307</v>
      </c>
      <c r="J480" s="17">
        <f>SQRT((4*(HSP!$B$6-$B480)^2+(HSP!$C$6-$C480)^2+(HSP!$D$6-$D480)^2))</f>
        <v>15.625075999815174</v>
      </c>
      <c r="K480" s="17">
        <f t="shared" si="0"/>
        <v>1.0669064073281775</v>
      </c>
      <c r="L480" s="17">
        <f t="shared" si="1"/>
        <v>0.94840552977478398</v>
      </c>
      <c r="M480" s="17">
        <f t="shared" si="2"/>
        <v>0.94036988759438545</v>
      </c>
      <c r="N480" s="17">
        <f t="shared" si="3"/>
        <v>1.0125762776216327</v>
      </c>
      <c r="O480" s="17">
        <f t="shared" si="4"/>
        <v>1.0080694193429145</v>
      </c>
      <c r="P480" s="17">
        <f>$F480/HSP!$E$2</f>
        <v>1.0145429026740338</v>
      </c>
      <c r="Q480" s="17">
        <f>$G480/HSP!$E$3</f>
        <v>1.0889100527043816</v>
      </c>
      <c r="R480" s="17">
        <f>$H480/HSP!$E$4</f>
        <v>0.91671278350396057</v>
      </c>
      <c r="S480" s="17">
        <f>$I480/HSP!$E$5</f>
        <v>1.1456154965792196</v>
      </c>
      <c r="T480" s="17">
        <f>$J480/HSP!$E$6</f>
        <v>1.0557483783658901</v>
      </c>
      <c r="U480" s="18" t="s">
        <v>445</v>
      </c>
      <c r="V480" s="12"/>
      <c r="W480" s="12"/>
      <c r="X480" s="12"/>
      <c r="Y480" s="12"/>
      <c r="Z480" s="12"/>
    </row>
    <row r="481" spans="1:26" ht="15" customHeight="1" x14ac:dyDescent="0.3">
      <c r="A481" s="26" t="s">
        <v>966</v>
      </c>
      <c r="B481" s="17">
        <v>17.100000000000001</v>
      </c>
      <c r="C481" s="17">
        <v>8.1</v>
      </c>
      <c r="D481" s="17">
        <v>1.3</v>
      </c>
      <c r="E481" s="17">
        <v>4.7</v>
      </c>
      <c r="F481" s="17">
        <f>SQRT((4*(HSP!$B$2-$B481)^2+(HSP!$C$2-$C481)^2+(HSP!$D$2-$D481)^2))</f>
        <v>7.9266638631898632</v>
      </c>
      <c r="G481" s="17">
        <f>SQRT((4*(HSP!$B$3-$B481)^2+(HSP!$C$3-$C481)^2+(HSP!$D$3-$D481)^2))</f>
        <v>5.5512521110106352</v>
      </c>
      <c r="H481" s="17">
        <f>SQRT((4*(HSP!$B$4-$B481)^2+(HSP!$C$4-$C481)^2+(HSP!$D$4-$D481)^2))</f>
        <v>7.5396286380696509</v>
      </c>
      <c r="I481" s="17">
        <f>SQRT((4*(HSP!$B$5-$B481)^2+(HSP!$C$5-$C481)^2+(HSP!$D$5-$D481)^2))</f>
        <v>11.290566859108537</v>
      </c>
      <c r="J481" s="17">
        <f>SQRT((4*(HSP!$B$6-$B481)^2+(HSP!$C$6-$C481)^2+(HSP!$D$6-$D481)^2))</f>
        <v>4.7630872341371226</v>
      </c>
      <c r="K481" s="17">
        <f t="shared" si="0"/>
        <v>1.686524226210609</v>
      </c>
      <c r="L481" s="17">
        <f t="shared" si="1"/>
        <v>1.1811174704277947</v>
      </c>
      <c r="M481" s="17">
        <f t="shared" si="2"/>
        <v>1.604176305972266</v>
      </c>
      <c r="N481" s="17">
        <f t="shared" si="3"/>
        <v>2.4022482678954336</v>
      </c>
      <c r="O481" s="17">
        <f t="shared" si="4"/>
        <v>1.0134228157738558</v>
      </c>
      <c r="P481" s="17">
        <f>$F481/HSP!$E$2</f>
        <v>0.48629839651471551</v>
      </c>
      <c r="Q481" s="17">
        <f>$G481/HSP!$E$3</f>
        <v>0.41120386007486187</v>
      </c>
      <c r="R481" s="17">
        <f>$H481/HSP!$E$4</f>
        <v>0.47419048038173905</v>
      </c>
      <c r="S481" s="17">
        <f>$I481/HSP!$E$5</f>
        <v>0.82412896781814149</v>
      </c>
      <c r="T481" s="17">
        <f>$J481/HSP!$E$6</f>
        <v>0.32183021852277854</v>
      </c>
      <c r="U481" s="18" t="s">
        <v>789</v>
      </c>
      <c r="V481" s="12"/>
      <c r="W481" s="12"/>
      <c r="X481" s="12"/>
      <c r="Y481" s="12"/>
      <c r="Z481" s="12"/>
    </row>
    <row r="482" spans="1:26" ht="15" customHeight="1" x14ac:dyDescent="0.3">
      <c r="A482" s="26" t="s">
        <v>967</v>
      </c>
      <c r="B482" s="17">
        <v>18.8</v>
      </c>
      <c r="C482" s="17">
        <v>11.4</v>
      </c>
      <c r="D482" s="17">
        <v>9.1999999999999993</v>
      </c>
      <c r="E482" s="17">
        <v>10.199999999999999</v>
      </c>
      <c r="F482" s="17">
        <f>SQRT((4*(HSP!$B$2-$B482)^2+(HSP!$C$2-$C482)^2+(HSP!$D$2-$D482)^2))</f>
        <v>8.7391075059184402</v>
      </c>
      <c r="G482" s="17">
        <f>SQRT((4*(HSP!$B$3-$B482)^2+(HSP!$C$3-$C482)^2+(HSP!$D$3-$D482)^2))</f>
        <v>7.2897462232920027</v>
      </c>
      <c r="H482" s="17">
        <f>SQRT((4*(HSP!$B$4-$B482)^2+(HSP!$C$4-$C482)^2+(HSP!$D$4-$D482)^2))</f>
        <v>10.179685653299909</v>
      </c>
      <c r="I482" s="17">
        <f>SQRT((4*(HSP!$B$5-$B482)^2+(HSP!$C$5-$C482)^2+(HSP!$D$5-$D482)^2))</f>
        <v>7.3877533797494914</v>
      </c>
      <c r="J482" s="17">
        <f>SQRT((4*(HSP!$B$6-$B482)^2+(HSP!$C$6-$C482)^2+(HSP!$D$6-$D482)^2))</f>
        <v>10.157115732332679</v>
      </c>
      <c r="K482" s="17">
        <f t="shared" si="0"/>
        <v>0.85677524567827856</v>
      </c>
      <c r="L482" s="17">
        <f t="shared" si="1"/>
        <v>0.71468100228352971</v>
      </c>
      <c r="M482" s="17">
        <f t="shared" si="2"/>
        <v>0.99800839738234415</v>
      </c>
      <c r="N482" s="17">
        <f t="shared" si="3"/>
        <v>0.72428954703426396</v>
      </c>
      <c r="O482" s="17">
        <f t="shared" si="4"/>
        <v>0.99579566003261566</v>
      </c>
      <c r="P482" s="17">
        <f>$F482/HSP!$E$2</f>
        <v>0.53614156478027242</v>
      </c>
      <c r="Q482" s="17">
        <f>$G482/HSP!$E$3</f>
        <v>0.53998120172533348</v>
      </c>
      <c r="R482" s="17">
        <f>$H482/HSP!$E$4</f>
        <v>0.64023180209433395</v>
      </c>
      <c r="S482" s="17">
        <f>$I482/HSP!$E$5</f>
        <v>0.53925207151456145</v>
      </c>
      <c r="T482" s="17">
        <f>$J482/HSP!$E$6</f>
        <v>0.68629160353599183</v>
      </c>
      <c r="U482" s="18" t="s">
        <v>563</v>
      </c>
      <c r="V482" s="12"/>
      <c r="W482" s="12"/>
      <c r="X482" s="12"/>
      <c r="Y482" s="12"/>
      <c r="Z482" s="12"/>
    </row>
    <row r="483" spans="1:26" ht="15" customHeight="1" x14ac:dyDescent="0.3">
      <c r="A483" s="26" t="s">
        <v>968</v>
      </c>
      <c r="B483" s="17">
        <v>18.100000000000001</v>
      </c>
      <c r="C483" s="17">
        <v>13.9</v>
      </c>
      <c r="D483" s="17">
        <v>12.1</v>
      </c>
      <c r="E483" s="17">
        <v>9.6999999999999993</v>
      </c>
      <c r="F483" s="17">
        <f>SQRT((4*(HSP!$B$2-$B483)^2+(HSP!$C$2-$C483)^2+(HSP!$D$2-$D483)^2))</f>
        <v>9.3299517683640811</v>
      </c>
      <c r="G483" s="17">
        <f>SQRT((4*(HSP!$B$3-$B483)^2+(HSP!$C$3-$C483)^2+(HSP!$D$3-$D483)^2))</f>
        <v>8.9804454232515685</v>
      </c>
      <c r="H483" s="17">
        <f>SQRT((4*(HSP!$B$4-$B483)^2+(HSP!$C$4-$C483)^2+(HSP!$D$4-$D483)^2))</f>
        <v>12.142405033600223</v>
      </c>
      <c r="I483" s="17">
        <f>SQRT((4*(HSP!$B$5-$B483)^2+(HSP!$C$5-$C483)^2+(HSP!$D$5-$D483)^2))</f>
        <v>5.8988897260416762</v>
      </c>
      <c r="J483" s="17">
        <f>SQRT((4*(HSP!$B$6-$B483)^2+(HSP!$C$6-$C483)^2+(HSP!$D$6-$D483)^2))</f>
        <v>12.48595210626727</v>
      </c>
      <c r="K483" s="17">
        <f t="shared" si="0"/>
        <v>0.96185069776949295</v>
      </c>
      <c r="L483" s="17">
        <f t="shared" si="1"/>
        <v>0.92581911579913079</v>
      </c>
      <c r="M483" s="17">
        <f t="shared" si="2"/>
        <v>1.2517943333608479</v>
      </c>
      <c r="N483" s="17">
        <f t="shared" si="3"/>
        <v>0.60813296144759554</v>
      </c>
      <c r="O483" s="17">
        <f t="shared" si="4"/>
        <v>1.2872115573471412</v>
      </c>
      <c r="P483" s="17">
        <f>$F483/HSP!$E$2</f>
        <v>0.57238967904074112</v>
      </c>
      <c r="Q483" s="17">
        <f>$G483/HSP!$E$3</f>
        <v>0.66521817950011619</v>
      </c>
      <c r="R483" s="17">
        <f>$H483/HSP!$E$4</f>
        <v>0.76367327255347317</v>
      </c>
      <c r="S483" s="17">
        <f>$I483/HSP!$E$5</f>
        <v>0.43057589241180122</v>
      </c>
      <c r="T483" s="17">
        <f>$J483/HSP!$E$6</f>
        <v>0.84364541258562631</v>
      </c>
      <c r="U483" s="18" t="s">
        <v>500</v>
      </c>
      <c r="V483" s="12"/>
      <c r="W483" s="12"/>
      <c r="X483" s="12"/>
      <c r="Y483" s="12"/>
      <c r="Z483" s="12"/>
    </row>
    <row r="484" spans="1:26" ht="15" customHeight="1" x14ac:dyDescent="0.3">
      <c r="A484" s="27" t="s">
        <v>969</v>
      </c>
      <c r="B484" s="17">
        <v>19</v>
      </c>
      <c r="C484" s="17">
        <v>11</v>
      </c>
      <c r="D484" s="17">
        <v>2</v>
      </c>
      <c r="E484" s="17">
        <v>11.3</v>
      </c>
      <c r="F484" s="17">
        <f>SQRT((4*(HSP!$B$2-$B484)^2+(HSP!$C$2-$C484)^2+(HSP!$D$2-$D484)^2))</f>
        <v>10.125808609686439</v>
      </c>
      <c r="G484" s="17">
        <f>SQRT((4*(HSP!$B$3-$B484)^2+(HSP!$C$3-$C484)^2+(HSP!$D$3-$D484)^2))</f>
        <v>7.7596649412200795</v>
      </c>
      <c r="H484" s="17">
        <f>SQRT((4*(HSP!$B$4-$B484)^2+(HSP!$C$4-$C484)^2+(HSP!$D$4-$D484)^2))</f>
        <v>11.029868539561114</v>
      </c>
      <c r="I484" s="17">
        <f>SQRT((4*(HSP!$B$5-$B484)^2+(HSP!$C$5-$C484)^2+(HSP!$D$5-$D484)^2))</f>
        <v>11.762435972195556</v>
      </c>
      <c r="J484" s="17">
        <f>SQRT((4*(HSP!$B$6-$B484)^2+(HSP!$C$6-$C484)^2+(HSP!$D$6-$D484)^2))</f>
        <v>8.941979646588333</v>
      </c>
      <c r="K484" s="17">
        <f t="shared" si="0"/>
        <v>0.89608925749437507</v>
      </c>
      <c r="L484" s="17">
        <f t="shared" si="1"/>
        <v>0.68669601249735213</v>
      </c>
      <c r="M484" s="17">
        <f t="shared" si="2"/>
        <v>0.97609456102310743</v>
      </c>
      <c r="N484" s="17">
        <f t="shared" si="3"/>
        <v>1.0409235373624386</v>
      </c>
      <c r="O484" s="17">
        <f t="shared" si="4"/>
        <v>0.79132563244144538</v>
      </c>
      <c r="P484" s="17">
        <f>$F484/HSP!$E$2</f>
        <v>0.62121525212800233</v>
      </c>
      <c r="Q484" s="17">
        <f>$G484/HSP!$E$3</f>
        <v>0.57478999564593181</v>
      </c>
      <c r="R484" s="17">
        <f>$H484/HSP!$E$4</f>
        <v>0.69370242387176817</v>
      </c>
      <c r="S484" s="17">
        <f>$I484/HSP!$E$5</f>
        <v>0.85857196877339825</v>
      </c>
      <c r="T484" s="17">
        <f>$J484/HSP!$E$6</f>
        <v>0.60418781395867116</v>
      </c>
      <c r="U484" s="18" t="s">
        <v>498</v>
      </c>
      <c r="V484" s="12"/>
      <c r="W484" s="12"/>
      <c r="X484" s="12"/>
      <c r="Y484" s="12"/>
      <c r="Z484" s="12"/>
    </row>
    <row r="485" spans="1:26" ht="15" customHeight="1" x14ac:dyDescent="0.3">
      <c r="A485" s="26" t="s">
        <v>970</v>
      </c>
      <c r="B485" s="17">
        <v>19</v>
      </c>
      <c r="C485" s="17">
        <v>11</v>
      </c>
      <c r="D485" s="17">
        <v>3</v>
      </c>
      <c r="E485" s="17">
        <v>12</v>
      </c>
      <c r="F485" s="17">
        <f>SQRT((4*(HSP!$B$2-$B485)^2+(HSP!$C$2-$C485)^2+(HSP!$D$2-$D485)^2))</f>
        <v>9.673262117817341</v>
      </c>
      <c r="G485" s="17">
        <f>SQRT((4*(HSP!$B$3-$B485)^2+(HSP!$C$3-$C485)^2+(HSP!$D$3-$D485)^2))</f>
        <v>7.3193169080181253</v>
      </c>
      <c r="H485" s="17">
        <f>SQRT((4*(HSP!$B$4-$B485)^2+(HSP!$C$4-$C485)^2+(HSP!$D$4-$D485)^2))</f>
        <v>10.63287355327806</v>
      </c>
      <c r="I485" s="17">
        <f>SQRT((4*(HSP!$B$5-$B485)^2+(HSP!$C$5-$C485)^2+(HSP!$D$5-$D485)^2))</f>
        <v>11.022472499398672</v>
      </c>
      <c r="J485" s="17">
        <f>SQRT((4*(HSP!$B$6-$B485)^2+(HSP!$C$6-$C485)^2+(HSP!$D$6-$D485)^2))</f>
        <v>8.7897098928235398</v>
      </c>
      <c r="K485" s="17">
        <f t="shared" si="0"/>
        <v>0.80610517648477842</v>
      </c>
      <c r="L485" s="17">
        <f t="shared" si="1"/>
        <v>0.60994307566817707</v>
      </c>
      <c r="M485" s="17">
        <f t="shared" si="2"/>
        <v>0.88607279610650502</v>
      </c>
      <c r="N485" s="17">
        <f t="shared" si="3"/>
        <v>0.91853937494988935</v>
      </c>
      <c r="O485" s="17">
        <f t="shared" si="4"/>
        <v>0.73247582440196168</v>
      </c>
      <c r="P485" s="17">
        <f>$F485/HSP!$E$2</f>
        <v>0.59345166366977553</v>
      </c>
      <c r="Q485" s="17">
        <f>$G485/HSP!$E$3</f>
        <v>0.54217162281615738</v>
      </c>
      <c r="R485" s="17">
        <f>$H485/HSP!$E$4</f>
        <v>0.66873418574075849</v>
      </c>
      <c r="S485" s="17">
        <f>$I485/HSP!$E$5</f>
        <v>0.80456003645245788</v>
      </c>
      <c r="T485" s="17">
        <f>$J485/HSP!$E$6</f>
        <v>0.59389931708267163</v>
      </c>
      <c r="U485" s="18" t="s">
        <v>457</v>
      </c>
      <c r="V485" s="12"/>
      <c r="W485" s="12"/>
      <c r="X485" s="12"/>
      <c r="Y485" s="12"/>
      <c r="Z485" s="12"/>
    </row>
    <row r="486" spans="1:26" ht="15" customHeight="1" x14ac:dyDescent="0.3">
      <c r="A486" s="26" t="s">
        <v>971</v>
      </c>
      <c r="B486" s="17">
        <v>18</v>
      </c>
      <c r="C486" s="17">
        <v>3</v>
      </c>
      <c r="D486" s="17">
        <v>2</v>
      </c>
      <c r="E486" s="17">
        <v>5</v>
      </c>
      <c r="F486" s="17">
        <f>SQRT((4*(HSP!$B$2-$B486)^2+(HSP!$C$2-$C486)^2+(HSP!$D$2-$D486)^2))</f>
        <v>11.255754084022982</v>
      </c>
      <c r="G486" s="17">
        <f>SQRT((4*(HSP!$B$3-$B486)^2+(HSP!$C$3-$C486)^2+(HSP!$D$3-$D486)^2))</f>
        <v>8.9606026583037384</v>
      </c>
      <c r="H486" s="17">
        <f>SQRT((4*(HSP!$B$4-$B486)^2+(HSP!$C$4-$C486)^2+(HSP!$D$4-$D486)^2))</f>
        <v>7.6090735309891704</v>
      </c>
      <c r="I486" s="17">
        <f>SQRT((4*(HSP!$B$5-$B486)^2+(HSP!$C$5-$C486)^2+(HSP!$D$5-$D486)^2))</f>
        <v>14.284078549209957</v>
      </c>
      <c r="J486" s="17">
        <f>SQRT((4*(HSP!$B$6-$B486)^2+(HSP!$C$6-$C486)^2+(HSP!$D$6-$D486)^2))</f>
        <v>6.7081293964860285</v>
      </c>
      <c r="K486" s="17">
        <f t="shared" si="0"/>
        <v>2.2511508168045964</v>
      </c>
      <c r="L486" s="17">
        <f t="shared" si="1"/>
        <v>1.7921205316607476</v>
      </c>
      <c r="M486" s="17">
        <f t="shared" si="2"/>
        <v>1.521814706197834</v>
      </c>
      <c r="N486" s="17">
        <f t="shared" si="3"/>
        <v>2.8568157098419915</v>
      </c>
      <c r="O486" s="17">
        <f t="shared" si="4"/>
        <v>1.3416258792972058</v>
      </c>
      <c r="P486" s="17">
        <f>$F486/HSP!$E$2</f>
        <v>0.69053706036950802</v>
      </c>
      <c r="Q486" s="17">
        <f>$G486/HSP!$E$3</f>
        <v>0.66374834505953617</v>
      </c>
      <c r="R486" s="17">
        <f>$H486/HSP!$E$4</f>
        <v>0.47855808371001068</v>
      </c>
      <c r="S486" s="17">
        <f>$I486/HSP!$E$5</f>
        <v>1.0426334707452523</v>
      </c>
      <c r="T486" s="17">
        <f>$J486/HSP!$E$6</f>
        <v>0.45325198624905594</v>
      </c>
      <c r="U486" s="18" t="s">
        <v>457</v>
      </c>
      <c r="V486" s="12"/>
      <c r="W486" s="12"/>
      <c r="X486" s="12"/>
      <c r="Y486" s="12"/>
      <c r="Z486" s="12"/>
    </row>
    <row r="487" spans="1:26" ht="15" customHeight="1" x14ac:dyDescent="0.3">
      <c r="A487" s="26" t="s">
        <v>972</v>
      </c>
      <c r="B487" s="17">
        <v>22.7</v>
      </c>
      <c r="C487" s="17">
        <v>2.8</v>
      </c>
      <c r="D487" s="17">
        <v>5.4</v>
      </c>
      <c r="E487" s="17">
        <v>16.2</v>
      </c>
      <c r="F487" s="17">
        <f>SQRT((4*(HSP!$B$2-$B487)^2+(HSP!$C$2-$C487)^2+(HSP!$D$2-$D487)^2))</f>
        <v>17.989218993608368</v>
      </c>
      <c r="G487" s="17">
        <f>SQRT((4*(HSP!$B$3-$B487)^2+(HSP!$C$3-$C487)^2+(HSP!$D$3-$D487)^2))</f>
        <v>15.613980914552188</v>
      </c>
      <c r="H487" s="17">
        <f>SQRT((4*(HSP!$B$4-$B487)^2+(HSP!$C$4-$C487)^2+(HSP!$D$4-$D487)^2))</f>
        <v>15.24132540168341</v>
      </c>
      <c r="I487" s="17">
        <f>SQRT((4*(HSP!$B$5-$B487)^2+(HSP!$C$5-$C487)^2+(HSP!$D$5-$D487)^2))</f>
        <v>18.703125407268164</v>
      </c>
      <c r="J487" s="17">
        <f>SQRT((4*(HSP!$B$6-$B487)^2+(HSP!$C$6-$C487)^2+(HSP!$D$6-$D487)^2))</f>
        <v>15.375272355311303</v>
      </c>
      <c r="K487" s="17">
        <f t="shared" si="0"/>
        <v>1.1104456168894055</v>
      </c>
      <c r="L487" s="17">
        <f t="shared" si="1"/>
        <v>0.9638259823797648</v>
      </c>
      <c r="M487" s="17">
        <f t="shared" si="2"/>
        <v>0.94082255565946982</v>
      </c>
      <c r="N487" s="17">
        <f t="shared" si="3"/>
        <v>1.1545139140288991</v>
      </c>
      <c r="O487" s="17">
        <f t="shared" si="4"/>
        <v>0.94909088613032733</v>
      </c>
      <c r="P487" s="17">
        <f>$F487/HSP!$E$2</f>
        <v>1.1036330670925378</v>
      </c>
      <c r="Q487" s="17">
        <f>$G487/HSP!$E$3</f>
        <v>1.1565911788557177</v>
      </c>
      <c r="R487" s="17">
        <f>$H487/HSP!$E$4</f>
        <v>0.95857392463417668</v>
      </c>
      <c r="S487" s="17">
        <f>$I487/HSP!$E$5</f>
        <v>1.3651916355670193</v>
      </c>
      <c r="T487" s="17">
        <f>$J487/HSP!$E$6</f>
        <v>1.0388697537372502</v>
      </c>
      <c r="U487" s="18" t="s">
        <v>973</v>
      </c>
      <c r="V487" s="12"/>
      <c r="W487" s="12"/>
      <c r="X487" s="12"/>
      <c r="Y487" s="12"/>
      <c r="Z487" s="12"/>
    </row>
    <row r="488" spans="1:26" ht="15" customHeight="1" x14ac:dyDescent="0.3">
      <c r="A488" s="26" t="s">
        <v>974</v>
      </c>
      <c r="B488" s="17">
        <v>19.2</v>
      </c>
      <c r="C488" s="17">
        <v>7.7</v>
      </c>
      <c r="D488" s="17">
        <v>5.7</v>
      </c>
      <c r="E488" s="17">
        <v>10.6</v>
      </c>
      <c r="F488" s="17">
        <f>SQRT((4*(HSP!$B$2-$B488)^2+(HSP!$C$2-$C488)^2+(HSP!$D$2-$D488)^2))</f>
        <v>9.6899948400399065</v>
      </c>
      <c r="G488" s="17">
        <f>SQRT((4*(HSP!$B$3-$B488)^2+(HSP!$C$3-$C488)^2+(HSP!$D$3-$D488)^2))</f>
        <v>7.2894718601555759</v>
      </c>
      <c r="H488" s="17">
        <f>SQRT((4*(HSP!$B$4-$B488)^2+(HSP!$C$4-$C488)^2+(HSP!$D$4-$D488)^2))</f>
        <v>8.6772115336667905</v>
      </c>
      <c r="I488" s="17">
        <f>SQRT((4*(HSP!$B$5-$B488)^2+(HSP!$C$5-$C488)^2+(HSP!$D$5-$D488)^2))</f>
        <v>10.692656358454618</v>
      </c>
      <c r="J488" s="17">
        <f>SQRT((4*(HSP!$B$6-$B488)^2+(HSP!$C$6-$C488)^2+(HSP!$D$6-$D488)^2))</f>
        <v>8.1740442866429337</v>
      </c>
      <c r="K488" s="17">
        <f t="shared" si="0"/>
        <v>0.91415045660753835</v>
      </c>
      <c r="L488" s="17">
        <f t="shared" si="1"/>
        <v>0.68768602454297889</v>
      </c>
      <c r="M488" s="17">
        <f t="shared" si="2"/>
        <v>0.81860486166667834</v>
      </c>
      <c r="N488" s="17">
        <f t="shared" si="3"/>
        <v>1.0087411658919452</v>
      </c>
      <c r="O488" s="17">
        <f t="shared" si="4"/>
        <v>0.77113625345688053</v>
      </c>
      <c r="P488" s="17">
        <f>$F488/HSP!$E$2</f>
        <v>0.594478211045393</v>
      </c>
      <c r="Q488" s="17">
        <f>$G488/HSP!$E$3</f>
        <v>0.53996087853004271</v>
      </c>
      <c r="R488" s="17">
        <f>$H488/HSP!$E$4</f>
        <v>0.54573657444445223</v>
      </c>
      <c r="S488" s="17">
        <f>$I488/HSP!$E$5</f>
        <v>0.78048586558062916</v>
      </c>
      <c r="T488" s="17">
        <f>$J488/HSP!$E$6</f>
        <v>0.55230028963803601</v>
      </c>
      <c r="U488" s="18" t="s">
        <v>973</v>
      </c>
      <c r="V488" s="12"/>
      <c r="W488" s="12"/>
      <c r="X488" s="12"/>
      <c r="Y488" s="12"/>
      <c r="Z488" s="12"/>
    </row>
    <row r="489" spans="1:26" ht="15" customHeight="1" x14ac:dyDescent="0.3">
      <c r="A489" s="26" t="s">
        <v>975</v>
      </c>
      <c r="B489" s="17">
        <v>20.9</v>
      </c>
      <c r="C489" s="17">
        <v>18.7</v>
      </c>
      <c r="D489" s="17">
        <v>26.4</v>
      </c>
      <c r="E489" s="17">
        <v>19.420000000000002</v>
      </c>
      <c r="F489" s="17">
        <f>SQRT((4*(HSP!$B$2-$B489)^2+(HSP!$C$2-$C489)^2+(HSP!$D$2-$D489)^2))</f>
        <v>24.572220086919291</v>
      </c>
      <c r="G489" s="17">
        <f>SQRT((4*(HSP!$B$3-$B489)^2+(HSP!$C$3-$C489)^2+(HSP!$D$3-$D489)^2))</f>
        <v>24.775681625335761</v>
      </c>
      <c r="H489" s="17">
        <f>SQRT((4*(HSP!$B$4-$B489)^2+(HSP!$C$4-$C489)^2+(HSP!$D$4-$D489)^2))</f>
        <v>26.684302501658159</v>
      </c>
      <c r="I489" s="17">
        <f>SQRT((4*(HSP!$B$5-$B489)^2+(HSP!$C$5-$C489)^2+(HSP!$D$5-$D489)^2))</f>
        <v>20.04666805232231</v>
      </c>
      <c r="J489" s="17">
        <f>SQRT((4*(HSP!$B$6-$B489)^2+(HSP!$C$6-$C489)^2+(HSP!$D$6-$D489)^2))</f>
        <v>28.032891395644508</v>
      </c>
      <c r="K489" s="17">
        <f t="shared" si="0"/>
        <v>1.2653048448465134</v>
      </c>
      <c r="L489" s="17">
        <f t="shared" si="1"/>
        <v>1.2757817520770216</v>
      </c>
      <c r="M489" s="17">
        <f t="shared" si="2"/>
        <v>1.3740629506518103</v>
      </c>
      <c r="N489" s="17">
        <f t="shared" si="3"/>
        <v>1.0322692096973383</v>
      </c>
      <c r="O489" s="17">
        <f t="shared" si="4"/>
        <v>1.4435062510630539</v>
      </c>
      <c r="P489" s="17">
        <f>$F489/HSP!$E$2</f>
        <v>1.5074981648416743</v>
      </c>
      <c r="Q489" s="17">
        <f>$G489/HSP!$E$3</f>
        <v>1.8352356759507971</v>
      </c>
      <c r="R489" s="17">
        <f>$H489/HSP!$E$4</f>
        <v>1.6782580189722112</v>
      </c>
      <c r="S489" s="17">
        <f>$I489/HSP!$E$5</f>
        <v>1.4632604417753512</v>
      </c>
      <c r="T489" s="17">
        <f>$J489/HSP!$E$6</f>
        <v>1.8941142834894937</v>
      </c>
      <c r="U489" s="18" t="s">
        <v>976</v>
      </c>
      <c r="V489" s="12"/>
      <c r="W489" s="12"/>
      <c r="X489" s="12"/>
      <c r="Y489" s="12"/>
      <c r="Z489" s="12"/>
    </row>
    <row r="490" spans="1:26" ht="15" customHeight="1" x14ac:dyDescent="0.3">
      <c r="A490" s="26" t="s">
        <v>977</v>
      </c>
      <c r="B490" s="17">
        <v>20</v>
      </c>
      <c r="C490" s="17">
        <v>12</v>
      </c>
      <c r="D490" s="17">
        <v>11</v>
      </c>
      <c r="E490" s="17">
        <v>15</v>
      </c>
      <c r="F490" s="17">
        <f>SQRT((4*(HSP!$B$2-$B490)^2+(HSP!$C$2-$C490)^2+(HSP!$D$2-$D490)^2))</f>
        <v>11.626349384050009</v>
      </c>
      <c r="G490" s="17">
        <f>SQRT((4*(HSP!$B$3-$B490)^2+(HSP!$C$3-$C490)^2+(HSP!$D$3-$D490)^2))</f>
        <v>10.325328081954588</v>
      </c>
      <c r="H490" s="17">
        <f>SQRT((4*(HSP!$B$4-$B490)^2+(HSP!$C$4-$C490)^2+(HSP!$D$4-$D490)^2))</f>
        <v>12.82723664707251</v>
      </c>
      <c r="I490" s="17">
        <f>SQRT((4*(HSP!$B$5-$B490)^2+(HSP!$C$5-$C490)^2+(HSP!$D$5-$D490)^2))</f>
        <v>9.487618246957453</v>
      </c>
      <c r="J490" s="17">
        <f>SQRT((4*(HSP!$B$6-$B490)^2+(HSP!$C$6-$C490)^2+(HSP!$D$6-$D490)^2))</f>
        <v>13.101106823471062</v>
      </c>
      <c r="K490" s="17">
        <f t="shared" si="0"/>
        <v>0.77508995893666721</v>
      </c>
      <c r="L490" s="17">
        <f t="shared" si="1"/>
        <v>0.68835520546363915</v>
      </c>
      <c r="M490" s="17">
        <f t="shared" si="2"/>
        <v>0.85514910980483405</v>
      </c>
      <c r="N490" s="17">
        <f t="shared" si="3"/>
        <v>0.63250788313049688</v>
      </c>
      <c r="O490" s="17">
        <f t="shared" si="4"/>
        <v>0.87340712156473743</v>
      </c>
      <c r="P490" s="17">
        <f>$F490/HSP!$E$2</f>
        <v>0.71327296834662623</v>
      </c>
      <c r="Q490" s="17">
        <f>$G490/HSP!$E$3</f>
        <v>0.76483911718182129</v>
      </c>
      <c r="R490" s="17">
        <f>$H490/HSP!$E$4</f>
        <v>0.80674444321210759</v>
      </c>
      <c r="S490" s="17">
        <f>$I490/HSP!$E$5</f>
        <v>0.69252687933996016</v>
      </c>
      <c r="T490" s="17">
        <f>$J490/HSP!$E$6</f>
        <v>0.88520992050480141</v>
      </c>
      <c r="U490" s="18" t="s">
        <v>500</v>
      </c>
      <c r="V490" s="12"/>
      <c r="W490" s="12"/>
      <c r="X490" s="12"/>
      <c r="Y490" s="12"/>
      <c r="Z490" s="12"/>
    </row>
    <row r="491" spans="1:26" ht="15" customHeight="1" x14ac:dyDescent="0.3">
      <c r="A491" s="26" t="s">
        <v>978</v>
      </c>
      <c r="B491" s="17">
        <v>21.2</v>
      </c>
      <c r="C491" s="17">
        <v>12.4</v>
      </c>
      <c r="D491" s="17">
        <v>13</v>
      </c>
      <c r="E491" s="17">
        <v>12.6</v>
      </c>
      <c r="F491" s="17">
        <f>SQRT((4*(HSP!$B$2-$B491)^2+(HSP!$C$2-$C491)^2+(HSP!$D$2-$D491)^2))</f>
        <v>14.637076210773788</v>
      </c>
      <c r="G491" s="17">
        <f>SQRT((4*(HSP!$B$3-$B491)^2+(HSP!$C$3-$C491)^2+(HSP!$D$3-$D491)^2))</f>
        <v>13.435043728994707</v>
      </c>
      <c r="H491" s="17">
        <f>SQRT((4*(HSP!$B$4-$B491)^2+(HSP!$C$4-$C491)^2+(HSP!$D$4-$D491)^2))</f>
        <v>15.603909766465582</v>
      </c>
      <c r="I491" s="17">
        <f>SQRT((4*(HSP!$B$5-$B491)^2+(HSP!$C$5-$C491)^2+(HSP!$D$5-$D491)^2))</f>
        <v>12.043541837848199</v>
      </c>
      <c r="J491" s="17">
        <f>SQRT((4*(HSP!$B$6-$B491)^2+(HSP!$C$6-$C491)^2+(HSP!$D$6-$D491)^2))</f>
        <v>16.125228680549</v>
      </c>
      <c r="K491" s="17">
        <f t="shared" si="0"/>
        <v>1.1616727151407769</v>
      </c>
      <c r="L491" s="17">
        <f t="shared" si="1"/>
        <v>1.0662733118249768</v>
      </c>
      <c r="M491" s="17">
        <f t="shared" si="2"/>
        <v>1.238405537021078</v>
      </c>
      <c r="N491" s="17">
        <f t="shared" si="3"/>
        <v>0.95583665379747618</v>
      </c>
      <c r="O491" s="17">
        <f t="shared" si="4"/>
        <v>1.2797800540118254</v>
      </c>
      <c r="P491" s="17">
        <f>$F491/HSP!$E$2</f>
        <v>0.89798013563029366</v>
      </c>
      <c r="Q491" s="17">
        <f>$G491/HSP!$E$3</f>
        <v>0.99518842436997823</v>
      </c>
      <c r="R491" s="17">
        <f>$H491/HSP!$E$4</f>
        <v>0.98137797273368443</v>
      </c>
      <c r="S491" s="17">
        <f>$I491/HSP!$E$5</f>
        <v>0.87909064509840873</v>
      </c>
      <c r="T491" s="17">
        <f>$J491/HSP!$E$6</f>
        <v>1.089542478415473</v>
      </c>
      <c r="U491" s="18" t="s">
        <v>754</v>
      </c>
      <c r="V491" s="12"/>
      <c r="W491" s="12"/>
      <c r="X491" s="12"/>
      <c r="Y491" s="12"/>
      <c r="Z491" s="12"/>
    </row>
    <row r="492" spans="1:26" ht="15" customHeight="1" x14ac:dyDescent="0.3">
      <c r="A492" s="26" t="s">
        <v>979</v>
      </c>
      <c r="B492" s="17">
        <v>17.7</v>
      </c>
      <c r="C492" s="17">
        <v>6.3</v>
      </c>
      <c r="D492" s="17">
        <v>7.7</v>
      </c>
      <c r="E492" s="17">
        <v>5.3</v>
      </c>
      <c r="F492" s="17">
        <f>SQRT((4*(HSP!$B$2-$B492)^2+(HSP!$C$2-$C492)^2+(HSP!$D$2-$D492)^2))</f>
        <v>7.500933275266485</v>
      </c>
      <c r="G492" s="17">
        <f>SQRT((4*(HSP!$B$3-$B492)^2+(HSP!$C$3-$C492)^2+(HSP!$D$3-$D492)^2))</f>
        <v>5.5663632651849086</v>
      </c>
      <c r="H492" s="17">
        <f>SQRT((4*(HSP!$B$4-$B492)^2+(HSP!$C$4-$C492)^2+(HSP!$D$4-$D492)^2))</f>
        <v>5.3886918635230936</v>
      </c>
      <c r="I492" s="17">
        <f>SQRT((4*(HSP!$B$5-$B492)^2+(HSP!$C$5-$C492)^2+(HSP!$D$5-$D492)^2))</f>
        <v>8.6757650959439889</v>
      </c>
      <c r="J492" s="17">
        <f>SQRT((4*(HSP!$B$6-$B492)^2+(HSP!$C$6-$C492)^2+(HSP!$D$6-$D492)^2))</f>
        <v>6.2015320687713933</v>
      </c>
      <c r="K492" s="17">
        <f t="shared" si="0"/>
        <v>1.4152704292955633</v>
      </c>
      <c r="L492" s="17">
        <f t="shared" si="1"/>
        <v>1.0502572198462092</v>
      </c>
      <c r="M492" s="17">
        <f t="shared" si="2"/>
        <v>1.0167343138722817</v>
      </c>
      <c r="N492" s="17">
        <f t="shared" si="3"/>
        <v>1.6369368105554696</v>
      </c>
      <c r="O492" s="17">
        <f t="shared" si="4"/>
        <v>1.1701003903342251</v>
      </c>
      <c r="P492" s="17">
        <f>$F492/HSP!$E$2</f>
        <v>0.46017995553782115</v>
      </c>
      <c r="Q492" s="17">
        <f>$G492/HSP!$E$3</f>
        <v>0.41232320482851176</v>
      </c>
      <c r="R492" s="17">
        <f>$H492/HSP!$E$4</f>
        <v>0.33891143795742729</v>
      </c>
      <c r="S492" s="17">
        <f>$I492/HSP!$E$5</f>
        <v>0.63326752525138608</v>
      </c>
      <c r="T492" s="17">
        <f>$J492/HSP!$E$6</f>
        <v>0.41902243707914816</v>
      </c>
      <c r="U492" s="18" t="s">
        <v>445</v>
      </c>
      <c r="V492" s="12"/>
      <c r="W492" s="12"/>
      <c r="X492" s="12"/>
      <c r="Y492" s="12"/>
      <c r="Z492" s="12"/>
    </row>
    <row r="493" spans="1:26" ht="15" customHeight="1" x14ac:dyDescent="0.3">
      <c r="A493" s="26" t="s">
        <v>980</v>
      </c>
      <c r="B493" s="17">
        <v>16.8</v>
      </c>
      <c r="C493" s="17">
        <v>5.8</v>
      </c>
      <c r="D493" s="17">
        <v>4.7</v>
      </c>
      <c r="E493" s="17">
        <v>6</v>
      </c>
      <c r="F493" s="17">
        <f>SQRT((4*(HSP!$B$2-$B493)^2+(HSP!$C$2-$C493)^2+(HSP!$D$2-$D493)^2))</f>
        <v>6.8024995406100563</v>
      </c>
      <c r="G493" s="17">
        <f>SQRT((4*(HSP!$B$3-$B493)^2+(HSP!$C$3-$C493)^2+(HSP!$D$3-$D493)^2))</f>
        <v>4.5915574699659389</v>
      </c>
      <c r="H493" s="17">
        <f>SQRT((4*(HSP!$B$4-$B493)^2+(HSP!$C$4-$C493)^2+(HSP!$D$4-$D493)^2))</f>
        <v>4.0363349712331864</v>
      </c>
      <c r="I493" s="17">
        <f>SQRT((4*(HSP!$B$5-$B493)^2+(HSP!$C$5-$C493)^2+(HSP!$D$5-$D493)^2))</f>
        <v>9.8011682977081875</v>
      </c>
      <c r="J493" s="17">
        <f>SQRT((4*(HSP!$B$6-$B493)^2+(HSP!$C$6-$C493)^2+(HSP!$D$6-$D493)^2))</f>
        <v>3.2377461296401875</v>
      </c>
      <c r="K493" s="17">
        <f t="shared" si="0"/>
        <v>1.1337499234350095</v>
      </c>
      <c r="L493" s="17">
        <f t="shared" si="1"/>
        <v>0.76525957832765645</v>
      </c>
      <c r="M493" s="17">
        <f t="shared" si="2"/>
        <v>0.67272249520553107</v>
      </c>
      <c r="N493" s="17">
        <f t="shared" si="3"/>
        <v>1.6335280496180313</v>
      </c>
      <c r="O493" s="17">
        <f t="shared" si="4"/>
        <v>0.53962435494003125</v>
      </c>
      <c r="P493" s="17">
        <f>$F493/HSP!$E$2</f>
        <v>0.41733126016012612</v>
      </c>
      <c r="Q493" s="17">
        <f>$G493/HSP!$E$3</f>
        <v>0.3401153681456251</v>
      </c>
      <c r="R493" s="17">
        <f>$H493/HSP!$E$4</f>
        <v>0.25385754536057775</v>
      </c>
      <c r="S493" s="17">
        <f>$I493/HSP!$E$5</f>
        <v>0.71541374435826188</v>
      </c>
      <c r="T493" s="17">
        <f>$J493/HSP!$E$6</f>
        <v>0.21876663038109373</v>
      </c>
      <c r="U493" s="18" t="s">
        <v>471</v>
      </c>
      <c r="V493" s="12"/>
      <c r="W493" s="12"/>
      <c r="X493" s="12"/>
      <c r="Y493" s="12"/>
      <c r="Z493" s="12"/>
    </row>
    <row r="494" spans="1:26" ht="15" customHeight="1" x14ac:dyDescent="0.3">
      <c r="A494" s="26" t="s">
        <v>981</v>
      </c>
      <c r="B494" s="17">
        <v>17.3</v>
      </c>
      <c r="C494" s="17">
        <v>10.9</v>
      </c>
      <c r="D494" s="17">
        <v>11.9</v>
      </c>
      <c r="E494" s="17">
        <v>10.7</v>
      </c>
      <c r="F494" s="17">
        <f>SQRT((4*(HSP!$B$2-$B494)^2+(HSP!$C$2-$C494)^2+(HSP!$D$2-$D494)^2))</f>
        <v>7.3184697854127956</v>
      </c>
      <c r="G494" s="17">
        <f>SQRT((4*(HSP!$B$3-$B494)^2+(HSP!$C$3-$C494)^2+(HSP!$D$3-$D494)^2))</f>
        <v>6.9908797729613408</v>
      </c>
      <c r="H494" s="17">
        <f>SQRT((4*(HSP!$B$4-$B494)^2+(HSP!$C$4-$C494)^2+(HSP!$D$4-$D494)^2))</f>
        <v>9.1019778070483142</v>
      </c>
      <c r="I494" s="17">
        <f>SQRT((4*(HSP!$B$5-$B494)^2+(HSP!$C$5-$C494)^2+(HSP!$D$5-$D494)^2))</f>
        <v>4.5537786507470939</v>
      </c>
      <c r="J494" s="17">
        <f>SQRT((4*(HSP!$B$6-$B494)^2+(HSP!$C$6-$C494)^2+(HSP!$D$6-$D494)^2))</f>
        <v>10.063150600085443</v>
      </c>
      <c r="K494" s="17">
        <f t="shared" si="0"/>
        <v>0.68396913882362576</v>
      </c>
      <c r="L494" s="17">
        <f t="shared" si="1"/>
        <v>0.65335324980947118</v>
      </c>
      <c r="M494" s="17">
        <f t="shared" si="2"/>
        <v>0.85065213149984253</v>
      </c>
      <c r="N494" s="17">
        <f t="shared" si="3"/>
        <v>0.42558678978944803</v>
      </c>
      <c r="O494" s="17">
        <f t="shared" si="4"/>
        <v>0.94048136449396669</v>
      </c>
      <c r="P494" s="17">
        <f>$F494/HSP!$E$2</f>
        <v>0.44898587640569299</v>
      </c>
      <c r="Q494" s="17">
        <f>$G494/HSP!$E$3</f>
        <v>0.51784294614528448</v>
      </c>
      <c r="R494" s="17">
        <f>$H494/HSP!$E$4</f>
        <v>0.57245143440555435</v>
      </c>
      <c r="S494" s="17">
        <f>$I494/HSP!$E$5</f>
        <v>0.33239260224431344</v>
      </c>
      <c r="T494" s="17">
        <f>$J494/HSP!$E$6</f>
        <v>0.6799426081138813</v>
      </c>
      <c r="U494" s="18" t="s">
        <v>471</v>
      </c>
      <c r="V494" s="12"/>
      <c r="W494" s="12"/>
      <c r="X494" s="12"/>
      <c r="Y494" s="12"/>
      <c r="Z494" s="12"/>
    </row>
    <row r="495" spans="1:26" ht="15" customHeight="1" x14ac:dyDescent="0.3">
      <c r="A495" s="26" t="s">
        <v>982</v>
      </c>
      <c r="B495" s="17">
        <v>18.899999999999999</v>
      </c>
      <c r="C495" s="17">
        <v>11.7</v>
      </c>
      <c r="D495" s="17">
        <v>11.1</v>
      </c>
      <c r="E495" s="17">
        <v>9.6</v>
      </c>
      <c r="F495" s="17">
        <f>SQRT((4*(HSP!$B$2-$B495)^2+(HSP!$C$2-$C495)^2+(HSP!$D$2-$D495)^2))</f>
        <v>9.6162362699758965</v>
      </c>
      <c r="G495" s="17">
        <f>SQRT((4*(HSP!$B$3-$B495)^2+(HSP!$C$3-$C495)^2+(HSP!$D$3-$D495)^2))</f>
        <v>8.5589952681374903</v>
      </c>
      <c r="H495" s="17">
        <f>SQRT((4*(HSP!$B$4-$B495)^2+(HSP!$C$4-$C495)^2+(HSP!$D$4-$D495)^2))</f>
        <v>11.109545445246621</v>
      </c>
      <c r="I495" s="17">
        <f>SQRT((4*(HSP!$B$5-$B495)^2+(HSP!$C$5-$C495)^2+(HSP!$D$5-$D495)^2))</f>
        <v>7.3332734846042644</v>
      </c>
      <c r="J495" s="17">
        <f>SQRT((4*(HSP!$B$6-$B495)^2+(HSP!$C$6-$C495)^2+(HSP!$D$6-$D495)^2))</f>
        <v>11.534426730444819</v>
      </c>
      <c r="K495" s="17">
        <f t="shared" si="0"/>
        <v>1.0016912781224894</v>
      </c>
      <c r="L495" s="17">
        <f t="shared" si="1"/>
        <v>0.89156200709765532</v>
      </c>
      <c r="M495" s="17">
        <f t="shared" si="2"/>
        <v>1.1572443172131897</v>
      </c>
      <c r="N495" s="17">
        <f t="shared" si="3"/>
        <v>0.76388265464627758</v>
      </c>
      <c r="O495" s="17">
        <f t="shared" si="4"/>
        <v>1.2015027844213353</v>
      </c>
      <c r="P495" s="17">
        <f>$F495/HSP!$E$2</f>
        <v>0.58995314539729427</v>
      </c>
      <c r="Q495" s="17">
        <f>$G495/HSP!$E$3</f>
        <v>0.63399964949166598</v>
      </c>
      <c r="R495" s="17">
        <f>$H495/HSP!$E$4</f>
        <v>0.69871355001551072</v>
      </c>
      <c r="S495" s="17">
        <f>$I495/HSP!$E$5</f>
        <v>0.53527543683242806</v>
      </c>
      <c r="T495" s="17">
        <f>$J495/HSP!$E$6</f>
        <v>0.77935315746248779</v>
      </c>
      <c r="U495" s="18" t="s">
        <v>471</v>
      </c>
      <c r="V495" s="12"/>
      <c r="W495" s="12"/>
      <c r="X495" s="12"/>
      <c r="Y495" s="12"/>
      <c r="Z495" s="12"/>
    </row>
    <row r="496" spans="1:26" ht="15" customHeight="1" x14ac:dyDescent="0.3">
      <c r="A496" s="26" t="s">
        <v>983</v>
      </c>
      <c r="B496" s="17">
        <v>19.399999999999999</v>
      </c>
      <c r="C496" s="17">
        <v>13</v>
      </c>
      <c r="D496" s="17">
        <v>13.8</v>
      </c>
      <c r="E496" s="17">
        <v>12.3</v>
      </c>
      <c r="F496" s="17">
        <f>SQRT((4*(HSP!$B$2-$B496)^2+(HSP!$C$2-$C496)^2+(HSP!$D$2-$D496)^2))</f>
        <v>12.0467422982315</v>
      </c>
      <c r="G496" s="17">
        <f>SQRT((4*(HSP!$B$3-$B496)^2+(HSP!$C$3-$C496)^2+(HSP!$D$3-$D496)^2))</f>
        <v>11.39703470206176</v>
      </c>
      <c r="H496" s="17">
        <f>SQRT((4*(HSP!$B$4-$B496)^2+(HSP!$C$4-$C496)^2+(HSP!$D$4-$D496)^2))</f>
        <v>13.776574320200213</v>
      </c>
      <c r="I496" s="17">
        <f>SQRT((4*(HSP!$B$5-$B496)^2+(HSP!$C$5-$C496)^2+(HSP!$D$5-$D496)^2))</f>
        <v>8.7488799283108225</v>
      </c>
      <c r="J496" s="17">
        <f>SQRT((4*(HSP!$B$6-$B496)^2+(HSP!$C$6-$C496)^2+(HSP!$D$6-$D496)^2))</f>
        <v>14.504999138228172</v>
      </c>
      <c r="K496" s="17">
        <f t="shared" si="0"/>
        <v>0.97940994294565031</v>
      </c>
      <c r="L496" s="17">
        <f t="shared" si="1"/>
        <v>0.92658818715949254</v>
      </c>
      <c r="M496" s="17">
        <f t="shared" si="2"/>
        <v>1.1200466926992043</v>
      </c>
      <c r="N496" s="17">
        <f t="shared" si="3"/>
        <v>0.7112910510821806</v>
      </c>
      <c r="O496" s="17">
        <f t="shared" si="4"/>
        <v>1.1792682226201765</v>
      </c>
      <c r="P496" s="17">
        <f>$F496/HSP!$E$2</f>
        <v>0.73906394467677916</v>
      </c>
      <c r="Q496" s="17">
        <f>$G496/HSP!$E$3</f>
        <v>0.84422479274531548</v>
      </c>
      <c r="R496" s="17">
        <f>$H496/HSP!$E$4</f>
        <v>0.86645121510693157</v>
      </c>
      <c r="S496" s="17">
        <f>$I496/HSP!$E$5</f>
        <v>0.6386043743292571</v>
      </c>
      <c r="T496" s="17">
        <f>$J496/HSP!$E$6</f>
        <v>0.98006750933974129</v>
      </c>
      <c r="U496" s="18" t="s">
        <v>459</v>
      </c>
      <c r="V496" s="12"/>
      <c r="W496" s="12"/>
      <c r="X496" s="12"/>
      <c r="Y496" s="12"/>
      <c r="Z496" s="12"/>
    </row>
    <row r="497" spans="1:26" ht="15" customHeight="1" x14ac:dyDescent="0.3">
      <c r="A497" s="26" t="s">
        <v>984</v>
      </c>
      <c r="B497" s="17">
        <v>17.3</v>
      </c>
      <c r="C497" s="17">
        <v>8.6999999999999993</v>
      </c>
      <c r="D497" s="17">
        <v>6.1</v>
      </c>
      <c r="E497" s="17">
        <v>7.8</v>
      </c>
      <c r="F497" s="17">
        <f>SQRT((4*(HSP!$B$2-$B497)^2+(HSP!$C$2-$C497)^2+(HSP!$D$2-$D497)^2))</f>
        <v>5.7473472141501967</v>
      </c>
      <c r="G497" s="17">
        <f>SQRT((4*(HSP!$B$3-$B497)^2+(HSP!$C$3-$C497)^2+(HSP!$D$3-$D497)^2))</f>
        <v>3.3717057997399502</v>
      </c>
      <c r="H497" s="17">
        <f>SQRT((4*(HSP!$B$4-$B497)^2+(HSP!$C$4-$C497)^2+(HSP!$D$4-$D497)^2))</f>
        <v>5.8989829631895025</v>
      </c>
      <c r="I497" s="17">
        <f>SQRT((4*(HSP!$B$5-$B497)^2+(HSP!$C$5-$C497)^2+(HSP!$D$5-$D497)^2))</f>
        <v>7.4815038595191554</v>
      </c>
      <c r="J497" s="17">
        <f>SQRT((4*(HSP!$B$6-$B497)^2+(HSP!$C$6-$C497)^2+(HSP!$D$6-$D497)^2))</f>
        <v>5.1671075080745137</v>
      </c>
      <c r="K497" s="17">
        <f t="shared" si="0"/>
        <v>0.73683938642951241</v>
      </c>
      <c r="L497" s="17">
        <f t="shared" si="1"/>
        <v>0.43226997432563463</v>
      </c>
      <c r="M497" s="17">
        <f t="shared" si="2"/>
        <v>0.75627986707557726</v>
      </c>
      <c r="N497" s="17">
        <f t="shared" si="3"/>
        <v>0.9591671614768148</v>
      </c>
      <c r="O497" s="17">
        <f t="shared" si="4"/>
        <v>0.66244968052237352</v>
      </c>
      <c r="P497" s="17">
        <f>$F497/HSP!$E$2</f>
        <v>0.35259798859817154</v>
      </c>
      <c r="Q497" s="17">
        <f>$G497/HSP!$E$3</f>
        <v>0.24975598516592223</v>
      </c>
      <c r="R497" s="17">
        <f>$H497/HSP!$E$4</f>
        <v>0.37100521781066054</v>
      </c>
      <c r="S497" s="17">
        <f>$I497/HSP!$E$5</f>
        <v>0.54609517222767556</v>
      </c>
      <c r="T497" s="17">
        <f>$J497/HSP!$E$6</f>
        <v>0.34912888568071038</v>
      </c>
      <c r="U497" s="18" t="s">
        <v>457</v>
      </c>
      <c r="V497" s="12"/>
      <c r="W497" s="12"/>
      <c r="X497" s="12"/>
      <c r="Y497" s="12"/>
      <c r="Z497" s="12"/>
    </row>
    <row r="498" spans="1:26" ht="15" customHeight="1" x14ac:dyDescent="0.3">
      <c r="A498" s="26" t="s">
        <v>985</v>
      </c>
      <c r="B498" s="17">
        <v>20.399999999999999</v>
      </c>
      <c r="C498" s="17">
        <v>11</v>
      </c>
      <c r="D498" s="17">
        <v>0.8</v>
      </c>
      <c r="E498" s="17">
        <v>11.7</v>
      </c>
      <c r="F498" s="17">
        <f>SQRT((4*(HSP!$B$2-$B498)^2+(HSP!$C$2-$C498)^2+(HSP!$D$2-$D498)^2))</f>
        <v>13.154618960654084</v>
      </c>
      <c r="G498" s="17">
        <f>SQRT((4*(HSP!$B$3-$B498)^2+(HSP!$C$3-$C498)^2+(HSP!$D$3-$D498)^2))</f>
        <v>10.75789942321455</v>
      </c>
      <c r="H498" s="17">
        <f>SQRT((4*(HSP!$B$4-$B498)^2+(HSP!$C$4-$C498)^2+(HSP!$D$4-$D498)^2))</f>
        <v>13.614477588214685</v>
      </c>
      <c r="I498" s="17">
        <f>SQRT((4*(HSP!$B$5-$B498)^2+(HSP!$C$5-$C498)^2+(HSP!$D$5-$D498)^2))</f>
        <v>14.520430434391397</v>
      </c>
      <c r="J498" s="17">
        <f>SQRT((4*(HSP!$B$6-$B498)^2+(HSP!$C$6-$C498)^2+(HSP!$D$6-$D498)^2))</f>
        <v>11.6385136508061</v>
      </c>
      <c r="K498" s="17">
        <f t="shared" si="0"/>
        <v>1.1243264068935115</v>
      </c>
      <c r="L498" s="17">
        <f t="shared" si="1"/>
        <v>0.91947858318073084</v>
      </c>
      <c r="M498" s="17">
        <f t="shared" si="2"/>
        <v>1.1636305630952724</v>
      </c>
      <c r="N498" s="17">
        <f t="shared" si="3"/>
        <v>1.241062430289863</v>
      </c>
      <c r="O498" s="17">
        <f t="shared" si="4"/>
        <v>0.99474475647915395</v>
      </c>
      <c r="P498" s="17">
        <f>$F498/HSP!$E$2</f>
        <v>0.80703183807693757</v>
      </c>
      <c r="Q498" s="17">
        <f>$G498/HSP!$E$3</f>
        <v>0.79688143875663331</v>
      </c>
      <c r="R498" s="17">
        <f>$H498/HSP!$E$4</f>
        <v>0.85625645208897383</v>
      </c>
      <c r="S498" s="17">
        <f>$I498/HSP!$E$5</f>
        <v>1.0598854331672554</v>
      </c>
      <c r="T498" s="17">
        <f>$J498/HSP!$E$6</f>
        <v>0.7863860574868986</v>
      </c>
      <c r="U498" s="18" t="s">
        <v>471</v>
      </c>
      <c r="V498" s="12"/>
      <c r="W498" s="12"/>
      <c r="X498" s="12"/>
      <c r="Y498" s="12"/>
      <c r="Z498" s="12"/>
    </row>
    <row r="499" spans="1:26" ht="15" customHeight="1" x14ac:dyDescent="0.3">
      <c r="A499" s="26" t="s">
        <v>986</v>
      </c>
      <c r="B499" s="17">
        <v>23.8</v>
      </c>
      <c r="C499" s="17">
        <v>5.3</v>
      </c>
      <c r="D499" s="17">
        <v>16.2</v>
      </c>
      <c r="E499" s="17">
        <v>16.100000000000001</v>
      </c>
      <c r="F499" s="17">
        <f>SQRT((4*(HSP!$B$2-$B499)^2+(HSP!$C$2-$C499)^2+(HSP!$D$2-$D499)^2))</f>
        <v>21.217775566727067</v>
      </c>
      <c r="G499" s="17">
        <f>SQRT((4*(HSP!$B$3-$B499)^2+(HSP!$C$3-$C499)^2+(HSP!$D$3-$D499)^2))</f>
        <v>19.744427061831903</v>
      </c>
      <c r="H499" s="17">
        <f>SQRT((4*(HSP!$B$4-$B499)^2+(HSP!$C$4-$C499)^2+(HSP!$D$4-$D499)^2))</f>
        <v>19.663468666539991</v>
      </c>
      <c r="I499" s="17">
        <f>SQRT((4*(HSP!$B$5-$B499)^2+(HSP!$C$5-$C499)^2+(HSP!$D$5-$D499)^2))</f>
        <v>19.335793234310302</v>
      </c>
      <c r="J499" s="17">
        <f>SQRT((4*(HSP!$B$6-$B499)^2+(HSP!$C$6-$C499)^2+(HSP!$D$6-$D499)^2))</f>
        <v>21.091301524562208</v>
      </c>
      <c r="K499" s="17">
        <f t="shared" si="0"/>
        <v>1.3178742588029233</v>
      </c>
      <c r="L499" s="17">
        <f t="shared" si="1"/>
        <v>1.2263619293063293</v>
      </c>
      <c r="M499" s="17">
        <f t="shared" si="2"/>
        <v>1.2213334575490677</v>
      </c>
      <c r="N499" s="17">
        <f t="shared" si="3"/>
        <v>1.2009809462304535</v>
      </c>
      <c r="O499" s="17">
        <f t="shared" si="4"/>
        <v>1.3100187282336775</v>
      </c>
      <c r="P499" s="17">
        <f>$F499/HSP!$E$2</f>
        <v>1.301704022498593</v>
      </c>
      <c r="Q499" s="17">
        <f>$G499/HSP!$E$3</f>
        <v>1.4625501527282891</v>
      </c>
      <c r="R499" s="17">
        <f>$H499/HSP!$E$4</f>
        <v>1.236696142549685</v>
      </c>
      <c r="S499" s="17">
        <f>$I499/HSP!$E$5</f>
        <v>1.4113717689277594</v>
      </c>
      <c r="T499" s="17">
        <f>$J499/HSP!$E$6</f>
        <v>1.4250879408487978</v>
      </c>
      <c r="U499" s="18" t="s">
        <v>471</v>
      </c>
      <c r="V499" s="12"/>
      <c r="W499" s="12"/>
      <c r="X499" s="12"/>
      <c r="Y499" s="12"/>
      <c r="Z499" s="12"/>
    </row>
    <row r="500" spans="1:26" ht="15" customHeight="1" x14ac:dyDescent="0.3">
      <c r="A500" s="26" t="s">
        <v>987</v>
      </c>
      <c r="B500" s="17">
        <v>18.8</v>
      </c>
      <c r="C500" s="17">
        <v>3</v>
      </c>
      <c r="D500" s="17">
        <v>9.1999999999999993</v>
      </c>
      <c r="E500" s="17">
        <v>7.8</v>
      </c>
      <c r="F500" s="17">
        <f>SQRT((4*(HSP!$B$2-$B500)^2+(HSP!$C$2-$C500)^2+(HSP!$D$2-$D500)^2))</f>
        <v>11.451637437502116</v>
      </c>
      <c r="G500" s="17">
        <f>SQRT((4*(HSP!$B$3-$B500)^2+(HSP!$C$3-$C500)^2+(HSP!$D$3-$D500)^2))</f>
        <v>9.7194855830954356</v>
      </c>
      <c r="H500" s="17">
        <f>SQRT((4*(HSP!$B$4-$B500)^2+(HSP!$C$4-$C500)^2+(HSP!$D$4-$D500)^2))</f>
        <v>7.8287930104199344</v>
      </c>
      <c r="I500" s="17">
        <f>SQRT((4*(HSP!$B$5-$B500)^2+(HSP!$C$5-$C500)^2+(HSP!$D$5-$D500)^2))</f>
        <v>12.137334962832657</v>
      </c>
      <c r="J500" s="17">
        <f>SQRT((4*(HSP!$B$6-$B500)^2+(HSP!$C$6-$C500)^2+(HSP!$D$6-$D500)^2))</f>
        <v>9.498999947362881</v>
      </c>
      <c r="K500" s="17">
        <f t="shared" si="0"/>
        <v>1.4681586458336047</v>
      </c>
      <c r="L500" s="17">
        <f t="shared" si="1"/>
        <v>1.2460878952686456</v>
      </c>
      <c r="M500" s="17">
        <f t="shared" si="2"/>
        <v>1.0036914115922992</v>
      </c>
      <c r="N500" s="17">
        <f t="shared" si="3"/>
        <v>1.5560685849785458</v>
      </c>
      <c r="O500" s="17">
        <f t="shared" si="4"/>
        <v>1.2178205060721643</v>
      </c>
      <c r="P500" s="17">
        <f>$F500/HSP!$E$2</f>
        <v>0.70255444401853473</v>
      </c>
      <c r="Q500" s="17">
        <f>$G500/HSP!$E$3</f>
        <v>0.71996189504410635</v>
      </c>
      <c r="R500" s="17">
        <f>$H500/HSP!$E$4</f>
        <v>0.49237691889433549</v>
      </c>
      <c r="S500" s="17">
        <f>$I500/HSP!$E$5</f>
        <v>0.88593685860092397</v>
      </c>
      <c r="T500" s="17">
        <f>$J500/HSP!$E$6</f>
        <v>0.64182432076776219</v>
      </c>
      <c r="U500" s="18" t="s">
        <v>471</v>
      </c>
      <c r="V500" s="12"/>
      <c r="W500" s="12"/>
      <c r="X500" s="12"/>
      <c r="Y500" s="12"/>
      <c r="Z500" s="12"/>
    </row>
    <row r="501" spans="1:26" ht="15" customHeight="1" x14ac:dyDescent="0.3">
      <c r="A501" s="26" t="s">
        <v>988</v>
      </c>
      <c r="B501" s="17">
        <v>20.3</v>
      </c>
      <c r="C501" s="17">
        <v>6.6</v>
      </c>
      <c r="D501" s="17">
        <v>14.1</v>
      </c>
      <c r="E501" s="17">
        <v>9.6</v>
      </c>
      <c r="F501" s="17">
        <f>SQRT((4*(HSP!$B$2-$B501)^2+(HSP!$C$2-$C501)^2+(HSP!$D$2-$D501)^2))</f>
        <v>13.984062356840377</v>
      </c>
      <c r="G501" s="17">
        <f>SQRT((4*(HSP!$B$3-$B501)^2+(HSP!$C$3-$C501)^2+(HSP!$D$3-$D501)^2))</f>
        <v>12.764419297406366</v>
      </c>
      <c r="H501" s="17">
        <f>SQRT((4*(HSP!$B$4-$B501)^2+(HSP!$C$4-$C501)^2+(HSP!$D$4-$D501)^2))</f>
        <v>12.737503680077978</v>
      </c>
      <c r="I501" s="17">
        <f>SQRT((4*(HSP!$B$5-$B501)^2+(HSP!$C$5-$C501)^2+(HSP!$D$5-$D501)^2))</f>
        <v>12.194543861908082</v>
      </c>
      <c r="J501" s="17">
        <f>SQRT((4*(HSP!$B$6-$B501)^2+(HSP!$C$6-$C501)^2+(HSP!$D$6-$D501)^2))</f>
        <v>14.362973229801693</v>
      </c>
      <c r="K501" s="17">
        <f t="shared" si="0"/>
        <v>1.4566731621708726</v>
      </c>
      <c r="L501" s="17">
        <f t="shared" si="1"/>
        <v>1.3296270101464966</v>
      </c>
      <c r="M501" s="17">
        <f t="shared" si="2"/>
        <v>1.3268233000081229</v>
      </c>
      <c r="N501" s="17">
        <f t="shared" si="3"/>
        <v>1.2702649856154253</v>
      </c>
      <c r="O501" s="17">
        <f t="shared" si="4"/>
        <v>1.4961430447710098</v>
      </c>
      <c r="P501" s="17">
        <f>$F501/HSP!$E$2</f>
        <v>0.85791793600247712</v>
      </c>
      <c r="Q501" s="17">
        <f>$G501/HSP!$E$3</f>
        <v>0.94551254054861977</v>
      </c>
      <c r="R501" s="17">
        <f>$H501/HSP!$E$4</f>
        <v>0.8011008603822628</v>
      </c>
      <c r="S501" s="17">
        <f>$I501/HSP!$E$5</f>
        <v>0.89011269065022502</v>
      </c>
      <c r="T501" s="17">
        <f>$J501/HSP!$E$6</f>
        <v>0.97047116417578994</v>
      </c>
      <c r="U501" s="18" t="s">
        <v>989</v>
      </c>
      <c r="V501" s="12"/>
      <c r="W501" s="12"/>
      <c r="X501" s="12"/>
      <c r="Y501" s="12"/>
      <c r="Z501" s="12"/>
    </row>
    <row r="502" spans="1:26" ht="15" customHeight="1" x14ac:dyDescent="0.3">
      <c r="A502" s="26" t="s">
        <v>990</v>
      </c>
      <c r="B502" s="17">
        <v>24.9</v>
      </c>
      <c r="C502" s="17">
        <v>3.1</v>
      </c>
      <c r="D502" s="17">
        <v>18.7</v>
      </c>
      <c r="E502" s="17">
        <v>20.3</v>
      </c>
      <c r="F502" s="17">
        <f>SQRT((4*(HSP!$B$2-$B502)^2+(HSP!$C$2-$C502)^2+(HSP!$D$2-$D502)^2))</f>
        <v>24.817090885113828</v>
      </c>
      <c r="G502" s="17">
        <f>SQRT((4*(HSP!$B$3-$B502)^2+(HSP!$C$3-$C502)^2+(HSP!$D$3-$D502)^2))</f>
        <v>23.414192277334699</v>
      </c>
      <c r="H502" s="17">
        <f>SQRT((4*(HSP!$B$4-$B502)^2+(HSP!$C$4-$C502)^2+(HSP!$D$4-$D502)^2))</f>
        <v>22.864776403892513</v>
      </c>
      <c r="I502" s="17">
        <f>SQRT((4*(HSP!$B$5-$B502)^2+(HSP!$C$5-$C502)^2+(HSP!$D$5-$D502)^2))</f>
        <v>22.888095158837483</v>
      </c>
      <c r="J502" s="17">
        <f>SQRT((4*(HSP!$B$6-$B502)^2+(HSP!$C$6-$C502)^2+(HSP!$D$6-$D502)^2))</f>
        <v>24.547077219090667</v>
      </c>
      <c r="K502" s="17">
        <f t="shared" si="0"/>
        <v>1.2225167923701392</v>
      </c>
      <c r="L502" s="17">
        <f t="shared" si="1"/>
        <v>1.1534084865682117</v>
      </c>
      <c r="M502" s="17">
        <f t="shared" si="2"/>
        <v>1.1263436652163799</v>
      </c>
      <c r="N502" s="17">
        <f t="shared" si="3"/>
        <v>1.1274923723565262</v>
      </c>
      <c r="O502" s="17">
        <f t="shared" si="4"/>
        <v>1.2092156265561904</v>
      </c>
      <c r="P502" s="17">
        <f>$F502/HSP!$E$2</f>
        <v>1.5225209131971673</v>
      </c>
      <c r="Q502" s="17">
        <f>$G502/HSP!$E$3</f>
        <v>1.7343846131359035</v>
      </c>
      <c r="R502" s="17">
        <f>$H502/HSP!$E$4</f>
        <v>1.4380362518171392</v>
      </c>
      <c r="S502" s="17">
        <f>$I502/HSP!$E$5</f>
        <v>1.6706638802071156</v>
      </c>
      <c r="T502" s="17">
        <f>$J502/HSP!$E$6</f>
        <v>1.6585862985872071</v>
      </c>
      <c r="U502" s="18" t="s">
        <v>989</v>
      </c>
      <c r="V502" s="12"/>
      <c r="W502" s="12"/>
      <c r="X502" s="12"/>
      <c r="Y502" s="12"/>
      <c r="Z502" s="12"/>
    </row>
    <row r="503" spans="1:26" ht="15" customHeight="1" x14ac:dyDescent="0.3">
      <c r="A503" s="26" t="s">
        <v>991</v>
      </c>
      <c r="B503" s="17">
        <v>26.9</v>
      </c>
      <c r="C503" s="17">
        <v>2.4</v>
      </c>
      <c r="D503" s="17">
        <v>18.5</v>
      </c>
      <c r="E503" s="17">
        <v>24</v>
      </c>
      <c r="F503" s="17">
        <f>SQRT((4*(HSP!$B$2-$B503)^2+(HSP!$C$2-$C503)^2+(HSP!$D$2-$D503)^2))</f>
        <v>28.334325472825356</v>
      </c>
      <c r="G503" s="17">
        <f>SQRT((4*(HSP!$B$3-$B503)^2+(HSP!$C$3-$C503)^2+(HSP!$D$3-$D503)^2))</f>
        <v>26.760911793135897</v>
      </c>
      <c r="H503" s="17">
        <f>SQRT((4*(HSP!$B$4-$B503)^2+(HSP!$C$4-$C503)^2+(HSP!$D$4-$D503)^2))</f>
        <v>26.314634711506063</v>
      </c>
      <c r="I503" s="17">
        <f>SQRT((4*(HSP!$B$5-$B503)^2+(HSP!$C$5-$C503)^2+(HSP!$D$5-$D503)^2))</f>
        <v>26.548726899796907</v>
      </c>
      <c r="J503" s="17">
        <f>SQRT((4*(HSP!$B$6-$B503)^2+(HSP!$C$6-$C503)^2+(HSP!$D$6-$D503)^2))</f>
        <v>27.782926411737115</v>
      </c>
      <c r="K503" s="17">
        <f t="shared" si="0"/>
        <v>1.1805968947010566</v>
      </c>
      <c r="L503" s="17">
        <f t="shared" si="1"/>
        <v>1.1150379913806623</v>
      </c>
      <c r="M503" s="17">
        <f t="shared" si="2"/>
        <v>1.0964431129794192</v>
      </c>
      <c r="N503" s="17">
        <f t="shared" si="3"/>
        <v>1.1061969541582044</v>
      </c>
      <c r="O503" s="17">
        <f t="shared" si="4"/>
        <v>1.1576219338223799</v>
      </c>
      <c r="P503" s="17">
        <f>$F503/HSP!$E$2</f>
        <v>1.7383021762469542</v>
      </c>
      <c r="Q503" s="17">
        <f>$G503/HSP!$E$3</f>
        <v>1.9822897624545108</v>
      </c>
      <c r="R503" s="17">
        <f>$H503/HSP!$E$4</f>
        <v>1.6550084724217649</v>
      </c>
      <c r="S503" s="17">
        <f>$I503/HSP!$E$5</f>
        <v>1.9378632773574387</v>
      </c>
      <c r="T503" s="17">
        <f>$J503/HSP!$E$6</f>
        <v>1.8772247575498049</v>
      </c>
      <c r="U503" s="18" t="s">
        <v>989</v>
      </c>
      <c r="V503" s="12"/>
      <c r="W503" s="12"/>
      <c r="X503" s="12"/>
      <c r="Y503" s="12"/>
      <c r="Z503" s="12"/>
    </row>
    <row r="504" spans="1:26" ht="15" customHeight="1" x14ac:dyDescent="0.3">
      <c r="A504" s="26" t="s">
        <v>992</v>
      </c>
      <c r="B504" s="17">
        <v>17.43</v>
      </c>
      <c r="C504" s="17">
        <v>1.92</v>
      </c>
      <c r="D504" s="17">
        <v>14.89</v>
      </c>
      <c r="E504" s="17">
        <v>9.6199999999999992</v>
      </c>
      <c r="F504" s="17">
        <f>SQRT((4*(HSP!$B$2-$B504)^2+(HSP!$C$2-$C504)^2+(HSP!$D$2-$D504)^2))</f>
        <v>12.94354279167802</v>
      </c>
      <c r="G504" s="17">
        <f>SQRT((4*(HSP!$B$3-$B504)^2+(HSP!$C$3-$C504)^2+(HSP!$D$3-$D504)^2))</f>
        <v>12.421066781883109</v>
      </c>
      <c r="H504" s="17">
        <f>SQRT((4*(HSP!$B$4-$B504)^2+(HSP!$C$4-$C504)^2+(HSP!$D$4-$D504)^2))</f>
        <v>9.6693381366048001</v>
      </c>
      <c r="I504" s="17">
        <f>SQRT((4*(HSP!$B$5-$B504)^2+(HSP!$C$5-$C504)^2+(HSP!$D$5-$D504)^2))</f>
        <v>12.287554679430729</v>
      </c>
      <c r="J504" s="17">
        <f>SQRT((4*(HSP!$B$6-$B504)^2+(HSP!$C$6-$C504)^2+(HSP!$D$6-$D504)^2))</f>
        <v>12.684009618413256</v>
      </c>
      <c r="K504" s="17">
        <f t="shared" si="0"/>
        <v>1.345482618677549</v>
      </c>
      <c r="L504" s="17">
        <f t="shared" si="1"/>
        <v>1.2911711831479324</v>
      </c>
      <c r="M504" s="17">
        <f t="shared" si="2"/>
        <v>1.0051287044287736</v>
      </c>
      <c r="N504" s="17">
        <f t="shared" si="3"/>
        <v>1.2772925862194107</v>
      </c>
      <c r="O504" s="17">
        <f t="shared" si="4"/>
        <v>1.3185041183381765</v>
      </c>
      <c r="P504" s="17">
        <f>$F504/HSP!$E$2</f>
        <v>0.79408237985754715</v>
      </c>
      <c r="Q504" s="17">
        <f>$G504/HSP!$E$3</f>
        <v>0.9200790208802303</v>
      </c>
      <c r="R504" s="17">
        <f>$H504/HSP!$E$4</f>
        <v>0.60813447400030185</v>
      </c>
      <c r="S504" s="17">
        <f>$I504/HSP!$E$5</f>
        <v>0.89690180141830145</v>
      </c>
      <c r="T504" s="17">
        <f>$J504/HSP!$E$6</f>
        <v>0.85702767691981452</v>
      </c>
      <c r="U504" s="18" t="s">
        <v>989</v>
      </c>
      <c r="V504" s="12"/>
      <c r="W504" s="12"/>
      <c r="X504" s="12"/>
      <c r="Y504" s="12"/>
      <c r="Z504" s="12"/>
    </row>
    <row r="505" spans="1:26" ht="15" customHeight="1" x14ac:dyDescent="0.3">
      <c r="A505" s="26" t="s">
        <v>993</v>
      </c>
      <c r="B505" s="17">
        <v>18.899999999999999</v>
      </c>
      <c r="C505" s="17">
        <v>9.6</v>
      </c>
      <c r="D505" s="17">
        <v>11.1</v>
      </c>
      <c r="E505" s="17">
        <v>6.2</v>
      </c>
      <c r="F505" s="17">
        <f>SQRT((4*(HSP!$B$2-$B505)^2+(HSP!$C$2-$C505)^2+(HSP!$D$2-$D505)^2))</f>
        <v>9.5746540407473706</v>
      </c>
      <c r="G505" s="17">
        <f>SQRT((4*(HSP!$B$3-$B505)^2+(HSP!$C$3-$C505)^2+(HSP!$D$3-$D505)^2))</f>
        <v>8.3125447367217209</v>
      </c>
      <c r="H505" s="17">
        <f>SQRT((4*(HSP!$B$4-$B505)^2+(HSP!$C$4-$C505)^2+(HSP!$D$4-$D505)^2))</f>
        <v>9.9170560147656701</v>
      </c>
      <c r="I505" s="17">
        <f>SQRT((4*(HSP!$B$5-$B505)^2+(HSP!$C$5-$C505)^2+(HSP!$D$5-$D505)^2))</f>
        <v>7.9038534905449742</v>
      </c>
      <c r="J505" s="17">
        <f>SQRT((4*(HSP!$B$6-$B505)^2+(HSP!$C$6-$C505)^2+(HSP!$D$6-$D505)^2))</f>
        <v>10.738668446320521</v>
      </c>
      <c r="K505" s="17">
        <f t="shared" si="0"/>
        <v>1.5442990388302211</v>
      </c>
      <c r="L505" s="17">
        <f t="shared" si="1"/>
        <v>1.3407330220518905</v>
      </c>
      <c r="M505" s="17">
        <f t="shared" si="2"/>
        <v>1.5995251636718821</v>
      </c>
      <c r="N505" s="17">
        <f t="shared" si="3"/>
        <v>1.2748150791201571</v>
      </c>
      <c r="O505" s="17">
        <f t="shared" si="4"/>
        <v>1.7320432977936324</v>
      </c>
      <c r="P505" s="17">
        <f>$F505/HSP!$E$2</f>
        <v>0.58740208838940922</v>
      </c>
      <c r="Q505" s="17">
        <f>$G505/HSP!$E$3</f>
        <v>0.61574405457197934</v>
      </c>
      <c r="R505" s="17">
        <f>$H505/HSP!$E$4</f>
        <v>0.62371421476513644</v>
      </c>
      <c r="S505" s="17">
        <f>$I505/HSP!$E$5</f>
        <v>0.57692361244853829</v>
      </c>
      <c r="T505" s="17">
        <f>$J505/HSP!$E$6</f>
        <v>0.72558570583246762</v>
      </c>
      <c r="U505" s="18" t="s">
        <v>994</v>
      </c>
      <c r="V505" s="12"/>
      <c r="W505" s="12"/>
      <c r="X505" s="12"/>
      <c r="Y505" s="12"/>
      <c r="Z505" s="12"/>
    </row>
    <row r="506" spans="1:26" ht="15" customHeight="1" x14ac:dyDescent="0.3">
      <c r="A506" s="26" t="s">
        <v>995</v>
      </c>
      <c r="B506" s="17">
        <v>20.149999999999999</v>
      </c>
      <c r="C506" s="17">
        <v>6.04</v>
      </c>
      <c r="D506" s="17">
        <v>12.9</v>
      </c>
      <c r="E506" s="17">
        <v>9.1999999999999993</v>
      </c>
      <c r="F506" s="17">
        <f>SQRT((4*(HSP!$B$2-$B506)^2+(HSP!$C$2-$C506)^2+(HSP!$D$2-$D506)^2))</f>
        <v>13.333896654766752</v>
      </c>
      <c r="G506" s="17">
        <f>SQRT((4*(HSP!$B$3-$B506)^2+(HSP!$C$3-$C506)^2+(HSP!$D$3-$D506)^2))</f>
        <v>11.9497782406202</v>
      </c>
      <c r="H506" s="17">
        <f>SQRT((4*(HSP!$B$4-$B506)^2+(HSP!$C$4-$C506)^2+(HSP!$D$4-$D506)^2))</f>
        <v>11.758452279105441</v>
      </c>
      <c r="I506" s="17">
        <f>SQRT((4*(HSP!$B$5-$B506)^2+(HSP!$C$5-$C506)^2+(HSP!$D$5-$D506)^2))</f>
        <v>11.990033361087866</v>
      </c>
      <c r="J506" s="17">
        <f>SQRT((4*(HSP!$B$6-$B506)^2+(HSP!$C$6-$C506)^2+(HSP!$D$6-$D506)^2))</f>
        <v>13.315862720830371</v>
      </c>
      <c r="K506" s="17">
        <f t="shared" si="0"/>
        <v>1.4493365929094297</v>
      </c>
      <c r="L506" s="17">
        <f t="shared" si="1"/>
        <v>1.298888939197848</v>
      </c>
      <c r="M506" s="17">
        <f t="shared" si="2"/>
        <v>1.2780926390332001</v>
      </c>
      <c r="N506" s="17">
        <f t="shared" si="3"/>
        <v>1.3032644957704203</v>
      </c>
      <c r="O506" s="17">
        <f t="shared" si="4"/>
        <v>1.4473763826989534</v>
      </c>
      <c r="P506" s="17">
        <f>$F506/HSP!$E$2</f>
        <v>0.81803046961759207</v>
      </c>
      <c r="Q506" s="17">
        <f>$G506/HSP!$E$3</f>
        <v>0.8851687585644592</v>
      </c>
      <c r="R506" s="17">
        <f>$H506/HSP!$E$4</f>
        <v>0.73952530057266919</v>
      </c>
      <c r="S506" s="17">
        <f>$I506/HSP!$E$5</f>
        <v>0.87518491686772748</v>
      </c>
      <c r="T506" s="17">
        <f>$J506/HSP!$E$6</f>
        <v>0.89972045411016011</v>
      </c>
      <c r="U506" s="18" t="s">
        <v>994</v>
      </c>
      <c r="V506" s="12"/>
      <c r="W506" s="12"/>
      <c r="X506" s="12"/>
      <c r="Y506" s="12"/>
      <c r="Z506" s="12"/>
    </row>
    <row r="507" spans="1:26" ht="15" customHeight="1" x14ac:dyDescent="0.3">
      <c r="A507" s="26" t="s">
        <v>996</v>
      </c>
      <c r="B507" s="17">
        <v>18.8</v>
      </c>
      <c r="C507" s="17">
        <v>12</v>
      </c>
      <c r="D507" s="17">
        <v>6</v>
      </c>
      <c r="E507" s="17">
        <v>11.5</v>
      </c>
      <c r="F507" s="17">
        <f>SQRT((4*(HSP!$B$2-$B507)^2+(HSP!$C$2-$C507)^2+(HSP!$D$2-$D507)^2))</f>
        <v>8.596045602484903</v>
      </c>
      <c r="G507" s="17">
        <f>SQRT((4*(HSP!$B$3-$B507)^2+(HSP!$C$3-$C507)^2+(HSP!$D$3-$D507)^2))</f>
        <v>6.6480373043478052</v>
      </c>
      <c r="H507" s="17">
        <f>SQRT((4*(HSP!$B$4-$B507)^2+(HSP!$C$4-$C507)^2+(HSP!$D$4-$D507)^2))</f>
        <v>10.340696301506975</v>
      </c>
      <c r="I507" s="17">
        <f>SQRT((4*(HSP!$B$5-$B507)^2+(HSP!$C$5-$C507)^2+(HSP!$D$5-$D507)^2))</f>
        <v>8.6410010994097224</v>
      </c>
      <c r="J507" s="17">
        <f>SQRT((4*(HSP!$B$6-$B507)^2+(HSP!$C$6-$C507)^2+(HSP!$D$6-$D507)^2))</f>
        <v>9.2461343273824461</v>
      </c>
      <c r="K507" s="17">
        <f t="shared" si="0"/>
        <v>0.74748222630303507</v>
      </c>
      <c r="L507" s="17">
        <f t="shared" si="1"/>
        <v>0.57809020037807002</v>
      </c>
      <c r="M507" s="17">
        <f t="shared" si="2"/>
        <v>0.89919098273973697</v>
      </c>
      <c r="N507" s="17">
        <f t="shared" si="3"/>
        <v>0.75139139994867155</v>
      </c>
      <c r="O507" s="17">
        <f t="shared" si="4"/>
        <v>0.80401168064195183</v>
      </c>
      <c r="P507" s="17">
        <f>$F507/HSP!$E$2</f>
        <v>0.52736476088864437</v>
      </c>
      <c r="Q507" s="17">
        <f>$G507/HSP!$E$3</f>
        <v>0.49244720772946704</v>
      </c>
      <c r="R507" s="17">
        <f>$H507/HSP!$E$4</f>
        <v>0.65035825795641355</v>
      </c>
      <c r="S507" s="17">
        <f>$I507/HSP!$E$5</f>
        <v>0.63073000725618411</v>
      </c>
      <c r="T507" s="17">
        <f>$J507/HSP!$E$6</f>
        <v>0.62473880590421926</v>
      </c>
      <c r="U507" s="18" t="s">
        <v>994</v>
      </c>
      <c r="V507" s="12"/>
      <c r="W507" s="12"/>
      <c r="X507" s="12"/>
      <c r="Y507" s="12"/>
      <c r="Z507" s="12"/>
    </row>
    <row r="508" spans="1:26" ht="15" customHeight="1" x14ac:dyDescent="0.3">
      <c r="A508" s="26" t="s">
        <v>997</v>
      </c>
      <c r="B508" s="17">
        <v>17.7</v>
      </c>
      <c r="C508" s="17">
        <v>13</v>
      </c>
      <c r="D508" s="17">
        <v>7.6</v>
      </c>
      <c r="E508" s="17">
        <v>11.5</v>
      </c>
      <c r="F508" s="17">
        <f>SQRT((4*(HSP!$B$2-$B508)^2+(HSP!$C$2-$C508)^2+(HSP!$D$2-$D508)^2))</f>
        <v>6.7287443107908311</v>
      </c>
      <c r="G508" s="17">
        <f>SQRT((4*(HSP!$B$3-$B508)^2+(HSP!$C$3-$C508)^2+(HSP!$D$3-$D508)^2))</f>
        <v>5.521267970312616</v>
      </c>
      <c r="H508" s="17">
        <f>SQRT((4*(HSP!$B$4-$B508)^2+(HSP!$C$4-$C508)^2+(HSP!$D$4-$D508)^2))</f>
        <v>9.7706703966513988</v>
      </c>
      <c r="I508" s="17">
        <f>SQRT((4*(HSP!$B$5-$B508)^2+(HSP!$C$5-$C508)^2+(HSP!$D$5-$D508)^2))</f>
        <v>5.898042048002031</v>
      </c>
      <c r="J508" s="17">
        <f>SQRT((4*(HSP!$B$6-$B508)^2+(HSP!$C$6-$C508)^2+(HSP!$D$6-$D508)^2))</f>
        <v>8.991495982315735</v>
      </c>
      <c r="K508" s="17">
        <f t="shared" si="0"/>
        <v>0.58510820093833316</v>
      </c>
      <c r="L508" s="17">
        <f t="shared" si="1"/>
        <v>0.48011025828805354</v>
      </c>
      <c r="M508" s="17">
        <f t="shared" si="2"/>
        <v>0.84962351275229553</v>
      </c>
      <c r="N508" s="17">
        <f t="shared" si="3"/>
        <v>0.51287322156539406</v>
      </c>
      <c r="O508" s="17">
        <f t="shared" si="4"/>
        <v>0.78186921585354219</v>
      </c>
      <c r="P508" s="17">
        <f>$F508/HSP!$E$2</f>
        <v>0.41280639943502029</v>
      </c>
      <c r="Q508" s="17">
        <f>$G508/HSP!$E$3</f>
        <v>0.40898281261574931</v>
      </c>
      <c r="R508" s="17">
        <f>$H508/HSP!$E$4</f>
        <v>0.61450757211644014</v>
      </c>
      <c r="S508" s="17">
        <f>$I508/HSP!$E$5</f>
        <v>0.43051401810233808</v>
      </c>
      <c r="T508" s="17">
        <f>$J508/HSP!$E$6</f>
        <v>0.60753351231863073</v>
      </c>
      <c r="U508" s="18" t="s">
        <v>473</v>
      </c>
      <c r="V508" s="12"/>
      <c r="W508" s="12"/>
      <c r="X508" s="12"/>
      <c r="Y508" s="12"/>
      <c r="Z508" s="12"/>
    </row>
    <row r="509" spans="1:26" ht="15" customHeight="1" x14ac:dyDescent="0.3">
      <c r="A509" s="26" t="s">
        <v>998</v>
      </c>
      <c r="B509" s="17">
        <v>20</v>
      </c>
      <c r="C509" s="17">
        <v>8.3000000000000007</v>
      </c>
      <c r="D509" s="17">
        <v>6.7</v>
      </c>
      <c r="E509" s="17">
        <v>9.4</v>
      </c>
      <c r="F509" s="17">
        <f>SQRT((4*(HSP!$B$2-$B509)^2+(HSP!$C$2-$C509)^2+(HSP!$D$2-$D509)^2))</f>
        <v>11.017440719150706</v>
      </c>
      <c r="G509" s="17">
        <f>SQRT((4*(HSP!$B$3-$B509)^2+(HSP!$C$3-$C509)^2+(HSP!$D$3-$D509)^2))</f>
        <v>8.7708836498952607</v>
      </c>
      <c r="H509" s="17">
        <f>SQRT((4*(HSP!$B$4-$B509)^2+(HSP!$C$4-$C509)^2+(HSP!$D$4-$D509)^2))</f>
        <v>10.316491651719591</v>
      </c>
      <c r="I509" s="17">
        <f>SQRT((4*(HSP!$B$5-$B509)^2+(HSP!$C$5-$C509)^2+(HSP!$D$5-$D509)^2))</f>
        <v>11.265917627960894</v>
      </c>
      <c r="J509" s="17">
        <f>SQRT((4*(HSP!$B$6-$B509)^2+(HSP!$C$6-$C509)^2+(HSP!$D$6-$D509)^2))</f>
        <v>10.055396561051186</v>
      </c>
      <c r="K509" s="17">
        <f t="shared" si="0"/>
        <v>1.1720681616117772</v>
      </c>
      <c r="L509" s="17">
        <f t="shared" si="1"/>
        <v>0.93307272871226177</v>
      </c>
      <c r="M509" s="17">
        <f t="shared" si="2"/>
        <v>1.0974991118850628</v>
      </c>
      <c r="N509" s="17">
        <f t="shared" si="3"/>
        <v>1.1985018753149888</v>
      </c>
      <c r="O509" s="17">
        <f t="shared" si="4"/>
        <v>1.0697230384097005</v>
      </c>
      <c r="P509" s="17">
        <f>$F509/HSP!$E$2</f>
        <v>0.67591660853685309</v>
      </c>
      <c r="Q509" s="17">
        <f>$G509/HSP!$E$3</f>
        <v>0.64969508517742669</v>
      </c>
      <c r="R509" s="17">
        <f>$H509/HSP!$E$4</f>
        <v>0.64883595293833907</v>
      </c>
      <c r="S509" s="17">
        <f>$I509/HSP!$E$5</f>
        <v>0.82232975386575868</v>
      </c>
      <c r="T509" s="17">
        <f>$J509/HSP!$E$6</f>
        <v>0.67941868655751259</v>
      </c>
      <c r="U509" s="18" t="s">
        <v>473</v>
      </c>
      <c r="V509" s="12"/>
      <c r="W509" s="12"/>
      <c r="X509" s="12"/>
      <c r="Y509" s="12"/>
      <c r="Z509" s="12"/>
    </row>
    <row r="510" spans="1:26" ht="15" customHeight="1" x14ac:dyDescent="0.3">
      <c r="A510" s="26" t="s">
        <v>999</v>
      </c>
      <c r="B510" s="17">
        <v>20</v>
      </c>
      <c r="C510" s="17">
        <v>8.3000000000000007</v>
      </c>
      <c r="D510" s="17">
        <v>6.7</v>
      </c>
      <c r="E510" s="17">
        <v>9.4</v>
      </c>
      <c r="F510" s="17">
        <f>SQRT((4*(HSP!$B$2-$B510)^2+(HSP!$C$2-$C510)^2+(HSP!$D$2-$D510)^2))</f>
        <v>11.017440719150706</v>
      </c>
      <c r="G510" s="17">
        <f>SQRT((4*(HSP!$B$3-$B510)^2+(HSP!$C$3-$C510)^2+(HSP!$D$3-$D510)^2))</f>
        <v>8.7708836498952607</v>
      </c>
      <c r="H510" s="17">
        <f>SQRT((4*(HSP!$B$4-$B510)^2+(HSP!$C$4-$C510)^2+(HSP!$D$4-$D510)^2))</f>
        <v>10.316491651719591</v>
      </c>
      <c r="I510" s="17">
        <f>SQRT((4*(HSP!$B$5-$B510)^2+(HSP!$C$5-$C510)^2+(HSP!$D$5-$D510)^2))</f>
        <v>11.265917627960894</v>
      </c>
      <c r="J510" s="17">
        <f>SQRT((4*(HSP!$B$6-$B510)^2+(HSP!$C$6-$C510)^2+(HSP!$D$6-$D510)^2))</f>
        <v>10.055396561051186</v>
      </c>
      <c r="K510" s="17">
        <f t="shared" si="0"/>
        <v>1.1720681616117772</v>
      </c>
      <c r="L510" s="17">
        <f t="shared" si="1"/>
        <v>0.93307272871226177</v>
      </c>
      <c r="M510" s="17">
        <f t="shared" si="2"/>
        <v>1.0974991118850628</v>
      </c>
      <c r="N510" s="17">
        <f t="shared" si="3"/>
        <v>1.1985018753149888</v>
      </c>
      <c r="O510" s="17">
        <f t="shared" si="4"/>
        <v>1.0697230384097005</v>
      </c>
      <c r="P510" s="17">
        <f>$F510/HSP!$E$2</f>
        <v>0.67591660853685309</v>
      </c>
      <c r="Q510" s="17">
        <f>$G510/HSP!$E$3</f>
        <v>0.64969508517742669</v>
      </c>
      <c r="R510" s="17">
        <f>$H510/HSP!$E$4</f>
        <v>0.64883595293833907</v>
      </c>
      <c r="S510" s="17">
        <f>$I510/HSP!$E$5</f>
        <v>0.82232975386575868</v>
      </c>
      <c r="T510" s="17">
        <f>$J510/HSP!$E$6</f>
        <v>0.67941868655751259</v>
      </c>
      <c r="U510" s="18" t="s">
        <v>654</v>
      </c>
      <c r="V510" s="12"/>
      <c r="W510" s="12"/>
      <c r="X510" s="12"/>
      <c r="Y510" s="12"/>
      <c r="Z510" s="12"/>
    </row>
    <row r="511" spans="1:26" ht="15" customHeight="1" x14ac:dyDescent="0.3">
      <c r="A511" s="26" t="s">
        <v>1000</v>
      </c>
      <c r="B511" s="17">
        <v>18.399999999999999</v>
      </c>
      <c r="C511" s="17">
        <v>7.6</v>
      </c>
      <c r="D511" s="17">
        <v>6.7</v>
      </c>
      <c r="E511" s="17">
        <v>6.8</v>
      </c>
      <c r="F511" s="17">
        <f>SQRT((4*(HSP!$B$2-$B511)^2+(HSP!$C$2-$C511)^2+(HSP!$D$2-$D511)^2))</f>
        <v>8.1251461525316575</v>
      </c>
      <c r="G511" s="17">
        <f>SQRT((4*(HSP!$B$3-$B511)^2+(HSP!$C$3-$C511)^2+(HSP!$D$3-$D511)^2))</f>
        <v>5.864673903977951</v>
      </c>
      <c r="H511" s="17">
        <f>SQRT((4*(HSP!$B$4-$B511)^2+(HSP!$C$4-$C511)^2+(HSP!$D$4-$D511)^2))</f>
        <v>7.0899929478103125</v>
      </c>
      <c r="I511" s="17">
        <f>SQRT((4*(HSP!$B$5-$B511)^2+(HSP!$C$5-$C511)^2+(HSP!$D$5-$D511)^2))</f>
        <v>9.1266039686183369</v>
      </c>
      <c r="J511" s="17">
        <f>SQRT((4*(HSP!$B$6-$B511)^2+(HSP!$C$6-$C511)^2+(HSP!$D$6-$D511)^2))</f>
        <v>6.9770337536807121</v>
      </c>
      <c r="K511" s="17">
        <f t="shared" si="0"/>
        <v>1.1948744341958319</v>
      </c>
      <c r="L511" s="17">
        <f t="shared" si="1"/>
        <v>0.86245204470263992</v>
      </c>
      <c r="M511" s="17">
        <f t="shared" si="2"/>
        <v>1.0426460217368108</v>
      </c>
      <c r="N511" s="17">
        <f t="shared" si="3"/>
        <v>1.3421476424438732</v>
      </c>
      <c r="O511" s="17">
        <f t="shared" si="4"/>
        <v>1.0260343755412813</v>
      </c>
      <c r="P511" s="17">
        <f>$F511/HSP!$E$2</f>
        <v>0.49847522408169676</v>
      </c>
      <c r="Q511" s="17">
        <f>$G511/HSP!$E$3</f>
        <v>0.43442028918355191</v>
      </c>
      <c r="R511" s="17">
        <f>$H511/HSP!$E$4</f>
        <v>0.44591150615159197</v>
      </c>
      <c r="S511" s="17">
        <f>$I511/HSP!$E$5</f>
        <v>0.66617547216192241</v>
      </c>
      <c r="T511" s="17">
        <f>$J511/HSP!$E$6</f>
        <v>0.47142119957302109</v>
      </c>
      <c r="U511" s="18" t="s">
        <v>654</v>
      </c>
      <c r="V511" s="12"/>
      <c r="W511" s="12"/>
      <c r="X511" s="12"/>
      <c r="Y511" s="12"/>
      <c r="Z511" s="12"/>
    </row>
    <row r="512" spans="1:26" ht="15" customHeight="1" x14ac:dyDescent="0.3">
      <c r="A512" s="26" t="s">
        <v>1001</v>
      </c>
      <c r="B512" s="17">
        <v>17.399999999999999</v>
      </c>
      <c r="C512" s="17">
        <v>10</v>
      </c>
      <c r="D512" s="17">
        <v>13</v>
      </c>
      <c r="E512" s="17">
        <v>10.5</v>
      </c>
      <c r="F512" s="17">
        <f>SQRT((4*(HSP!$B$2-$B512)^2+(HSP!$C$2-$C512)^2+(HSP!$D$2-$D512)^2))</f>
        <v>8.2348041871073026</v>
      </c>
      <c r="G512" s="17">
        <f>SQRT((4*(HSP!$B$3-$B512)^2+(HSP!$C$3-$C512)^2+(HSP!$D$3-$D512)^2))</f>
        <v>7.9601758774539642</v>
      </c>
      <c r="H512" s="17">
        <f>SQRT((4*(HSP!$B$4-$B512)^2+(HSP!$C$4-$C512)^2+(HSP!$D$4-$D512)^2))</f>
        <v>9.3077387157139295</v>
      </c>
      <c r="I512" s="17">
        <f>SQRT((4*(HSP!$B$5-$B512)^2+(HSP!$C$5-$C512)^2+(HSP!$D$5-$D512)^2))</f>
        <v>5.4617671133068262</v>
      </c>
      <c r="J512" s="17">
        <f>SQRT((4*(HSP!$B$6-$B512)^2+(HSP!$C$6-$C512)^2+(HSP!$D$6-$D512)^2))</f>
        <v>10.705839528033287</v>
      </c>
      <c r="K512" s="17">
        <f t="shared" si="0"/>
        <v>0.78426706543879077</v>
      </c>
      <c r="L512" s="17">
        <f t="shared" si="1"/>
        <v>0.75811198832894899</v>
      </c>
      <c r="M512" s="17">
        <f t="shared" si="2"/>
        <v>0.88645130625846946</v>
      </c>
      <c r="N512" s="17">
        <f t="shared" si="3"/>
        <v>0.52016829650541196</v>
      </c>
      <c r="O512" s="17">
        <f t="shared" si="4"/>
        <v>1.0196037645745988</v>
      </c>
      <c r="P512" s="17">
        <f>$F512/HSP!$E$2</f>
        <v>0.50520271086547863</v>
      </c>
      <c r="Q512" s="17">
        <f>$G512/HSP!$E$3</f>
        <v>0.58964265758918255</v>
      </c>
      <c r="R512" s="17">
        <f>$H512/HSP!$E$4</f>
        <v>0.58539237205747985</v>
      </c>
      <c r="S512" s="17">
        <f>$I512/HSP!$E$5</f>
        <v>0.39866913235816254</v>
      </c>
      <c r="T512" s="17">
        <f>$J512/HSP!$E$6</f>
        <v>0.72336753567792478</v>
      </c>
      <c r="U512" s="18" t="s">
        <v>654</v>
      </c>
      <c r="V512" s="12"/>
      <c r="W512" s="12"/>
      <c r="X512" s="12"/>
      <c r="Y512" s="12"/>
      <c r="Z512" s="12"/>
    </row>
    <row r="513" spans="1:26" ht="15" customHeight="1" x14ac:dyDescent="0.3">
      <c r="A513" s="26" t="s">
        <v>1002</v>
      </c>
      <c r="B513" s="17">
        <v>16.399999999999999</v>
      </c>
      <c r="C513" s="17">
        <v>3.7</v>
      </c>
      <c r="D513" s="17">
        <v>4.5</v>
      </c>
      <c r="E513" s="17">
        <v>10</v>
      </c>
      <c r="F513" s="17">
        <f>SQRT((4*(HSP!$B$2-$B513)^2+(HSP!$C$2-$C513)^2+(HSP!$D$2-$D513)^2))</f>
        <v>8.0503416076586465</v>
      </c>
      <c r="G513" s="17">
        <f>SQRT((4*(HSP!$B$3-$B513)^2+(HSP!$C$3-$C513)^2+(HSP!$D$3-$D513)^2))</f>
        <v>6.2674077575980327</v>
      </c>
      <c r="H513" s="17">
        <f>SQRT((4*(HSP!$B$4-$B513)^2+(HSP!$C$4-$C513)^2+(HSP!$D$4-$D513)^2))</f>
        <v>3.5074207047344612</v>
      </c>
      <c r="I513" s="17">
        <f>SQRT((4*(HSP!$B$5-$B513)^2+(HSP!$C$5-$C513)^2+(HSP!$D$5-$D513)^2))</f>
        <v>11.305436745212456</v>
      </c>
      <c r="J513" s="17">
        <f>SQRT((4*(HSP!$B$6-$B513)^2+(HSP!$C$6-$C513)^2+(HSP!$D$6-$D513)^2))</f>
        <v>3.6031930284124369</v>
      </c>
      <c r="K513" s="17">
        <f t="shared" si="0"/>
        <v>0.80503416076586465</v>
      </c>
      <c r="L513" s="17">
        <f t="shared" si="1"/>
        <v>0.62674077575980325</v>
      </c>
      <c r="M513" s="17">
        <f t="shared" si="2"/>
        <v>0.35074207047344613</v>
      </c>
      <c r="N513" s="17">
        <f t="shared" si="3"/>
        <v>1.1305436745212456</v>
      </c>
      <c r="O513" s="17">
        <f t="shared" si="4"/>
        <v>0.36031930284124369</v>
      </c>
      <c r="P513" s="17">
        <f>$F513/HSP!$E$2</f>
        <v>0.49388598819991691</v>
      </c>
      <c r="Q513" s="17">
        <f>$G513/HSP!$E$3</f>
        <v>0.46425242648874315</v>
      </c>
      <c r="R513" s="17">
        <f>$H513/HSP!$E$4</f>
        <v>0.22059249715311077</v>
      </c>
      <c r="S513" s="17">
        <f>$I513/HSP!$E$5</f>
        <v>0.82521436096441281</v>
      </c>
      <c r="T513" s="17">
        <f>$J513/HSP!$E$6</f>
        <v>0.24345898840624572</v>
      </c>
      <c r="U513" s="18" t="s">
        <v>452</v>
      </c>
      <c r="V513" s="12"/>
      <c r="W513" s="12"/>
      <c r="X513" s="12"/>
      <c r="Y513" s="12"/>
      <c r="Z513" s="12"/>
    </row>
    <row r="514" spans="1:26" ht="15" customHeight="1" x14ac:dyDescent="0.3">
      <c r="A514" s="26" t="s">
        <v>1003</v>
      </c>
      <c r="B514" s="17">
        <v>22.9</v>
      </c>
      <c r="C514" s="17">
        <v>18.3</v>
      </c>
      <c r="D514" s="17">
        <v>7.7</v>
      </c>
      <c r="E514" s="17">
        <v>20.399999999999999</v>
      </c>
      <c r="F514" s="17">
        <f>SQRT((4*(HSP!$B$2-$B514)^2+(HSP!$C$2-$C514)^2+(HSP!$D$2-$D514)^2))</f>
        <v>18.372370560164519</v>
      </c>
      <c r="G514" s="17">
        <f>SQRT((4*(HSP!$B$3-$B514)^2+(HSP!$C$3-$C514)^2+(HSP!$D$3-$D514)^2))</f>
        <v>16.915093851350633</v>
      </c>
      <c r="H514" s="17">
        <f>SQRT((4*(HSP!$B$4-$B514)^2+(HSP!$C$4-$C514)^2+(HSP!$D$4-$D514)^2))</f>
        <v>20.623433273827128</v>
      </c>
      <c r="I514" s="17">
        <f>SQRT((4*(HSP!$B$5-$B514)^2+(HSP!$C$5-$C514)^2+(HSP!$D$5-$D514)^2))</f>
        <v>16.566137147808476</v>
      </c>
      <c r="J514" s="17">
        <f>SQRT((4*(HSP!$B$6-$B514)^2+(HSP!$C$6-$C514)^2+(HSP!$D$6-$D514)^2))</f>
        <v>19.712610177244411</v>
      </c>
      <c r="K514" s="17">
        <f t="shared" si="0"/>
        <v>0.90060640000806469</v>
      </c>
      <c r="L514" s="17">
        <f t="shared" si="1"/>
        <v>0.82917126722307033</v>
      </c>
      <c r="M514" s="17">
        <f t="shared" si="2"/>
        <v>1.0109526114621141</v>
      </c>
      <c r="N514" s="17">
        <f t="shared" si="3"/>
        <v>0.81206554646119988</v>
      </c>
      <c r="O514" s="17">
        <f t="shared" si="4"/>
        <v>0.96630442045315745</v>
      </c>
      <c r="P514" s="17">
        <f>$F514/HSP!$E$2</f>
        <v>1.1271392981696025</v>
      </c>
      <c r="Q514" s="17">
        <f>$G514/HSP!$E$3</f>
        <v>1.2529699149148616</v>
      </c>
      <c r="R514" s="17">
        <f>$H514/HSP!$E$4</f>
        <v>1.2970712750834672</v>
      </c>
      <c r="S514" s="17">
        <f>$I514/HSP!$E$5</f>
        <v>1.2092070910809107</v>
      </c>
      <c r="T514" s="17">
        <f>$J514/HSP!$E$6</f>
        <v>1.3319331200840818</v>
      </c>
      <c r="U514" s="18" t="s">
        <v>471</v>
      </c>
      <c r="V514" s="12"/>
      <c r="W514" s="12"/>
      <c r="X514" s="12"/>
      <c r="Y514" s="12"/>
      <c r="Z514" s="12"/>
    </row>
    <row r="515" spans="1:26" ht="15" customHeight="1" x14ac:dyDescent="0.3">
      <c r="A515" s="26" t="s">
        <v>1004</v>
      </c>
      <c r="B515" s="17">
        <v>17.100000000000001</v>
      </c>
      <c r="C515" s="17">
        <v>10.4</v>
      </c>
      <c r="D515" s="17">
        <v>6.5</v>
      </c>
      <c r="E515" s="17">
        <v>7.5</v>
      </c>
      <c r="F515" s="17">
        <f>SQRT((4*(HSP!$B$2-$B515)^2+(HSP!$C$2-$C515)^2+(HSP!$D$2-$D515)^2))</f>
        <v>5.0233454987687276</v>
      </c>
      <c r="G515" s="17">
        <f>SQRT((4*(HSP!$B$3-$B515)^2+(HSP!$C$3-$C515)^2+(HSP!$D$3-$D515)^2))</f>
        <v>2.9937267744401828</v>
      </c>
      <c r="H515" s="17">
        <f>SQRT((4*(HSP!$B$4-$B515)^2+(HSP!$C$4-$C515)^2+(HSP!$D$4-$D515)^2))</f>
        <v>6.9070977986416286</v>
      </c>
      <c r="I515" s="17">
        <f>SQRT((4*(HSP!$B$5-$B515)^2+(HSP!$C$5-$C515)^2+(HSP!$D$5-$D515)^2))</f>
        <v>6.1970073422580372</v>
      </c>
      <c r="J515" s="17">
        <f>SQRT((4*(HSP!$B$6-$B515)^2+(HSP!$C$6-$C515)^2+(HSP!$D$6-$D515)^2))</f>
        <v>6.0148981703766218</v>
      </c>
      <c r="K515" s="17">
        <f t="shared" si="0"/>
        <v>0.66977939983583035</v>
      </c>
      <c r="L515" s="17">
        <f t="shared" si="1"/>
        <v>0.39916356992535768</v>
      </c>
      <c r="M515" s="17">
        <f t="shared" si="2"/>
        <v>0.92094637315221717</v>
      </c>
      <c r="N515" s="17">
        <f t="shared" si="3"/>
        <v>0.82626764563440491</v>
      </c>
      <c r="O515" s="17">
        <f t="shared" si="4"/>
        <v>0.80198642271688292</v>
      </c>
      <c r="P515" s="17">
        <f>$F515/HSP!$E$2</f>
        <v>0.30818070544593418</v>
      </c>
      <c r="Q515" s="17">
        <f>$G515/HSP!$E$3</f>
        <v>0.22175753884742094</v>
      </c>
      <c r="R515" s="17">
        <f>$H515/HSP!$E$4</f>
        <v>0.4344086665812345</v>
      </c>
      <c r="S515" s="17">
        <f>$I515/HSP!$E$5</f>
        <v>0.45233630235460126</v>
      </c>
      <c r="T515" s="17">
        <f>$J515/HSP!$E$6</f>
        <v>0.40641203853896091</v>
      </c>
      <c r="U515" s="18" t="s">
        <v>654</v>
      </c>
      <c r="V515" s="12"/>
      <c r="W515" s="12"/>
      <c r="X515" s="12"/>
      <c r="Y515" s="12"/>
      <c r="Z515" s="12"/>
    </row>
    <row r="516" spans="1:26" ht="15" customHeight="1" x14ac:dyDescent="0.3">
      <c r="A516" s="26" t="s">
        <v>1005</v>
      </c>
      <c r="B516" s="17">
        <v>16.5</v>
      </c>
      <c r="C516" s="17">
        <v>10.9</v>
      </c>
      <c r="D516" s="17">
        <v>6.4</v>
      </c>
      <c r="E516" s="17">
        <v>7.7</v>
      </c>
      <c r="F516" s="17">
        <f>SQRT((4*(HSP!$B$2-$B516)^2+(HSP!$C$2-$C516)^2+(HSP!$D$2-$D516)^2))</f>
        <v>3.8691084244306211</v>
      </c>
      <c r="G516" s="17">
        <f>SQRT((4*(HSP!$B$3-$B516)^2+(HSP!$C$3-$C516)^2+(HSP!$D$3-$D516)^2))</f>
        <v>2.1209431864149506</v>
      </c>
      <c r="H516" s="17">
        <f>SQRT((4*(HSP!$B$4-$B516)^2+(HSP!$C$4-$C516)^2+(HSP!$D$4-$D516)^2))</f>
        <v>6.7767248726800178</v>
      </c>
      <c r="I516" s="17">
        <f>SQRT((4*(HSP!$B$5-$B516)^2+(HSP!$C$5-$C516)^2+(HSP!$D$5-$D516)^2))</f>
        <v>5.4667083331745436</v>
      </c>
      <c r="J516" s="17">
        <f>SQRT((4*(HSP!$B$6-$B516)^2+(HSP!$C$6-$C516)^2+(HSP!$D$6-$D516)^2))</f>
        <v>5.7039460025494639</v>
      </c>
      <c r="K516" s="17">
        <f t="shared" si="0"/>
        <v>0.50248161356241827</v>
      </c>
      <c r="L516" s="17">
        <f t="shared" si="1"/>
        <v>0.27544716706687672</v>
      </c>
      <c r="M516" s="17">
        <f t="shared" si="2"/>
        <v>0.88009413930909319</v>
      </c>
      <c r="N516" s="17">
        <f t="shared" si="3"/>
        <v>0.70996212119149915</v>
      </c>
      <c r="O516" s="17">
        <f t="shared" si="4"/>
        <v>0.74077220812330702</v>
      </c>
      <c r="P516" s="17">
        <f>$F516/HSP!$E$2</f>
        <v>0.2373686149957436</v>
      </c>
      <c r="Q516" s="17">
        <f>$G516/HSP!$E$3</f>
        <v>0.15710690269740374</v>
      </c>
      <c r="R516" s="17">
        <f>$H516/HSP!$E$4</f>
        <v>0.42620911148930929</v>
      </c>
      <c r="S516" s="17">
        <f>$I516/HSP!$E$5</f>
        <v>0.39902980534120758</v>
      </c>
      <c r="T516" s="17">
        <f>$J516/HSP!$E$6</f>
        <v>0.38540175692901779</v>
      </c>
      <c r="U516" s="18" t="s">
        <v>654</v>
      </c>
      <c r="V516" s="12"/>
      <c r="W516" s="12"/>
      <c r="X516" s="12"/>
      <c r="Y516" s="12"/>
      <c r="Z516" s="12"/>
    </row>
    <row r="517" spans="1:26" ht="15" customHeight="1" x14ac:dyDescent="0.3">
      <c r="A517" s="26" t="s">
        <v>1005</v>
      </c>
      <c r="B517" s="17">
        <v>17</v>
      </c>
      <c r="C517" s="17">
        <v>7.8</v>
      </c>
      <c r="D517" s="17">
        <v>6.8</v>
      </c>
      <c r="E517" s="17">
        <v>7.1</v>
      </c>
      <c r="F517" s="17">
        <f>SQRT((4*(HSP!$B$2-$B517)^2+(HSP!$C$2-$C517)^2+(HSP!$D$2-$D517)^2))</f>
        <v>5.490719442841713</v>
      </c>
      <c r="G517" s="17">
        <f>SQRT((4*(HSP!$B$3-$B517)^2+(HSP!$C$3-$C517)^2+(HSP!$D$3-$D517)^2))</f>
        <v>3.3592261013513225</v>
      </c>
      <c r="H517" s="17">
        <f>SQRT((4*(HSP!$B$4-$B517)^2+(HSP!$C$4-$C517)^2+(HSP!$D$4-$D517)^2))</f>
        <v>4.8093658625644196</v>
      </c>
      <c r="I517" s="17">
        <f>SQRT((4*(HSP!$B$5-$B517)^2+(HSP!$C$5-$C517)^2+(HSP!$D$5-$D517)^2))</f>
        <v>7.2962250513536118</v>
      </c>
      <c r="J517" s="17">
        <f>SQRT((4*(HSP!$B$6-$B517)^2+(HSP!$C$6-$C517)^2+(HSP!$D$6-$D517)^2))</f>
        <v>4.7487893193949979</v>
      </c>
      <c r="K517" s="17">
        <f t="shared" si="0"/>
        <v>0.77334076659742446</v>
      </c>
      <c r="L517" s="17">
        <f t="shared" si="1"/>
        <v>0.47313043681004546</v>
      </c>
      <c r="M517" s="17">
        <f t="shared" si="2"/>
        <v>0.67737547360062256</v>
      </c>
      <c r="N517" s="17">
        <f t="shared" si="3"/>
        <v>1.0276373311765652</v>
      </c>
      <c r="O517" s="17">
        <f t="shared" si="4"/>
        <v>0.6688435661119716</v>
      </c>
      <c r="P517" s="17">
        <f>$F517/HSP!$E$2</f>
        <v>0.33685395354857134</v>
      </c>
      <c r="Q517" s="17">
        <f>$G517/HSP!$E$3</f>
        <v>0.24883156306306092</v>
      </c>
      <c r="R517" s="17">
        <f>$H517/HSP!$E$4</f>
        <v>0.30247584041285658</v>
      </c>
      <c r="S517" s="17">
        <f>$I517/HSP!$E$5</f>
        <v>0.53257117163165058</v>
      </c>
      <c r="T517" s="17">
        <f>$J517/HSP!$E$6</f>
        <v>0.32086414320236473</v>
      </c>
      <c r="U517" s="18" t="s">
        <v>471</v>
      </c>
      <c r="V517" s="12"/>
      <c r="W517" s="12"/>
      <c r="X517" s="12"/>
      <c r="Y517" s="12"/>
      <c r="Z517" s="12"/>
    </row>
    <row r="518" spans="1:26" ht="15" customHeight="1" x14ac:dyDescent="0.3">
      <c r="A518" s="26" t="s">
        <v>1006</v>
      </c>
      <c r="B518" s="17">
        <v>17.7</v>
      </c>
      <c r="C518" s="17">
        <v>11.1</v>
      </c>
      <c r="D518" s="17">
        <v>6.9</v>
      </c>
      <c r="E518" s="17">
        <v>8.6999999999999993</v>
      </c>
      <c r="F518" s="17">
        <f>SQRT((4*(HSP!$B$2-$B518)^2+(HSP!$C$2-$C518)^2+(HSP!$D$2-$D518)^2))</f>
        <v>6.2334581092680796</v>
      </c>
      <c r="G518" s="17">
        <f>SQRT((4*(HSP!$B$3-$B518)^2+(HSP!$C$3-$C518)^2+(HSP!$D$3-$D518)^2))</f>
        <v>4.4045885165359087</v>
      </c>
      <c r="H518" s="17">
        <f>SQRT((4*(HSP!$B$4-$B518)^2+(HSP!$C$4-$C518)^2+(HSP!$D$4-$D518)^2))</f>
        <v>8.1749617736109315</v>
      </c>
      <c r="I518" s="17">
        <f>SQRT((4*(HSP!$B$5-$B518)^2+(HSP!$C$5-$C518)^2+(HSP!$D$5-$D518)^2))</f>
        <v>6.5180441851831592</v>
      </c>
      <c r="J518" s="17">
        <f>SQRT((4*(HSP!$B$6-$B518)^2+(HSP!$C$6-$C518)^2+(HSP!$D$6-$D518)^2))</f>
        <v>7.3980402810474066</v>
      </c>
      <c r="K518" s="17">
        <f t="shared" si="0"/>
        <v>0.71648943784690577</v>
      </c>
      <c r="L518" s="17">
        <f t="shared" si="1"/>
        <v>0.50627454213056422</v>
      </c>
      <c r="M518" s="17">
        <f t="shared" si="2"/>
        <v>0.93965077857596924</v>
      </c>
      <c r="N518" s="17">
        <f t="shared" si="3"/>
        <v>0.74920048105553561</v>
      </c>
      <c r="O518" s="17">
        <f t="shared" si="4"/>
        <v>0.85034945759165603</v>
      </c>
      <c r="P518" s="17">
        <f>$F518/HSP!$E$2</f>
        <v>0.38242074289988215</v>
      </c>
      <c r="Q518" s="17">
        <f>$G518/HSP!$E$3</f>
        <v>0.32626581603969695</v>
      </c>
      <c r="R518" s="17">
        <f>$H518/HSP!$E$4</f>
        <v>0.51414853922081327</v>
      </c>
      <c r="S518" s="17">
        <f>$I518/HSP!$E$5</f>
        <v>0.47576964855351528</v>
      </c>
      <c r="T518" s="17">
        <f>$J518/HSP!$E$6</f>
        <v>0.49986758655725716</v>
      </c>
      <c r="U518" s="18" t="s">
        <v>654</v>
      </c>
      <c r="V518" s="12"/>
      <c r="W518" s="12"/>
      <c r="X518" s="12"/>
      <c r="Y518" s="12"/>
      <c r="Z518" s="12"/>
    </row>
    <row r="519" spans="1:26" ht="15" customHeight="1" x14ac:dyDescent="0.3">
      <c r="A519" s="26" t="s">
        <v>1007</v>
      </c>
      <c r="B519" s="17">
        <v>17.600000000000001</v>
      </c>
      <c r="C519" s="17">
        <v>11.1</v>
      </c>
      <c r="D519" s="17">
        <v>6.8</v>
      </c>
      <c r="E519" s="17">
        <v>8.8000000000000007</v>
      </c>
      <c r="F519" s="17">
        <f>SQRT((4*(HSP!$B$2-$B519)^2+(HSP!$C$2-$C519)^2+(HSP!$D$2-$D519)^2))</f>
        <v>6.0367209642321589</v>
      </c>
      <c r="G519" s="17">
        <f>SQRT((4*(HSP!$B$3-$B519)^2+(HSP!$C$3-$C519)^2+(HSP!$D$3-$D519)^2))</f>
        <v>4.1983806401992698</v>
      </c>
      <c r="H519" s="17">
        <f>SQRT((4*(HSP!$B$4-$B519)^2+(HSP!$C$4-$C519)^2+(HSP!$D$4-$D519)^2))</f>
        <v>8.0520804764979861</v>
      </c>
      <c r="I519" s="17">
        <f>SQRT((4*(HSP!$B$5-$B519)^2+(HSP!$C$5-$C519)^2+(HSP!$D$5-$D519)^2))</f>
        <v>6.43404227527299</v>
      </c>
      <c r="J519" s="17">
        <f>SQRT((4*(HSP!$B$6-$B519)^2+(HSP!$C$6-$C519)^2+(HSP!$D$6-$D519)^2))</f>
        <v>7.2268250290151643</v>
      </c>
      <c r="K519" s="17">
        <f t="shared" si="0"/>
        <v>0.68599101866274526</v>
      </c>
      <c r="L519" s="17">
        <f t="shared" si="1"/>
        <v>0.47708870911355333</v>
      </c>
      <c r="M519" s="17">
        <f t="shared" si="2"/>
        <v>0.91500914505658926</v>
      </c>
      <c r="N519" s="17">
        <f t="shared" si="3"/>
        <v>0.73114116764465786</v>
      </c>
      <c r="O519" s="17">
        <f t="shared" si="4"/>
        <v>0.82123011693354131</v>
      </c>
      <c r="P519" s="17">
        <f>$F519/HSP!$E$2</f>
        <v>0.37035097940074591</v>
      </c>
      <c r="Q519" s="17">
        <f>$G519/HSP!$E$3</f>
        <v>0.31099115853327924</v>
      </c>
      <c r="R519" s="17">
        <f>$H519/HSP!$E$4</f>
        <v>0.50642015575459032</v>
      </c>
      <c r="S519" s="17">
        <f>$I519/HSP!$E$5</f>
        <v>0.46963812228270002</v>
      </c>
      <c r="T519" s="17">
        <f>$J519/HSP!$E$6</f>
        <v>0.48829898844697056</v>
      </c>
      <c r="U519" s="18" t="s">
        <v>654</v>
      </c>
      <c r="V519" s="12"/>
      <c r="W519" s="12"/>
      <c r="X519" s="12"/>
      <c r="Y519" s="12"/>
      <c r="Z519" s="12"/>
    </row>
    <row r="520" spans="1:26" ht="15" customHeight="1" x14ac:dyDescent="0.3">
      <c r="A520" s="26" t="s">
        <v>1008</v>
      </c>
      <c r="B520" s="17">
        <v>17.600000000000001</v>
      </c>
      <c r="C520" s="17">
        <v>11.1</v>
      </c>
      <c r="D520" s="17">
        <v>6.4</v>
      </c>
      <c r="E520" s="17">
        <v>8.6</v>
      </c>
      <c r="F520" s="17">
        <f>SQRT((4*(HSP!$B$2-$B520)^2+(HSP!$C$2-$C520)^2+(HSP!$D$2-$D520)^2))</f>
        <v>6.0618479030737848</v>
      </c>
      <c r="G520" s="17">
        <f>SQRT((4*(HSP!$B$3-$B520)^2+(HSP!$C$3-$C520)^2+(HSP!$D$3-$D520)^2))</f>
        <v>4.1233966580963362</v>
      </c>
      <c r="H520" s="17">
        <f>SQRT((4*(HSP!$B$4-$B520)^2+(HSP!$C$4-$C520)^2+(HSP!$D$4-$D520)^2))</f>
        <v>8.0620096750128027</v>
      </c>
      <c r="I520" s="17">
        <f>SQRT((4*(HSP!$B$5-$B520)^2+(HSP!$C$5-$C520)^2+(HSP!$D$5-$D520)^2))</f>
        <v>6.6978280061524442</v>
      </c>
      <c r="J520" s="17">
        <f>SQRT((4*(HSP!$B$6-$B520)^2+(HSP!$C$6-$C520)^2+(HSP!$D$6-$D520)^2))</f>
        <v>7.0729767425038261</v>
      </c>
      <c r="K520" s="17">
        <f t="shared" si="0"/>
        <v>0.70486603524113778</v>
      </c>
      <c r="L520" s="17">
        <f t="shared" si="1"/>
        <v>0.47946472768562048</v>
      </c>
      <c r="M520" s="17">
        <f t="shared" si="2"/>
        <v>0.93744298546660498</v>
      </c>
      <c r="N520" s="17">
        <f t="shared" si="3"/>
        <v>0.77881721001772608</v>
      </c>
      <c r="O520" s="17">
        <f t="shared" si="4"/>
        <v>0.8224391561050961</v>
      </c>
      <c r="P520" s="17">
        <f>$F520/HSP!$E$2</f>
        <v>0.37189250939102975</v>
      </c>
      <c r="Q520" s="17">
        <f>$G520/HSP!$E$3</f>
        <v>0.30543678948861747</v>
      </c>
      <c r="R520" s="17">
        <f>$H520/HSP!$E$4</f>
        <v>0.50704463364860397</v>
      </c>
      <c r="S520" s="17">
        <f>$I520/HSP!$E$5</f>
        <v>0.48889255519360908</v>
      </c>
      <c r="T520" s="17">
        <f>$J520/HSP!$E$6</f>
        <v>0.47790383395296121</v>
      </c>
      <c r="U520" s="18" t="s">
        <v>654</v>
      </c>
      <c r="V520" s="12"/>
      <c r="W520" s="12"/>
      <c r="X520" s="12"/>
      <c r="Y520" s="12"/>
      <c r="Z520" s="12"/>
    </row>
    <row r="521" spans="1:26" ht="15" customHeight="1" x14ac:dyDescent="0.3">
      <c r="A521" s="26" t="s">
        <v>1008</v>
      </c>
      <c r="B521" s="17">
        <v>18.3</v>
      </c>
      <c r="C521" s="17">
        <v>9.6999999999999993</v>
      </c>
      <c r="D521" s="17">
        <v>7.7</v>
      </c>
      <c r="E521" s="17">
        <v>8.5</v>
      </c>
      <c r="F521" s="17">
        <f>SQRT((4*(HSP!$B$2-$B521)^2+(HSP!$C$2-$C521)^2+(HSP!$D$2-$D521)^2))</f>
        <v>7.4736871756851073</v>
      </c>
      <c r="G521" s="17">
        <f>SQRT((4*(HSP!$B$3-$B521)^2+(HSP!$C$3-$C521)^2+(HSP!$D$3-$D521)^2))</f>
        <v>5.5483691297533575</v>
      </c>
      <c r="H521" s="17">
        <f>SQRT((4*(HSP!$B$4-$B521)^2+(HSP!$C$4-$C521)^2+(HSP!$D$4-$D521)^2))</f>
        <v>8.074527849973645</v>
      </c>
      <c r="I521" s="17">
        <f>SQRT((4*(HSP!$B$5-$B521)^2+(HSP!$C$5-$C521)^2+(HSP!$D$5-$D521)^2))</f>
        <v>7.5017931189816238</v>
      </c>
      <c r="J521" s="17">
        <f>SQRT((4*(HSP!$B$6-$B521)^2+(HSP!$C$6-$C521)^2+(HSP!$D$6-$D521)^2))</f>
        <v>7.8891697915560188</v>
      </c>
      <c r="K521" s="17">
        <f t="shared" si="0"/>
        <v>0.87925731478648317</v>
      </c>
      <c r="L521" s="17">
        <f t="shared" si="1"/>
        <v>0.65274930938274789</v>
      </c>
      <c r="M521" s="17">
        <f t="shared" si="2"/>
        <v>0.94994445293807583</v>
      </c>
      <c r="N521" s="17">
        <f t="shared" si="3"/>
        <v>0.88256389635077925</v>
      </c>
      <c r="O521" s="17">
        <f t="shared" si="4"/>
        <v>0.92813762253600218</v>
      </c>
      <c r="P521" s="17">
        <f>$F521/HSP!$E$2</f>
        <v>0.45850841568620287</v>
      </c>
      <c r="Q521" s="17">
        <f>$G521/HSP!$E$3</f>
        <v>0.41099030590765612</v>
      </c>
      <c r="R521" s="17">
        <f>$H521/HSP!$E$4</f>
        <v>0.50783194024991474</v>
      </c>
      <c r="S521" s="17">
        <f>$I521/HSP!$E$5</f>
        <v>0.54757614007165145</v>
      </c>
      <c r="T521" s="17">
        <f>$J521/HSP!$E$6</f>
        <v>0.53305201294297422</v>
      </c>
      <c r="U521" s="18" t="s">
        <v>471</v>
      </c>
      <c r="V521" s="12"/>
      <c r="W521" s="12"/>
      <c r="X521" s="12"/>
      <c r="Y521" s="12"/>
      <c r="Z521" s="12"/>
    </row>
    <row r="522" spans="1:26" ht="15" customHeight="1" x14ac:dyDescent="0.3">
      <c r="A522" s="26" t="s">
        <v>1009</v>
      </c>
      <c r="B522" s="17">
        <v>18</v>
      </c>
      <c r="C522" s="17">
        <v>9.4</v>
      </c>
      <c r="D522" s="17">
        <v>4.5999999999999996</v>
      </c>
      <c r="E522" s="17">
        <v>8.4</v>
      </c>
      <c r="F522" s="17">
        <f>SQRT((4*(HSP!$B$2-$B522)^2+(HSP!$C$2-$C522)^2+(HSP!$D$2-$D522)^2))</f>
        <v>7.2820326832554123</v>
      </c>
      <c r="G522" s="17">
        <f>SQRT((4*(HSP!$B$3-$B522)^2+(HSP!$C$3-$C522)^2+(HSP!$D$3-$D522)^2))</f>
        <v>4.7854362392576091</v>
      </c>
      <c r="H522" s="17">
        <f>SQRT((4*(HSP!$B$4-$B522)^2+(HSP!$C$4-$C522)^2+(HSP!$D$4-$D522)^2))</f>
        <v>7.6911637610962371</v>
      </c>
      <c r="I522" s="17">
        <f>SQRT((4*(HSP!$B$5-$B522)^2+(HSP!$C$5-$C522)^2+(HSP!$D$5-$D522)^2))</f>
        <v>8.9946039379174447</v>
      </c>
      <c r="J522" s="17">
        <f>SQRT((4*(HSP!$B$6-$B522)^2+(HSP!$C$6-$C522)^2+(HSP!$D$6-$D522)^2))</f>
        <v>6.2605910264127633</v>
      </c>
      <c r="K522" s="17">
        <f t="shared" si="0"/>
        <v>0.86690865276850138</v>
      </c>
      <c r="L522" s="17">
        <f t="shared" si="1"/>
        <v>0.56969479038781057</v>
      </c>
      <c r="M522" s="17">
        <f t="shared" si="2"/>
        <v>0.9156147334638377</v>
      </c>
      <c r="N522" s="17">
        <f t="shared" si="3"/>
        <v>1.07078618308541</v>
      </c>
      <c r="O522" s="17">
        <f t="shared" si="4"/>
        <v>0.74530845552532898</v>
      </c>
      <c r="P522" s="17">
        <f>$F522/HSP!$E$2</f>
        <v>0.44675047136536272</v>
      </c>
      <c r="Q522" s="17">
        <f>$G522/HSP!$E$3</f>
        <v>0.35447675846352661</v>
      </c>
      <c r="R522" s="17">
        <f>$H522/HSP!$E$4</f>
        <v>0.48372099126391427</v>
      </c>
      <c r="S522" s="17">
        <f>$I522/HSP!$E$5</f>
        <v>0.65654043342463109</v>
      </c>
      <c r="T522" s="17">
        <f>$J522/HSP!$E$6</f>
        <v>0.42301290719005158</v>
      </c>
      <c r="U522" s="18" t="s">
        <v>471</v>
      </c>
      <c r="V522" s="12"/>
      <c r="W522" s="12"/>
      <c r="X522" s="12"/>
      <c r="Y522" s="12"/>
      <c r="Z522" s="12"/>
    </row>
    <row r="523" spans="1:26" ht="15" customHeight="1" x14ac:dyDescent="0.3">
      <c r="A523" s="26" t="s">
        <v>1010</v>
      </c>
      <c r="B523" s="17">
        <v>17.399999999999999</v>
      </c>
      <c r="C523" s="17">
        <v>10.199999999999999</v>
      </c>
      <c r="D523" s="17">
        <v>5.9</v>
      </c>
      <c r="E523" s="17">
        <v>7.8</v>
      </c>
      <c r="F523" s="17">
        <f>SQRT((4*(HSP!$B$2-$B523)^2+(HSP!$C$2-$C523)^2+(HSP!$D$2-$D523)^2))</f>
        <v>5.7091155181866817</v>
      </c>
      <c r="G523" s="17">
        <f>SQRT((4*(HSP!$B$3-$B523)^2+(HSP!$C$3-$C523)^2+(HSP!$D$3-$D523)^2))</f>
        <v>3.4632932304383335</v>
      </c>
      <c r="H523" s="17">
        <f>SQRT((4*(HSP!$B$4-$B523)^2+(HSP!$C$4-$C523)^2+(HSP!$D$4-$D523)^2))</f>
        <v>7.1534607009474769</v>
      </c>
      <c r="I523" s="17">
        <f>SQRT((4*(HSP!$B$5-$B523)^2+(HSP!$C$5-$C523)^2+(HSP!$D$5-$D523)^2))</f>
        <v>7.0568335675428813</v>
      </c>
      <c r="J523" s="17">
        <f>SQRT((4*(HSP!$B$6-$B523)^2+(HSP!$C$6-$C523)^2+(HSP!$D$6-$D523)^2))</f>
        <v>6.0467346559940909</v>
      </c>
      <c r="K523" s="17">
        <f t="shared" si="0"/>
        <v>0.73193788694701045</v>
      </c>
      <c r="L523" s="17">
        <f t="shared" si="1"/>
        <v>0.44401195262029919</v>
      </c>
      <c r="M523" s="17">
        <f t="shared" si="2"/>
        <v>0.91711034627531762</v>
      </c>
      <c r="N523" s="17">
        <f t="shared" si="3"/>
        <v>0.90472225224908731</v>
      </c>
      <c r="O523" s="17">
        <f t="shared" si="4"/>
        <v>0.77522239179411423</v>
      </c>
      <c r="P523" s="17">
        <f>$F523/HSP!$E$2</f>
        <v>0.35025248577832402</v>
      </c>
      <c r="Q523" s="17">
        <f>$G523/HSP!$E$3</f>
        <v>0.25654023929172842</v>
      </c>
      <c r="R523" s="17">
        <f>$H523/HSP!$E$4</f>
        <v>0.449903188738835</v>
      </c>
      <c r="S523" s="17">
        <f>$I523/HSP!$E$5</f>
        <v>0.51509734069656066</v>
      </c>
      <c r="T523" s="17">
        <f>$J523/HSP!$E$6</f>
        <v>0.40856315243203317</v>
      </c>
      <c r="U523" s="18" t="s">
        <v>654</v>
      </c>
      <c r="V523" s="12"/>
      <c r="W523" s="12"/>
      <c r="X523" s="12"/>
      <c r="Y523" s="12"/>
      <c r="Z523" s="12"/>
    </row>
    <row r="524" spans="1:26" ht="15" customHeight="1" x14ac:dyDescent="0.3">
      <c r="A524" s="26" t="s">
        <v>1010</v>
      </c>
      <c r="B524" s="17">
        <v>19</v>
      </c>
      <c r="C524" s="17">
        <v>11</v>
      </c>
      <c r="D524" s="17">
        <v>5</v>
      </c>
      <c r="E524" s="17">
        <v>10</v>
      </c>
      <c r="F524" s="17">
        <f>SQRT((4*(HSP!$B$2-$B524)^2+(HSP!$C$2-$C524)^2+(HSP!$D$2-$D524)^2))</f>
        <v>9.0361496224885531</v>
      </c>
      <c r="G524" s="17">
        <f>SQRT((4*(HSP!$B$3-$B524)^2+(HSP!$C$3-$C524)^2+(HSP!$D$3-$D524)^2))</f>
        <v>6.803851850238952</v>
      </c>
      <c r="H524" s="17">
        <f>SQRT((4*(HSP!$B$4-$B524)^2+(HSP!$C$4-$C524)^2+(HSP!$D$4-$D524)^2))</f>
        <v>10.092472442370106</v>
      </c>
      <c r="I524" s="17">
        <f>SQRT((4*(HSP!$B$5-$B524)^2+(HSP!$C$5-$C524)^2+(HSP!$D$5-$D524)^2))</f>
        <v>9.6837441106216779</v>
      </c>
      <c r="J524" s="17">
        <f>SQRT((4*(HSP!$B$6-$B524)^2+(HSP!$C$6-$C524)^2+(HSP!$D$6-$D524)^2))</f>
        <v>8.8237747024728606</v>
      </c>
      <c r="K524" s="17">
        <f t="shared" si="0"/>
        <v>0.90361496224885529</v>
      </c>
      <c r="L524" s="17">
        <f t="shared" si="1"/>
        <v>0.68038518502389522</v>
      </c>
      <c r="M524" s="17">
        <f t="shared" si="2"/>
        <v>1.0092472442370106</v>
      </c>
      <c r="N524" s="17">
        <f t="shared" si="3"/>
        <v>0.96837441106216782</v>
      </c>
      <c r="O524" s="17">
        <f t="shared" si="4"/>
        <v>0.88237747024728608</v>
      </c>
      <c r="P524" s="17">
        <f>$F524/HSP!$E$2</f>
        <v>0.55436500751463513</v>
      </c>
      <c r="Q524" s="17">
        <f>$G524/HSP!$E$3</f>
        <v>0.50398902594362605</v>
      </c>
      <c r="R524" s="17">
        <f>$H524/HSP!$E$4</f>
        <v>0.63474669448868593</v>
      </c>
      <c r="S524" s="17">
        <f>$I524/HSP!$E$5</f>
        <v>0.7068426358118014</v>
      </c>
      <c r="T524" s="17">
        <f>$J524/HSP!$E$6</f>
        <v>0.59620099341032839</v>
      </c>
      <c r="U524" s="18" t="s">
        <v>471</v>
      </c>
      <c r="V524" s="12"/>
      <c r="W524" s="12"/>
      <c r="X524" s="12"/>
      <c r="Y524" s="12"/>
      <c r="Z524" s="12"/>
    </row>
    <row r="525" spans="1:26" ht="15" customHeight="1" x14ac:dyDescent="0.3">
      <c r="A525" s="26" t="s">
        <v>1011</v>
      </c>
      <c r="B525" s="17">
        <v>18.100000000000001</v>
      </c>
      <c r="C525" s="17">
        <v>10.3</v>
      </c>
      <c r="D525" s="17">
        <v>4.2</v>
      </c>
      <c r="E525" s="17">
        <v>8.3000000000000007</v>
      </c>
      <c r="F525" s="17">
        <f>SQRT((4*(HSP!$B$2-$B525)^2+(HSP!$C$2-$C525)^2+(HSP!$D$2-$D525)^2))</f>
        <v>7.533525071306264</v>
      </c>
      <c r="G525" s="17">
        <f>SQRT((4*(HSP!$B$3-$B525)^2+(HSP!$C$3-$C525)^2+(HSP!$D$3-$D525)^2))</f>
        <v>5.1250756091983698</v>
      </c>
      <c r="H525" s="17">
        <f>SQRT((4*(HSP!$B$4-$B525)^2+(HSP!$C$4-$C525)^2+(HSP!$D$4-$D525)^2))</f>
        <v>8.5254911881955557</v>
      </c>
      <c r="I525" s="17">
        <f>SQRT((4*(HSP!$B$5-$B525)^2+(HSP!$C$5-$C525)^2+(HSP!$D$5-$D525)^2))</f>
        <v>9.1205756397280116</v>
      </c>
      <c r="J525" s="17">
        <f>SQRT((4*(HSP!$B$6-$B525)^2+(HSP!$C$6-$C525)^2+(HSP!$D$6-$D525)^2))</f>
        <v>6.8654934272781922</v>
      </c>
      <c r="K525" s="17">
        <f t="shared" si="0"/>
        <v>0.90765362304894737</v>
      </c>
      <c r="L525" s="17">
        <f t="shared" si="1"/>
        <v>0.6174789890600445</v>
      </c>
      <c r="M525" s="17">
        <f t="shared" si="2"/>
        <v>1.0271676130356091</v>
      </c>
      <c r="N525" s="17">
        <f t="shared" si="3"/>
        <v>1.0988645349069892</v>
      </c>
      <c r="O525" s="17">
        <f t="shared" si="4"/>
        <v>0.82716788280460141</v>
      </c>
      <c r="P525" s="17">
        <f>$F525/HSP!$E$2</f>
        <v>0.46217945222737816</v>
      </c>
      <c r="Q525" s="17">
        <f>$G525/HSP!$E$3</f>
        <v>0.37963523031099033</v>
      </c>
      <c r="R525" s="17">
        <f>$H525/HSP!$E$4</f>
        <v>0.53619441435192172</v>
      </c>
      <c r="S525" s="17">
        <f>$I525/HSP!$E$5</f>
        <v>0.66573544815532937</v>
      </c>
      <c r="T525" s="17">
        <f>$J525/HSP!$E$6</f>
        <v>0.46388469103231028</v>
      </c>
      <c r="U525" s="18" t="s">
        <v>654</v>
      </c>
      <c r="V525" s="12"/>
      <c r="W525" s="12"/>
      <c r="X525" s="12"/>
      <c r="Y525" s="12"/>
      <c r="Z525" s="12"/>
    </row>
    <row r="526" spans="1:26" ht="15" customHeight="1" x14ac:dyDescent="0.3">
      <c r="A526" s="26" t="s">
        <v>1011</v>
      </c>
      <c r="B526" s="17">
        <v>18</v>
      </c>
      <c r="C526" s="17">
        <v>9.4</v>
      </c>
      <c r="D526" s="17">
        <v>4.5999999999999996</v>
      </c>
      <c r="E526" s="17">
        <v>8.4</v>
      </c>
      <c r="F526" s="17">
        <f>SQRT((4*(HSP!$B$2-$B526)^2+(HSP!$C$2-$C526)^2+(HSP!$D$2-$D526)^2))</f>
        <v>7.2820326832554123</v>
      </c>
      <c r="G526" s="17">
        <f>SQRT((4*(HSP!$B$3-$B526)^2+(HSP!$C$3-$C526)^2+(HSP!$D$3-$D526)^2))</f>
        <v>4.7854362392576091</v>
      </c>
      <c r="H526" s="17">
        <f>SQRT((4*(HSP!$B$4-$B526)^2+(HSP!$C$4-$C526)^2+(HSP!$D$4-$D526)^2))</f>
        <v>7.6911637610962371</v>
      </c>
      <c r="I526" s="17">
        <f>SQRT((4*(HSP!$B$5-$B526)^2+(HSP!$C$5-$C526)^2+(HSP!$D$5-$D526)^2))</f>
        <v>8.9946039379174447</v>
      </c>
      <c r="J526" s="17">
        <f>SQRT((4*(HSP!$B$6-$B526)^2+(HSP!$C$6-$C526)^2+(HSP!$D$6-$D526)^2))</f>
        <v>6.2605910264127633</v>
      </c>
      <c r="K526" s="17">
        <f t="shared" si="0"/>
        <v>0.86690865276850138</v>
      </c>
      <c r="L526" s="17">
        <f t="shared" si="1"/>
        <v>0.56969479038781057</v>
      </c>
      <c r="M526" s="17">
        <f t="shared" si="2"/>
        <v>0.9156147334638377</v>
      </c>
      <c r="N526" s="17">
        <f t="shared" si="3"/>
        <v>1.07078618308541</v>
      </c>
      <c r="O526" s="17">
        <f t="shared" si="4"/>
        <v>0.74530845552532898</v>
      </c>
      <c r="P526" s="17">
        <f>$F526/HSP!$E$2</f>
        <v>0.44675047136536272</v>
      </c>
      <c r="Q526" s="17">
        <f>$G526/HSP!$E$3</f>
        <v>0.35447675846352661</v>
      </c>
      <c r="R526" s="17">
        <f>$H526/HSP!$E$4</f>
        <v>0.48372099126391427</v>
      </c>
      <c r="S526" s="17">
        <f>$I526/HSP!$E$5</f>
        <v>0.65654043342463109</v>
      </c>
      <c r="T526" s="17">
        <f>$J526/HSP!$E$6</f>
        <v>0.42301290719005158</v>
      </c>
      <c r="U526" s="18" t="s">
        <v>471</v>
      </c>
      <c r="V526" s="12"/>
      <c r="W526" s="12"/>
      <c r="X526" s="12"/>
      <c r="Y526" s="12"/>
      <c r="Z526" s="12"/>
    </row>
    <row r="527" spans="1:26" ht="15" customHeight="1" x14ac:dyDescent="0.3">
      <c r="A527" s="26" t="s">
        <v>1012</v>
      </c>
      <c r="B527" s="17">
        <v>19</v>
      </c>
      <c r="C527" s="17">
        <v>9</v>
      </c>
      <c r="D527" s="17">
        <v>15</v>
      </c>
      <c r="E527" s="17">
        <v>12</v>
      </c>
      <c r="F527" s="17">
        <f>SQRT((4*(HSP!$B$2-$B527)^2+(HSP!$C$2-$C527)^2+(HSP!$D$2-$D527)^2))</f>
        <v>11.995499155933445</v>
      </c>
      <c r="G527" s="17">
        <f>SQRT((4*(HSP!$B$3-$B527)^2+(HSP!$C$3-$C527)^2+(HSP!$D$3-$D527)^2))</f>
        <v>11.337213061418577</v>
      </c>
      <c r="H527" s="17">
        <f>SQRT((4*(HSP!$B$4-$B527)^2+(HSP!$C$4-$C527)^2+(HSP!$D$4-$D527)^2))</f>
        <v>12.024059214757719</v>
      </c>
      <c r="I527" s="17">
        <f>SQRT((4*(HSP!$B$5-$B527)^2+(HSP!$C$5-$C527)^2+(HSP!$D$5-$D527)^2))</f>
        <v>9.276578032873978</v>
      </c>
      <c r="J527" s="17">
        <f>SQRT((4*(HSP!$B$6-$B527)^2+(HSP!$C$6-$C527)^2+(HSP!$D$6-$D527)^2))</f>
        <v>13.65939237301572</v>
      </c>
      <c r="K527" s="17">
        <f t="shared" si="0"/>
        <v>0.99962492966112038</v>
      </c>
      <c r="L527" s="17">
        <f t="shared" si="1"/>
        <v>0.94476775511821476</v>
      </c>
      <c r="M527" s="17">
        <f t="shared" si="2"/>
        <v>1.0020049345631432</v>
      </c>
      <c r="N527" s="17">
        <f t="shared" si="3"/>
        <v>0.77304816940616483</v>
      </c>
      <c r="O527" s="17">
        <f t="shared" si="4"/>
        <v>1.1382826977513101</v>
      </c>
      <c r="P527" s="17">
        <f>$F527/HSP!$E$2</f>
        <v>0.73592019361554872</v>
      </c>
      <c r="Q527" s="17">
        <f>$G527/HSP!$E$3</f>
        <v>0.83979356010507977</v>
      </c>
      <c r="R527" s="17">
        <f>$H527/HSP!$E$4</f>
        <v>0.75623013929293825</v>
      </c>
      <c r="S527" s="17">
        <f>$I527/HSP!$E$5</f>
        <v>0.67712248415138532</v>
      </c>
      <c r="T527" s="17">
        <f>$J527/HSP!$E$6</f>
        <v>0.9229319170956567</v>
      </c>
      <c r="U527" s="18" t="s">
        <v>471</v>
      </c>
      <c r="V527" s="12"/>
      <c r="W527" s="12"/>
      <c r="X527" s="12"/>
      <c r="Y527" s="12"/>
      <c r="Z527" s="12"/>
    </row>
    <row r="528" spans="1:26" ht="15" customHeight="1" x14ac:dyDescent="0.3">
      <c r="A528" s="26" t="s">
        <v>1013</v>
      </c>
      <c r="B528" s="17">
        <v>19</v>
      </c>
      <c r="C528" s="17">
        <v>9</v>
      </c>
      <c r="D528" s="17">
        <v>15</v>
      </c>
      <c r="E528" s="17">
        <v>12</v>
      </c>
      <c r="F528" s="17">
        <f>SQRT((4*(HSP!$B$2-$B528)^2+(HSP!$C$2-$C528)^2+(HSP!$D$2-$D528)^2))</f>
        <v>11.995499155933445</v>
      </c>
      <c r="G528" s="17">
        <f>SQRT((4*(HSP!$B$3-$B528)^2+(HSP!$C$3-$C528)^2+(HSP!$D$3-$D528)^2))</f>
        <v>11.337213061418577</v>
      </c>
      <c r="H528" s="17">
        <f>SQRT((4*(HSP!$B$4-$B528)^2+(HSP!$C$4-$C528)^2+(HSP!$D$4-$D528)^2))</f>
        <v>12.024059214757719</v>
      </c>
      <c r="I528" s="17">
        <f>SQRT((4*(HSP!$B$5-$B528)^2+(HSP!$C$5-$C528)^2+(HSP!$D$5-$D528)^2))</f>
        <v>9.276578032873978</v>
      </c>
      <c r="J528" s="17">
        <f>SQRT((4*(HSP!$B$6-$B528)^2+(HSP!$C$6-$C528)^2+(HSP!$D$6-$D528)^2))</f>
        <v>13.65939237301572</v>
      </c>
      <c r="K528" s="17">
        <f t="shared" si="0"/>
        <v>0.99962492966112038</v>
      </c>
      <c r="L528" s="17">
        <f t="shared" si="1"/>
        <v>0.94476775511821476</v>
      </c>
      <c r="M528" s="17">
        <f t="shared" si="2"/>
        <v>1.0020049345631432</v>
      </c>
      <c r="N528" s="17">
        <f t="shared" si="3"/>
        <v>0.77304816940616483</v>
      </c>
      <c r="O528" s="17">
        <f t="shared" si="4"/>
        <v>1.1382826977513101</v>
      </c>
      <c r="P528" s="17">
        <f>$F528/HSP!$E$2</f>
        <v>0.73592019361554872</v>
      </c>
      <c r="Q528" s="17">
        <f>$G528/HSP!$E$3</f>
        <v>0.83979356010507977</v>
      </c>
      <c r="R528" s="17">
        <f>$H528/HSP!$E$4</f>
        <v>0.75623013929293825</v>
      </c>
      <c r="S528" s="17">
        <f>$I528/HSP!$E$5</f>
        <v>0.67712248415138532</v>
      </c>
      <c r="T528" s="17">
        <f>$J528/HSP!$E$6</f>
        <v>0.9229319170956567</v>
      </c>
      <c r="U528" s="18" t="s">
        <v>471</v>
      </c>
      <c r="V528" s="12"/>
      <c r="W528" s="12"/>
      <c r="X528" s="12"/>
      <c r="Y528" s="12"/>
      <c r="Z528" s="12"/>
    </row>
    <row r="529" spans="1:26" ht="15" customHeight="1" x14ac:dyDescent="0.3">
      <c r="A529" s="26" t="s">
        <v>1014</v>
      </c>
      <c r="B529" s="17">
        <v>18.399999999999999</v>
      </c>
      <c r="C529" s="17">
        <v>6.6</v>
      </c>
      <c r="D529" s="17">
        <v>8</v>
      </c>
      <c r="E529" s="17">
        <v>3</v>
      </c>
      <c r="F529" s="17">
        <f>SQRT((4*(HSP!$B$2-$B529)^2+(HSP!$C$2-$C529)^2+(HSP!$D$2-$D529)^2))</f>
        <v>8.5848704125339008</v>
      </c>
      <c r="G529" s="17">
        <f>SQRT((4*(HSP!$B$3-$B529)^2+(HSP!$C$3-$C529)^2+(HSP!$D$3-$D529)^2))</f>
        <v>6.5948767994557702</v>
      </c>
      <c r="H529" s="17">
        <f>SQRT((4*(HSP!$B$4-$B529)^2+(HSP!$C$4-$C529)^2+(HSP!$D$4-$D529)^2))</f>
        <v>6.8452903517674075</v>
      </c>
      <c r="I529" s="17">
        <f>SQRT((4*(HSP!$B$5-$B529)^2+(HSP!$C$5-$C529)^2+(HSP!$D$5-$D529)^2))</f>
        <v>9.2318416364233631</v>
      </c>
      <c r="J529" s="17">
        <f>SQRT((4*(HSP!$B$6-$B529)^2+(HSP!$C$6-$C529)^2+(HSP!$D$6-$D529)^2))</f>
        <v>7.5125894337438659</v>
      </c>
      <c r="K529" s="17">
        <f t="shared" si="0"/>
        <v>2.8616234708446338</v>
      </c>
      <c r="L529" s="17">
        <f t="shared" si="1"/>
        <v>2.1982922664852569</v>
      </c>
      <c r="M529" s="17">
        <f t="shared" si="2"/>
        <v>2.281763450589136</v>
      </c>
      <c r="N529" s="17">
        <f t="shared" si="3"/>
        <v>3.0772805454744545</v>
      </c>
      <c r="O529" s="17">
        <f t="shared" si="4"/>
        <v>2.504196477914622</v>
      </c>
      <c r="P529" s="17">
        <f>$F529/HSP!$E$2</f>
        <v>0.52667916641312273</v>
      </c>
      <c r="Q529" s="17">
        <f>$G529/HSP!$E$3</f>
        <v>0.48850939255227926</v>
      </c>
      <c r="R529" s="17">
        <f>$H529/HSP!$E$4</f>
        <v>0.43052140577153508</v>
      </c>
      <c r="S529" s="17">
        <f>$I529/HSP!$E$5</f>
        <v>0.67385705375353022</v>
      </c>
      <c r="T529" s="17">
        <f>$J529/HSP!$E$6</f>
        <v>0.50760739417188283</v>
      </c>
      <c r="U529" s="18" t="s">
        <v>867</v>
      </c>
      <c r="V529" s="12"/>
      <c r="W529" s="12"/>
      <c r="X529" s="12"/>
      <c r="Y529" s="12"/>
      <c r="Z529" s="12"/>
    </row>
    <row r="530" spans="1:26" ht="15" customHeight="1" x14ac:dyDescent="0.3">
      <c r="A530" s="26" t="s">
        <v>1015</v>
      </c>
      <c r="B530" s="17">
        <v>21.3</v>
      </c>
      <c r="C530" s="17">
        <v>6.3</v>
      </c>
      <c r="D530" s="17">
        <v>4.7</v>
      </c>
      <c r="E530" s="17">
        <v>7.3</v>
      </c>
      <c r="F530" s="17">
        <f>SQRT((4*(HSP!$B$2-$B530)^2+(HSP!$C$2-$C530)^2+(HSP!$D$2-$D530)^2))</f>
        <v>14.214921737385685</v>
      </c>
      <c r="G530" s="17">
        <f>SQRT((4*(HSP!$B$3-$B530)^2+(HSP!$C$3-$C530)^2+(HSP!$D$3-$D530)^2))</f>
        <v>11.765729896610752</v>
      </c>
      <c r="H530" s="17">
        <f>SQRT((4*(HSP!$B$4-$B530)^2+(HSP!$C$4-$C530)^2+(HSP!$D$4-$D530)^2))</f>
        <v>12.54360394782935</v>
      </c>
      <c r="I530" s="17">
        <f>SQRT((4*(HSP!$B$5-$B530)^2+(HSP!$C$5-$C530)^2+(HSP!$D$5-$D530)^2))</f>
        <v>15.015755059270248</v>
      </c>
      <c r="J530" s="17">
        <f>SQRT((4*(HSP!$B$6-$B530)^2+(HSP!$C$6-$C530)^2+(HSP!$D$6-$D530)^2))</f>
        <v>12.090616196042287</v>
      </c>
      <c r="K530" s="17">
        <f t="shared" si="0"/>
        <v>1.9472495530665324</v>
      </c>
      <c r="L530" s="17">
        <f t="shared" si="1"/>
        <v>1.6117438214535278</v>
      </c>
      <c r="M530" s="17">
        <f t="shared" si="2"/>
        <v>1.7183019106615549</v>
      </c>
      <c r="N530" s="17">
        <f t="shared" si="3"/>
        <v>2.0569527478452394</v>
      </c>
      <c r="O530" s="17">
        <f t="shared" si="4"/>
        <v>1.6562487939783956</v>
      </c>
      <c r="P530" s="17">
        <f>$F530/HSP!$E$2</f>
        <v>0.87208108818317087</v>
      </c>
      <c r="Q530" s="17">
        <f>$G530/HSP!$E$3</f>
        <v>0.87153554789709275</v>
      </c>
      <c r="R530" s="17">
        <f>$H530/HSP!$E$4</f>
        <v>0.78890590866851262</v>
      </c>
      <c r="S530" s="17">
        <f>$I530/HSP!$E$5</f>
        <v>1.0960405152752006</v>
      </c>
      <c r="T530" s="17">
        <f>$J530/HSP!$E$6</f>
        <v>0.81693352675961395</v>
      </c>
      <c r="U530" s="18" t="s">
        <v>457</v>
      </c>
      <c r="V530" s="12"/>
      <c r="W530" s="12"/>
      <c r="X530" s="12"/>
      <c r="Y530" s="12"/>
      <c r="Z530" s="12"/>
    </row>
    <row r="531" spans="1:26" ht="15" customHeight="1" x14ac:dyDescent="0.3">
      <c r="A531" s="26" t="s">
        <v>1016</v>
      </c>
      <c r="B531" s="17">
        <v>14.9</v>
      </c>
      <c r="C531" s="17">
        <v>10.1</v>
      </c>
      <c r="D531" s="17">
        <v>2.9</v>
      </c>
      <c r="E531" s="17">
        <v>6.1</v>
      </c>
      <c r="F531" s="17">
        <f>SQRT((4*(HSP!$B$2-$B531)^2+(HSP!$C$2-$C531)^2+(HSP!$D$2-$D531)^2))</f>
        <v>4.1395651945584824</v>
      </c>
      <c r="G531" s="17">
        <f>SQRT((4*(HSP!$B$3-$B531)^2+(HSP!$C$3-$C531)^2+(HSP!$D$3-$D531)^2))</f>
        <v>3.3490894284864949</v>
      </c>
      <c r="H531" s="17">
        <f>SQRT((4*(HSP!$B$4-$B531)^2+(HSP!$C$4-$C531)^2+(HSP!$D$4-$D531)^2))</f>
        <v>6.6991044177561525</v>
      </c>
      <c r="I531" s="17">
        <f>SQRT((4*(HSP!$B$5-$B531)^2+(HSP!$C$5-$C531)^2+(HSP!$D$5-$D531)^2))</f>
        <v>8.4789680975930075</v>
      </c>
      <c r="J531" s="17">
        <f>SQRT((4*(HSP!$B$6-$B531)^2+(HSP!$C$6-$C531)^2+(HSP!$D$6-$D531)^2))</f>
        <v>3.8625121359032644</v>
      </c>
      <c r="K531" s="17">
        <f t="shared" si="0"/>
        <v>0.67861724500958731</v>
      </c>
      <c r="L531" s="17">
        <f t="shared" si="1"/>
        <v>0.54903105385024509</v>
      </c>
      <c r="M531" s="17">
        <f t="shared" si="2"/>
        <v>1.0982138389764184</v>
      </c>
      <c r="N531" s="17">
        <f t="shared" si="3"/>
        <v>1.3899947700972144</v>
      </c>
      <c r="O531" s="17">
        <f t="shared" si="4"/>
        <v>0.63319871080381385</v>
      </c>
      <c r="P531" s="17">
        <f>$F531/HSP!$E$2</f>
        <v>0.25396105488088849</v>
      </c>
      <c r="Q531" s="17">
        <f>$G531/HSP!$E$3</f>
        <v>0.24808069840640704</v>
      </c>
      <c r="R531" s="17">
        <f>$H531/HSP!$E$4</f>
        <v>0.42132732187145611</v>
      </c>
      <c r="S531" s="17">
        <f>$I531/HSP!$E$5</f>
        <v>0.61890278084620498</v>
      </c>
      <c r="T531" s="17">
        <f>$J531/HSP!$E$6</f>
        <v>0.26098054972319351</v>
      </c>
      <c r="U531" s="18" t="s">
        <v>457</v>
      </c>
      <c r="V531" s="12"/>
      <c r="W531" s="12"/>
      <c r="X531" s="12"/>
      <c r="Y531" s="12"/>
      <c r="Z531" s="12"/>
    </row>
    <row r="532" spans="1:26" ht="15" customHeight="1" x14ac:dyDescent="0.3">
      <c r="A532" s="26" t="s">
        <v>1017</v>
      </c>
      <c r="B532" s="17">
        <v>16.5</v>
      </c>
      <c r="C532" s="17">
        <v>8.1</v>
      </c>
      <c r="D532" s="17">
        <v>8.3000000000000007</v>
      </c>
      <c r="E532" s="17">
        <v>6.6</v>
      </c>
      <c r="F532" s="17">
        <f>SQRT((4*(HSP!$B$2-$B532)^2+(HSP!$C$2-$C532)^2+(HSP!$D$2-$D532)^2))</f>
        <v>4.6639039441223495</v>
      </c>
      <c r="G532" s="17">
        <f>SQRT((4*(HSP!$B$3-$B532)^2+(HSP!$C$3-$C532)^2+(HSP!$D$3-$D532)^2))</f>
        <v>3.3478948609536721</v>
      </c>
      <c r="H532" s="17">
        <f>SQRT((4*(HSP!$B$4-$B532)^2+(HSP!$C$4-$C532)^2+(HSP!$D$4-$D532)^2))</f>
        <v>4.5849754634021762</v>
      </c>
      <c r="I532" s="17">
        <f>SQRT((4*(HSP!$B$5-$B532)^2+(HSP!$C$5-$C532)^2+(HSP!$D$5-$D532)^2))</f>
        <v>5.8577213999984679</v>
      </c>
      <c r="J532" s="17">
        <f>SQRT((4*(HSP!$B$6-$B532)^2+(HSP!$C$6-$C532)^2+(HSP!$D$6-$D532)^2))</f>
        <v>5.3519155449240801</v>
      </c>
      <c r="K532" s="17">
        <f t="shared" si="0"/>
        <v>0.70665211274581052</v>
      </c>
      <c r="L532" s="17">
        <f t="shared" si="1"/>
        <v>0.5072567971141928</v>
      </c>
      <c r="M532" s="17">
        <f t="shared" si="2"/>
        <v>0.69469325203063281</v>
      </c>
      <c r="N532" s="17">
        <f t="shared" si="3"/>
        <v>0.8875335454543134</v>
      </c>
      <c r="O532" s="17">
        <f t="shared" si="4"/>
        <v>0.81089629468546676</v>
      </c>
      <c r="P532" s="17">
        <f>$F532/HSP!$E$2</f>
        <v>0.28612907632652451</v>
      </c>
      <c r="Q532" s="17">
        <f>$G532/HSP!$E$3</f>
        <v>0.24799221192249424</v>
      </c>
      <c r="R532" s="17">
        <f>$H532/HSP!$E$4</f>
        <v>0.28836323669196079</v>
      </c>
      <c r="S532" s="17">
        <f>$I532/HSP!$E$5</f>
        <v>0.42757090510937723</v>
      </c>
      <c r="T532" s="17">
        <f>$J532/HSP!$E$6</f>
        <v>0.36161591519757297</v>
      </c>
      <c r="U532" s="18" t="s">
        <v>518</v>
      </c>
      <c r="V532" s="12"/>
      <c r="W532" s="12"/>
      <c r="X532" s="12"/>
      <c r="Y532" s="12"/>
      <c r="Z532" s="12"/>
    </row>
    <row r="533" spans="1:26" ht="15" customHeight="1" x14ac:dyDescent="0.3">
      <c r="A533" s="26" t="s">
        <v>1018</v>
      </c>
      <c r="B533" s="17">
        <v>10.9</v>
      </c>
      <c r="C533" s="17">
        <v>14.5</v>
      </c>
      <c r="D533" s="17">
        <v>3.1</v>
      </c>
      <c r="E533" s="17">
        <v>14.1</v>
      </c>
      <c r="F533" s="17">
        <f>SQRT((4*(HSP!$B$2-$B533)^2+(HSP!$C$2-$C533)^2+(HSP!$D$2-$D533)^2))</f>
        <v>9.2809482274172801</v>
      </c>
      <c r="G533" s="17">
        <f>SQRT((4*(HSP!$B$3-$B533)^2+(HSP!$C$3-$C533)^2+(HSP!$D$3-$D533)^2))</f>
        <v>11.072506491305388</v>
      </c>
      <c r="H533" s="17">
        <f>SQRT((4*(HSP!$B$4-$B533)^2+(HSP!$C$4-$C533)^2+(HSP!$D$4-$D533)^2))</f>
        <v>13.529745008683644</v>
      </c>
      <c r="I533" s="17">
        <f>SQRT((4*(HSP!$B$5-$B533)^2+(HSP!$C$5-$C533)^2+(HSP!$D$5-$D533)^2))</f>
        <v>11.868651987483666</v>
      </c>
      <c r="J533" s="17">
        <f>SQRT((4*(HSP!$B$6-$B533)^2+(HSP!$C$6-$C533)^2+(HSP!$D$6-$D533)^2))</f>
        <v>11.919521802488553</v>
      </c>
      <c r="K533" s="17">
        <f t="shared" si="0"/>
        <v>0.65822327854023266</v>
      </c>
      <c r="L533" s="17">
        <f t="shared" si="1"/>
        <v>0.78528414831953108</v>
      </c>
      <c r="M533" s="17">
        <f t="shared" si="2"/>
        <v>0.95955638359458473</v>
      </c>
      <c r="N533" s="17">
        <f t="shared" si="3"/>
        <v>0.84174836790664298</v>
      </c>
      <c r="O533" s="17">
        <f t="shared" si="4"/>
        <v>0.84535615620486193</v>
      </c>
      <c r="P533" s="17">
        <f>$F533/HSP!$E$2</f>
        <v>0.56938332683541593</v>
      </c>
      <c r="Q533" s="17">
        <f>$G533/HSP!$E$3</f>
        <v>0.82018566602262133</v>
      </c>
      <c r="R533" s="17">
        <f>$H533/HSP!$E$4</f>
        <v>0.85092735903670713</v>
      </c>
      <c r="S533" s="17">
        <f>$I533/HSP!$E$5</f>
        <v>0.86632496259004865</v>
      </c>
      <c r="T533" s="17">
        <f>$J533/HSP!$E$6</f>
        <v>0.8053730947627401</v>
      </c>
      <c r="U533" s="18" t="s">
        <v>518</v>
      </c>
      <c r="V533" s="12"/>
      <c r="W533" s="12"/>
      <c r="X533" s="12"/>
      <c r="Y533" s="12"/>
      <c r="Z533" s="12"/>
    </row>
    <row r="534" spans="1:26" ht="15" customHeight="1" x14ac:dyDescent="0.3">
      <c r="A534" s="26" t="s">
        <v>1019</v>
      </c>
      <c r="B534" s="17">
        <v>13.6</v>
      </c>
      <c r="C534" s="17">
        <v>15.4</v>
      </c>
      <c r="D534" s="17">
        <v>8.6</v>
      </c>
      <c r="E534" s="17">
        <v>14.4</v>
      </c>
      <c r="F534" s="17">
        <f>SQRT((4*(HSP!$B$2-$B534)^2+(HSP!$C$2-$C534)^2+(HSP!$D$2-$D534)^2))</f>
        <v>5.5702782695301671</v>
      </c>
      <c r="G534" s="17">
        <f>SQRT((4*(HSP!$B$3-$B534)^2+(HSP!$C$3-$C534)^2+(HSP!$D$3-$D534)^2))</f>
        <v>7.6255098190219384</v>
      </c>
      <c r="H534" s="17">
        <f>SQRT((4*(HSP!$B$4-$B534)^2+(HSP!$C$4-$C534)^2+(HSP!$D$4-$D534)^2))</f>
        <v>11.314503966148937</v>
      </c>
      <c r="I534" s="17">
        <f>SQRT((4*(HSP!$B$5-$B534)^2+(HSP!$C$5-$C534)^2+(HSP!$D$5-$D534)^2))</f>
        <v>4.8751307674769091</v>
      </c>
      <c r="J534" s="17">
        <f>SQRT((4*(HSP!$B$6-$B534)^2+(HSP!$C$6-$C534)^2+(HSP!$D$6-$D534)^2))</f>
        <v>10.685457407149213</v>
      </c>
      <c r="K534" s="17">
        <f t="shared" si="0"/>
        <v>0.38682487982848379</v>
      </c>
      <c r="L534" s="17">
        <f t="shared" si="1"/>
        <v>0.52954929298763465</v>
      </c>
      <c r="M534" s="17">
        <f t="shared" si="2"/>
        <v>0.78572944209367612</v>
      </c>
      <c r="N534" s="17">
        <f t="shared" si="3"/>
        <v>0.338550747741452</v>
      </c>
      <c r="O534" s="17">
        <f t="shared" si="4"/>
        <v>0.74204565327425087</v>
      </c>
      <c r="P534" s="17">
        <f>$F534/HSP!$E$2</f>
        <v>0.34173486316135993</v>
      </c>
      <c r="Q534" s="17">
        <f>$G534/HSP!$E$3</f>
        <v>0.5648525791868102</v>
      </c>
      <c r="R534" s="17">
        <f>$H534/HSP!$E$4</f>
        <v>0.711604023028235</v>
      </c>
      <c r="S534" s="17">
        <f>$I534/HSP!$E$5</f>
        <v>0.35584896112970144</v>
      </c>
      <c r="T534" s="17">
        <f>$J534/HSP!$E$6</f>
        <v>0.72199036534791983</v>
      </c>
      <c r="U534" s="18" t="s">
        <v>518</v>
      </c>
      <c r="V534" s="12"/>
      <c r="W534" s="12"/>
      <c r="X534" s="12"/>
      <c r="Y534" s="12"/>
      <c r="Z534" s="12"/>
    </row>
    <row r="535" spans="1:26" ht="15" customHeight="1" x14ac:dyDescent="0.3">
      <c r="A535" s="26" t="s">
        <v>1020</v>
      </c>
      <c r="B535" s="17">
        <v>17.399999999999999</v>
      </c>
      <c r="C535" s="17">
        <v>9.9</v>
      </c>
      <c r="D535" s="17">
        <v>6.7</v>
      </c>
      <c r="E535" s="17">
        <v>7.5</v>
      </c>
      <c r="F535" s="17">
        <f>SQRT((4*(HSP!$B$2-$B535)^2+(HSP!$C$2-$C535)^2+(HSP!$D$2-$D535)^2))</f>
        <v>5.6348913032994679</v>
      </c>
      <c r="G535" s="17">
        <f>SQRT((4*(HSP!$B$3-$B535)^2+(HSP!$C$3-$C535)^2+(HSP!$D$3-$D535)^2))</f>
        <v>3.5395479937415724</v>
      </c>
      <c r="H535" s="17">
        <f>SQRT((4*(HSP!$B$4-$B535)^2+(HSP!$C$4-$C535)^2+(HSP!$D$4-$D535)^2))</f>
        <v>6.866585760041156</v>
      </c>
      <c r="I535" s="17">
        <f>SQRT((4*(HSP!$B$5-$B535)^2+(HSP!$C$5-$C535)^2+(HSP!$D$5-$D535)^2))</f>
        <v>6.6327143764826761</v>
      </c>
      <c r="J535" s="17">
        <f>SQRT((4*(HSP!$B$6-$B535)^2+(HSP!$C$6-$C535)^2+(HSP!$D$6-$D535)^2))</f>
        <v>6.189588031525199</v>
      </c>
      <c r="K535" s="17">
        <f t="shared" si="0"/>
        <v>0.75131884043992903</v>
      </c>
      <c r="L535" s="17">
        <f t="shared" si="1"/>
        <v>0.47193973249887633</v>
      </c>
      <c r="M535" s="17">
        <f t="shared" si="2"/>
        <v>0.91554476800548745</v>
      </c>
      <c r="N535" s="17">
        <f t="shared" si="3"/>
        <v>0.88436191686435683</v>
      </c>
      <c r="O535" s="17">
        <f t="shared" si="4"/>
        <v>0.82527840420335985</v>
      </c>
      <c r="P535" s="17">
        <f>$F535/HSP!$E$2</f>
        <v>0.3456988529631575</v>
      </c>
      <c r="Q535" s="17">
        <f>$G535/HSP!$E$3</f>
        <v>0.2621887402771535</v>
      </c>
      <c r="R535" s="17">
        <f>$H535/HSP!$E$4</f>
        <v>0.43186073962522992</v>
      </c>
      <c r="S535" s="17">
        <f>$I535/HSP!$E$5</f>
        <v>0.48413973550968442</v>
      </c>
      <c r="T535" s="17">
        <f>$J535/HSP!$E$6</f>
        <v>0.41821540753548642</v>
      </c>
      <c r="U535" s="18" t="s">
        <v>784</v>
      </c>
      <c r="V535" s="12"/>
      <c r="W535" s="12"/>
      <c r="X535" s="12"/>
      <c r="Y535" s="12"/>
      <c r="Z535" s="12"/>
    </row>
    <row r="536" spans="1:26" ht="15" customHeight="1" x14ac:dyDescent="0.3">
      <c r="A536" s="26" t="s">
        <v>1021</v>
      </c>
      <c r="B536" s="17">
        <v>17.899999999999999</v>
      </c>
      <c r="C536" s="17">
        <v>3.5</v>
      </c>
      <c r="D536" s="17">
        <v>7.5</v>
      </c>
      <c r="E536" s="17">
        <v>5.9</v>
      </c>
      <c r="F536" s="17">
        <f>SQRT((4*(HSP!$B$2-$B536)^2+(HSP!$C$2-$C536)^2+(HSP!$D$2-$D536)^2))</f>
        <v>9.60583156212933</v>
      </c>
      <c r="G536" s="17">
        <f>SQRT((4*(HSP!$B$3-$B536)^2+(HSP!$C$3-$C536)^2+(HSP!$D$3-$D536)^2))</f>
        <v>7.7655907695422624</v>
      </c>
      <c r="H536" s="17">
        <f>SQRT((4*(HSP!$B$4-$B536)^2+(HSP!$C$4-$C536)^2+(HSP!$D$4-$D536)^2))</f>
        <v>5.6297424452633686</v>
      </c>
      <c r="I536" s="17">
        <f>SQRT((4*(HSP!$B$5-$B536)^2+(HSP!$C$5-$C536)^2+(HSP!$D$5-$D536)^2))</f>
        <v>11.155308153520457</v>
      </c>
      <c r="J536" s="17">
        <f>SQRT((4*(HSP!$B$6-$B536)^2+(HSP!$C$6-$C536)^2+(HSP!$D$6-$D536)^2))</f>
        <v>7.0409516402259129</v>
      </c>
      <c r="K536" s="17">
        <f t="shared" si="0"/>
        <v>1.6281070444286998</v>
      </c>
      <c r="L536" s="17">
        <f t="shared" si="1"/>
        <v>1.316201825346146</v>
      </c>
      <c r="M536" s="17">
        <f t="shared" si="2"/>
        <v>0.95419363479040142</v>
      </c>
      <c r="N536" s="17">
        <f t="shared" si="3"/>
        <v>1.8907301955119418</v>
      </c>
      <c r="O536" s="17">
        <f t="shared" si="4"/>
        <v>1.1933816339365952</v>
      </c>
      <c r="P536" s="17">
        <f>$F536/HSP!$E$2</f>
        <v>0.58931481976253552</v>
      </c>
      <c r="Q536" s="17">
        <f>$G536/HSP!$E$3</f>
        <v>0.57522894589201945</v>
      </c>
      <c r="R536" s="17">
        <f>$H536/HSP!$E$4</f>
        <v>0.35407185190335649</v>
      </c>
      <c r="S536" s="17">
        <f>$I536/HSP!$E$5</f>
        <v>0.81425606960003338</v>
      </c>
      <c r="T536" s="17">
        <f>$J536/HSP!$E$6</f>
        <v>0.47573997569094006</v>
      </c>
      <c r="U536" s="18" t="s">
        <v>471</v>
      </c>
      <c r="V536" s="12"/>
      <c r="W536" s="12"/>
      <c r="X536" s="12"/>
      <c r="Y536" s="12"/>
      <c r="Z536" s="12"/>
    </row>
    <row r="537" spans="1:26" ht="15" customHeight="1" x14ac:dyDescent="0.3">
      <c r="A537" s="26" t="s">
        <v>1022</v>
      </c>
      <c r="B537" s="17">
        <v>22.4</v>
      </c>
      <c r="C537" s="17">
        <v>9.8000000000000007</v>
      </c>
      <c r="D537" s="17">
        <v>19.399999999999999</v>
      </c>
      <c r="E537" s="17">
        <v>11.9</v>
      </c>
      <c r="F537" s="17">
        <f>SQRT((4*(HSP!$B$2-$B537)^2+(HSP!$C$2-$C537)^2+(HSP!$D$2-$D537)^2))</f>
        <v>19.951240562932419</v>
      </c>
      <c r="G537" s="17">
        <f>SQRT((4*(HSP!$B$3-$B537)^2+(HSP!$C$3-$C537)^2+(HSP!$D$3-$D537)^2))</f>
        <v>19.092731601318864</v>
      </c>
      <c r="H537" s="17">
        <f>SQRT((4*(HSP!$B$4-$B537)^2+(HSP!$C$4-$C537)^2+(HSP!$D$4-$D537)^2))</f>
        <v>19.85109568764404</v>
      </c>
      <c r="I537" s="17">
        <f>SQRT((4*(HSP!$B$5-$B537)^2+(HSP!$C$5-$C537)^2+(HSP!$D$5-$D537)^2))</f>
        <v>16.840869930024397</v>
      </c>
      <c r="J537" s="17">
        <f>SQRT((4*(HSP!$B$6-$B537)^2+(HSP!$C$6-$C537)^2+(HSP!$D$6-$D537)^2))</f>
        <v>21.366024431325542</v>
      </c>
      <c r="K537" s="17">
        <f t="shared" si="0"/>
        <v>1.6765748372212117</v>
      </c>
      <c r="L537" s="17">
        <f t="shared" si="1"/>
        <v>1.6044312270015852</v>
      </c>
      <c r="M537" s="17">
        <f t="shared" si="2"/>
        <v>1.6681593014826923</v>
      </c>
      <c r="N537" s="17">
        <f t="shared" si="3"/>
        <v>1.4151991537835626</v>
      </c>
      <c r="O537" s="17">
        <f t="shared" si="4"/>
        <v>1.795464237926516</v>
      </c>
      <c r="P537" s="17">
        <f>$F537/HSP!$E$2</f>
        <v>1.2240024885234613</v>
      </c>
      <c r="Q537" s="17">
        <f>$G537/HSP!$E$3</f>
        <v>1.4142764149125084</v>
      </c>
      <c r="R537" s="17">
        <f>$H537/HSP!$E$4</f>
        <v>1.248496584128556</v>
      </c>
      <c r="S537" s="17">
        <f>$I537/HSP!$E$5</f>
        <v>1.2292605788338977</v>
      </c>
      <c r="T537" s="17">
        <f>$J537/HSP!$E$6</f>
        <v>1.4436502994138878</v>
      </c>
      <c r="U537" s="18" t="s">
        <v>445</v>
      </c>
      <c r="V537" s="12"/>
      <c r="W537" s="12"/>
      <c r="X537" s="12"/>
      <c r="Y537" s="12"/>
      <c r="Z537" s="12"/>
    </row>
    <row r="538" spans="1:26" ht="15" customHeight="1" x14ac:dyDescent="0.3">
      <c r="A538" s="26" t="s">
        <v>1023</v>
      </c>
      <c r="B538" s="17">
        <v>23.5</v>
      </c>
      <c r="C538" s="17">
        <v>17.5</v>
      </c>
      <c r="D538" s="17">
        <v>16.8</v>
      </c>
      <c r="E538" s="17">
        <v>15.6</v>
      </c>
      <c r="F538" s="17">
        <f>SQRT((4*(HSP!$B$2-$B538)^2+(HSP!$C$2-$C538)^2+(HSP!$D$2-$D538)^2))</f>
        <v>21.513577108421558</v>
      </c>
      <c r="G538" s="17">
        <f>SQRT((4*(HSP!$B$3-$B538)^2+(HSP!$C$3-$C538)^2+(HSP!$D$3-$D538)^2))</f>
        <v>20.640019379835863</v>
      </c>
      <c r="H538" s="17">
        <f>SQRT((4*(HSP!$B$4-$B538)^2+(HSP!$C$4-$C538)^2+(HSP!$D$4-$D538)^2))</f>
        <v>23.278917500605566</v>
      </c>
      <c r="I538" s="17">
        <f>SQRT((4*(HSP!$B$5-$B538)^2+(HSP!$C$5-$C538)^2+(HSP!$D$5-$D538)^2))</f>
        <v>18.117309402888718</v>
      </c>
      <c r="J538" s="17">
        <f>SQRT((4*(HSP!$B$6-$B538)^2+(HSP!$C$6-$C538)^2+(HSP!$D$6-$D538)^2))</f>
        <v>23.689216956244035</v>
      </c>
      <c r="K538" s="17">
        <f t="shared" si="0"/>
        <v>1.3790754556680487</v>
      </c>
      <c r="L538" s="17">
        <f t="shared" si="1"/>
        <v>1.3230781653740937</v>
      </c>
      <c r="M538" s="17">
        <f t="shared" si="2"/>
        <v>1.4922383013208695</v>
      </c>
      <c r="N538" s="17">
        <f t="shared" si="3"/>
        <v>1.1613659873646616</v>
      </c>
      <c r="O538" s="17">
        <f t="shared" si="4"/>
        <v>1.5185395484771818</v>
      </c>
      <c r="P538" s="17">
        <f>$F538/HSP!$E$2</f>
        <v>1.3198513563448808</v>
      </c>
      <c r="Q538" s="17">
        <f>$G538/HSP!$E$3</f>
        <v>1.5288903244322862</v>
      </c>
      <c r="R538" s="17">
        <f>$H538/HSP!$E$4</f>
        <v>1.4640828616733059</v>
      </c>
      <c r="S538" s="17">
        <f>$I538/HSP!$E$5</f>
        <v>1.3224313432765489</v>
      </c>
      <c r="T538" s="17">
        <f>$J538/HSP!$E$6</f>
        <v>1.6006227673137861</v>
      </c>
      <c r="U538" s="18" t="s">
        <v>35</v>
      </c>
      <c r="V538" s="12"/>
      <c r="W538" s="12"/>
      <c r="X538" s="12"/>
      <c r="Y538" s="12"/>
      <c r="Z538" s="12"/>
    </row>
    <row r="539" spans="1:26" ht="12" x14ac:dyDescent="0.3">
      <c r="D539" s="25"/>
      <c r="E539" s="25"/>
      <c r="J539" s="25"/>
      <c r="O539" s="25"/>
      <c r="T539" s="25"/>
      <c r="U539" s="25"/>
    </row>
    <row r="540" spans="1:26" ht="12" x14ac:dyDescent="0.3">
      <c r="A540" s="27" t="s">
        <v>1024</v>
      </c>
      <c r="B540" s="27"/>
      <c r="D540" s="25"/>
      <c r="E540" s="25"/>
      <c r="J540" s="25"/>
      <c r="O540" s="25"/>
      <c r="T540" s="25"/>
      <c r="U540" s="25"/>
    </row>
    <row r="541" spans="1:26" ht="12" x14ac:dyDescent="0.3">
      <c r="A541" s="27" t="s">
        <v>1025</v>
      </c>
      <c r="B541" s="27"/>
      <c r="D541" s="25"/>
      <c r="E541" s="25"/>
      <c r="J541" s="25"/>
      <c r="O541" s="25"/>
      <c r="T541" s="25"/>
      <c r="U541" s="25"/>
    </row>
    <row r="542" spans="1:26" ht="12" x14ac:dyDescent="0.3">
      <c r="D542" s="25"/>
      <c r="E542" s="25"/>
      <c r="J542" s="25"/>
      <c r="O542" s="25"/>
      <c r="T542" s="25"/>
      <c r="U542" s="25"/>
    </row>
    <row r="543" spans="1:26" ht="12" x14ac:dyDescent="0.3">
      <c r="D543" s="25"/>
      <c r="E543" s="25"/>
      <c r="J543" s="25"/>
      <c r="O543" s="25"/>
      <c r="T543" s="25"/>
      <c r="U543" s="25"/>
    </row>
    <row r="544" spans="1:26" ht="15" customHeight="1" x14ac:dyDescent="0.3">
      <c r="A544" s="27"/>
      <c r="B544" s="12"/>
      <c r="C544" s="12"/>
      <c r="D544" s="12"/>
      <c r="E544" s="12"/>
      <c r="F544" s="12"/>
      <c r="G544" s="12"/>
      <c r="H544" s="12"/>
      <c r="I544" s="12"/>
      <c r="J544" s="12"/>
      <c r="K544" s="12"/>
      <c r="L544" s="12"/>
      <c r="M544" s="12"/>
      <c r="N544" s="12"/>
      <c r="O544" s="12"/>
      <c r="P544" s="12"/>
      <c r="Q544" s="12"/>
      <c r="R544" s="12"/>
      <c r="S544" s="12"/>
      <c r="T544" s="12"/>
      <c r="U544" s="18"/>
      <c r="V544" s="12"/>
      <c r="W544" s="12"/>
      <c r="X544" s="12"/>
      <c r="Y544" s="12"/>
      <c r="Z544" s="12"/>
    </row>
    <row r="545" spans="1:26" ht="15" customHeight="1" x14ac:dyDescent="0.3">
      <c r="A545" s="27"/>
      <c r="B545" s="18"/>
      <c r="C545" s="12"/>
      <c r="D545" s="12"/>
      <c r="E545" s="12"/>
      <c r="F545" s="12"/>
      <c r="G545" s="12"/>
      <c r="H545" s="12"/>
      <c r="I545" s="12"/>
      <c r="J545" s="12"/>
      <c r="K545" s="12"/>
      <c r="L545" s="12"/>
      <c r="M545" s="12"/>
      <c r="N545" s="12"/>
      <c r="O545" s="12"/>
      <c r="P545" s="12"/>
      <c r="Q545" s="12"/>
      <c r="R545" s="12"/>
      <c r="S545" s="12"/>
      <c r="T545" s="12"/>
      <c r="U545" s="18"/>
      <c r="V545" s="12"/>
      <c r="W545" s="12"/>
      <c r="X545" s="12"/>
      <c r="Y545" s="12"/>
      <c r="Z545" s="12"/>
    </row>
    <row r="546" spans="1:26" ht="15" customHeight="1" x14ac:dyDescent="0.3">
      <c r="A546" s="27"/>
      <c r="C546" s="12"/>
      <c r="D546" s="12"/>
      <c r="E546" s="12"/>
      <c r="F546" s="12"/>
      <c r="G546" s="12"/>
      <c r="H546" s="12"/>
      <c r="I546" s="12"/>
      <c r="J546" s="12"/>
      <c r="K546" s="12"/>
      <c r="L546" s="12"/>
      <c r="M546" s="12"/>
      <c r="N546" s="12"/>
      <c r="O546" s="12"/>
      <c r="P546" s="12"/>
      <c r="Q546" s="12"/>
      <c r="R546" s="12"/>
      <c r="S546" s="12"/>
      <c r="T546" s="12"/>
      <c r="U546" s="18"/>
      <c r="V546" s="12"/>
      <c r="W546" s="12"/>
      <c r="X546" s="12"/>
      <c r="Y546" s="12"/>
      <c r="Z546" s="12"/>
    </row>
    <row r="547" spans="1:26" ht="15" customHeight="1" x14ac:dyDescent="0.3">
      <c r="A547" s="27"/>
      <c r="C547" s="12"/>
      <c r="D547" s="12"/>
      <c r="E547" s="12"/>
      <c r="F547" s="12"/>
      <c r="G547" s="12"/>
      <c r="H547" s="12"/>
      <c r="I547" s="12"/>
      <c r="J547" s="12"/>
      <c r="K547" s="12"/>
      <c r="L547" s="12"/>
      <c r="M547" s="12"/>
      <c r="N547" s="12"/>
      <c r="O547" s="12"/>
      <c r="P547" s="12"/>
      <c r="Q547" s="12"/>
      <c r="R547" s="12"/>
      <c r="S547" s="12"/>
      <c r="T547" s="12"/>
      <c r="U547" s="18"/>
      <c r="V547" s="12"/>
      <c r="W547" s="12"/>
      <c r="X547" s="12"/>
      <c r="Y547" s="12"/>
      <c r="Z547" s="12"/>
    </row>
    <row r="548" spans="1:26" ht="15" customHeight="1" x14ac:dyDescent="0.3">
      <c r="A548" s="27"/>
      <c r="B548" s="12"/>
      <c r="C548" s="12"/>
      <c r="D548" s="12"/>
      <c r="E548" s="12"/>
      <c r="F548" s="12"/>
      <c r="G548" s="12"/>
      <c r="H548" s="12"/>
      <c r="I548" s="12"/>
      <c r="J548" s="12"/>
      <c r="K548" s="12"/>
      <c r="L548" s="12"/>
      <c r="M548" s="12"/>
      <c r="N548" s="12"/>
      <c r="O548" s="12"/>
      <c r="P548" s="12"/>
      <c r="Q548" s="12"/>
      <c r="R548" s="12"/>
      <c r="S548" s="12"/>
      <c r="T548" s="12"/>
      <c r="U548" s="18"/>
      <c r="V548" s="12"/>
      <c r="W548" s="12"/>
      <c r="X548" s="12"/>
      <c r="Y548" s="12"/>
      <c r="Z548" s="12"/>
    </row>
    <row r="549" spans="1:26" ht="15" customHeight="1" x14ac:dyDescent="0.3">
      <c r="A549" s="27"/>
      <c r="B549" s="12"/>
      <c r="C549" s="12"/>
      <c r="D549" s="12"/>
      <c r="E549" s="12"/>
      <c r="F549" s="12"/>
      <c r="G549" s="12"/>
      <c r="H549" s="12"/>
      <c r="I549" s="12"/>
      <c r="J549" s="12"/>
      <c r="K549" s="12"/>
      <c r="L549" s="12"/>
      <c r="M549" s="12"/>
      <c r="N549" s="12"/>
      <c r="O549" s="12"/>
      <c r="P549" s="12"/>
      <c r="Q549" s="12"/>
      <c r="R549" s="12"/>
      <c r="S549" s="12"/>
      <c r="T549" s="12"/>
      <c r="U549" s="18"/>
      <c r="V549" s="12"/>
      <c r="W549" s="12"/>
      <c r="X549" s="12"/>
      <c r="Y549" s="12"/>
      <c r="Z549" s="12"/>
    </row>
    <row r="550" spans="1:26" ht="15" customHeight="1" x14ac:dyDescent="0.3">
      <c r="A550" s="27"/>
      <c r="B550" s="12"/>
      <c r="C550" s="12"/>
      <c r="D550" s="12"/>
      <c r="E550" s="12"/>
      <c r="F550" s="12"/>
      <c r="G550" s="12"/>
      <c r="H550" s="12"/>
      <c r="I550" s="12"/>
      <c r="J550" s="12"/>
      <c r="K550" s="12"/>
      <c r="L550" s="12"/>
      <c r="M550" s="12"/>
      <c r="N550" s="12"/>
      <c r="O550" s="12"/>
      <c r="P550" s="12"/>
      <c r="Q550" s="12"/>
      <c r="R550" s="12"/>
      <c r="S550" s="12"/>
      <c r="T550" s="12"/>
      <c r="U550" s="18"/>
      <c r="V550" s="12"/>
      <c r="W550" s="12"/>
      <c r="X550" s="12"/>
      <c r="Y550" s="12"/>
      <c r="Z550" s="12"/>
    </row>
    <row r="551" spans="1:26" ht="15" customHeight="1" x14ac:dyDescent="0.3">
      <c r="B551" s="12"/>
      <c r="C551" s="12"/>
      <c r="D551" s="12"/>
      <c r="E551" s="12"/>
      <c r="F551" s="12"/>
      <c r="G551" s="12"/>
      <c r="H551" s="12"/>
      <c r="I551" s="12"/>
      <c r="J551" s="12"/>
      <c r="K551" s="12"/>
      <c r="L551" s="12"/>
      <c r="M551" s="12"/>
      <c r="N551" s="12"/>
      <c r="O551" s="12"/>
      <c r="P551" s="12"/>
      <c r="Q551" s="12"/>
      <c r="R551" s="12"/>
      <c r="S551" s="12"/>
      <c r="T551" s="12"/>
      <c r="U551" s="18"/>
      <c r="V551" s="12"/>
      <c r="W551" s="12"/>
      <c r="X551" s="12"/>
      <c r="Y551" s="12"/>
      <c r="Z551" s="12"/>
    </row>
    <row r="552" spans="1:26" ht="15" customHeight="1" x14ac:dyDescent="0.3">
      <c r="A552" s="27"/>
      <c r="B552" s="12"/>
      <c r="C552" s="12"/>
      <c r="D552" s="12"/>
      <c r="E552" s="12"/>
      <c r="F552" s="12"/>
      <c r="G552" s="12"/>
      <c r="H552" s="12"/>
      <c r="I552" s="12"/>
      <c r="J552" s="12"/>
      <c r="K552" s="12"/>
      <c r="L552" s="12"/>
      <c r="M552" s="12"/>
      <c r="N552" s="12"/>
      <c r="O552" s="12"/>
      <c r="P552" s="12"/>
      <c r="Q552" s="12"/>
      <c r="R552" s="12"/>
      <c r="S552" s="12"/>
      <c r="T552" s="12"/>
      <c r="U552" s="18"/>
      <c r="V552" s="12"/>
      <c r="W552" s="12"/>
      <c r="X552" s="12"/>
      <c r="Y552" s="12"/>
      <c r="Z552" s="12"/>
    </row>
    <row r="553" spans="1:26" ht="15" customHeight="1" x14ac:dyDescent="0.3">
      <c r="A553" s="27"/>
      <c r="B553" s="12"/>
      <c r="C553" s="12"/>
      <c r="D553" s="12"/>
      <c r="E553" s="12"/>
      <c r="F553" s="12"/>
      <c r="G553" s="12"/>
      <c r="H553" s="12"/>
      <c r="I553" s="12"/>
      <c r="J553" s="12"/>
      <c r="K553" s="12"/>
      <c r="L553" s="12"/>
      <c r="M553" s="12"/>
      <c r="N553" s="12"/>
      <c r="O553" s="12"/>
      <c r="P553" s="12"/>
      <c r="Q553" s="12"/>
      <c r="R553" s="12"/>
      <c r="S553" s="12"/>
      <c r="T553" s="12"/>
      <c r="U553" s="18"/>
      <c r="V553" s="12"/>
      <c r="W553" s="12"/>
      <c r="X553" s="12"/>
      <c r="Y553" s="12"/>
      <c r="Z553" s="12"/>
    </row>
    <row r="554" spans="1:26" ht="15" customHeight="1" x14ac:dyDescent="0.3">
      <c r="A554" s="27"/>
      <c r="B554" s="12"/>
      <c r="C554" s="12"/>
      <c r="D554" s="12"/>
      <c r="E554" s="12"/>
      <c r="F554" s="12"/>
      <c r="G554" s="12"/>
      <c r="H554" s="12"/>
      <c r="I554" s="12"/>
      <c r="J554" s="12"/>
      <c r="K554" s="12"/>
      <c r="L554" s="12"/>
      <c r="M554" s="12"/>
      <c r="N554" s="12"/>
      <c r="O554" s="12"/>
      <c r="P554" s="12"/>
      <c r="Q554" s="12"/>
      <c r="R554" s="12"/>
      <c r="S554" s="12"/>
      <c r="T554" s="12"/>
      <c r="U554" s="18"/>
      <c r="V554" s="12"/>
      <c r="W554" s="12"/>
      <c r="X554" s="12"/>
      <c r="Y554" s="12"/>
      <c r="Z554" s="12"/>
    </row>
    <row r="555" spans="1:26" ht="15" customHeight="1" x14ac:dyDescent="0.3">
      <c r="A555" s="27"/>
      <c r="B555" s="12"/>
      <c r="C555" s="12"/>
      <c r="D555" s="12"/>
      <c r="E555" s="12"/>
      <c r="F555" s="12"/>
      <c r="G555" s="12"/>
      <c r="H555" s="12"/>
      <c r="I555" s="12"/>
      <c r="J555" s="12"/>
      <c r="K555" s="12"/>
      <c r="L555" s="12"/>
      <c r="M555" s="12"/>
      <c r="N555" s="12"/>
      <c r="O555" s="12"/>
      <c r="P555" s="12"/>
      <c r="Q555" s="12"/>
      <c r="R555" s="12"/>
      <c r="S555" s="12"/>
      <c r="T555" s="12"/>
      <c r="U555" s="18"/>
      <c r="V555" s="12"/>
      <c r="W555" s="12"/>
      <c r="X555" s="12"/>
      <c r="Y555" s="12"/>
      <c r="Z555" s="12"/>
    </row>
    <row r="556" spans="1:26" ht="15" customHeight="1" x14ac:dyDescent="0.3">
      <c r="A556" s="27"/>
      <c r="B556" s="12"/>
      <c r="C556" s="12"/>
      <c r="D556" s="12"/>
      <c r="E556" s="12"/>
      <c r="F556" s="12"/>
      <c r="G556" s="12"/>
      <c r="H556" s="12"/>
      <c r="I556" s="12"/>
      <c r="J556" s="12"/>
      <c r="K556" s="12"/>
      <c r="L556" s="12"/>
      <c r="M556" s="12"/>
      <c r="N556" s="12"/>
      <c r="O556" s="12"/>
      <c r="P556" s="12"/>
      <c r="Q556" s="12"/>
      <c r="R556" s="12"/>
      <c r="S556" s="12"/>
      <c r="T556" s="12"/>
      <c r="U556" s="18"/>
      <c r="V556" s="12"/>
      <c r="W556" s="12"/>
      <c r="X556" s="12"/>
      <c r="Y556" s="12"/>
      <c r="Z556" s="12"/>
    </row>
    <row r="557" spans="1:26" ht="15" customHeight="1" x14ac:dyDescent="0.3">
      <c r="A557" s="27"/>
      <c r="B557" s="12"/>
      <c r="C557" s="12"/>
      <c r="D557" s="12"/>
      <c r="E557" s="12"/>
      <c r="F557" s="12"/>
      <c r="G557" s="12"/>
      <c r="H557" s="12"/>
      <c r="I557" s="12"/>
      <c r="J557" s="12"/>
      <c r="K557" s="12"/>
      <c r="L557" s="12"/>
      <c r="M557" s="12"/>
      <c r="N557" s="12"/>
      <c r="O557" s="12"/>
      <c r="P557" s="12"/>
      <c r="Q557" s="12"/>
      <c r="R557" s="12"/>
      <c r="S557" s="12"/>
      <c r="T557" s="12"/>
      <c r="U557" s="18"/>
      <c r="V557" s="12"/>
      <c r="W557" s="12"/>
      <c r="X557" s="12"/>
      <c r="Y557" s="12"/>
      <c r="Z557" s="12"/>
    </row>
    <row r="558" spans="1:26" ht="15" customHeight="1" x14ac:dyDescent="0.3">
      <c r="A558" s="27"/>
      <c r="B558" s="12"/>
      <c r="C558" s="12"/>
      <c r="D558" s="12"/>
      <c r="E558" s="12"/>
      <c r="F558" s="12"/>
      <c r="G558" s="12"/>
      <c r="H558" s="12"/>
      <c r="I558" s="12"/>
      <c r="J558" s="12"/>
      <c r="K558" s="12"/>
      <c r="L558" s="12"/>
      <c r="M558" s="12"/>
      <c r="N558" s="12"/>
      <c r="O558" s="12"/>
      <c r="P558" s="12"/>
      <c r="Q558" s="12"/>
      <c r="R558" s="12"/>
      <c r="S558" s="12"/>
      <c r="T558" s="12"/>
      <c r="U558" s="18"/>
      <c r="V558" s="12"/>
      <c r="W558" s="12"/>
      <c r="X558" s="12"/>
      <c r="Y558" s="12"/>
      <c r="Z558" s="12"/>
    </row>
    <row r="559" spans="1:26" ht="15" customHeight="1" x14ac:dyDescent="0.3">
      <c r="A559" s="27"/>
      <c r="B559" s="12"/>
      <c r="C559" s="12"/>
      <c r="D559" s="12"/>
      <c r="E559" s="12"/>
      <c r="F559" s="12"/>
      <c r="G559" s="12"/>
      <c r="H559" s="12"/>
      <c r="I559" s="12"/>
      <c r="J559" s="12"/>
      <c r="K559" s="12"/>
      <c r="L559" s="12"/>
      <c r="M559" s="12"/>
      <c r="N559" s="12"/>
      <c r="O559" s="12"/>
      <c r="P559" s="12"/>
      <c r="Q559" s="12"/>
      <c r="R559" s="12"/>
      <c r="S559" s="12"/>
      <c r="T559" s="12"/>
      <c r="U559" s="18"/>
      <c r="V559" s="12"/>
      <c r="W559" s="12"/>
      <c r="X559" s="12"/>
      <c r="Y559" s="12"/>
      <c r="Z559" s="12"/>
    </row>
    <row r="560" spans="1:26" ht="15" customHeight="1" x14ac:dyDescent="0.3">
      <c r="A560" s="27"/>
      <c r="B560" s="12"/>
      <c r="C560" s="12"/>
      <c r="D560" s="12"/>
      <c r="E560" s="12"/>
      <c r="F560" s="12"/>
      <c r="G560" s="12"/>
      <c r="H560" s="12"/>
      <c r="I560" s="12"/>
      <c r="J560" s="12"/>
      <c r="K560" s="12"/>
      <c r="L560" s="12"/>
      <c r="M560" s="12"/>
      <c r="N560" s="12"/>
      <c r="O560" s="12"/>
      <c r="P560" s="12"/>
      <c r="Q560" s="12"/>
      <c r="R560" s="12"/>
      <c r="S560" s="12"/>
      <c r="T560" s="12"/>
      <c r="U560" s="18"/>
      <c r="V560" s="12"/>
      <c r="W560" s="12"/>
      <c r="X560" s="12"/>
      <c r="Y560" s="12"/>
      <c r="Z560" s="12"/>
    </row>
    <row r="561" spans="1:26" ht="15" customHeight="1" x14ac:dyDescent="0.3">
      <c r="A561" s="27"/>
      <c r="B561" s="12"/>
      <c r="C561" s="12"/>
      <c r="D561" s="12"/>
      <c r="E561" s="12"/>
      <c r="F561" s="12"/>
      <c r="G561" s="12"/>
      <c r="H561" s="12"/>
      <c r="I561" s="12"/>
      <c r="J561" s="12"/>
      <c r="K561" s="12"/>
      <c r="L561" s="12"/>
      <c r="M561" s="12"/>
      <c r="N561" s="12"/>
      <c r="O561" s="12"/>
      <c r="P561" s="12"/>
      <c r="Q561" s="12"/>
      <c r="R561" s="12"/>
      <c r="S561" s="12"/>
      <c r="T561" s="12"/>
      <c r="U561" s="18"/>
      <c r="V561" s="12"/>
      <c r="W561" s="12"/>
      <c r="X561" s="12"/>
      <c r="Y561" s="12"/>
      <c r="Z561" s="12"/>
    </row>
    <row r="562" spans="1:26" ht="15" customHeight="1" x14ac:dyDescent="0.3">
      <c r="A562" s="27"/>
      <c r="B562" s="12"/>
      <c r="C562" s="12"/>
      <c r="D562" s="12"/>
      <c r="E562" s="12"/>
      <c r="F562" s="12"/>
      <c r="G562" s="12"/>
      <c r="H562" s="12"/>
      <c r="I562" s="12"/>
      <c r="J562" s="12"/>
      <c r="K562" s="12"/>
      <c r="L562" s="12"/>
      <c r="M562" s="12"/>
      <c r="N562" s="12"/>
      <c r="O562" s="12"/>
      <c r="P562" s="12"/>
      <c r="Q562" s="12"/>
      <c r="R562" s="12"/>
      <c r="S562" s="12"/>
      <c r="T562" s="12"/>
      <c r="U562" s="18"/>
      <c r="V562" s="12"/>
      <c r="W562" s="12"/>
      <c r="X562" s="12"/>
      <c r="Y562" s="12"/>
      <c r="Z562" s="12"/>
    </row>
    <row r="563" spans="1:26" ht="15" customHeight="1" x14ac:dyDescent="0.3">
      <c r="A563" s="27"/>
      <c r="B563" s="12"/>
      <c r="C563" s="12"/>
      <c r="D563" s="12"/>
      <c r="E563" s="12"/>
      <c r="F563" s="12"/>
      <c r="G563" s="12"/>
      <c r="H563" s="12"/>
      <c r="I563" s="12"/>
      <c r="J563" s="12"/>
      <c r="K563" s="12"/>
      <c r="L563" s="12"/>
      <c r="M563" s="12"/>
      <c r="N563" s="12"/>
      <c r="O563" s="12"/>
      <c r="P563" s="12"/>
      <c r="Q563" s="12"/>
      <c r="R563" s="12"/>
      <c r="S563" s="12"/>
      <c r="T563" s="12"/>
      <c r="U563" s="18"/>
      <c r="V563" s="12"/>
      <c r="W563" s="12"/>
      <c r="X563" s="12"/>
      <c r="Y563" s="12"/>
      <c r="Z563" s="12"/>
    </row>
    <row r="564" spans="1:26" ht="15" customHeight="1" x14ac:dyDescent="0.3">
      <c r="A564" s="27"/>
      <c r="B564" s="12"/>
      <c r="C564" s="12"/>
      <c r="D564" s="12"/>
      <c r="E564" s="12"/>
      <c r="F564" s="12"/>
      <c r="G564" s="12"/>
      <c r="H564" s="12"/>
      <c r="I564" s="12"/>
      <c r="J564" s="12"/>
      <c r="K564" s="12"/>
      <c r="L564" s="12"/>
      <c r="M564" s="12"/>
      <c r="N564" s="12"/>
      <c r="O564" s="12"/>
      <c r="P564" s="12"/>
      <c r="Q564" s="12"/>
      <c r="R564" s="12"/>
      <c r="S564" s="12"/>
      <c r="T564" s="12"/>
      <c r="U564" s="18"/>
      <c r="V564" s="12"/>
      <c r="W564" s="12"/>
      <c r="X564" s="12"/>
      <c r="Y564" s="12"/>
      <c r="Z564" s="12"/>
    </row>
    <row r="565" spans="1:26" ht="15" customHeight="1" x14ac:dyDescent="0.3">
      <c r="A565" s="27"/>
      <c r="B565" s="12"/>
      <c r="C565" s="12"/>
      <c r="D565" s="12"/>
      <c r="E565" s="12"/>
      <c r="F565" s="12"/>
      <c r="G565" s="12"/>
      <c r="H565" s="12"/>
      <c r="I565" s="12"/>
      <c r="J565" s="12"/>
      <c r="K565" s="12"/>
      <c r="L565" s="12"/>
      <c r="M565" s="12"/>
      <c r="N565" s="12"/>
      <c r="O565" s="12"/>
      <c r="P565" s="12"/>
      <c r="Q565" s="12"/>
      <c r="R565" s="12"/>
      <c r="S565" s="12"/>
      <c r="T565" s="12"/>
      <c r="U565" s="18"/>
      <c r="V565" s="12"/>
      <c r="W565" s="12"/>
      <c r="X565" s="12"/>
      <c r="Y565" s="12"/>
      <c r="Z565" s="12"/>
    </row>
    <row r="566" spans="1:26" ht="15" customHeight="1" x14ac:dyDescent="0.3">
      <c r="A566" s="27"/>
      <c r="B566" s="12"/>
      <c r="C566" s="12"/>
      <c r="D566" s="12"/>
      <c r="E566" s="12"/>
      <c r="F566" s="12"/>
      <c r="G566" s="12"/>
      <c r="H566" s="12"/>
      <c r="I566" s="12"/>
      <c r="J566" s="12"/>
      <c r="K566" s="12"/>
      <c r="L566" s="12"/>
      <c r="M566" s="12"/>
      <c r="N566" s="12"/>
      <c r="O566" s="12"/>
      <c r="P566" s="12"/>
      <c r="Q566" s="12"/>
      <c r="R566" s="12"/>
      <c r="S566" s="12"/>
      <c r="T566" s="12"/>
      <c r="U566" s="18"/>
      <c r="V566" s="12"/>
      <c r="W566" s="12"/>
      <c r="X566" s="12"/>
      <c r="Y566" s="12"/>
      <c r="Z566" s="12"/>
    </row>
    <row r="567" spans="1:26" ht="15" customHeight="1" x14ac:dyDescent="0.3">
      <c r="A567" s="27"/>
      <c r="B567" s="12"/>
      <c r="C567" s="12"/>
      <c r="D567" s="12"/>
      <c r="E567" s="12"/>
      <c r="F567" s="12"/>
      <c r="G567" s="12"/>
      <c r="H567" s="12"/>
      <c r="I567" s="12"/>
      <c r="J567" s="12"/>
      <c r="K567" s="12"/>
      <c r="L567" s="12"/>
      <c r="M567" s="12"/>
      <c r="N567" s="12"/>
      <c r="O567" s="12"/>
      <c r="P567" s="12"/>
      <c r="Q567" s="12"/>
      <c r="R567" s="12"/>
      <c r="S567" s="12"/>
      <c r="T567" s="12"/>
      <c r="U567" s="18"/>
      <c r="V567" s="12"/>
      <c r="W567" s="12"/>
      <c r="X567" s="12"/>
      <c r="Y567" s="12"/>
      <c r="Z567" s="12"/>
    </row>
    <row r="568" spans="1:26" ht="15" customHeight="1" x14ac:dyDescent="0.3">
      <c r="A568" s="27"/>
      <c r="B568" s="12"/>
      <c r="C568" s="12"/>
      <c r="D568" s="12"/>
      <c r="E568" s="12"/>
      <c r="F568" s="12"/>
      <c r="G568" s="12"/>
      <c r="H568" s="12"/>
      <c r="I568" s="12"/>
      <c r="J568" s="12"/>
      <c r="K568" s="12"/>
      <c r="L568" s="12"/>
      <c r="M568" s="12"/>
      <c r="N568" s="12"/>
      <c r="O568" s="12"/>
      <c r="P568" s="12"/>
      <c r="Q568" s="12"/>
      <c r="R568" s="12"/>
      <c r="S568" s="12"/>
      <c r="T568" s="12"/>
      <c r="U568" s="18"/>
      <c r="V568" s="12"/>
      <c r="W568" s="12"/>
      <c r="X568" s="12"/>
      <c r="Y568" s="12"/>
      <c r="Z568" s="12"/>
    </row>
    <row r="569" spans="1:26" ht="15" customHeight="1" x14ac:dyDescent="0.3">
      <c r="A569" s="27"/>
      <c r="B569" s="12"/>
      <c r="C569" s="12"/>
      <c r="D569" s="12"/>
      <c r="E569" s="12"/>
      <c r="F569" s="12"/>
      <c r="G569" s="12"/>
      <c r="H569" s="12"/>
      <c r="I569" s="12"/>
      <c r="J569" s="12"/>
      <c r="K569" s="12"/>
      <c r="L569" s="12"/>
      <c r="M569" s="12"/>
      <c r="N569" s="12"/>
      <c r="O569" s="12"/>
      <c r="P569" s="12"/>
      <c r="Q569" s="12"/>
      <c r="R569" s="12"/>
      <c r="S569" s="12"/>
      <c r="T569" s="12"/>
      <c r="U569" s="18"/>
      <c r="V569" s="12"/>
      <c r="W569" s="12"/>
      <c r="X569" s="12"/>
      <c r="Y569" s="12"/>
      <c r="Z569" s="12"/>
    </row>
    <row r="570" spans="1:26" ht="15" customHeight="1" x14ac:dyDescent="0.3">
      <c r="A570" s="27"/>
      <c r="B570" s="12"/>
      <c r="C570" s="12"/>
      <c r="D570" s="12"/>
      <c r="E570" s="12"/>
      <c r="F570" s="12"/>
      <c r="G570" s="12"/>
      <c r="H570" s="12"/>
      <c r="I570" s="12"/>
      <c r="J570" s="12"/>
      <c r="K570" s="12"/>
      <c r="L570" s="12"/>
      <c r="M570" s="12"/>
      <c r="N570" s="12"/>
      <c r="O570" s="12"/>
      <c r="P570" s="12"/>
      <c r="Q570" s="12"/>
      <c r="R570" s="12"/>
      <c r="S570" s="12"/>
      <c r="T570" s="12"/>
      <c r="U570" s="18"/>
      <c r="V570" s="12"/>
      <c r="W570" s="12"/>
      <c r="X570" s="12"/>
      <c r="Y570" s="12"/>
      <c r="Z570" s="12"/>
    </row>
    <row r="571" spans="1:26" ht="15" customHeight="1" x14ac:dyDescent="0.3">
      <c r="A571" s="27"/>
      <c r="B571" s="12"/>
      <c r="C571" s="12"/>
      <c r="D571" s="12"/>
      <c r="E571" s="12"/>
      <c r="F571" s="12"/>
      <c r="G571" s="12"/>
      <c r="H571" s="12"/>
      <c r="I571" s="12"/>
      <c r="J571" s="12"/>
      <c r="K571" s="12"/>
      <c r="L571" s="12"/>
      <c r="M571" s="12"/>
      <c r="N571" s="12"/>
      <c r="O571" s="12"/>
      <c r="P571" s="12"/>
      <c r="Q571" s="12"/>
      <c r="R571" s="12"/>
      <c r="S571" s="12"/>
      <c r="T571" s="12"/>
      <c r="U571" s="18"/>
      <c r="V571" s="12"/>
      <c r="W571" s="12"/>
      <c r="X571" s="12"/>
      <c r="Y571" s="12"/>
      <c r="Z571" s="12"/>
    </row>
    <row r="572" spans="1:26" ht="15" customHeight="1" x14ac:dyDescent="0.3">
      <c r="A572" s="27"/>
      <c r="B572" s="12"/>
      <c r="C572" s="12"/>
      <c r="D572" s="12"/>
      <c r="E572" s="12"/>
      <c r="F572" s="12"/>
      <c r="G572" s="12"/>
      <c r="H572" s="12"/>
      <c r="I572" s="12"/>
      <c r="J572" s="12"/>
      <c r="K572" s="12"/>
      <c r="L572" s="12"/>
      <c r="M572" s="12"/>
      <c r="N572" s="12"/>
      <c r="O572" s="12"/>
      <c r="P572" s="12"/>
      <c r="Q572" s="12"/>
      <c r="R572" s="12"/>
      <c r="S572" s="12"/>
      <c r="T572" s="12"/>
      <c r="U572" s="18"/>
      <c r="V572" s="12"/>
      <c r="W572" s="12"/>
      <c r="X572" s="12"/>
      <c r="Y572" s="12"/>
      <c r="Z572" s="12"/>
    </row>
    <row r="573" spans="1:26" ht="15" customHeight="1" x14ac:dyDescent="0.3">
      <c r="A573" s="27"/>
      <c r="B573" s="12"/>
      <c r="C573" s="12"/>
      <c r="D573" s="12"/>
      <c r="E573" s="12"/>
      <c r="F573" s="12"/>
      <c r="G573" s="12"/>
      <c r="H573" s="12"/>
      <c r="I573" s="12"/>
      <c r="J573" s="12"/>
      <c r="K573" s="12"/>
      <c r="L573" s="12"/>
      <c r="M573" s="12"/>
      <c r="N573" s="12"/>
      <c r="O573" s="12"/>
      <c r="P573" s="12"/>
      <c r="Q573" s="12"/>
      <c r="R573" s="12"/>
      <c r="S573" s="12"/>
      <c r="T573" s="12"/>
      <c r="U573" s="18"/>
      <c r="V573" s="12"/>
      <c r="W573" s="12"/>
      <c r="X573" s="12"/>
      <c r="Y573" s="12"/>
      <c r="Z573" s="12"/>
    </row>
    <row r="574" spans="1:26" ht="15" customHeight="1" x14ac:dyDescent="0.3">
      <c r="A574" s="27"/>
      <c r="B574" s="12"/>
      <c r="C574" s="12"/>
      <c r="D574" s="12"/>
      <c r="E574" s="12"/>
      <c r="F574" s="12"/>
      <c r="G574" s="12"/>
      <c r="H574" s="12"/>
      <c r="I574" s="12"/>
      <c r="J574" s="12"/>
      <c r="K574" s="12"/>
      <c r="L574" s="12"/>
      <c r="M574" s="12"/>
      <c r="N574" s="12"/>
      <c r="O574" s="12"/>
      <c r="P574" s="12"/>
      <c r="Q574" s="12"/>
      <c r="R574" s="12"/>
      <c r="S574" s="12"/>
      <c r="T574" s="12"/>
      <c r="U574" s="18"/>
      <c r="V574" s="12"/>
      <c r="W574" s="12"/>
      <c r="X574" s="12"/>
      <c r="Y574" s="12"/>
      <c r="Z574" s="12"/>
    </row>
    <row r="575" spans="1:26" ht="15" customHeight="1" x14ac:dyDescent="0.3">
      <c r="A575" s="27"/>
      <c r="B575" s="12"/>
      <c r="C575" s="12"/>
      <c r="D575" s="12"/>
      <c r="E575" s="12"/>
      <c r="F575" s="12"/>
      <c r="G575" s="12"/>
      <c r="H575" s="12"/>
      <c r="I575" s="12"/>
      <c r="J575" s="12"/>
      <c r="K575" s="12"/>
      <c r="L575" s="12"/>
      <c r="M575" s="12"/>
      <c r="N575" s="12"/>
      <c r="O575" s="12"/>
      <c r="P575" s="12"/>
      <c r="Q575" s="12"/>
      <c r="R575" s="12"/>
      <c r="S575" s="12"/>
      <c r="T575" s="12"/>
      <c r="U575" s="18"/>
      <c r="V575" s="12"/>
      <c r="W575" s="12"/>
      <c r="X575" s="12"/>
      <c r="Y575" s="12"/>
      <c r="Z575" s="12"/>
    </row>
    <row r="576" spans="1:26" ht="15" customHeight="1" x14ac:dyDescent="0.3">
      <c r="A576" s="27"/>
      <c r="B576" s="12"/>
      <c r="C576" s="12"/>
      <c r="D576" s="12"/>
      <c r="E576" s="12"/>
      <c r="F576" s="12"/>
      <c r="G576" s="12"/>
      <c r="H576" s="12"/>
      <c r="I576" s="12"/>
      <c r="J576" s="12"/>
      <c r="K576" s="12"/>
      <c r="L576" s="12"/>
      <c r="M576" s="12"/>
      <c r="N576" s="12"/>
      <c r="O576" s="12"/>
      <c r="P576" s="12"/>
      <c r="Q576" s="12"/>
      <c r="R576" s="12"/>
      <c r="S576" s="12"/>
      <c r="T576" s="12"/>
      <c r="U576" s="18"/>
      <c r="V576" s="12"/>
      <c r="W576" s="12"/>
      <c r="X576" s="12"/>
      <c r="Y576" s="12"/>
      <c r="Z576" s="12"/>
    </row>
    <row r="577" spans="1:26" ht="15" customHeight="1" x14ac:dyDescent="0.3">
      <c r="A577" s="27"/>
      <c r="B577" s="12"/>
      <c r="C577" s="12"/>
      <c r="D577" s="12"/>
      <c r="E577" s="12"/>
      <c r="F577" s="12"/>
      <c r="G577" s="12"/>
      <c r="H577" s="12"/>
      <c r="I577" s="12"/>
      <c r="J577" s="12"/>
      <c r="K577" s="12"/>
      <c r="L577" s="12"/>
      <c r="M577" s="12"/>
      <c r="N577" s="12"/>
      <c r="O577" s="12"/>
      <c r="P577" s="12"/>
      <c r="Q577" s="12"/>
      <c r="R577" s="12"/>
      <c r="S577" s="12"/>
      <c r="T577" s="12"/>
      <c r="U577" s="18"/>
      <c r="V577" s="12"/>
      <c r="W577" s="12"/>
      <c r="X577" s="12"/>
      <c r="Y577" s="12"/>
      <c r="Z577" s="12"/>
    </row>
    <row r="578" spans="1:26" ht="15" customHeight="1" x14ac:dyDescent="0.3">
      <c r="A578" s="27"/>
      <c r="B578" s="12"/>
      <c r="C578" s="12"/>
      <c r="D578" s="12"/>
      <c r="E578" s="12"/>
      <c r="F578" s="12"/>
      <c r="G578" s="12"/>
      <c r="H578" s="12"/>
      <c r="I578" s="12"/>
      <c r="J578" s="12"/>
      <c r="K578" s="12"/>
      <c r="L578" s="12"/>
      <c r="M578" s="12"/>
      <c r="N578" s="12"/>
      <c r="O578" s="12"/>
      <c r="P578" s="12"/>
      <c r="Q578" s="12"/>
      <c r="R578" s="12"/>
      <c r="S578" s="12"/>
      <c r="T578" s="12"/>
      <c r="U578" s="18"/>
      <c r="V578" s="12"/>
      <c r="W578" s="12"/>
      <c r="X578" s="12"/>
      <c r="Y578" s="12"/>
      <c r="Z578" s="12"/>
    </row>
    <row r="579" spans="1:26" ht="15" customHeight="1" x14ac:dyDescent="0.3">
      <c r="A579" s="27"/>
      <c r="B579" s="12"/>
      <c r="C579" s="12"/>
      <c r="D579" s="12"/>
      <c r="E579" s="12"/>
      <c r="F579" s="12"/>
      <c r="G579" s="12"/>
      <c r="H579" s="12"/>
      <c r="I579" s="12"/>
      <c r="J579" s="12"/>
      <c r="K579" s="12"/>
      <c r="L579" s="12"/>
      <c r="M579" s="12"/>
      <c r="N579" s="12"/>
      <c r="O579" s="12"/>
      <c r="P579" s="12"/>
      <c r="Q579" s="12"/>
      <c r="R579" s="12"/>
      <c r="S579" s="12"/>
      <c r="T579" s="12"/>
      <c r="U579" s="18"/>
      <c r="V579" s="12"/>
      <c r="W579" s="12"/>
      <c r="X579" s="12"/>
      <c r="Y579" s="12"/>
      <c r="Z579" s="12"/>
    </row>
    <row r="580" spans="1:26" ht="15" customHeight="1" x14ac:dyDescent="0.3">
      <c r="A580" s="27"/>
      <c r="B580" s="12"/>
      <c r="C580" s="12"/>
      <c r="D580" s="12"/>
      <c r="E580" s="12"/>
      <c r="F580" s="12"/>
      <c r="G580" s="12"/>
      <c r="H580" s="12"/>
      <c r="I580" s="12"/>
      <c r="J580" s="12"/>
      <c r="K580" s="12"/>
      <c r="L580" s="12"/>
      <c r="M580" s="12"/>
      <c r="N580" s="12"/>
      <c r="O580" s="12"/>
      <c r="P580" s="12"/>
      <c r="Q580" s="12"/>
      <c r="R580" s="12"/>
      <c r="S580" s="12"/>
      <c r="T580" s="12"/>
      <c r="U580" s="18"/>
      <c r="V580" s="12"/>
      <c r="W580" s="12"/>
      <c r="X580" s="12"/>
      <c r="Y580" s="12"/>
      <c r="Z580" s="12"/>
    </row>
    <row r="581" spans="1:26" ht="15" customHeight="1" x14ac:dyDescent="0.3">
      <c r="A581" s="27"/>
      <c r="B581" s="12"/>
      <c r="C581" s="12"/>
      <c r="D581" s="12"/>
      <c r="E581" s="12"/>
      <c r="F581" s="12"/>
      <c r="G581" s="12"/>
      <c r="H581" s="12"/>
      <c r="I581" s="12"/>
      <c r="J581" s="12"/>
      <c r="K581" s="12"/>
      <c r="L581" s="12"/>
      <c r="M581" s="12"/>
      <c r="N581" s="12"/>
      <c r="O581" s="12"/>
      <c r="P581" s="12"/>
      <c r="Q581" s="12"/>
      <c r="R581" s="12"/>
      <c r="S581" s="12"/>
      <c r="T581" s="12"/>
      <c r="U581" s="18"/>
      <c r="V581" s="12"/>
      <c r="W581" s="12"/>
      <c r="X581" s="12"/>
      <c r="Y581" s="12"/>
      <c r="Z581" s="12"/>
    </row>
    <row r="582" spans="1:26" ht="15" customHeight="1" x14ac:dyDescent="0.3">
      <c r="A582" s="27"/>
      <c r="B582" s="12"/>
      <c r="C582" s="12"/>
      <c r="D582" s="12"/>
      <c r="E582" s="12"/>
      <c r="F582" s="12"/>
      <c r="G582" s="12"/>
      <c r="H582" s="12"/>
      <c r="I582" s="12"/>
      <c r="J582" s="12"/>
      <c r="K582" s="12"/>
      <c r="L582" s="12"/>
      <c r="M582" s="12"/>
      <c r="N582" s="12"/>
      <c r="O582" s="12"/>
      <c r="P582" s="12"/>
      <c r="Q582" s="12"/>
      <c r="R582" s="12"/>
      <c r="S582" s="12"/>
      <c r="T582" s="12"/>
      <c r="U582" s="18"/>
      <c r="V582" s="12"/>
      <c r="W582" s="12"/>
      <c r="X582" s="12"/>
      <c r="Y582" s="12"/>
      <c r="Z582" s="12"/>
    </row>
    <row r="583" spans="1:26" ht="15" customHeight="1" x14ac:dyDescent="0.3">
      <c r="A583" s="27"/>
      <c r="B583" s="12"/>
      <c r="C583" s="12"/>
      <c r="D583" s="12"/>
      <c r="E583" s="12"/>
      <c r="F583" s="12"/>
      <c r="G583" s="12"/>
      <c r="H583" s="12"/>
      <c r="I583" s="12"/>
      <c r="J583" s="12"/>
      <c r="K583" s="12"/>
      <c r="L583" s="12"/>
      <c r="M583" s="12"/>
      <c r="N583" s="12"/>
      <c r="O583" s="12"/>
      <c r="P583" s="12"/>
      <c r="Q583" s="12"/>
      <c r="R583" s="12"/>
      <c r="S583" s="12"/>
      <c r="T583" s="12"/>
      <c r="U583" s="18"/>
      <c r="V583" s="12"/>
      <c r="W583" s="12"/>
      <c r="X583" s="12"/>
      <c r="Y583" s="12"/>
      <c r="Z583" s="12"/>
    </row>
    <row r="584" spans="1:26" ht="15" customHeight="1" x14ac:dyDescent="0.3">
      <c r="A584" s="27"/>
      <c r="B584" s="12"/>
      <c r="C584" s="12"/>
      <c r="D584" s="12"/>
      <c r="E584" s="12"/>
      <c r="F584" s="12"/>
      <c r="G584" s="12"/>
      <c r="H584" s="12"/>
      <c r="I584" s="12"/>
      <c r="J584" s="12"/>
      <c r="K584" s="12"/>
      <c r="L584" s="12"/>
      <c r="M584" s="12"/>
      <c r="N584" s="12"/>
      <c r="O584" s="12"/>
      <c r="P584" s="12"/>
      <c r="Q584" s="12"/>
      <c r="R584" s="12"/>
      <c r="S584" s="12"/>
      <c r="T584" s="12"/>
      <c r="U584" s="18"/>
      <c r="V584" s="12"/>
      <c r="W584" s="12"/>
      <c r="X584" s="12"/>
      <c r="Y584" s="12"/>
      <c r="Z584" s="12"/>
    </row>
    <row r="585" spans="1:26" ht="15" customHeight="1" x14ac:dyDescent="0.3">
      <c r="A585" s="27"/>
      <c r="B585" s="12"/>
      <c r="C585" s="12"/>
      <c r="D585" s="12"/>
      <c r="E585" s="12"/>
      <c r="F585" s="12"/>
      <c r="G585" s="12"/>
      <c r="H585" s="12"/>
      <c r="I585" s="12"/>
      <c r="J585" s="12"/>
      <c r="K585" s="12"/>
      <c r="L585" s="12"/>
      <c r="M585" s="12"/>
      <c r="N585" s="12"/>
      <c r="O585" s="12"/>
      <c r="P585" s="12"/>
      <c r="Q585" s="12"/>
      <c r="R585" s="12"/>
      <c r="S585" s="12"/>
      <c r="T585" s="12"/>
      <c r="U585" s="18"/>
      <c r="V585" s="12"/>
      <c r="W585" s="12"/>
      <c r="X585" s="12"/>
      <c r="Y585" s="12"/>
      <c r="Z585" s="12"/>
    </row>
    <row r="586" spans="1:26" ht="15" customHeight="1" x14ac:dyDescent="0.3">
      <c r="A586" s="27"/>
      <c r="B586" s="12"/>
      <c r="C586" s="12"/>
      <c r="D586" s="12"/>
      <c r="E586" s="12"/>
      <c r="F586" s="12"/>
      <c r="G586" s="12"/>
      <c r="H586" s="12"/>
      <c r="I586" s="12"/>
      <c r="J586" s="12"/>
      <c r="K586" s="12"/>
      <c r="L586" s="12"/>
      <c r="M586" s="12"/>
      <c r="N586" s="12"/>
      <c r="O586" s="12"/>
      <c r="P586" s="12"/>
      <c r="Q586" s="12"/>
      <c r="R586" s="12"/>
      <c r="S586" s="12"/>
      <c r="T586" s="12"/>
      <c r="U586" s="18"/>
      <c r="V586" s="12"/>
      <c r="W586" s="12"/>
      <c r="X586" s="12"/>
      <c r="Y586" s="12"/>
      <c r="Z586" s="12"/>
    </row>
    <row r="587" spans="1:26" ht="15" customHeight="1" x14ac:dyDescent="0.3">
      <c r="A587" s="27"/>
      <c r="B587" s="12"/>
      <c r="C587" s="12"/>
      <c r="D587" s="12"/>
      <c r="E587" s="12"/>
      <c r="F587" s="12"/>
      <c r="G587" s="12"/>
      <c r="H587" s="12"/>
      <c r="I587" s="12"/>
      <c r="J587" s="12"/>
      <c r="K587" s="12"/>
      <c r="L587" s="12"/>
      <c r="M587" s="12"/>
      <c r="N587" s="12"/>
      <c r="O587" s="12"/>
      <c r="P587" s="12"/>
      <c r="Q587" s="12"/>
      <c r="R587" s="12"/>
      <c r="S587" s="12"/>
      <c r="T587" s="12"/>
      <c r="U587" s="18"/>
      <c r="V587" s="12"/>
      <c r="W587" s="12"/>
      <c r="X587" s="12"/>
      <c r="Y587" s="12"/>
      <c r="Z587" s="12"/>
    </row>
    <row r="588" spans="1:26" ht="15" customHeight="1" x14ac:dyDescent="0.3">
      <c r="A588" s="27"/>
      <c r="B588" s="12"/>
      <c r="C588" s="12"/>
      <c r="D588" s="12"/>
      <c r="E588" s="12"/>
      <c r="F588" s="12"/>
      <c r="G588" s="12"/>
      <c r="H588" s="12"/>
      <c r="I588" s="12"/>
      <c r="J588" s="12"/>
      <c r="K588" s="12"/>
      <c r="L588" s="12"/>
      <c r="M588" s="12"/>
      <c r="N588" s="12"/>
      <c r="O588" s="12"/>
      <c r="P588" s="12"/>
      <c r="Q588" s="12"/>
      <c r="R588" s="12"/>
      <c r="S588" s="12"/>
      <c r="T588" s="12"/>
      <c r="U588" s="18"/>
      <c r="V588" s="12"/>
      <c r="W588" s="12"/>
      <c r="X588" s="12"/>
      <c r="Y588" s="12"/>
      <c r="Z588" s="12"/>
    </row>
    <row r="589" spans="1:26" ht="15" customHeight="1" x14ac:dyDescent="0.3">
      <c r="A589" s="27"/>
      <c r="B589" s="12"/>
      <c r="C589" s="12"/>
      <c r="D589" s="12"/>
      <c r="E589" s="12"/>
      <c r="F589" s="12"/>
      <c r="G589" s="12"/>
      <c r="H589" s="12"/>
      <c r="I589" s="12"/>
      <c r="J589" s="12"/>
      <c r="K589" s="12"/>
      <c r="L589" s="12"/>
      <c r="M589" s="12"/>
      <c r="N589" s="12"/>
      <c r="O589" s="12"/>
      <c r="P589" s="12"/>
      <c r="Q589" s="12"/>
      <c r="R589" s="12"/>
      <c r="S589" s="12"/>
      <c r="T589" s="12"/>
      <c r="U589" s="18"/>
      <c r="V589" s="12"/>
      <c r="W589" s="12"/>
      <c r="X589" s="12"/>
      <c r="Y589" s="12"/>
      <c r="Z589" s="12"/>
    </row>
    <row r="590" spans="1:26" ht="15" customHeight="1" x14ac:dyDescent="0.3">
      <c r="A590" s="27"/>
      <c r="B590" s="12"/>
      <c r="C590" s="12"/>
      <c r="D590" s="12"/>
      <c r="E590" s="12"/>
      <c r="F590" s="12"/>
      <c r="G590" s="12"/>
      <c r="H590" s="12"/>
      <c r="I590" s="12"/>
      <c r="J590" s="12"/>
      <c r="K590" s="12"/>
      <c r="L590" s="12"/>
      <c r="M590" s="12"/>
      <c r="N590" s="12"/>
      <c r="O590" s="12"/>
      <c r="P590" s="12"/>
      <c r="Q590" s="12"/>
      <c r="R590" s="12"/>
      <c r="S590" s="12"/>
      <c r="T590" s="12"/>
      <c r="U590" s="18"/>
      <c r="V590" s="12"/>
      <c r="W590" s="12"/>
      <c r="X590" s="12"/>
      <c r="Y590" s="12"/>
      <c r="Z590" s="12"/>
    </row>
    <row r="591" spans="1:26" ht="15" customHeight="1" x14ac:dyDescent="0.3">
      <c r="A591" s="27"/>
      <c r="B591" s="12"/>
      <c r="C591" s="12"/>
      <c r="D591" s="12"/>
      <c r="E591" s="12"/>
      <c r="F591" s="12"/>
      <c r="G591" s="12"/>
      <c r="H591" s="12"/>
      <c r="I591" s="12"/>
      <c r="J591" s="12"/>
      <c r="K591" s="12"/>
      <c r="L591" s="12"/>
      <c r="M591" s="12"/>
      <c r="N591" s="12"/>
      <c r="O591" s="12"/>
      <c r="P591" s="12"/>
      <c r="Q591" s="12"/>
      <c r="R591" s="12"/>
      <c r="S591" s="12"/>
      <c r="T591" s="12"/>
      <c r="U591" s="18"/>
      <c r="V591" s="12"/>
      <c r="W591" s="12"/>
      <c r="X591" s="12"/>
      <c r="Y591" s="12"/>
      <c r="Z591" s="12"/>
    </row>
    <row r="592" spans="1:26" ht="15" customHeight="1" x14ac:dyDescent="0.3">
      <c r="A592" s="27"/>
      <c r="B592" s="12"/>
      <c r="C592" s="12"/>
      <c r="D592" s="12"/>
      <c r="E592" s="12"/>
      <c r="F592" s="12"/>
      <c r="G592" s="12"/>
      <c r="H592" s="12"/>
      <c r="I592" s="12"/>
      <c r="J592" s="12"/>
      <c r="K592" s="12"/>
      <c r="L592" s="12"/>
      <c r="M592" s="12"/>
      <c r="N592" s="12"/>
      <c r="O592" s="12"/>
      <c r="P592" s="12"/>
      <c r="Q592" s="12"/>
      <c r="R592" s="12"/>
      <c r="S592" s="12"/>
      <c r="T592" s="12"/>
      <c r="U592" s="18"/>
      <c r="V592" s="12"/>
      <c r="W592" s="12"/>
      <c r="X592" s="12"/>
      <c r="Y592" s="12"/>
      <c r="Z592" s="12"/>
    </row>
    <row r="593" spans="1:26" ht="15" customHeight="1" x14ac:dyDescent="0.3">
      <c r="A593" s="27"/>
      <c r="B593" s="12"/>
      <c r="C593" s="12"/>
      <c r="D593" s="12"/>
      <c r="E593" s="12"/>
      <c r="F593" s="12"/>
      <c r="G593" s="12"/>
      <c r="H593" s="12"/>
      <c r="I593" s="12"/>
      <c r="J593" s="12"/>
      <c r="K593" s="12"/>
      <c r="L593" s="12"/>
      <c r="M593" s="12"/>
      <c r="N593" s="12"/>
      <c r="O593" s="12"/>
      <c r="P593" s="12"/>
      <c r="Q593" s="12"/>
      <c r="R593" s="12"/>
      <c r="S593" s="12"/>
      <c r="T593" s="12"/>
      <c r="U593" s="18"/>
      <c r="V593" s="12"/>
      <c r="W593" s="12"/>
      <c r="X593" s="12"/>
      <c r="Y593" s="12"/>
      <c r="Z593" s="12"/>
    </row>
    <row r="594" spans="1:26" ht="15" customHeight="1" x14ac:dyDescent="0.3">
      <c r="A594" s="27"/>
      <c r="B594" s="12"/>
      <c r="C594" s="12"/>
      <c r="D594" s="12"/>
      <c r="E594" s="12"/>
      <c r="F594" s="12"/>
      <c r="G594" s="12"/>
      <c r="H594" s="12"/>
      <c r="I594" s="12"/>
      <c r="J594" s="12"/>
      <c r="K594" s="12"/>
      <c r="L594" s="12"/>
      <c r="M594" s="12"/>
      <c r="N594" s="12"/>
      <c r="O594" s="12"/>
      <c r="P594" s="12"/>
      <c r="Q594" s="12"/>
      <c r="R594" s="12"/>
      <c r="S594" s="12"/>
      <c r="T594" s="12"/>
      <c r="U594" s="18"/>
      <c r="V594" s="12"/>
      <c r="W594" s="12"/>
      <c r="X594" s="12"/>
      <c r="Y594" s="12"/>
      <c r="Z594" s="12"/>
    </row>
    <row r="595" spans="1:26" ht="15" customHeight="1" x14ac:dyDescent="0.3">
      <c r="A595" s="27"/>
      <c r="B595" s="12"/>
      <c r="C595" s="12"/>
      <c r="D595" s="12"/>
      <c r="E595" s="12"/>
      <c r="F595" s="12"/>
      <c r="G595" s="12"/>
      <c r="H595" s="12"/>
      <c r="I595" s="12"/>
      <c r="J595" s="12"/>
      <c r="K595" s="12"/>
      <c r="L595" s="12"/>
      <c r="M595" s="12"/>
      <c r="N595" s="12"/>
      <c r="O595" s="12"/>
      <c r="P595" s="12"/>
      <c r="Q595" s="12"/>
      <c r="R595" s="12"/>
      <c r="S595" s="12"/>
      <c r="T595" s="12"/>
      <c r="U595" s="18"/>
      <c r="V595" s="12"/>
      <c r="W595" s="12"/>
      <c r="X595" s="12"/>
      <c r="Y595" s="12"/>
      <c r="Z595" s="12"/>
    </row>
    <row r="596" spans="1:26" ht="15" customHeight="1" x14ac:dyDescent="0.3">
      <c r="A596" s="27"/>
      <c r="B596" s="12"/>
      <c r="C596" s="12"/>
      <c r="D596" s="12"/>
      <c r="E596" s="12"/>
      <c r="F596" s="12"/>
      <c r="G596" s="12"/>
      <c r="H596" s="12"/>
      <c r="I596" s="12"/>
      <c r="J596" s="12"/>
      <c r="K596" s="12"/>
      <c r="L596" s="12"/>
      <c r="M596" s="12"/>
      <c r="N596" s="12"/>
      <c r="O596" s="12"/>
      <c r="P596" s="12"/>
      <c r="Q596" s="12"/>
      <c r="R596" s="12"/>
      <c r="S596" s="12"/>
      <c r="T596" s="12"/>
      <c r="U596" s="18"/>
      <c r="V596" s="12"/>
      <c r="W596" s="12"/>
      <c r="X596" s="12"/>
      <c r="Y596" s="12"/>
      <c r="Z596" s="12"/>
    </row>
    <row r="597" spans="1:26" ht="15" customHeight="1" x14ac:dyDescent="0.3">
      <c r="A597" s="27"/>
      <c r="B597" s="12"/>
      <c r="C597" s="12"/>
      <c r="D597" s="12"/>
      <c r="E597" s="12"/>
      <c r="F597" s="12"/>
      <c r="G597" s="12"/>
      <c r="H597" s="12"/>
      <c r="I597" s="12"/>
      <c r="J597" s="12"/>
      <c r="K597" s="12"/>
      <c r="L597" s="12"/>
      <c r="M597" s="12"/>
      <c r="N597" s="12"/>
      <c r="O597" s="12"/>
      <c r="P597" s="12"/>
      <c r="Q597" s="12"/>
      <c r="R597" s="12"/>
      <c r="S597" s="12"/>
      <c r="T597" s="12"/>
      <c r="U597" s="18"/>
      <c r="V597" s="12"/>
      <c r="W597" s="12"/>
      <c r="X597" s="12"/>
      <c r="Y597" s="12"/>
      <c r="Z597" s="12"/>
    </row>
    <row r="598" spans="1:26" ht="15" customHeight="1" x14ac:dyDescent="0.3">
      <c r="A598" s="27"/>
      <c r="B598" s="12"/>
      <c r="C598" s="12"/>
      <c r="D598" s="12"/>
      <c r="E598" s="12"/>
      <c r="F598" s="12"/>
      <c r="G598" s="12"/>
      <c r="H598" s="12"/>
      <c r="I598" s="12"/>
      <c r="J598" s="12"/>
      <c r="K598" s="12"/>
      <c r="L598" s="12"/>
      <c r="M598" s="12"/>
      <c r="N598" s="12"/>
      <c r="O598" s="12"/>
      <c r="P598" s="12"/>
      <c r="Q598" s="12"/>
      <c r="R598" s="12"/>
      <c r="S598" s="12"/>
      <c r="T598" s="12"/>
      <c r="U598" s="18"/>
      <c r="V598" s="12"/>
      <c r="W598" s="12"/>
      <c r="X598" s="12"/>
      <c r="Y598" s="12"/>
      <c r="Z598" s="12"/>
    </row>
    <row r="599" spans="1:26" ht="15" customHeight="1" x14ac:dyDescent="0.3">
      <c r="A599" s="27"/>
      <c r="B599" s="12"/>
      <c r="C599" s="12"/>
      <c r="D599" s="12"/>
      <c r="E599" s="12"/>
      <c r="F599" s="12"/>
      <c r="G599" s="12"/>
      <c r="H599" s="12"/>
      <c r="I599" s="12"/>
      <c r="J599" s="12"/>
      <c r="K599" s="12"/>
      <c r="L599" s="12"/>
      <c r="M599" s="12"/>
      <c r="N599" s="12"/>
      <c r="O599" s="12"/>
      <c r="P599" s="12"/>
      <c r="Q599" s="12"/>
      <c r="R599" s="12"/>
      <c r="S599" s="12"/>
      <c r="T599" s="12"/>
      <c r="U599" s="18"/>
      <c r="V599" s="12"/>
      <c r="W599" s="12"/>
      <c r="X599" s="12"/>
      <c r="Y599" s="12"/>
      <c r="Z599" s="12"/>
    </row>
    <row r="600" spans="1:26" ht="15" customHeight="1" x14ac:dyDescent="0.3">
      <c r="A600" s="27"/>
      <c r="B600" s="12"/>
      <c r="C600" s="12"/>
      <c r="D600" s="12"/>
      <c r="E600" s="12"/>
      <c r="F600" s="12"/>
      <c r="G600" s="12"/>
      <c r="H600" s="12"/>
      <c r="I600" s="12"/>
      <c r="J600" s="12"/>
      <c r="K600" s="12"/>
      <c r="L600" s="12"/>
      <c r="M600" s="12"/>
      <c r="N600" s="12"/>
      <c r="O600" s="12"/>
      <c r="P600" s="12"/>
      <c r="Q600" s="12"/>
      <c r="R600" s="12"/>
      <c r="S600" s="12"/>
      <c r="T600" s="12"/>
      <c r="U600" s="18"/>
      <c r="V600" s="12"/>
      <c r="W600" s="12"/>
      <c r="X600" s="12"/>
      <c r="Y600" s="12"/>
      <c r="Z600" s="12"/>
    </row>
    <row r="601" spans="1:26" ht="15" customHeight="1" x14ac:dyDescent="0.3">
      <c r="A601" s="27"/>
      <c r="B601" s="12"/>
      <c r="C601" s="12"/>
      <c r="D601" s="12"/>
      <c r="E601" s="12"/>
      <c r="F601" s="12"/>
      <c r="G601" s="12"/>
      <c r="H601" s="12"/>
      <c r="I601" s="12"/>
      <c r="J601" s="12"/>
      <c r="K601" s="12"/>
      <c r="L601" s="12"/>
      <c r="M601" s="12"/>
      <c r="N601" s="12"/>
      <c r="O601" s="12"/>
      <c r="P601" s="12"/>
      <c r="Q601" s="12"/>
      <c r="R601" s="12"/>
      <c r="S601" s="12"/>
      <c r="T601" s="12"/>
      <c r="U601" s="18"/>
      <c r="V601" s="12"/>
      <c r="W601" s="12"/>
      <c r="X601" s="12"/>
      <c r="Y601" s="12"/>
      <c r="Z601" s="12"/>
    </row>
    <row r="602" spans="1:26" ht="15" customHeight="1" x14ac:dyDescent="0.3">
      <c r="A602" s="27"/>
      <c r="B602" s="12"/>
      <c r="C602" s="12"/>
      <c r="D602" s="12"/>
      <c r="E602" s="12"/>
      <c r="F602" s="12"/>
      <c r="G602" s="12"/>
      <c r="H602" s="12"/>
      <c r="I602" s="12"/>
      <c r="J602" s="12"/>
      <c r="K602" s="12"/>
      <c r="L602" s="12"/>
      <c r="M602" s="12"/>
      <c r="N602" s="12"/>
      <c r="O602" s="12"/>
      <c r="P602" s="12"/>
      <c r="Q602" s="12"/>
      <c r="R602" s="12"/>
      <c r="S602" s="12"/>
      <c r="T602" s="12"/>
      <c r="U602" s="18"/>
      <c r="V602" s="12"/>
      <c r="W602" s="12"/>
      <c r="X602" s="12"/>
      <c r="Y602" s="12"/>
      <c r="Z602" s="12"/>
    </row>
    <row r="603" spans="1:26" ht="15" customHeight="1" x14ac:dyDescent="0.3">
      <c r="A603" s="27"/>
      <c r="B603" s="12"/>
      <c r="C603" s="12"/>
      <c r="D603" s="12"/>
      <c r="E603" s="12"/>
      <c r="F603" s="12"/>
      <c r="G603" s="12"/>
      <c r="H603" s="12"/>
      <c r="I603" s="12"/>
      <c r="J603" s="12"/>
      <c r="K603" s="12"/>
      <c r="L603" s="12"/>
      <c r="M603" s="12"/>
      <c r="N603" s="12"/>
      <c r="O603" s="12"/>
      <c r="P603" s="12"/>
      <c r="Q603" s="12"/>
      <c r="R603" s="12"/>
      <c r="S603" s="12"/>
      <c r="T603" s="12"/>
      <c r="U603" s="18"/>
      <c r="V603" s="12"/>
      <c r="W603" s="12"/>
      <c r="X603" s="12"/>
      <c r="Y603" s="12"/>
      <c r="Z603" s="12"/>
    </row>
    <row r="604" spans="1:26" ht="15" customHeight="1" x14ac:dyDescent="0.3">
      <c r="A604" s="27"/>
      <c r="B604" s="12"/>
      <c r="C604" s="12"/>
      <c r="D604" s="12"/>
      <c r="E604" s="12"/>
      <c r="F604" s="12"/>
      <c r="G604" s="12"/>
      <c r="H604" s="12"/>
      <c r="I604" s="12"/>
      <c r="J604" s="12"/>
      <c r="K604" s="12"/>
      <c r="L604" s="12"/>
      <c r="M604" s="12"/>
      <c r="N604" s="12"/>
      <c r="O604" s="12"/>
      <c r="P604" s="12"/>
      <c r="Q604" s="12"/>
      <c r="R604" s="12"/>
      <c r="S604" s="12"/>
      <c r="T604" s="12"/>
      <c r="U604" s="18"/>
      <c r="V604" s="12"/>
      <c r="W604" s="12"/>
      <c r="X604" s="12"/>
      <c r="Y604" s="12"/>
      <c r="Z604" s="12"/>
    </row>
    <row r="605" spans="1:26" ht="15" customHeight="1" x14ac:dyDescent="0.3">
      <c r="A605" s="27"/>
      <c r="B605" s="12"/>
      <c r="C605" s="12"/>
      <c r="D605" s="12"/>
      <c r="E605" s="12"/>
      <c r="F605" s="12"/>
      <c r="G605" s="12"/>
      <c r="H605" s="12"/>
      <c r="I605" s="12"/>
      <c r="J605" s="12"/>
      <c r="K605" s="12"/>
      <c r="L605" s="12"/>
      <c r="M605" s="12"/>
      <c r="N605" s="12"/>
      <c r="O605" s="12"/>
      <c r="P605" s="12"/>
      <c r="Q605" s="12"/>
      <c r="R605" s="12"/>
      <c r="S605" s="12"/>
      <c r="T605" s="12"/>
      <c r="U605" s="18"/>
      <c r="V605" s="12"/>
      <c r="W605" s="12"/>
      <c r="X605" s="12"/>
      <c r="Y605" s="12"/>
      <c r="Z605" s="12"/>
    </row>
    <row r="606" spans="1:26" ht="15" customHeight="1" x14ac:dyDescent="0.3">
      <c r="A606" s="27"/>
      <c r="B606" s="12"/>
      <c r="C606" s="12"/>
      <c r="D606" s="12"/>
      <c r="E606" s="12"/>
      <c r="F606" s="12"/>
      <c r="G606" s="12"/>
      <c r="H606" s="12"/>
      <c r="I606" s="12"/>
      <c r="J606" s="12"/>
      <c r="K606" s="12"/>
      <c r="L606" s="12"/>
      <c r="M606" s="12"/>
      <c r="N606" s="12"/>
      <c r="O606" s="12"/>
      <c r="P606" s="12"/>
      <c r="Q606" s="12"/>
      <c r="R606" s="12"/>
      <c r="S606" s="12"/>
      <c r="T606" s="12"/>
      <c r="U606" s="18"/>
      <c r="V606" s="12"/>
      <c r="W606" s="12"/>
      <c r="X606" s="12"/>
      <c r="Y606" s="12"/>
      <c r="Z606" s="12"/>
    </row>
    <row r="607" spans="1:26" ht="15" customHeight="1" x14ac:dyDescent="0.3">
      <c r="A607" s="27"/>
      <c r="B607" s="12"/>
      <c r="C607" s="12"/>
      <c r="D607" s="12"/>
      <c r="E607" s="12"/>
      <c r="F607" s="12"/>
      <c r="G607" s="12"/>
      <c r="H607" s="12"/>
      <c r="I607" s="12"/>
      <c r="J607" s="12"/>
      <c r="K607" s="12"/>
      <c r="L607" s="12"/>
      <c r="M607" s="12"/>
      <c r="N607" s="12"/>
      <c r="O607" s="12"/>
      <c r="P607" s="12"/>
      <c r="Q607" s="12"/>
      <c r="R607" s="12"/>
      <c r="S607" s="12"/>
      <c r="T607" s="12"/>
      <c r="U607" s="18"/>
      <c r="V607" s="12"/>
      <c r="W607" s="12"/>
      <c r="X607" s="12"/>
      <c r="Y607" s="12"/>
      <c r="Z607" s="12"/>
    </row>
    <row r="608" spans="1:26" ht="15" customHeight="1" x14ac:dyDescent="0.3">
      <c r="A608" s="27"/>
      <c r="B608" s="12"/>
      <c r="C608" s="12"/>
      <c r="D608" s="12"/>
      <c r="E608" s="12"/>
      <c r="F608" s="12"/>
      <c r="G608" s="12"/>
      <c r="H608" s="12"/>
      <c r="I608" s="12"/>
      <c r="J608" s="12"/>
      <c r="K608" s="12"/>
      <c r="L608" s="12"/>
      <c r="M608" s="12"/>
      <c r="N608" s="12"/>
      <c r="O608" s="12"/>
      <c r="P608" s="12"/>
      <c r="Q608" s="12"/>
      <c r="R608" s="12"/>
      <c r="S608" s="12"/>
      <c r="T608" s="12"/>
      <c r="U608" s="18"/>
      <c r="V608" s="12"/>
      <c r="W608" s="12"/>
      <c r="X608" s="12"/>
      <c r="Y608" s="12"/>
      <c r="Z608" s="12"/>
    </row>
    <row r="609" spans="1:26" ht="15" customHeight="1" x14ac:dyDescent="0.3">
      <c r="A609" s="27"/>
      <c r="B609" s="12"/>
      <c r="C609" s="12"/>
      <c r="D609" s="12"/>
      <c r="E609" s="12"/>
      <c r="F609" s="12"/>
      <c r="G609" s="12"/>
      <c r="H609" s="12"/>
      <c r="I609" s="12"/>
      <c r="J609" s="12"/>
      <c r="K609" s="12"/>
      <c r="L609" s="12"/>
      <c r="M609" s="12"/>
      <c r="N609" s="12"/>
      <c r="O609" s="12"/>
      <c r="P609" s="12"/>
      <c r="Q609" s="12"/>
      <c r="R609" s="12"/>
      <c r="S609" s="12"/>
      <c r="T609" s="12"/>
      <c r="U609" s="18"/>
      <c r="V609" s="12"/>
      <c r="W609" s="12"/>
      <c r="X609" s="12"/>
      <c r="Y609" s="12"/>
      <c r="Z609" s="12"/>
    </row>
    <row r="610" spans="1:26" ht="15" customHeight="1" x14ac:dyDescent="0.3">
      <c r="A610" s="27"/>
      <c r="B610" s="12"/>
      <c r="C610" s="12"/>
      <c r="D610" s="12"/>
      <c r="E610" s="12"/>
      <c r="F610" s="12"/>
      <c r="G610" s="12"/>
      <c r="H610" s="12"/>
      <c r="I610" s="12"/>
      <c r="J610" s="12"/>
      <c r="K610" s="12"/>
      <c r="L610" s="12"/>
      <c r="M610" s="12"/>
      <c r="N610" s="12"/>
      <c r="O610" s="12"/>
      <c r="P610" s="12"/>
      <c r="Q610" s="12"/>
      <c r="R610" s="12"/>
      <c r="S610" s="12"/>
      <c r="T610" s="12"/>
      <c r="U610" s="18"/>
      <c r="V610" s="12"/>
      <c r="W610" s="12"/>
      <c r="X610" s="12"/>
      <c r="Y610" s="12"/>
      <c r="Z610" s="12"/>
    </row>
    <row r="611" spans="1:26" ht="15" customHeight="1" x14ac:dyDescent="0.3">
      <c r="A611" s="27"/>
      <c r="B611" s="12"/>
      <c r="C611" s="12"/>
      <c r="D611" s="12"/>
      <c r="E611" s="12"/>
      <c r="F611" s="12"/>
      <c r="G611" s="12"/>
      <c r="H611" s="12"/>
      <c r="I611" s="12"/>
      <c r="J611" s="12"/>
      <c r="K611" s="12"/>
      <c r="L611" s="12"/>
      <c r="M611" s="12"/>
      <c r="N611" s="12"/>
      <c r="O611" s="12"/>
      <c r="P611" s="12"/>
      <c r="Q611" s="12"/>
      <c r="R611" s="12"/>
      <c r="S611" s="12"/>
      <c r="T611" s="12"/>
      <c r="U611" s="18"/>
      <c r="V611" s="12"/>
      <c r="W611" s="12"/>
      <c r="X611" s="12"/>
      <c r="Y611" s="12"/>
      <c r="Z611" s="12"/>
    </row>
    <row r="612" spans="1:26" ht="15" customHeight="1" x14ac:dyDescent="0.3">
      <c r="A612" s="27"/>
      <c r="B612" s="12"/>
      <c r="C612" s="12"/>
      <c r="D612" s="12"/>
      <c r="E612" s="12"/>
      <c r="F612" s="12"/>
      <c r="G612" s="12"/>
      <c r="H612" s="12"/>
      <c r="I612" s="12"/>
      <c r="J612" s="12"/>
      <c r="K612" s="12"/>
      <c r="L612" s="12"/>
      <c r="M612" s="12"/>
      <c r="N612" s="12"/>
      <c r="O612" s="12"/>
      <c r="P612" s="12"/>
      <c r="Q612" s="12"/>
      <c r="R612" s="12"/>
      <c r="S612" s="12"/>
      <c r="T612" s="12"/>
      <c r="U612" s="18"/>
      <c r="V612" s="12"/>
      <c r="W612" s="12"/>
      <c r="X612" s="12"/>
      <c r="Y612" s="12"/>
      <c r="Z612" s="12"/>
    </row>
    <row r="613" spans="1:26" ht="15" customHeight="1" x14ac:dyDescent="0.3">
      <c r="A613" s="27"/>
      <c r="B613" s="12"/>
      <c r="C613" s="12"/>
      <c r="D613" s="12"/>
      <c r="E613" s="12"/>
      <c r="F613" s="12"/>
      <c r="G613" s="12"/>
      <c r="H613" s="12"/>
      <c r="I613" s="12"/>
      <c r="J613" s="12"/>
      <c r="K613" s="12"/>
      <c r="L613" s="12"/>
      <c r="M613" s="12"/>
      <c r="N613" s="12"/>
      <c r="O613" s="12"/>
      <c r="P613" s="12"/>
      <c r="Q613" s="12"/>
      <c r="R613" s="12"/>
      <c r="S613" s="12"/>
      <c r="T613" s="12"/>
      <c r="U613" s="18"/>
      <c r="V613" s="12"/>
      <c r="W613" s="12"/>
      <c r="X613" s="12"/>
      <c r="Y613" s="12"/>
      <c r="Z613" s="12"/>
    </row>
    <row r="614" spans="1:26" ht="15" customHeight="1" x14ac:dyDescent="0.3">
      <c r="A614" s="27"/>
      <c r="B614" s="12"/>
      <c r="C614" s="12"/>
      <c r="D614" s="12"/>
      <c r="E614" s="12"/>
      <c r="F614" s="12"/>
      <c r="G614" s="12"/>
      <c r="H614" s="12"/>
      <c r="I614" s="12"/>
      <c r="J614" s="12"/>
      <c r="K614" s="12"/>
      <c r="L614" s="12"/>
      <c r="M614" s="12"/>
      <c r="N614" s="12"/>
      <c r="O614" s="12"/>
      <c r="P614" s="12"/>
      <c r="Q614" s="12"/>
      <c r="R614" s="12"/>
      <c r="S614" s="12"/>
      <c r="T614" s="12"/>
      <c r="U614" s="18"/>
      <c r="V614" s="12"/>
      <c r="W614" s="12"/>
      <c r="X614" s="12"/>
      <c r="Y614" s="12"/>
      <c r="Z614" s="12"/>
    </row>
    <row r="615" spans="1:26" ht="15" customHeight="1" x14ac:dyDescent="0.3">
      <c r="A615" s="27"/>
      <c r="B615" s="12"/>
      <c r="C615" s="12"/>
      <c r="D615" s="12"/>
      <c r="E615" s="12"/>
      <c r="F615" s="12"/>
      <c r="G615" s="12"/>
      <c r="H615" s="12"/>
      <c r="I615" s="12"/>
      <c r="J615" s="12"/>
      <c r="K615" s="12"/>
      <c r="L615" s="12"/>
      <c r="M615" s="12"/>
      <c r="N615" s="12"/>
      <c r="O615" s="12"/>
      <c r="P615" s="12"/>
      <c r="Q615" s="12"/>
      <c r="R615" s="12"/>
      <c r="S615" s="12"/>
      <c r="T615" s="12"/>
      <c r="U615" s="18"/>
      <c r="V615" s="12"/>
      <c r="W615" s="12"/>
      <c r="X615" s="12"/>
      <c r="Y615" s="12"/>
      <c r="Z615" s="12"/>
    </row>
    <row r="616" spans="1:26" ht="15" customHeight="1" x14ac:dyDescent="0.3">
      <c r="A616" s="27"/>
      <c r="B616" s="12"/>
      <c r="C616" s="12"/>
      <c r="D616" s="12"/>
      <c r="E616" s="12"/>
      <c r="F616" s="12"/>
      <c r="G616" s="12"/>
      <c r="H616" s="12"/>
      <c r="I616" s="12"/>
      <c r="J616" s="12"/>
      <c r="K616" s="12"/>
      <c r="L616" s="12"/>
      <c r="M616" s="12"/>
      <c r="N616" s="12"/>
      <c r="O616" s="12"/>
      <c r="P616" s="12"/>
      <c r="Q616" s="12"/>
      <c r="R616" s="12"/>
      <c r="S616" s="12"/>
      <c r="T616" s="12"/>
      <c r="U616" s="18"/>
      <c r="V616" s="12"/>
      <c r="W616" s="12"/>
      <c r="X616" s="12"/>
      <c r="Y616" s="12"/>
      <c r="Z616" s="12"/>
    </row>
    <row r="617" spans="1:26" ht="15" customHeight="1" x14ac:dyDescent="0.3">
      <c r="A617" s="27"/>
      <c r="B617" s="12"/>
      <c r="C617" s="12"/>
      <c r="D617" s="12"/>
      <c r="E617" s="12"/>
      <c r="F617" s="12"/>
      <c r="G617" s="12"/>
      <c r="H617" s="12"/>
      <c r="I617" s="12"/>
      <c r="J617" s="12"/>
      <c r="K617" s="12"/>
      <c r="L617" s="12"/>
      <c r="M617" s="12"/>
      <c r="N617" s="12"/>
      <c r="O617" s="12"/>
      <c r="P617" s="12"/>
      <c r="Q617" s="12"/>
      <c r="R617" s="12"/>
      <c r="S617" s="12"/>
      <c r="T617" s="12"/>
      <c r="U617" s="18"/>
      <c r="V617" s="12"/>
      <c r="W617" s="12"/>
      <c r="X617" s="12"/>
      <c r="Y617" s="12"/>
      <c r="Z617" s="12"/>
    </row>
    <row r="618" spans="1:26" ht="15" customHeight="1" x14ac:dyDescent="0.3">
      <c r="A618" s="27"/>
      <c r="B618" s="12"/>
      <c r="C618" s="12"/>
      <c r="D618" s="12"/>
      <c r="E618" s="12"/>
      <c r="F618" s="12"/>
      <c r="G618" s="12"/>
      <c r="H618" s="12"/>
      <c r="I618" s="12"/>
      <c r="J618" s="12"/>
      <c r="K618" s="12"/>
      <c r="L618" s="12"/>
      <c r="M618" s="12"/>
      <c r="N618" s="12"/>
      <c r="O618" s="12"/>
      <c r="P618" s="12"/>
      <c r="Q618" s="12"/>
      <c r="R618" s="12"/>
      <c r="S618" s="12"/>
      <c r="T618" s="12"/>
      <c r="U618" s="18"/>
      <c r="V618" s="12"/>
      <c r="W618" s="12"/>
      <c r="X618" s="12"/>
      <c r="Y618" s="12"/>
      <c r="Z618" s="12"/>
    </row>
    <row r="619" spans="1:26" ht="15" customHeight="1" x14ac:dyDescent="0.3">
      <c r="A619" s="27"/>
      <c r="B619" s="12"/>
      <c r="C619" s="12"/>
      <c r="D619" s="12"/>
      <c r="E619" s="12"/>
      <c r="F619" s="12"/>
      <c r="G619" s="12"/>
      <c r="H619" s="12"/>
      <c r="I619" s="12"/>
      <c r="J619" s="12"/>
      <c r="K619" s="12"/>
      <c r="L619" s="12"/>
      <c r="M619" s="12"/>
      <c r="N619" s="12"/>
      <c r="O619" s="12"/>
      <c r="P619" s="12"/>
      <c r="Q619" s="12"/>
      <c r="R619" s="12"/>
      <c r="S619" s="12"/>
      <c r="T619" s="12"/>
      <c r="U619" s="18"/>
      <c r="V619" s="12"/>
      <c r="W619" s="12"/>
      <c r="X619" s="12"/>
      <c r="Y619" s="12"/>
      <c r="Z619" s="12"/>
    </row>
    <row r="620" spans="1:26" ht="15" customHeight="1" x14ac:dyDescent="0.3">
      <c r="A620" s="27"/>
      <c r="B620" s="12"/>
      <c r="C620" s="12"/>
      <c r="D620" s="12"/>
      <c r="E620" s="12"/>
      <c r="F620" s="12"/>
      <c r="G620" s="12"/>
      <c r="H620" s="12"/>
      <c r="I620" s="12"/>
      <c r="J620" s="12"/>
      <c r="K620" s="12"/>
      <c r="L620" s="12"/>
      <c r="M620" s="12"/>
      <c r="N620" s="12"/>
      <c r="O620" s="12"/>
      <c r="P620" s="12"/>
      <c r="Q620" s="12"/>
      <c r="R620" s="12"/>
      <c r="S620" s="12"/>
      <c r="T620" s="12"/>
      <c r="U620" s="18"/>
      <c r="V620" s="12"/>
      <c r="W620" s="12"/>
      <c r="X620" s="12"/>
      <c r="Y620" s="12"/>
      <c r="Z620" s="12"/>
    </row>
    <row r="621" spans="1:26" ht="15" customHeight="1" x14ac:dyDescent="0.3">
      <c r="A621" s="27"/>
      <c r="B621" s="12"/>
      <c r="C621" s="12"/>
      <c r="D621" s="12"/>
      <c r="E621" s="12"/>
      <c r="F621" s="12"/>
      <c r="G621" s="12"/>
      <c r="H621" s="12"/>
      <c r="I621" s="12"/>
      <c r="J621" s="12"/>
      <c r="K621" s="12"/>
      <c r="L621" s="12"/>
      <c r="M621" s="12"/>
      <c r="N621" s="12"/>
      <c r="O621" s="12"/>
      <c r="P621" s="12"/>
      <c r="Q621" s="12"/>
      <c r="R621" s="12"/>
      <c r="S621" s="12"/>
      <c r="T621" s="12"/>
      <c r="U621" s="18"/>
      <c r="V621" s="12"/>
      <c r="W621" s="12"/>
      <c r="X621" s="12"/>
      <c r="Y621" s="12"/>
      <c r="Z621" s="12"/>
    </row>
    <row r="622" spans="1:26" ht="15" customHeight="1" x14ac:dyDescent="0.3">
      <c r="A622" s="27"/>
      <c r="B622" s="12"/>
      <c r="C622" s="12"/>
      <c r="D622" s="12"/>
      <c r="E622" s="12"/>
      <c r="F622" s="12"/>
      <c r="G622" s="12"/>
      <c r="H622" s="12"/>
      <c r="I622" s="12"/>
      <c r="J622" s="12"/>
      <c r="K622" s="12"/>
      <c r="L622" s="12"/>
      <c r="M622" s="12"/>
      <c r="N622" s="12"/>
      <c r="O622" s="12"/>
      <c r="P622" s="12"/>
      <c r="Q622" s="12"/>
      <c r="R622" s="12"/>
      <c r="S622" s="12"/>
      <c r="T622" s="12"/>
      <c r="U622" s="18"/>
      <c r="V622" s="12"/>
      <c r="W622" s="12"/>
      <c r="X622" s="12"/>
      <c r="Y622" s="12"/>
      <c r="Z622" s="12"/>
    </row>
    <row r="623" spans="1:26" ht="15" customHeight="1" x14ac:dyDescent="0.3">
      <c r="A623" s="27"/>
      <c r="B623" s="12"/>
      <c r="C623" s="12"/>
      <c r="D623" s="12"/>
      <c r="E623" s="12"/>
      <c r="F623" s="12"/>
      <c r="G623" s="12"/>
      <c r="H623" s="12"/>
      <c r="I623" s="12"/>
      <c r="J623" s="12"/>
      <c r="K623" s="12"/>
      <c r="L623" s="12"/>
      <c r="M623" s="12"/>
      <c r="N623" s="12"/>
      <c r="O623" s="12"/>
      <c r="P623" s="12"/>
      <c r="Q623" s="12"/>
      <c r="R623" s="12"/>
      <c r="S623" s="12"/>
      <c r="T623" s="12"/>
      <c r="U623" s="18"/>
      <c r="V623" s="12"/>
      <c r="W623" s="12"/>
      <c r="X623" s="12"/>
      <c r="Y623" s="12"/>
      <c r="Z623" s="12"/>
    </row>
    <row r="624" spans="1:26" ht="15" customHeight="1" x14ac:dyDescent="0.3">
      <c r="A624" s="27"/>
      <c r="B624" s="12"/>
      <c r="C624" s="12"/>
      <c r="D624" s="12"/>
      <c r="E624" s="12"/>
      <c r="F624" s="12"/>
      <c r="G624" s="12"/>
      <c r="H624" s="12"/>
      <c r="I624" s="12"/>
      <c r="J624" s="12"/>
      <c r="K624" s="12"/>
      <c r="L624" s="12"/>
      <c r="M624" s="12"/>
      <c r="N624" s="12"/>
      <c r="O624" s="12"/>
      <c r="P624" s="12"/>
      <c r="Q624" s="12"/>
      <c r="R624" s="12"/>
      <c r="S624" s="12"/>
      <c r="T624" s="12"/>
      <c r="U624" s="18"/>
      <c r="V624" s="12"/>
      <c r="W624" s="12"/>
      <c r="X624" s="12"/>
      <c r="Y624" s="12"/>
      <c r="Z624" s="12"/>
    </row>
    <row r="625" spans="1:26" ht="15" customHeight="1" x14ac:dyDescent="0.3">
      <c r="A625" s="27"/>
      <c r="B625" s="12"/>
      <c r="C625" s="12"/>
      <c r="D625" s="12"/>
      <c r="E625" s="12"/>
      <c r="F625" s="12"/>
      <c r="G625" s="12"/>
      <c r="H625" s="12"/>
      <c r="I625" s="12"/>
      <c r="J625" s="12"/>
      <c r="K625" s="12"/>
      <c r="L625" s="12"/>
      <c r="M625" s="12"/>
      <c r="N625" s="12"/>
      <c r="O625" s="12"/>
      <c r="P625" s="12"/>
      <c r="Q625" s="12"/>
      <c r="R625" s="12"/>
      <c r="S625" s="12"/>
      <c r="T625" s="12"/>
      <c r="U625" s="18"/>
      <c r="V625" s="12"/>
      <c r="W625" s="12"/>
      <c r="X625" s="12"/>
      <c r="Y625" s="12"/>
      <c r="Z625" s="12"/>
    </row>
    <row r="626" spans="1:26" ht="15" customHeight="1" x14ac:dyDescent="0.3">
      <c r="A626" s="27"/>
      <c r="B626" s="12"/>
      <c r="C626" s="12"/>
      <c r="D626" s="12"/>
      <c r="E626" s="12"/>
      <c r="F626" s="12"/>
      <c r="G626" s="12"/>
      <c r="H626" s="12"/>
      <c r="I626" s="12"/>
      <c r="J626" s="12"/>
      <c r="K626" s="12"/>
      <c r="L626" s="12"/>
      <c r="M626" s="12"/>
      <c r="N626" s="12"/>
      <c r="O626" s="12"/>
      <c r="P626" s="12"/>
      <c r="Q626" s="12"/>
      <c r="R626" s="12"/>
      <c r="S626" s="12"/>
      <c r="T626" s="12"/>
      <c r="U626" s="18"/>
      <c r="V626" s="12"/>
      <c r="W626" s="12"/>
      <c r="X626" s="12"/>
      <c r="Y626" s="12"/>
      <c r="Z626" s="12"/>
    </row>
    <row r="627" spans="1:26" ht="15" customHeight="1" x14ac:dyDescent="0.3">
      <c r="A627" s="27"/>
      <c r="B627" s="12"/>
      <c r="C627" s="12"/>
      <c r="D627" s="12"/>
      <c r="E627" s="12"/>
      <c r="F627" s="12"/>
      <c r="G627" s="12"/>
      <c r="H627" s="12"/>
      <c r="I627" s="12"/>
      <c r="J627" s="12"/>
      <c r="K627" s="12"/>
      <c r="L627" s="12"/>
      <c r="M627" s="12"/>
      <c r="N627" s="12"/>
      <c r="O627" s="12"/>
      <c r="P627" s="12"/>
      <c r="Q627" s="12"/>
      <c r="R627" s="12"/>
      <c r="S627" s="12"/>
      <c r="T627" s="12"/>
      <c r="U627" s="18"/>
      <c r="V627" s="12"/>
      <c r="W627" s="12"/>
      <c r="X627" s="12"/>
      <c r="Y627" s="12"/>
      <c r="Z627" s="12"/>
    </row>
    <row r="628" spans="1:26" ht="15" customHeight="1" x14ac:dyDescent="0.3">
      <c r="A628" s="27"/>
      <c r="B628" s="12"/>
      <c r="C628" s="12"/>
      <c r="D628" s="12"/>
      <c r="E628" s="12"/>
      <c r="F628" s="12"/>
      <c r="G628" s="12"/>
      <c r="H628" s="12"/>
      <c r="I628" s="12"/>
      <c r="J628" s="12"/>
      <c r="K628" s="12"/>
      <c r="L628" s="12"/>
      <c r="M628" s="12"/>
      <c r="N628" s="12"/>
      <c r="O628" s="12"/>
      <c r="P628" s="12"/>
      <c r="Q628" s="12"/>
      <c r="R628" s="12"/>
      <c r="S628" s="12"/>
      <c r="T628" s="12"/>
      <c r="U628" s="18"/>
      <c r="V628" s="12"/>
      <c r="W628" s="12"/>
      <c r="X628" s="12"/>
      <c r="Y628" s="12"/>
      <c r="Z628" s="12"/>
    </row>
    <row r="629" spans="1:26" ht="15" customHeight="1" x14ac:dyDescent="0.3">
      <c r="A629" s="27"/>
      <c r="B629" s="12"/>
      <c r="C629" s="12"/>
      <c r="D629" s="12"/>
      <c r="E629" s="12"/>
      <c r="F629" s="12"/>
      <c r="G629" s="12"/>
      <c r="H629" s="12"/>
      <c r="I629" s="12"/>
      <c r="J629" s="12"/>
      <c r="K629" s="12"/>
      <c r="L629" s="12"/>
      <c r="M629" s="12"/>
      <c r="N629" s="12"/>
      <c r="O629" s="12"/>
      <c r="P629" s="12"/>
      <c r="Q629" s="12"/>
      <c r="R629" s="12"/>
      <c r="S629" s="12"/>
      <c r="T629" s="12"/>
      <c r="U629" s="18"/>
      <c r="V629" s="12"/>
      <c r="W629" s="12"/>
      <c r="X629" s="12"/>
      <c r="Y629" s="12"/>
      <c r="Z629" s="12"/>
    </row>
    <row r="630" spans="1:26" ht="15" customHeight="1" x14ac:dyDescent="0.3">
      <c r="A630" s="27"/>
      <c r="B630" s="12"/>
      <c r="C630" s="12"/>
      <c r="D630" s="12"/>
      <c r="E630" s="12"/>
      <c r="F630" s="12"/>
      <c r="G630" s="12"/>
      <c r="H630" s="12"/>
      <c r="I630" s="12"/>
      <c r="J630" s="12"/>
      <c r="K630" s="12"/>
      <c r="L630" s="12"/>
      <c r="M630" s="12"/>
      <c r="N630" s="12"/>
      <c r="O630" s="12"/>
      <c r="P630" s="12"/>
      <c r="Q630" s="12"/>
      <c r="R630" s="12"/>
      <c r="S630" s="12"/>
      <c r="T630" s="12"/>
      <c r="U630" s="18"/>
      <c r="V630" s="12"/>
      <c r="W630" s="12"/>
      <c r="X630" s="12"/>
      <c r="Y630" s="12"/>
      <c r="Z630" s="12"/>
    </row>
    <row r="631" spans="1:26" ht="15" customHeight="1" x14ac:dyDescent="0.3">
      <c r="A631" s="27"/>
      <c r="B631" s="12"/>
      <c r="C631" s="12"/>
      <c r="D631" s="12"/>
      <c r="E631" s="12"/>
      <c r="F631" s="12"/>
      <c r="G631" s="12"/>
      <c r="H631" s="12"/>
      <c r="I631" s="12"/>
      <c r="J631" s="12"/>
      <c r="K631" s="12"/>
      <c r="L631" s="12"/>
      <c r="M631" s="12"/>
      <c r="N631" s="12"/>
      <c r="O631" s="12"/>
      <c r="P631" s="12"/>
      <c r="Q631" s="12"/>
      <c r="R631" s="12"/>
      <c r="S631" s="12"/>
      <c r="T631" s="12"/>
      <c r="U631" s="18"/>
      <c r="V631" s="12"/>
      <c r="W631" s="12"/>
      <c r="X631" s="12"/>
      <c r="Y631" s="12"/>
      <c r="Z631" s="12"/>
    </row>
    <row r="632" spans="1:26" ht="15" customHeight="1" x14ac:dyDescent="0.3">
      <c r="A632" s="27"/>
      <c r="B632" s="12"/>
      <c r="C632" s="12"/>
      <c r="D632" s="12"/>
      <c r="E632" s="12"/>
      <c r="F632" s="12"/>
      <c r="G632" s="12"/>
      <c r="H632" s="12"/>
      <c r="I632" s="12"/>
      <c r="J632" s="12"/>
      <c r="K632" s="12"/>
      <c r="L632" s="12"/>
      <c r="M632" s="12"/>
      <c r="N632" s="12"/>
      <c r="O632" s="12"/>
      <c r="P632" s="12"/>
      <c r="Q632" s="12"/>
      <c r="R632" s="12"/>
      <c r="S632" s="12"/>
      <c r="T632" s="12"/>
      <c r="U632" s="18"/>
      <c r="V632" s="12"/>
      <c r="W632" s="12"/>
      <c r="X632" s="12"/>
      <c r="Y632" s="12"/>
      <c r="Z632" s="12"/>
    </row>
    <row r="633" spans="1:26" ht="15" customHeight="1" x14ac:dyDescent="0.3">
      <c r="A633" s="27"/>
      <c r="B633" s="12"/>
      <c r="C633" s="12"/>
      <c r="D633" s="12"/>
      <c r="E633" s="12"/>
      <c r="F633" s="12"/>
      <c r="G633" s="12"/>
      <c r="H633" s="12"/>
      <c r="I633" s="12"/>
      <c r="J633" s="12"/>
      <c r="K633" s="12"/>
      <c r="L633" s="12"/>
      <c r="M633" s="12"/>
      <c r="N633" s="12"/>
      <c r="O633" s="12"/>
      <c r="P633" s="12"/>
      <c r="Q633" s="12"/>
      <c r="R633" s="12"/>
      <c r="S633" s="12"/>
      <c r="T633" s="12"/>
      <c r="U633" s="18"/>
      <c r="V633" s="12"/>
      <c r="W633" s="12"/>
      <c r="X633" s="12"/>
      <c r="Y633" s="12"/>
      <c r="Z633" s="12"/>
    </row>
    <row r="634" spans="1:26" ht="15" customHeight="1" x14ac:dyDescent="0.3">
      <c r="A634" s="27"/>
      <c r="B634" s="12"/>
      <c r="C634" s="12"/>
      <c r="D634" s="12"/>
      <c r="E634" s="12"/>
      <c r="F634" s="12"/>
      <c r="G634" s="12"/>
      <c r="H634" s="12"/>
      <c r="I634" s="12"/>
      <c r="J634" s="12"/>
      <c r="K634" s="12"/>
      <c r="L634" s="12"/>
      <c r="M634" s="12"/>
      <c r="N634" s="12"/>
      <c r="O634" s="12"/>
      <c r="P634" s="12"/>
      <c r="Q634" s="12"/>
      <c r="R634" s="12"/>
      <c r="S634" s="12"/>
      <c r="T634" s="12"/>
      <c r="U634" s="18"/>
      <c r="V634" s="12"/>
      <c r="W634" s="12"/>
      <c r="X634" s="12"/>
      <c r="Y634" s="12"/>
      <c r="Z634" s="12"/>
    </row>
    <row r="635" spans="1:26" ht="15" customHeight="1" x14ac:dyDescent="0.3">
      <c r="A635" s="27"/>
      <c r="B635" s="12"/>
      <c r="C635" s="12"/>
      <c r="D635" s="12"/>
      <c r="E635" s="12"/>
      <c r="F635" s="12"/>
      <c r="G635" s="12"/>
      <c r="H635" s="12"/>
      <c r="I635" s="12"/>
      <c r="J635" s="12"/>
      <c r="K635" s="12"/>
      <c r="L635" s="12"/>
      <c r="M635" s="12"/>
      <c r="N635" s="12"/>
      <c r="O635" s="12"/>
      <c r="P635" s="12"/>
      <c r="Q635" s="12"/>
      <c r="R635" s="12"/>
      <c r="S635" s="12"/>
      <c r="T635" s="12"/>
      <c r="U635" s="18"/>
      <c r="V635" s="12"/>
      <c r="W635" s="12"/>
      <c r="X635" s="12"/>
      <c r="Y635" s="12"/>
      <c r="Z635" s="12"/>
    </row>
    <row r="636" spans="1:26" ht="15" customHeight="1" x14ac:dyDescent="0.3">
      <c r="A636" s="27"/>
      <c r="B636" s="12"/>
      <c r="C636" s="12"/>
      <c r="D636" s="12"/>
      <c r="E636" s="12"/>
      <c r="F636" s="12"/>
      <c r="G636" s="12"/>
      <c r="H636" s="12"/>
      <c r="I636" s="12"/>
      <c r="J636" s="12"/>
      <c r="K636" s="12"/>
      <c r="L636" s="12"/>
      <c r="M636" s="12"/>
      <c r="N636" s="12"/>
      <c r="O636" s="12"/>
      <c r="P636" s="12"/>
      <c r="Q636" s="12"/>
      <c r="R636" s="12"/>
      <c r="S636" s="12"/>
      <c r="T636" s="12"/>
      <c r="U636" s="18"/>
      <c r="V636" s="12"/>
      <c r="W636" s="12"/>
      <c r="X636" s="12"/>
      <c r="Y636" s="12"/>
      <c r="Z636" s="12"/>
    </row>
    <row r="637" spans="1:26" ht="15" customHeight="1" x14ac:dyDescent="0.3">
      <c r="A637" s="27"/>
      <c r="B637" s="12"/>
      <c r="C637" s="12"/>
      <c r="D637" s="12"/>
      <c r="E637" s="12"/>
      <c r="F637" s="12"/>
      <c r="G637" s="12"/>
      <c r="H637" s="12"/>
      <c r="I637" s="12"/>
      <c r="J637" s="12"/>
      <c r="K637" s="12"/>
      <c r="L637" s="12"/>
      <c r="M637" s="12"/>
      <c r="N637" s="12"/>
      <c r="O637" s="12"/>
      <c r="P637" s="12"/>
      <c r="Q637" s="12"/>
      <c r="R637" s="12"/>
      <c r="S637" s="12"/>
      <c r="T637" s="12"/>
      <c r="U637" s="18"/>
      <c r="V637" s="12"/>
      <c r="W637" s="12"/>
      <c r="X637" s="12"/>
      <c r="Y637" s="12"/>
      <c r="Z637" s="12"/>
    </row>
    <row r="638" spans="1:26" ht="15" customHeight="1" x14ac:dyDescent="0.3">
      <c r="A638" s="27"/>
      <c r="B638" s="12"/>
      <c r="C638" s="12"/>
      <c r="D638" s="12"/>
      <c r="E638" s="12"/>
      <c r="F638" s="12"/>
      <c r="G638" s="12"/>
      <c r="H638" s="12"/>
      <c r="I638" s="12"/>
      <c r="J638" s="12"/>
      <c r="K638" s="12"/>
      <c r="L638" s="12"/>
      <c r="M638" s="12"/>
      <c r="N638" s="12"/>
      <c r="O638" s="12"/>
      <c r="P638" s="12"/>
      <c r="Q638" s="12"/>
      <c r="R638" s="12"/>
      <c r="S638" s="12"/>
      <c r="T638" s="12"/>
      <c r="U638" s="18"/>
      <c r="V638" s="12"/>
      <c r="W638" s="12"/>
      <c r="X638" s="12"/>
      <c r="Y638" s="12"/>
      <c r="Z638" s="12"/>
    </row>
    <row r="639" spans="1:26" ht="15" customHeight="1" x14ac:dyDescent="0.3">
      <c r="A639" s="27"/>
      <c r="B639" s="12"/>
      <c r="C639" s="12"/>
      <c r="D639" s="12"/>
      <c r="E639" s="12"/>
      <c r="F639" s="12"/>
      <c r="G639" s="12"/>
      <c r="H639" s="12"/>
      <c r="I639" s="12"/>
      <c r="J639" s="12"/>
      <c r="K639" s="12"/>
      <c r="L639" s="12"/>
      <c r="M639" s="12"/>
      <c r="N639" s="12"/>
      <c r="O639" s="12"/>
      <c r="P639" s="12"/>
      <c r="Q639" s="12"/>
      <c r="R639" s="12"/>
      <c r="S639" s="12"/>
      <c r="T639" s="12"/>
      <c r="U639" s="18"/>
      <c r="V639" s="12"/>
      <c r="W639" s="12"/>
      <c r="X639" s="12"/>
      <c r="Y639" s="12"/>
      <c r="Z639" s="12"/>
    </row>
    <row r="640" spans="1:26" ht="15" customHeight="1" x14ac:dyDescent="0.3">
      <c r="A640" s="27"/>
      <c r="B640" s="12"/>
      <c r="C640" s="12"/>
      <c r="D640" s="12"/>
      <c r="E640" s="12"/>
      <c r="F640" s="12"/>
      <c r="G640" s="12"/>
      <c r="H640" s="12"/>
      <c r="I640" s="12"/>
      <c r="J640" s="12"/>
      <c r="K640" s="12"/>
      <c r="L640" s="12"/>
      <c r="M640" s="12"/>
      <c r="N640" s="12"/>
      <c r="O640" s="12"/>
      <c r="P640" s="12"/>
      <c r="Q640" s="12"/>
      <c r="R640" s="12"/>
      <c r="S640" s="12"/>
      <c r="T640" s="12"/>
      <c r="U640" s="18"/>
      <c r="V640" s="12"/>
      <c r="W640" s="12"/>
      <c r="X640" s="12"/>
      <c r="Y640" s="12"/>
      <c r="Z640" s="12"/>
    </row>
    <row r="641" spans="1:26" ht="15" customHeight="1" x14ac:dyDescent="0.3">
      <c r="A641" s="27"/>
      <c r="B641" s="12"/>
      <c r="C641" s="12"/>
      <c r="D641" s="12"/>
      <c r="E641" s="12"/>
      <c r="F641" s="12"/>
      <c r="G641" s="12"/>
      <c r="H641" s="12"/>
      <c r="I641" s="12"/>
      <c r="J641" s="12"/>
      <c r="K641" s="12"/>
      <c r="L641" s="12"/>
      <c r="M641" s="12"/>
      <c r="N641" s="12"/>
      <c r="O641" s="12"/>
      <c r="P641" s="12"/>
      <c r="Q641" s="12"/>
      <c r="R641" s="12"/>
      <c r="S641" s="12"/>
      <c r="T641" s="12"/>
      <c r="U641" s="18"/>
      <c r="V641" s="12"/>
      <c r="W641" s="12"/>
      <c r="X641" s="12"/>
      <c r="Y641" s="12"/>
      <c r="Z641" s="12"/>
    </row>
    <row r="642" spans="1:26" ht="15" customHeight="1" x14ac:dyDescent="0.3">
      <c r="A642" s="27"/>
      <c r="B642" s="12"/>
      <c r="C642" s="12"/>
      <c r="D642" s="12"/>
      <c r="E642" s="12"/>
      <c r="F642" s="12"/>
      <c r="G642" s="12"/>
      <c r="H642" s="12"/>
      <c r="I642" s="12"/>
      <c r="J642" s="12"/>
      <c r="K642" s="12"/>
      <c r="L642" s="12"/>
      <c r="M642" s="12"/>
      <c r="N642" s="12"/>
      <c r="O642" s="12"/>
      <c r="P642" s="12"/>
      <c r="Q642" s="12"/>
      <c r="R642" s="12"/>
      <c r="S642" s="12"/>
      <c r="T642" s="12"/>
      <c r="U642" s="18"/>
      <c r="V642" s="12"/>
      <c r="W642" s="12"/>
      <c r="X642" s="12"/>
      <c r="Y642" s="12"/>
      <c r="Z642" s="12"/>
    </row>
    <row r="643" spans="1:26" ht="15" customHeight="1" x14ac:dyDescent="0.3">
      <c r="A643" s="27"/>
      <c r="B643" s="12"/>
      <c r="C643" s="12"/>
      <c r="D643" s="12"/>
      <c r="E643" s="12"/>
      <c r="F643" s="12"/>
      <c r="G643" s="12"/>
      <c r="H643" s="12"/>
      <c r="I643" s="12"/>
      <c r="J643" s="12"/>
      <c r="K643" s="12"/>
      <c r="L643" s="12"/>
      <c r="M643" s="12"/>
      <c r="N643" s="12"/>
      <c r="O643" s="12"/>
      <c r="P643" s="12"/>
      <c r="Q643" s="12"/>
      <c r="R643" s="12"/>
      <c r="S643" s="12"/>
      <c r="T643" s="12"/>
      <c r="U643" s="18"/>
      <c r="V643" s="12"/>
      <c r="W643" s="12"/>
      <c r="X643" s="12"/>
      <c r="Y643" s="12"/>
      <c r="Z643" s="12"/>
    </row>
    <row r="644" spans="1:26" ht="15" customHeight="1" x14ac:dyDescent="0.3">
      <c r="A644" s="27"/>
      <c r="B644" s="12"/>
      <c r="C644" s="12"/>
      <c r="D644" s="12"/>
      <c r="E644" s="12"/>
      <c r="F644" s="12"/>
      <c r="G644" s="12"/>
      <c r="H644" s="12"/>
      <c r="I644" s="12"/>
      <c r="J644" s="12"/>
      <c r="K644" s="12"/>
      <c r="L644" s="12"/>
      <c r="M644" s="12"/>
      <c r="N644" s="12"/>
      <c r="O644" s="12"/>
      <c r="P644" s="12"/>
      <c r="Q644" s="12"/>
      <c r="R644" s="12"/>
      <c r="S644" s="12"/>
      <c r="T644" s="12"/>
      <c r="U644" s="18"/>
      <c r="V644" s="12"/>
      <c r="W644" s="12"/>
      <c r="X644" s="12"/>
      <c r="Y644" s="12"/>
      <c r="Z644" s="12"/>
    </row>
    <row r="645" spans="1:26" ht="15" customHeight="1" x14ac:dyDescent="0.3">
      <c r="A645" s="27"/>
      <c r="B645" s="12"/>
      <c r="C645" s="12"/>
      <c r="D645" s="12"/>
      <c r="E645" s="12"/>
      <c r="F645" s="12"/>
      <c r="G645" s="12"/>
      <c r="H645" s="12"/>
      <c r="I645" s="12"/>
      <c r="J645" s="12"/>
      <c r="K645" s="12"/>
      <c r="L645" s="12"/>
      <c r="M645" s="12"/>
      <c r="N645" s="12"/>
      <c r="O645" s="12"/>
      <c r="P645" s="12"/>
      <c r="Q645" s="12"/>
      <c r="R645" s="12"/>
      <c r="S645" s="12"/>
      <c r="T645" s="12"/>
      <c r="U645" s="18"/>
      <c r="V645" s="12"/>
      <c r="W645" s="12"/>
      <c r="X645" s="12"/>
      <c r="Y645" s="12"/>
      <c r="Z645" s="12"/>
    </row>
    <row r="646" spans="1:26" ht="15" customHeight="1" x14ac:dyDescent="0.3">
      <c r="A646" s="27"/>
      <c r="B646" s="12"/>
      <c r="C646" s="12"/>
      <c r="D646" s="12"/>
      <c r="E646" s="12"/>
      <c r="F646" s="12"/>
      <c r="G646" s="12"/>
      <c r="H646" s="12"/>
      <c r="I646" s="12"/>
      <c r="J646" s="12"/>
      <c r="K646" s="12"/>
      <c r="L646" s="12"/>
      <c r="M646" s="12"/>
      <c r="N646" s="12"/>
      <c r="O646" s="12"/>
      <c r="P646" s="12"/>
      <c r="Q646" s="12"/>
      <c r="R646" s="12"/>
      <c r="S646" s="12"/>
      <c r="T646" s="12"/>
      <c r="U646" s="18"/>
      <c r="V646" s="12"/>
      <c r="W646" s="12"/>
      <c r="X646" s="12"/>
      <c r="Y646" s="12"/>
      <c r="Z646" s="12"/>
    </row>
    <row r="647" spans="1:26" ht="15" customHeight="1" x14ac:dyDescent="0.3">
      <c r="A647" s="27"/>
      <c r="B647" s="12"/>
      <c r="C647" s="12"/>
      <c r="D647" s="12"/>
      <c r="E647" s="12"/>
      <c r="F647" s="12"/>
      <c r="G647" s="12"/>
      <c r="H647" s="12"/>
      <c r="I647" s="12"/>
      <c r="J647" s="12"/>
      <c r="K647" s="12"/>
      <c r="L647" s="12"/>
      <c r="M647" s="12"/>
      <c r="N647" s="12"/>
      <c r="O647" s="12"/>
      <c r="P647" s="12"/>
      <c r="Q647" s="12"/>
      <c r="R647" s="12"/>
      <c r="S647" s="12"/>
      <c r="T647" s="12"/>
      <c r="U647" s="18"/>
      <c r="V647" s="12"/>
      <c r="W647" s="12"/>
      <c r="X647" s="12"/>
      <c r="Y647" s="12"/>
      <c r="Z647" s="12"/>
    </row>
    <row r="648" spans="1:26" ht="15" customHeight="1" x14ac:dyDescent="0.3">
      <c r="A648" s="27"/>
      <c r="B648" s="12"/>
      <c r="C648" s="12"/>
      <c r="D648" s="12"/>
      <c r="E648" s="12"/>
      <c r="F648" s="12"/>
      <c r="G648" s="12"/>
      <c r="H648" s="12"/>
      <c r="I648" s="12"/>
      <c r="J648" s="12"/>
      <c r="K648" s="12"/>
      <c r="L648" s="12"/>
      <c r="M648" s="12"/>
      <c r="N648" s="12"/>
      <c r="O648" s="12"/>
      <c r="P648" s="12"/>
      <c r="Q648" s="12"/>
      <c r="R648" s="12"/>
      <c r="S648" s="12"/>
      <c r="T648" s="12"/>
      <c r="U648" s="18"/>
      <c r="V648" s="12"/>
      <c r="W648" s="12"/>
      <c r="X648" s="12"/>
      <c r="Y648" s="12"/>
      <c r="Z648" s="12"/>
    </row>
    <row r="649" spans="1:26" ht="15" customHeight="1" x14ac:dyDescent="0.3">
      <c r="A649" s="27"/>
      <c r="B649" s="12"/>
      <c r="C649" s="12"/>
      <c r="D649" s="12"/>
      <c r="E649" s="12"/>
      <c r="F649" s="12"/>
      <c r="G649" s="12"/>
      <c r="H649" s="12"/>
      <c r="I649" s="12"/>
      <c r="J649" s="12"/>
      <c r="K649" s="12"/>
      <c r="L649" s="12"/>
      <c r="M649" s="12"/>
      <c r="N649" s="12"/>
      <c r="O649" s="12"/>
      <c r="P649" s="12"/>
      <c r="Q649" s="12"/>
      <c r="R649" s="12"/>
      <c r="S649" s="12"/>
      <c r="T649" s="12"/>
      <c r="U649" s="18"/>
      <c r="V649" s="12"/>
      <c r="W649" s="12"/>
      <c r="X649" s="12"/>
      <c r="Y649" s="12"/>
      <c r="Z649" s="12"/>
    </row>
    <row r="650" spans="1:26" ht="15" customHeight="1" x14ac:dyDescent="0.3">
      <c r="A650" s="27"/>
      <c r="B650" s="12"/>
      <c r="C650" s="12"/>
      <c r="D650" s="12"/>
      <c r="E650" s="12"/>
      <c r="F650" s="12"/>
      <c r="G650" s="12"/>
      <c r="H650" s="12"/>
      <c r="I650" s="12"/>
      <c r="J650" s="12"/>
      <c r="K650" s="12"/>
      <c r="L650" s="12"/>
      <c r="M650" s="12"/>
      <c r="N650" s="12"/>
      <c r="O650" s="12"/>
      <c r="P650" s="12"/>
      <c r="Q650" s="12"/>
      <c r="R650" s="12"/>
      <c r="S650" s="12"/>
      <c r="T650" s="12"/>
      <c r="U650" s="18"/>
      <c r="V650" s="12"/>
      <c r="W650" s="12"/>
      <c r="X650" s="12"/>
      <c r="Y650" s="12"/>
      <c r="Z650" s="12"/>
    </row>
    <row r="651" spans="1:26" ht="15" customHeight="1" x14ac:dyDescent="0.3">
      <c r="A651" s="27"/>
      <c r="B651" s="12"/>
      <c r="C651" s="12"/>
      <c r="D651" s="12"/>
      <c r="E651" s="12"/>
      <c r="F651" s="12"/>
      <c r="G651" s="12"/>
      <c r="H651" s="12"/>
      <c r="I651" s="12"/>
      <c r="J651" s="12"/>
      <c r="K651" s="12"/>
      <c r="L651" s="12"/>
      <c r="M651" s="12"/>
      <c r="N651" s="12"/>
      <c r="O651" s="12"/>
      <c r="P651" s="12"/>
      <c r="Q651" s="12"/>
      <c r="R651" s="12"/>
      <c r="S651" s="12"/>
      <c r="T651" s="12"/>
      <c r="U651" s="18"/>
      <c r="V651" s="12"/>
      <c r="W651" s="12"/>
      <c r="X651" s="12"/>
      <c r="Y651" s="12"/>
      <c r="Z651" s="12"/>
    </row>
    <row r="652" spans="1:26" ht="15" customHeight="1" x14ac:dyDescent="0.3">
      <c r="A652" s="27"/>
      <c r="B652" s="12"/>
      <c r="C652" s="12"/>
      <c r="D652" s="12"/>
      <c r="E652" s="12"/>
      <c r="F652" s="12"/>
      <c r="G652" s="12"/>
      <c r="H652" s="12"/>
      <c r="I652" s="12"/>
      <c r="J652" s="12"/>
      <c r="K652" s="12"/>
      <c r="L652" s="12"/>
      <c r="M652" s="12"/>
      <c r="N652" s="12"/>
      <c r="O652" s="12"/>
      <c r="P652" s="12"/>
      <c r="Q652" s="12"/>
      <c r="R652" s="12"/>
      <c r="S652" s="12"/>
      <c r="T652" s="12"/>
      <c r="U652" s="18"/>
      <c r="V652" s="12"/>
      <c r="W652" s="12"/>
      <c r="X652" s="12"/>
      <c r="Y652" s="12"/>
      <c r="Z652" s="12"/>
    </row>
    <row r="653" spans="1:26" ht="15" customHeight="1" x14ac:dyDescent="0.3">
      <c r="A653" s="27"/>
      <c r="B653" s="12"/>
      <c r="C653" s="12"/>
      <c r="D653" s="12"/>
      <c r="E653" s="12"/>
      <c r="F653" s="12"/>
      <c r="G653" s="12"/>
      <c r="H653" s="12"/>
      <c r="I653" s="12"/>
      <c r="J653" s="12"/>
      <c r="K653" s="12"/>
      <c r="L653" s="12"/>
      <c r="M653" s="12"/>
      <c r="N653" s="12"/>
      <c r="O653" s="12"/>
      <c r="P653" s="12"/>
      <c r="Q653" s="12"/>
      <c r="R653" s="12"/>
      <c r="S653" s="12"/>
      <c r="T653" s="12"/>
      <c r="U653" s="18"/>
      <c r="V653" s="12"/>
      <c r="W653" s="12"/>
      <c r="X653" s="12"/>
      <c r="Y653" s="12"/>
      <c r="Z653" s="12"/>
    </row>
    <row r="654" spans="1:26" ht="15" customHeight="1" x14ac:dyDescent="0.3">
      <c r="A654" s="27"/>
      <c r="B654" s="12"/>
      <c r="C654" s="12"/>
      <c r="D654" s="12"/>
      <c r="E654" s="12"/>
      <c r="F654" s="12"/>
      <c r="G654" s="12"/>
      <c r="H654" s="12"/>
      <c r="I654" s="12"/>
      <c r="J654" s="12"/>
      <c r="K654" s="12"/>
      <c r="L654" s="12"/>
      <c r="M654" s="12"/>
      <c r="N654" s="12"/>
      <c r="O654" s="12"/>
      <c r="P654" s="12"/>
      <c r="Q654" s="12"/>
      <c r="R654" s="12"/>
      <c r="S654" s="12"/>
      <c r="T654" s="12"/>
      <c r="U654" s="18"/>
      <c r="V654" s="12"/>
      <c r="W654" s="12"/>
      <c r="X654" s="12"/>
      <c r="Y654" s="12"/>
      <c r="Z654" s="12"/>
    </row>
    <row r="655" spans="1:26" ht="15" customHeight="1" x14ac:dyDescent="0.3">
      <c r="A655" s="27"/>
      <c r="B655" s="12"/>
      <c r="C655" s="12"/>
      <c r="D655" s="12"/>
      <c r="E655" s="12"/>
      <c r="F655" s="12"/>
      <c r="G655" s="12"/>
      <c r="H655" s="12"/>
      <c r="I655" s="12"/>
      <c r="J655" s="12"/>
      <c r="K655" s="12"/>
      <c r="L655" s="12"/>
      <c r="M655" s="12"/>
      <c r="N655" s="12"/>
      <c r="O655" s="12"/>
      <c r="P655" s="12"/>
      <c r="Q655" s="12"/>
      <c r="R655" s="12"/>
      <c r="S655" s="12"/>
      <c r="T655" s="12"/>
      <c r="U655" s="18"/>
      <c r="V655" s="12"/>
      <c r="W655" s="12"/>
      <c r="X655" s="12"/>
      <c r="Y655" s="12"/>
      <c r="Z655" s="12"/>
    </row>
    <row r="656" spans="1:26" ht="15" customHeight="1" x14ac:dyDescent="0.3">
      <c r="A656" s="27"/>
      <c r="B656" s="12"/>
      <c r="C656" s="12"/>
      <c r="D656" s="12"/>
      <c r="E656" s="12"/>
      <c r="F656" s="12"/>
      <c r="G656" s="12"/>
      <c r="H656" s="12"/>
      <c r="I656" s="12"/>
      <c r="J656" s="12"/>
      <c r="K656" s="12"/>
      <c r="L656" s="12"/>
      <c r="M656" s="12"/>
      <c r="N656" s="12"/>
      <c r="O656" s="12"/>
      <c r="P656" s="12"/>
      <c r="Q656" s="12"/>
      <c r="R656" s="12"/>
      <c r="S656" s="12"/>
      <c r="T656" s="12"/>
      <c r="U656" s="18"/>
      <c r="V656" s="12"/>
      <c r="W656" s="12"/>
      <c r="X656" s="12"/>
      <c r="Y656" s="12"/>
      <c r="Z656" s="12"/>
    </row>
    <row r="657" spans="1:26" ht="15" customHeight="1" x14ac:dyDescent="0.3">
      <c r="A657" s="27"/>
      <c r="B657" s="12"/>
      <c r="C657" s="12"/>
      <c r="D657" s="12"/>
      <c r="E657" s="12"/>
      <c r="F657" s="12"/>
      <c r="G657" s="12"/>
      <c r="H657" s="12"/>
      <c r="I657" s="12"/>
      <c r="J657" s="12"/>
      <c r="K657" s="12"/>
      <c r="L657" s="12"/>
      <c r="M657" s="12"/>
      <c r="N657" s="12"/>
      <c r="O657" s="12"/>
      <c r="P657" s="12"/>
      <c r="Q657" s="12"/>
      <c r="R657" s="12"/>
      <c r="S657" s="12"/>
      <c r="T657" s="12"/>
      <c r="U657" s="18"/>
      <c r="V657" s="12"/>
      <c r="W657" s="12"/>
      <c r="X657" s="12"/>
      <c r="Y657" s="12"/>
      <c r="Z657" s="12"/>
    </row>
    <row r="658" spans="1:26" ht="15" customHeight="1" x14ac:dyDescent="0.3">
      <c r="A658" s="27"/>
      <c r="B658" s="12"/>
      <c r="C658" s="12"/>
      <c r="D658" s="12"/>
      <c r="E658" s="12"/>
      <c r="F658" s="12"/>
      <c r="G658" s="12"/>
      <c r="H658" s="12"/>
      <c r="I658" s="12"/>
      <c r="J658" s="12"/>
      <c r="K658" s="12"/>
      <c r="L658" s="12"/>
      <c r="M658" s="12"/>
      <c r="N658" s="12"/>
      <c r="O658" s="12"/>
      <c r="P658" s="12"/>
      <c r="Q658" s="12"/>
      <c r="R658" s="12"/>
      <c r="S658" s="12"/>
      <c r="T658" s="12"/>
      <c r="U658" s="18"/>
      <c r="V658" s="12"/>
      <c r="W658" s="12"/>
      <c r="X658" s="12"/>
      <c r="Y658" s="12"/>
      <c r="Z658" s="12"/>
    </row>
    <row r="659" spans="1:26" ht="15" customHeight="1" x14ac:dyDescent="0.3">
      <c r="A659" s="27"/>
      <c r="B659" s="12"/>
      <c r="C659" s="12"/>
      <c r="D659" s="12"/>
      <c r="E659" s="12"/>
      <c r="F659" s="12"/>
      <c r="G659" s="12"/>
      <c r="H659" s="12"/>
      <c r="I659" s="12"/>
      <c r="J659" s="12"/>
      <c r="K659" s="12"/>
      <c r="L659" s="12"/>
      <c r="M659" s="12"/>
      <c r="N659" s="12"/>
      <c r="O659" s="12"/>
      <c r="P659" s="12"/>
      <c r="Q659" s="12"/>
      <c r="R659" s="12"/>
      <c r="S659" s="12"/>
      <c r="T659" s="12"/>
      <c r="U659" s="18"/>
      <c r="V659" s="12"/>
      <c r="W659" s="12"/>
      <c r="X659" s="12"/>
      <c r="Y659" s="12"/>
      <c r="Z659" s="12"/>
    </row>
    <row r="660" spans="1:26" ht="15" customHeight="1" x14ac:dyDescent="0.3">
      <c r="A660" s="27"/>
      <c r="B660" s="12"/>
      <c r="C660" s="12"/>
      <c r="D660" s="12"/>
      <c r="E660" s="12"/>
      <c r="F660" s="12"/>
      <c r="G660" s="12"/>
      <c r="H660" s="12"/>
      <c r="I660" s="12"/>
      <c r="J660" s="12"/>
      <c r="K660" s="12"/>
      <c r="L660" s="12"/>
      <c r="M660" s="12"/>
      <c r="N660" s="12"/>
      <c r="O660" s="12"/>
      <c r="P660" s="12"/>
      <c r="Q660" s="12"/>
      <c r="R660" s="12"/>
      <c r="S660" s="12"/>
      <c r="T660" s="12"/>
      <c r="U660" s="18"/>
      <c r="V660" s="12"/>
      <c r="W660" s="12"/>
      <c r="X660" s="12"/>
      <c r="Y660" s="12"/>
      <c r="Z660" s="12"/>
    </row>
    <row r="661" spans="1:26" ht="15" customHeight="1" x14ac:dyDescent="0.3">
      <c r="A661" s="27"/>
      <c r="B661" s="12"/>
      <c r="C661" s="12"/>
      <c r="D661" s="12"/>
      <c r="E661" s="12"/>
      <c r="F661" s="12"/>
      <c r="G661" s="12"/>
      <c r="H661" s="12"/>
      <c r="I661" s="12"/>
      <c r="J661" s="12"/>
      <c r="K661" s="12"/>
      <c r="L661" s="12"/>
      <c r="M661" s="12"/>
      <c r="N661" s="12"/>
      <c r="O661" s="12"/>
      <c r="P661" s="12"/>
      <c r="Q661" s="12"/>
      <c r="R661" s="12"/>
      <c r="S661" s="12"/>
      <c r="T661" s="12"/>
      <c r="U661" s="18"/>
      <c r="V661" s="12"/>
      <c r="W661" s="12"/>
      <c r="X661" s="12"/>
      <c r="Y661" s="12"/>
      <c r="Z661" s="12"/>
    </row>
    <row r="662" spans="1:26" ht="15" customHeight="1" x14ac:dyDescent="0.3">
      <c r="A662" s="27"/>
      <c r="B662" s="12"/>
      <c r="C662" s="12"/>
      <c r="D662" s="12"/>
      <c r="E662" s="12"/>
      <c r="F662" s="12"/>
      <c r="G662" s="12"/>
      <c r="H662" s="12"/>
      <c r="I662" s="12"/>
      <c r="J662" s="12"/>
      <c r="K662" s="12"/>
      <c r="L662" s="12"/>
      <c r="M662" s="12"/>
      <c r="N662" s="12"/>
      <c r="O662" s="12"/>
      <c r="P662" s="12"/>
      <c r="Q662" s="12"/>
      <c r="R662" s="12"/>
      <c r="S662" s="12"/>
      <c r="T662" s="12"/>
      <c r="U662" s="18"/>
      <c r="V662" s="12"/>
      <c r="W662" s="12"/>
      <c r="X662" s="12"/>
      <c r="Y662" s="12"/>
      <c r="Z662" s="12"/>
    </row>
    <row r="663" spans="1:26" ht="15" customHeight="1" x14ac:dyDescent="0.3">
      <c r="A663" s="27"/>
      <c r="B663" s="12"/>
      <c r="C663" s="12"/>
      <c r="D663" s="12"/>
      <c r="E663" s="12"/>
      <c r="F663" s="12"/>
      <c r="G663" s="12"/>
      <c r="H663" s="12"/>
      <c r="I663" s="12"/>
      <c r="J663" s="12"/>
      <c r="K663" s="12"/>
      <c r="L663" s="12"/>
      <c r="M663" s="12"/>
      <c r="N663" s="12"/>
      <c r="O663" s="12"/>
      <c r="P663" s="12"/>
      <c r="Q663" s="12"/>
      <c r="R663" s="12"/>
      <c r="S663" s="12"/>
      <c r="T663" s="12"/>
      <c r="U663" s="18"/>
      <c r="V663" s="12"/>
      <c r="W663" s="12"/>
      <c r="X663" s="12"/>
      <c r="Y663" s="12"/>
      <c r="Z663" s="12"/>
    </row>
    <row r="664" spans="1:26" ht="15" customHeight="1" x14ac:dyDescent="0.3">
      <c r="A664" s="27"/>
      <c r="B664" s="12"/>
      <c r="C664" s="12"/>
      <c r="D664" s="12"/>
      <c r="E664" s="12"/>
      <c r="F664" s="12"/>
      <c r="G664" s="12"/>
      <c r="H664" s="12"/>
      <c r="I664" s="12"/>
      <c r="J664" s="12"/>
      <c r="K664" s="12"/>
      <c r="L664" s="12"/>
      <c r="M664" s="12"/>
      <c r="N664" s="12"/>
      <c r="O664" s="12"/>
      <c r="P664" s="12"/>
      <c r="Q664" s="12"/>
      <c r="R664" s="12"/>
      <c r="S664" s="12"/>
      <c r="T664" s="12"/>
      <c r="U664" s="18"/>
      <c r="V664" s="12"/>
      <c r="W664" s="12"/>
      <c r="X664" s="12"/>
      <c r="Y664" s="12"/>
      <c r="Z664" s="12"/>
    </row>
    <row r="665" spans="1:26" ht="15" customHeight="1" x14ac:dyDescent="0.3">
      <c r="A665" s="27"/>
      <c r="B665" s="12"/>
      <c r="C665" s="12"/>
      <c r="D665" s="12"/>
      <c r="E665" s="12"/>
      <c r="F665" s="12"/>
      <c r="G665" s="12"/>
      <c r="H665" s="12"/>
      <c r="I665" s="12"/>
      <c r="J665" s="12"/>
      <c r="K665" s="12"/>
      <c r="L665" s="12"/>
      <c r="M665" s="12"/>
      <c r="N665" s="12"/>
      <c r="O665" s="12"/>
      <c r="P665" s="12"/>
      <c r="Q665" s="12"/>
      <c r="R665" s="12"/>
      <c r="S665" s="12"/>
      <c r="T665" s="12"/>
      <c r="U665" s="18"/>
      <c r="V665" s="12"/>
      <c r="W665" s="12"/>
      <c r="X665" s="12"/>
      <c r="Y665" s="12"/>
      <c r="Z665" s="12"/>
    </row>
    <row r="666" spans="1:26" ht="15" customHeight="1" x14ac:dyDescent="0.3">
      <c r="A666" s="27"/>
      <c r="B666" s="12"/>
      <c r="C666" s="12"/>
      <c r="D666" s="12"/>
      <c r="E666" s="12"/>
      <c r="F666" s="12"/>
      <c r="G666" s="12"/>
      <c r="H666" s="12"/>
      <c r="I666" s="12"/>
      <c r="J666" s="12"/>
      <c r="K666" s="12"/>
      <c r="L666" s="12"/>
      <c r="M666" s="12"/>
      <c r="N666" s="12"/>
      <c r="O666" s="12"/>
      <c r="P666" s="12"/>
      <c r="Q666" s="12"/>
      <c r="R666" s="12"/>
      <c r="S666" s="12"/>
      <c r="T666" s="12"/>
      <c r="U666" s="18"/>
      <c r="V666" s="12"/>
      <c r="W666" s="12"/>
      <c r="X666" s="12"/>
      <c r="Y666" s="12"/>
      <c r="Z666" s="12"/>
    </row>
    <row r="667" spans="1:26" ht="15" customHeight="1" x14ac:dyDescent="0.3">
      <c r="A667" s="27"/>
      <c r="B667" s="12"/>
      <c r="C667" s="12"/>
      <c r="D667" s="12"/>
      <c r="E667" s="12"/>
      <c r="F667" s="12"/>
      <c r="G667" s="12"/>
      <c r="H667" s="12"/>
      <c r="I667" s="12"/>
      <c r="J667" s="12"/>
      <c r="K667" s="12"/>
      <c r="L667" s="12"/>
      <c r="M667" s="12"/>
      <c r="N667" s="12"/>
      <c r="O667" s="12"/>
      <c r="P667" s="12"/>
      <c r="Q667" s="12"/>
      <c r="R667" s="12"/>
      <c r="S667" s="12"/>
      <c r="T667" s="12"/>
      <c r="U667" s="18"/>
      <c r="V667" s="12"/>
      <c r="W667" s="12"/>
      <c r="X667" s="12"/>
      <c r="Y667" s="12"/>
      <c r="Z667" s="12"/>
    </row>
    <row r="668" spans="1:26" ht="15" customHeight="1" x14ac:dyDescent="0.3">
      <c r="A668" s="27"/>
      <c r="B668" s="12"/>
      <c r="C668" s="12"/>
      <c r="D668" s="12"/>
      <c r="E668" s="12"/>
      <c r="F668" s="12"/>
      <c r="G668" s="12"/>
      <c r="H668" s="12"/>
      <c r="I668" s="12"/>
      <c r="J668" s="12"/>
      <c r="K668" s="12"/>
      <c r="L668" s="12"/>
      <c r="M668" s="12"/>
      <c r="N668" s="12"/>
      <c r="O668" s="12"/>
      <c r="P668" s="12"/>
      <c r="Q668" s="12"/>
      <c r="R668" s="12"/>
      <c r="S668" s="12"/>
      <c r="T668" s="12"/>
      <c r="U668" s="18"/>
      <c r="V668" s="12"/>
      <c r="W668" s="12"/>
      <c r="X668" s="12"/>
      <c r="Y668" s="12"/>
      <c r="Z668" s="12"/>
    </row>
    <row r="669" spans="1:26" ht="15" customHeight="1" x14ac:dyDescent="0.3">
      <c r="A669" s="27"/>
      <c r="B669" s="12"/>
      <c r="C669" s="12"/>
      <c r="D669" s="12"/>
      <c r="E669" s="12"/>
      <c r="F669" s="12"/>
      <c r="G669" s="12"/>
      <c r="H669" s="12"/>
      <c r="I669" s="12"/>
      <c r="J669" s="12"/>
      <c r="K669" s="12"/>
      <c r="L669" s="12"/>
      <c r="M669" s="12"/>
      <c r="N669" s="12"/>
      <c r="O669" s="12"/>
      <c r="P669" s="12"/>
      <c r="Q669" s="12"/>
      <c r="R669" s="12"/>
      <c r="S669" s="12"/>
      <c r="T669" s="12"/>
      <c r="U669" s="18"/>
      <c r="V669" s="12"/>
      <c r="W669" s="12"/>
      <c r="X669" s="12"/>
      <c r="Y669" s="12"/>
      <c r="Z669" s="12"/>
    </row>
    <row r="670" spans="1:26" ht="15" customHeight="1" x14ac:dyDescent="0.3">
      <c r="A670" s="27"/>
      <c r="B670" s="12"/>
      <c r="C670" s="12"/>
      <c r="D670" s="12"/>
      <c r="E670" s="12"/>
      <c r="F670" s="12"/>
      <c r="G670" s="12"/>
      <c r="H670" s="12"/>
      <c r="I670" s="12"/>
      <c r="J670" s="12"/>
      <c r="K670" s="12"/>
      <c r="L670" s="12"/>
      <c r="M670" s="12"/>
      <c r="N670" s="12"/>
      <c r="O670" s="12"/>
      <c r="P670" s="12"/>
      <c r="Q670" s="12"/>
      <c r="R670" s="12"/>
      <c r="S670" s="12"/>
      <c r="T670" s="12"/>
      <c r="U670" s="18"/>
      <c r="V670" s="12"/>
      <c r="W670" s="12"/>
      <c r="X670" s="12"/>
      <c r="Y670" s="12"/>
      <c r="Z670" s="12"/>
    </row>
    <row r="671" spans="1:26" ht="15" customHeight="1" x14ac:dyDescent="0.3">
      <c r="A671" s="27"/>
      <c r="B671" s="12"/>
      <c r="C671" s="12"/>
      <c r="D671" s="12"/>
      <c r="E671" s="12"/>
      <c r="F671" s="12"/>
      <c r="G671" s="12"/>
      <c r="H671" s="12"/>
      <c r="I671" s="12"/>
      <c r="J671" s="12"/>
      <c r="K671" s="12"/>
      <c r="L671" s="12"/>
      <c r="M671" s="12"/>
      <c r="N671" s="12"/>
      <c r="O671" s="12"/>
      <c r="P671" s="12"/>
      <c r="Q671" s="12"/>
      <c r="R671" s="12"/>
      <c r="S671" s="12"/>
      <c r="T671" s="12"/>
      <c r="U671" s="18"/>
      <c r="V671" s="12"/>
      <c r="W671" s="12"/>
      <c r="X671" s="12"/>
      <c r="Y671" s="12"/>
      <c r="Z671" s="12"/>
    </row>
    <row r="672" spans="1:26" ht="15" customHeight="1" x14ac:dyDescent="0.3">
      <c r="A672" s="27"/>
      <c r="B672" s="12"/>
      <c r="C672" s="12"/>
      <c r="D672" s="12"/>
      <c r="E672" s="12"/>
      <c r="F672" s="12"/>
      <c r="G672" s="12"/>
      <c r="H672" s="12"/>
      <c r="I672" s="12"/>
      <c r="J672" s="12"/>
      <c r="K672" s="12"/>
      <c r="L672" s="12"/>
      <c r="M672" s="12"/>
      <c r="N672" s="12"/>
      <c r="O672" s="12"/>
      <c r="P672" s="12"/>
      <c r="Q672" s="12"/>
      <c r="R672" s="12"/>
      <c r="S672" s="12"/>
      <c r="T672" s="12"/>
      <c r="U672" s="18"/>
      <c r="V672" s="12"/>
      <c r="W672" s="12"/>
      <c r="X672" s="12"/>
      <c r="Y672" s="12"/>
      <c r="Z672" s="12"/>
    </row>
    <row r="673" spans="1:26" ht="15" customHeight="1" x14ac:dyDescent="0.3">
      <c r="A673" s="27"/>
      <c r="B673" s="12"/>
      <c r="C673" s="12"/>
      <c r="D673" s="12"/>
      <c r="E673" s="12"/>
      <c r="F673" s="12"/>
      <c r="G673" s="12"/>
      <c r="H673" s="12"/>
      <c r="I673" s="12"/>
      <c r="J673" s="12"/>
      <c r="K673" s="12"/>
      <c r="L673" s="12"/>
      <c r="M673" s="12"/>
      <c r="N673" s="12"/>
      <c r="O673" s="12"/>
      <c r="P673" s="12"/>
      <c r="Q673" s="12"/>
      <c r="R673" s="12"/>
      <c r="S673" s="12"/>
      <c r="T673" s="12"/>
      <c r="U673" s="18"/>
      <c r="V673" s="12"/>
      <c r="W673" s="12"/>
      <c r="X673" s="12"/>
      <c r="Y673" s="12"/>
      <c r="Z673" s="12"/>
    </row>
    <row r="674" spans="1:26" ht="15" customHeight="1" x14ac:dyDescent="0.3">
      <c r="A674" s="27"/>
      <c r="B674" s="12"/>
      <c r="C674" s="12"/>
      <c r="D674" s="12"/>
      <c r="E674" s="12"/>
      <c r="F674" s="12"/>
      <c r="G674" s="12"/>
      <c r="H674" s="12"/>
      <c r="I674" s="12"/>
      <c r="J674" s="12"/>
      <c r="K674" s="12"/>
      <c r="L674" s="12"/>
      <c r="M674" s="12"/>
      <c r="N674" s="12"/>
      <c r="O674" s="12"/>
      <c r="P674" s="12"/>
      <c r="Q674" s="12"/>
      <c r="R674" s="12"/>
      <c r="S674" s="12"/>
      <c r="T674" s="12"/>
      <c r="U674" s="18"/>
      <c r="V674" s="12"/>
      <c r="W674" s="12"/>
      <c r="X674" s="12"/>
      <c r="Y674" s="12"/>
      <c r="Z674" s="12"/>
    </row>
    <row r="675" spans="1:26" ht="15" customHeight="1" x14ac:dyDescent="0.3">
      <c r="A675" s="27"/>
      <c r="B675" s="12"/>
      <c r="C675" s="12"/>
      <c r="D675" s="12"/>
      <c r="E675" s="12"/>
      <c r="F675" s="12"/>
      <c r="G675" s="12"/>
      <c r="H675" s="12"/>
      <c r="I675" s="12"/>
      <c r="J675" s="12"/>
      <c r="K675" s="12"/>
      <c r="L675" s="12"/>
      <c r="M675" s="12"/>
      <c r="N675" s="12"/>
      <c r="O675" s="12"/>
      <c r="P675" s="12"/>
      <c r="Q675" s="12"/>
      <c r="R675" s="12"/>
      <c r="S675" s="12"/>
      <c r="T675" s="12"/>
      <c r="U675" s="18"/>
      <c r="V675" s="12"/>
      <c r="W675" s="12"/>
      <c r="X675" s="12"/>
      <c r="Y675" s="12"/>
      <c r="Z675" s="12"/>
    </row>
    <row r="676" spans="1:26" ht="15" customHeight="1" x14ac:dyDescent="0.3">
      <c r="A676" s="27"/>
      <c r="B676" s="12"/>
      <c r="C676" s="12"/>
      <c r="D676" s="12"/>
      <c r="E676" s="12"/>
      <c r="F676" s="12"/>
      <c r="G676" s="12"/>
      <c r="H676" s="12"/>
      <c r="I676" s="12"/>
      <c r="J676" s="12"/>
      <c r="K676" s="12"/>
      <c r="L676" s="12"/>
      <c r="M676" s="12"/>
      <c r="N676" s="12"/>
      <c r="O676" s="12"/>
      <c r="P676" s="12"/>
      <c r="Q676" s="12"/>
      <c r="R676" s="12"/>
      <c r="S676" s="12"/>
      <c r="T676" s="12"/>
      <c r="U676" s="18"/>
      <c r="V676" s="12"/>
      <c r="W676" s="12"/>
      <c r="X676" s="12"/>
      <c r="Y676" s="12"/>
      <c r="Z676" s="12"/>
    </row>
    <row r="677" spans="1:26" ht="15" customHeight="1" x14ac:dyDescent="0.3">
      <c r="A677" s="27"/>
      <c r="B677" s="12"/>
      <c r="C677" s="12"/>
      <c r="D677" s="12"/>
      <c r="E677" s="12"/>
      <c r="F677" s="12"/>
      <c r="G677" s="12"/>
      <c r="H677" s="12"/>
      <c r="I677" s="12"/>
      <c r="J677" s="12"/>
      <c r="K677" s="12"/>
      <c r="L677" s="12"/>
      <c r="M677" s="12"/>
      <c r="N677" s="12"/>
      <c r="O677" s="12"/>
      <c r="P677" s="12"/>
      <c r="Q677" s="12"/>
      <c r="R677" s="12"/>
      <c r="S677" s="12"/>
      <c r="T677" s="12"/>
      <c r="U677" s="18"/>
      <c r="V677" s="12"/>
      <c r="W677" s="12"/>
      <c r="X677" s="12"/>
      <c r="Y677" s="12"/>
      <c r="Z677" s="12"/>
    </row>
    <row r="678" spans="1:26" ht="15" customHeight="1" x14ac:dyDescent="0.3">
      <c r="A678" s="27"/>
      <c r="B678" s="12"/>
      <c r="C678" s="12"/>
      <c r="D678" s="12"/>
      <c r="E678" s="12"/>
      <c r="F678" s="12"/>
      <c r="G678" s="12"/>
      <c r="H678" s="12"/>
      <c r="I678" s="12"/>
      <c r="J678" s="12"/>
      <c r="K678" s="12"/>
      <c r="L678" s="12"/>
      <c r="M678" s="12"/>
      <c r="N678" s="12"/>
      <c r="O678" s="12"/>
      <c r="P678" s="12"/>
      <c r="Q678" s="12"/>
      <c r="R678" s="12"/>
      <c r="S678" s="12"/>
      <c r="T678" s="12"/>
      <c r="U678" s="18"/>
      <c r="V678" s="12"/>
      <c r="W678" s="12"/>
      <c r="X678" s="12"/>
      <c r="Y678" s="12"/>
      <c r="Z678" s="12"/>
    </row>
    <row r="679" spans="1:26" ht="15" customHeight="1" x14ac:dyDescent="0.3">
      <c r="A679" s="27"/>
      <c r="B679" s="12"/>
      <c r="C679" s="12"/>
      <c r="D679" s="12"/>
      <c r="E679" s="12"/>
      <c r="F679" s="12"/>
      <c r="G679" s="12"/>
      <c r="H679" s="12"/>
      <c r="I679" s="12"/>
      <c r="J679" s="12"/>
      <c r="K679" s="12"/>
      <c r="L679" s="12"/>
      <c r="M679" s="12"/>
      <c r="N679" s="12"/>
      <c r="O679" s="12"/>
      <c r="P679" s="12"/>
      <c r="Q679" s="12"/>
      <c r="R679" s="12"/>
      <c r="S679" s="12"/>
      <c r="T679" s="12"/>
      <c r="U679" s="18"/>
      <c r="V679" s="12"/>
      <c r="W679" s="12"/>
      <c r="X679" s="12"/>
      <c r="Y679" s="12"/>
      <c r="Z679" s="12"/>
    </row>
    <row r="680" spans="1:26" ht="15" customHeight="1" x14ac:dyDescent="0.3">
      <c r="A680" s="27"/>
      <c r="B680" s="12"/>
      <c r="C680" s="12"/>
      <c r="D680" s="12"/>
      <c r="E680" s="12"/>
      <c r="F680" s="12"/>
      <c r="G680" s="12"/>
      <c r="H680" s="12"/>
      <c r="I680" s="12"/>
      <c r="J680" s="12"/>
      <c r="K680" s="12"/>
      <c r="L680" s="12"/>
      <c r="M680" s="12"/>
      <c r="N680" s="12"/>
      <c r="O680" s="12"/>
      <c r="P680" s="12"/>
      <c r="Q680" s="12"/>
      <c r="R680" s="12"/>
      <c r="S680" s="12"/>
      <c r="T680" s="12"/>
      <c r="U680" s="18"/>
      <c r="V680" s="12"/>
      <c r="W680" s="12"/>
      <c r="X680" s="12"/>
      <c r="Y680" s="12"/>
      <c r="Z680" s="12"/>
    </row>
    <row r="681" spans="1:26" ht="15" customHeight="1" x14ac:dyDescent="0.3">
      <c r="A681" s="27"/>
      <c r="B681" s="12"/>
      <c r="C681" s="12"/>
      <c r="D681" s="12"/>
      <c r="E681" s="12"/>
      <c r="F681" s="12"/>
      <c r="G681" s="12"/>
      <c r="H681" s="12"/>
      <c r="I681" s="12"/>
      <c r="J681" s="12"/>
      <c r="K681" s="12"/>
      <c r="L681" s="12"/>
      <c r="M681" s="12"/>
      <c r="N681" s="12"/>
      <c r="O681" s="12"/>
      <c r="P681" s="12"/>
      <c r="Q681" s="12"/>
      <c r="R681" s="12"/>
      <c r="S681" s="12"/>
      <c r="T681" s="12"/>
      <c r="U681" s="18"/>
      <c r="V681" s="12"/>
      <c r="W681" s="12"/>
      <c r="X681" s="12"/>
      <c r="Y681" s="12"/>
      <c r="Z681" s="12"/>
    </row>
    <row r="682" spans="1:26" ht="15" customHeight="1" x14ac:dyDescent="0.3">
      <c r="A682" s="27"/>
      <c r="B682" s="12"/>
      <c r="C682" s="12"/>
      <c r="D682" s="12"/>
      <c r="E682" s="12"/>
      <c r="F682" s="12"/>
      <c r="G682" s="12"/>
      <c r="H682" s="12"/>
      <c r="I682" s="12"/>
      <c r="J682" s="12"/>
      <c r="K682" s="12"/>
      <c r="L682" s="12"/>
      <c r="M682" s="12"/>
      <c r="N682" s="12"/>
      <c r="O682" s="12"/>
      <c r="P682" s="12"/>
      <c r="Q682" s="12"/>
      <c r="R682" s="12"/>
      <c r="S682" s="12"/>
      <c r="T682" s="12"/>
      <c r="U682" s="18"/>
      <c r="V682" s="12"/>
      <c r="W682" s="12"/>
      <c r="X682" s="12"/>
      <c r="Y682" s="12"/>
      <c r="Z682" s="12"/>
    </row>
    <row r="683" spans="1:26" ht="15" customHeight="1" x14ac:dyDescent="0.3">
      <c r="A683" s="27"/>
      <c r="B683" s="12"/>
      <c r="C683" s="12"/>
      <c r="D683" s="12"/>
      <c r="E683" s="12"/>
      <c r="F683" s="12"/>
      <c r="G683" s="12"/>
      <c r="H683" s="12"/>
      <c r="I683" s="12"/>
      <c r="J683" s="12"/>
      <c r="K683" s="12"/>
      <c r="L683" s="12"/>
      <c r="M683" s="12"/>
      <c r="N683" s="12"/>
      <c r="O683" s="12"/>
      <c r="P683" s="12"/>
      <c r="Q683" s="12"/>
      <c r="R683" s="12"/>
      <c r="S683" s="12"/>
      <c r="T683" s="12"/>
      <c r="U683" s="18"/>
      <c r="V683" s="12"/>
      <c r="W683" s="12"/>
      <c r="X683" s="12"/>
      <c r="Y683" s="12"/>
      <c r="Z683" s="12"/>
    </row>
    <row r="684" spans="1:26" ht="15" customHeight="1" x14ac:dyDescent="0.3">
      <c r="A684" s="27"/>
      <c r="B684" s="12"/>
      <c r="C684" s="12"/>
      <c r="D684" s="12"/>
      <c r="E684" s="12"/>
      <c r="F684" s="12"/>
      <c r="G684" s="12"/>
      <c r="H684" s="12"/>
      <c r="I684" s="12"/>
      <c r="J684" s="12"/>
      <c r="K684" s="12"/>
      <c r="L684" s="12"/>
      <c r="M684" s="12"/>
      <c r="N684" s="12"/>
      <c r="O684" s="12"/>
      <c r="P684" s="12"/>
      <c r="Q684" s="12"/>
      <c r="R684" s="12"/>
      <c r="S684" s="12"/>
      <c r="T684" s="12"/>
      <c r="U684" s="18"/>
      <c r="V684" s="12"/>
      <c r="W684" s="12"/>
      <c r="X684" s="12"/>
      <c r="Y684" s="12"/>
      <c r="Z684" s="12"/>
    </row>
    <row r="685" spans="1:26" ht="15" customHeight="1" x14ac:dyDescent="0.3">
      <c r="A685" s="27"/>
      <c r="B685" s="12"/>
      <c r="C685" s="12"/>
      <c r="D685" s="12"/>
      <c r="E685" s="12"/>
      <c r="F685" s="12"/>
      <c r="G685" s="12"/>
      <c r="H685" s="12"/>
      <c r="I685" s="12"/>
      <c r="J685" s="12"/>
      <c r="K685" s="12"/>
      <c r="L685" s="12"/>
      <c r="M685" s="12"/>
      <c r="N685" s="12"/>
      <c r="O685" s="12"/>
      <c r="P685" s="12"/>
      <c r="Q685" s="12"/>
      <c r="R685" s="12"/>
      <c r="S685" s="12"/>
      <c r="T685" s="12"/>
      <c r="U685" s="18"/>
      <c r="V685" s="12"/>
      <c r="W685" s="12"/>
      <c r="X685" s="12"/>
      <c r="Y685" s="12"/>
      <c r="Z685" s="12"/>
    </row>
    <row r="686" spans="1:26" ht="15" customHeight="1" x14ac:dyDescent="0.3">
      <c r="A686" s="27"/>
      <c r="B686" s="12"/>
      <c r="C686" s="12"/>
      <c r="D686" s="12"/>
      <c r="E686" s="12"/>
      <c r="F686" s="12"/>
      <c r="G686" s="12"/>
      <c r="H686" s="12"/>
      <c r="I686" s="12"/>
      <c r="J686" s="12"/>
      <c r="K686" s="12"/>
      <c r="L686" s="12"/>
      <c r="M686" s="12"/>
      <c r="N686" s="12"/>
      <c r="O686" s="12"/>
      <c r="P686" s="12"/>
      <c r="Q686" s="12"/>
      <c r="R686" s="12"/>
      <c r="S686" s="12"/>
      <c r="T686" s="12"/>
      <c r="U686" s="18"/>
      <c r="V686" s="12"/>
      <c r="W686" s="12"/>
      <c r="X686" s="12"/>
      <c r="Y686" s="12"/>
      <c r="Z686" s="12"/>
    </row>
    <row r="687" spans="1:26" ht="15" customHeight="1" x14ac:dyDescent="0.3">
      <c r="A687" s="27"/>
      <c r="B687" s="12"/>
      <c r="C687" s="12"/>
      <c r="D687" s="12"/>
      <c r="E687" s="12"/>
      <c r="F687" s="12"/>
      <c r="G687" s="12"/>
      <c r="H687" s="12"/>
      <c r="I687" s="12"/>
      <c r="J687" s="12"/>
      <c r="K687" s="12"/>
      <c r="L687" s="12"/>
      <c r="M687" s="12"/>
      <c r="N687" s="12"/>
      <c r="O687" s="12"/>
      <c r="P687" s="12"/>
      <c r="Q687" s="12"/>
      <c r="R687" s="12"/>
      <c r="S687" s="12"/>
      <c r="T687" s="12"/>
      <c r="U687" s="18"/>
      <c r="V687" s="12"/>
      <c r="W687" s="12"/>
      <c r="X687" s="12"/>
      <c r="Y687" s="12"/>
      <c r="Z687" s="12"/>
    </row>
    <row r="688" spans="1:26" ht="15" customHeight="1" x14ac:dyDescent="0.3">
      <c r="A688" s="27"/>
      <c r="B688" s="12"/>
      <c r="C688" s="12"/>
      <c r="D688" s="12"/>
      <c r="E688" s="12"/>
      <c r="F688" s="12"/>
      <c r="G688" s="12"/>
      <c r="H688" s="12"/>
      <c r="I688" s="12"/>
      <c r="J688" s="12"/>
      <c r="K688" s="12"/>
      <c r="L688" s="12"/>
      <c r="M688" s="12"/>
      <c r="N688" s="12"/>
      <c r="O688" s="12"/>
      <c r="P688" s="12"/>
      <c r="Q688" s="12"/>
      <c r="R688" s="12"/>
      <c r="S688" s="12"/>
      <c r="T688" s="12"/>
      <c r="U688" s="18"/>
      <c r="V688" s="12"/>
      <c r="W688" s="12"/>
      <c r="X688" s="12"/>
      <c r="Y688" s="12"/>
      <c r="Z688" s="12"/>
    </row>
    <row r="689" spans="1:26" ht="15" customHeight="1" x14ac:dyDescent="0.3">
      <c r="A689" s="27"/>
      <c r="B689" s="12"/>
      <c r="C689" s="12"/>
      <c r="D689" s="12"/>
      <c r="E689" s="12"/>
      <c r="F689" s="12"/>
      <c r="G689" s="12"/>
      <c r="H689" s="12"/>
      <c r="I689" s="12"/>
      <c r="J689" s="12"/>
      <c r="K689" s="12"/>
      <c r="L689" s="12"/>
      <c r="M689" s="12"/>
      <c r="N689" s="12"/>
      <c r="O689" s="12"/>
      <c r="P689" s="12"/>
      <c r="Q689" s="12"/>
      <c r="R689" s="12"/>
      <c r="S689" s="12"/>
      <c r="T689" s="12"/>
      <c r="U689" s="18"/>
      <c r="V689" s="12"/>
      <c r="W689" s="12"/>
      <c r="X689" s="12"/>
      <c r="Y689" s="12"/>
      <c r="Z689" s="12"/>
    </row>
    <row r="690" spans="1:26" ht="15" customHeight="1" x14ac:dyDescent="0.3">
      <c r="A690" s="27"/>
      <c r="B690" s="12"/>
      <c r="C690" s="12"/>
      <c r="D690" s="12"/>
      <c r="E690" s="12"/>
      <c r="F690" s="12"/>
      <c r="G690" s="12"/>
      <c r="H690" s="12"/>
      <c r="I690" s="12"/>
      <c r="J690" s="12"/>
      <c r="K690" s="12"/>
      <c r="L690" s="12"/>
      <c r="M690" s="12"/>
      <c r="N690" s="12"/>
      <c r="O690" s="12"/>
      <c r="P690" s="12"/>
      <c r="Q690" s="12"/>
      <c r="R690" s="12"/>
      <c r="S690" s="12"/>
      <c r="T690" s="12"/>
      <c r="U690" s="18"/>
      <c r="V690" s="12"/>
      <c r="W690" s="12"/>
      <c r="X690" s="12"/>
      <c r="Y690" s="12"/>
      <c r="Z690" s="12"/>
    </row>
    <row r="691" spans="1:26" ht="15" customHeight="1" x14ac:dyDescent="0.3">
      <c r="A691" s="27"/>
      <c r="B691" s="12"/>
      <c r="C691" s="12"/>
      <c r="D691" s="12"/>
      <c r="E691" s="12"/>
      <c r="F691" s="12"/>
      <c r="G691" s="12"/>
      <c r="H691" s="12"/>
      <c r="I691" s="12"/>
      <c r="J691" s="12"/>
      <c r="K691" s="12"/>
      <c r="L691" s="12"/>
      <c r="M691" s="12"/>
      <c r="N691" s="12"/>
      <c r="O691" s="12"/>
      <c r="P691" s="12"/>
      <c r="Q691" s="12"/>
      <c r="R691" s="12"/>
      <c r="S691" s="12"/>
      <c r="T691" s="12"/>
      <c r="U691" s="18"/>
      <c r="V691" s="12"/>
      <c r="W691" s="12"/>
      <c r="X691" s="12"/>
      <c r="Y691" s="12"/>
      <c r="Z691" s="12"/>
    </row>
    <row r="692" spans="1:26" ht="15" customHeight="1" x14ac:dyDescent="0.3">
      <c r="A692" s="27"/>
      <c r="B692" s="12"/>
      <c r="C692" s="12"/>
      <c r="D692" s="12"/>
      <c r="E692" s="12"/>
      <c r="F692" s="12"/>
      <c r="G692" s="12"/>
      <c r="H692" s="12"/>
      <c r="I692" s="12"/>
      <c r="J692" s="12"/>
      <c r="K692" s="12"/>
      <c r="L692" s="12"/>
      <c r="M692" s="12"/>
      <c r="N692" s="12"/>
      <c r="O692" s="12"/>
      <c r="P692" s="12"/>
      <c r="Q692" s="12"/>
      <c r="R692" s="12"/>
      <c r="S692" s="12"/>
      <c r="T692" s="12"/>
      <c r="U692" s="18"/>
      <c r="V692" s="12"/>
      <c r="W692" s="12"/>
      <c r="X692" s="12"/>
      <c r="Y692" s="12"/>
      <c r="Z692" s="12"/>
    </row>
    <row r="693" spans="1:26" ht="15" customHeight="1" x14ac:dyDescent="0.3">
      <c r="A693" s="27"/>
      <c r="B693" s="12"/>
      <c r="C693" s="12"/>
      <c r="D693" s="12"/>
      <c r="E693" s="12"/>
      <c r="F693" s="12"/>
      <c r="G693" s="12"/>
      <c r="H693" s="12"/>
      <c r="I693" s="12"/>
      <c r="J693" s="12"/>
      <c r="K693" s="12"/>
      <c r="L693" s="12"/>
      <c r="M693" s="12"/>
      <c r="N693" s="12"/>
      <c r="O693" s="12"/>
      <c r="P693" s="12"/>
      <c r="Q693" s="12"/>
      <c r="R693" s="12"/>
      <c r="S693" s="12"/>
      <c r="T693" s="12"/>
      <c r="U693" s="18"/>
      <c r="V693" s="12"/>
      <c r="W693" s="12"/>
      <c r="X693" s="12"/>
      <c r="Y693" s="12"/>
      <c r="Z693" s="12"/>
    </row>
    <row r="694" spans="1:26" ht="15" customHeight="1" x14ac:dyDescent="0.3">
      <c r="A694" s="27"/>
      <c r="B694" s="12"/>
      <c r="C694" s="12"/>
      <c r="D694" s="12"/>
      <c r="E694" s="12"/>
      <c r="F694" s="12"/>
      <c r="G694" s="12"/>
      <c r="H694" s="12"/>
      <c r="I694" s="12"/>
      <c r="J694" s="12"/>
      <c r="K694" s="12"/>
      <c r="L694" s="12"/>
      <c r="M694" s="12"/>
      <c r="N694" s="12"/>
      <c r="O694" s="12"/>
      <c r="P694" s="12"/>
      <c r="Q694" s="12"/>
      <c r="R694" s="12"/>
      <c r="S694" s="12"/>
      <c r="T694" s="12"/>
      <c r="U694" s="18"/>
      <c r="V694" s="12"/>
      <c r="W694" s="12"/>
      <c r="X694" s="12"/>
      <c r="Y694" s="12"/>
      <c r="Z694" s="12"/>
    </row>
    <row r="695" spans="1:26" ht="15" customHeight="1" x14ac:dyDescent="0.3">
      <c r="A695" s="27"/>
      <c r="B695" s="12"/>
      <c r="C695" s="12"/>
      <c r="D695" s="12"/>
      <c r="E695" s="12"/>
      <c r="F695" s="12"/>
      <c r="G695" s="12"/>
      <c r="H695" s="12"/>
      <c r="I695" s="12"/>
      <c r="J695" s="12"/>
      <c r="K695" s="12"/>
      <c r="L695" s="12"/>
      <c r="M695" s="12"/>
      <c r="N695" s="12"/>
      <c r="O695" s="12"/>
      <c r="P695" s="12"/>
      <c r="Q695" s="12"/>
      <c r="R695" s="12"/>
      <c r="S695" s="12"/>
      <c r="T695" s="12"/>
      <c r="U695" s="18"/>
      <c r="V695" s="12"/>
      <c r="W695" s="12"/>
      <c r="X695" s="12"/>
      <c r="Y695" s="12"/>
      <c r="Z695" s="12"/>
    </row>
    <row r="696" spans="1:26" ht="15" customHeight="1" x14ac:dyDescent="0.3">
      <c r="A696" s="27"/>
      <c r="B696" s="12"/>
      <c r="C696" s="12"/>
      <c r="D696" s="12"/>
      <c r="E696" s="12"/>
      <c r="F696" s="12"/>
      <c r="G696" s="12"/>
      <c r="H696" s="12"/>
      <c r="I696" s="12"/>
      <c r="J696" s="12"/>
      <c r="K696" s="12"/>
      <c r="L696" s="12"/>
      <c r="M696" s="12"/>
      <c r="N696" s="12"/>
      <c r="O696" s="12"/>
      <c r="P696" s="12"/>
      <c r="Q696" s="12"/>
      <c r="R696" s="12"/>
      <c r="S696" s="12"/>
      <c r="T696" s="12"/>
      <c r="U696" s="18"/>
      <c r="V696" s="12"/>
      <c r="W696" s="12"/>
      <c r="X696" s="12"/>
      <c r="Y696" s="12"/>
      <c r="Z696" s="12"/>
    </row>
    <row r="697" spans="1:26" ht="15" customHeight="1" x14ac:dyDescent="0.3">
      <c r="A697" s="27"/>
      <c r="B697" s="12"/>
      <c r="C697" s="12"/>
      <c r="D697" s="12"/>
      <c r="E697" s="12"/>
      <c r="F697" s="12"/>
      <c r="G697" s="12"/>
      <c r="H697" s="12"/>
      <c r="I697" s="12"/>
      <c r="J697" s="12"/>
      <c r="K697" s="12"/>
      <c r="L697" s="12"/>
      <c r="M697" s="12"/>
      <c r="N697" s="12"/>
      <c r="O697" s="12"/>
      <c r="P697" s="12"/>
      <c r="Q697" s="12"/>
      <c r="R697" s="12"/>
      <c r="S697" s="12"/>
      <c r="T697" s="12"/>
      <c r="U697" s="18"/>
      <c r="V697" s="12"/>
      <c r="W697" s="12"/>
      <c r="X697" s="12"/>
      <c r="Y697" s="12"/>
      <c r="Z697" s="12"/>
    </row>
    <row r="698" spans="1:26" ht="15" customHeight="1" x14ac:dyDescent="0.3">
      <c r="A698" s="27"/>
      <c r="B698" s="12"/>
      <c r="C698" s="12"/>
      <c r="D698" s="12"/>
      <c r="E698" s="12"/>
      <c r="F698" s="12"/>
      <c r="G698" s="12"/>
      <c r="H698" s="12"/>
      <c r="I698" s="12"/>
      <c r="J698" s="12"/>
      <c r="K698" s="12"/>
      <c r="L698" s="12"/>
      <c r="M698" s="12"/>
      <c r="N698" s="12"/>
      <c r="O698" s="12"/>
      <c r="P698" s="12"/>
      <c r="Q698" s="12"/>
      <c r="R698" s="12"/>
      <c r="S698" s="12"/>
      <c r="T698" s="12"/>
      <c r="U698" s="18"/>
      <c r="V698" s="12"/>
      <c r="W698" s="12"/>
      <c r="X698" s="12"/>
      <c r="Y698" s="12"/>
      <c r="Z698" s="12"/>
    </row>
    <row r="699" spans="1:26" ht="15" customHeight="1" x14ac:dyDescent="0.3">
      <c r="A699" s="27"/>
      <c r="B699" s="12"/>
      <c r="C699" s="12"/>
      <c r="D699" s="12"/>
      <c r="E699" s="12"/>
      <c r="F699" s="12"/>
      <c r="G699" s="12"/>
      <c r="H699" s="12"/>
      <c r="I699" s="12"/>
      <c r="J699" s="12"/>
      <c r="K699" s="12"/>
      <c r="L699" s="12"/>
      <c r="M699" s="12"/>
      <c r="N699" s="12"/>
      <c r="O699" s="12"/>
      <c r="P699" s="12"/>
      <c r="Q699" s="12"/>
      <c r="R699" s="12"/>
      <c r="S699" s="12"/>
      <c r="T699" s="12"/>
      <c r="U699" s="18"/>
      <c r="V699" s="12"/>
      <c r="W699" s="12"/>
      <c r="X699" s="12"/>
      <c r="Y699" s="12"/>
      <c r="Z699" s="12"/>
    </row>
    <row r="700" spans="1:26" ht="15" customHeight="1" x14ac:dyDescent="0.3">
      <c r="A700" s="27"/>
      <c r="B700" s="12"/>
      <c r="C700" s="12"/>
      <c r="D700" s="12"/>
      <c r="E700" s="12"/>
      <c r="F700" s="12"/>
      <c r="G700" s="12"/>
      <c r="H700" s="12"/>
      <c r="I700" s="12"/>
      <c r="J700" s="12"/>
      <c r="K700" s="12"/>
      <c r="L700" s="12"/>
      <c r="M700" s="12"/>
      <c r="N700" s="12"/>
      <c r="O700" s="12"/>
      <c r="P700" s="12"/>
      <c r="Q700" s="12"/>
      <c r="R700" s="12"/>
      <c r="S700" s="12"/>
      <c r="T700" s="12"/>
      <c r="U700" s="18"/>
      <c r="V700" s="12"/>
      <c r="W700" s="12"/>
      <c r="X700" s="12"/>
      <c r="Y700" s="12"/>
      <c r="Z700" s="12"/>
    </row>
    <row r="701" spans="1:26" ht="15" customHeight="1" x14ac:dyDescent="0.3">
      <c r="A701" s="27"/>
      <c r="B701" s="12"/>
      <c r="C701" s="12"/>
      <c r="D701" s="12"/>
      <c r="E701" s="12"/>
      <c r="F701" s="12"/>
      <c r="G701" s="12"/>
      <c r="H701" s="12"/>
      <c r="I701" s="12"/>
      <c r="J701" s="12"/>
      <c r="K701" s="12"/>
      <c r="L701" s="12"/>
      <c r="M701" s="12"/>
      <c r="N701" s="12"/>
      <c r="O701" s="12"/>
      <c r="P701" s="12"/>
      <c r="Q701" s="12"/>
      <c r="R701" s="12"/>
      <c r="S701" s="12"/>
      <c r="T701" s="12"/>
      <c r="U701" s="18"/>
      <c r="V701" s="12"/>
      <c r="W701" s="12"/>
      <c r="X701" s="12"/>
      <c r="Y701" s="12"/>
      <c r="Z701" s="12"/>
    </row>
    <row r="702" spans="1:26" ht="15" customHeight="1" x14ac:dyDescent="0.3">
      <c r="A702" s="27"/>
      <c r="B702" s="12"/>
      <c r="C702" s="12"/>
      <c r="D702" s="12"/>
      <c r="E702" s="12"/>
      <c r="F702" s="12"/>
      <c r="G702" s="12"/>
      <c r="H702" s="12"/>
      <c r="I702" s="12"/>
      <c r="J702" s="12"/>
      <c r="K702" s="12"/>
      <c r="L702" s="12"/>
      <c r="M702" s="12"/>
      <c r="N702" s="12"/>
      <c r="O702" s="12"/>
      <c r="P702" s="12"/>
      <c r="Q702" s="12"/>
      <c r="R702" s="12"/>
      <c r="S702" s="12"/>
      <c r="T702" s="12"/>
      <c r="U702" s="18"/>
      <c r="V702" s="12"/>
      <c r="W702" s="12"/>
      <c r="X702" s="12"/>
      <c r="Y702" s="12"/>
      <c r="Z702" s="12"/>
    </row>
    <row r="703" spans="1:26" ht="15" customHeight="1" x14ac:dyDescent="0.3">
      <c r="A703" s="27"/>
      <c r="B703" s="12"/>
      <c r="C703" s="12"/>
      <c r="D703" s="12"/>
      <c r="E703" s="12"/>
      <c r="F703" s="12"/>
      <c r="G703" s="12"/>
      <c r="H703" s="12"/>
      <c r="I703" s="12"/>
      <c r="J703" s="12"/>
      <c r="K703" s="12"/>
      <c r="L703" s="12"/>
      <c r="M703" s="12"/>
      <c r="N703" s="12"/>
      <c r="O703" s="12"/>
      <c r="P703" s="12"/>
      <c r="Q703" s="12"/>
      <c r="R703" s="12"/>
      <c r="S703" s="12"/>
      <c r="T703" s="12"/>
      <c r="U703" s="18"/>
      <c r="V703" s="12"/>
      <c r="W703" s="12"/>
      <c r="X703" s="12"/>
      <c r="Y703" s="12"/>
      <c r="Z703" s="12"/>
    </row>
    <row r="704" spans="1:26" ht="15" customHeight="1" x14ac:dyDescent="0.3">
      <c r="A704" s="27"/>
      <c r="B704" s="12"/>
      <c r="C704" s="12"/>
      <c r="D704" s="12"/>
      <c r="E704" s="12"/>
      <c r="F704" s="12"/>
      <c r="G704" s="12"/>
      <c r="H704" s="12"/>
      <c r="I704" s="12"/>
      <c r="J704" s="12"/>
      <c r="K704" s="12"/>
      <c r="L704" s="12"/>
      <c r="M704" s="12"/>
      <c r="N704" s="12"/>
      <c r="O704" s="12"/>
      <c r="P704" s="12"/>
      <c r="Q704" s="12"/>
      <c r="R704" s="12"/>
      <c r="S704" s="12"/>
      <c r="T704" s="12"/>
      <c r="U704" s="18"/>
      <c r="V704" s="12"/>
      <c r="W704" s="12"/>
      <c r="X704" s="12"/>
      <c r="Y704" s="12"/>
      <c r="Z704" s="12"/>
    </row>
    <row r="705" spans="1:26" ht="15" customHeight="1" x14ac:dyDescent="0.3">
      <c r="A705" s="27"/>
      <c r="B705" s="12"/>
      <c r="C705" s="12"/>
      <c r="D705" s="12"/>
      <c r="E705" s="12"/>
      <c r="F705" s="12"/>
      <c r="G705" s="12"/>
      <c r="H705" s="12"/>
      <c r="I705" s="12"/>
      <c r="J705" s="12"/>
      <c r="K705" s="12"/>
      <c r="L705" s="12"/>
      <c r="M705" s="12"/>
      <c r="N705" s="12"/>
      <c r="O705" s="12"/>
      <c r="P705" s="12"/>
      <c r="Q705" s="12"/>
      <c r="R705" s="12"/>
      <c r="S705" s="12"/>
      <c r="T705" s="12"/>
      <c r="U705" s="18"/>
      <c r="V705" s="12"/>
      <c r="W705" s="12"/>
      <c r="X705" s="12"/>
      <c r="Y705" s="12"/>
      <c r="Z705" s="12"/>
    </row>
    <row r="706" spans="1:26" ht="15" customHeight="1" x14ac:dyDescent="0.3">
      <c r="A706" s="27"/>
      <c r="B706" s="12"/>
      <c r="C706" s="12"/>
      <c r="D706" s="12"/>
      <c r="E706" s="12"/>
      <c r="F706" s="12"/>
      <c r="G706" s="12"/>
      <c r="H706" s="12"/>
      <c r="I706" s="12"/>
      <c r="J706" s="12"/>
      <c r="K706" s="12"/>
      <c r="L706" s="12"/>
      <c r="M706" s="12"/>
      <c r="N706" s="12"/>
      <c r="O706" s="12"/>
      <c r="P706" s="12"/>
      <c r="Q706" s="12"/>
      <c r="R706" s="12"/>
      <c r="S706" s="12"/>
      <c r="T706" s="12"/>
      <c r="U706" s="18"/>
      <c r="V706" s="12"/>
      <c r="W706" s="12"/>
      <c r="X706" s="12"/>
      <c r="Y706" s="12"/>
      <c r="Z706" s="12"/>
    </row>
    <row r="707" spans="1:26" ht="15" customHeight="1" x14ac:dyDescent="0.3">
      <c r="A707" s="27"/>
      <c r="B707" s="12"/>
      <c r="C707" s="12"/>
      <c r="D707" s="12"/>
      <c r="E707" s="12"/>
      <c r="F707" s="12"/>
      <c r="G707" s="12"/>
      <c r="H707" s="12"/>
      <c r="I707" s="12"/>
      <c r="J707" s="12"/>
      <c r="K707" s="12"/>
      <c r="L707" s="12"/>
      <c r="M707" s="12"/>
      <c r="N707" s="12"/>
      <c r="O707" s="12"/>
      <c r="P707" s="12"/>
      <c r="Q707" s="12"/>
      <c r="R707" s="12"/>
      <c r="S707" s="12"/>
      <c r="T707" s="12"/>
      <c r="U707" s="18"/>
      <c r="V707" s="12"/>
      <c r="W707" s="12"/>
      <c r="X707" s="12"/>
      <c r="Y707" s="12"/>
      <c r="Z707" s="12"/>
    </row>
    <row r="708" spans="1:26" ht="15" customHeight="1" x14ac:dyDescent="0.3">
      <c r="A708" s="27"/>
      <c r="B708" s="12"/>
      <c r="C708" s="12"/>
      <c r="D708" s="12"/>
      <c r="E708" s="12"/>
      <c r="F708" s="12"/>
      <c r="G708" s="12"/>
      <c r="H708" s="12"/>
      <c r="I708" s="12"/>
      <c r="J708" s="12"/>
      <c r="K708" s="12"/>
      <c r="L708" s="12"/>
      <c r="M708" s="12"/>
      <c r="N708" s="12"/>
      <c r="O708" s="12"/>
      <c r="P708" s="12"/>
      <c r="Q708" s="12"/>
      <c r="R708" s="12"/>
      <c r="S708" s="12"/>
      <c r="T708" s="12"/>
      <c r="U708" s="18"/>
      <c r="V708" s="12"/>
      <c r="W708" s="12"/>
      <c r="X708" s="12"/>
      <c r="Y708" s="12"/>
      <c r="Z708" s="12"/>
    </row>
    <row r="709" spans="1:26" ht="15" customHeight="1" x14ac:dyDescent="0.3">
      <c r="A709" s="27"/>
      <c r="B709" s="12"/>
      <c r="C709" s="12"/>
      <c r="D709" s="12"/>
      <c r="E709" s="12"/>
      <c r="F709" s="12"/>
      <c r="G709" s="12"/>
      <c r="H709" s="12"/>
      <c r="I709" s="12"/>
      <c r="J709" s="12"/>
      <c r="K709" s="12"/>
      <c r="L709" s="12"/>
      <c r="M709" s="12"/>
      <c r="N709" s="12"/>
      <c r="O709" s="12"/>
      <c r="P709" s="12"/>
      <c r="Q709" s="12"/>
      <c r="R709" s="12"/>
      <c r="S709" s="12"/>
      <c r="T709" s="12"/>
      <c r="U709" s="18"/>
      <c r="V709" s="12"/>
      <c r="W709" s="12"/>
      <c r="X709" s="12"/>
      <c r="Y709" s="12"/>
      <c r="Z709" s="12"/>
    </row>
    <row r="710" spans="1:26" ht="15" customHeight="1" x14ac:dyDescent="0.3">
      <c r="A710" s="27"/>
      <c r="B710" s="12"/>
      <c r="C710" s="12"/>
      <c r="D710" s="12"/>
      <c r="E710" s="12"/>
      <c r="F710" s="12"/>
      <c r="G710" s="12"/>
      <c r="H710" s="12"/>
      <c r="I710" s="12"/>
      <c r="J710" s="12"/>
      <c r="K710" s="12"/>
      <c r="L710" s="12"/>
      <c r="M710" s="12"/>
      <c r="N710" s="12"/>
      <c r="O710" s="12"/>
      <c r="P710" s="12"/>
      <c r="Q710" s="12"/>
      <c r="R710" s="12"/>
      <c r="S710" s="12"/>
      <c r="T710" s="12"/>
      <c r="U710" s="18"/>
      <c r="V710" s="12"/>
      <c r="W710" s="12"/>
      <c r="X710" s="12"/>
      <c r="Y710" s="12"/>
      <c r="Z710" s="12"/>
    </row>
    <row r="711" spans="1:26" ht="15" customHeight="1" x14ac:dyDescent="0.3">
      <c r="A711" s="27"/>
      <c r="B711" s="12"/>
      <c r="C711" s="12"/>
      <c r="D711" s="12"/>
      <c r="E711" s="12"/>
      <c r="F711" s="12"/>
      <c r="G711" s="12"/>
      <c r="H711" s="12"/>
      <c r="I711" s="12"/>
      <c r="J711" s="12"/>
      <c r="K711" s="12"/>
      <c r="L711" s="12"/>
      <c r="M711" s="12"/>
      <c r="N711" s="12"/>
      <c r="O711" s="12"/>
      <c r="P711" s="12"/>
      <c r="Q711" s="12"/>
      <c r="R711" s="12"/>
      <c r="S711" s="12"/>
      <c r="T711" s="12"/>
      <c r="U711" s="18"/>
      <c r="V711" s="12"/>
      <c r="W711" s="12"/>
      <c r="X711" s="12"/>
      <c r="Y711" s="12"/>
      <c r="Z711" s="12"/>
    </row>
    <row r="712" spans="1:26" ht="15" customHeight="1" x14ac:dyDescent="0.3">
      <c r="A712" s="27"/>
      <c r="B712" s="12"/>
      <c r="C712" s="12"/>
      <c r="D712" s="12"/>
      <c r="E712" s="12"/>
      <c r="F712" s="12"/>
      <c r="G712" s="12"/>
      <c r="H712" s="12"/>
      <c r="I712" s="12"/>
      <c r="J712" s="12"/>
      <c r="K712" s="12"/>
      <c r="L712" s="12"/>
      <c r="M712" s="12"/>
      <c r="N712" s="12"/>
      <c r="O712" s="12"/>
      <c r="P712" s="12"/>
      <c r="Q712" s="12"/>
      <c r="R712" s="12"/>
      <c r="S712" s="12"/>
      <c r="T712" s="12"/>
      <c r="U712" s="18"/>
      <c r="V712" s="12"/>
      <c r="W712" s="12"/>
      <c r="X712" s="12"/>
      <c r="Y712" s="12"/>
      <c r="Z712" s="12"/>
    </row>
    <row r="713" spans="1:26" ht="15" customHeight="1" x14ac:dyDescent="0.3">
      <c r="A713" s="27"/>
      <c r="B713" s="12"/>
      <c r="C713" s="12"/>
      <c r="D713" s="12"/>
      <c r="E713" s="12"/>
      <c r="F713" s="12"/>
      <c r="G713" s="12"/>
      <c r="H713" s="12"/>
      <c r="I713" s="12"/>
      <c r="J713" s="12"/>
      <c r="K713" s="12"/>
      <c r="L713" s="12"/>
      <c r="M713" s="12"/>
      <c r="N713" s="12"/>
      <c r="O713" s="12"/>
      <c r="P713" s="12"/>
      <c r="Q713" s="12"/>
      <c r="R713" s="12"/>
      <c r="S713" s="12"/>
      <c r="T713" s="12"/>
      <c r="U713" s="18"/>
      <c r="V713" s="12"/>
      <c r="W713" s="12"/>
      <c r="X713" s="12"/>
      <c r="Y713" s="12"/>
      <c r="Z713" s="12"/>
    </row>
    <row r="714" spans="1:26" ht="15" customHeight="1" x14ac:dyDescent="0.3">
      <c r="A714" s="27"/>
      <c r="B714" s="12"/>
      <c r="C714" s="12"/>
      <c r="D714" s="12"/>
      <c r="E714" s="12"/>
      <c r="F714" s="12"/>
      <c r="G714" s="12"/>
      <c r="H714" s="12"/>
      <c r="I714" s="12"/>
      <c r="J714" s="12"/>
      <c r="K714" s="12"/>
      <c r="L714" s="12"/>
      <c r="M714" s="12"/>
      <c r="N714" s="12"/>
      <c r="O714" s="12"/>
      <c r="P714" s="12"/>
      <c r="Q714" s="12"/>
      <c r="R714" s="12"/>
      <c r="S714" s="12"/>
      <c r="T714" s="12"/>
      <c r="U714" s="18"/>
      <c r="V714" s="12"/>
      <c r="W714" s="12"/>
      <c r="X714" s="12"/>
      <c r="Y714" s="12"/>
      <c r="Z714" s="12"/>
    </row>
    <row r="715" spans="1:26" ht="15" customHeight="1" x14ac:dyDescent="0.3">
      <c r="A715" s="27"/>
      <c r="B715" s="12"/>
      <c r="C715" s="12"/>
      <c r="D715" s="12"/>
      <c r="E715" s="12"/>
      <c r="F715" s="12"/>
      <c r="G715" s="12"/>
      <c r="H715" s="12"/>
      <c r="I715" s="12"/>
      <c r="J715" s="12"/>
      <c r="K715" s="12"/>
      <c r="L715" s="12"/>
      <c r="M715" s="12"/>
      <c r="N715" s="12"/>
      <c r="O715" s="12"/>
      <c r="P715" s="12"/>
      <c r="Q715" s="12"/>
      <c r="R715" s="12"/>
      <c r="S715" s="12"/>
      <c r="T715" s="12"/>
      <c r="U715" s="18"/>
      <c r="V715" s="12"/>
      <c r="W715" s="12"/>
      <c r="X715" s="12"/>
      <c r="Y715" s="12"/>
      <c r="Z715" s="12"/>
    </row>
    <row r="716" spans="1:26" ht="15" customHeight="1" x14ac:dyDescent="0.3">
      <c r="A716" s="27"/>
      <c r="B716" s="12"/>
      <c r="C716" s="12"/>
      <c r="D716" s="12"/>
      <c r="E716" s="12"/>
      <c r="F716" s="12"/>
      <c r="G716" s="12"/>
      <c r="H716" s="12"/>
      <c r="I716" s="12"/>
      <c r="J716" s="12"/>
      <c r="K716" s="12"/>
      <c r="L716" s="12"/>
      <c r="M716" s="12"/>
      <c r="N716" s="12"/>
      <c r="O716" s="12"/>
      <c r="P716" s="12"/>
      <c r="Q716" s="12"/>
      <c r="R716" s="12"/>
      <c r="S716" s="12"/>
      <c r="T716" s="12"/>
      <c r="U716" s="18"/>
      <c r="V716" s="12"/>
      <c r="W716" s="12"/>
      <c r="X716" s="12"/>
      <c r="Y716" s="12"/>
      <c r="Z716" s="12"/>
    </row>
    <row r="717" spans="1:26" ht="15" customHeight="1" x14ac:dyDescent="0.3">
      <c r="A717" s="27"/>
      <c r="B717" s="12"/>
      <c r="C717" s="12"/>
      <c r="D717" s="12"/>
      <c r="E717" s="12"/>
      <c r="F717" s="12"/>
      <c r="G717" s="12"/>
      <c r="H717" s="12"/>
      <c r="I717" s="12"/>
      <c r="J717" s="12"/>
      <c r="K717" s="12"/>
      <c r="L717" s="12"/>
      <c r="M717" s="12"/>
      <c r="N717" s="12"/>
      <c r="O717" s="12"/>
      <c r="P717" s="12"/>
      <c r="Q717" s="12"/>
      <c r="R717" s="12"/>
      <c r="S717" s="12"/>
      <c r="T717" s="12"/>
      <c r="U717" s="18"/>
      <c r="V717" s="12"/>
      <c r="W717" s="12"/>
      <c r="X717" s="12"/>
      <c r="Y717" s="12"/>
      <c r="Z717" s="12"/>
    </row>
    <row r="718" spans="1:26" ht="15" customHeight="1" x14ac:dyDescent="0.3">
      <c r="A718" s="27"/>
      <c r="B718" s="12"/>
      <c r="C718" s="12"/>
      <c r="D718" s="12"/>
      <c r="E718" s="12"/>
      <c r="F718" s="12"/>
      <c r="G718" s="12"/>
      <c r="H718" s="12"/>
      <c r="I718" s="12"/>
      <c r="J718" s="12"/>
      <c r="K718" s="12"/>
      <c r="L718" s="12"/>
      <c r="M718" s="12"/>
      <c r="N718" s="12"/>
      <c r="O718" s="12"/>
      <c r="P718" s="12"/>
      <c r="Q718" s="12"/>
      <c r="R718" s="12"/>
      <c r="S718" s="12"/>
      <c r="T718" s="12"/>
      <c r="U718" s="18"/>
      <c r="V718" s="12"/>
      <c r="W718" s="12"/>
      <c r="X718" s="12"/>
      <c r="Y718" s="12"/>
      <c r="Z718" s="12"/>
    </row>
    <row r="719" spans="1:26" ht="15" customHeight="1" x14ac:dyDescent="0.3">
      <c r="A719" s="27"/>
      <c r="B719" s="12"/>
      <c r="C719" s="12"/>
      <c r="D719" s="12"/>
      <c r="E719" s="12"/>
      <c r="F719" s="12"/>
      <c r="G719" s="12"/>
      <c r="H719" s="12"/>
      <c r="I719" s="12"/>
      <c r="J719" s="12"/>
      <c r="K719" s="12"/>
      <c r="L719" s="12"/>
      <c r="M719" s="12"/>
      <c r="N719" s="12"/>
      <c r="O719" s="12"/>
      <c r="P719" s="12"/>
      <c r="Q719" s="12"/>
      <c r="R719" s="12"/>
      <c r="S719" s="12"/>
      <c r="T719" s="12"/>
      <c r="U719" s="18"/>
      <c r="V719" s="12"/>
      <c r="W719" s="12"/>
      <c r="X719" s="12"/>
      <c r="Y719" s="12"/>
      <c r="Z719" s="12"/>
    </row>
    <row r="720" spans="1:26" ht="15" customHeight="1" x14ac:dyDescent="0.3">
      <c r="A720" s="27"/>
      <c r="B720" s="12"/>
      <c r="C720" s="12"/>
      <c r="D720" s="12"/>
      <c r="E720" s="12"/>
      <c r="F720" s="12"/>
      <c r="G720" s="12"/>
      <c r="H720" s="12"/>
      <c r="I720" s="12"/>
      <c r="J720" s="12"/>
      <c r="K720" s="12"/>
      <c r="L720" s="12"/>
      <c r="M720" s="12"/>
      <c r="N720" s="12"/>
      <c r="O720" s="12"/>
      <c r="P720" s="12"/>
      <c r="Q720" s="12"/>
      <c r="R720" s="12"/>
      <c r="S720" s="12"/>
      <c r="T720" s="12"/>
      <c r="U720" s="18"/>
      <c r="V720" s="12"/>
      <c r="W720" s="12"/>
      <c r="X720" s="12"/>
      <c r="Y720" s="12"/>
      <c r="Z720" s="12"/>
    </row>
    <row r="721" spans="1:26" ht="15" customHeight="1" x14ac:dyDescent="0.3">
      <c r="A721" s="27"/>
      <c r="B721" s="12"/>
      <c r="C721" s="12"/>
      <c r="D721" s="12"/>
      <c r="E721" s="12"/>
      <c r="F721" s="12"/>
      <c r="G721" s="12"/>
      <c r="H721" s="12"/>
      <c r="I721" s="12"/>
      <c r="J721" s="12"/>
      <c r="K721" s="12"/>
      <c r="L721" s="12"/>
      <c r="M721" s="12"/>
      <c r="N721" s="12"/>
      <c r="O721" s="12"/>
      <c r="P721" s="12"/>
      <c r="Q721" s="12"/>
      <c r="R721" s="12"/>
      <c r="S721" s="12"/>
      <c r="T721" s="12"/>
      <c r="U721" s="18"/>
      <c r="V721" s="12"/>
      <c r="W721" s="12"/>
      <c r="X721" s="12"/>
      <c r="Y721" s="12"/>
      <c r="Z721" s="12"/>
    </row>
    <row r="722" spans="1:26" ht="15" customHeight="1" x14ac:dyDescent="0.3">
      <c r="A722" s="27"/>
      <c r="B722" s="12"/>
      <c r="C722" s="12"/>
      <c r="D722" s="12"/>
      <c r="E722" s="12"/>
      <c r="F722" s="12"/>
      <c r="G722" s="12"/>
      <c r="H722" s="12"/>
      <c r="I722" s="12"/>
      <c r="J722" s="12"/>
      <c r="K722" s="12"/>
      <c r="L722" s="12"/>
      <c r="M722" s="12"/>
      <c r="N722" s="12"/>
      <c r="O722" s="12"/>
      <c r="P722" s="12"/>
      <c r="Q722" s="12"/>
      <c r="R722" s="12"/>
      <c r="S722" s="12"/>
      <c r="T722" s="12"/>
      <c r="U722" s="18"/>
      <c r="V722" s="12"/>
      <c r="W722" s="12"/>
      <c r="X722" s="12"/>
      <c r="Y722" s="12"/>
      <c r="Z722" s="12"/>
    </row>
    <row r="723" spans="1:26" ht="15" customHeight="1" x14ac:dyDescent="0.3">
      <c r="A723" s="27"/>
      <c r="B723" s="12"/>
      <c r="C723" s="12"/>
      <c r="D723" s="12"/>
      <c r="E723" s="12"/>
      <c r="F723" s="12"/>
      <c r="G723" s="12"/>
      <c r="H723" s="12"/>
      <c r="I723" s="12"/>
      <c r="J723" s="12"/>
      <c r="K723" s="12"/>
      <c r="L723" s="12"/>
      <c r="M723" s="12"/>
      <c r="N723" s="12"/>
      <c r="O723" s="12"/>
      <c r="P723" s="12"/>
      <c r="Q723" s="12"/>
      <c r="R723" s="12"/>
      <c r="S723" s="12"/>
      <c r="T723" s="12"/>
      <c r="U723" s="18"/>
      <c r="V723" s="12"/>
      <c r="W723" s="12"/>
      <c r="X723" s="12"/>
      <c r="Y723" s="12"/>
      <c r="Z723" s="12"/>
    </row>
    <row r="724" spans="1:26" ht="15" customHeight="1" x14ac:dyDescent="0.3">
      <c r="A724" s="27"/>
      <c r="B724" s="12"/>
      <c r="C724" s="12"/>
      <c r="D724" s="12"/>
      <c r="E724" s="12"/>
      <c r="F724" s="12"/>
      <c r="G724" s="12"/>
      <c r="H724" s="12"/>
      <c r="I724" s="12"/>
      <c r="J724" s="12"/>
      <c r="K724" s="12"/>
      <c r="L724" s="12"/>
      <c r="M724" s="12"/>
      <c r="N724" s="12"/>
      <c r="O724" s="12"/>
      <c r="P724" s="12"/>
      <c r="Q724" s="12"/>
      <c r="R724" s="12"/>
      <c r="S724" s="12"/>
      <c r="T724" s="12"/>
      <c r="U724" s="18"/>
      <c r="V724" s="12"/>
      <c r="W724" s="12"/>
      <c r="X724" s="12"/>
      <c r="Y724" s="12"/>
      <c r="Z724" s="12"/>
    </row>
    <row r="725" spans="1:26" ht="15" customHeight="1" x14ac:dyDescent="0.3">
      <c r="A725" s="27"/>
      <c r="B725" s="12"/>
      <c r="C725" s="12"/>
      <c r="D725" s="12"/>
      <c r="E725" s="12"/>
      <c r="F725" s="12"/>
      <c r="G725" s="12"/>
      <c r="H725" s="12"/>
      <c r="I725" s="12"/>
      <c r="J725" s="12"/>
      <c r="K725" s="12"/>
      <c r="L725" s="12"/>
      <c r="M725" s="12"/>
      <c r="N725" s="12"/>
      <c r="O725" s="12"/>
      <c r="P725" s="12"/>
      <c r="Q725" s="12"/>
      <c r="R725" s="12"/>
      <c r="S725" s="12"/>
      <c r="T725" s="12"/>
      <c r="U725" s="18"/>
      <c r="V725" s="12"/>
      <c r="W725" s="12"/>
      <c r="X725" s="12"/>
      <c r="Y725" s="12"/>
      <c r="Z725" s="12"/>
    </row>
    <row r="726" spans="1:26" ht="15" customHeight="1" x14ac:dyDescent="0.3">
      <c r="A726" s="27"/>
      <c r="B726" s="12"/>
      <c r="C726" s="12"/>
      <c r="D726" s="12"/>
      <c r="E726" s="12"/>
      <c r="F726" s="12"/>
      <c r="G726" s="12"/>
      <c r="H726" s="12"/>
      <c r="I726" s="12"/>
      <c r="J726" s="12"/>
      <c r="K726" s="12"/>
      <c r="L726" s="12"/>
      <c r="M726" s="12"/>
      <c r="N726" s="12"/>
      <c r="O726" s="12"/>
      <c r="P726" s="12"/>
      <c r="Q726" s="12"/>
      <c r="R726" s="12"/>
      <c r="S726" s="12"/>
      <c r="T726" s="12"/>
      <c r="U726" s="18"/>
      <c r="V726" s="12"/>
      <c r="W726" s="12"/>
      <c r="X726" s="12"/>
      <c r="Y726" s="12"/>
      <c r="Z726" s="12"/>
    </row>
    <row r="727" spans="1:26" ht="15" customHeight="1" x14ac:dyDescent="0.3">
      <c r="A727" s="27"/>
      <c r="B727" s="12"/>
      <c r="C727" s="12"/>
      <c r="D727" s="12"/>
      <c r="E727" s="12"/>
      <c r="F727" s="12"/>
      <c r="G727" s="12"/>
      <c r="H727" s="12"/>
      <c r="I727" s="12"/>
      <c r="J727" s="12"/>
      <c r="K727" s="12"/>
      <c r="L727" s="12"/>
      <c r="M727" s="12"/>
      <c r="N727" s="12"/>
      <c r="O727" s="12"/>
      <c r="P727" s="12"/>
      <c r="Q727" s="12"/>
      <c r="R727" s="12"/>
      <c r="S727" s="12"/>
      <c r="T727" s="12"/>
      <c r="U727" s="18"/>
      <c r="V727" s="12"/>
      <c r="W727" s="12"/>
      <c r="X727" s="12"/>
      <c r="Y727" s="12"/>
      <c r="Z727" s="12"/>
    </row>
    <row r="728" spans="1:26" ht="15" customHeight="1" x14ac:dyDescent="0.3">
      <c r="A728" s="27"/>
      <c r="B728" s="12"/>
      <c r="C728" s="12"/>
      <c r="D728" s="12"/>
      <c r="E728" s="12"/>
      <c r="F728" s="12"/>
      <c r="G728" s="12"/>
      <c r="H728" s="12"/>
      <c r="I728" s="12"/>
      <c r="J728" s="12"/>
      <c r="K728" s="12"/>
      <c r="L728" s="12"/>
      <c r="M728" s="12"/>
      <c r="N728" s="12"/>
      <c r="O728" s="12"/>
      <c r="P728" s="12"/>
      <c r="Q728" s="12"/>
      <c r="R728" s="12"/>
      <c r="S728" s="12"/>
      <c r="T728" s="12"/>
      <c r="U728" s="18"/>
      <c r="V728" s="12"/>
      <c r="W728" s="12"/>
      <c r="X728" s="12"/>
      <c r="Y728" s="12"/>
      <c r="Z728" s="12"/>
    </row>
    <row r="729" spans="1:26" ht="15" customHeight="1" x14ac:dyDescent="0.3">
      <c r="A729" s="27"/>
      <c r="B729" s="12"/>
      <c r="C729" s="12"/>
      <c r="D729" s="12"/>
      <c r="E729" s="12"/>
      <c r="F729" s="12"/>
      <c r="G729" s="12"/>
      <c r="H729" s="12"/>
      <c r="I729" s="12"/>
      <c r="J729" s="12"/>
      <c r="K729" s="12"/>
      <c r="L729" s="12"/>
      <c r="M729" s="12"/>
      <c r="N729" s="12"/>
      <c r="O729" s="12"/>
      <c r="P729" s="12"/>
      <c r="Q729" s="12"/>
      <c r="R729" s="12"/>
      <c r="S729" s="12"/>
      <c r="T729" s="12"/>
      <c r="U729" s="18"/>
      <c r="V729" s="12"/>
      <c r="W729" s="12"/>
      <c r="X729" s="12"/>
      <c r="Y729" s="12"/>
      <c r="Z729" s="12"/>
    </row>
    <row r="730" spans="1:26" ht="15" customHeight="1" x14ac:dyDescent="0.3">
      <c r="A730" s="27"/>
      <c r="B730" s="12"/>
      <c r="C730" s="12"/>
      <c r="D730" s="12"/>
      <c r="E730" s="12"/>
      <c r="F730" s="12"/>
      <c r="G730" s="12"/>
      <c r="H730" s="12"/>
      <c r="I730" s="12"/>
      <c r="J730" s="12"/>
      <c r="K730" s="12"/>
      <c r="L730" s="12"/>
      <c r="M730" s="12"/>
      <c r="N730" s="12"/>
      <c r="O730" s="12"/>
      <c r="P730" s="12"/>
      <c r="Q730" s="12"/>
      <c r="R730" s="12"/>
      <c r="S730" s="12"/>
      <c r="T730" s="12"/>
      <c r="U730" s="18"/>
      <c r="V730" s="12"/>
      <c r="W730" s="12"/>
      <c r="X730" s="12"/>
      <c r="Y730" s="12"/>
      <c r="Z730" s="12"/>
    </row>
    <row r="731" spans="1:26" ht="15" customHeight="1" x14ac:dyDescent="0.3">
      <c r="A731" s="27"/>
      <c r="B731" s="12"/>
      <c r="C731" s="12"/>
      <c r="D731" s="12"/>
      <c r="E731" s="12"/>
      <c r="F731" s="12"/>
      <c r="G731" s="12"/>
      <c r="H731" s="12"/>
      <c r="I731" s="12"/>
      <c r="J731" s="12"/>
      <c r="K731" s="12"/>
      <c r="L731" s="12"/>
      <c r="M731" s="12"/>
      <c r="N731" s="12"/>
      <c r="O731" s="12"/>
      <c r="P731" s="12"/>
      <c r="Q731" s="12"/>
      <c r="R731" s="12"/>
      <c r="S731" s="12"/>
      <c r="T731" s="12"/>
      <c r="U731" s="18"/>
      <c r="V731" s="12"/>
      <c r="W731" s="12"/>
      <c r="X731" s="12"/>
      <c r="Y731" s="12"/>
      <c r="Z731" s="12"/>
    </row>
    <row r="732" spans="1:26" ht="15" customHeight="1" x14ac:dyDescent="0.3">
      <c r="A732" s="27"/>
      <c r="B732" s="12"/>
      <c r="C732" s="12"/>
      <c r="D732" s="12"/>
      <c r="E732" s="12"/>
      <c r="F732" s="12"/>
      <c r="G732" s="12"/>
      <c r="H732" s="12"/>
      <c r="I732" s="12"/>
      <c r="J732" s="12"/>
      <c r="K732" s="12"/>
      <c r="L732" s="12"/>
      <c r="M732" s="12"/>
      <c r="N732" s="12"/>
      <c r="O732" s="12"/>
      <c r="P732" s="12"/>
      <c r="Q732" s="12"/>
      <c r="R732" s="12"/>
      <c r="S732" s="12"/>
      <c r="T732" s="12"/>
      <c r="U732" s="18"/>
      <c r="V732" s="12"/>
      <c r="W732" s="12"/>
      <c r="X732" s="12"/>
      <c r="Y732" s="12"/>
      <c r="Z732" s="12"/>
    </row>
    <row r="733" spans="1:26" ht="15" customHeight="1" x14ac:dyDescent="0.3">
      <c r="A733" s="27"/>
      <c r="B733" s="12"/>
      <c r="C733" s="12"/>
      <c r="D733" s="12"/>
      <c r="E733" s="12"/>
      <c r="F733" s="12"/>
      <c r="G733" s="12"/>
      <c r="H733" s="12"/>
      <c r="I733" s="12"/>
      <c r="J733" s="12"/>
      <c r="K733" s="12"/>
      <c r="L733" s="12"/>
      <c r="M733" s="12"/>
      <c r="N733" s="12"/>
      <c r="O733" s="12"/>
      <c r="P733" s="12"/>
      <c r="Q733" s="12"/>
      <c r="R733" s="12"/>
      <c r="S733" s="12"/>
      <c r="T733" s="12"/>
      <c r="U733" s="18"/>
      <c r="V733" s="12"/>
      <c r="W733" s="12"/>
      <c r="X733" s="12"/>
      <c r="Y733" s="12"/>
      <c r="Z733" s="12"/>
    </row>
    <row r="734" spans="1:26" ht="15" customHeight="1" x14ac:dyDescent="0.3">
      <c r="A734" s="27"/>
      <c r="B734" s="12"/>
      <c r="C734" s="12"/>
      <c r="D734" s="12"/>
      <c r="E734" s="12"/>
      <c r="F734" s="12"/>
      <c r="G734" s="12"/>
      <c r="H734" s="12"/>
      <c r="I734" s="12"/>
      <c r="J734" s="12"/>
      <c r="K734" s="12"/>
      <c r="L734" s="12"/>
      <c r="M734" s="12"/>
      <c r="N734" s="12"/>
      <c r="O734" s="12"/>
      <c r="P734" s="12"/>
      <c r="Q734" s="12"/>
      <c r="R734" s="12"/>
      <c r="S734" s="12"/>
      <c r="T734" s="12"/>
      <c r="U734" s="18"/>
      <c r="V734" s="12"/>
      <c r="W734" s="12"/>
      <c r="X734" s="12"/>
      <c r="Y734" s="12"/>
      <c r="Z734" s="12"/>
    </row>
    <row r="735" spans="1:26" ht="15" customHeight="1" x14ac:dyDescent="0.3">
      <c r="A735" s="27"/>
      <c r="B735" s="12"/>
      <c r="C735" s="12"/>
      <c r="D735" s="12"/>
      <c r="E735" s="12"/>
      <c r="F735" s="12"/>
      <c r="G735" s="12"/>
      <c r="H735" s="12"/>
      <c r="I735" s="12"/>
      <c r="J735" s="12"/>
      <c r="K735" s="12"/>
      <c r="L735" s="12"/>
      <c r="M735" s="12"/>
      <c r="N735" s="12"/>
      <c r="O735" s="12"/>
      <c r="P735" s="12"/>
      <c r="Q735" s="12"/>
      <c r="R735" s="12"/>
      <c r="S735" s="12"/>
      <c r="T735" s="12"/>
      <c r="U735" s="18"/>
      <c r="V735" s="12"/>
      <c r="W735" s="12"/>
      <c r="X735" s="12"/>
      <c r="Y735" s="12"/>
      <c r="Z735" s="12"/>
    </row>
    <row r="736" spans="1:26" ht="15" customHeight="1" x14ac:dyDescent="0.3">
      <c r="A736" s="27"/>
      <c r="B736" s="12"/>
      <c r="C736" s="12"/>
      <c r="D736" s="12"/>
      <c r="E736" s="12"/>
      <c r="F736" s="12"/>
      <c r="G736" s="12"/>
      <c r="H736" s="12"/>
      <c r="I736" s="12"/>
      <c r="J736" s="12"/>
      <c r="K736" s="12"/>
      <c r="L736" s="12"/>
      <c r="M736" s="12"/>
      <c r="N736" s="12"/>
      <c r="O736" s="12"/>
      <c r="P736" s="12"/>
      <c r="Q736" s="12"/>
      <c r="R736" s="12"/>
      <c r="S736" s="12"/>
      <c r="T736" s="12"/>
      <c r="U736" s="18"/>
      <c r="V736" s="12"/>
      <c r="W736" s="12"/>
      <c r="X736" s="12"/>
      <c r="Y736" s="12"/>
      <c r="Z736" s="12"/>
    </row>
    <row r="737" spans="1:26" ht="15" customHeight="1" x14ac:dyDescent="0.3">
      <c r="A737" s="27"/>
      <c r="B737" s="12"/>
      <c r="C737" s="12"/>
      <c r="D737" s="12"/>
      <c r="E737" s="12"/>
      <c r="F737" s="12"/>
      <c r="G737" s="12"/>
      <c r="H737" s="12"/>
      <c r="I737" s="12"/>
      <c r="J737" s="12"/>
      <c r="K737" s="12"/>
      <c r="L737" s="12"/>
      <c r="M737" s="12"/>
      <c r="N737" s="12"/>
      <c r="O737" s="12"/>
      <c r="P737" s="12"/>
      <c r="Q737" s="12"/>
      <c r="R737" s="12"/>
      <c r="S737" s="12"/>
      <c r="T737" s="12"/>
      <c r="U737" s="18"/>
      <c r="V737" s="12"/>
      <c r="W737" s="12"/>
      <c r="X737" s="12"/>
      <c r="Y737" s="12"/>
      <c r="Z737" s="12"/>
    </row>
    <row r="738" spans="1:26" ht="15" customHeight="1" x14ac:dyDescent="0.3">
      <c r="A738" s="27"/>
      <c r="B738" s="12"/>
      <c r="C738" s="12"/>
      <c r="D738" s="12"/>
      <c r="E738" s="12"/>
      <c r="F738" s="12"/>
      <c r="G738" s="12"/>
      <c r="H738" s="12"/>
      <c r="I738" s="12"/>
      <c r="J738" s="12"/>
      <c r="K738" s="12"/>
      <c r="L738" s="12"/>
      <c r="M738" s="12"/>
      <c r="N738" s="12"/>
      <c r="O738" s="12"/>
      <c r="P738" s="12"/>
      <c r="Q738" s="12"/>
      <c r="R738" s="12"/>
      <c r="S738" s="12"/>
      <c r="T738" s="12"/>
      <c r="U738" s="18"/>
      <c r="V738" s="12"/>
      <c r="W738" s="12"/>
      <c r="X738" s="12"/>
      <c r="Y738" s="12"/>
      <c r="Z738" s="12"/>
    </row>
    <row r="739" spans="1:26" ht="15" customHeight="1" x14ac:dyDescent="0.3">
      <c r="A739" s="27"/>
      <c r="B739" s="12"/>
      <c r="C739" s="12"/>
      <c r="D739" s="12"/>
      <c r="E739" s="12"/>
      <c r="F739" s="12"/>
      <c r="G739" s="12"/>
      <c r="H739" s="12"/>
      <c r="I739" s="12"/>
      <c r="J739" s="12"/>
      <c r="K739" s="12"/>
      <c r="L739" s="12"/>
      <c r="M739" s="12"/>
      <c r="N739" s="12"/>
      <c r="O739" s="12"/>
      <c r="P739" s="12"/>
      <c r="Q739" s="12"/>
      <c r="R739" s="12"/>
      <c r="S739" s="12"/>
      <c r="T739" s="12"/>
      <c r="U739" s="18"/>
      <c r="V739" s="12"/>
      <c r="W739" s="12"/>
      <c r="X739" s="12"/>
      <c r="Y739" s="12"/>
      <c r="Z739" s="12"/>
    </row>
    <row r="740" spans="1:26" ht="15" customHeight="1" x14ac:dyDescent="0.3">
      <c r="A740" s="27"/>
      <c r="B740" s="12"/>
      <c r="C740" s="12"/>
      <c r="D740" s="12"/>
      <c r="E740" s="12"/>
      <c r="F740" s="12"/>
      <c r="G740" s="12"/>
      <c r="H740" s="12"/>
      <c r="I740" s="12"/>
      <c r="J740" s="12"/>
      <c r="K740" s="12"/>
      <c r="L740" s="12"/>
      <c r="M740" s="12"/>
      <c r="N740" s="12"/>
      <c r="O740" s="12"/>
      <c r="P740" s="12"/>
      <c r="Q740" s="12"/>
      <c r="R740" s="12"/>
      <c r="S740" s="12"/>
      <c r="T740" s="12"/>
      <c r="U740" s="18"/>
      <c r="V740" s="12"/>
      <c r="W740" s="12"/>
      <c r="X740" s="12"/>
      <c r="Y740" s="12"/>
      <c r="Z740" s="12"/>
    </row>
    <row r="741" spans="1:26" ht="15" customHeight="1" x14ac:dyDescent="0.3">
      <c r="A741" s="27"/>
      <c r="B741" s="12"/>
      <c r="C741" s="12"/>
      <c r="D741" s="12"/>
      <c r="E741" s="12"/>
      <c r="F741" s="12"/>
      <c r="G741" s="12"/>
      <c r="H741" s="12"/>
      <c r="I741" s="12"/>
      <c r="J741" s="12"/>
      <c r="K741" s="12"/>
      <c r="L741" s="12"/>
      <c r="M741" s="12"/>
      <c r="N741" s="12"/>
      <c r="O741" s="12"/>
      <c r="P741" s="12"/>
      <c r="Q741" s="12"/>
      <c r="R741" s="12"/>
      <c r="S741" s="12"/>
      <c r="T741" s="12"/>
      <c r="U741" s="18"/>
      <c r="V741" s="12"/>
      <c r="W741" s="12"/>
      <c r="X741" s="12"/>
      <c r="Y741" s="12"/>
      <c r="Z741" s="12"/>
    </row>
    <row r="742" spans="1:26" ht="15" customHeight="1" x14ac:dyDescent="0.3">
      <c r="A742" s="27"/>
      <c r="B742" s="12"/>
      <c r="C742" s="12"/>
      <c r="D742" s="12"/>
      <c r="E742" s="12"/>
      <c r="F742" s="12"/>
      <c r="G742" s="12"/>
      <c r="H742" s="12"/>
      <c r="I742" s="12"/>
      <c r="J742" s="12"/>
      <c r="K742" s="12"/>
      <c r="L742" s="12"/>
      <c r="M742" s="12"/>
      <c r="N742" s="12"/>
      <c r="O742" s="12"/>
      <c r="P742" s="12"/>
      <c r="Q742" s="12"/>
      <c r="R742" s="12"/>
      <c r="S742" s="12"/>
      <c r="T742" s="12"/>
      <c r="U742" s="18"/>
      <c r="V742" s="12"/>
      <c r="W742" s="12"/>
      <c r="X742" s="12"/>
      <c r="Y742" s="12"/>
      <c r="Z742" s="12"/>
    </row>
    <row r="743" spans="1:26" ht="15" customHeight="1" x14ac:dyDescent="0.3">
      <c r="A743" s="27"/>
      <c r="B743" s="12"/>
      <c r="C743" s="12"/>
      <c r="D743" s="12"/>
      <c r="E743" s="12"/>
      <c r="F743" s="12"/>
      <c r="G743" s="12"/>
      <c r="H743" s="12"/>
      <c r="I743" s="12"/>
      <c r="J743" s="12"/>
      <c r="K743" s="12"/>
      <c r="L743" s="12"/>
      <c r="M743" s="12"/>
      <c r="N743" s="12"/>
      <c r="O743" s="12"/>
      <c r="P743" s="12"/>
      <c r="Q743" s="12"/>
      <c r="R743" s="12"/>
      <c r="S743" s="12"/>
      <c r="T743" s="12"/>
      <c r="U743" s="18"/>
      <c r="V743" s="12"/>
      <c r="W743" s="12"/>
      <c r="X743" s="12"/>
      <c r="Y743" s="12"/>
      <c r="Z743" s="12"/>
    </row>
    <row r="744" spans="1:26" ht="15" customHeight="1" x14ac:dyDescent="0.3">
      <c r="A744" s="27"/>
      <c r="B744" s="12"/>
      <c r="C744" s="12"/>
      <c r="D744" s="12"/>
      <c r="E744" s="12"/>
      <c r="F744" s="12"/>
      <c r="G744" s="12"/>
      <c r="H744" s="12"/>
      <c r="I744" s="12"/>
      <c r="J744" s="12"/>
      <c r="K744" s="12"/>
      <c r="L744" s="12"/>
      <c r="M744" s="12"/>
      <c r="N744" s="12"/>
      <c r="O744" s="12"/>
      <c r="P744" s="12"/>
      <c r="Q744" s="12"/>
      <c r="R744" s="12"/>
      <c r="S744" s="12"/>
      <c r="T744" s="12"/>
      <c r="U744" s="18"/>
      <c r="V744" s="12"/>
      <c r="W744" s="12"/>
      <c r="X744" s="12"/>
      <c r="Y744" s="12"/>
      <c r="Z744" s="12"/>
    </row>
    <row r="745" spans="1:26" ht="15" customHeight="1" x14ac:dyDescent="0.3">
      <c r="A745" s="27"/>
      <c r="B745" s="12"/>
      <c r="C745" s="12"/>
      <c r="D745" s="12"/>
      <c r="E745" s="12"/>
      <c r="F745" s="12"/>
      <c r="G745" s="12"/>
      <c r="H745" s="12"/>
      <c r="I745" s="12"/>
      <c r="J745" s="12"/>
      <c r="K745" s="12"/>
      <c r="L745" s="12"/>
      <c r="M745" s="12"/>
      <c r="N745" s="12"/>
      <c r="O745" s="12"/>
      <c r="P745" s="12"/>
      <c r="Q745" s="12"/>
      <c r="R745" s="12"/>
      <c r="S745" s="12"/>
      <c r="T745" s="12"/>
      <c r="U745" s="18"/>
      <c r="V745" s="12"/>
      <c r="W745" s="12"/>
      <c r="X745" s="12"/>
      <c r="Y745" s="12"/>
      <c r="Z745" s="12"/>
    </row>
    <row r="746" spans="1:26" ht="15" customHeight="1" x14ac:dyDescent="0.3">
      <c r="A746" s="27"/>
      <c r="B746" s="12"/>
      <c r="C746" s="12"/>
      <c r="D746" s="12"/>
      <c r="E746" s="12"/>
      <c r="F746" s="12"/>
      <c r="G746" s="12"/>
      <c r="H746" s="12"/>
      <c r="I746" s="12"/>
      <c r="J746" s="12"/>
      <c r="K746" s="12"/>
      <c r="L746" s="12"/>
      <c r="M746" s="12"/>
      <c r="N746" s="12"/>
      <c r="O746" s="12"/>
      <c r="P746" s="12"/>
      <c r="Q746" s="12"/>
      <c r="R746" s="12"/>
      <c r="S746" s="12"/>
      <c r="T746" s="12"/>
      <c r="U746" s="18"/>
      <c r="V746" s="12"/>
      <c r="W746" s="12"/>
      <c r="X746" s="12"/>
      <c r="Y746" s="12"/>
      <c r="Z746" s="12"/>
    </row>
    <row r="747" spans="1:26" ht="15" customHeight="1" x14ac:dyDescent="0.3">
      <c r="A747" s="27"/>
      <c r="B747" s="12"/>
      <c r="C747" s="12"/>
      <c r="D747" s="12"/>
      <c r="E747" s="12"/>
      <c r="F747" s="12"/>
      <c r="G747" s="12"/>
      <c r="H747" s="12"/>
      <c r="I747" s="12"/>
      <c r="J747" s="12"/>
      <c r="K747" s="12"/>
      <c r="L747" s="12"/>
      <c r="M747" s="12"/>
      <c r="N747" s="12"/>
      <c r="O747" s="12"/>
      <c r="P747" s="12"/>
      <c r="Q747" s="12"/>
      <c r="R747" s="12"/>
      <c r="S747" s="12"/>
      <c r="T747" s="12"/>
      <c r="U747" s="18"/>
      <c r="V747" s="12"/>
      <c r="W747" s="12"/>
      <c r="X747" s="12"/>
      <c r="Y747" s="12"/>
      <c r="Z747" s="12"/>
    </row>
    <row r="748" spans="1:26" ht="15" customHeight="1" x14ac:dyDescent="0.3">
      <c r="A748" s="27"/>
      <c r="B748" s="12"/>
      <c r="C748" s="12"/>
      <c r="D748" s="12"/>
      <c r="E748" s="12"/>
      <c r="F748" s="12"/>
      <c r="G748" s="12"/>
      <c r="H748" s="12"/>
      <c r="I748" s="12"/>
      <c r="J748" s="12"/>
      <c r="K748" s="12"/>
      <c r="L748" s="12"/>
      <c r="M748" s="12"/>
      <c r="N748" s="12"/>
      <c r="O748" s="12"/>
      <c r="P748" s="12"/>
      <c r="Q748" s="12"/>
      <c r="R748" s="12"/>
      <c r="S748" s="12"/>
      <c r="T748" s="12"/>
      <c r="U748" s="18"/>
      <c r="V748" s="12"/>
      <c r="W748" s="12"/>
      <c r="X748" s="12"/>
      <c r="Y748" s="12"/>
      <c r="Z748" s="12"/>
    </row>
    <row r="749" spans="1:26" ht="15" customHeight="1" x14ac:dyDescent="0.3">
      <c r="A749" s="27"/>
      <c r="B749" s="12"/>
      <c r="C749" s="12"/>
      <c r="D749" s="12"/>
      <c r="E749" s="12"/>
      <c r="F749" s="12"/>
      <c r="G749" s="12"/>
      <c r="H749" s="12"/>
      <c r="I749" s="12"/>
      <c r="J749" s="12"/>
      <c r="K749" s="12"/>
      <c r="L749" s="12"/>
      <c r="M749" s="12"/>
      <c r="N749" s="12"/>
      <c r="O749" s="12"/>
      <c r="P749" s="12"/>
      <c r="Q749" s="12"/>
      <c r="R749" s="12"/>
      <c r="S749" s="12"/>
      <c r="T749" s="12"/>
      <c r="U749" s="18"/>
      <c r="V749" s="12"/>
      <c r="W749" s="12"/>
      <c r="X749" s="12"/>
      <c r="Y749" s="12"/>
      <c r="Z749" s="12"/>
    </row>
    <row r="750" spans="1:26" ht="15" customHeight="1" x14ac:dyDescent="0.3">
      <c r="A750" s="27"/>
      <c r="B750" s="12"/>
      <c r="C750" s="12"/>
      <c r="D750" s="12"/>
      <c r="E750" s="12"/>
      <c r="F750" s="12"/>
      <c r="G750" s="12"/>
      <c r="H750" s="12"/>
      <c r="I750" s="12"/>
      <c r="J750" s="12"/>
      <c r="K750" s="12"/>
      <c r="L750" s="12"/>
      <c r="M750" s="12"/>
      <c r="N750" s="12"/>
      <c r="O750" s="12"/>
      <c r="P750" s="12"/>
      <c r="Q750" s="12"/>
      <c r="R750" s="12"/>
      <c r="S750" s="12"/>
      <c r="T750" s="12"/>
      <c r="U750" s="18"/>
      <c r="V750" s="12"/>
      <c r="W750" s="12"/>
      <c r="X750" s="12"/>
      <c r="Y750" s="12"/>
      <c r="Z750" s="12"/>
    </row>
    <row r="751" spans="1:26" ht="15" customHeight="1" x14ac:dyDescent="0.3">
      <c r="A751" s="27"/>
      <c r="B751" s="12"/>
      <c r="C751" s="12"/>
      <c r="D751" s="12"/>
      <c r="E751" s="12"/>
      <c r="F751" s="12"/>
      <c r="G751" s="12"/>
      <c r="H751" s="12"/>
      <c r="I751" s="12"/>
      <c r="J751" s="12"/>
      <c r="K751" s="12"/>
      <c r="L751" s="12"/>
      <c r="M751" s="12"/>
      <c r="N751" s="12"/>
      <c r="O751" s="12"/>
      <c r="P751" s="12"/>
      <c r="Q751" s="12"/>
      <c r="R751" s="12"/>
      <c r="S751" s="12"/>
      <c r="T751" s="12"/>
      <c r="U751" s="18"/>
      <c r="V751" s="12"/>
      <c r="W751" s="12"/>
      <c r="X751" s="12"/>
      <c r="Y751" s="12"/>
      <c r="Z751" s="12"/>
    </row>
    <row r="752" spans="1:26" ht="15" customHeight="1" x14ac:dyDescent="0.3">
      <c r="A752" s="27"/>
      <c r="B752" s="12"/>
      <c r="C752" s="12"/>
      <c r="D752" s="12"/>
      <c r="E752" s="12"/>
      <c r="F752" s="12"/>
      <c r="G752" s="12"/>
      <c r="H752" s="12"/>
      <c r="I752" s="12"/>
      <c r="J752" s="12"/>
      <c r="K752" s="12"/>
      <c r="L752" s="12"/>
      <c r="M752" s="12"/>
      <c r="N752" s="12"/>
      <c r="O752" s="12"/>
      <c r="P752" s="12"/>
      <c r="Q752" s="12"/>
      <c r="R752" s="12"/>
      <c r="S752" s="12"/>
      <c r="T752" s="12"/>
      <c r="U752" s="18"/>
      <c r="V752" s="12"/>
      <c r="W752" s="12"/>
      <c r="X752" s="12"/>
      <c r="Y752" s="12"/>
      <c r="Z752" s="12"/>
    </row>
    <row r="753" spans="1:26" ht="15" customHeight="1" x14ac:dyDescent="0.3">
      <c r="A753" s="27"/>
      <c r="B753" s="12"/>
      <c r="C753" s="12"/>
      <c r="D753" s="12"/>
      <c r="E753" s="12"/>
      <c r="F753" s="12"/>
      <c r="G753" s="12"/>
      <c r="H753" s="12"/>
      <c r="I753" s="12"/>
      <c r="J753" s="12"/>
      <c r="K753" s="12"/>
      <c r="L753" s="12"/>
      <c r="M753" s="12"/>
      <c r="N753" s="12"/>
      <c r="O753" s="12"/>
      <c r="P753" s="12"/>
      <c r="Q753" s="12"/>
      <c r="R753" s="12"/>
      <c r="S753" s="12"/>
      <c r="T753" s="12"/>
      <c r="U753" s="18"/>
      <c r="V753" s="12"/>
      <c r="W753" s="12"/>
      <c r="X753" s="12"/>
      <c r="Y753" s="12"/>
      <c r="Z753" s="12"/>
    </row>
    <row r="754" spans="1:26" ht="15" customHeight="1" x14ac:dyDescent="0.3">
      <c r="A754" s="27"/>
      <c r="B754" s="12"/>
      <c r="C754" s="12"/>
      <c r="D754" s="12"/>
      <c r="E754" s="12"/>
      <c r="F754" s="12"/>
      <c r="G754" s="12"/>
      <c r="H754" s="12"/>
      <c r="I754" s="12"/>
      <c r="J754" s="12"/>
      <c r="K754" s="12"/>
      <c r="L754" s="12"/>
      <c r="M754" s="12"/>
      <c r="N754" s="12"/>
      <c r="O754" s="12"/>
      <c r="P754" s="12"/>
      <c r="Q754" s="12"/>
      <c r="R754" s="12"/>
      <c r="S754" s="12"/>
      <c r="T754" s="12"/>
      <c r="U754" s="18"/>
      <c r="V754" s="12"/>
      <c r="W754" s="12"/>
      <c r="X754" s="12"/>
      <c r="Y754" s="12"/>
      <c r="Z754" s="12"/>
    </row>
    <row r="755" spans="1:26" ht="15" customHeight="1" x14ac:dyDescent="0.3">
      <c r="A755" s="27"/>
      <c r="B755" s="12"/>
      <c r="C755" s="12"/>
      <c r="D755" s="12"/>
      <c r="E755" s="12"/>
      <c r="F755" s="12"/>
      <c r="G755" s="12"/>
      <c r="H755" s="12"/>
      <c r="I755" s="12"/>
      <c r="J755" s="12"/>
      <c r="K755" s="12"/>
      <c r="L755" s="12"/>
      <c r="M755" s="12"/>
      <c r="N755" s="12"/>
      <c r="O755" s="12"/>
      <c r="P755" s="12"/>
      <c r="Q755" s="12"/>
      <c r="R755" s="12"/>
      <c r="S755" s="12"/>
      <c r="T755" s="12"/>
      <c r="U755" s="18"/>
      <c r="V755" s="12"/>
      <c r="W755" s="12"/>
      <c r="X755" s="12"/>
      <c r="Y755" s="12"/>
      <c r="Z755" s="12"/>
    </row>
    <row r="756" spans="1:26" ht="15" customHeight="1" x14ac:dyDescent="0.3">
      <c r="A756" s="27"/>
      <c r="B756" s="12"/>
      <c r="C756" s="12"/>
      <c r="D756" s="12"/>
      <c r="E756" s="12"/>
      <c r="F756" s="12"/>
      <c r="G756" s="12"/>
      <c r="H756" s="12"/>
      <c r="I756" s="12"/>
      <c r="J756" s="12"/>
      <c r="K756" s="12"/>
      <c r="L756" s="12"/>
      <c r="M756" s="12"/>
      <c r="N756" s="12"/>
      <c r="O756" s="12"/>
      <c r="P756" s="12"/>
      <c r="Q756" s="12"/>
      <c r="R756" s="12"/>
      <c r="S756" s="12"/>
      <c r="T756" s="12"/>
      <c r="U756" s="18"/>
      <c r="V756" s="12"/>
      <c r="W756" s="12"/>
      <c r="X756" s="12"/>
      <c r="Y756" s="12"/>
      <c r="Z756" s="12"/>
    </row>
    <row r="757" spans="1:26" ht="15" customHeight="1" x14ac:dyDescent="0.3">
      <c r="A757" s="27"/>
      <c r="B757" s="12"/>
      <c r="C757" s="12"/>
      <c r="D757" s="12"/>
      <c r="E757" s="12"/>
      <c r="F757" s="12"/>
      <c r="G757" s="12"/>
      <c r="H757" s="12"/>
      <c r="I757" s="12"/>
      <c r="J757" s="12"/>
      <c r="K757" s="12"/>
      <c r="L757" s="12"/>
      <c r="M757" s="12"/>
      <c r="N757" s="12"/>
      <c r="O757" s="12"/>
      <c r="P757" s="12"/>
      <c r="Q757" s="12"/>
      <c r="R757" s="12"/>
      <c r="S757" s="12"/>
      <c r="T757" s="12"/>
      <c r="U757" s="18"/>
      <c r="V757" s="12"/>
      <c r="W757" s="12"/>
      <c r="X757" s="12"/>
      <c r="Y757" s="12"/>
      <c r="Z757" s="12"/>
    </row>
    <row r="758" spans="1:26" ht="15" customHeight="1" x14ac:dyDescent="0.3">
      <c r="A758" s="27"/>
      <c r="B758" s="12"/>
      <c r="C758" s="12"/>
      <c r="D758" s="12"/>
      <c r="E758" s="12"/>
      <c r="F758" s="12"/>
      <c r="G758" s="12"/>
      <c r="H758" s="12"/>
      <c r="I758" s="12"/>
      <c r="J758" s="12"/>
      <c r="K758" s="12"/>
      <c r="L758" s="12"/>
      <c r="M758" s="12"/>
      <c r="N758" s="12"/>
      <c r="O758" s="12"/>
      <c r="P758" s="12"/>
      <c r="Q758" s="12"/>
      <c r="R758" s="12"/>
      <c r="S758" s="12"/>
      <c r="T758" s="12"/>
      <c r="U758" s="18"/>
      <c r="V758" s="12"/>
      <c r="W758" s="12"/>
      <c r="X758" s="12"/>
      <c r="Y758" s="12"/>
      <c r="Z758" s="12"/>
    </row>
    <row r="759" spans="1:26" ht="15" customHeight="1" x14ac:dyDescent="0.3">
      <c r="A759" s="27"/>
      <c r="B759" s="12"/>
      <c r="C759" s="12"/>
      <c r="D759" s="12"/>
      <c r="E759" s="12"/>
      <c r="F759" s="12"/>
      <c r="G759" s="12"/>
      <c r="H759" s="12"/>
      <c r="I759" s="12"/>
      <c r="J759" s="12"/>
      <c r="K759" s="12"/>
      <c r="L759" s="12"/>
      <c r="M759" s="12"/>
      <c r="N759" s="12"/>
      <c r="O759" s="12"/>
      <c r="P759" s="12"/>
      <c r="Q759" s="12"/>
      <c r="R759" s="12"/>
      <c r="S759" s="12"/>
      <c r="T759" s="12"/>
      <c r="U759" s="18"/>
      <c r="V759" s="12"/>
      <c r="W759" s="12"/>
      <c r="X759" s="12"/>
      <c r="Y759" s="12"/>
      <c r="Z759" s="12"/>
    </row>
    <row r="760" spans="1:26" ht="15" customHeight="1" x14ac:dyDescent="0.3">
      <c r="A760" s="27"/>
      <c r="B760" s="12"/>
      <c r="C760" s="12"/>
      <c r="D760" s="12"/>
      <c r="E760" s="12"/>
      <c r="F760" s="12"/>
      <c r="G760" s="12"/>
      <c r="H760" s="12"/>
      <c r="I760" s="12"/>
      <c r="J760" s="12"/>
      <c r="K760" s="12"/>
      <c r="L760" s="12"/>
      <c r="M760" s="12"/>
      <c r="N760" s="12"/>
      <c r="O760" s="12"/>
      <c r="P760" s="12"/>
      <c r="Q760" s="12"/>
      <c r="R760" s="12"/>
      <c r="S760" s="12"/>
      <c r="T760" s="12"/>
      <c r="U760" s="18"/>
      <c r="V760" s="12"/>
      <c r="W760" s="12"/>
      <c r="X760" s="12"/>
      <c r="Y760" s="12"/>
      <c r="Z760" s="12"/>
    </row>
    <row r="761" spans="1:26" ht="15" customHeight="1" x14ac:dyDescent="0.3">
      <c r="A761" s="27"/>
      <c r="B761" s="12"/>
      <c r="C761" s="12"/>
      <c r="D761" s="12"/>
      <c r="E761" s="12"/>
      <c r="F761" s="12"/>
      <c r="G761" s="12"/>
      <c r="H761" s="12"/>
      <c r="I761" s="12"/>
      <c r="J761" s="12"/>
      <c r="K761" s="12"/>
      <c r="L761" s="12"/>
      <c r="M761" s="12"/>
      <c r="N761" s="12"/>
      <c r="O761" s="12"/>
      <c r="P761" s="12"/>
      <c r="Q761" s="12"/>
      <c r="R761" s="12"/>
      <c r="S761" s="12"/>
      <c r="T761" s="12"/>
      <c r="U761" s="18"/>
      <c r="V761" s="12"/>
      <c r="W761" s="12"/>
      <c r="X761" s="12"/>
      <c r="Y761" s="12"/>
      <c r="Z761" s="12"/>
    </row>
    <row r="762" spans="1:26" ht="15" customHeight="1" x14ac:dyDescent="0.3">
      <c r="A762" s="27"/>
      <c r="B762" s="12"/>
      <c r="C762" s="12"/>
      <c r="D762" s="12"/>
      <c r="E762" s="12"/>
      <c r="F762" s="12"/>
      <c r="G762" s="12"/>
      <c r="H762" s="12"/>
      <c r="I762" s="12"/>
      <c r="J762" s="12"/>
      <c r="K762" s="12"/>
      <c r="L762" s="12"/>
      <c r="M762" s="12"/>
      <c r="N762" s="12"/>
      <c r="O762" s="12"/>
      <c r="P762" s="12"/>
      <c r="Q762" s="12"/>
      <c r="R762" s="12"/>
      <c r="S762" s="12"/>
      <c r="T762" s="12"/>
      <c r="U762" s="18"/>
      <c r="V762" s="12"/>
      <c r="W762" s="12"/>
      <c r="X762" s="12"/>
      <c r="Y762" s="12"/>
      <c r="Z762" s="12"/>
    </row>
    <row r="763" spans="1:26" ht="15" customHeight="1" x14ac:dyDescent="0.3">
      <c r="A763" s="27"/>
      <c r="B763" s="12"/>
      <c r="C763" s="12"/>
      <c r="D763" s="12"/>
      <c r="E763" s="12"/>
      <c r="F763" s="12"/>
      <c r="G763" s="12"/>
      <c r="H763" s="12"/>
      <c r="I763" s="12"/>
      <c r="J763" s="12"/>
      <c r="K763" s="12"/>
      <c r="L763" s="12"/>
      <c r="M763" s="12"/>
      <c r="N763" s="12"/>
      <c r="O763" s="12"/>
      <c r="P763" s="12"/>
      <c r="Q763" s="12"/>
      <c r="R763" s="12"/>
      <c r="S763" s="12"/>
      <c r="T763" s="12"/>
      <c r="U763" s="18"/>
      <c r="V763" s="12"/>
      <c r="W763" s="12"/>
      <c r="X763" s="12"/>
      <c r="Y763" s="12"/>
      <c r="Z763" s="12"/>
    </row>
    <row r="764" spans="1:26" ht="15" customHeight="1" x14ac:dyDescent="0.3">
      <c r="A764" s="27"/>
      <c r="B764" s="12"/>
      <c r="C764" s="12"/>
      <c r="D764" s="12"/>
      <c r="E764" s="12"/>
      <c r="F764" s="12"/>
      <c r="G764" s="12"/>
      <c r="H764" s="12"/>
      <c r="I764" s="12"/>
      <c r="J764" s="12"/>
      <c r="K764" s="12"/>
      <c r="L764" s="12"/>
      <c r="M764" s="12"/>
      <c r="N764" s="12"/>
      <c r="O764" s="12"/>
      <c r="P764" s="12"/>
      <c r="Q764" s="12"/>
      <c r="R764" s="12"/>
      <c r="S764" s="12"/>
      <c r="T764" s="12"/>
      <c r="U764" s="18"/>
      <c r="V764" s="12"/>
      <c r="W764" s="12"/>
      <c r="X764" s="12"/>
      <c r="Y764" s="12"/>
      <c r="Z764" s="12"/>
    </row>
    <row r="765" spans="1:26" ht="15" customHeight="1" x14ac:dyDescent="0.3">
      <c r="A765" s="27"/>
      <c r="B765" s="12"/>
      <c r="C765" s="12"/>
      <c r="D765" s="12"/>
      <c r="E765" s="12"/>
      <c r="F765" s="12"/>
      <c r="G765" s="12"/>
      <c r="H765" s="12"/>
      <c r="I765" s="12"/>
      <c r="J765" s="12"/>
      <c r="K765" s="12"/>
      <c r="L765" s="12"/>
      <c r="M765" s="12"/>
      <c r="N765" s="12"/>
      <c r="O765" s="12"/>
      <c r="P765" s="12"/>
      <c r="Q765" s="12"/>
      <c r="R765" s="12"/>
      <c r="S765" s="12"/>
      <c r="T765" s="12"/>
      <c r="U765" s="18"/>
      <c r="V765" s="12"/>
      <c r="W765" s="12"/>
      <c r="X765" s="12"/>
      <c r="Y765" s="12"/>
      <c r="Z765" s="12"/>
    </row>
    <row r="766" spans="1:26" ht="15" customHeight="1" x14ac:dyDescent="0.3">
      <c r="A766" s="27"/>
      <c r="B766" s="12"/>
      <c r="C766" s="12"/>
      <c r="D766" s="12"/>
      <c r="E766" s="12"/>
      <c r="F766" s="12"/>
      <c r="G766" s="12"/>
      <c r="H766" s="12"/>
      <c r="I766" s="12"/>
      <c r="J766" s="12"/>
      <c r="K766" s="12"/>
      <c r="L766" s="12"/>
      <c r="M766" s="12"/>
      <c r="N766" s="12"/>
      <c r="O766" s="12"/>
      <c r="P766" s="12"/>
      <c r="Q766" s="12"/>
      <c r="R766" s="12"/>
      <c r="S766" s="12"/>
      <c r="T766" s="12"/>
      <c r="U766" s="18"/>
      <c r="V766" s="12"/>
      <c r="W766" s="12"/>
      <c r="X766" s="12"/>
      <c r="Y766" s="12"/>
      <c r="Z766" s="12"/>
    </row>
    <row r="767" spans="1:26" ht="15" customHeight="1" x14ac:dyDescent="0.3">
      <c r="A767" s="27"/>
      <c r="B767" s="12"/>
      <c r="C767" s="12"/>
      <c r="D767" s="12"/>
      <c r="E767" s="12"/>
      <c r="F767" s="12"/>
      <c r="G767" s="12"/>
      <c r="H767" s="12"/>
      <c r="I767" s="12"/>
      <c r="J767" s="12"/>
      <c r="K767" s="12"/>
      <c r="L767" s="12"/>
      <c r="M767" s="12"/>
      <c r="N767" s="12"/>
      <c r="O767" s="12"/>
      <c r="P767" s="12"/>
      <c r="Q767" s="12"/>
      <c r="R767" s="12"/>
      <c r="S767" s="12"/>
      <c r="T767" s="12"/>
      <c r="U767" s="18"/>
      <c r="V767" s="12"/>
      <c r="W767" s="12"/>
      <c r="X767" s="12"/>
      <c r="Y767" s="12"/>
      <c r="Z767" s="12"/>
    </row>
    <row r="768" spans="1:26" ht="15" customHeight="1" x14ac:dyDescent="0.3">
      <c r="A768" s="27"/>
      <c r="B768" s="12"/>
      <c r="C768" s="12"/>
      <c r="D768" s="12"/>
      <c r="E768" s="12"/>
      <c r="F768" s="12"/>
      <c r="G768" s="12"/>
      <c r="H768" s="12"/>
      <c r="I768" s="12"/>
      <c r="J768" s="12"/>
      <c r="K768" s="12"/>
      <c r="L768" s="12"/>
      <c r="M768" s="12"/>
      <c r="N768" s="12"/>
      <c r="O768" s="12"/>
      <c r="P768" s="12"/>
      <c r="Q768" s="12"/>
      <c r="R768" s="12"/>
      <c r="S768" s="12"/>
      <c r="T768" s="12"/>
      <c r="U768" s="18"/>
      <c r="V768" s="12"/>
      <c r="W768" s="12"/>
      <c r="X768" s="12"/>
      <c r="Y768" s="12"/>
      <c r="Z768" s="12"/>
    </row>
    <row r="769" spans="1:26" ht="15" customHeight="1" x14ac:dyDescent="0.3">
      <c r="A769" s="27"/>
      <c r="B769" s="12"/>
      <c r="C769" s="12"/>
      <c r="D769" s="12"/>
      <c r="E769" s="12"/>
      <c r="F769" s="12"/>
      <c r="G769" s="12"/>
      <c r="H769" s="12"/>
      <c r="I769" s="12"/>
      <c r="J769" s="12"/>
      <c r="K769" s="12"/>
      <c r="L769" s="12"/>
      <c r="M769" s="12"/>
      <c r="N769" s="12"/>
      <c r="O769" s="12"/>
      <c r="P769" s="12"/>
      <c r="Q769" s="12"/>
      <c r="R769" s="12"/>
      <c r="S769" s="12"/>
      <c r="T769" s="12"/>
      <c r="U769" s="18"/>
      <c r="V769" s="12"/>
      <c r="W769" s="12"/>
      <c r="X769" s="12"/>
      <c r="Y769" s="12"/>
      <c r="Z769" s="12"/>
    </row>
    <row r="770" spans="1:26" ht="15" customHeight="1" x14ac:dyDescent="0.3">
      <c r="A770" s="27"/>
      <c r="B770" s="12"/>
      <c r="C770" s="12"/>
      <c r="D770" s="12"/>
      <c r="E770" s="12"/>
      <c r="F770" s="12"/>
      <c r="G770" s="12"/>
      <c r="H770" s="12"/>
      <c r="I770" s="12"/>
      <c r="J770" s="12"/>
      <c r="K770" s="12"/>
      <c r="L770" s="12"/>
      <c r="M770" s="12"/>
      <c r="N770" s="12"/>
      <c r="O770" s="12"/>
      <c r="P770" s="12"/>
      <c r="Q770" s="12"/>
      <c r="R770" s="12"/>
      <c r="S770" s="12"/>
      <c r="T770" s="12"/>
      <c r="U770" s="18"/>
      <c r="V770" s="12"/>
      <c r="W770" s="12"/>
      <c r="X770" s="12"/>
      <c r="Y770" s="12"/>
      <c r="Z770" s="12"/>
    </row>
    <row r="771" spans="1:26" ht="15" customHeight="1" x14ac:dyDescent="0.3">
      <c r="A771" s="27"/>
      <c r="B771" s="12"/>
      <c r="C771" s="12"/>
      <c r="D771" s="12"/>
      <c r="E771" s="12"/>
      <c r="F771" s="12"/>
      <c r="G771" s="12"/>
      <c r="H771" s="12"/>
      <c r="I771" s="12"/>
      <c r="J771" s="12"/>
      <c r="K771" s="12"/>
      <c r="L771" s="12"/>
      <c r="M771" s="12"/>
      <c r="N771" s="12"/>
      <c r="O771" s="12"/>
      <c r="P771" s="12"/>
      <c r="Q771" s="12"/>
      <c r="R771" s="12"/>
      <c r="S771" s="12"/>
      <c r="T771" s="12"/>
      <c r="U771" s="18"/>
      <c r="V771" s="12"/>
      <c r="W771" s="12"/>
      <c r="X771" s="12"/>
      <c r="Y771" s="12"/>
      <c r="Z771" s="12"/>
    </row>
    <row r="772" spans="1:26" ht="15" customHeight="1" x14ac:dyDescent="0.3">
      <c r="A772" s="27"/>
      <c r="B772" s="12"/>
      <c r="C772" s="12"/>
      <c r="D772" s="12"/>
      <c r="E772" s="12"/>
      <c r="F772" s="12"/>
      <c r="G772" s="12"/>
      <c r="H772" s="12"/>
      <c r="I772" s="12"/>
      <c r="J772" s="12"/>
      <c r="K772" s="12"/>
      <c r="L772" s="12"/>
      <c r="M772" s="12"/>
      <c r="N772" s="12"/>
      <c r="O772" s="12"/>
      <c r="P772" s="12"/>
      <c r="Q772" s="12"/>
      <c r="R772" s="12"/>
      <c r="S772" s="12"/>
      <c r="T772" s="12"/>
      <c r="U772" s="18"/>
      <c r="V772" s="12"/>
      <c r="W772" s="12"/>
      <c r="X772" s="12"/>
      <c r="Y772" s="12"/>
      <c r="Z772" s="12"/>
    </row>
    <row r="773" spans="1:26" ht="15" customHeight="1" x14ac:dyDescent="0.3">
      <c r="A773" s="27"/>
      <c r="B773" s="12"/>
      <c r="C773" s="12"/>
      <c r="D773" s="12"/>
      <c r="E773" s="12"/>
      <c r="F773" s="12"/>
      <c r="G773" s="12"/>
      <c r="H773" s="12"/>
      <c r="I773" s="12"/>
      <c r="J773" s="12"/>
      <c r="K773" s="12"/>
      <c r="L773" s="12"/>
      <c r="M773" s="12"/>
      <c r="N773" s="12"/>
      <c r="O773" s="12"/>
      <c r="P773" s="12"/>
      <c r="Q773" s="12"/>
      <c r="R773" s="12"/>
      <c r="S773" s="12"/>
      <c r="T773" s="12"/>
      <c r="U773" s="18"/>
      <c r="V773" s="12"/>
      <c r="W773" s="12"/>
      <c r="X773" s="12"/>
      <c r="Y773" s="12"/>
      <c r="Z773" s="12"/>
    </row>
    <row r="774" spans="1:26" ht="15" customHeight="1" x14ac:dyDescent="0.3">
      <c r="A774" s="27"/>
      <c r="B774" s="12"/>
      <c r="C774" s="12"/>
      <c r="D774" s="12"/>
      <c r="E774" s="12"/>
      <c r="F774" s="12"/>
      <c r="G774" s="12"/>
      <c r="H774" s="12"/>
      <c r="I774" s="12"/>
      <c r="J774" s="12"/>
      <c r="K774" s="12"/>
      <c r="L774" s="12"/>
      <c r="M774" s="12"/>
      <c r="N774" s="12"/>
      <c r="O774" s="12"/>
      <c r="P774" s="12"/>
      <c r="Q774" s="12"/>
      <c r="R774" s="12"/>
      <c r="S774" s="12"/>
      <c r="T774" s="12"/>
      <c r="U774" s="18"/>
      <c r="V774" s="12"/>
      <c r="W774" s="12"/>
      <c r="X774" s="12"/>
      <c r="Y774" s="12"/>
      <c r="Z774" s="12"/>
    </row>
    <row r="775" spans="1:26" ht="15" customHeight="1" x14ac:dyDescent="0.3">
      <c r="A775" s="27"/>
      <c r="B775" s="12"/>
      <c r="C775" s="12"/>
      <c r="D775" s="12"/>
      <c r="E775" s="12"/>
      <c r="F775" s="12"/>
      <c r="G775" s="12"/>
      <c r="H775" s="12"/>
      <c r="I775" s="12"/>
      <c r="J775" s="12"/>
      <c r="K775" s="12"/>
      <c r="L775" s="12"/>
      <c r="M775" s="12"/>
      <c r="N775" s="12"/>
      <c r="O775" s="12"/>
      <c r="P775" s="12"/>
      <c r="Q775" s="12"/>
      <c r="R775" s="12"/>
      <c r="S775" s="12"/>
      <c r="T775" s="12"/>
      <c r="U775" s="18"/>
      <c r="V775" s="12"/>
      <c r="W775" s="12"/>
      <c r="X775" s="12"/>
      <c r="Y775" s="12"/>
      <c r="Z775" s="12"/>
    </row>
    <row r="776" spans="1:26" ht="15" customHeight="1" x14ac:dyDescent="0.3">
      <c r="A776" s="27"/>
      <c r="B776" s="12"/>
      <c r="C776" s="12"/>
      <c r="D776" s="12"/>
      <c r="E776" s="12"/>
      <c r="F776" s="12"/>
      <c r="G776" s="12"/>
      <c r="H776" s="12"/>
      <c r="I776" s="12"/>
      <c r="J776" s="12"/>
      <c r="K776" s="12"/>
      <c r="L776" s="12"/>
      <c r="M776" s="12"/>
      <c r="N776" s="12"/>
      <c r="O776" s="12"/>
      <c r="P776" s="12"/>
      <c r="Q776" s="12"/>
      <c r="R776" s="12"/>
      <c r="S776" s="12"/>
      <c r="T776" s="12"/>
      <c r="U776" s="18"/>
      <c r="V776" s="12"/>
      <c r="W776" s="12"/>
      <c r="X776" s="12"/>
      <c r="Y776" s="12"/>
      <c r="Z776" s="12"/>
    </row>
    <row r="777" spans="1:26" ht="15" customHeight="1" x14ac:dyDescent="0.3">
      <c r="A777" s="27"/>
      <c r="B777" s="12"/>
      <c r="C777" s="12"/>
      <c r="D777" s="12"/>
      <c r="E777" s="12"/>
      <c r="F777" s="12"/>
      <c r="G777" s="12"/>
      <c r="H777" s="12"/>
      <c r="I777" s="12"/>
      <c r="J777" s="12"/>
      <c r="K777" s="12"/>
      <c r="L777" s="12"/>
      <c r="M777" s="12"/>
      <c r="N777" s="12"/>
      <c r="O777" s="12"/>
      <c r="P777" s="12"/>
      <c r="Q777" s="12"/>
      <c r="R777" s="12"/>
      <c r="S777" s="12"/>
      <c r="T777" s="12"/>
      <c r="U777" s="18"/>
      <c r="V777" s="12"/>
      <c r="W777" s="12"/>
      <c r="X777" s="12"/>
      <c r="Y777" s="12"/>
      <c r="Z777" s="12"/>
    </row>
    <row r="778" spans="1:26" ht="15" customHeight="1" x14ac:dyDescent="0.3">
      <c r="A778" s="27"/>
      <c r="B778" s="12"/>
      <c r="C778" s="12"/>
      <c r="D778" s="12"/>
      <c r="E778" s="12"/>
      <c r="F778" s="12"/>
      <c r="G778" s="12"/>
      <c r="H778" s="12"/>
      <c r="I778" s="12"/>
      <c r="J778" s="12"/>
      <c r="K778" s="12"/>
      <c r="L778" s="12"/>
      <c r="M778" s="12"/>
      <c r="N778" s="12"/>
      <c r="O778" s="12"/>
      <c r="P778" s="12"/>
      <c r="Q778" s="12"/>
      <c r="R778" s="12"/>
      <c r="S778" s="12"/>
      <c r="T778" s="12"/>
      <c r="U778" s="18"/>
      <c r="V778" s="12"/>
      <c r="W778" s="12"/>
      <c r="X778" s="12"/>
      <c r="Y778" s="12"/>
      <c r="Z778" s="12"/>
    </row>
    <row r="779" spans="1:26" ht="15" customHeight="1" x14ac:dyDescent="0.3">
      <c r="A779" s="27"/>
      <c r="B779" s="12"/>
      <c r="C779" s="12"/>
      <c r="D779" s="12"/>
      <c r="E779" s="12"/>
      <c r="F779" s="12"/>
      <c r="G779" s="12"/>
      <c r="H779" s="12"/>
      <c r="I779" s="12"/>
      <c r="J779" s="12"/>
      <c r="K779" s="12"/>
      <c r="L779" s="12"/>
      <c r="M779" s="12"/>
      <c r="N779" s="12"/>
      <c r="O779" s="12"/>
      <c r="P779" s="12"/>
      <c r="Q779" s="12"/>
      <c r="R779" s="12"/>
      <c r="S779" s="12"/>
      <c r="T779" s="12"/>
      <c r="U779" s="18"/>
      <c r="V779" s="12"/>
      <c r="W779" s="12"/>
      <c r="X779" s="12"/>
      <c r="Y779" s="12"/>
      <c r="Z779" s="12"/>
    </row>
    <row r="780" spans="1:26" ht="15" customHeight="1" x14ac:dyDescent="0.3">
      <c r="A780" s="27"/>
      <c r="B780" s="12"/>
      <c r="C780" s="12"/>
      <c r="D780" s="12"/>
      <c r="E780" s="12"/>
      <c r="F780" s="12"/>
      <c r="G780" s="12"/>
      <c r="H780" s="12"/>
      <c r="I780" s="12"/>
      <c r="J780" s="12"/>
      <c r="K780" s="12"/>
      <c r="L780" s="12"/>
      <c r="M780" s="12"/>
      <c r="N780" s="12"/>
      <c r="O780" s="12"/>
      <c r="P780" s="12"/>
      <c r="Q780" s="12"/>
      <c r="R780" s="12"/>
      <c r="S780" s="12"/>
      <c r="T780" s="12"/>
      <c r="U780" s="18"/>
      <c r="V780" s="12"/>
      <c r="W780" s="12"/>
      <c r="X780" s="12"/>
      <c r="Y780" s="12"/>
      <c r="Z780" s="12"/>
    </row>
    <row r="781" spans="1:26" ht="15" customHeight="1" x14ac:dyDescent="0.3">
      <c r="A781" s="27"/>
      <c r="B781" s="12"/>
      <c r="C781" s="12"/>
      <c r="D781" s="12"/>
      <c r="E781" s="12"/>
      <c r="F781" s="12"/>
      <c r="G781" s="12"/>
      <c r="H781" s="12"/>
      <c r="I781" s="12"/>
      <c r="J781" s="12"/>
      <c r="K781" s="12"/>
      <c r="L781" s="12"/>
      <c r="M781" s="12"/>
      <c r="N781" s="12"/>
      <c r="O781" s="12"/>
      <c r="P781" s="12"/>
      <c r="Q781" s="12"/>
      <c r="R781" s="12"/>
      <c r="S781" s="12"/>
      <c r="T781" s="12"/>
      <c r="U781" s="18"/>
      <c r="V781" s="12"/>
      <c r="W781" s="12"/>
      <c r="X781" s="12"/>
      <c r="Y781" s="12"/>
      <c r="Z781" s="12"/>
    </row>
    <row r="782" spans="1:26" ht="15" customHeight="1" x14ac:dyDescent="0.3">
      <c r="A782" s="27"/>
      <c r="B782" s="12"/>
      <c r="C782" s="12"/>
      <c r="D782" s="12"/>
      <c r="E782" s="12"/>
      <c r="F782" s="12"/>
      <c r="G782" s="12"/>
      <c r="H782" s="12"/>
      <c r="I782" s="12"/>
      <c r="J782" s="12"/>
      <c r="K782" s="12"/>
      <c r="L782" s="12"/>
      <c r="M782" s="12"/>
      <c r="N782" s="12"/>
      <c r="O782" s="12"/>
      <c r="P782" s="12"/>
      <c r="Q782" s="12"/>
      <c r="R782" s="12"/>
      <c r="S782" s="12"/>
      <c r="T782" s="12"/>
      <c r="U782" s="18"/>
      <c r="V782" s="12"/>
      <c r="W782" s="12"/>
      <c r="X782" s="12"/>
      <c r="Y782" s="12"/>
      <c r="Z782" s="12"/>
    </row>
    <row r="783" spans="1:26" ht="15" customHeight="1" x14ac:dyDescent="0.3">
      <c r="A783" s="27"/>
      <c r="B783" s="12"/>
      <c r="C783" s="12"/>
      <c r="D783" s="12"/>
      <c r="E783" s="12"/>
      <c r="F783" s="12"/>
      <c r="G783" s="12"/>
      <c r="H783" s="12"/>
      <c r="I783" s="12"/>
      <c r="J783" s="12"/>
      <c r="K783" s="12"/>
      <c r="L783" s="12"/>
      <c r="M783" s="12"/>
      <c r="N783" s="12"/>
      <c r="O783" s="12"/>
      <c r="P783" s="12"/>
      <c r="Q783" s="12"/>
      <c r="R783" s="12"/>
      <c r="S783" s="12"/>
      <c r="T783" s="12"/>
      <c r="U783" s="18"/>
      <c r="V783" s="12"/>
      <c r="W783" s="12"/>
      <c r="X783" s="12"/>
      <c r="Y783" s="12"/>
      <c r="Z783" s="12"/>
    </row>
    <row r="784" spans="1:26" ht="15" customHeight="1" x14ac:dyDescent="0.3">
      <c r="A784" s="27"/>
      <c r="B784" s="12"/>
      <c r="C784" s="12"/>
      <c r="D784" s="12"/>
      <c r="E784" s="12"/>
      <c r="F784" s="12"/>
      <c r="G784" s="12"/>
      <c r="H784" s="12"/>
      <c r="I784" s="12"/>
      <c r="J784" s="12"/>
      <c r="K784" s="12"/>
      <c r="L784" s="12"/>
      <c r="M784" s="12"/>
      <c r="N784" s="12"/>
      <c r="O784" s="12"/>
      <c r="P784" s="12"/>
      <c r="Q784" s="12"/>
      <c r="R784" s="12"/>
      <c r="S784" s="12"/>
      <c r="T784" s="12"/>
      <c r="U784" s="18"/>
      <c r="V784" s="12"/>
      <c r="W784" s="12"/>
      <c r="X784" s="12"/>
      <c r="Y784" s="12"/>
      <c r="Z784" s="12"/>
    </row>
    <row r="785" spans="1:26" ht="15" customHeight="1" x14ac:dyDescent="0.3">
      <c r="A785" s="27"/>
      <c r="B785" s="12"/>
      <c r="C785" s="12"/>
      <c r="D785" s="12"/>
      <c r="E785" s="12"/>
      <c r="F785" s="12"/>
      <c r="G785" s="12"/>
      <c r="H785" s="12"/>
      <c r="I785" s="12"/>
      <c r="J785" s="12"/>
      <c r="K785" s="12"/>
      <c r="L785" s="12"/>
      <c r="M785" s="12"/>
      <c r="N785" s="12"/>
      <c r="O785" s="12"/>
      <c r="P785" s="12"/>
      <c r="Q785" s="12"/>
      <c r="R785" s="12"/>
      <c r="S785" s="12"/>
      <c r="T785" s="12"/>
      <c r="U785" s="18"/>
      <c r="V785" s="12"/>
      <c r="W785" s="12"/>
      <c r="X785" s="12"/>
      <c r="Y785" s="12"/>
      <c r="Z785" s="12"/>
    </row>
    <row r="786" spans="1:26" ht="15" customHeight="1" x14ac:dyDescent="0.3">
      <c r="A786" s="27"/>
      <c r="B786" s="12"/>
      <c r="C786" s="12"/>
      <c r="D786" s="12"/>
      <c r="E786" s="12"/>
      <c r="F786" s="12"/>
      <c r="G786" s="12"/>
      <c r="H786" s="12"/>
      <c r="I786" s="12"/>
      <c r="J786" s="12"/>
      <c r="K786" s="12"/>
      <c r="L786" s="12"/>
      <c r="M786" s="12"/>
      <c r="N786" s="12"/>
      <c r="O786" s="12"/>
      <c r="P786" s="12"/>
      <c r="Q786" s="12"/>
      <c r="R786" s="12"/>
      <c r="S786" s="12"/>
      <c r="T786" s="12"/>
      <c r="U786" s="18"/>
      <c r="V786" s="12"/>
      <c r="W786" s="12"/>
      <c r="X786" s="12"/>
      <c r="Y786" s="12"/>
      <c r="Z786" s="12"/>
    </row>
    <row r="787" spans="1:26" ht="15" customHeight="1" x14ac:dyDescent="0.3">
      <c r="A787" s="27"/>
      <c r="B787" s="12"/>
      <c r="C787" s="12"/>
      <c r="D787" s="12"/>
      <c r="E787" s="12"/>
      <c r="F787" s="12"/>
      <c r="G787" s="12"/>
      <c r="H787" s="12"/>
      <c r="I787" s="12"/>
      <c r="J787" s="12"/>
      <c r="K787" s="12"/>
      <c r="L787" s="12"/>
      <c r="M787" s="12"/>
      <c r="N787" s="12"/>
      <c r="O787" s="12"/>
      <c r="P787" s="12"/>
      <c r="Q787" s="12"/>
      <c r="R787" s="12"/>
      <c r="S787" s="12"/>
      <c r="T787" s="12"/>
      <c r="U787" s="18"/>
      <c r="V787" s="12"/>
      <c r="W787" s="12"/>
      <c r="X787" s="12"/>
      <c r="Y787" s="12"/>
      <c r="Z787" s="12"/>
    </row>
    <row r="788" spans="1:26" ht="15" customHeight="1" x14ac:dyDescent="0.3">
      <c r="A788" s="27"/>
      <c r="B788" s="12"/>
      <c r="C788" s="12"/>
      <c r="D788" s="12"/>
      <c r="E788" s="12"/>
      <c r="F788" s="12"/>
      <c r="G788" s="12"/>
      <c r="H788" s="12"/>
      <c r="I788" s="12"/>
      <c r="J788" s="12"/>
      <c r="K788" s="12"/>
      <c r="L788" s="12"/>
      <c r="M788" s="12"/>
      <c r="N788" s="12"/>
      <c r="O788" s="12"/>
      <c r="P788" s="12"/>
      <c r="Q788" s="12"/>
      <c r="R788" s="12"/>
      <c r="S788" s="12"/>
      <c r="T788" s="12"/>
      <c r="U788" s="18"/>
      <c r="V788" s="12"/>
      <c r="W788" s="12"/>
      <c r="X788" s="12"/>
      <c r="Y788" s="12"/>
      <c r="Z788" s="12"/>
    </row>
    <row r="789" spans="1:26" ht="15" customHeight="1" x14ac:dyDescent="0.3">
      <c r="A789" s="27"/>
      <c r="B789" s="12"/>
      <c r="C789" s="12"/>
      <c r="D789" s="12"/>
      <c r="E789" s="12"/>
      <c r="F789" s="12"/>
      <c r="G789" s="12"/>
      <c r="H789" s="12"/>
      <c r="I789" s="12"/>
      <c r="J789" s="12"/>
      <c r="K789" s="12"/>
      <c r="L789" s="12"/>
      <c r="M789" s="12"/>
      <c r="N789" s="12"/>
      <c r="O789" s="12"/>
      <c r="P789" s="12"/>
      <c r="Q789" s="12"/>
      <c r="R789" s="12"/>
      <c r="S789" s="12"/>
      <c r="T789" s="12"/>
      <c r="U789" s="18"/>
      <c r="V789" s="12"/>
      <c r="W789" s="12"/>
      <c r="X789" s="12"/>
      <c r="Y789" s="12"/>
      <c r="Z789" s="12"/>
    </row>
    <row r="790" spans="1:26" ht="15" customHeight="1" x14ac:dyDescent="0.3">
      <c r="A790" s="27"/>
      <c r="B790" s="12"/>
      <c r="C790" s="12"/>
      <c r="D790" s="12"/>
      <c r="E790" s="12"/>
      <c r="F790" s="12"/>
      <c r="G790" s="12"/>
      <c r="H790" s="12"/>
      <c r="I790" s="12"/>
      <c r="J790" s="12"/>
      <c r="K790" s="12"/>
      <c r="L790" s="12"/>
      <c r="M790" s="12"/>
      <c r="N790" s="12"/>
      <c r="O790" s="12"/>
      <c r="P790" s="12"/>
      <c r="Q790" s="12"/>
      <c r="R790" s="12"/>
      <c r="S790" s="12"/>
      <c r="T790" s="12"/>
      <c r="U790" s="18"/>
      <c r="V790" s="12"/>
      <c r="W790" s="12"/>
      <c r="X790" s="12"/>
      <c r="Y790" s="12"/>
      <c r="Z790" s="12"/>
    </row>
    <row r="791" spans="1:26" ht="15" customHeight="1" x14ac:dyDescent="0.3">
      <c r="A791" s="27"/>
      <c r="B791" s="12"/>
      <c r="C791" s="12"/>
      <c r="D791" s="12"/>
      <c r="E791" s="12"/>
      <c r="F791" s="12"/>
      <c r="G791" s="12"/>
      <c r="H791" s="12"/>
      <c r="I791" s="12"/>
      <c r="J791" s="12"/>
      <c r="K791" s="12"/>
      <c r="L791" s="12"/>
      <c r="M791" s="12"/>
      <c r="N791" s="12"/>
      <c r="O791" s="12"/>
      <c r="P791" s="12"/>
      <c r="Q791" s="12"/>
      <c r="R791" s="12"/>
      <c r="S791" s="12"/>
      <c r="T791" s="12"/>
      <c r="U791" s="18"/>
      <c r="V791" s="12"/>
      <c r="W791" s="12"/>
      <c r="X791" s="12"/>
      <c r="Y791" s="12"/>
      <c r="Z791" s="12"/>
    </row>
    <row r="792" spans="1:26" ht="15" customHeight="1" x14ac:dyDescent="0.3">
      <c r="A792" s="27"/>
      <c r="B792" s="12"/>
      <c r="C792" s="12"/>
      <c r="D792" s="12"/>
      <c r="E792" s="12"/>
      <c r="F792" s="12"/>
      <c r="G792" s="12"/>
      <c r="H792" s="12"/>
      <c r="I792" s="12"/>
      <c r="J792" s="12"/>
      <c r="K792" s="12"/>
      <c r="L792" s="12"/>
      <c r="M792" s="12"/>
      <c r="N792" s="12"/>
      <c r="O792" s="12"/>
      <c r="P792" s="12"/>
      <c r="Q792" s="12"/>
      <c r="R792" s="12"/>
      <c r="S792" s="12"/>
      <c r="T792" s="12"/>
      <c r="U792" s="18"/>
      <c r="V792" s="12"/>
      <c r="W792" s="12"/>
      <c r="X792" s="12"/>
      <c r="Y792" s="12"/>
      <c r="Z792" s="12"/>
    </row>
    <row r="793" spans="1:26" ht="15" customHeight="1" x14ac:dyDescent="0.3">
      <c r="A793" s="27"/>
      <c r="B793" s="12"/>
      <c r="C793" s="12"/>
      <c r="D793" s="12"/>
      <c r="E793" s="12"/>
      <c r="F793" s="12"/>
      <c r="G793" s="12"/>
      <c r="H793" s="12"/>
      <c r="I793" s="12"/>
      <c r="J793" s="12"/>
      <c r="K793" s="12"/>
      <c r="L793" s="12"/>
      <c r="M793" s="12"/>
      <c r="N793" s="12"/>
      <c r="O793" s="12"/>
      <c r="P793" s="12"/>
      <c r="Q793" s="12"/>
      <c r="R793" s="12"/>
      <c r="S793" s="12"/>
      <c r="T793" s="12"/>
      <c r="U793" s="18"/>
      <c r="V793" s="12"/>
      <c r="W793" s="12"/>
      <c r="X793" s="12"/>
      <c r="Y793" s="12"/>
      <c r="Z793" s="12"/>
    </row>
    <row r="794" spans="1:26" ht="15" customHeight="1" x14ac:dyDescent="0.3">
      <c r="A794" s="27"/>
      <c r="B794" s="12"/>
      <c r="C794" s="12"/>
      <c r="D794" s="12"/>
      <c r="E794" s="12"/>
      <c r="F794" s="12"/>
      <c r="G794" s="12"/>
      <c r="H794" s="12"/>
      <c r="I794" s="12"/>
      <c r="J794" s="12"/>
      <c r="K794" s="12"/>
      <c r="L794" s="12"/>
      <c r="M794" s="12"/>
      <c r="N794" s="12"/>
      <c r="O794" s="12"/>
      <c r="P794" s="12"/>
      <c r="Q794" s="12"/>
      <c r="R794" s="12"/>
      <c r="S794" s="12"/>
      <c r="T794" s="12"/>
      <c r="U794" s="18"/>
      <c r="V794" s="12"/>
      <c r="W794" s="12"/>
      <c r="X794" s="12"/>
      <c r="Y794" s="12"/>
      <c r="Z794" s="12"/>
    </row>
    <row r="795" spans="1:26" ht="15" customHeight="1" x14ac:dyDescent="0.3">
      <c r="A795" s="27"/>
      <c r="B795" s="12"/>
      <c r="C795" s="12"/>
      <c r="D795" s="12"/>
      <c r="E795" s="12"/>
      <c r="F795" s="12"/>
      <c r="G795" s="12"/>
      <c r="H795" s="12"/>
      <c r="I795" s="12"/>
      <c r="J795" s="12"/>
      <c r="K795" s="12"/>
      <c r="L795" s="12"/>
      <c r="M795" s="12"/>
      <c r="N795" s="12"/>
      <c r="O795" s="12"/>
      <c r="P795" s="12"/>
      <c r="Q795" s="12"/>
      <c r="R795" s="12"/>
      <c r="S795" s="12"/>
      <c r="T795" s="12"/>
      <c r="U795" s="18"/>
      <c r="V795" s="12"/>
      <c r="W795" s="12"/>
      <c r="X795" s="12"/>
      <c r="Y795" s="12"/>
      <c r="Z795" s="12"/>
    </row>
    <row r="796" spans="1:26" ht="15" customHeight="1" x14ac:dyDescent="0.3">
      <c r="A796" s="27"/>
      <c r="B796" s="12"/>
      <c r="C796" s="12"/>
      <c r="D796" s="12"/>
      <c r="E796" s="12"/>
      <c r="F796" s="12"/>
      <c r="G796" s="12"/>
      <c r="H796" s="12"/>
      <c r="I796" s="12"/>
      <c r="J796" s="12"/>
      <c r="K796" s="12"/>
      <c r="L796" s="12"/>
      <c r="M796" s="12"/>
      <c r="N796" s="12"/>
      <c r="O796" s="12"/>
      <c r="P796" s="12"/>
      <c r="Q796" s="12"/>
      <c r="R796" s="12"/>
      <c r="S796" s="12"/>
      <c r="T796" s="12"/>
      <c r="U796" s="18"/>
      <c r="V796" s="12"/>
      <c r="W796" s="12"/>
      <c r="X796" s="12"/>
      <c r="Y796" s="12"/>
      <c r="Z796" s="12"/>
    </row>
    <row r="797" spans="1:26" ht="15" customHeight="1" x14ac:dyDescent="0.3">
      <c r="A797" s="27"/>
      <c r="B797" s="12"/>
      <c r="C797" s="12"/>
      <c r="D797" s="12"/>
      <c r="E797" s="12"/>
      <c r="F797" s="12"/>
      <c r="G797" s="12"/>
      <c r="H797" s="12"/>
      <c r="I797" s="12"/>
      <c r="J797" s="12"/>
      <c r="K797" s="12"/>
      <c r="L797" s="12"/>
      <c r="M797" s="12"/>
      <c r="N797" s="12"/>
      <c r="O797" s="12"/>
      <c r="P797" s="12"/>
      <c r="Q797" s="12"/>
      <c r="R797" s="12"/>
      <c r="S797" s="12"/>
      <c r="T797" s="12"/>
      <c r="U797" s="18"/>
      <c r="V797" s="12"/>
      <c r="W797" s="12"/>
      <c r="X797" s="12"/>
      <c r="Y797" s="12"/>
      <c r="Z797" s="12"/>
    </row>
    <row r="798" spans="1:26" ht="15" customHeight="1" x14ac:dyDescent="0.3">
      <c r="A798" s="27"/>
      <c r="B798" s="12"/>
      <c r="C798" s="12"/>
      <c r="D798" s="12"/>
      <c r="E798" s="12"/>
      <c r="F798" s="12"/>
      <c r="G798" s="12"/>
      <c r="H798" s="12"/>
      <c r="I798" s="12"/>
      <c r="J798" s="12"/>
      <c r="K798" s="12"/>
      <c r="L798" s="12"/>
      <c r="M798" s="12"/>
      <c r="N798" s="12"/>
      <c r="O798" s="12"/>
      <c r="P798" s="12"/>
      <c r="Q798" s="12"/>
      <c r="R798" s="12"/>
      <c r="S798" s="12"/>
      <c r="T798" s="12"/>
      <c r="U798" s="18"/>
      <c r="V798" s="12"/>
      <c r="W798" s="12"/>
      <c r="X798" s="12"/>
      <c r="Y798" s="12"/>
      <c r="Z798" s="12"/>
    </row>
    <row r="799" spans="1:26" ht="15" customHeight="1" x14ac:dyDescent="0.3">
      <c r="A799" s="27"/>
      <c r="B799" s="12"/>
      <c r="C799" s="12"/>
      <c r="D799" s="12"/>
      <c r="E799" s="12"/>
      <c r="F799" s="12"/>
      <c r="G799" s="12"/>
      <c r="H799" s="12"/>
      <c r="I799" s="12"/>
      <c r="J799" s="12"/>
      <c r="K799" s="12"/>
      <c r="L799" s="12"/>
      <c r="M799" s="12"/>
      <c r="N799" s="12"/>
      <c r="O799" s="12"/>
      <c r="P799" s="12"/>
      <c r="Q799" s="12"/>
      <c r="R799" s="12"/>
      <c r="S799" s="12"/>
      <c r="T799" s="12"/>
      <c r="U799" s="18"/>
      <c r="V799" s="12"/>
      <c r="W799" s="12"/>
      <c r="X799" s="12"/>
      <c r="Y799" s="12"/>
      <c r="Z799" s="12"/>
    </row>
    <row r="800" spans="1:26" ht="15" customHeight="1" x14ac:dyDescent="0.3">
      <c r="A800" s="27"/>
      <c r="B800" s="12"/>
      <c r="C800" s="12"/>
      <c r="D800" s="12"/>
      <c r="E800" s="12"/>
      <c r="F800" s="12"/>
      <c r="G800" s="12"/>
      <c r="H800" s="12"/>
      <c r="I800" s="12"/>
      <c r="J800" s="12"/>
      <c r="K800" s="12"/>
      <c r="L800" s="12"/>
      <c r="M800" s="12"/>
      <c r="N800" s="12"/>
      <c r="O800" s="12"/>
      <c r="P800" s="12"/>
      <c r="Q800" s="12"/>
      <c r="R800" s="12"/>
      <c r="S800" s="12"/>
      <c r="T800" s="12"/>
      <c r="U800" s="18"/>
      <c r="V800" s="12"/>
      <c r="W800" s="12"/>
      <c r="X800" s="12"/>
      <c r="Y800" s="12"/>
      <c r="Z800" s="12"/>
    </row>
    <row r="801" spans="1:26" ht="15" customHeight="1" x14ac:dyDescent="0.3">
      <c r="A801" s="27"/>
      <c r="B801" s="12"/>
      <c r="C801" s="12"/>
      <c r="D801" s="12"/>
      <c r="E801" s="12"/>
      <c r="F801" s="12"/>
      <c r="G801" s="12"/>
      <c r="H801" s="12"/>
      <c r="I801" s="12"/>
      <c r="J801" s="12"/>
      <c r="K801" s="12"/>
      <c r="L801" s="12"/>
      <c r="M801" s="12"/>
      <c r="N801" s="12"/>
      <c r="O801" s="12"/>
      <c r="P801" s="12"/>
      <c r="Q801" s="12"/>
      <c r="R801" s="12"/>
      <c r="S801" s="12"/>
      <c r="T801" s="12"/>
      <c r="U801" s="18"/>
      <c r="V801" s="12"/>
      <c r="W801" s="12"/>
      <c r="X801" s="12"/>
      <c r="Y801" s="12"/>
      <c r="Z801" s="12"/>
    </row>
    <row r="802" spans="1:26" ht="15" customHeight="1" x14ac:dyDescent="0.3">
      <c r="A802" s="27"/>
      <c r="B802" s="12"/>
      <c r="C802" s="12"/>
      <c r="D802" s="12"/>
      <c r="E802" s="12"/>
      <c r="F802" s="12"/>
      <c r="G802" s="12"/>
      <c r="H802" s="12"/>
      <c r="I802" s="12"/>
      <c r="J802" s="12"/>
      <c r="K802" s="12"/>
      <c r="L802" s="12"/>
      <c r="M802" s="12"/>
      <c r="N802" s="12"/>
      <c r="O802" s="12"/>
      <c r="P802" s="12"/>
      <c r="Q802" s="12"/>
      <c r="R802" s="12"/>
      <c r="S802" s="12"/>
      <c r="T802" s="12"/>
      <c r="U802" s="18"/>
      <c r="V802" s="12"/>
      <c r="W802" s="12"/>
      <c r="X802" s="12"/>
      <c r="Y802" s="12"/>
      <c r="Z802" s="12"/>
    </row>
    <row r="803" spans="1:26" ht="15" customHeight="1" x14ac:dyDescent="0.3">
      <c r="A803" s="27"/>
      <c r="B803" s="12"/>
      <c r="C803" s="12"/>
      <c r="D803" s="12"/>
      <c r="E803" s="12"/>
      <c r="F803" s="12"/>
      <c r="G803" s="12"/>
      <c r="H803" s="12"/>
      <c r="I803" s="12"/>
      <c r="J803" s="12"/>
      <c r="K803" s="12"/>
      <c r="L803" s="12"/>
      <c r="M803" s="12"/>
      <c r="N803" s="12"/>
      <c r="O803" s="12"/>
      <c r="P803" s="12"/>
      <c r="Q803" s="12"/>
      <c r="R803" s="12"/>
      <c r="S803" s="12"/>
      <c r="T803" s="12"/>
      <c r="U803" s="18"/>
      <c r="V803" s="12"/>
      <c r="W803" s="12"/>
      <c r="X803" s="12"/>
      <c r="Y803" s="12"/>
      <c r="Z803" s="12"/>
    </row>
    <row r="804" spans="1:26" ht="15" customHeight="1" x14ac:dyDescent="0.3">
      <c r="A804" s="27"/>
      <c r="B804" s="12"/>
      <c r="C804" s="12"/>
      <c r="D804" s="12"/>
      <c r="E804" s="12"/>
      <c r="F804" s="12"/>
      <c r="G804" s="12"/>
      <c r="H804" s="12"/>
      <c r="I804" s="12"/>
      <c r="J804" s="12"/>
      <c r="K804" s="12"/>
      <c r="L804" s="12"/>
      <c r="M804" s="12"/>
      <c r="N804" s="12"/>
      <c r="O804" s="12"/>
      <c r="P804" s="12"/>
      <c r="Q804" s="12"/>
      <c r="R804" s="12"/>
      <c r="S804" s="12"/>
      <c r="T804" s="12"/>
      <c r="U804" s="18"/>
      <c r="V804" s="12"/>
      <c r="W804" s="12"/>
      <c r="X804" s="12"/>
      <c r="Y804" s="12"/>
      <c r="Z804" s="12"/>
    </row>
    <row r="805" spans="1:26" ht="15" customHeight="1" x14ac:dyDescent="0.3">
      <c r="A805" s="27"/>
      <c r="B805" s="12"/>
      <c r="C805" s="12"/>
      <c r="D805" s="12"/>
      <c r="E805" s="12"/>
      <c r="F805" s="12"/>
      <c r="G805" s="12"/>
      <c r="H805" s="12"/>
      <c r="I805" s="12"/>
      <c r="J805" s="12"/>
      <c r="K805" s="12"/>
      <c r="L805" s="12"/>
      <c r="M805" s="12"/>
      <c r="N805" s="12"/>
      <c r="O805" s="12"/>
      <c r="P805" s="12"/>
      <c r="Q805" s="12"/>
      <c r="R805" s="12"/>
      <c r="S805" s="12"/>
      <c r="T805" s="12"/>
      <c r="U805" s="18"/>
      <c r="V805" s="12"/>
      <c r="W805" s="12"/>
      <c r="X805" s="12"/>
      <c r="Y805" s="12"/>
      <c r="Z805" s="12"/>
    </row>
    <row r="806" spans="1:26" ht="15" customHeight="1" x14ac:dyDescent="0.3">
      <c r="A806" s="27"/>
      <c r="B806" s="12"/>
      <c r="C806" s="12"/>
      <c r="D806" s="12"/>
      <c r="E806" s="12"/>
      <c r="F806" s="12"/>
      <c r="G806" s="12"/>
      <c r="H806" s="12"/>
      <c r="I806" s="12"/>
      <c r="J806" s="12"/>
      <c r="K806" s="12"/>
      <c r="L806" s="12"/>
      <c r="M806" s="12"/>
      <c r="N806" s="12"/>
      <c r="O806" s="12"/>
      <c r="P806" s="12"/>
      <c r="Q806" s="12"/>
      <c r="R806" s="12"/>
      <c r="S806" s="12"/>
      <c r="T806" s="12"/>
      <c r="U806" s="18"/>
      <c r="V806" s="12"/>
      <c r="W806" s="12"/>
      <c r="X806" s="12"/>
      <c r="Y806" s="12"/>
      <c r="Z806" s="12"/>
    </row>
    <row r="807" spans="1:26" ht="15" customHeight="1" x14ac:dyDescent="0.3">
      <c r="A807" s="27"/>
      <c r="B807" s="12"/>
      <c r="C807" s="12"/>
      <c r="D807" s="12"/>
      <c r="E807" s="12"/>
      <c r="F807" s="12"/>
      <c r="G807" s="12"/>
      <c r="H807" s="12"/>
      <c r="I807" s="12"/>
      <c r="J807" s="12"/>
      <c r="K807" s="12"/>
      <c r="L807" s="12"/>
      <c r="M807" s="12"/>
      <c r="N807" s="12"/>
      <c r="O807" s="12"/>
      <c r="P807" s="12"/>
      <c r="Q807" s="12"/>
      <c r="R807" s="12"/>
      <c r="S807" s="12"/>
      <c r="T807" s="12"/>
      <c r="U807" s="18"/>
      <c r="V807" s="12"/>
      <c r="W807" s="12"/>
      <c r="X807" s="12"/>
      <c r="Y807" s="12"/>
      <c r="Z807" s="12"/>
    </row>
    <row r="808" spans="1:26" ht="15" customHeight="1" x14ac:dyDescent="0.3">
      <c r="A808" s="27"/>
      <c r="B808" s="12"/>
      <c r="C808" s="12"/>
      <c r="D808" s="12"/>
      <c r="E808" s="12"/>
      <c r="F808" s="12"/>
      <c r="G808" s="12"/>
      <c r="H808" s="12"/>
      <c r="I808" s="12"/>
      <c r="J808" s="12"/>
      <c r="K808" s="12"/>
      <c r="L808" s="12"/>
      <c r="M808" s="12"/>
      <c r="N808" s="12"/>
      <c r="O808" s="12"/>
      <c r="P808" s="12"/>
      <c r="Q808" s="12"/>
      <c r="R808" s="12"/>
      <c r="S808" s="12"/>
      <c r="T808" s="12"/>
      <c r="U808" s="18"/>
      <c r="V808" s="12"/>
      <c r="W808" s="12"/>
      <c r="X808" s="12"/>
      <c r="Y808" s="12"/>
      <c r="Z808" s="12"/>
    </row>
    <row r="809" spans="1:26" ht="15" customHeight="1" x14ac:dyDescent="0.3">
      <c r="A809" s="27"/>
      <c r="B809" s="12"/>
      <c r="C809" s="12"/>
      <c r="D809" s="12"/>
      <c r="E809" s="12"/>
      <c r="F809" s="12"/>
      <c r="G809" s="12"/>
      <c r="H809" s="12"/>
      <c r="I809" s="12"/>
      <c r="J809" s="12"/>
      <c r="K809" s="12"/>
      <c r="L809" s="12"/>
      <c r="M809" s="12"/>
      <c r="N809" s="12"/>
      <c r="O809" s="12"/>
      <c r="P809" s="12"/>
      <c r="Q809" s="12"/>
      <c r="R809" s="12"/>
      <c r="S809" s="12"/>
      <c r="T809" s="12"/>
      <c r="U809" s="18"/>
      <c r="V809" s="12"/>
      <c r="W809" s="12"/>
      <c r="X809" s="12"/>
      <c r="Y809" s="12"/>
      <c r="Z809" s="12"/>
    </row>
    <row r="810" spans="1:26" ht="15" customHeight="1" x14ac:dyDescent="0.3">
      <c r="A810" s="27"/>
      <c r="B810" s="12"/>
      <c r="C810" s="12"/>
      <c r="D810" s="12"/>
      <c r="E810" s="12"/>
      <c r="F810" s="12"/>
      <c r="G810" s="12"/>
      <c r="H810" s="12"/>
      <c r="I810" s="12"/>
      <c r="J810" s="12"/>
      <c r="K810" s="12"/>
      <c r="L810" s="12"/>
      <c r="M810" s="12"/>
      <c r="N810" s="12"/>
      <c r="O810" s="12"/>
      <c r="P810" s="12"/>
      <c r="Q810" s="12"/>
      <c r="R810" s="12"/>
      <c r="S810" s="12"/>
      <c r="T810" s="12"/>
      <c r="U810" s="18"/>
      <c r="V810" s="12"/>
      <c r="W810" s="12"/>
      <c r="X810" s="12"/>
      <c r="Y810" s="12"/>
      <c r="Z810" s="12"/>
    </row>
    <row r="811" spans="1:26" ht="15" customHeight="1" x14ac:dyDescent="0.3">
      <c r="A811" s="27"/>
      <c r="B811" s="12"/>
      <c r="C811" s="12"/>
      <c r="D811" s="12"/>
      <c r="E811" s="12"/>
      <c r="F811" s="12"/>
      <c r="G811" s="12"/>
      <c r="H811" s="12"/>
      <c r="I811" s="12"/>
      <c r="J811" s="12"/>
      <c r="K811" s="12"/>
      <c r="L811" s="12"/>
      <c r="M811" s="12"/>
      <c r="N811" s="12"/>
      <c r="O811" s="12"/>
      <c r="P811" s="12"/>
      <c r="Q811" s="12"/>
      <c r="R811" s="12"/>
      <c r="S811" s="12"/>
      <c r="T811" s="12"/>
      <c r="U811" s="18"/>
      <c r="V811" s="12"/>
      <c r="W811" s="12"/>
      <c r="X811" s="12"/>
      <c r="Y811" s="12"/>
      <c r="Z811" s="12"/>
    </row>
    <row r="812" spans="1:26" ht="15" customHeight="1" x14ac:dyDescent="0.3">
      <c r="A812" s="27"/>
      <c r="B812" s="12"/>
      <c r="C812" s="12"/>
      <c r="D812" s="12"/>
      <c r="E812" s="12"/>
      <c r="F812" s="12"/>
      <c r="G812" s="12"/>
      <c r="H812" s="12"/>
      <c r="I812" s="12"/>
      <c r="J812" s="12"/>
      <c r="K812" s="12"/>
      <c r="L812" s="12"/>
      <c r="M812" s="12"/>
      <c r="N812" s="12"/>
      <c r="O812" s="12"/>
      <c r="P812" s="12"/>
      <c r="Q812" s="12"/>
      <c r="R812" s="12"/>
      <c r="S812" s="12"/>
      <c r="T812" s="12"/>
      <c r="U812" s="18"/>
      <c r="V812" s="12"/>
      <c r="W812" s="12"/>
      <c r="X812" s="12"/>
      <c r="Y812" s="12"/>
      <c r="Z812" s="12"/>
    </row>
    <row r="813" spans="1:26" ht="15" customHeight="1" x14ac:dyDescent="0.3">
      <c r="A813" s="27"/>
      <c r="B813" s="12"/>
      <c r="C813" s="12"/>
      <c r="D813" s="12"/>
      <c r="E813" s="12"/>
      <c r="F813" s="12"/>
      <c r="G813" s="12"/>
      <c r="H813" s="12"/>
      <c r="I813" s="12"/>
      <c r="J813" s="12"/>
      <c r="K813" s="12"/>
      <c r="L813" s="12"/>
      <c r="M813" s="12"/>
      <c r="N813" s="12"/>
      <c r="O813" s="12"/>
      <c r="P813" s="12"/>
      <c r="Q813" s="12"/>
      <c r="R813" s="12"/>
      <c r="S813" s="12"/>
      <c r="T813" s="12"/>
      <c r="U813" s="18"/>
      <c r="V813" s="12"/>
      <c r="W813" s="12"/>
      <c r="X813" s="12"/>
      <c r="Y813" s="12"/>
      <c r="Z813" s="12"/>
    </row>
    <row r="814" spans="1:26" ht="15" customHeight="1" x14ac:dyDescent="0.3">
      <c r="A814" s="27"/>
      <c r="B814" s="12"/>
      <c r="C814" s="12"/>
      <c r="D814" s="12"/>
      <c r="E814" s="12"/>
      <c r="F814" s="12"/>
      <c r="G814" s="12"/>
      <c r="H814" s="12"/>
      <c r="I814" s="12"/>
      <c r="J814" s="12"/>
      <c r="K814" s="12"/>
      <c r="L814" s="12"/>
      <c r="M814" s="12"/>
      <c r="N814" s="12"/>
      <c r="O814" s="12"/>
      <c r="P814" s="12"/>
      <c r="Q814" s="12"/>
      <c r="R814" s="12"/>
      <c r="S814" s="12"/>
      <c r="T814" s="12"/>
      <c r="U814" s="18"/>
      <c r="V814" s="12"/>
      <c r="W814" s="12"/>
      <c r="X814" s="12"/>
      <c r="Y814" s="12"/>
      <c r="Z814" s="12"/>
    </row>
    <row r="815" spans="1:26" ht="15" customHeight="1" x14ac:dyDescent="0.3">
      <c r="A815" s="27"/>
      <c r="B815" s="12"/>
      <c r="C815" s="12"/>
      <c r="D815" s="12"/>
      <c r="E815" s="12"/>
      <c r="F815" s="12"/>
      <c r="G815" s="12"/>
      <c r="H815" s="12"/>
      <c r="I815" s="12"/>
      <c r="J815" s="12"/>
      <c r="K815" s="12"/>
      <c r="L815" s="12"/>
      <c r="M815" s="12"/>
      <c r="N815" s="12"/>
      <c r="O815" s="12"/>
      <c r="P815" s="12"/>
      <c r="Q815" s="12"/>
      <c r="R815" s="12"/>
      <c r="S815" s="12"/>
      <c r="T815" s="12"/>
      <c r="U815" s="18"/>
      <c r="V815" s="12"/>
      <c r="W815" s="12"/>
      <c r="X815" s="12"/>
      <c r="Y815" s="12"/>
      <c r="Z815" s="12"/>
    </row>
    <row r="816" spans="1:26" ht="15" customHeight="1" x14ac:dyDescent="0.3">
      <c r="A816" s="27"/>
      <c r="B816" s="12"/>
      <c r="C816" s="12"/>
      <c r="D816" s="12"/>
      <c r="E816" s="12"/>
      <c r="F816" s="12"/>
      <c r="G816" s="12"/>
      <c r="H816" s="12"/>
      <c r="I816" s="12"/>
      <c r="J816" s="12"/>
      <c r="K816" s="12"/>
      <c r="L816" s="12"/>
      <c r="M816" s="12"/>
      <c r="N816" s="12"/>
      <c r="O816" s="12"/>
      <c r="P816" s="12"/>
      <c r="Q816" s="12"/>
      <c r="R816" s="12"/>
      <c r="S816" s="12"/>
      <c r="T816" s="12"/>
      <c r="U816" s="18"/>
      <c r="V816" s="12"/>
      <c r="W816" s="12"/>
      <c r="X816" s="12"/>
      <c r="Y816" s="12"/>
      <c r="Z816" s="12"/>
    </row>
    <row r="817" spans="1:26" ht="15" customHeight="1" x14ac:dyDescent="0.3">
      <c r="A817" s="27"/>
      <c r="B817" s="12"/>
      <c r="C817" s="12"/>
      <c r="D817" s="12"/>
      <c r="E817" s="12"/>
      <c r="F817" s="12"/>
      <c r="G817" s="12"/>
      <c r="H817" s="12"/>
      <c r="I817" s="12"/>
      <c r="J817" s="12"/>
      <c r="K817" s="12"/>
      <c r="L817" s="12"/>
      <c r="M817" s="12"/>
      <c r="N817" s="12"/>
      <c r="O817" s="12"/>
      <c r="P817" s="12"/>
      <c r="Q817" s="12"/>
      <c r="R817" s="12"/>
      <c r="S817" s="12"/>
      <c r="T817" s="12"/>
      <c r="U817" s="18"/>
      <c r="V817" s="12"/>
      <c r="W817" s="12"/>
      <c r="X817" s="12"/>
      <c r="Y817" s="12"/>
      <c r="Z817" s="12"/>
    </row>
    <row r="818" spans="1:26" ht="15" customHeight="1" x14ac:dyDescent="0.3">
      <c r="A818" s="27"/>
      <c r="B818" s="12"/>
      <c r="C818" s="12"/>
      <c r="D818" s="12"/>
      <c r="E818" s="12"/>
      <c r="F818" s="12"/>
      <c r="G818" s="12"/>
      <c r="H818" s="12"/>
      <c r="I818" s="12"/>
      <c r="J818" s="12"/>
      <c r="K818" s="12"/>
      <c r="L818" s="12"/>
      <c r="M818" s="12"/>
      <c r="N818" s="12"/>
      <c r="O818" s="12"/>
      <c r="P818" s="12"/>
      <c r="Q818" s="12"/>
      <c r="R818" s="12"/>
      <c r="S818" s="12"/>
      <c r="T818" s="12"/>
      <c r="U818" s="18"/>
      <c r="V818" s="12"/>
      <c r="W818" s="12"/>
      <c r="X818" s="12"/>
      <c r="Y818" s="12"/>
      <c r="Z818" s="12"/>
    </row>
    <row r="819" spans="1:26" ht="15" customHeight="1" x14ac:dyDescent="0.3">
      <c r="A819" s="27"/>
      <c r="B819" s="12"/>
      <c r="C819" s="12"/>
      <c r="D819" s="12"/>
      <c r="E819" s="12"/>
      <c r="F819" s="12"/>
      <c r="G819" s="12"/>
      <c r="H819" s="12"/>
      <c r="I819" s="12"/>
      <c r="J819" s="12"/>
      <c r="K819" s="12"/>
      <c r="L819" s="12"/>
      <c r="M819" s="12"/>
      <c r="N819" s="12"/>
      <c r="O819" s="12"/>
      <c r="P819" s="12"/>
      <c r="Q819" s="12"/>
      <c r="R819" s="12"/>
      <c r="S819" s="12"/>
      <c r="T819" s="12"/>
      <c r="U819" s="18"/>
      <c r="V819" s="12"/>
      <c r="W819" s="12"/>
      <c r="X819" s="12"/>
      <c r="Y819" s="12"/>
      <c r="Z819" s="12"/>
    </row>
    <row r="820" spans="1:26" ht="15" customHeight="1" x14ac:dyDescent="0.3">
      <c r="A820" s="27"/>
      <c r="B820" s="12"/>
      <c r="C820" s="12"/>
      <c r="D820" s="12"/>
      <c r="E820" s="12"/>
      <c r="F820" s="12"/>
      <c r="G820" s="12"/>
      <c r="H820" s="12"/>
      <c r="I820" s="12"/>
      <c r="J820" s="12"/>
      <c r="K820" s="12"/>
      <c r="L820" s="12"/>
      <c r="M820" s="12"/>
      <c r="N820" s="12"/>
      <c r="O820" s="12"/>
      <c r="P820" s="12"/>
      <c r="Q820" s="12"/>
      <c r="R820" s="12"/>
      <c r="S820" s="12"/>
      <c r="T820" s="12"/>
      <c r="U820" s="18"/>
      <c r="V820" s="12"/>
      <c r="W820" s="12"/>
      <c r="X820" s="12"/>
      <c r="Y820" s="12"/>
      <c r="Z820" s="12"/>
    </row>
    <row r="821" spans="1:26" ht="15" customHeight="1" x14ac:dyDescent="0.3">
      <c r="A821" s="27"/>
      <c r="B821" s="12"/>
      <c r="C821" s="12"/>
      <c r="D821" s="12"/>
      <c r="E821" s="12"/>
      <c r="F821" s="12"/>
      <c r="G821" s="12"/>
      <c r="H821" s="12"/>
      <c r="I821" s="12"/>
      <c r="J821" s="12"/>
      <c r="K821" s="12"/>
      <c r="L821" s="12"/>
      <c r="M821" s="12"/>
      <c r="N821" s="12"/>
      <c r="O821" s="12"/>
      <c r="P821" s="12"/>
      <c r="Q821" s="12"/>
      <c r="R821" s="12"/>
      <c r="S821" s="12"/>
      <c r="T821" s="12"/>
      <c r="U821" s="18"/>
      <c r="V821" s="12"/>
      <c r="W821" s="12"/>
      <c r="X821" s="12"/>
      <c r="Y821" s="12"/>
      <c r="Z821" s="12"/>
    </row>
    <row r="822" spans="1:26" ht="15" customHeight="1" x14ac:dyDescent="0.3">
      <c r="A822" s="27"/>
      <c r="B822" s="12"/>
      <c r="C822" s="12"/>
      <c r="D822" s="12"/>
      <c r="E822" s="12"/>
      <c r="F822" s="12"/>
      <c r="G822" s="12"/>
      <c r="H822" s="12"/>
      <c r="I822" s="12"/>
      <c r="J822" s="12"/>
      <c r="K822" s="12"/>
      <c r="L822" s="12"/>
      <c r="M822" s="12"/>
      <c r="N822" s="12"/>
      <c r="O822" s="12"/>
      <c r="P822" s="12"/>
      <c r="Q822" s="12"/>
      <c r="R822" s="12"/>
      <c r="S822" s="12"/>
      <c r="T822" s="12"/>
      <c r="U822" s="18"/>
      <c r="V822" s="12"/>
      <c r="W822" s="12"/>
      <c r="X822" s="12"/>
      <c r="Y822" s="12"/>
      <c r="Z822" s="12"/>
    </row>
    <row r="823" spans="1:26" ht="15" customHeight="1" x14ac:dyDescent="0.3">
      <c r="A823" s="27"/>
      <c r="B823" s="12"/>
      <c r="C823" s="12"/>
      <c r="D823" s="12"/>
      <c r="E823" s="12"/>
      <c r="F823" s="12"/>
      <c r="G823" s="12"/>
      <c r="H823" s="12"/>
      <c r="I823" s="12"/>
      <c r="J823" s="12"/>
      <c r="K823" s="12"/>
      <c r="L823" s="12"/>
      <c r="M823" s="12"/>
      <c r="N823" s="12"/>
      <c r="O823" s="12"/>
      <c r="P823" s="12"/>
      <c r="Q823" s="12"/>
      <c r="R823" s="12"/>
      <c r="S823" s="12"/>
      <c r="T823" s="12"/>
      <c r="U823" s="18"/>
      <c r="V823" s="12"/>
      <c r="W823" s="12"/>
      <c r="X823" s="12"/>
      <c r="Y823" s="12"/>
      <c r="Z823" s="12"/>
    </row>
    <row r="824" spans="1:26" ht="15" customHeight="1" x14ac:dyDescent="0.3">
      <c r="A824" s="27"/>
      <c r="B824" s="12"/>
      <c r="C824" s="12"/>
      <c r="D824" s="12"/>
      <c r="E824" s="12"/>
      <c r="F824" s="12"/>
      <c r="G824" s="12"/>
      <c r="H824" s="12"/>
      <c r="I824" s="12"/>
      <c r="J824" s="12"/>
      <c r="K824" s="12"/>
      <c r="L824" s="12"/>
      <c r="M824" s="12"/>
      <c r="N824" s="12"/>
      <c r="O824" s="12"/>
      <c r="P824" s="12"/>
      <c r="Q824" s="12"/>
      <c r="R824" s="12"/>
      <c r="S824" s="12"/>
      <c r="T824" s="12"/>
      <c r="U824" s="18"/>
      <c r="V824" s="12"/>
      <c r="W824" s="12"/>
      <c r="X824" s="12"/>
      <c r="Y824" s="12"/>
      <c r="Z824" s="12"/>
    </row>
    <row r="825" spans="1:26" ht="15" customHeight="1" x14ac:dyDescent="0.3">
      <c r="A825" s="27"/>
      <c r="B825" s="12"/>
      <c r="C825" s="12"/>
      <c r="D825" s="12"/>
      <c r="E825" s="12"/>
      <c r="F825" s="12"/>
      <c r="G825" s="12"/>
      <c r="H825" s="12"/>
      <c r="I825" s="12"/>
      <c r="J825" s="12"/>
      <c r="K825" s="12"/>
      <c r="L825" s="12"/>
      <c r="M825" s="12"/>
      <c r="N825" s="12"/>
      <c r="O825" s="12"/>
      <c r="P825" s="12"/>
      <c r="Q825" s="12"/>
      <c r="R825" s="12"/>
      <c r="S825" s="12"/>
      <c r="T825" s="12"/>
      <c r="U825" s="18"/>
      <c r="V825" s="12"/>
      <c r="W825" s="12"/>
      <c r="X825" s="12"/>
      <c r="Y825" s="12"/>
      <c r="Z825" s="12"/>
    </row>
    <row r="826" spans="1:26" ht="15" customHeight="1" x14ac:dyDescent="0.3">
      <c r="A826" s="27"/>
      <c r="B826" s="12"/>
      <c r="C826" s="12"/>
      <c r="D826" s="12"/>
      <c r="E826" s="12"/>
      <c r="F826" s="12"/>
      <c r="G826" s="12"/>
      <c r="H826" s="12"/>
      <c r="I826" s="12"/>
      <c r="J826" s="12"/>
      <c r="K826" s="12"/>
      <c r="L826" s="12"/>
      <c r="M826" s="12"/>
      <c r="N826" s="12"/>
      <c r="O826" s="12"/>
      <c r="P826" s="12"/>
      <c r="Q826" s="12"/>
      <c r="R826" s="12"/>
      <c r="S826" s="12"/>
      <c r="T826" s="12"/>
      <c r="U826" s="18"/>
      <c r="V826" s="12"/>
      <c r="W826" s="12"/>
      <c r="X826" s="12"/>
      <c r="Y826" s="12"/>
      <c r="Z826" s="12"/>
    </row>
    <row r="827" spans="1:26" ht="15" customHeight="1" x14ac:dyDescent="0.3">
      <c r="A827" s="27"/>
      <c r="B827" s="12"/>
      <c r="C827" s="12"/>
      <c r="D827" s="12"/>
      <c r="E827" s="12"/>
      <c r="F827" s="12"/>
      <c r="G827" s="12"/>
      <c r="H827" s="12"/>
      <c r="I827" s="12"/>
      <c r="J827" s="12"/>
      <c r="K827" s="12"/>
      <c r="L827" s="12"/>
      <c r="M827" s="12"/>
      <c r="N827" s="12"/>
      <c r="O827" s="12"/>
      <c r="P827" s="12"/>
      <c r="Q827" s="12"/>
      <c r="R827" s="12"/>
      <c r="S827" s="12"/>
      <c r="T827" s="12"/>
      <c r="U827" s="18"/>
      <c r="V827" s="12"/>
      <c r="W827" s="12"/>
      <c r="X827" s="12"/>
      <c r="Y827" s="12"/>
      <c r="Z827" s="12"/>
    </row>
    <row r="828" spans="1:26" ht="15" customHeight="1" x14ac:dyDescent="0.3">
      <c r="A828" s="27"/>
      <c r="B828" s="12"/>
      <c r="C828" s="12"/>
      <c r="D828" s="12"/>
      <c r="E828" s="12"/>
      <c r="F828" s="12"/>
      <c r="G828" s="12"/>
      <c r="H828" s="12"/>
      <c r="I828" s="12"/>
      <c r="J828" s="12"/>
      <c r="K828" s="12"/>
      <c r="L828" s="12"/>
      <c r="M828" s="12"/>
      <c r="N828" s="12"/>
      <c r="O828" s="12"/>
      <c r="P828" s="12"/>
      <c r="Q828" s="12"/>
      <c r="R828" s="12"/>
      <c r="S828" s="12"/>
      <c r="T828" s="12"/>
      <c r="U828" s="18"/>
      <c r="V828" s="12"/>
      <c r="W828" s="12"/>
      <c r="X828" s="12"/>
      <c r="Y828" s="12"/>
      <c r="Z828" s="12"/>
    </row>
    <row r="829" spans="1:26" ht="15" customHeight="1" x14ac:dyDescent="0.3">
      <c r="A829" s="27"/>
      <c r="B829" s="12"/>
      <c r="C829" s="12"/>
      <c r="D829" s="12"/>
      <c r="E829" s="12"/>
      <c r="F829" s="12"/>
      <c r="G829" s="12"/>
      <c r="H829" s="12"/>
      <c r="I829" s="12"/>
      <c r="J829" s="12"/>
      <c r="K829" s="12"/>
      <c r="L829" s="12"/>
      <c r="M829" s="12"/>
      <c r="N829" s="12"/>
      <c r="O829" s="12"/>
      <c r="P829" s="12"/>
      <c r="Q829" s="12"/>
      <c r="R829" s="12"/>
      <c r="S829" s="12"/>
      <c r="T829" s="12"/>
      <c r="U829" s="18"/>
      <c r="V829" s="12"/>
      <c r="W829" s="12"/>
      <c r="X829" s="12"/>
      <c r="Y829" s="12"/>
      <c r="Z829" s="12"/>
    </row>
    <row r="830" spans="1:26" ht="15" customHeight="1" x14ac:dyDescent="0.3">
      <c r="A830" s="27"/>
      <c r="B830" s="12"/>
      <c r="C830" s="12"/>
      <c r="D830" s="12"/>
      <c r="E830" s="12"/>
      <c r="F830" s="12"/>
      <c r="G830" s="12"/>
      <c r="H830" s="12"/>
      <c r="I830" s="12"/>
      <c r="J830" s="12"/>
      <c r="K830" s="12"/>
      <c r="L830" s="12"/>
      <c r="M830" s="12"/>
      <c r="N830" s="12"/>
      <c r="O830" s="12"/>
      <c r="P830" s="12"/>
      <c r="Q830" s="12"/>
      <c r="R830" s="12"/>
      <c r="S830" s="12"/>
      <c r="T830" s="12"/>
      <c r="U830" s="18"/>
      <c r="V830" s="12"/>
      <c r="W830" s="12"/>
      <c r="X830" s="12"/>
      <c r="Y830" s="12"/>
      <c r="Z830" s="12"/>
    </row>
    <row r="831" spans="1:26" ht="15" customHeight="1" x14ac:dyDescent="0.3">
      <c r="A831" s="27"/>
      <c r="B831" s="12"/>
      <c r="C831" s="12"/>
      <c r="D831" s="12"/>
      <c r="E831" s="12"/>
      <c r="F831" s="12"/>
      <c r="G831" s="12"/>
      <c r="H831" s="12"/>
      <c r="I831" s="12"/>
      <c r="J831" s="12"/>
      <c r="K831" s="12"/>
      <c r="L831" s="12"/>
      <c r="M831" s="12"/>
      <c r="N831" s="12"/>
      <c r="O831" s="12"/>
      <c r="P831" s="12"/>
      <c r="Q831" s="12"/>
      <c r="R831" s="12"/>
      <c r="S831" s="12"/>
      <c r="T831" s="12"/>
      <c r="U831" s="18"/>
      <c r="V831" s="12"/>
      <c r="W831" s="12"/>
      <c r="X831" s="12"/>
      <c r="Y831" s="12"/>
      <c r="Z831" s="12"/>
    </row>
    <row r="832" spans="1:26" ht="15" customHeight="1" x14ac:dyDescent="0.3">
      <c r="A832" s="27"/>
      <c r="B832" s="12"/>
      <c r="C832" s="12"/>
      <c r="D832" s="12"/>
      <c r="E832" s="12"/>
      <c r="F832" s="12"/>
      <c r="G832" s="12"/>
      <c r="H832" s="12"/>
      <c r="I832" s="12"/>
      <c r="J832" s="12"/>
      <c r="K832" s="12"/>
      <c r="L832" s="12"/>
      <c r="M832" s="12"/>
      <c r="N832" s="12"/>
      <c r="O832" s="12"/>
      <c r="P832" s="12"/>
      <c r="Q832" s="12"/>
      <c r="R832" s="12"/>
      <c r="S832" s="12"/>
      <c r="T832" s="12"/>
      <c r="U832" s="18"/>
      <c r="V832" s="12"/>
      <c r="W832" s="12"/>
      <c r="X832" s="12"/>
      <c r="Y832" s="12"/>
      <c r="Z832" s="12"/>
    </row>
    <row r="833" spans="1:26" ht="15" customHeight="1" x14ac:dyDescent="0.3">
      <c r="A833" s="27"/>
      <c r="B833" s="12"/>
      <c r="C833" s="12"/>
      <c r="D833" s="12"/>
      <c r="E833" s="12"/>
      <c r="F833" s="12"/>
      <c r="G833" s="12"/>
      <c r="H833" s="12"/>
      <c r="I833" s="12"/>
      <c r="J833" s="12"/>
      <c r="K833" s="12"/>
      <c r="L833" s="12"/>
      <c r="M833" s="12"/>
      <c r="N833" s="12"/>
      <c r="O833" s="12"/>
      <c r="P833" s="12"/>
      <c r="Q833" s="12"/>
      <c r="R833" s="12"/>
      <c r="S833" s="12"/>
      <c r="T833" s="12"/>
      <c r="U833" s="18"/>
      <c r="V833" s="12"/>
      <c r="W833" s="12"/>
      <c r="X833" s="12"/>
      <c r="Y833" s="12"/>
      <c r="Z833" s="12"/>
    </row>
    <row r="834" spans="1:26" ht="15" customHeight="1" x14ac:dyDescent="0.3">
      <c r="A834" s="27"/>
      <c r="B834" s="12"/>
      <c r="C834" s="12"/>
      <c r="D834" s="12"/>
      <c r="E834" s="12"/>
      <c r="F834" s="12"/>
      <c r="G834" s="12"/>
      <c r="H834" s="12"/>
      <c r="I834" s="12"/>
      <c r="J834" s="12"/>
      <c r="K834" s="12"/>
      <c r="L834" s="12"/>
      <c r="M834" s="12"/>
      <c r="N834" s="12"/>
      <c r="O834" s="12"/>
      <c r="P834" s="12"/>
      <c r="Q834" s="12"/>
      <c r="R834" s="12"/>
      <c r="S834" s="12"/>
      <c r="T834" s="12"/>
      <c r="U834" s="18"/>
      <c r="V834" s="12"/>
      <c r="W834" s="12"/>
      <c r="X834" s="12"/>
      <c r="Y834" s="12"/>
      <c r="Z834" s="12"/>
    </row>
    <row r="835" spans="1:26" ht="15" customHeight="1" x14ac:dyDescent="0.3">
      <c r="A835" s="27"/>
      <c r="B835" s="12"/>
      <c r="C835" s="12"/>
      <c r="D835" s="12"/>
      <c r="E835" s="12"/>
      <c r="F835" s="12"/>
      <c r="G835" s="12"/>
      <c r="H835" s="12"/>
      <c r="I835" s="12"/>
      <c r="J835" s="12"/>
      <c r="K835" s="12"/>
      <c r="L835" s="12"/>
      <c r="M835" s="12"/>
      <c r="N835" s="12"/>
      <c r="O835" s="12"/>
      <c r="P835" s="12"/>
      <c r="Q835" s="12"/>
      <c r="R835" s="12"/>
      <c r="S835" s="12"/>
      <c r="T835" s="12"/>
      <c r="U835" s="18"/>
      <c r="V835" s="12"/>
      <c r="W835" s="12"/>
      <c r="X835" s="12"/>
      <c r="Y835" s="12"/>
      <c r="Z835" s="12"/>
    </row>
    <row r="836" spans="1:26" ht="15" customHeight="1" x14ac:dyDescent="0.3">
      <c r="A836" s="27"/>
      <c r="B836" s="12"/>
      <c r="C836" s="12"/>
      <c r="D836" s="12"/>
      <c r="E836" s="12"/>
      <c r="F836" s="12"/>
      <c r="G836" s="12"/>
      <c r="H836" s="12"/>
      <c r="I836" s="12"/>
      <c r="J836" s="12"/>
      <c r="K836" s="12"/>
      <c r="L836" s="12"/>
      <c r="M836" s="12"/>
      <c r="N836" s="12"/>
      <c r="O836" s="12"/>
      <c r="P836" s="12"/>
      <c r="Q836" s="12"/>
      <c r="R836" s="12"/>
      <c r="S836" s="12"/>
      <c r="T836" s="12"/>
      <c r="U836" s="18"/>
      <c r="V836" s="12"/>
      <c r="W836" s="12"/>
      <c r="X836" s="12"/>
      <c r="Y836" s="12"/>
      <c r="Z836" s="12"/>
    </row>
    <row r="837" spans="1:26" ht="15" customHeight="1" x14ac:dyDescent="0.3">
      <c r="A837" s="27"/>
      <c r="B837" s="12"/>
      <c r="C837" s="12"/>
      <c r="D837" s="12"/>
      <c r="E837" s="12"/>
      <c r="F837" s="12"/>
      <c r="G837" s="12"/>
      <c r="H837" s="12"/>
      <c r="I837" s="12"/>
      <c r="J837" s="12"/>
      <c r="K837" s="12"/>
      <c r="L837" s="12"/>
      <c r="M837" s="12"/>
      <c r="N837" s="12"/>
      <c r="O837" s="12"/>
      <c r="P837" s="12"/>
      <c r="Q837" s="12"/>
      <c r="R837" s="12"/>
      <c r="S837" s="12"/>
      <c r="T837" s="12"/>
      <c r="U837" s="18"/>
      <c r="V837" s="12"/>
      <c r="W837" s="12"/>
      <c r="X837" s="12"/>
      <c r="Y837" s="12"/>
      <c r="Z837" s="12"/>
    </row>
    <row r="838" spans="1:26" ht="15" customHeight="1" x14ac:dyDescent="0.3">
      <c r="A838" s="27"/>
      <c r="B838" s="12"/>
      <c r="C838" s="12"/>
      <c r="D838" s="12"/>
      <c r="E838" s="12"/>
      <c r="F838" s="12"/>
      <c r="G838" s="12"/>
      <c r="H838" s="12"/>
      <c r="I838" s="12"/>
      <c r="J838" s="12"/>
      <c r="K838" s="12"/>
      <c r="L838" s="12"/>
      <c r="M838" s="12"/>
      <c r="N838" s="12"/>
      <c r="O838" s="12"/>
      <c r="P838" s="12"/>
      <c r="Q838" s="12"/>
      <c r="R838" s="12"/>
      <c r="S838" s="12"/>
      <c r="T838" s="12"/>
      <c r="U838" s="18"/>
      <c r="V838" s="12"/>
      <c r="W838" s="12"/>
      <c r="X838" s="12"/>
      <c r="Y838" s="12"/>
      <c r="Z838" s="12"/>
    </row>
    <row r="839" spans="1:26" ht="15" customHeight="1" x14ac:dyDescent="0.3">
      <c r="A839" s="27"/>
      <c r="B839" s="12"/>
      <c r="C839" s="12"/>
      <c r="D839" s="12"/>
      <c r="E839" s="12"/>
      <c r="F839" s="12"/>
      <c r="G839" s="12"/>
      <c r="H839" s="12"/>
      <c r="I839" s="12"/>
      <c r="J839" s="12"/>
      <c r="K839" s="12"/>
      <c r="L839" s="12"/>
      <c r="M839" s="12"/>
      <c r="N839" s="12"/>
      <c r="O839" s="12"/>
      <c r="P839" s="12"/>
      <c r="Q839" s="12"/>
      <c r="R839" s="12"/>
      <c r="S839" s="12"/>
      <c r="T839" s="12"/>
      <c r="U839" s="18"/>
      <c r="V839" s="12"/>
      <c r="W839" s="12"/>
      <c r="X839" s="12"/>
      <c r="Y839" s="12"/>
      <c r="Z839" s="12"/>
    </row>
    <row r="840" spans="1:26" ht="15" customHeight="1" x14ac:dyDescent="0.3">
      <c r="A840" s="27"/>
      <c r="B840" s="12"/>
      <c r="C840" s="12"/>
      <c r="D840" s="12"/>
      <c r="E840" s="12"/>
      <c r="F840" s="12"/>
      <c r="G840" s="12"/>
      <c r="H840" s="12"/>
      <c r="I840" s="12"/>
      <c r="J840" s="12"/>
      <c r="K840" s="12"/>
      <c r="L840" s="12"/>
      <c r="M840" s="12"/>
      <c r="N840" s="12"/>
      <c r="O840" s="12"/>
      <c r="P840" s="12"/>
      <c r="Q840" s="12"/>
      <c r="R840" s="12"/>
      <c r="S840" s="12"/>
      <c r="T840" s="12"/>
      <c r="U840" s="18"/>
      <c r="V840" s="12"/>
      <c r="W840" s="12"/>
      <c r="X840" s="12"/>
      <c r="Y840" s="12"/>
      <c r="Z840" s="12"/>
    </row>
    <row r="841" spans="1:26" ht="15" customHeight="1" x14ac:dyDescent="0.3">
      <c r="A841" s="27"/>
      <c r="B841" s="12"/>
      <c r="C841" s="12"/>
      <c r="D841" s="12"/>
      <c r="E841" s="12"/>
      <c r="F841" s="12"/>
      <c r="G841" s="12"/>
      <c r="H841" s="12"/>
      <c r="I841" s="12"/>
      <c r="J841" s="12"/>
      <c r="K841" s="12"/>
      <c r="L841" s="12"/>
      <c r="M841" s="12"/>
      <c r="N841" s="12"/>
      <c r="O841" s="12"/>
      <c r="P841" s="12"/>
      <c r="Q841" s="12"/>
      <c r="R841" s="12"/>
      <c r="S841" s="12"/>
      <c r="T841" s="12"/>
      <c r="U841" s="18"/>
      <c r="V841" s="12"/>
      <c r="W841" s="12"/>
      <c r="X841" s="12"/>
      <c r="Y841" s="12"/>
      <c r="Z841" s="12"/>
    </row>
    <row r="842" spans="1:26" ht="15" customHeight="1" x14ac:dyDescent="0.3">
      <c r="A842" s="27"/>
      <c r="B842" s="12"/>
      <c r="C842" s="12"/>
      <c r="D842" s="12"/>
      <c r="E842" s="12"/>
      <c r="F842" s="12"/>
      <c r="G842" s="12"/>
      <c r="H842" s="12"/>
      <c r="I842" s="12"/>
      <c r="J842" s="12"/>
      <c r="K842" s="12"/>
      <c r="L842" s="12"/>
      <c r="M842" s="12"/>
      <c r="N842" s="12"/>
      <c r="O842" s="12"/>
      <c r="P842" s="12"/>
      <c r="Q842" s="12"/>
      <c r="R842" s="12"/>
      <c r="S842" s="12"/>
      <c r="T842" s="12"/>
      <c r="U842" s="18"/>
      <c r="V842" s="12"/>
      <c r="W842" s="12"/>
      <c r="X842" s="12"/>
      <c r="Y842" s="12"/>
      <c r="Z842" s="12"/>
    </row>
    <row r="843" spans="1:26" ht="15" customHeight="1" x14ac:dyDescent="0.3">
      <c r="A843" s="27"/>
      <c r="B843" s="12"/>
      <c r="C843" s="12"/>
      <c r="D843" s="12"/>
      <c r="E843" s="12"/>
      <c r="F843" s="12"/>
      <c r="G843" s="12"/>
      <c r="H843" s="12"/>
      <c r="I843" s="12"/>
      <c r="J843" s="12"/>
      <c r="K843" s="12"/>
      <c r="L843" s="12"/>
      <c r="M843" s="12"/>
      <c r="N843" s="12"/>
      <c r="O843" s="12"/>
      <c r="P843" s="12"/>
      <c r="Q843" s="12"/>
      <c r="R843" s="12"/>
      <c r="S843" s="12"/>
      <c r="T843" s="12"/>
      <c r="U843" s="18"/>
      <c r="V843" s="12"/>
      <c r="W843" s="12"/>
      <c r="X843" s="12"/>
      <c r="Y843" s="12"/>
      <c r="Z843" s="12"/>
    </row>
    <row r="844" spans="1:26" ht="15" customHeight="1" x14ac:dyDescent="0.3">
      <c r="A844" s="27"/>
      <c r="B844" s="12"/>
      <c r="C844" s="12"/>
      <c r="D844" s="12"/>
      <c r="E844" s="12"/>
      <c r="F844" s="12"/>
      <c r="G844" s="12"/>
      <c r="H844" s="12"/>
      <c r="I844" s="12"/>
      <c r="J844" s="12"/>
      <c r="K844" s="12"/>
      <c r="L844" s="12"/>
      <c r="M844" s="12"/>
      <c r="N844" s="12"/>
      <c r="O844" s="12"/>
      <c r="P844" s="12"/>
      <c r="Q844" s="12"/>
      <c r="R844" s="12"/>
      <c r="S844" s="12"/>
      <c r="T844" s="12"/>
      <c r="U844" s="18"/>
      <c r="V844" s="12"/>
      <c r="W844" s="12"/>
      <c r="X844" s="12"/>
      <c r="Y844" s="12"/>
      <c r="Z844" s="12"/>
    </row>
    <row r="845" spans="1:26" ht="15" customHeight="1" x14ac:dyDescent="0.3">
      <c r="A845" s="27"/>
      <c r="B845" s="12"/>
      <c r="C845" s="12"/>
      <c r="D845" s="12"/>
      <c r="E845" s="12"/>
      <c r="F845" s="12"/>
      <c r="G845" s="12"/>
      <c r="H845" s="12"/>
      <c r="I845" s="12"/>
      <c r="J845" s="12"/>
      <c r="K845" s="12"/>
      <c r="L845" s="12"/>
      <c r="M845" s="12"/>
      <c r="N845" s="12"/>
      <c r="O845" s="12"/>
      <c r="P845" s="12"/>
      <c r="Q845" s="12"/>
      <c r="R845" s="12"/>
      <c r="S845" s="12"/>
      <c r="T845" s="12"/>
      <c r="U845" s="18"/>
      <c r="V845" s="12"/>
      <c r="W845" s="12"/>
      <c r="X845" s="12"/>
      <c r="Y845" s="12"/>
      <c r="Z845" s="12"/>
    </row>
    <row r="846" spans="1:26" ht="15" customHeight="1" x14ac:dyDescent="0.3">
      <c r="A846" s="27"/>
      <c r="B846" s="12"/>
      <c r="C846" s="12"/>
      <c r="D846" s="12"/>
      <c r="E846" s="12"/>
      <c r="F846" s="12"/>
      <c r="G846" s="12"/>
      <c r="H846" s="12"/>
      <c r="I846" s="12"/>
      <c r="J846" s="12"/>
      <c r="K846" s="12"/>
      <c r="L846" s="12"/>
      <c r="M846" s="12"/>
      <c r="N846" s="12"/>
      <c r="O846" s="12"/>
      <c r="P846" s="12"/>
      <c r="Q846" s="12"/>
      <c r="R846" s="12"/>
      <c r="S846" s="12"/>
      <c r="T846" s="12"/>
      <c r="U846" s="18"/>
      <c r="V846" s="12"/>
      <c r="W846" s="12"/>
      <c r="X846" s="12"/>
      <c r="Y846" s="12"/>
      <c r="Z846" s="12"/>
    </row>
    <row r="847" spans="1:26" ht="15" customHeight="1" x14ac:dyDescent="0.3">
      <c r="A847" s="27"/>
      <c r="B847" s="12"/>
      <c r="C847" s="12"/>
      <c r="D847" s="12"/>
      <c r="E847" s="12"/>
      <c r="F847" s="12"/>
      <c r="G847" s="12"/>
      <c r="H847" s="12"/>
      <c r="I847" s="12"/>
      <c r="J847" s="12"/>
      <c r="K847" s="12"/>
      <c r="L847" s="12"/>
      <c r="M847" s="12"/>
      <c r="N847" s="12"/>
      <c r="O847" s="12"/>
      <c r="P847" s="12"/>
      <c r="Q847" s="12"/>
      <c r="R847" s="12"/>
      <c r="S847" s="12"/>
      <c r="T847" s="12"/>
      <c r="U847" s="18"/>
      <c r="V847" s="12"/>
      <c r="W847" s="12"/>
      <c r="X847" s="12"/>
      <c r="Y847" s="12"/>
      <c r="Z847" s="12"/>
    </row>
    <row r="848" spans="1:26" ht="15" customHeight="1" x14ac:dyDescent="0.3">
      <c r="A848" s="27"/>
      <c r="B848" s="12"/>
      <c r="C848" s="12"/>
      <c r="D848" s="12"/>
      <c r="E848" s="12"/>
      <c r="F848" s="12"/>
      <c r="G848" s="12"/>
      <c r="H848" s="12"/>
      <c r="I848" s="12"/>
      <c r="J848" s="12"/>
      <c r="K848" s="12"/>
      <c r="L848" s="12"/>
      <c r="M848" s="12"/>
      <c r="N848" s="12"/>
      <c r="O848" s="12"/>
      <c r="P848" s="12"/>
      <c r="Q848" s="12"/>
      <c r="R848" s="12"/>
      <c r="S848" s="12"/>
      <c r="T848" s="12"/>
      <c r="U848" s="18"/>
      <c r="V848" s="12"/>
      <c r="W848" s="12"/>
      <c r="X848" s="12"/>
      <c r="Y848" s="12"/>
      <c r="Z848" s="12"/>
    </row>
    <row r="849" spans="1:26" ht="15" customHeight="1" x14ac:dyDescent="0.3">
      <c r="A849" s="27"/>
      <c r="B849" s="12"/>
      <c r="C849" s="12"/>
      <c r="D849" s="12"/>
      <c r="E849" s="12"/>
      <c r="F849" s="12"/>
      <c r="G849" s="12"/>
      <c r="H849" s="12"/>
      <c r="I849" s="12"/>
      <c r="J849" s="12"/>
      <c r="K849" s="12"/>
      <c r="L849" s="12"/>
      <c r="M849" s="12"/>
      <c r="N849" s="12"/>
      <c r="O849" s="12"/>
      <c r="P849" s="12"/>
      <c r="Q849" s="12"/>
      <c r="R849" s="12"/>
      <c r="S849" s="12"/>
      <c r="T849" s="12"/>
      <c r="U849" s="18"/>
      <c r="V849" s="12"/>
      <c r="W849" s="12"/>
      <c r="X849" s="12"/>
      <c r="Y849" s="12"/>
      <c r="Z849" s="12"/>
    </row>
    <row r="850" spans="1:26" ht="15" customHeight="1" x14ac:dyDescent="0.3">
      <c r="A850" s="27"/>
      <c r="B850" s="12"/>
      <c r="C850" s="12"/>
      <c r="D850" s="12"/>
      <c r="E850" s="12"/>
      <c r="F850" s="12"/>
      <c r="G850" s="12"/>
      <c r="H850" s="12"/>
      <c r="I850" s="12"/>
      <c r="J850" s="12"/>
      <c r="K850" s="12"/>
      <c r="L850" s="12"/>
      <c r="M850" s="12"/>
      <c r="N850" s="12"/>
      <c r="O850" s="12"/>
      <c r="P850" s="12"/>
      <c r="Q850" s="12"/>
      <c r="R850" s="12"/>
      <c r="S850" s="12"/>
      <c r="T850" s="12"/>
      <c r="U850" s="18"/>
      <c r="V850" s="12"/>
      <c r="W850" s="12"/>
      <c r="X850" s="12"/>
      <c r="Y850" s="12"/>
      <c r="Z850" s="12"/>
    </row>
    <row r="851" spans="1:26" ht="15" customHeight="1" x14ac:dyDescent="0.3">
      <c r="A851" s="27"/>
      <c r="B851" s="12"/>
      <c r="C851" s="12"/>
      <c r="D851" s="12"/>
      <c r="E851" s="12"/>
      <c r="F851" s="12"/>
      <c r="G851" s="12"/>
      <c r="H851" s="12"/>
      <c r="I851" s="12"/>
      <c r="J851" s="12"/>
      <c r="K851" s="12"/>
      <c r="L851" s="12"/>
      <c r="M851" s="12"/>
      <c r="N851" s="12"/>
      <c r="O851" s="12"/>
      <c r="P851" s="12"/>
      <c r="Q851" s="12"/>
      <c r="R851" s="12"/>
      <c r="S851" s="12"/>
      <c r="T851" s="12"/>
      <c r="U851" s="18"/>
      <c r="V851" s="12"/>
      <c r="W851" s="12"/>
      <c r="X851" s="12"/>
      <c r="Y851" s="12"/>
      <c r="Z851" s="12"/>
    </row>
    <row r="852" spans="1:26" ht="15" customHeight="1" x14ac:dyDescent="0.3">
      <c r="A852" s="27"/>
      <c r="B852" s="12"/>
      <c r="C852" s="12"/>
      <c r="D852" s="12"/>
      <c r="E852" s="12"/>
      <c r="F852" s="12"/>
      <c r="G852" s="12"/>
      <c r="H852" s="12"/>
      <c r="I852" s="12"/>
      <c r="J852" s="12"/>
      <c r="K852" s="12"/>
      <c r="L852" s="12"/>
      <c r="M852" s="12"/>
      <c r="N852" s="12"/>
      <c r="O852" s="12"/>
      <c r="P852" s="12"/>
      <c r="Q852" s="12"/>
      <c r="R852" s="12"/>
      <c r="S852" s="12"/>
      <c r="T852" s="12"/>
      <c r="U852" s="18"/>
      <c r="V852" s="12"/>
      <c r="W852" s="12"/>
      <c r="X852" s="12"/>
      <c r="Y852" s="12"/>
      <c r="Z852" s="12"/>
    </row>
    <row r="853" spans="1:26" ht="15" customHeight="1" x14ac:dyDescent="0.3">
      <c r="A853" s="27"/>
      <c r="B853" s="12"/>
      <c r="C853" s="12"/>
      <c r="D853" s="12"/>
      <c r="E853" s="12"/>
      <c r="F853" s="12"/>
      <c r="G853" s="12"/>
      <c r="H853" s="12"/>
      <c r="I853" s="12"/>
      <c r="J853" s="12"/>
      <c r="K853" s="12"/>
      <c r="L853" s="12"/>
      <c r="M853" s="12"/>
      <c r="N853" s="12"/>
      <c r="O853" s="12"/>
      <c r="P853" s="12"/>
      <c r="Q853" s="12"/>
      <c r="R853" s="12"/>
      <c r="S853" s="12"/>
      <c r="T853" s="12"/>
      <c r="U853" s="18"/>
      <c r="V853" s="12"/>
      <c r="W853" s="12"/>
      <c r="X853" s="12"/>
      <c r="Y853" s="12"/>
      <c r="Z853" s="12"/>
    </row>
    <row r="854" spans="1:26" ht="15" customHeight="1" x14ac:dyDescent="0.3">
      <c r="A854" s="27"/>
      <c r="B854" s="12"/>
      <c r="C854" s="12"/>
      <c r="D854" s="12"/>
      <c r="E854" s="12"/>
      <c r="F854" s="12"/>
      <c r="G854" s="12"/>
      <c r="H854" s="12"/>
      <c r="I854" s="12"/>
      <c r="J854" s="12"/>
      <c r="K854" s="12"/>
      <c r="L854" s="12"/>
      <c r="M854" s="12"/>
      <c r="N854" s="12"/>
      <c r="O854" s="12"/>
      <c r="P854" s="12"/>
      <c r="Q854" s="12"/>
      <c r="R854" s="12"/>
      <c r="S854" s="12"/>
      <c r="T854" s="12"/>
      <c r="U854" s="18"/>
      <c r="V854" s="12"/>
      <c r="W854" s="12"/>
      <c r="X854" s="12"/>
      <c r="Y854" s="12"/>
      <c r="Z854" s="12"/>
    </row>
    <row r="855" spans="1:26" ht="15" customHeight="1" x14ac:dyDescent="0.3">
      <c r="A855" s="27"/>
      <c r="B855" s="12"/>
      <c r="C855" s="12"/>
      <c r="D855" s="12"/>
      <c r="E855" s="12"/>
      <c r="F855" s="12"/>
      <c r="G855" s="12"/>
      <c r="H855" s="12"/>
      <c r="I855" s="12"/>
      <c r="J855" s="12"/>
      <c r="K855" s="12"/>
      <c r="L855" s="12"/>
      <c r="M855" s="12"/>
      <c r="N855" s="12"/>
      <c r="O855" s="12"/>
      <c r="P855" s="12"/>
      <c r="Q855" s="12"/>
      <c r="R855" s="12"/>
      <c r="S855" s="12"/>
      <c r="T855" s="12"/>
      <c r="U855" s="18"/>
      <c r="V855" s="12"/>
      <c r="W855" s="12"/>
      <c r="X855" s="12"/>
      <c r="Y855" s="12"/>
      <c r="Z855" s="12"/>
    </row>
    <row r="856" spans="1:26" ht="15" customHeight="1" x14ac:dyDescent="0.3">
      <c r="A856" s="27"/>
      <c r="B856" s="12"/>
      <c r="C856" s="12"/>
      <c r="D856" s="12"/>
      <c r="E856" s="12"/>
      <c r="F856" s="12"/>
      <c r="G856" s="12"/>
      <c r="H856" s="12"/>
      <c r="I856" s="12"/>
      <c r="J856" s="12"/>
      <c r="K856" s="12"/>
      <c r="L856" s="12"/>
      <c r="M856" s="12"/>
      <c r="N856" s="12"/>
      <c r="O856" s="12"/>
      <c r="P856" s="12"/>
      <c r="Q856" s="12"/>
      <c r="R856" s="12"/>
      <c r="S856" s="12"/>
      <c r="T856" s="12"/>
      <c r="U856" s="18"/>
      <c r="V856" s="12"/>
      <c r="W856" s="12"/>
      <c r="X856" s="12"/>
      <c r="Y856" s="12"/>
      <c r="Z856" s="12"/>
    </row>
    <row r="857" spans="1:26" ht="15" customHeight="1" x14ac:dyDescent="0.3">
      <c r="A857" s="27"/>
      <c r="B857" s="12"/>
      <c r="C857" s="12"/>
      <c r="D857" s="12"/>
      <c r="E857" s="12"/>
      <c r="F857" s="12"/>
      <c r="G857" s="12"/>
      <c r="H857" s="12"/>
      <c r="I857" s="12"/>
      <c r="J857" s="12"/>
      <c r="K857" s="12"/>
      <c r="L857" s="12"/>
      <c r="M857" s="12"/>
      <c r="N857" s="12"/>
      <c r="O857" s="12"/>
      <c r="P857" s="12"/>
      <c r="Q857" s="12"/>
      <c r="R857" s="12"/>
      <c r="S857" s="12"/>
      <c r="T857" s="12"/>
      <c r="U857" s="18"/>
      <c r="V857" s="12"/>
      <c r="W857" s="12"/>
      <c r="X857" s="12"/>
      <c r="Y857" s="12"/>
      <c r="Z857" s="12"/>
    </row>
    <row r="858" spans="1:26" ht="15" customHeight="1" x14ac:dyDescent="0.3">
      <c r="A858" s="27"/>
      <c r="B858" s="12"/>
      <c r="C858" s="12"/>
      <c r="D858" s="12"/>
      <c r="E858" s="12"/>
      <c r="F858" s="12"/>
      <c r="G858" s="12"/>
      <c r="H858" s="12"/>
      <c r="I858" s="12"/>
      <c r="J858" s="12"/>
      <c r="K858" s="12"/>
      <c r="L858" s="12"/>
      <c r="M858" s="12"/>
      <c r="N858" s="12"/>
      <c r="O858" s="12"/>
      <c r="P858" s="12"/>
      <c r="Q858" s="12"/>
      <c r="R858" s="12"/>
      <c r="S858" s="12"/>
      <c r="T858" s="12"/>
      <c r="U858" s="18"/>
      <c r="V858" s="12"/>
      <c r="W858" s="12"/>
      <c r="X858" s="12"/>
      <c r="Y858" s="12"/>
      <c r="Z858" s="12"/>
    </row>
    <row r="859" spans="1:26" ht="15" customHeight="1" x14ac:dyDescent="0.3">
      <c r="A859" s="27"/>
      <c r="B859" s="12"/>
      <c r="C859" s="12"/>
      <c r="D859" s="12"/>
      <c r="E859" s="12"/>
      <c r="F859" s="12"/>
      <c r="G859" s="12"/>
      <c r="H859" s="12"/>
      <c r="I859" s="12"/>
      <c r="J859" s="12"/>
      <c r="K859" s="12"/>
      <c r="L859" s="12"/>
      <c r="M859" s="12"/>
      <c r="N859" s="12"/>
      <c r="O859" s="12"/>
      <c r="P859" s="12"/>
      <c r="Q859" s="12"/>
      <c r="R859" s="12"/>
      <c r="S859" s="12"/>
      <c r="T859" s="12"/>
      <c r="U859" s="18"/>
      <c r="V859" s="12"/>
      <c r="W859" s="12"/>
      <c r="X859" s="12"/>
      <c r="Y859" s="12"/>
      <c r="Z859" s="12"/>
    </row>
    <row r="860" spans="1:26" ht="15" customHeight="1" x14ac:dyDescent="0.3">
      <c r="A860" s="27"/>
      <c r="B860" s="12"/>
      <c r="C860" s="12"/>
      <c r="D860" s="12"/>
      <c r="E860" s="12"/>
      <c r="F860" s="12"/>
      <c r="G860" s="12"/>
      <c r="H860" s="12"/>
      <c r="I860" s="12"/>
      <c r="J860" s="12"/>
      <c r="K860" s="12"/>
      <c r="L860" s="12"/>
      <c r="M860" s="12"/>
      <c r="N860" s="12"/>
      <c r="O860" s="12"/>
      <c r="P860" s="12"/>
      <c r="Q860" s="12"/>
      <c r="R860" s="12"/>
      <c r="S860" s="12"/>
      <c r="T860" s="12"/>
      <c r="U860" s="18"/>
      <c r="V860" s="12"/>
      <c r="W860" s="12"/>
      <c r="X860" s="12"/>
      <c r="Y860" s="12"/>
      <c r="Z860" s="12"/>
    </row>
    <row r="861" spans="1:26" ht="15" customHeight="1" x14ac:dyDescent="0.3">
      <c r="A861" s="27"/>
      <c r="B861" s="12"/>
      <c r="C861" s="12"/>
      <c r="D861" s="12"/>
      <c r="E861" s="12"/>
      <c r="F861" s="12"/>
      <c r="G861" s="12"/>
      <c r="H861" s="12"/>
      <c r="I861" s="12"/>
      <c r="J861" s="12"/>
      <c r="K861" s="12"/>
      <c r="L861" s="12"/>
      <c r="M861" s="12"/>
      <c r="N861" s="12"/>
      <c r="O861" s="12"/>
      <c r="P861" s="12"/>
      <c r="Q861" s="12"/>
      <c r="R861" s="12"/>
      <c r="S861" s="12"/>
      <c r="T861" s="12"/>
      <c r="U861" s="18"/>
      <c r="V861" s="12"/>
      <c r="W861" s="12"/>
      <c r="X861" s="12"/>
      <c r="Y861" s="12"/>
      <c r="Z861" s="12"/>
    </row>
    <row r="862" spans="1:26" ht="15" customHeight="1" x14ac:dyDescent="0.3">
      <c r="A862" s="27"/>
      <c r="B862" s="12"/>
      <c r="C862" s="12"/>
      <c r="D862" s="12"/>
      <c r="E862" s="12"/>
      <c r="F862" s="12"/>
      <c r="G862" s="12"/>
      <c r="H862" s="12"/>
      <c r="I862" s="12"/>
      <c r="J862" s="12"/>
      <c r="K862" s="12"/>
      <c r="L862" s="12"/>
      <c r="M862" s="12"/>
      <c r="N862" s="12"/>
      <c r="O862" s="12"/>
      <c r="P862" s="12"/>
      <c r="Q862" s="12"/>
      <c r="R862" s="12"/>
      <c r="S862" s="12"/>
      <c r="T862" s="12"/>
      <c r="U862" s="18"/>
      <c r="V862" s="12"/>
      <c r="W862" s="12"/>
      <c r="X862" s="12"/>
      <c r="Y862" s="12"/>
      <c r="Z862" s="12"/>
    </row>
    <row r="863" spans="1:26" ht="15" customHeight="1" x14ac:dyDescent="0.3">
      <c r="A863" s="27"/>
      <c r="B863" s="12"/>
      <c r="C863" s="12"/>
      <c r="D863" s="12"/>
      <c r="E863" s="12"/>
      <c r="F863" s="12"/>
      <c r="G863" s="12"/>
      <c r="H863" s="12"/>
      <c r="I863" s="12"/>
      <c r="J863" s="12"/>
      <c r="K863" s="12"/>
      <c r="L863" s="12"/>
      <c r="M863" s="12"/>
      <c r="N863" s="12"/>
      <c r="O863" s="12"/>
      <c r="P863" s="12"/>
      <c r="Q863" s="12"/>
      <c r="R863" s="12"/>
      <c r="S863" s="12"/>
      <c r="T863" s="12"/>
      <c r="U863" s="18"/>
      <c r="V863" s="12"/>
      <c r="W863" s="12"/>
      <c r="X863" s="12"/>
      <c r="Y863" s="12"/>
      <c r="Z863" s="12"/>
    </row>
    <row r="864" spans="1:26" ht="15" customHeight="1" x14ac:dyDescent="0.3">
      <c r="A864" s="27"/>
      <c r="B864" s="12"/>
      <c r="C864" s="12"/>
      <c r="D864" s="12"/>
      <c r="E864" s="12"/>
      <c r="F864" s="12"/>
      <c r="G864" s="12"/>
      <c r="H864" s="12"/>
      <c r="I864" s="12"/>
      <c r="J864" s="12"/>
      <c r="K864" s="12"/>
      <c r="L864" s="12"/>
      <c r="M864" s="12"/>
      <c r="N864" s="12"/>
      <c r="O864" s="12"/>
      <c r="P864" s="12"/>
      <c r="Q864" s="12"/>
      <c r="R864" s="12"/>
      <c r="S864" s="12"/>
      <c r="T864" s="12"/>
      <c r="U864" s="18"/>
      <c r="V864" s="12"/>
      <c r="W864" s="12"/>
      <c r="X864" s="12"/>
      <c r="Y864" s="12"/>
      <c r="Z864" s="12"/>
    </row>
    <row r="865" spans="1:26" ht="15" customHeight="1" x14ac:dyDescent="0.3">
      <c r="A865" s="27"/>
      <c r="B865" s="12"/>
      <c r="C865" s="12"/>
      <c r="D865" s="12"/>
      <c r="E865" s="12"/>
      <c r="F865" s="12"/>
      <c r="G865" s="12"/>
      <c r="H865" s="12"/>
      <c r="I865" s="12"/>
      <c r="J865" s="12"/>
      <c r="K865" s="12"/>
      <c r="L865" s="12"/>
      <c r="M865" s="12"/>
      <c r="N865" s="12"/>
      <c r="O865" s="12"/>
      <c r="P865" s="12"/>
      <c r="Q865" s="12"/>
      <c r="R865" s="12"/>
      <c r="S865" s="12"/>
      <c r="T865" s="12"/>
      <c r="U865" s="18"/>
      <c r="V865" s="12"/>
      <c r="W865" s="12"/>
      <c r="X865" s="12"/>
      <c r="Y865" s="12"/>
      <c r="Z865" s="12"/>
    </row>
    <row r="866" spans="1:26" ht="15" customHeight="1" x14ac:dyDescent="0.3">
      <c r="A866" s="27"/>
      <c r="B866" s="12"/>
      <c r="C866" s="12"/>
      <c r="D866" s="12"/>
      <c r="E866" s="12"/>
      <c r="F866" s="12"/>
      <c r="G866" s="12"/>
      <c r="H866" s="12"/>
      <c r="I866" s="12"/>
      <c r="J866" s="12"/>
      <c r="K866" s="12"/>
      <c r="L866" s="12"/>
      <c r="M866" s="12"/>
      <c r="N866" s="12"/>
      <c r="O866" s="12"/>
      <c r="P866" s="12"/>
      <c r="Q866" s="12"/>
      <c r="R866" s="12"/>
      <c r="S866" s="12"/>
      <c r="T866" s="12"/>
      <c r="U866" s="18"/>
      <c r="V866" s="12"/>
      <c r="W866" s="12"/>
      <c r="X866" s="12"/>
      <c r="Y866" s="12"/>
      <c r="Z866" s="12"/>
    </row>
    <row r="867" spans="1:26" ht="15" customHeight="1" x14ac:dyDescent="0.3">
      <c r="A867" s="27"/>
      <c r="B867" s="12"/>
      <c r="C867" s="12"/>
      <c r="D867" s="12"/>
      <c r="E867" s="12"/>
      <c r="F867" s="12"/>
      <c r="G867" s="12"/>
      <c r="H867" s="12"/>
      <c r="I867" s="12"/>
      <c r="J867" s="12"/>
      <c r="K867" s="12"/>
      <c r="L867" s="12"/>
      <c r="M867" s="12"/>
      <c r="N867" s="12"/>
      <c r="O867" s="12"/>
      <c r="P867" s="12"/>
      <c r="Q867" s="12"/>
      <c r="R867" s="12"/>
      <c r="S867" s="12"/>
      <c r="T867" s="12"/>
      <c r="U867" s="18"/>
      <c r="V867" s="12"/>
      <c r="W867" s="12"/>
      <c r="X867" s="12"/>
      <c r="Y867" s="12"/>
      <c r="Z867" s="12"/>
    </row>
    <row r="868" spans="1:26" ht="15" customHeight="1" x14ac:dyDescent="0.3">
      <c r="A868" s="27"/>
      <c r="B868" s="12"/>
      <c r="C868" s="12"/>
      <c r="D868" s="12"/>
      <c r="E868" s="12"/>
      <c r="F868" s="12"/>
      <c r="G868" s="12"/>
      <c r="H868" s="12"/>
      <c r="I868" s="12"/>
      <c r="J868" s="12"/>
      <c r="K868" s="12"/>
      <c r="L868" s="12"/>
      <c r="M868" s="12"/>
      <c r="N868" s="12"/>
      <c r="O868" s="12"/>
      <c r="P868" s="12"/>
      <c r="Q868" s="12"/>
      <c r="R868" s="12"/>
      <c r="S868" s="12"/>
      <c r="T868" s="12"/>
      <c r="U868" s="18"/>
      <c r="V868" s="12"/>
      <c r="W868" s="12"/>
      <c r="X868" s="12"/>
      <c r="Y868" s="12"/>
      <c r="Z868" s="12"/>
    </row>
    <row r="869" spans="1:26" ht="15" customHeight="1" x14ac:dyDescent="0.3">
      <c r="A869" s="27"/>
      <c r="B869" s="12"/>
      <c r="C869" s="12"/>
      <c r="D869" s="12"/>
      <c r="E869" s="12"/>
      <c r="F869" s="12"/>
      <c r="G869" s="12"/>
      <c r="H869" s="12"/>
      <c r="I869" s="12"/>
      <c r="J869" s="12"/>
      <c r="K869" s="12"/>
      <c r="L869" s="12"/>
      <c r="M869" s="12"/>
      <c r="N869" s="12"/>
      <c r="O869" s="12"/>
      <c r="P869" s="12"/>
      <c r="Q869" s="12"/>
      <c r="R869" s="12"/>
      <c r="S869" s="12"/>
      <c r="T869" s="12"/>
      <c r="U869" s="18"/>
      <c r="V869" s="12"/>
      <c r="W869" s="12"/>
      <c r="X869" s="12"/>
      <c r="Y869" s="12"/>
      <c r="Z869" s="12"/>
    </row>
    <row r="870" spans="1:26" ht="15" customHeight="1" x14ac:dyDescent="0.3">
      <c r="A870" s="27"/>
      <c r="B870" s="12"/>
      <c r="C870" s="12"/>
      <c r="D870" s="12"/>
      <c r="E870" s="12"/>
      <c r="F870" s="12"/>
      <c r="G870" s="12"/>
      <c r="H870" s="12"/>
      <c r="I870" s="12"/>
      <c r="J870" s="12"/>
      <c r="K870" s="12"/>
      <c r="L870" s="12"/>
      <c r="M870" s="12"/>
      <c r="N870" s="12"/>
      <c r="O870" s="12"/>
      <c r="P870" s="12"/>
      <c r="Q870" s="12"/>
      <c r="R870" s="12"/>
      <c r="S870" s="12"/>
      <c r="T870" s="12"/>
      <c r="U870" s="18"/>
      <c r="V870" s="12"/>
      <c r="W870" s="12"/>
      <c r="X870" s="12"/>
      <c r="Y870" s="12"/>
      <c r="Z870" s="12"/>
    </row>
    <row r="871" spans="1:26" ht="15" customHeight="1" x14ac:dyDescent="0.3">
      <c r="A871" s="27"/>
      <c r="B871" s="12"/>
      <c r="C871" s="12"/>
      <c r="D871" s="12"/>
      <c r="E871" s="12"/>
      <c r="F871" s="12"/>
      <c r="G871" s="12"/>
      <c r="H871" s="12"/>
      <c r="I871" s="12"/>
      <c r="J871" s="12"/>
      <c r="K871" s="12"/>
      <c r="L871" s="12"/>
      <c r="M871" s="12"/>
      <c r="N871" s="12"/>
      <c r="O871" s="12"/>
      <c r="P871" s="12"/>
      <c r="Q871" s="12"/>
      <c r="R871" s="12"/>
      <c r="S871" s="12"/>
      <c r="T871" s="12"/>
      <c r="U871" s="18"/>
      <c r="V871" s="12"/>
      <c r="W871" s="12"/>
      <c r="X871" s="12"/>
      <c r="Y871" s="12"/>
      <c r="Z871" s="12"/>
    </row>
    <row r="872" spans="1:26" ht="15" customHeight="1" x14ac:dyDescent="0.3">
      <c r="A872" s="27"/>
      <c r="B872" s="12"/>
      <c r="C872" s="12"/>
      <c r="D872" s="12"/>
      <c r="E872" s="12"/>
      <c r="F872" s="12"/>
      <c r="G872" s="12"/>
      <c r="H872" s="12"/>
      <c r="I872" s="12"/>
      <c r="J872" s="12"/>
      <c r="K872" s="12"/>
      <c r="L872" s="12"/>
      <c r="M872" s="12"/>
      <c r="N872" s="12"/>
      <c r="O872" s="12"/>
      <c r="P872" s="12"/>
      <c r="Q872" s="12"/>
      <c r="R872" s="12"/>
      <c r="S872" s="12"/>
      <c r="T872" s="12"/>
      <c r="U872" s="18"/>
      <c r="V872" s="12"/>
      <c r="W872" s="12"/>
      <c r="X872" s="12"/>
      <c r="Y872" s="12"/>
      <c r="Z872" s="12"/>
    </row>
    <row r="873" spans="1:26" ht="15" customHeight="1" x14ac:dyDescent="0.3">
      <c r="A873" s="27"/>
      <c r="B873" s="12"/>
      <c r="C873" s="12"/>
      <c r="D873" s="12"/>
      <c r="E873" s="12"/>
      <c r="F873" s="12"/>
      <c r="G873" s="12"/>
      <c r="H873" s="12"/>
      <c r="I873" s="12"/>
      <c r="J873" s="12"/>
      <c r="K873" s="12"/>
      <c r="L873" s="12"/>
      <c r="M873" s="12"/>
      <c r="N873" s="12"/>
      <c r="O873" s="12"/>
      <c r="P873" s="12"/>
      <c r="Q873" s="12"/>
      <c r="R873" s="12"/>
      <c r="S873" s="12"/>
      <c r="T873" s="12"/>
      <c r="U873" s="18"/>
      <c r="V873" s="12"/>
      <c r="W873" s="12"/>
      <c r="X873" s="12"/>
      <c r="Y873" s="12"/>
      <c r="Z873" s="12"/>
    </row>
    <row r="874" spans="1:26" ht="15" customHeight="1" x14ac:dyDescent="0.3">
      <c r="A874" s="27"/>
      <c r="B874" s="12"/>
      <c r="C874" s="12"/>
      <c r="D874" s="12"/>
      <c r="E874" s="12"/>
      <c r="F874" s="12"/>
      <c r="G874" s="12"/>
      <c r="H874" s="12"/>
      <c r="I874" s="12"/>
      <c r="J874" s="12"/>
      <c r="K874" s="12"/>
      <c r="L874" s="12"/>
      <c r="M874" s="12"/>
      <c r="N874" s="12"/>
      <c r="O874" s="12"/>
      <c r="P874" s="12"/>
      <c r="Q874" s="12"/>
      <c r="R874" s="12"/>
      <c r="S874" s="12"/>
      <c r="T874" s="12"/>
      <c r="U874" s="18"/>
      <c r="V874" s="12"/>
      <c r="W874" s="12"/>
      <c r="X874" s="12"/>
      <c r="Y874" s="12"/>
      <c r="Z874" s="12"/>
    </row>
    <row r="875" spans="1:26" ht="15" customHeight="1" x14ac:dyDescent="0.3">
      <c r="A875" s="27"/>
      <c r="B875" s="12"/>
      <c r="C875" s="12"/>
      <c r="D875" s="12"/>
      <c r="E875" s="12"/>
      <c r="F875" s="12"/>
      <c r="G875" s="12"/>
      <c r="H875" s="12"/>
      <c r="I875" s="12"/>
      <c r="J875" s="12"/>
      <c r="K875" s="12"/>
      <c r="L875" s="12"/>
      <c r="M875" s="12"/>
      <c r="N875" s="12"/>
      <c r="O875" s="12"/>
      <c r="P875" s="12"/>
      <c r="Q875" s="12"/>
      <c r="R875" s="12"/>
      <c r="S875" s="12"/>
      <c r="T875" s="12"/>
      <c r="U875" s="18"/>
      <c r="V875" s="12"/>
      <c r="W875" s="12"/>
      <c r="X875" s="12"/>
      <c r="Y875" s="12"/>
      <c r="Z875" s="12"/>
    </row>
    <row r="876" spans="1:26" ht="15" customHeight="1" x14ac:dyDescent="0.3">
      <c r="A876" s="27"/>
      <c r="B876" s="12"/>
      <c r="C876" s="12"/>
      <c r="D876" s="12"/>
      <c r="E876" s="12"/>
      <c r="F876" s="12"/>
      <c r="G876" s="12"/>
      <c r="H876" s="12"/>
      <c r="I876" s="12"/>
      <c r="J876" s="12"/>
      <c r="K876" s="12"/>
      <c r="L876" s="12"/>
      <c r="M876" s="12"/>
      <c r="N876" s="12"/>
      <c r="O876" s="12"/>
      <c r="P876" s="12"/>
      <c r="Q876" s="12"/>
      <c r="R876" s="12"/>
      <c r="S876" s="12"/>
      <c r="T876" s="12"/>
      <c r="U876" s="18"/>
      <c r="V876" s="12"/>
      <c r="W876" s="12"/>
      <c r="X876" s="12"/>
      <c r="Y876" s="12"/>
      <c r="Z876" s="12"/>
    </row>
    <row r="877" spans="1:26" ht="15" customHeight="1" x14ac:dyDescent="0.3">
      <c r="A877" s="27"/>
      <c r="B877" s="12"/>
      <c r="C877" s="12"/>
      <c r="D877" s="12"/>
      <c r="E877" s="12"/>
      <c r="F877" s="12"/>
      <c r="G877" s="12"/>
      <c r="H877" s="12"/>
      <c r="I877" s="12"/>
      <c r="J877" s="12"/>
      <c r="K877" s="12"/>
      <c r="L877" s="12"/>
      <c r="M877" s="12"/>
      <c r="N877" s="12"/>
      <c r="O877" s="12"/>
      <c r="P877" s="12"/>
      <c r="Q877" s="12"/>
      <c r="R877" s="12"/>
      <c r="S877" s="12"/>
      <c r="T877" s="12"/>
      <c r="U877" s="18"/>
      <c r="V877" s="12"/>
      <c r="W877" s="12"/>
      <c r="X877" s="12"/>
      <c r="Y877" s="12"/>
      <c r="Z877" s="12"/>
    </row>
    <row r="878" spans="1:26" ht="15" customHeight="1" x14ac:dyDescent="0.3">
      <c r="A878" s="27"/>
      <c r="B878" s="12"/>
      <c r="C878" s="12"/>
      <c r="D878" s="12"/>
      <c r="E878" s="12"/>
      <c r="F878" s="12"/>
      <c r="G878" s="12"/>
      <c r="H878" s="12"/>
      <c r="I878" s="12"/>
      <c r="J878" s="12"/>
      <c r="K878" s="12"/>
      <c r="L878" s="12"/>
      <c r="M878" s="12"/>
      <c r="N878" s="12"/>
      <c r="O878" s="12"/>
      <c r="P878" s="12"/>
      <c r="Q878" s="12"/>
      <c r="R878" s="12"/>
      <c r="S878" s="12"/>
      <c r="T878" s="12"/>
      <c r="U878" s="18"/>
      <c r="V878" s="12"/>
      <c r="W878" s="12"/>
      <c r="X878" s="12"/>
      <c r="Y878" s="12"/>
      <c r="Z878" s="12"/>
    </row>
    <row r="879" spans="1:26" ht="15" customHeight="1" x14ac:dyDescent="0.3">
      <c r="A879" s="27"/>
      <c r="B879" s="12"/>
      <c r="C879" s="12"/>
      <c r="D879" s="12"/>
      <c r="E879" s="12"/>
      <c r="F879" s="12"/>
      <c r="G879" s="12"/>
      <c r="H879" s="12"/>
      <c r="I879" s="12"/>
      <c r="J879" s="12"/>
      <c r="K879" s="12"/>
      <c r="L879" s="12"/>
      <c r="M879" s="12"/>
      <c r="N879" s="12"/>
      <c r="O879" s="12"/>
      <c r="P879" s="12"/>
      <c r="Q879" s="12"/>
      <c r="R879" s="12"/>
      <c r="S879" s="12"/>
      <c r="T879" s="12"/>
      <c r="U879" s="18"/>
      <c r="V879" s="12"/>
      <c r="W879" s="12"/>
      <c r="X879" s="12"/>
      <c r="Y879" s="12"/>
      <c r="Z879" s="12"/>
    </row>
    <row r="880" spans="1:26" ht="15" customHeight="1" x14ac:dyDescent="0.3">
      <c r="A880" s="27"/>
      <c r="B880" s="12"/>
      <c r="C880" s="12"/>
      <c r="D880" s="12"/>
      <c r="E880" s="12"/>
      <c r="F880" s="12"/>
      <c r="G880" s="12"/>
      <c r="H880" s="12"/>
      <c r="I880" s="12"/>
      <c r="J880" s="12"/>
      <c r="K880" s="12"/>
      <c r="L880" s="12"/>
      <c r="M880" s="12"/>
      <c r="N880" s="12"/>
      <c r="O880" s="12"/>
      <c r="P880" s="12"/>
      <c r="Q880" s="12"/>
      <c r="R880" s="12"/>
      <c r="S880" s="12"/>
      <c r="T880" s="12"/>
      <c r="U880" s="18"/>
      <c r="V880" s="12"/>
      <c r="W880" s="12"/>
      <c r="X880" s="12"/>
      <c r="Y880" s="12"/>
      <c r="Z880" s="12"/>
    </row>
    <row r="881" spans="1:26" ht="15" customHeight="1" x14ac:dyDescent="0.3">
      <c r="A881" s="27"/>
      <c r="B881" s="12"/>
      <c r="C881" s="12"/>
      <c r="D881" s="12"/>
      <c r="E881" s="12"/>
      <c r="F881" s="12"/>
      <c r="G881" s="12"/>
      <c r="H881" s="12"/>
      <c r="I881" s="12"/>
      <c r="J881" s="12"/>
      <c r="K881" s="12"/>
      <c r="L881" s="12"/>
      <c r="M881" s="12"/>
      <c r="N881" s="12"/>
      <c r="O881" s="12"/>
      <c r="P881" s="12"/>
      <c r="Q881" s="12"/>
      <c r="R881" s="12"/>
      <c r="S881" s="12"/>
      <c r="T881" s="12"/>
      <c r="U881" s="18"/>
      <c r="V881" s="12"/>
      <c r="W881" s="12"/>
      <c r="X881" s="12"/>
      <c r="Y881" s="12"/>
      <c r="Z881" s="12"/>
    </row>
    <row r="882" spans="1:26" ht="15" customHeight="1" x14ac:dyDescent="0.3">
      <c r="A882" s="27"/>
      <c r="B882" s="12"/>
      <c r="C882" s="12"/>
      <c r="D882" s="12"/>
      <c r="E882" s="12"/>
      <c r="F882" s="12"/>
      <c r="G882" s="12"/>
      <c r="H882" s="12"/>
      <c r="I882" s="12"/>
      <c r="J882" s="12"/>
      <c r="K882" s="12"/>
      <c r="L882" s="12"/>
      <c r="M882" s="12"/>
      <c r="N882" s="12"/>
      <c r="O882" s="12"/>
      <c r="P882" s="12"/>
      <c r="Q882" s="12"/>
      <c r="R882" s="12"/>
      <c r="S882" s="12"/>
      <c r="T882" s="12"/>
      <c r="U882" s="18"/>
      <c r="V882" s="12"/>
      <c r="W882" s="12"/>
      <c r="X882" s="12"/>
      <c r="Y882" s="12"/>
      <c r="Z882" s="12"/>
    </row>
    <row r="883" spans="1:26" ht="15" customHeight="1" x14ac:dyDescent="0.3">
      <c r="A883" s="27"/>
      <c r="B883" s="12"/>
      <c r="C883" s="12"/>
      <c r="D883" s="12"/>
      <c r="E883" s="12"/>
      <c r="F883" s="12"/>
      <c r="G883" s="12"/>
      <c r="H883" s="12"/>
      <c r="I883" s="12"/>
      <c r="J883" s="12"/>
      <c r="K883" s="12"/>
      <c r="L883" s="12"/>
      <c r="M883" s="12"/>
      <c r="N883" s="12"/>
      <c r="O883" s="12"/>
      <c r="P883" s="12"/>
      <c r="Q883" s="12"/>
      <c r="R883" s="12"/>
      <c r="S883" s="12"/>
      <c r="T883" s="12"/>
      <c r="U883" s="18"/>
      <c r="V883" s="12"/>
      <c r="W883" s="12"/>
      <c r="X883" s="12"/>
      <c r="Y883" s="12"/>
      <c r="Z883" s="12"/>
    </row>
    <row r="884" spans="1:26" ht="15" customHeight="1" x14ac:dyDescent="0.3">
      <c r="A884" s="27"/>
      <c r="B884" s="12"/>
      <c r="C884" s="12"/>
      <c r="D884" s="12"/>
      <c r="E884" s="12"/>
      <c r="F884" s="12"/>
      <c r="G884" s="12"/>
      <c r="H884" s="12"/>
      <c r="I884" s="12"/>
      <c r="J884" s="12"/>
      <c r="K884" s="12"/>
      <c r="L884" s="12"/>
      <c r="M884" s="12"/>
      <c r="N884" s="12"/>
      <c r="O884" s="12"/>
      <c r="P884" s="12"/>
      <c r="Q884" s="12"/>
      <c r="R884" s="12"/>
      <c r="S884" s="12"/>
      <c r="T884" s="12"/>
      <c r="U884" s="18"/>
      <c r="V884" s="12"/>
      <c r="W884" s="12"/>
      <c r="X884" s="12"/>
      <c r="Y884" s="12"/>
      <c r="Z884" s="12"/>
    </row>
    <row r="885" spans="1:26" ht="15" customHeight="1" x14ac:dyDescent="0.3">
      <c r="A885" s="27"/>
      <c r="B885" s="12"/>
      <c r="C885" s="12"/>
      <c r="D885" s="12"/>
      <c r="E885" s="12"/>
      <c r="F885" s="12"/>
      <c r="G885" s="12"/>
      <c r="H885" s="12"/>
      <c r="I885" s="12"/>
      <c r="J885" s="12"/>
      <c r="K885" s="12"/>
      <c r="L885" s="12"/>
      <c r="M885" s="12"/>
      <c r="N885" s="12"/>
      <c r="O885" s="12"/>
      <c r="P885" s="12"/>
      <c r="Q885" s="12"/>
      <c r="R885" s="12"/>
      <c r="S885" s="12"/>
      <c r="T885" s="12"/>
      <c r="U885" s="18"/>
      <c r="V885" s="12"/>
      <c r="W885" s="12"/>
      <c r="X885" s="12"/>
      <c r="Y885" s="12"/>
      <c r="Z885" s="12"/>
    </row>
    <row r="886" spans="1:26" ht="15" customHeight="1" x14ac:dyDescent="0.3">
      <c r="A886" s="27"/>
      <c r="B886" s="12"/>
      <c r="C886" s="12"/>
      <c r="D886" s="12"/>
      <c r="E886" s="12"/>
      <c r="F886" s="12"/>
      <c r="G886" s="12"/>
      <c r="H886" s="12"/>
      <c r="I886" s="12"/>
      <c r="J886" s="12"/>
      <c r="K886" s="12"/>
      <c r="L886" s="12"/>
      <c r="M886" s="12"/>
      <c r="N886" s="12"/>
      <c r="O886" s="12"/>
      <c r="P886" s="12"/>
      <c r="Q886" s="12"/>
      <c r="R886" s="12"/>
      <c r="S886" s="12"/>
      <c r="T886" s="12"/>
      <c r="U886" s="18"/>
      <c r="V886" s="12"/>
      <c r="W886" s="12"/>
      <c r="X886" s="12"/>
      <c r="Y886" s="12"/>
      <c r="Z886" s="12"/>
    </row>
    <row r="887" spans="1:26" ht="15" customHeight="1" x14ac:dyDescent="0.3">
      <c r="A887" s="27"/>
      <c r="B887" s="12"/>
      <c r="C887" s="12"/>
      <c r="D887" s="12"/>
      <c r="E887" s="12"/>
      <c r="F887" s="12"/>
      <c r="G887" s="12"/>
      <c r="H887" s="12"/>
      <c r="I887" s="12"/>
      <c r="J887" s="12"/>
      <c r="K887" s="12"/>
      <c r="L887" s="12"/>
      <c r="M887" s="12"/>
      <c r="N887" s="12"/>
      <c r="O887" s="12"/>
      <c r="P887" s="12"/>
      <c r="Q887" s="12"/>
      <c r="R887" s="12"/>
      <c r="S887" s="12"/>
      <c r="T887" s="12"/>
      <c r="U887" s="18"/>
      <c r="V887" s="12"/>
      <c r="W887" s="12"/>
      <c r="X887" s="12"/>
      <c r="Y887" s="12"/>
      <c r="Z887" s="12"/>
    </row>
    <row r="888" spans="1:26" ht="15" customHeight="1" x14ac:dyDescent="0.3">
      <c r="A888" s="27"/>
      <c r="B888" s="12"/>
      <c r="C888" s="12"/>
      <c r="D888" s="12"/>
      <c r="E888" s="12"/>
      <c r="F888" s="12"/>
      <c r="G888" s="12"/>
      <c r="H888" s="12"/>
      <c r="I888" s="12"/>
      <c r="J888" s="12"/>
      <c r="K888" s="12"/>
      <c r="L888" s="12"/>
      <c r="M888" s="12"/>
      <c r="N888" s="12"/>
      <c r="O888" s="12"/>
      <c r="P888" s="12"/>
      <c r="Q888" s="12"/>
      <c r="R888" s="12"/>
      <c r="S888" s="12"/>
      <c r="T888" s="12"/>
      <c r="U888" s="18"/>
      <c r="V888" s="12"/>
      <c r="W888" s="12"/>
      <c r="X888" s="12"/>
      <c r="Y888" s="12"/>
      <c r="Z888" s="12"/>
    </row>
    <row r="889" spans="1:26" ht="15" customHeight="1" x14ac:dyDescent="0.3">
      <c r="A889" s="27"/>
      <c r="B889" s="12"/>
      <c r="C889" s="12"/>
      <c r="D889" s="12"/>
      <c r="E889" s="12"/>
      <c r="F889" s="12"/>
      <c r="G889" s="12"/>
      <c r="H889" s="12"/>
      <c r="I889" s="12"/>
      <c r="J889" s="12"/>
      <c r="K889" s="12"/>
      <c r="L889" s="12"/>
      <c r="M889" s="12"/>
      <c r="N889" s="12"/>
      <c r="O889" s="12"/>
      <c r="P889" s="12"/>
      <c r="Q889" s="12"/>
      <c r="R889" s="12"/>
      <c r="S889" s="12"/>
      <c r="T889" s="12"/>
      <c r="U889" s="18"/>
      <c r="V889" s="12"/>
      <c r="W889" s="12"/>
      <c r="X889" s="12"/>
      <c r="Y889" s="12"/>
      <c r="Z889" s="12"/>
    </row>
    <row r="890" spans="1:26" ht="15" customHeight="1" x14ac:dyDescent="0.3">
      <c r="A890" s="27"/>
      <c r="B890" s="12"/>
      <c r="C890" s="12"/>
      <c r="D890" s="12"/>
      <c r="E890" s="12"/>
      <c r="F890" s="12"/>
      <c r="G890" s="12"/>
      <c r="H890" s="12"/>
      <c r="I890" s="12"/>
      <c r="J890" s="12"/>
      <c r="K890" s="12"/>
      <c r="L890" s="12"/>
      <c r="M890" s="12"/>
      <c r="N890" s="12"/>
      <c r="O890" s="12"/>
      <c r="P890" s="12"/>
      <c r="Q890" s="12"/>
      <c r="R890" s="12"/>
      <c r="S890" s="12"/>
      <c r="T890" s="12"/>
      <c r="U890" s="18"/>
      <c r="V890" s="12"/>
      <c r="W890" s="12"/>
      <c r="X890" s="12"/>
      <c r="Y890" s="12"/>
      <c r="Z890" s="12"/>
    </row>
    <row r="891" spans="1:26" ht="15" customHeight="1" x14ac:dyDescent="0.3">
      <c r="A891" s="27"/>
      <c r="B891" s="12"/>
      <c r="C891" s="12"/>
      <c r="D891" s="12"/>
      <c r="E891" s="12"/>
      <c r="F891" s="12"/>
      <c r="G891" s="12"/>
      <c r="H891" s="12"/>
      <c r="I891" s="12"/>
      <c r="J891" s="12"/>
      <c r="K891" s="12"/>
      <c r="L891" s="12"/>
      <c r="M891" s="12"/>
      <c r="N891" s="12"/>
      <c r="O891" s="12"/>
      <c r="P891" s="12"/>
      <c r="Q891" s="12"/>
      <c r="R891" s="12"/>
      <c r="S891" s="12"/>
      <c r="T891" s="12"/>
      <c r="U891" s="18"/>
      <c r="V891" s="12"/>
      <c r="W891" s="12"/>
      <c r="X891" s="12"/>
      <c r="Y891" s="12"/>
      <c r="Z891" s="12"/>
    </row>
    <row r="892" spans="1:26" ht="15" customHeight="1" x14ac:dyDescent="0.3">
      <c r="A892" s="27"/>
      <c r="B892" s="12"/>
      <c r="C892" s="12"/>
      <c r="D892" s="12"/>
      <c r="E892" s="12"/>
      <c r="F892" s="12"/>
      <c r="G892" s="12"/>
      <c r="H892" s="12"/>
      <c r="I892" s="12"/>
      <c r="J892" s="12"/>
      <c r="K892" s="12"/>
      <c r="L892" s="12"/>
      <c r="M892" s="12"/>
      <c r="N892" s="12"/>
      <c r="O892" s="12"/>
      <c r="P892" s="12"/>
      <c r="Q892" s="12"/>
      <c r="R892" s="12"/>
      <c r="S892" s="12"/>
      <c r="T892" s="12"/>
      <c r="U892" s="18"/>
      <c r="V892" s="12"/>
      <c r="W892" s="12"/>
      <c r="X892" s="12"/>
      <c r="Y892" s="12"/>
      <c r="Z892" s="12"/>
    </row>
    <row r="893" spans="1:26" ht="15" customHeight="1" x14ac:dyDescent="0.3">
      <c r="A893" s="27"/>
      <c r="B893" s="12"/>
      <c r="C893" s="12"/>
      <c r="D893" s="12"/>
      <c r="E893" s="12"/>
      <c r="F893" s="12"/>
      <c r="G893" s="12"/>
      <c r="H893" s="12"/>
      <c r="I893" s="12"/>
      <c r="J893" s="12"/>
      <c r="K893" s="12"/>
      <c r="L893" s="12"/>
      <c r="M893" s="12"/>
      <c r="N893" s="12"/>
      <c r="O893" s="12"/>
      <c r="P893" s="12"/>
      <c r="Q893" s="12"/>
      <c r="R893" s="12"/>
      <c r="S893" s="12"/>
      <c r="T893" s="12"/>
      <c r="U893" s="18"/>
      <c r="V893" s="12"/>
      <c r="W893" s="12"/>
      <c r="X893" s="12"/>
      <c r="Y893" s="12"/>
      <c r="Z893" s="12"/>
    </row>
    <row r="894" spans="1:26" ht="15" customHeight="1" x14ac:dyDescent="0.3">
      <c r="A894" s="27"/>
      <c r="B894" s="12"/>
      <c r="C894" s="12"/>
      <c r="D894" s="12"/>
      <c r="E894" s="12"/>
      <c r="F894" s="12"/>
      <c r="G894" s="12"/>
      <c r="H894" s="12"/>
      <c r="I894" s="12"/>
      <c r="J894" s="12"/>
      <c r="K894" s="12"/>
      <c r="L894" s="12"/>
      <c r="M894" s="12"/>
      <c r="N894" s="12"/>
      <c r="O894" s="12"/>
      <c r="P894" s="12"/>
      <c r="Q894" s="12"/>
      <c r="R894" s="12"/>
      <c r="S894" s="12"/>
      <c r="T894" s="12"/>
      <c r="U894" s="18"/>
      <c r="V894" s="12"/>
      <c r="W894" s="12"/>
      <c r="X894" s="12"/>
      <c r="Y894" s="12"/>
      <c r="Z894" s="12"/>
    </row>
    <row r="895" spans="1:26" ht="15" customHeight="1" x14ac:dyDescent="0.3">
      <c r="A895" s="27"/>
      <c r="B895" s="12"/>
      <c r="C895" s="12"/>
      <c r="D895" s="12"/>
      <c r="E895" s="12"/>
      <c r="F895" s="12"/>
      <c r="G895" s="12"/>
      <c r="H895" s="12"/>
      <c r="I895" s="12"/>
      <c r="J895" s="12"/>
      <c r="K895" s="12"/>
      <c r="L895" s="12"/>
      <c r="M895" s="12"/>
      <c r="N895" s="12"/>
      <c r="O895" s="12"/>
      <c r="P895" s="12"/>
      <c r="Q895" s="12"/>
      <c r="R895" s="12"/>
      <c r="S895" s="12"/>
      <c r="T895" s="12"/>
      <c r="U895" s="18"/>
      <c r="V895" s="12"/>
      <c r="W895" s="12"/>
      <c r="X895" s="12"/>
      <c r="Y895" s="12"/>
      <c r="Z895" s="12"/>
    </row>
    <row r="896" spans="1:26" ht="15" customHeight="1" x14ac:dyDescent="0.3">
      <c r="A896" s="27"/>
      <c r="B896" s="12"/>
      <c r="C896" s="12"/>
      <c r="D896" s="12"/>
      <c r="E896" s="12"/>
      <c r="F896" s="12"/>
      <c r="G896" s="12"/>
      <c r="H896" s="12"/>
      <c r="I896" s="12"/>
      <c r="J896" s="12"/>
      <c r="K896" s="12"/>
      <c r="L896" s="12"/>
      <c r="M896" s="12"/>
      <c r="N896" s="12"/>
      <c r="O896" s="12"/>
      <c r="P896" s="12"/>
      <c r="Q896" s="12"/>
      <c r="R896" s="12"/>
      <c r="S896" s="12"/>
      <c r="T896" s="12"/>
      <c r="U896" s="18"/>
      <c r="V896" s="12"/>
      <c r="W896" s="12"/>
      <c r="X896" s="12"/>
      <c r="Y896" s="12"/>
      <c r="Z896" s="12"/>
    </row>
    <row r="897" spans="1:26" ht="15" customHeight="1" x14ac:dyDescent="0.3">
      <c r="A897" s="27"/>
      <c r="B897" s="12"/>
      <c r="C897" s="12"/>
      <c r="D897" s="12"/>
      <c r="E897" s="12"/>
      <c r="F897" s="12"/>
      <c r="G897" s="12"/>
      <c r="H897" s="12"/>
      <c r="I897" s="12"/>
      <c r="J897" s="12"/>
      <c r="K897" s="12"/>
      <c r="L897" s="12"/>
      <c r="M897" s="12"/>
      <c r="N897" s="12"/>
      <c r="O897" s="12"/>
      <c r="P897" s="12"/>
      <c r="Q897" s="12"/>
      <c r="R897" s="12"/>
      <c r="S897" s="12"/>
      <c r="T897" s="12"/>
      <c r="U897" s="18"/>
      <c r="V897" s="12"/>
      <c r="W897" s="12"/>
      <c r="X897" s="12"/>
      <c r="Y897" s="12"/>
      <c r="Z897" s="12"/>
    </row>
    <row r="898" spans="1:26" ht="15" customHeight="1" x14ac:dyDescent="0.3">
      <c r="A898" s="27"/>
      <c r="B898" s="12"/>
      <c r="C898" s="12"/>
      <c r="D898" s="12"/>
      <c r="E898" s="12"/>
      <c r="F898" s="12"/>
      <c r="G898" s="12"/>
      <c r="H898" s="12"/>
      <c r="I898" s="12"/>
      <c r="J898" s="12"/>
      <c r="K898" s="12"/>
      <c r="L898" s="12"/>
      <c r="M898" s="12"/>
      <c r="N898" s="12"/>
      <c r="O898" s="12"/>
      <c r="P898" s="12"/>
      <c r="Q898" s="12"/>
      <c r="R898" s="12"/>
      <c r="S898" s="12"/>
      <c r="T898" s="12"/>
      <c r="U898" s="18"/>
      <c r="V898" s="12"/>
      <c r="W898" s="12"/>
      <c r="X898" s="12"/>
      <c r="Y898" s="12"/>
      <c r="Z898" s="12"/>
    </row>
    <row r="899" spans="1:26" ht="15" customHeight="1" x14ac:dyDescent="0.3">
      <c r="A899" s="27"/>
      <c r="B899" s="12"/>
      <c r="C899" s="12"/>
      <c r="D899" s="12"/>
      <c r="E899" s="12"/>
      <c r="F899" s="12"/>
      <c r="G899" s="12"/>
      <c r="H899" s="12"/>
      <c r="I899" s="12"/>
      <c r="J899" s="12"/>
      <c r="K899" s="12"/>
      <c r="L899" s="12"/>
      <c r="M899" s="12"/>
      <c r="N899" s="12"/>
      <c r="O899" s="12"/>
      <c r="P899" s="12"/>
      <c r="Q899" s="12"/>
      <c r="R899" s="12"/>
      <c r="S899" s="12"/>
      <c r="T899" s="12"/>
      <c r="U899" s="18"/>
      <c r="V899" s="12"/>
      <c r="W899" s="12"/>
      <c r="X899" s="12"/>
      <c r="Y899" s="12"/>
      <c r="Z899" s="12"/>
    </row>
    <row r="900" spans="1:26" ht="15" customHeight="1" x14ac:dyDescent="0.3">
      <c r="A900" s="27"/>
      <c r="B900" s="12"/>
      <c r="C900" s="12"/>
      <c r="D900" s="12"/>
      <c r="E900" s="12"/>
      <c r="F900" s="12"/>
      <c r="G900" s="12"/>
      <c r="H900" s="12"/>
      <c r="I900" s="12"/>
      <c r="J900" s="12"/>
      <c r="K900" s="12"/>
      <c r="L900" s="12"/>
      <c r="M900" s="12"/>
      <c r="N900" s="12"/>
      <c r="O900" s="12"/>
      <c r="P900" s="12"/>
      <c r="Q900" s="12"/>
      <c r="R900" s="12"/>
      <c r="S900" s="12"/>
      <c r="T900" s="12"/>
      <c r="U900" s="18"/>
      <c r="V900" s="12"/>
      <c r="W900" s="12"/>
      <c r="X900" s="12"/>
      <c r="Y900" s="12"/>
      <c r="Z900" s="12"/>
    </row>
    <row r="901" spans="1:26" ht="15" customHeight="1" x14ac:dyDescent="0.3">
      <c r="A901" s="27"/>
      <c r="B901" s="12"/>
      <c r="C901" s="12"/>
      <c r="D901" s="12"/>
      <c r="E901" s="12"/>
      <c r="F901" s="12"/>
      <c r="G901" s="12"/>
      <c r="H901" s="12"/>
      <c r="I901" s="12"/>
      <c r="J901" s="12"/>
      <c r="K901" s="12"/>
      <c r="L901" s="12"/>
      <c r="M901" s="12"/>
      <c r="N901" s="12"/>
      <c r="O901" s="12"/>
      <c r="P901" s="12"/>
      <c r="Q901" s="12"/>
      <c r="R901" s="12"/>
      <c r="S901" s="12"/>
      <c r="T901" s="12"/>
      <c r="U901" s="18"/>
      <c r="V901" s="12"/>
      <c r="W901" s="12"/>
      <c r="X901" s="12"/>
      <c r="Y901" s="12"/>
      <c r="Z901" s="12"/>
    </row>
    <row r="902" spans="1:26" ht="15" customHeight="1" x14ac:dyDescent="0.3">
      <c r="A902" s="27"/>
      <c r="B902" s="12"/>
      <c r="C902" s="12"/>
      <c r="D902" s="12"/>
      <c r="E902" s="12"/>
      <c r="F902" s="12"/>
      <c r="G902" s="12"/>
      <c r="H902" s="12"/>
      <c r="I902" s="12"/>
      <c r="J902" s="12"/>
      <c r="K902" s="12"/>
      <c r="L902" s="12"/>
      <c r="M902" s="12"/>
      <c r="N902" s="12"/>
      <c r="O902" s="12"/>
      <c r="P902" s="12"/>
      <c r="Q902" s="12"/>
      <c r="R902" s="12"/>
      <c r="S902" s="12"/>
      <c r="T902" s="12"/>
      <c r="U902" s="18"/>
      <c r="V902" s="12"/>
      <c r="W902" s="12"/>
      <c r="X902" s="12"/>
      <c r="Y902" s="12"/>
      <c r="Z902" s="12"/>
    </row>
    <row r="903" spans="1:26" ht="15" customHeight="1" x14ac:dyDescent="0.3">
      <c r="A903" s="27"/>
      <c r="B903" s="12"/>
      <c r="C903" s="12"/>
      <c r="D903" s="12"/>
      <c r="E903" s="12"/>
      <c r="F903" s="12"/>
      <c r="G903" s="12"/>
      <c r="H903" s="12"/>
      <c r="I903" s="12"/>
      <c r="J903" s="12"/>
      <c r="K903" s="12"/>
      <c r="L903" s="12"/>
      <c r="M903" s="12"/>
      <c r="N903" s="12"/>
      <c r="O903" s="12"/>
      <c r="P903" s="12"/>
      <c r="Q903" s="12"/>
      <c r="R903" s="12"/>
      <c r="S903" s="12"/>
      <c r="T903" s="12"/>
      <c r="U903" s="18"/>
      <c r="V903" s="12"/>
      <c r="W903" s="12"/>
      <c r="X903" s="12"/>
      <c r="Y903" s="12"/>
      <c r="Z903" s="12"/>
    </row>
    <row r="904" spans="1:26" ht="15" customHeight="1" x14ac:dyDescent="0.3">
      <c r="A904" s="27"/>
      <c r="B904" s="12"/>
      <c r="C904" s="12"/>
      <c r="D904" s="12"/>
      <c r="E904" s="12"/>
      <c r="F904" s="12"/>
      <c r="G904" s="12"/>
      <c r="H904" s="12"/>
      <c r="I904" s="12"/>
      <c r="J904" s="12"/>
      <c r="K904" s="12"/>
      <c r="L904" s="12"/>
      <c r="M904" s="12"/>
      <c r="N904" s="12"/>
      <c r="O904" s="12"/>
      <c r="P904" s="12"/>
      <c r="Q904" s="12"/>
      <c r="R904" s="12"/>
      <c r="S904" s="12"/>
      <c r="T904" s="12"/>
      <c r="U904" s="18"/>
      <c r="V904" s="12"/>
      <c r="W904" s="12"/>
      <c r="X904" s="12"/>
      <c r="Y904" s="12"/>
      <c r="Z904" s="12"/>
    </row>
    <row r="905" spans="1:26" ht="15" customHeight="1" x14ac:dyDescent="0.3">
      <c r="A905" s="27"/>
      <c r="B905" s="12"/>
      <c r="C905" s="12"/>
      <c r="D905" s="12"/>
      <c r="E905" s="12"/>
      <c r="F905" s="12"/>
      <c r="G905" s="12"/>
      <c r="H905" s="12"/>
      <c r="I905" s="12"/>
      <c r="J905" s="12"/>
      <c r="K905" s="12"/>
      <c r="L905" s="12"/>
      <c r="M905" s="12"/>
      <c r="N905" s="12"/>
      <c r="O905" s="12"/>
      <c r="P905" s="12"/>
      <c r="Q905" s="12"/>
      <c r="R905" s="12"/>
      <c r="S905" s="12"/>
      <c r="T905" s="12"/>
      <c r="U905" s="18"/>
      <c r="V905" s="12"/>
      <c r="W905" s="12"/>
      <c r="X905" s="12"/>
      <c r="Y905" s="12"/>
      <c r="Z905" s="12"/>
    </row>
    <row r="906" spans="1:26" ht="15" customHeight="1" x14ac:dyDescent="0.3">
      <c r="A906" s="27"/>
      <c r="B906" s="12"/>
      <c r="C906" s="12"/>
      <c r="D906" s="12"/>
      <c r="E906" s="12"/>
      <c r="F906" s="12"/>
      <c r="G906" s="12"/>
      <c r="H906" s="12"/>
      <c r="I906" s="12"/>
      <c r="J906" s="12"/>
      <c r="K906" s="12"/>
      <c r="L906" s="12"/>
      <c r="M906" s="12"/>
      <c r="N906" s="12"/>
      <c r="O906" s="12"/>
      <c r="P906" s="12"/>
      <c r="Q906" s="12"/>
      <c r="R906" s="12"/>
      <c r="S906" s="12"/>
      <c r="T906" s="12"/>
      <c r="U906" s="18"/>
      <c r="V906" s="12"/>
      <c r="W906" s="12"/>
      <c r="X906" s="12"/>
      <c r="Y906" s="12"/>
      <c r="Z906" s="12"/>
    </row>
    <row r="907" spans="1:26" ht="15" customHeight="1" x14ac:dyDescent="0.3">
      <c r="A907" s="27"/>
      <c r="B907" s="12"/>
      <c r="C907" s="12"/>
      <c r="D907" s="12"/>
      <c r="E907" s="12"/>
      <c r="F907" s="12"/>
      <c r="G907" s="12"/>
      <c r="H907" s="12"/>
      <c r="I907" s="12"/>
      <c r="J907" s="12"/>
      <c r="K907" s="12"/>
      <c r="L907" s="12"/>
      <c r="M907" s="12"/>
      <c r="N907" s="12"/>
      <c r="O907" s="12"/>
      <c r="P907" s="12"/>
      <c r="Q907" s="12"/>
      <c r="R907" s="12"/>
      <c r="S907" s="12"/>
      <c r="T907" s="12"/>
      <c r="U907" s="18"/>
      <c r="V907" s="12"/>
      <c r="W907" s="12"/>
      <c r="X907" s="12"/>
      <c r="Y907" s="12"/>
      <c r="Z907" s="12"/>
    </row>
    <row r="908" spans="1:26" ht="15" customHeight="1" x14ac:dyDescent="0.3">
      <c r="A908" s="27"/>
      <c r="B908" s="12"/>
      <c r="C908" s="12"/>
      <c r="D908" s="12"/>
      <c r="E908" s="12"/>
      <c r="F908" s="12"/>
      <c r="G908" s="12"/>
      <c r="H908" s="12"/>
      <c r="I908" s="12"/>
      <c r="J908" s="12"/>
      <c r="K908" s="12"/>
      <c r="L908" s="12"/>
      <c r="M908" s="12"/>
      <c r="N908" s="12"/>
      <c r="O908" s="12"/>
      <c r="P908" s="12"/>
      <c r="Q908" s="12"/>
      <c r="R908" s="12"/>
      <c r="S908" s="12"/>
      <c r="T908" s="12"/>
      <c r="U908" s="18"/>
      <c r="V908" s="12"/>
      <c r="W908" s="12"/>
      <c r="X908" s="12"/>
      <c r="Y908" s="12"/>
      <c r="Z908" s="12"/>
    </row>
    <row r="909" spans="1:26" ht="15" customHeight="1" x14ac:dyDescent="0.3">
      <c r="A909" s="27"/>
      <c r="B909" s="12"/>
      <c r="C909" s="12"/>
      <c r="D909" s="12"/>
      <c r="E909" s="12"/>
      <c r="F909" s="12"/>
      <c r="G909" s="12"/>
      <c r="H909" s="12"/>
      <c r="I909" s="12"/>
      <c r="J909" s="12"/>
      <c r="K909" s="12"/>
      <c r="L909" s="12"/>
      <c r="M909" s="12"/>
      <c r="N909" s="12"/>
      <c r="O909" s="12"/>
      <c r="P909" s="12"/>
      <c r="Q909" s="12"/>
      <c r="R909" s="12"/>
      <c r="S909" s="12"/>
      <c r="T909" s="12"/>
      <c r="U909" s="18"/>
      <c r="V909" s="12"/>
      <c r="W909" s="12"/>
      <c r="X909" s="12"/>
      <c r="Y909" s="12"/>
      <c r="Z909" s="12"/>
    </row>
    <row r="910" spans="1:26" ht="15" customHeight="1" x14ac:dyDescent="0.3">
      <c r="A910" s="27"/>
      <c r="B910" s="12"/>
      <c r="C910" s="12"/>
      <c r="D910" s="12"/>
      <c r="E910" s="12"/>
      <c r="F910" s="12"/>
      <c r="G910" s="12"/>
      <c r="H910" s="12"/>
      <c r="I910" s="12"/>
      <c r="J910" s="12"/>
      <c r="K910" s="12"/>
      <c r="L910" s="12"/>
      <c r="M910" s="12"/>
      <c r="N910" s="12"/>
      <c r="O910" s="12"/>
      <c r="P910" s="12"/>
      <c r="Q910" s="12"/>
      <c r="R910" s="12"/>
      <c r="S910" s="12"/>
      <c r="T910" s="12"/>
      <c r="U910" s="18"/>
      <c r="V910" s="12"/>
      <c r="W910" s="12"/>
      <c r="X910" s="12"/>
      <c r="Y910" s="12"/>
      <c r="Z910" s="12"/>
    </row>
    <row r="911" spans="1:26" ht="15" customHeight="1" x14ac:dyDescent="0.3">
      <c r="A911" s="27"/>
      <c r="B911" s="12"/>
      <c r="C911" s="12"/>
      <c r="D911" s="12"/>
      <c r="E911" s="12"/>
      <c r="F911" s="12"/>
      <c r="G911" s="12"/>
      <c r="H911" s="12"/>
      <c r="I911" s="12"/>
      <c r="J911" s="12"/>
      <c r="K911" s="12"/>
      <c r="L911" s="12"/>
      <c r="M911" s="12"/>
      <c r="N911" s="12"/>
      <c r="O911" s="12"/>
      <c r="P911" s="12"/>
      <c r="Q911" s="12"/>
      <c r="R911" s="12"/>
      <c r="S911" s="12"/>
      <c r="T911" s="12"/>
      <c r="U911" s="18"/>
      <c r="V911" s="12"/>
      <c r="W911" s="12"/>
      <c r="X911" s="12"/>
      <c r="Y911" s="12"/>
      <c r="Z911" s="12"/>
    </row>
    <row r="912" spans="1:26" ht="15" customHeight="1" x14ac:dyDescent="0.3">
      <c r="A912" s="27"/>
      <c r="B912" s="12"/>
      <c r="C912" s="12"/>
      <c r="D912" s="12"/>
      <c r="E912" s="12"/>
      <c r="F912" s="12"/>
      <c r="G912" s="12"/>
      <c r="H912" s="12"/>
      <c r="I912" s="12"/>
      <c r="J912" s="12"/>
      <c r="K912" s="12"/>
      <c r="L912" s="12"/>
      <c r="M912" s="12"/>
      <c r="N912" s="12"/>
      <c r="O912" s="12"/>
      <c r="P912" s="12"/>
      <c r="Q912" s="12"/>
      <c r="R912" s="12"/>
      <c r="S912" s="12"/>
      <c r="T912" s="12"/>
      <c r="U912" s="18"/>
      <c r="V912" s="12"/>
      <c r="W912" s="12"/>
      <c r="X912" s="12"/>
      <c r="Y912" s="12"/>
      <c r="Z912" s="12"/>
    </row>
    <row r="913" spans="1:26" ht="15" customHeight="1" x14ac:dyDescent="0.3">
      <c r="A913" s="27"/>
      <c r="B913" s="12"/>
      <c r="C913" s="12"/>
      <c r="D913" s="12"/>
      <c r="E913" s="12"/>
      <c r="F913" s="12"/>
      <c r="G913" s="12"/>
      <c r="H913" s="12"/>
      <c r="I913" s="12"/>
      <c r="J913" s="12"/>
      <c r="K913" s="12"/>
      <c r="L913" s="12"/>
      <c r="M913" s="12"/>
      <c r="N913" s="12"/>
      <c r="O913" s="12"/>
      <c r="P913" s="12"/>
      <c r="Q913" s="12"/>
      <c r="R913" s="12"/>
      <c r="S913" s="12"/>
      <c r="T913" s="12"/>
      <c r="U913" s="18"/>
      <c r="V913" s="12"/>
      <c r="W913" s="12"/>
      <c r="X913" s="12"/>
      <c r="Y913" s="12"/>
      <c r="Z913" s="12"/>
    </row>
    <row r="914" spans="1:26" ht="15" customHeight="1" x14ac:dyDescent="0.3">
      <c r="A914" s="27"/>
      <c r="B914" s="12"/>
      <c r="C914" s="12"/>
      <c r="D914" s="12"/>
      <c r="E914" s="12"/>
      <c r="F914" s="12"/>
      <c r="G914" s="12"/>
      <c r="H914" s="12"/>
      <c r="I914" s="12"/>
      <c r="J914" s="12"/>
      <c r="K914" s="12"/>
      <c r="L914" s="12"/>
      <c r="M914" s="12"/>
      <c r="N914" s="12"/>
      <c r="O914" s="12"/>
      <c r="P914" s="12"/>
      <c r="Q914" s="12"/>
      <c r="R914" s="12"/>
      <c r="S914" s="12"/>
      <c r="T914" s="12"/>
      <c r="U914" s="18"/>
      <c r="V914" s="12"/>
      <c r="W914" s="12"/>
      <c r="X914" s="12"/>
      <c r="Y914" s="12"/>
      <c r="Z914" s="12"/>
    </row>
    <row r="915" spans="1:26" ht="15" customHeight="1" x14ac:dyDescent="0.3">
      <c r="A915" s="27"/>
      <c r="B915" s="12"/>
      <c r="C915" s="12"/>
      <c r="D915" s="12"/>
      <c r="E915" s="12"/>
      <c r="F915" s="12"/>
      <c r="G915" s="12"/>
      <c r="H915" s="12"/>
      <c r="I915" s="12"/>
      <c r="J915" s="12"/>
      <c r="K915" s="12"/>
      <c r="L915" s="12"/>
      <c r="M915" s="12"/>
      <c r="N915" s="12"/>
      <c r="O915" s="12"/>
      <c r="P915" s="12"/>
      <c r="Q915" s="12"/>
      <c r="R915" s="12"/>
      <c r="S915" s="12"/>
      <c r="T915" s="12"/>
      <c r="U915" s="18"/>
      <c r="V915" s="12"/>
      <c r="W915" s="12"/>
      <c r="X915" s="12"/>
      <c r="Y915" s="12"/>
      <c r="Z915" s="12"/>
    </row>
    <row r="916" spans="1:26" ht="15" customHeight="1" x14ac:dyDescent="0.3">
      <c r="A916" s="27"/>
      <c r="B916" s="12"/>
      <c r="C916" s="12"/>
      <c r="D916" s="12"/>
      <c r="E916" s="12"/>
      <c r="F916" s="12"/>
      <c r="G916" s="12"/>
      <c r="H916" s="12"/>
      <c r="I916" s="12"/>
      <c r="J916" s="12"/>
      <c r="K916" s="12"/>
      <c r="L916" s="12"/>
      <c r="M916" s="12"/>
      <c r="N916" s="12"/>
      <c r="O916" s="12"/>
      <c r="P916" s="12"/>
      <c r="Q916" s="12"/>
      <c r="R916" s="12"/>
      <c r="S916" s="12"/>
      <c r="T916" s="12"/>
      <c r="U916" s="18"/>
      <c r="V916" s="12"/>
      <c r="W916" s="12"/>
      <c r="X916" s="12"/>
      <c r="Y916" s="12"/>
      <c r="Z916" s="12"/>
    </row>
    <row r="917" spans="1:26" ht="15" customHeight="1" x14ac:dyDescent="0.3">
      <c r="A917" s="27"/>
      <c r="B917" s="12"/>
      <c r="C917" s="12"/>
      <c r="D917" s="12"/>
      <c r="E917" s="12"/>
      <c r="F917" s="12"/>
      <c r="G917" s="12"/>
      <c r="H917" s="12"/>
      <c r="I917" s="12"/>
      <c r="J917" s="12"/>
      <c r="K917" s="12"/>
      <c r="L917" s="12"/>
      <c r="M917" s="12"/>
      <c r="N917" s="12"/>
      <c r="O917" s="12"/>
      <c r="P917" s="12"/>
      <c r="Q917" s="12"/>
      <c r="R917" s="12"/>
      <c r="S917" s="12"/>
      <c r="T917" s="12"/>
      <c r="U917" s="18"/>
      <c r="V917" s="12"/>
      <c r="W917" s="12"/>
      <c r="X917" s="12"/>
      <c r="Y917" s="12"/>
      <c r="Z917" s="12"/>
    </row>
    <row r="918" spans="1:26" ht="15" customHeight="1" x14ac:dyDescent="0.3">
      <c r="A918" s="27"/>
      <c r="B918" s="12"/>
      <c r="C918" s="12"/>
      <c r="D918" s="12"/>
      <c r="E918" s="12"/>
      <c r="F918" s="12"/>
      <c r="G918" s="12"/>
      <c r="H918" s="12"/>
      <c r="I918" s="12"/>
      <c r="J918" s="12"/>
      <c r="K918" s="12"/>
      <c r="L918" s="12"/>
      <c r="M918" s="12"/>
      <c r="N918" s="12"/>
      <c r="O918" s="12"/>
      <c r="P918" s="12"/>
      <c r="Q918" s="12"/>
      <c r="R918" s="12"/>
      <c r="S918" s="12"/>
      <c r="T918" s="12"/>
      <c r="U918" s="18"/>
      <c r="V918" s="12"/>
      <c r="W918" s="12"/>
      <c r="X918" s="12"/>
      <c r="Y918" s="12"/>
      <c r="Z918" s="12"/>
    </row>
    <row r="919" spans="1:26" ht="15" customHeight="1" x14ac:dyDescent="0.3">
      <c r="A919" s="27"/>
      <c r="B919" s="12"/>
      <c r="C919" s="12"/>
      <c r="D919" s="12"/>
      <c r="E919" s="12"/>
      <c r="F919" s="12"/>
      <c r="G919" s="12"/>
      <c r="H919" s="12"/>
      <c r="I919" s="12"/>
      <c r="J919" s="12"/>
      <c r="K919" s="12"/>
      <c r="L919" s="12"/>
      <c r="M919" s="12"/>
      <c r="N919" s="12"/>
      <c r="O919" s="12"/>
      <c r="P919" s="12"/>
      <c r="Q919" s="12"/>
      <c r="R919" s="12"/>
      <c r="S919" s="12"/>
      <c r="T919" s="12"/>
      <c r="U919" s="18"/>
      <c r="V919" s="12"/>
      <c r="W919" s="12"/>
      <c r="X919" s="12"/>
      <c r="Y919" s="12"/>
      <c r="Z919" s="12"/>
    </row>
    <row r="920" spans="1:26" ht="15" customHeight="1" x14ac:dyDescent="0.3">
      <c r="A920" s="27"/>
      <c r="B920" s="12"/>
      <c r="C920" s="12"/>
      <c r="D920" s="12"/>
      <c r="E920" s="12"/>
      <c r="F920" s="12"/>
      <c r="G920" s="12"/>
      <c r="H920" s="12"/>
      <c r="I920" s="12"/>
      <c r="J920" s="12"/>
      <c r="K920" s="12"/>
      <c r="L920" s="12"/>
      <c r="M920" s="12"/>
      <c r="N920" s="12"/>
      <c r="O920" s="12"/>
      <c r="P920" s="12"/>
      <c r="Q920" s="12"/>
      <c r="R920" s="12"/>
      <c r="S920" s="12"/>
      <c r="T920" s="12"/>
      <c r="U920" s="18"/>
      <c r="V920" s="12"/>
      <c r="W920" s="12"/>
      <c r="X920" s="12"/>
      <c r="Y920" s="12"/>
      <c r="Z920" s="12"/>
    </row>
    <row r="921" spans="1:26" ht="15" customHeight="1" x14ac:dyDescent="0.3">
      <c r="A921" s="27"/>
      <c r="B921" s="12"/>
      <c r="C921" s="12"/>
      <c r="D921" s="12"/>
      <c r="E921" s="12"/>
      <c r="F921" s="12"/>
      <c r="G921" s="12"/>
      <c r="H921" s="12"/>
      <c r="I921" s="12"/>
      <c r="J921" s="12"/>
      <c r="K921" s="12"/>
      <c r="L921" s="12"/>
      <c r="M921" s="12"/>
      <c r="N921" s="12"/>
      <c r="O921" s="12"/>
      <c r="P921" s="12"/>
      <c r="Q921" s="12"/>
      <c r="R921" s="12"/>
      <c r="S921" s="12"/>
      <c r="T921" s="12"/>
      <c r="U921" s="18"/>
      <c r="V921" s="12"/>
      <c r="W921" s="12"/>
      <c r="X921" s="12"/>
      <c r="Y921" s="12"/>
      <c r="Z921" s="12"/>
    </row>
    <row r="922" spans="1:26" ht="15" customHeight="1" x14ac:dyDescent="0.3">
      <c r="A922" s="27"/>
      <c r="B922" s="12"/>
      <c r="C922" s="12"/>
      <c r="D922" s="12"/>
      <c r="E922" s="12"/>
      <c r="F922" s="12"/>
      <c r="G922" s="12"/>
      <c r="H922" s="12"/>
      <c r="I922" s="12"/>
      <c r="J922" s="12"/>
      <c r="K922" s="12"/>
      <c r="L922" s="12"/>
      <c r="M922" s="12"/>
      <c r="N922" s="12"/>
      <c r="O922" s="12"/>
      <c r="P922" s="12"/>
      <c r="Q922" s="12"/>
      <c r="R922" s="12"/>
      <c r="S922" s="12"/>
      <c r="T922" s="12"/>
      <c r="U922" s="18"/>
      <c r="V922" s="12"/>
      <c r="W922" s="12"/>
      <c r="X922" s="12"/>
      <c r="Y922" s="12"/>
      <c r="Z922" s="12"/>
    </row>
    <row r="923" spans="1:26" ht="15" customHeight="1" x14ac:dyDescent="0.3">
      <c r="A923" s="27"/>
      <c r="B923" s="12"/>
      <c r="C923" s="12"/>
      <c r="D923" s="12"/>
      <c r="E923" s="12"/>
      <c r="F923" s="12"/>
      <c r="G923" s="12"/>
      <c r="H923" s="12"/>
      <c r="I923" s="12"/>
      <c r="J923" s="12"/>
      <c r="K923" s="12"/>
      <c r="L923" s="12"/>
      <c r="M923" s="12"/>
      <c r="N923" s="12"/>
      <c r="O923" s="12"/>
      <c r="P923" s="12"/>
      <c r="Q923" s="12"/>
      <c r="R923" s="12"/>
      <c r="S923" s="12"/>
      <c r="T923" s="12"/>
      <c r="U923" s="18"/>
      <c r="V923" s="12"/>
      <c r="W923" s="12"/>
      <c r="X923" s="12"/>
      <c r="Y923" s="12"/>
      <c r="Z923" s="12"/>
    </row>
    <row r="924" spans="1:26" ht="15" customHeight="1" x14ac:dyDescent="0.3">
      <c r="A924" s="27"/>
      <c r="B924" s="12"/>
      <c r="C924" s="12"/>
      <c r="D924" s="12"/>
      <c r="E924" s="12"/>
      <c r="F924" s="12"/>
      <c r="G924" s="12"/>
      <c r="H924" s="12"/>
      <c r="I924" s="12"/>
      <c r="J924" s="12"/>
      <c r="K924" s="12"/>
      <c r="L924" s="12"/>
      <c r="M924" s="12"/>
      <c r="N924" s="12"/>
      <c r="O924" s="12"/>
      <c r="P924" s="12"/>
      <c r="Q924" s="12"/>
      <c r="R924" s="12"/>
      <c r="S924" s="12"/>
      <c r="T924" s="12"/>
      <c r="U924" s="18"/>
      <c r="V924" s="12"/>
      <c r="W924" s="12"/>
      <c r="X924" s="12"/>
      <c r="Y924" s="12"/>
      <c r="Z924" s="12"/>
    </row>
    <row r="925" spans="1:26" ht="15" customHeight="1" x14ac:dyDescent="0.3">
      <c r="A925" s="27"/>
      <c r="B925" s="12"/>
      <c r="C925" s="12"/>
      <c r="D925" s="12"/>
      <c r="E925" s="12"/>
      <c r="F925" s="12"/>
      <c r="G925" s="12"/>
      <c r="H925" s="12"/>
      <c r="I925" s="12"/>
      <c r="J925" s="12"/>
      <c r="K925" s="12"/>
      <c r="L925" s="12"/>
      <c r="M925" s="12"/>
      <c r="N925" s="12"/>
      <c r="O925" s="12"/>
      <c r="P925" s="12"/>
      <c r="Q925" s="12"/>
      <c r="R925" s="12"/>
      <c r="S925" s="12"/>
      <c r="T925" s="12"/>
      <c r="U925" s="18"/>
      <c r="V925" s="12"/>
      <c r="W925" s="12"/>
      <c r="X925" s="12"/>
      <c r="Y925" s="12"/>
      <c r="Z925" s="12"/>
    </row>
    <row r="926" spans="1:26" ht="15" customHeight="1" x14ac:dyDescent="0.3">
      <c r="A926" s="27"/>
      <c r="B926" s="12"/>
      <c r="C926" s="12"/>
      <c r="D926" s="12"/>
      <c r="E926" s="12"/>
      <c r="F926" s="12"/>
      <c r="G926" s="12"/>
      <c r="H926" s="12"/>
      <c r="I926" s="12"/>
      <c r="J926" s="12"/>
      <c r="K926" s="12"/>
      <c r="L926" s="12"/>
      <c r="M926" s="12"/>
      <c r="N926" s="12"/>
      <c r="O926" s="12"/>
      <c r="P926" s="12"/>
      <c r="Q926" s="12"/>
      <c r="R926" s="12"/>
      <c r="S926" s="12"/>
      <c r="T926" s="12"/>
      <c r="U926" s="18"/>
      <c r="V926" s="12"/>
      <c r="W926" s="12"/>
      <c r="X926" s="12"/>
      <c r="Y926" s="12"/>
      <c r="Z926" s="12"/>
    </row>
    <row r="927" spans="1:26" ht="15" customHeight="1" x14ac:dyDescent="0.3">
      <c r="A927" s="27"/>
      <c r="B927" s="12"/>
      <c r="C927" s="12"/>
      <c r="D927" s="12"/>
      <c r="E927" s="12"/>
      <c r="F927" s="12"/>
      <c r="G927" s="12"/>
      <c r="H927" s="12"/>
      <c r="I927" s="12"/>
      <c r="J927" s="12"/>
      <c r="K927" s="12"/>
      <c r="L927" s="12"/>
      <c r="M927" s="12"/>
      <c r="N927" s="12"/>
      <c r="O927" s="12"/>
      <c r="P927" s="12"/>
      <c r="Q927" s="12"/>
      <c r="R927" s="12"/>
      <c r="S927" s="12"/>
      <c r="T927" s="12"/>
      <c r="U927" s="18"/>
      <c r="V927" s="12"/>
      <c r="W927" s="12"/>
      <c r="X927" s="12"/>
      <c r="Y927" s="12"/>
      <c r="Z927" s="12"/>
    </row>
    <row r="928" spans="1:26" ht="15" customHeight="1" x14ac:dyDescent="0.3">
      <c r="A928" s="27"/>
      <c r="B928" s="12"/>
      <c r="C928" s="12"/>
      <c r="D928" s="12"/>
      <c r="E928" s="12"/>
      <c r="F928" s="12"/>
      <c r="G928" s="12"/>
      <c r="H928" s="12"/>
      <c r="I928" s="12"/>
      <c r="J928" s="12"/>
      <c r="K928" s="12"/>
      <c r="L928" s="12"/>
      <c r="M928" s="12"/>
      <c r="N928" s="12"/>
      <c r="O928" s="12"/>
      <c r="P928" s="12"/>
      <c r="Q928" s="12"/>
      <c r="R928" s="12"/>
      <c r="S928" s="12"/>
      <c r="T928" s="12"/>
      <c r="U928" s="18"/>
      <c r="V928" s="12"/>
      <c r="W928" s="12"/>
      <c r="X928" s="12"/>
      <c r="Y928" s="12"/>
      <c r="Z928" s="12"/>
    </row>
    <row r="929" spans="1:26" ht="15" customHeight="1" x14ac:dyDescent="0.3">
      <c r="A929" s="27"/>
      <c r="B929" s="12"/>
      <c r="C929" s="12"/>
      <c r="D929" s="12"/>
      <c r="E929" s="12"/>
      <c r="F929" s="12"/>
      <c r="G929" s="12"/>
      <c r="H929" s="12"/>
      <c r="I929" s="12"/>
      <c r="J929" s="12"/>
      <c r="K929" s="12"/>
      <c r="L929" s="12"/>
      <c r="M929" s="12"/>
      <c r="N929" s="12"/>
      <c r="O929" s="12"/>
      <c r="P929" s="12"/>
      <c r="Q929" s="12"/>
      <c r="R929" s="12"/>
      <c r="S929" s="12"/>
      <c r="T929" s="12"/>
      <c r="U929" s="18"/>
      <c r="V929" s="12"/>
      <c r="W929" s="12"/>
      <c r="X929" s="12"/>
      <c r="Y929" s="12"/>
      <c r="Z929" s="12"/>
    </row>
    <row r="930" spans="1:26" ht="15" customHeight="1" x14ac:dyDescent="0.3">
      <c r="A930" s="27"/>
      <c r="B930" s="12"/>
      <c r="C930" s="12"/>
      <c r="D930" s="12"/>
      <c r="E930" s="12"/>
      <c r="F930" s="12"/>
      <c r="G930" s="12"/>
      <c r="H930" s="12"/>
      <c r="I930" s="12"/>
      <c r="J930" s="12"/>
      <c r="K930" s="12"/>
      <c r="L930" s="12"/>
      <c r="M930" s="12"/>
      <c r="N930" s="12"/>
      <c r="O930" s="12"/>
      <c r="P930" s="12"/>
      <c r="Q930" s="12"/>
      <c r="R930" s="12"/>
      <c r="S930" s="12"/>
      <c r="T930" s="12"/>
      <c r="U930" s="18"/>
      <c r="V930" s="12"/>
      <c r="W930" s="12"/>
      <c r="X930" s="12"/>
      <c r="Y930" s="12"/>
      <c r="Z930" s="12"/>
    </row>
    <row r="931" spans="1:26" ht="15" customHeight="1" x14ac:dyDescent="0.3">
      <c r="A931" s="27"/>
      <c r="B931" s="12"/>
      <c r="C931" s="12"/>
      <c r="D931" s="12"/>
      <c r="E931" s="12"/>
      <c r="F931" s="12"/>
      <c r="G931" s="12"/>
      <c r="H931" s="12"/>
      <c r="I931" s="12"/>
      <c r="J931" s="12"/>
      <c r="K931" s="12"/>
      <c r="L931" s="12"/>
      <c r="M931" s="12"/>
      <c r="N931" s="12"/>
      <c r="O931" s="12"/>
      <c r="P931" s="12"/>
      <c r="Q931" s="12"/>
      <c r="R931" s="12"/>
      <c r="S931" s="12"/>
      <c r="T931" s="12"/>
      <c r="U931" s="18"/>
      <c r="V931" s="12"/>
      <c r="W931" s="12"/>
      <c r="X931" s="12"/>
      <c r="Y931" s="12"/>
      <c r="Z931" s="12"/>
    </row>
    <row r="932" spans="1:26" ht="15" customHeight="1" x14ac:dyDescent="0.3">
      <c r="A932" s="27"/>
      <c r="B932" s="12"/>
      <c r="C932" s="12"/>
      <c r="D932" s="12"/>
      <c r="E932" s="12"/>
      <c r="F932" s="12"/>
      <c r="G932" s="12"/>
      <c r="H932" s="12"/>
      <c r="I932" s="12"/>
      <c r="J932" s="12"/>
      <c r="K932" s="12"/>
      <c r="L932" s="12"/>
      <c r="M932" s="12"/>
      <c r="N932" s="12"/>
      <c r="O932" s="12"/>
      <c r="P932" s="12"/>
      <c r="Q932" s="12"/>
      <c r="R932" s="12"/>
      <c r="S932" s="12"/>
      <c r="T932" s="12"/>
      <c r="U932" s="18"/>
      <c r="V932" s="12"/>
      <c r="W932" s="12"/>
      <c r="X932" s="12"/>
      <c r="Y932" s="12"/>
      <c r="Z932" s="12"/>
    </row>
    <row r="933" spans="1:26" ht="15" customHeight="1" x14ac:dyDescent="0.3">
      <c r="A933" s="27"/>
      <c r="B933" s="12"/>
      <c r="C933" s="12"/>
      <c r="D933" s="12"/>
      <c r="E933" s="12"/>
      <c r="F933" s="12"/>
      <c r="G933" s="12"/>
      <c r="H933" s="12"/>
      <c r="I933" s="12"/>
      <c r="J933" s="12"/>
      <c r="K933" s="12"/>
      <c r="L933" s="12"/>
      <c r="M933" s="12"/>
      <c r="N933" s="12"/>
      <c r="O933" s="12"/>
      <c r="P933" s="12"/>
      <c r="Q933" s="12"/>
      <c r="R933" s="12"/>
      <c r="S933" s="12"/>
      <c r="T933" s="12"/>
      <c r="U933" s="18"/>
      <c r="V933" s="12"/>
      <c r="W933" s="12"/>
      <c r="X933" s="12"/>
      <c r="Y933" s="12"/>
      <c r="Z933" s="12"/>
    </row>
    <row r="934" spans="1:26" ht="15" customHeight="1" x14ac:dyDescent="0.3">
      <c r="A934" s="27"/>
      <c r="B934" s="12"/>
      <c r="C934" s="12"/>
      <c r="D934" s="12"/>
      <c r="E934" s="12"/>
      <c r="F934" s="12"/>
      <c r="G934" s="12"/>
      <c r="H934" s="12"/>
      <c r="I934" s="12"/>
      <c r="J934" s="12"/>
      <c r="K934" s="12"/>
      <c r="L934" s="12"/>
      <c r="M934" s="12"/>
      <c r="N934" s="12"/>
      <c r="O934" s="12"/>
      <c r="P934" s="12"/>
      <c r="Q934" s="12"/>
      <c r="R934" s="12"/>
      <c r="S934" s="12"/>
      <c r="T934" s="12"/>
      <c r="U934" s="18"/>
      <c r="V934" s="12"/>
      <c r="W934" s="12"/>
      <c r="X934" s="12"/>
      <c r="Y934" s="12"/>
      <c r="Z934" s="12"/>
    </row>
    <row r="935" spans="1:26" ht="15" customHeight="1" x14ac:dyDescent="0.3">
      <c r="A935" s="27"/>
      <c r="B935" s="12"/>
      <c r="C935" s="12"/>
      <c r="D935" s="12"/>
      <c r="E935" s="12"/>
      <c r="F935" s="12"/>
      <c r="G935" s="12"/>
      <c r="H935" s="12"/>
      <c r="I935" s="12"/>
      <c r="J935" s="12"/>
      <c r="K935" s="12"/>
      <c r="L935" s="12"/>
      <c r="M935" s="12"/>
      <c r="N935" s="12"/>
      <c r="O935" s="12"/>
      <c r="P935" s="12"/>
      <c r="Q935" s="12"/>
      <c r="R935" s="12"/>
      <c r="S935" s="12"/>
      <c r="T935" s="12"/>
      <c r="U935" s="18"/>
      <c r="V935" s="12"/>
      <c r="W935" s="12"/>
      <c r="X935" s="12"/>
      <c r="Y935" s="12"/>
      <c r="Z935" s="12"/>
    </row>
    <row r="936" spans="1:26" ht="15" customHeight="1" x14ac:dyDescent="0.3">
      <c r="A936" s="27"/>
      <c r="B936" s="12"/>
      <c r="C936" s="12"/>
      <c r="D936" s="12"/>
      <c r="E936" s="12"/>
      <c r="F936" s="12"/>
      <c r="G936" s="12"/>
      <c r="H936" s="12"/>
      <c r="I936" s="12"/>
      <c r="J936" s="12"/>
      <c r="K936" s="12"/>
      <c r="L936" s="12"/>
      <c r="M936" s="12"/>
      <c r="N936" s="12"/>
      <c r="O936" s="12"/>
      <c r="P936" s="12"/>
      <c r="Q936" s="12"/>
      <c r="R936" s="12"/>
      <c r="S936" s="12"/>
      <c r="T936" s="12"/>
      <c r="U936" s="18"/>
      <c r="V936" s="12"/>
      <c r="W936" s="12"/>
      <c r="X936" s="12"/>
      <c r="Y936" s="12"/>
      <c r="Z936" s="12"/>
    </row>
    <row r="937" spans="1:26" ht="15" customHeight="1" x14ac:dyDescent="0.3">
      <c r="A937" s="27"/>
      <c r="B937" s="12"/>
      <c r="C937" s="12"/>
      <c r="D937" s="12"/>
      <c r="E937" s="12"/>
      <c r="F937" s="12"/>
      <c r="G937" s="12"/>
      <c r="H937" s="12"/>
      <c r="I937" s="12"/>
      <c r="J937" s="12"/>
      <c r="K937" s="12"/>
      <c r="L937" s="12"/>
      <c r="M937" s="12"/>
      <c r="N937" s="12"/>
      <c r="O937" s="12"/>
      <c r="P937" s="12"/>
      <c r="Q937" s="12"/>
      <c r="R937" s="12"/>
      <c r="S937" s="12"/>
      <c r="T937" s="12"/>
      <c r="U937" s="18"/>
      <c r="V937" s="12"/>
      <c r="W937" s="12"/>
      <c r="X937" s="12"/>
      <c r="Y937" s="12"/>
      <c r="Z937" s="12"/>
    </row>
    <row r="938" spans="1:26" ht="15" customHeight="1" x14ac:dyDescent="0.3">
      <c r="A938" s="27"/>
      <c r="B938" s="12"/>
      <c r="C938" s="12"/>
      <c r="D938" s="12"/>
      <c r="E938" s="12"/>
      <c r="F938" s="12"/>
      <c r="G938" s="12"/>
      <c r="H938" s="12"/>
      <c r="I938" s="12"/>
      <c r="J938" s="12"/>
      <c r="K938" s="12"/>
      <c r="L938" s="12"/>
      <c r="M938" s="12"/>
      <c r="N938" s="12"/>
      <c r="O938" s="12"/>
      <c r="P938" s="12"/>
      <c r="Q938" s="12"/>
      <c r="R938" s="12"/>
      <c r="S938" s="12"/>
      <c r="T938" s="12"/>
      <c r="U938" s="18"/>
      <c r="V938" s="12"/>
      <c r="W938" s="12"/>
      <c r="X938" s="12"/>
      <c r="Y938" s="12"/>
      <c r="Z938" s="12"/>
    </row>
    <row r="939" spans="1:26" ht="15" customHeight="1" x14ac:dyDescent="0.3">
      <c r="A939" s="27"/>
      <c r="B939" s="12"/>
      <c r="C939" s="12"/>
      <c r="D939" s="12"/>
      <c r="E939" s="12"/>
      <c r="F939" s="12"/>
      <c r="G939" s="12"/>
      <c r="H939" s="12"/>
      <c r="I939" s="12"/>
      <c r="J939" s="12"/>
      <c r="K939" s="12"/>
      <c r="L939" s="12"/>
      <c r="M939" s="12"/>
      <c r="N939" s="12"/>
      <c r="O939" s="12"/>
      <c r="P939" s="12"/>
      <c r="Q939" s="12"/>
      <c r="R939" s="12"/>
      <c r="S939" s="12"/>
      <c r="T939" s="12"/>
      <c r="U939" s="18"/>
      <c r="V939" s="12"/>
      <c r="W939" s="12"/>
      <c r="X939" s="12"/>
      <c r="Y939" s="12"/>
      <c r="Z939" s="12"/>
    </row>
    <row r="940" spans="1:26" ht="15" customHeight="1" x14ac:dyDescent="0.3">
      <c r="A940" s="27"/>
      <c r="B940" s="12"/>
      <c r="C940" s="12"/>
      <c r="D940" s="12"/>
      <c r="E940" s="12"/>
      <c r="F940" s="12"/>
      <c r="G940" s="12"/>
      <c r="H940" s="12"/>
      <c r="I940" s="12"/>
      <c r="J940" s="12"/>
      <c r="K940" s="12"/>
      <c r="L940" s="12"/>
      <c r="M940" s="12"/>
      <c r="N940" s="12"/>
      <c r="O940" s="12"/>
      <c r="P940" s="12"/>
      <c r="Q940" s="12"/>
      <c r="R940" s="12"/>
      <c r="S940" s="12"/>
      <c r="T940" s="12"/>
      <c r="U940" s="18"/>
      <c r="V940" s="12"/>
      <c r="W940" s="12"/>
      <c r="X940" s="12"/>
      <c r="Y940" s="12"/>
      <c r="Z940" s="12"/>
    </row>
    <row r="941" spans="1:26" ht="15" customHeight="1" x14ac:dyDescent="0.3">
      <c r="A941" s="27"/>
      <c r="B941" s="12"/>
      <c r="C941" s="12"/>
      <c r="D941" s="12"/>
      <c r="E941" s="12"/>
      <c r="F941" s="12"/>
      <c r="G941" s="12"/>
      <c r="H941" s="12"/>
      <c r="I941" s="12"/>
      <c r="J941" s="12"/>
      <c r="K941" s="12"/>
      <c r="L941" s="12"/>
      <c r="M941" s="12"/>
      <c r="N941" s="12"/>
      <c r="O941" s="12"/>
      <c r="P941" s="12"/>
      <c r="Q941" s="12"/>
      <c r="R941" s="12"/>
      <c r="S941" s="12"/>
      <c r="T941" s="12"/>
      <c r="U941" s="18"/>
      <c r="V941" s="12"/>
      <c r="W941" s="12"/>
      <c r="X941" s="12"/>
      <c r="Y941" s="12"/>
      <c r="Z941" s="12"/>
    </row>
    <row r="942" spans="1:26" ht="15" customHeight="1" x14ac:dyDescent="0.3">
      <c r="A942" s="27"/>
      <c r="B942" s="12"/>
      <c r="C942" s="12"/>
      <c r="D942" s="12"/>
      <c r="E942" s="12"/>
      <c r="F942" s="12"/>
      <c r="G942" s="12"/>
      <c r="H942" s="12"/>
      <c r="I942" s="12"/>
      <c r="J942" s="12"/>
      <c r="K942" s="12"/>
      <c r="L942" s="12"/>
      <c r="M942" s="12"/>
      <c r="N942" s="12"/>
      <c r="O942" s="12"/>
      <c r="P942" s="12"/>
      <c r="Q942" s="12"/>
      <c r="R942" s="12"/>
      <c r="S942" s="12"/>
      <c r="T942" s="12"/>
      <c r="U942" s="18"/>
      <c r="V942" s="12"/>
      <c r="W942" s="12"/>
      <c r="X942" s="12"/>
      <c r="Y942" s="12"/>
      <c r="Z942" s="12"/>
    </row>
    <row r="943" spans="1:26" ht="15" customHeight="1" x14ac:dyDescent="0.3">
      <c r="A943" s="27"/>
      <c r="B943" s="12"/>
      <c r="C943" s="12"/>
      <c r="D943" s="12"/>
      <c r="E943" s="12"/>
      <c r="F943" s="12"/>
      <c r="G943" s="12"/>
      <c r="H943" s="12"/>
      <c r="I943" s="12"/>
      <c r="J943" s="12"/>
      <c r="K943" s="12"/>
      <c r="L943" s="12"/>
      <c r="M943" s="12"/>
      <c r="N943" s="12"/>
      <c r="O943" s="12"/>
      <c r="P943" s="12"/>
      <c r="Q943" s="12"/>
      <c r="R943" s="12"/>
      <c r="S943" s="12"/>
      <c r="T943" s="12"/>
      <c r="U943" s="18"/>
      <c r="V943" s="12"/>
      <c r="W943" s="12"/>
      <c r="X943" s="12"/>
      <c r="Y943" s="12"/>
      <c r="Z943" s="12"/>
    </row>
    <row r="944" spans="1:26" ht="15" customHeight="1" x14ac:dyDescent="0.3">
      <c r="A944" s="27"/>
      <c r="B944" s="12"/>
      <c r="C944" s="12"/>
      <c r="D944" s="12"/>
      <c r="E944" s="12"/>
      <c r="F944" s="12"/>
      <c r="G944" s="12"/>
      <c r="H944" s="12"/>
      <c r="I944" s="12"/>
      <c r="J944" s="12"/>
      <c r="K944" s="12"/>
      <c r="L944" s="12"/>
      <c r="M944" s="12"/>
      <c r="N944" s="12"/>
      <c r="O944" s="12"/>
      <c r="P944" s="12"/>
      <c r="Q944" s="12"/>
      <c r="R944" s="12"/>
      <c r="S944" s="12"/>
      <c r="T944" s="12"/>
      <c r="U944" s="18"/>
      <c r="V944" s="12"/>
      <c r="W944" s="12"/>
      <c r="X944" s="12"/>
      <c r="Y944" s="12"/>
      <c r="Z944" s="12"/>
    </row>
    <row r="945" spans="1:26" ht="15" customHeight="1" x14ac:dyDescent="0.3">
      <c r="A945" s="27"/>
      <c r="B945" s="12"/>
      <c r="C945" s="12"/>
      <c r="D945" s="12"/>
      <c r="E945" s="12"/>
      <c r="F945" s="12"/>
      <c r="G945" s="12"/>
      <c r="H945" s="12"/>
      <c r="I945" s="12"/>
      <c r="J945" s="12"/>
      <c r="K945" s="12"/>
      <c r="L945" s="12"/>
      <c r="M945" s="12"/>
      <c r="N945" s="12"/>
      <c r="O945" s="12"/>
      <c r="P945" s="12"/>
      <c r="Q945" s="12"/>
      <c r="R945" s="12"/>
      <c r="S945" s="12"/>
      <c r="T945" s="12"/>
      <c r="U945" s="18"/>
      <c r="V945" s="12"/>
      <c r="W945" s="12"/>
      <c r="X945" s="12"/>
      <c r="Y945" s="12"/>
      <c r="Z945" s="12"/>
    </row>
    <row r="946" spans="1:26" ht="15" customHeight="1" x14ac:dyDescent="0.3">
      <c r="A946" s="27"/>
      <c r="B946" s="12"/>
      <c r="C946" s="12"/>
      <c r="D946" s="12"/>
      <c r="E946" s="12"/>
      <c r="F946" s="12"/>
      <c r="G946" s="12"/>
      <c r="H946" s="12"/>
      <c r="I946" s="12"/>
      <c r="J946" s="12"/>
      <c r="K946" s="12"/>
      <c r="L946" s="12"/>
      <c r="M946" s="12"/>
      <c r="N946" s="12"/>
      <c r="O946" s="12"/>
      <c r="P946" s="12"/>
      <c r="Q946" s="12"/>
      <c r="R946" s="12"/>
      <c r="S946" s="12"/>
      <c r="T946" s="12"/>
      <c r="U946" s="18"/>
      <c r="V946" s="12"/>
      <c r="W946" s="12"/>
      <c r="X946" s="12"/>
      <c r="Y946" s="12"/>
      <c r="Z946" s="12"/>
    </row>
    <row r="947" spans="1:26" ht="15" customHeight="1" x14ac:dyDescent="0.3">
      <c r="A947" s="27"/>
      <c r="B947" s="12"/>
      <c r="C947" s="12"/>
      <c r="D947" s="12"/>
      <c r="E947" s="12"/>
      <c r="F947" s="12"/>
      <c r="G947" s="12"/>
      <c r="H947" s="12"/>
      <c r="I947" s="12"/>
      <c r="J947" s="12"/>
      <c r="K947" s="12"/>
      <c r="L947" s="12"/>
      <c r="M947" s="12"/>
      <c r="N947" s="12"/>
      <c r="O947" s="12"/>
      <c r="P947" s="12"/>
      <c r="Q947" s="12"/>
      <c r="R947" s="12"/>
      <c r="S947" s="12"/>
      <c r="T947" s="12"/>
      <c r="U947" s="18"/>
      <c r="V947" s="12"/>
      <c r="W947" s="12"/>
      <c r="X947" s="12"/>
      <c r="Y947" s="12"/>
      <c r="Z947" s="12"/>
    </row>
    <row r="948" spans="1:26" ht="15" customHeight="1" x14ac:dyDescent="0.3">
      <c r="A948" s="27"/>
      <c r="B948" s="12"/>
      <c r="C948" s="12"/>
      <c r="D948" s="12"/>
      <c r="E948" s="12"/>
      <c r="F948" s="12"/>
      <c r="G948" s="12"/>
      <c r="H948" s="12"/>
      <c r="I948" s="12"/>
      <c r="J948" s="12"/>
      <c r="K948" s="12"/>
      <c r="L948" s="12"/>
      <c r="M948" s="12"/>
      <c r="N948" s="12"/>
      <c r="O948" s="12"/>
      <c r="P948" s="12"/>
      <c r="Q948" s="12"/>
      <c r="R948" s="12"/>
      <c r="S948" s="12"/>
      <c r="T948" s="12"/>
      <c r="U948" s="18"/>
      <c r="V948" s="12"/>
      <c r="W948" s="12"/>
      <c r="X948" s="12"/>
      <c r="Y948" s="12"/>
      <c r="Z948" s="12"/>
    </row>
    <row r="949" spans="1:26" ht="15" customHeight="1" x14ac:dyDescent="0.3">
      <c r="A949" s="27"/>
      <c r="B949" s="12"/>
      <c r="C949" s="12"/>
      <c r="D949" s="12"/>
      <c r="E949" s="12"/>
      <c r="F949" s="12"/>
      <c r="G949" s="12"/>
      <c r="H949" s="12"/>
      <c r="I949" s="12"/>
      <c r="J949" s="12"/>
      <c r="K949" s="12"/>
      <c r="L949" s="12"/>
      <c r="M949" s="12"/>
      <c r="N949" s="12"/>
      <c r="O949" s="12"/>
      <c r="P949" s="12"/>
      <c r="Q949" s="12"/>
      <c r="R949" s="12"/>
      <c r="S949" s="12"/>
      <c r="T949" s="12"/>
      <c r="U949" s="18"/>
      <c r="V949" s="12"/>
      <c r="W949" s="12"/>
      <c r="X949" s="12"/>
      <c r="Y949" s="12"/>
      <c r="Z949" s="12"/>
    </row>
    <row r="950" spans="1:26" ht="15" customHeight="1" x14ac:dyDescent="0.3">
      <c r="A950" s="27"/>
      <c r="B950" s="12"/>
      <c r="C950" s="12"/>
      <c r="D950" s="12"/>
      <c r="E950" s="12"/>
      <c r="F950" s="12"/>
      <c r="G950" s="12"/>
      <c r="H950" s="12"/>
      <c r="I950" s="12"/>
      <c r="J950" s="12"/>
      <c r="K950" s="12"/>
      <c r="L950" s="12"/>
      <c r="M950" s="12"/>
      <c r="N950" s="12"/>
      <c r="O950" s="12"/>
      <c r="P950" s="12"/>
      <c r="Q950" s="12"/>
      <c r="R950" s="12"/>
      <c r="S950" s="12"/>
      <c r="T950" s="12"/>
      <c r="U950" s="18"/>
      <c r="V950" s="12"/>
      <c r="W950" s="12"/>
      <c r="X950" s="12"/>
      <c r="Y950" s="12"/>
      <c r="Z950" s="12"/>
    </row>
    <row r="951" spans="1:26" ht="15" customHeight="1" x14ac:dyDescent="0.3">
      <c r="A951" s="27"/>
      <c r="B951" s="12"/>
      <c r="C951" s="12"/>
      <c r="D951" s="12"/>
      <c r="E951" s="12"/>
      <c r="F951" s="12"/>
      <c r="G951" s="12"/>
      <c r="H951" s="12"/>
      <c r="I951" s="12"/>
      <c r="J951" s="12"/>
      <c r="K951" s="12"/>
      <c r="L951" s="12"/>
      <c r="M951" s="12"/>
      <c r="N951" s="12"/>
      <c r="O951" s="12"/>
      <c r="P951" s="12"/>
      <c r="Q951" s="12"/>
      <c r="R951" s="12"/>
      <c r="S951" s="12"/>
      <c r="T951" s="12"/>
      <c r="U951" s="18"/>
      <c r="V951" s="12"/>
      <c r="W951" s="12"/>
      <c r="X951" s="12"/>
      <c r="Y951" s="12"/>
      <c r="Z951" s="12"/>
    </row>
    <row r="952" spans="1:26" ht="15" customHeight="1" x14ac:dyDescent="0.3">
      <c r="A952" s="27"/>
      <c r="B952" s="12"/>
      <c r="C952" s="12"/>
      <c r="D952" s="12"/>
      <c r="E952" s="12"/>
      <c r="F952" s="12"/>
      <c r="G952" s="12"/>
      <c r="H952" s="12"/>
      <c r="I952" s="12"/>
      <c r="J952" s="12"/>
      <c r="K952" s="12"/>
      <c r="L952" s="12"/>
      <c r="M952" s="12"/>
      <c r="N952" s="12"/>
      <c r="O952" s="12"/>
      <c r="P952" s="12"/>
      <c r="Q952" s="12"/>
      <c r="R952" s="12"/>
      <c r="S952" s="12"/>
      <c r="T952" s="12"/>
      <c r="U952" s="18"/>
      <c r="V952" s="12"/>
      <c r="W952" s="12"/>
      <c r="X952" s="12"/>
      <c r="Y952" s="12"/>
      <c r="Z952" s="12"/>
    </row>
    <row r="953" spans="1:26" ht="15" customHeight="1" x14ac:dyDescent="0.3">
      <c r="A953" s="27"/>
      <c r="B953" s="12"/>
      <c r="C953" s="12"/>
      <c r="D953" s="12"/>
      <c r="E953" s="12"/>
      <c r="F953" s="12"/>
      <c r="G953" s="12"/>
      <c r="H953" s="12"/>
      <c r="I953" s="12"/>
      <c r="J953" s="12"/>
      <c r="K953" s="12"/>
      <c r="L953" s="12"/>
      <c r="M953" s="12"/>
      <c r="N953" s="12"/>
      <c r="O953" s="12"/>
      <c r="P953" s="12"/>
      <c r="Q953" s="12"/>
      <c r="R953" s="12"/>
      <c r="S953" s="12"/>
      <c r="T953" s="12"/>
      <c r="U953" s="18"/>
      <c r="V953" s="12"/>
      <c r="W953" s="12"/>
      <c r="X953" s="12"/>
      <c r="Y953" s="12"/>
      <c r="Z953" s="12"/>
    </row>
    <row r="954" spans="1:26" ht="15" customHeight="1" x14ac:dyDescent="0.3">
      <c r="A954" s="27"/>
      <c r="B954" s="12"/>
      <c r="C954" s="12"/>
      <c r="D954" s="12"/>
      <c r="E954" s="12"/>
      <c r="F954" s="12"/>
      <c r="G954" s="12"/>
      <c r="H954" s="12"/>
      <c r="I954" s="12"/>
      <c r="J954" s="12"/>
      <c r="K954" s="12"/>
      <c r="L954" s="12"/>
      <c r="M954" s="12"/>
      <c r="N954" s="12"/>
      <c r="O954" s="12"/>
      <c r="P954" s="12"/>
      <c r="Q954" s="12"/>
      <c r="R954" s="12"/>
      <c r="S954" s="12"/>
      <c r="T954" s="12"/>
      <c r="U954" s="18"/>
      <c r="V954" s="12"/>
      <c r="W954" s="12"/>
      <c r="X954" s="12"/>
      <c r="Y954" s="12"/>
      <c r="Z954" s="12"/>
    </row>
    <row r="955" spans="1:26" ht="15" customHeight="1" x14ac:dyDescent="0.3">
      <c r="A955" s="27"/>
      <c r="B955" s="12"/>
      <c r="C955" s="12"/>
      <c r="D955" s="12"/>
      <c r="E955" s="12"/>
      <c r="F955" s="12"/>
      <c r="G955" s="12"/>
      <c r="H955" s="12"/>
      <c r="I955" s="12"/>
      <c r="J955" s="12"/>
      <c r="K955" s="12"/>
      <c r="L955" s="12"/>
      <c r="M955" s="12"/>
      <c r="N955" s="12"/>
      <c r="O955" s="12"/>
      <c r="P955" s="12"/>
      <c r="Q955" s="12"/>
      <c r="R955" s="12"/>
      <c r="S955" s="12"/>
      <c r="T955" s="12"/>
      <c r="U955" s="18"/>
      <c r="V955" s="12"/>
      <c r="W955" s="12"/>
      <c r="X955" s="12"/>
      <c r="Y955" s="12"/>
      <c r="Z955" s="12"/>
    </row>
    <row r="956" spans="1:26" ht="15" customHeight="1" x14ac:dyDescent="0.3">
      <c r="A956" s="27"/>
      <c r="B956" s="12"/>
      <c r="C956" s="12"/>
      <c r="D956" s="12"/>
      <c r="E956" s="12"/>
      <c r="F956" s="12"/>
      <c r="G956" s="12"/>
      <c r="H956" s="12"/>
      <c r="I956" s="12"/>
      <c r="J956" s="12"/>
      <c r="K956" s="12"/>
      <c r="L956" s="12"/>
      <c r="M956" s="12"/>
      <c r="N956" s="12"/>
      <c r="O956" s="12"/>
      <c r="P956" s="12"/>
      <c r="Q956" s="12"/>
      <c r="R956" s="12"/>
      <c r="S956" s="12"/>
      <c r="T956" s="12"/>
      <c r="U956" s="18"/>
      <c r="V956" s="12"/>
      <c r="W956" s="12"/>
      <c r="X956" s="12"/>
      <c r="Y956" s="12"/>
      <c r="Z956" s="12"/>
    </row>
    <row r="957" spans="1:26" ht="15" customHeight="1" x14ac:dyDescent="0.3">
      <c r="A957" s="27"/>
      <c r="B957" s="12"/>
      <c r="C957" s="12"/>
      <c r="D957" s="12"/>
      <c r="E957" s="12"/>
      <c r="F957" s="12"/>
      <c r="G957" s="12"/>
      <c r="H957" s="12"/>
      <c r="I957" s="12"/>
      <c r="J957" s="12"/>
      <c r="K957" s="12"/>
      <c r="L957" s="12"/>
      <c r="M957" s="12"/>
      <c r="N957" s="12"/>
      <c r="O957" s="12"/>
      <c r="P957" s="12"/>
      <c r="Q957" s="12"/>
      <c r="R957" s="12"/>
      <c r="S957" s="12"/>
      <c r="T957" s="12"/>
      <c r="U957" s="18"/>
      <c r="V957" s="12"/>
      <c r="W957" s="12"/>
      <c r="X957" s="12"/>
      <c r="Y957" s="12"/>
      <c r="Z957" s="12"/>
    </row>
    <row r="958" spans="1:26" ht="15" customHeight="1" x14ac:dyDescent="0.3">
      <c r="A958" s="27"/>
      <c r="B958" s="12"/>
      <c r="C958" s="12"/>
      <c r="D958" s="12"/>
      <c r="E958" s="12"/>
      <c r="F958" s="12"/>
      <c r="G958" s="12"/>
      <c r="H958" s="12"/>
      <c r="I958" s="12"/>
      <c r="J958" s="12"/>
      <c r="K958" s="12"/>
      <c r="L958" s="12"/>
      <c r="M958" s="12"/>
      <c r="N958" s="12"/>
      <c r="O958" s="12"/>
      <c r="P958" s="12"/>
      <c r="Q958" s="12"/>
      <c r="R958" s="12"/>
      <c r="S958" s="12"/>
      <c r="T958" s="12"/>
      <c r="U958" s="18"/>
      <c r="V958" s="12"/>
      <c r="W958" s="12"/>
      <c r="X958" s="12"/>
      <c r="Y958" s="12"/>
      <c r="Z958" s="12"/>
    </row>
    <row r="959" spans="1:26" ht="15" customHeight="1" x14ac:dyDescent="0.3">
      <c r="A959" s="27"/>
      <c r="B959" s="12"/>
      <c r="C959" s="12"/>
      <c r="D959" s="12"/>
      <c r="E959" s="12"/>
      <c r="F959" s="12"/>
      <c r="G959" s="12"/>
      <c r="H959" s="12"/>
      <c r="I959" s="12"/>
      <c r="J959" s="12"/>
      <c r="K959" s="12"/>
      <c r="L959" s="12"/>
      <c r="M959" s="12"/>
      <c r="N959" s="12"/>
      <c r="O959" s="12"/>
      <c r="P959" s="12"/>
      <c r="Q959" s="12"/>
      <c r="R959" s="12"/>
      <c r="S959" s="12"/>
      <c r="T959" s="12"/>
      <c r="U959" s="18"/>
      <c r="V959" s="12"/>
      <c r="W959" s="12"/>
      <c r="X959" s="12"/>
      <c r="Y959" s="12"/>
      <c r="Z959" s="12"/>
    </row>
    <row r="960" spans="1:26" ht="15" customHeight="1" x14ac:dyDescent="0.3">
      <c r="A960" s="27"/>
      <c r="B960" s="12"/>
      <c r="C960" s="12"/>
      <c r="D960" s="12"/>
      <c r="E960" s="12"/>
      <c r="F960" s="12"/>
      <c r="G960" s="12"/>
      <c r="H960" s="12"/>
      <c r="I960" s="12"/>
      <c r="J960" s="12"/>
      <c r="K960" s="12"/>
      <c r="L960" s="12"/>
      <c r="M960" s="12"/>
      <c r="N960" s="12"/>
      <c r="O960" s="12"/>
      <c r="P960" s="12"/>
      <c r="Q960" s="12"/>
      <c r="R960" s="12"/>
      <c r="S960" s="12"/>
      <c r="T960" s="12"/>
      <c r="U960" s="18"/>
      <c r="V960" s="12"/>
      <c r="W960" s="12"/>
      <c r="X960" s="12"/>
      <c r="Y960" s="12"/>
      <c r="Z960" s="12"/>
    </row>
    <row r="961" spans="1:26" ht="15" customHeight="1" x14ac:dyDescent="0.3">
      <c r="A961" s="27"/>
      <c r="B961" s="12"/>
      <c r="C961" s="12"/>
      <c r="D961" s="12"/>
      <c r="E961" s="12"/>
      <c r="F961" s="12"/>
      <c r="G961" s="12"/>
      <c r="H961" s="12"/>
      <c r="I961" s="12"/>
      <c r="J961" s="12"/>
      <c r="K961" s="12"/>
      <c r="L961" s="12"/>
      <c r="M961" s="12"/>
      <c r="N961" s="12"/>
      <c r="O961" s="12"/>
      <c r="P961" s="12"/>
      <c r="Q961" s="12"/>
      <c r="R961" s="12"/>
      <c r="S961" s="12"/>
      <c r="T961" s="12"/>
      <c r="U961" s="18"/>
      <c r="V961" s="12"/>
      <c r="W961" s="12"/>
      <c r="X961" s="12"/>
      <c r="Y961" s="12"/>
      <c r="Z961" s="12"/>
    </row>
    <row r="962" spans="1:26" ht="15" customHeight="1" x14ac:dyDescent="0.3">
      <c r="A962" s="27"/>
      <c r="B962" s="12"/>
      <c r="C962" s="12"/>
      <c r="D962" s="12"/>
      <c r="E962" s="12"/>
      <c r="F962" s="12"/>
      <c r="G962" s="12"/>
      <c r="H962" s="12"/>
      <c r="I962" s="12"/>
      <c r="J962" s="12"/>
      <c r="K962" s="12"/>
      <c r="L962" s="12"/>
      <c r="M962" s="12"/>
      <c r="N962" s="12"/>
      <c r="O962" s="12"/>
      <c r="P962" s="12"/>
      <c r="Q962" s="12"/>
      <c r="R962" s="12"/>
      <c r="S962" s="12"/>
      <c r="T962" s="12"/>
      <c r="U962" s="18"/>
      <c r="V962" s="12"/>
      <c r="W962" s="12"/>
      <c r="X962" s="12"/>
      <c r="Y962" s="12"/>
      <c r="Z962" s="12"/>
    </row>
    <row r="963" spans="1:26" ht="15" customHeight="1" x14ac:dyDescent="0.3">
      <c r="A963" s="27"/>
      <c r="B963" s="12"/>
      <c r="C963" s="12"/>
      <c r="D963" s="12"/>
      <c r="E963" s="12"/>
      <c r="F963" s="12"/>
      <c r="G963" s="12"/>
      <c r="H963" s="12"/>
      <c r="I963" s="12"/>
      <c r="J963" s="12"/>
      <c r="K963" s="12"/>
      <c r="L963" s="12"/>
      <c r="M963" s="12"/>
      <c r="N963" s="12"/>
      <c r="O963" s="12"/>
      <c r="P963" s="12"/>
      <c r="Q963" s="12"/>
      <c r="R963" s="12"/>
      <c r="S963" s="12"/>
      <c r="T963" s="12"/>
      <c r="U963" s="18"/>
      <c r="V963" s="12"/>
      <c r="W963" s="12"/>
      <c r="X963" s="12"/>
      <c r="Y963" s="12"/>
      <c r="Z963" s="12"/>
    </row>
    <row r="964" spans="1:26" ht="15" customHeight="1" x14ac:dyDescent="0.3">
      <c r="A964" s="27"/>
      <c r="B964" s="12"/>
      <c r="C964" s="12"/>
      <c r="D964" s="12"/>
      <c r="E964" s="12"/>
      <c r="F964" s="12"/>
      <c r="G964" s="12"/>
      <c r="H964" s="12"/>
      <c r="I964" s="12"/>
      <c r="J964" s="12"/>
      <c r="K964" s="12"/>
      <c r="L964" s="12"/>
      <c r="M964" s="12"/>
      <c r="N964" s="12"/>
      <c r="O964" s="12"/>
      <c r="P964" s="12"/>
      <c r="Q964" s="12"/>
      <c r="R964" s="12"/>
      <c r="S964" s="12"/>
      <c r="T964" s="12"/>
      <c r="U964" s="18"/>
      <c r="V964" s="12"/>
      <c r="W964" s="12"/>
      <c r="X964" s="12"/>
      <c r="Y964" s="12"/>
      <c r="Z964" s="12"/>
    </row>
    <row r="965" spans="1:26" ht="15" customHeight="1" x14ac:dyDescent="0.3">
      <c r="A965" s="27"/>
      <c r="B965" s="12"/>
      <c r="C965" s="12"/>
      <c r="D965" s="12"/>
      <c r="E965" s="12"/>
      <c r="F965" s="12"/>
      <c r="G965" s="12"/>
      <c r="H965" s="12"/>
      <c r="I965" s="12"/>
      <c r="J965" s="12"/>
      <c r="K965" s="12"/>
      <c r="L965" s="12"/>
      <c r="M965" s="12"/>
      <c r="N965" s="12"/>
      <c r="O965" s="12"/>
      <c r="P965" s="12"/>
      <c r="Q965" s="12"/>
      <c r="R965" s="12"/>
      <c r="S965" s="12"/>
      <c r="T965" s="12"/>
      <c r="U965" s="18"/>
      <c r="V965" s="12"/>
      <c r="W965" s="12"/>
      <c r="X965" s="12"/>
      <c r="Y965" s="12"/>
      <c r="Z965" s="12"/>
    </row>
    <row r="966" spans="1:26" ht="15" customHeight="1" x14ac:dyDescent="0.3">
      <c r="A966" s="27"/>
      <c r="B966" s="12"/>
      <c r="C966" s="12"/>
      <c r="D966" s="12"/>
      <c r="E966" s="12"/>
      <c r="F966" s="12"/>
      <c r="G966" s="12"/>
      <c r="H966" s="12"/>
      <c r="I966" s="12"/>
      <c r="J966" s="12"/>
      <c r="K966" s="12"/>
      <c r="L966" s="12"/>
      <c r="M966" s="12"/>
      <c r="N966" s="12"/>
      <c r="O966" s="12"/>
      <c r="P966" s="12"/>
      <c r="Q966" s="12"/>
      <c r="R966" s="12"/>
      <c r="S966" s="12"/>
      <c r="T966" s="12"/>
      <c r="U966" s="18"/>
      <c r="V966" s="12"/>
      <c r="W966" s="12"/>
      <c r="X966" s="12"/>
      <c r="Y966" s="12"/>
      <c r="Z966" s="12"/>
    </row>
    <row r="967" spans="1:26" ht="15" customHeight="1" x14ac:dyDescent="0.3">
      <c r="A967" s="27"/>
      <c r="B967" s="12"/>
      <c r="C967" s="12"/>
      <c r="D967" s="12"/>
      <c r="E967" s="12"/>
      <c r="F967" s="12"/>
      <c r="G967" s="12"/>
      <c r="H967" s="12"/>
      <c r="I967" s="12"/>
      <c r="J967" s="12"/>
      <c r="K967" s="12"/>
      <c r="L967" s="12"/>
      <c r="M967" s="12"/>
      <c r="N967" s="12"/>
      <c r="O967" s="12"/>
      <c r="P967" s="12"/>
      <c r="Q967" s="12"/>
      <c r="R967" s="12"/>
      <c r="S967" s="12"/>
      <c r="T967" s="12"/>
      <c r="U967" s="18"/>
      <c r="V967" s="12"/>
      <c r="W967" s="12"/>
      <c r="X967" s="12"/>
      <c r="Y967" s="12"/>
      <c r="Z967" s="12"/>
    </row>
    <row r="968" spans="1:26" ht="15" customHeight="1" x14ac:dyDescent="0.3">
      <c r="A968" s="27"/>
      <c r="B968" s="12"/>
      <c r="C968" s="12"/>
      <c r="D968" s="12"/>
      <c r="E968" s="12"/>
      <c r="F968" s="12"/>
      <c r="G968" s="12"/>
      <c r="H968" s="12"/>
      <c r="I968" s="12"/>
      <c r="J968" s="12"/>
      <c r="K968" s="12"/>
      <c r="L968" s="12"/>
      <c r="M968" s="12"/>
      <c r="N968" s="12"/>
      <c r="O968" s="12"/>
      <c r="P968" s="12"/>
      <c r="Q968" s="12"/>
      <c r="R968" s="12"/>
      <c r="S968" s="12"/>
      <c r="T968" s="12"/>
      <c r="U968" s="18"/>
      <c r="V968" s="12"/>
      <c r="W968" s="12"/>
      <c r="X968" s="12"/>
      <c r="Y968" s="12"/>
      <c r="Z968" s="12"/>
    </row>
    <row r="969" spans="1:26" ht="15" customHeight="1" x14ac:dyDescent="0.3">
      <c r="A969" s="27"/>
      <c r="B969" s="12"/>
      <c r="C969" s="12"/>
      <c r="D969" s="12"/>
      <c r="E969" s="12"/>
      <c r="F969" s="12"/>
      <c r="G969" s="12"/>
      <c r="H969" s="12"/>
      <c r="I969" s="12"/>
      <c r="J969" s="12"/>
      <c r="K969" s="12"/>
      <c r="L969" s="12"/>
      <c r="M969" s="12"/>
      <c r="N969" s="12"/>
      <c r="O969" s="12"/>
      <c r="P969" s="12"/>
      <c r="Q969" s="12"/>
      <c r="R969" s="12"/>
      <c r="S969" s="12"/>
      <c r="T969" s="12"/>
      <c r="U969" s="18"/>
      <c r="V969" s="12"/>
      <c r="W969" s="12"/>
      <c r="X969" s="12"/>
      <c r="Y969" s="12"/>
      <c r="Z969" s="12"/>
    </row>
    <row r="970" spans="1:26" ht="15" customHeight="1" x14ac:dyDescent="0.3">
      <c r="A970" s="27"/>
      <c r="B970" s="12"/>
      <c r="C970" s="12"/>
      <c r="D970" s="12"/>
      <c r="E970" s="12"/>
      <c r="F970" s="12"/>
      <c r="G970" s="12"/>
      <c r="H970" s="12"/>
      <c r="I970" s="12"/>
      <c r="J970" s="12"/>
      <c r="K970" s="12"/>
      <c r="L970" s="12"/>
      <c r="M970" s="12"/>
      <c r="N970" s="12"/>
      <c r="O970" s="12"/>
      <c r="P970" s="12"/>
      <c r="Q970" s="12"/>
      <c r="R970" s="12"/>
      <c r="S970" s="12"/>
      <c r="T970" s="12"/>
      <c r="U970" s="18"/>
      <c r="V970" s="12"/>
      <c r="W970" s="12"/>
      <c r="X970" s="12"/>
      <c r="Y970" s="12"/>
      <c r="Z970" s="12"/>
    </row>
    <row r="971" spans="1:26" ht="15" customHeight="1" x14ac:dyDescent="0.3">
      <c r="A971" s="27"/>
      <c r="B971" s="12"/>
      <c r="C971" s="12"/>
      <c r="D971" s="12"/>
      <c r="E971" s="12"/>
      <c r="F971" s="12"/>
      <c r="G971" s="12"/>
      <c r="H971" s="12"/>
      <c r="I971" s="12"/>
      <c r="J971" s="12"/>
      <c r="K971" s="12"/>
      <c r="L971" s="12"/>
      <c r="M971" s="12"/>
      <c r="N971" s="12"/>
      <c r="O971" s="12"/>
      <c r="P971" s="12"/>
      <c r="Q971" s="12"/>
      <c r="R971" s="12"/>
      <c r="S971" s="12"/>
      <c r="T971" s="12"/>
      <c r="U971" s="18"/>
      <c r="V971" s="12"/>
      <c r="W971" s="12"/>
      <c r="X971" s="12"/>
      <c r="Y971" s="12"/>
      <c r="Z971" s="12"/>
    </row>
    <row r="972" spans="1:26" ht="15" customHeight="1" x14ac:dyDescent="0.3">
      <c r="A972" s="27"/>
      <c r="B972" s="12"/>
      <c r="C972" s="12"/>
      <c r="D972" s="12"/>
      <c r="E972" s="12"/>
      <c r="F972" s="12"/>
      <c r="G972" s="12"/>
      <c r="H972" s="12"/>
      <c r="I972" s="12"/>
      <c r="J972" s="12"/>
      <c r="K972" s="12"/>
      <c r="L972" s="12"/>
      <c r="M972" s="12"/>
      <c r="N972" s="12"/>
      <c r="O972" s="12"/>
      <c r="P972" s="12"/>
      <c r="Q972" s="12"/>
      <c r="R972" s="12"/>
      <c r="S972" s="12"/>
      <c r="T972" s="12"/>
      <c r="U972" s="18"/>
      <c r="V972" s="12"/>
      <c r="W972" s="12"/>
      <c r="X972" s="12"/>
      <c r="Y972" s="12"/>
      <c r="Z972" s="12"/>
    </row>
    <row r="973" spans="1:26" ht="15" customHeight="1" x14ac:dyDescent="0.3">
      <c r="A973" s="27"/>
      <c r="B973" s="12"/>
      <c r="C973" s="12"/>
      <c r="D973" s="12"/>
      <c r="E973" s="12"/>
      <c r="F973" s="12"/>
      <c r="G973" s="12"/>
      <c r="H973" s="12"/>
      <c r="I973" s="12"/>
      <c r="J973" s="12"/>
      <c r="K973" s="12"/>
      <c r="L973" s="12"/>
      <c r="M973" s="12"/>
      <c r="N973" s="12"/>
      <c r="O973" s="12"/>
      <c r="P973" s="12"/>
      <c r="Q973" s="12"/>
      <c r="R973" s="12"/>
      <c r="S973" s="12"/>
      <c r="T973" s="12"/>
      <c r="U973" s="18"/>
      <c r="V973" s="12"/>
      <c r="W973" s="12"/>
      <c r="X973" s="12"/>
      <c r="Y973" s="12"/>
      <c r="Z973" s="12"/>
    </row>
    <row r="974" spans="1:26" ht="15" customHeight="1" x14ac:dyDescent="0.3">
      <c r="A974" s="27"/>
      <c r="B974" s="12"/>
      <c r="C974" s="12"/>
      <c r="D974" s="12"/>
      <c r="E974" s="12"/>
      <c r="F974" s="12"/>
      <c r="G974" s="12"/>
      <c r="H974" s="12"/>
      <c r="I974" s="12"/>
      <c r="J974" s="12"/>
      <c r="K974" s="12"/>
      <c r="L974" s="12"/>
      <c r="M974" s="12"/>
      <c r="N974" s="12"/>
      <c r="O974" s="12"/>
      <c r="P974" s="12"/>
      <c r="Q974" s="12"/>
      <c r="R974" s="12"/>
      <c r="S974" s="12"/>
      <c r="T974" s="12"/>
      <c r="U974" s="18"/>
      <c r="V974" s="12"/>
      <c r="W974" s="12"/>
      <c r="X974" s="12"/>
      <c r="Y974" s="12"/>
      <c r="Z974" s="12"/>
    </row>
    <row r="975" spans="1:26" ht="15" customHeight="1" x14ac:dyDescent="0.3">
      <c r="A975" s="27"/>
      <c r="B975" s="12"/>
      <c r="C975" s="12"/>
      <c r="D975" s="12"/>
      <c r="E975" s="12"/>
      <c r="F975" s="12"/>
      <c r="G975" s="12"/>
      <c r="H975" s="12"/>
      <c r="I975" s="12"/>
      <c r="J975" s="12"/>
      <c r="K975" s="12"/>
      <c r="L975" s="12"/>
      <c r="M975" s="12"/>
      <c r="N975" s="12"/>
      <c r="O975" s="12"/>
      <c r="P975" s="12"/>
      <c r="Q975" s="12"/>
      <c r="R975" s="12"/>
      <c r="S975" s="12"/>
      <c r="T975" s="12"/>
      <c r="U975" s="18"/>
      <c r="V975" s="12"/>
      <c r="W975" s="12"/>
      <c r="X975" s="12"/>
      <c r="Y975" s="12"/>
      <c r="Z975" s="12"/>
    </row>
    <row r="976" spans="1:26" ht="15" customHeight="1" x14ac:dyDescent="0.3">
      <c r="A976" s="27"/>
      <c r="B976" s="12"/>
      <c r="C976" s="12"/>
      <c r="D976" s="12"/>
      <c r="E976" s="12"/>
      <c r="F976" s="12"/>
      <c r="G976" s="12"/>
      <c r="H976" s="12"/>
      <c r="I976" s="12"/>
      <c r="J976" s="12"/>
      <c r="K976" s="12"/>
      <c r="L976" s="12"/>
      <c r="M976" s="12"/>
      <c r="N976" s="12"/>
      <c r="O976" s="12"/>
      <c r="P976" s="12"/>
      <c r="Q976" s="12"/>
      <c r="R976" s="12"/>
      <c r="S976" s="12"/>
      <c r="T976" s="12"/>
      <c r="U976" s="18"/>
      <c r="V976" s="12"/>
      <c r="W976" s="12"/>
      <c r="X976" s="12"/>
      <c r="Y976" s="12"/>
      <c r="Z976" s="12"/>
    </row>
    <row r="977" spans="1:26" ht="15" customHeight="1" x14ac:dyDescent="0.3">
      <c r="A977" s="27"/>
      <c r="B977" s="12"/>
      <c r="C977" s="12"/>
      <c r="D977" s="12"/>
      <c r="E977" s="12"/>
      <c r="F977" s="12"/>
      <c r="G977" s="12"/>
      <c r="H977" s="12"/>
      <c r="I977" s="12"/>
      <c r="J977" s="12"/>
      <c r="K977" s="12"/>
      <c r="L977" s="12"/>
      <c r="M977" s="12"/>
      <c r="N977" s="12"/>
      <c r="O977" s="12"/>
      <c r="P977" s="12"/>
      <c r="Q977" s="12"/>
      <c r="R977" s="12"/>
      <c r="S977" s="12"/>
      <c r="T977" s="12"/>
      <c r="U977" s="18"/>
      <c r="V977" s="12"/>
      <c r="W977" s="12"/>
      <c r="X977" s="12"/>
      <c r="Y977" s="12"/>
      <c r="Z977" s="12"/>
    </row>
    <row r="978" spans="1:26" ht="15" customHeight="1" x14ac:dyDescent="0.3">
      <c r="A978" s="27"/>
      <c r="B978" s="12"/>
      <c r="C978" s="12"/>
      <c r="D978" s="12"/>
      <c r="E978" s="12"/>
      <c r="F978" s="12"/>
      <c r="G978" s="12"/>
      <c r="H978" s="12"/>
      <c r="I978" s="12"/>
      <c r="J978" s="12"/>
      <c r="K978" s="12"/>
      <c r="L978" s="12"/>
      <c r="M978" s="12"/>
      <c r="N978" s="12"/>
      <c r="O978" s="12"/>
      <c r="P978" s="12"/>
      <c r="Q978" s="12"/>
      <c r="R978" s="12"/>
      <c r="S978" s="12"/>
      <c r="T978" s="12"/>
      <c r="U978" s="18"/>
      <c r="V978" s="12"/>
      <c r="W978" s="12"/>
      <c r="X978" s="12"/>
      <c r="Y978" s="12"/>
      <c r="Z978" s="12"/>
    </row>
    <row r="979" spans="1:26" ht="15" customHeight="1" x14ac:dyDescent="0.3">
      <c r="A979" s="27"/>
      <c r="B979" s="12"/>
      <c r="C979" s="12"/>
      <c r="D979" s="12"/>
      <c r="E979" s="12"/>
      <c r="F979" s="12"/>
      <c r="G979" s="12"/>
      <c r="H979" s="12"/>
      <c r="I979" s="12"/>
      <c r="J979" s="12"/>
      <c r="K979" s="12"/>
      <c r="L979" s="12"/>
      <c r="M979" s="12"/>
      <c r="N979" s="12"/>
      <c r="O979" s="12"/>
      <c r="P979" s="12"/>
      <c r="Q979" s="12"/>
      <c r="R979" s="12"/>
      <c r="S979" s="12"/>
      <c r="T979" s="12"/>
      <c r="U979" s="18"/>
      <c r="V979" s="12"/>
      <c r="W979" s="12"/>
      <c r="X979" s="12"/>
      <c r="Y979" s="12"/>
      <c r="Z979" s="12"/>
    </row>
    <row r="980" spans="1:26" ht="15" customHeight="1" x14ac:dyDescent="0.3">
      <c r="A980" s="27"/>
      <c r="B980" s="12"/>
      <c r="C980" s="12"/>
      <c r="D980" s="12"/>
      <c r="E980" s="12"/>
      <c r="F980" s="12"/>
      <c r="G980" s="12"/>
      <c r="H980" s="12"/>
      <c r="I980" s="12"/>
      <c r="J980" s="12"/>
      <c r="K980" s="12"/>
      <c r="L980" s="12"/>
      <c r="M980" s="12"/>
      <c r="N980" s="12"/>
      <c r="O980" s="12"/>
      <c r="P980" s="12"/>
      <c r="Q980" s="12"/>
      <c r="R980" s="12"/>
      <c r="S980" s="12"/>
      <c r="T980" s="12"/>
      <c r="U980" s="18"/>
      <c r="V980" s="12"/>
      <c r="W980" s="12"/>
      <c r="X980" s="12"/>
      <c r="Y980" s="12"/>
      <c r="Z980" s="12"/>
    </row>
    <row r="981" spans="1:26" ht="15" customHeight="1" x14ac:dyDescent="0.3">
      <c r="A981" s="27"/>
      <c r="B981" s="12"/>
      <c r="C981" s="12"/>
      <c r="D981" s="12"/>
      <c r="E981" s="12"/>
      <c r="F981" s="12"/>
      <c r="G981" s="12"/>
      <c r="H981" s="12"/>
      <c r="I981" s="12"/>
      <c r="J981" s="12"/>
      <c r="K981" s="12"/>
      <c r="L981" s="12"/>
      <c r="M981" s="12"/>
      <c r="N981" s="12"/>
      <c r="O981" s="12"/>
      <c r="P981" s="12"/>
      <c r="Q981" s="12"/>
      <c r="R981" s="12"/>
      <c r="S981" s="12"/>
      <c r="T981" s="12"/>
      <c r="U981" s="18"/>
      <c r="V981" s="12"/>
      <c r="W981" s="12"/>
      <c r="X981" s="12"/>
      <c r="Y981" s="12"/>
      <c r="Z981" s="12"/>
    </row>
    <row r="982" spans="1:26" ht="15" customHeight="1" x14ac:dyDescent="0.3">
      <c r="A982" s="27"/>
      <c r="B982" s="12"/>
      <c r="C982" s="12"/>
      <c r="D982" s="12"/>
      <c r="E982" s="12"/>
      <c r="F982" s="12"/>
      <c r="G982" s="12"/>
      <c r="H982" s="12"/>
      <c r="I982" s="12"/>
      <c r="J982" s="12"/>
      <c r="K982" s="12"/>
      <c r="L982" s="12"/>
      <c r="M982" s="12"/>
      <c r="N982" s="12"/>
      <c r="O982" s="12"/>
      <c r="P982" s="12"/>
      <c r="Q982" s="12"/>
      <c r="R982" s="12"/>
      <c r="S982" s="12"/>
      <c r="T982" s="12"/>
      <c r="U982" s="18"/>
      <c r="V982" s="12"/>
      <c r="W982" s="12"/>
      <c r="X982" s="12"/>
      <c r="Y982" s="12"/>
      <c r="Z982" s="12"/>
    </row>
    <row r="983" spans="1:26" ht="15" customHeight="1" x14ac:dyDescent="0.3">
      <c r="A983" s="27"/>
      <c r="B983" s="12"/>
      <c r="C983" s="12"/>
      <c r="D983" s="12"/>
      <c r="E983" s="12"/>
      <c r="F983" s="12"/>
      <c r="G983" s="12"/>
      <c r="H983" s="12"/>
      <c r="I983" s="12"/>
      <c r="J983" s="12"/>
      <c r="K983" s="12"/>
      <c r="L983" s="12"/>
      <c r="M983" s="12"/>
      <c r="N983" s="12"/>
      <c r="O983" s="12"/>
      <c r="P983" s="12"/>
      <c r="Q983" s="12"/>
      <c r="R983" s="12"/>
      <c r="S983" s="12"/>
      <c r="T983" s="12"/>
      <c r="U983" s="18"/>
      <c r="V983" s="12"/>
      <c r="W983" s="12"/>
      <c r="X983" s="12"/>
      <c r="Y983" s="12"/>
      <c r="Z983" s="12"/>
    </row>
    <row r="984" spans="1:26" ht="15" customHeight="1" x14ac:dyDescent="0.3">
      <c r="A984" s="27"/>
      <c r="B984" s="12"/>
      <c r="C984" s="12"/>
      <c r="D984" s="12"/>
      <c r="E984" s="12"/>
      <c r="F984" s="12"/>
      <c r="G984" s="12"/>
      <c r="H984" s="12"/>
      <c r="I984" s="12"/>
      <c r="J984" s="12"/>
      <c r="K984" s="12"/>
      <c r="L984" s="12"/>
      <c r="M984" s="12"/>
      <c r="N984" s="12"/>
      <c r="O984" s="12"/>
      <c r="P984" s="12"/>
      <c r="Q984" s="12"/>
      <c r="R984" s="12"/>
      <c r="S984" s="12"/>
      <c r="T984" s="12"/>
      <c r="U984" s="18"/>
      <c r="V984" s="12"/>
      <c r="W984" s="12"/>
      <c r="X984" s="12"/>
      <c r="Y984" s="12"/>
      <c r="Z984" s="12"/>
    </row>
    <row r="985" spans="1:26" ht="15" customHeight="1" x14ac:dyDescent="0.3">
      <c r="A985" s="27"/>
      <c r="B985" s="12"/>
      <c r="C985" s="12"/>
      <c r="D985" s="12"/>
      <c r="E985" s="12"/>
      <c r="F985" s="12"/>
      <c r="G985" s="12"/>
      <c r="H985" s="12"/>
      <c r="I985" s="12"/>
      <c r="J985" s="12"/>
      <c r="K985" s="12"/>
      <c r="L985" s="12"/>
      <c r="M985" s="12"/>
      <c r="N985" s="12"/>
      <c r="O985" s="12"/>
      <c r="P985" s="12"/>
      <c r="Q985" s="12"/>
      <c r="R985" s="12"/>
      <c r="S985" s="12"/>
      <c r="T985" s="12"/>
      <c r="U985" s="18"/>
      <c r="V985" s="12"/>
      <c r="W985" s="12"/>
      <c r="X985" s="12"/>
      <c r="Y985" s="12"/>
      <c r="Z985" s="12"/>
    </row>
    <row r="986" spans="1:26" ht="15" customHeight="1" x14ac:dyDescent="0.3">
      <c r="A986" s="27"/>
      <c r="B986" s="12"/>
      <c r="C986" s="12"/>
      <c r="D986" s="12"/>
      <c r="E986" s="12"/>
      <c r="F986" s="12"/>
      <c r="G986" s="12"/>
      <c r="H986" s="12"/>
      <c r="I986" s="12"/>
      <c r="J986" s="12"/>
      <c r="K986" s="12"/>
      <c r="L986" s="12"/>
      <c r="M986" s="12"/>
      <c r="N986" s="12"/>
      <c r="O986" s="12"/>
      <c r="P986" s="12"/>
      <c r="Q986" s="12"/>
      <c r="R986" s="12"/>
      <c r="S986" s="12"/>
      <c r="T986" s="12"/>
      <c r="U986" s="18"/>
      <c r="V986" s="12"/>
      <c r="W986" s="12"/>
      <c r="X986" s="12"/>
      <c r="Y986" s="12"/>
      <c r="Z986" s="12"/>
    </row>
    <row r="987" spans="1:26" ht="15" customHeight="1" x14ac:dyDescent="0.3">
      <c r="A987" s="27"/>
      <c r="B987" s="12"/>
      <c r="C987" s="12"/>
      <c r="D987" s="12"/>
      <c r="E987" s="12"/>
      <c r="F987" s="12"/>
      <c r="G987" s="12"/>
      <c r="H987" s="12"/>
      <c r="I987" s="12"/>
      <c r="J987" s="12"/>
      <c r="K987" s="12"/>
      <c r="L987" s="12"/>
      <c r="M987" s="12"/>
      <c r="N987" s="12"/>
      <c r="O987" s="12"/>
      <c r="P987" s="12"/>
      <c r="Q987" s="12"/>
      <c r="R987" s="12"/>
      <c r="S987" s="12"/>
      <c r="T987" s="12"/>
      <c r="U987" s="18"/>
      <c r="V987" s="12"/>
      <c r="W987" s="12"/>
      <c r="X987" s="12"/>
      <c r="Y987" s="12"/>
      <c r="Z987" s="12"/>
    </row>
    <row r="988" spans="1:26" ht="15" customHeight="1" x14ac:dyDescent="0.3">
      <c r="A988" s="27"/>
      <c r="B988" s="12"/>
      <c r="C988" s="12"/>
      <c r="D988" s="12"/>
      <c r="E988" s="12"/>
      <c r="F988" s="12"/>
      <c r="G988" s="12"/>
      <c r="H988" s="12"/>
      <c r="I988" s="12"/>
      <c r="J988" s="12"/>
      <c r="K988" s="12"/>
      <c r="L988" s="12"/>
      <c r="M988" s="12"/>
      <c r="N988" s="12"/>
      <c r="O988" s="12"/>
      <c r="P988" s="12"/>
      <c r="Q988" s="12"/>
      <c r="R988" s="12"/>
      <c r="S988" s="12"/>
      <c r="T988" s="12"/>
      <c r="U988" s="18"/>
      <c r="V988" s="12"/>
      <c r="W988" s="12"/>
      <c r="X988" s="12"/>
      <c r="Y988" s="12"/>
      <c r="Z988" s="12"/>
    </row>
    <row r="989" spans="1:26" ht="15" customHeight="1" x14ac:dyDescent="0.3">
      <c r="A989" s="27"/>
      <c r="B989" s="12"/>
      <c r="C989" s="12"/>
      <c r="D989" s="12"/>
      <c r="E989" s="12"/>
      <c r="F989" s="12"/>
      <c r="G989" s="12"/>
      <c r="H989" s="12"/>
      <c r="I989" s="12"/>
      <c r="J989" s="12"/>
      <c r="K989" s="12"/>
      <c r="L989" s="12"/>
      <c r="M989" s="12"/>
      <c r="N989" s="12"/>
      <c r="O989" s="12"/>
      <c r="P989" s="12"/>
      <c r="Q989" s="12"/>
      <c r="R989" s="12"/>
      <c r="S989" s="12"/>
      <c r="T989" s="12"/>
      <c r="U989" s="18"/>
      <c r="V989" s="12"/>
      <c r="W989" s="12"/>
      <c r="X989" s="12"/>
      <c r="Y989" s="12"/>
      <c r="Z989" s="12"/>
    </row>
    <row r="990" spans="1:26" ht="15" customHeight="1" x14ac:dyDescent="0.3">
      <c r="A990" s="27"/>
      <c r="B990" s="12"/>
      <c r="C990" s="12"/>
      <c r="D990" s="12"/>
      <c r="E990" s="12"/>
      <c r="F990" s="12"/>
      <c r="G990" s="12"/>
      <c r="H990" s="12"/>
      <c r="I990" s="12"/>
      <c r="J990" s="12"/>
      <c r="K990" s="12"/>
      <c r="L990" s="12"/>
      <c r="M990" s="12"/>
      <c r="N990" s="12"/>
      <c r="O990" s="12"/>
      <c r="P990" s="12"/>
      <c r="Q990" s="12"/>
      <c r="R990" s="12"/>
      <c r="S990" s="12"/>
      <c r="T990" s="12"/>
      <c r="U990" s="18"/>
      <c r="V990" s="12"/>
      <c r="W990" s="12"/>
      <c r="X990" s="12"/>
      <c r="Y990" s="12"/>
      <c r="Z990" s="12"/>
    </row>
    <row r="991" spans="1:26" ht="15" customHeight="1" x14ac:dyDescent="0.3">
      <c r="A991" s="27"/>
      <c r="B991" s="12"/>
      <c r="C991" s="12"/>
      <c r="D991" s="12"/>
      <c r="E991" s="12"/>
      <c r="F991" s="12"/>
      <c r="G991" s="12"/>
      <c r="H991" s="12"/>
      <c r="I991" s="12"/>
      <c r="J991" s="12"/>
      <c r="K991" s="12"/>
      <c r="L991" s="12"/>
      <c r="M991" s="12"/>
      <c r="N991" s="12"/>
      <c r="O991" s="12"/>
      <c r="P991" s="12"/>
      <c r="Q991" s="12"/>
      <c r="R991" s="12"/>
      <c r="S991" s="12"/>
      <c r="T991" s="12"/>
      <c r="U991" s="18"/>
      <c r="V991" s="12"/>
      <c r="W991" s="12"/>
      <c r="X991" s="12"/>
      <c r="Y991" s="12"/>
      <c r="Z991" s="12"/>
    </row>
    <row r="992" spans="1:26" ht="15" customHeight="1" x14ac:dyDescent="0.3">
      <c r="A992" s="27"/>
      <c r="B992" s="12"/>
      <c r="C992" s="12"/>
      <c r="D992" s="12"/>
      <c r="E992" s="12"/>
      <c r="F992" s="12"/>
      <c r="G992" s="12"/>
      <c r="H992" s="12"/>
      <c r="I992" s="12"/>
      <c r="J992" s="12"/>
      <c r="K992" s="12"/>
      <c r="L992" s="12"/>
      <c r="M992" s="12"/>
      <c r="N992" s="12"/>
      <c r="O992" s="12"/>
      <c r="P992" s="12"/>
      <c r="Q992" s="12"/>
      <c r="R992" s="12"/>
      <c r="S992" s="12"/>
      <c r="T992" s="12"/>
      <c r="U992" s="18"/>
      <c r="V992" s="12"/>
      <c r="W992" s="12"/>
      <c r="X992" s="12"/>
      <c r="Y992" s="12"/>
      <c r="Z992" s="12"/>
    </row>
    <row r="993" spans="1:26" ht="15" customHeight="1" x14ac:dyDescent="0.3">
      <c r="A993" s="27"/>
      <c r="B993" s="12"/>
      <c r="C993" s="12"/>
      <c r="D993" s="12"/>
      <c r="E993" s="12"/>
      <c r="F993" s="12"/>
      <c r="G993" s="12"/>
      <c r="H993" s="12"/>
      <c r="I993" s="12"/>
      <c r="J993" s="12"/>
      <c r="K993" s="12"/>
      <c r="L993" s="12"/>
      <c r="M993" s="12"/>
      <c r="N993" s="12"/>
      <c r="O993" s="12"/>
      <c r="P993" s="12"/>
      <c r="Q993" s="12"/>
      <c r="R993" s="12"/>
      <c r="S993" s="12"/>
      <c r="T993" s="12"/>
      <c r="U993" s="18"/>
      <c r="V993" s="12"/>
      <c r="W993" s="12"/>
      <c r="X993" s="12"/>
      <c r="Y993" s="12"/>
      <c r="Z993" s="12"/>
    </row>
    <row r="994" spans="1:26" ht="15" customHeight="1" x14ac:dyDescent="0.3">
      <c r="A994" s="27"/>
      <c r="B994" s="12"/>
      <c r="C994" s="12"/>
      <c r="D994" s="12"/>
      <c r="E994" s="12"/>
      <c r="F994" s="12"/>
      <c r="G994" s="12"/>
      <c r="H994" s="12"/>
      <c r="I994" s="12"/>
      <c r="J994" s="12"/>
      <c r="K994" s="12"/>
      <c r="L994" s="12"/>
      <c r="M994" s="12"/>
      <c r="N994" s="12"/>
      <c r="O994" s="12"/>
      <c r="P994" s="12"/>
      <c r="Q994" s="12"/>
      <c r="R994" s="12"/>
      <c r="S994" s="12"/>
      <c r="T994" s="12"/>
      <c r="U994" s="18"/>
      <c r="V994" s="12"/>
      <c r="W994" s="12"/>
      <c r="X994" s="12"/>
      <c r="Y994" s="12"/>
      <c r="Z994" s="12"/>
    </row>
    <row r="995" spans="1:26" ht="15" customHeight="1" x14ac:dyDescent="0.3">
      <c r="A995" s="27"/>
      <c r="B995" s="12"/>
      <c r="C995" s="12"/>
      <c r="D995" s="12"/>
      <c r="E995" s="12"/>
      <c r="F995" s="12"/>
      <c r="G995" s="12"/>
      <c r="H995" s="12"/>
      <c r="I995" s="12"/>
      <c r="J995" s="12"/>
      <c r="K995" s="12"/>
      <c r="L995" s="12"/>
      <c r="M995" s="12"/>
      <c r="N995" s="12"/>
      <c r="O995" s="12"/>
      <c r="P995" s="12"/>
      <c r="Q995" s="12"/>
      <c r="R995" s="12"/>
      <c r="S995" s="12"/>
      <c r="T995" s="12"/>
      <c r="U995" s="18"/>
      <c r="V995" s="12"/>
      <c r="W995" s="12"/>
      <c r="X995" s="12"/>
      <c r="Y995" s="12"/>
      <c r="Z995" s="12"/>
    </row>
    <row r="996" spans="1:26" ht="15" customHeight="1" x14ac:dyDescent="0.3">
      <c r="A996" s="27"/>
      <c r="B996" s="12"/>
      <c r="C996" s="12"/>
      <c r="D996" s="12"/>
      <c r="E996" s="12"/>
      <c r="F996" s="12"/>
      <c r="G996" s="12"/>
      <c r="H996" s="12"/>
      <c r="I996" s="12"/>
      <c r="J996" s="12"/>
      <c r="K996" s="12"/>
      <c r="L996" s="12"/>
      <c r="M996" s="12"/>
      <c r="N996" s="12"/>
      <c r="O996" s="12"/>
      <c r="P996" s="12"/>
      <c r="Q996" s="12"/>
      <c r="R996" s="12"/>
      <c r="S996" s="12"/>
      <c r="T996" s="12"/>
      <c r="U996" s="18"/>
      <c r="V996" s="12"/>
      <c r="W996" s="12"/>
      <c r="X996" s="12"/>
      <c r="Y996" s="12"/>
      <c r="Z996" s="12"/>
    </row>
    <row r="997" spans="1:26" ht="15" customHeight="1" x14ac:dyDescent="0.3">
      <c r="A997" s="27"/>
      <c r="B997" s="12"/>
      <c r="C997" s="12"/>
      <c r="D997" s="12"/>
      <c r="E997" s="12"/>
      <c r="F997" s="12"/>
      <c r="G997" s="12"/>
      <c r="H997" s="12"/>
      <c r="I997" s="12"/>
      <c r="J997" s="12"/>
      <c r="K997" s="12"/>
      <c r="L997" s="12"/>
      <c r="M997" s="12"/>
      <c r="N997" s="12"/>
      <c r="O997" s="12"/>
      <c r="P997" s="12"/>
      <c r="Q997" s="12"/>
      <c r="R997" s="12"/>
      <c r="S997" s="12"/>
      <c r="T997" s="12"/>
      <c r="U997" s="18"/>
      <c r="V997" s="12"/>
      <c r="W997" s="12"/>
      <c r="X997" s="12"/>
      <c r="Y997" s="12"/>
      <c r="Z997" s="12"/>
    </row>
    <row r="998" spans="1:26" ht="15" customHeight="1" x14ac:dyDescent="0.3">
      <c r="A998" s="27"/>
      <c r="B998" s="12"/>
      <c r="C998" s="12"/>
      <c r="D998" s="12"/>
      <c r="E998" s="12"/>
      <c r="F998" s="12"/>
      <c r="G998" s="12"/>
      <c r="H998" s="12"/>
      <c r="I998" s="12"/>
      <c r="J998" s="12"/>
      <c r="K998" s="12"/>
      <c r="L998" s="12"/>
      <c r="M998" s="12"/>
      <c r="N998" s="12"/>
      <c r="O998" s="12"/>
      <c r="P998" s="12"/>
      <c r="Q998" s="12"/>
      <c r="R998" s="12"/>
      <c r="S998" s="12"/>
      <c r="T998" s="12"/>
      <c r="U998" s="18"/>
      <c r="V998" s="12"/>
      <c r="W998" s="12"/>
      <c r="X998" s="12"/>
      <c r="Y998" s="12"/>
      <c r="Z998" s="12"/>
    </row>
    <row r="999" spans="1:26" ht="15" customHeight="1" x14ac:dyDescent="0.3">
      <c r="A999" s="27"/>
      <c r="B999" s="12"/>
      <c r="C999" s="12"/>
      <c r="D999" s="12"/>
      <c r="E999" s="12"/>
      <c r="F999" s="12"/>
      <c r="G999" s="12"/>
      <c r="H999" s="12"/>
      <c r="I999" s="12"/>
      <c r="J999" s="12"/>
      <c r="K999" s="12"/>
      <c r="L999" s="12"/>
      <c r="M999" s="12"/>
      <c r="N999" s="12"/>
      <c r="O999" s="12"/>
      <c r="P999" s="12"/>
      <c r="Q999" s="12"/>
      <c r="R999" s="12"/>
      <c r="S999" s="12"/>
      <c r="T999" s="12"/>
      <c r="U999" s="18"/>
      <c r="V999" s="12"/>
      <c r="W999" s="12"/>
      <c r="X999" s="12"/>
      <c r="Y999" s="12"/>
      <c r="Z999" s="12"/>
    </row>
    <row r="1000" spans="1:26" ht="15" customHeight="1" x14ac:dyDescent="0.3">
      <c r="A1000" s="27"/>
      <c r="B1000" s="12"/>
      <c r="C1000" s="12"/>
      <c r="D1000" s="12"/>
      <c r="E1000" s="12"/>
      <c r="F1000" s="12"/>
      <c r="G1000" s="12"/>
      <c r="H1000" s="12"/>
      <c r="I1000" s="12"/>
      <c r="J1000" s="12"/>
      <c r="K1000" s="12"/>
      <c r="L1000" s="12"/>
      <c r="M1000" s="12"/>
      <c r="N1000" s="12"/>
      <c r="O1000" s="12"/>
      <c r="P1000" s="12"/>
      <c r="Q1000" s="12"/>
      <c r="R1000" s="12"/>
      <c r="S1000" s="12"/>
      <c r="T1000" s="12"/>
      <c r="U1000" s="18"/>
      <c r="V1000" s="12"/>
      <c r="W1000" s="12"/>
      <c r="X1000" s="12"/>
      <c r="Y1000" s="12"/>
      <c r="Z1000" s="12"/>
    </row>
  </sheetData>
  <mergeCells count="7">
    <mergeCell ref="P1:T1"/>
    <mergeCell ref="U1:U2"/>
    <mergeCell ref="A1:A2"/>
    <mergeCell ref="B1:D1"/>
    <mergeCell ref="E1:E2"/>
    <mergeCell ref="F1:J1"/>
    <mergeCell ref="K1:O1"/>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xSplit="1" ySplit="2" topLeftCell="B3" activePane="bottomRight" state="frozen"/>
      <selection pane="topRight" activeCell="B1" sqref="B1"/>
      <selection pane="bottomLeft" activeCell="A3" sqref="A3"/>
      <selection pane="bottomRight" activeCell="B4" sqref="B4"/>
    </sheetView>
  </sheetViews>
  <sheetFormatPr defaultColWidth="12.6640625" defaultRowHeight="15" customHeight="1" x14ac:dyDescent="0.35"/>
  <cols>
    <col min="1" max="1" width="35.08203125" style="33" bestFit="1" customWidth="1"/>
    <col min="2" max="7" width="12.6640625" style="24" customWidth="1"/>
    <col min="8" max="8" width="13.1640625" style="24" customWidth="1"/>
    <col min="9" max="9" width="13.25" style="24" customWidth="1"/>
    <col min="10" max="12" width="10.5" style="24" customWidth="1"/>
    <col min="13" max="26" width="12.6640625" style="24" customWidth="1"/>
    <col min="27" max="16384" width="12.6640625" style="24"/>
  </cols>
  <sheetData>
    <row r="1" spans="1:26" ht="15" customHeight="1" x14ac:dyDescent="0.35">
      <c r="A1" s="37" t="s">
        <v>1026</v>
      </c>
      <c r="B1" s="39" t="s">
        <v>1027</v>
      </c>
      <c r="C1" s="39" t="s">
        <v>24</v>
      </c>
      <c r="D1" s="40"/>
      <c r="E1" s="41"/>
      <c r="F1" s="34" t="s">
        <v>16</v>
      </c>
      <c r="G1" s="34" t="s">
        <v>25</v>
      </c>
      <c r="H1" s="34" t="s">
        <v>26</v>
      </c>
      <c r="I1" s="40"/>
      <c r="J1" s="40"/>
      <c r="K1" s="40"/>
      <c r="L1" s="41"/>
      <c r="M1" s="34" t="s">
        <v>1028</v>
      </c>
      <c r="N1" s="40"/>
      <c r="O1" s="40"/>
      <c r="P1" s="40"/>
      <c r="Q1" s="41"/>
      <c r="R1" s="34" t="s">
        <v>28</v>
      </c>
      <c r="S1" s="40"/>
      <c r="T1" s="40"/>
      <c r="U1" s="40"/>
      <c r="V1" s="41"/>
      <c r="W1" s="12"/>
      <c r="X1" s="12"/>
      <c r="Y1" s="12"/>
      <c r="Z1" s="12"/>
    </row>
    <row r="2" spans="1:26" ht="15" customHeight="1" x14ac:dyDescent="0.35">
      <c r="A2" s="42"/>
      <c r="B2" s="41"/>
      <c r="C2" s="14" t="s">
        <v>29</v>
      </c>
      <c r="D2" s="15" t="s">
        <v>30</v>
      </c>
      <c r="E2" s="15" t="s">
        <v>31</v>
      </c>
      <c r="F2" s="41"/>
      <c r="G2" s="41"/>
      <c r="H2" s="15" t="s">
        <v>32</v>
      </c>
      <c r="I2" s="15" t="s">
        <v>33</v>
      </c>
      <c r="J2" s="15" t="s">
        <v>19</v>
      </c>
      <c r="K2" s="15" t="s">
        <v>20</v>
      </c>
      <c r="L2" s="15" t="s">
        <v>21</v>
      </c>
      <c r="M2" s="15" t="s">
        <v>32</v>
      </c>
      <c r="N2" s="15" t="s">
        <v>33</v>
      </c>
      <c r="O2" s="15" t="s">
        <v>19</v>
      </c>
      <c r="P2" s="15" t="s">
        <v>20</v>
      </c>
      <c r="Q2" s="15" t="s">
        <v>21</v>
      </c>
      <c r="R2" s="15" t="s">
        <v>32</v>
      </c>
      <c r="S2" s="15" t="s">
        <v>33</v>
      </c>
      <c r="T2" s="15" t="s">
        <v>19</v>
      </c>
      <c r="U2" s="15" t="s">
        <v>20</v>
      </c>
      <c r="V2" s="15" t="s">
        <v>21</v>
      </c>
      <c r="W2" s="12"/>
      <c r="X2" s="12"/>
      <c r="Y2" s="12"/>
      <c r="Z2" s="12"/>
    </row>
    <row r="3" spans="1:26" ht="15" customHeight="1" x14ac:dyDescent="0.35">
      <c r="A3" s="26" t="s">
        <v>1029</v>
      </c>
      <c r="B3" s="17" t="s">
        <v>1030</v>
      </c>
      <c r="C3" s="17">
        <v>17.100000000000001</v>
      </c>
      <c r="D3" s="17">
        <v>6.6</v>
      </c>
      <c r="E3" s="17">
        <v>9.4</v>
      </c>
      <c r="F3" s="17" t="s">
        <v>35</v>
      </c>
      <c r="G3" s="22">
        <v>215.2</v>
      </c>
      <c r="H3" s="17">
        <f>SQRT((4*(HSP!$B$2-$C3)^2+(HSP!$C$2-$D3)^2+(HSP!$D$2-$E3)^2))</f>
        <v>6.7643181474558132</v>
      </c>
      <c r="I3" s="17">
        <f>SQRT((4*(HSP!$B$3-$C3)^2+(HSP!$C$3-$D3)^2+(HSP!$D$3-$E3)^2))</f>
        <v>5.4892986801594272</v>
      </c>
      <c r="J3" s="17">
        <f>SQRT((4*(HSP!$B$4-$C3)^2+(HSP!$C$4-$D3)^2+(HSP!$D$4-$E3)^2))</f>
        <v>5.0344811053374734</v>
      </c>
      <c r="K3" s="17">
        <f>SQRT((4*(HSP!$B$5-$C3)^2+(HSP!$C$5-$D3)^2+(HSP!$D$5-$E3)^2))</f>
        <v>7.2932091701801642</v>
      </c>
      <c r="L3" s="17">
        <f>SQRT((4*(HSP!$B$6-$C3)^2+(HSP!$C$6-$D3)^2+(HSP!$D$6-$E3)^2))</f>
        <v>6.6503383372577396</v>
      </c>
      <c r="M3" s="17" t="s">
        <v>35</v>
      </c>
      <c r="N3" s="17" t="s">
        <v>35</v>
      </c>
      <c r="O3" s="17" t="s">
        <v>35</v>
      </c>
      <c r="P3" s="17" t="s">
        <v>35</v>
      </c>
      <c r="Q3" s="17" t="s">
        <v>35</v>
      </c>
      <c r="R3" s="17">
        <f>$H3/HSP!$E$2</f>
        <v>0.41498884340219711</v>
      </c>
      <c r="S3" s="17">
        <f>$I3/HSP!$E$3</f>
        <v>0.40661471704884644</v>
      </c>
      <c r="T3" s="17">
        <f>$J3/HSP!$E$4</f>
        <v>0.31663403178223104</v>
      </c>
      <c r="U3" s="17">
        <f>$K3/HSP!$E$5</f>
        <v>0.53235103431972008</v>
      </c>
      <c r="V3" s="17">
        <f>$L3/HSP!$E$6</f>
        <v>0.44934718494984727</v>
      </c>
      <c r="W3" s="12"/>
      <c r="X3" s="12"/>
      <c r="Y3" s="12"/>
      <c r="Z3" s="12"/>
    </row>
    <row r="4" spans="1:26" ht="15" customHeight="1" x14ac:dyDescent="0.35">
      <c r="A4" s="26" t="s">
        <v>1031</v>
      </c>
      <c r="B4" s="17" t="s">
        <v>1030</v>
      </c>
      <c r="C4" s="17">
        <v>16.899999999999999</v>
      </c>
      <c r="D4" s="17">
        <v>5.8</v>
      </c>
      <c r="E4" s="17">
        <v>9.9</v>
      </c>
      <c r="F4" s="17" t="s">
        <v>35</v>
      </c>
      <c r="G4" s="22">
        <v>276.7</v>
      </c>
      <c r="H4" s="17">
        <f>SQRT((4*(HSP!$B$2-$C4)^2+(HSP!$C$2-$D4)^2+(HSP!$D$2-$E4)^2))</f>
        <v>7.1695188123053271</v>
      </c>
      <c r="I4" s="17">
        <f>SQRT((4*(HSP!$B$3-$C4)^2+(HSP!$C$3-$D4)^2+(HSP!$D$3-$E4)^2))</f>
        <v>6.1157501584024825</v>
      </c>
      <c r="J4" s="17">
        <f>SQRT((4*(HSP!$B$4-$C4)^2+(HSP!$C$4-$D4)^2+(HSP!$D$4-$E4)^2))</f>
        <v>4.7787027528399362</v>
      </c>
      <c r="K4" s="17">
        <f>SQRT((4*(HSP!$B$5-$C4)^2+(HSP!$C$5-$D4)^2+(HSP!$D$5-$E4)^2))</f>
        <v>7.7184778292095908</v>
      </c>
      <c r="L4" s="17">
        <f>SQRT((4*(HSP!$B$6-$C4)^2+(HSP!$C$6-$D4)^2+(HSP!$D$6-$E4)^2))</f>
        <v>6.9012317741110536</v>
      </c>
      <c r="M4" s="17" t="s">
        <v>35</v>
      </c>
      <c r="N4" s="17" t="s">
        <v>35</v>
      </c>
      <c r="O4" s="17" t="s">
        <v>35</v>
      </c>
      <c r="P4" s="17" t="s">
        <v>35</v>
      </c>
      <c r="Q4" s="17" t="s">
        <v>35</v>
      </c>
      <c r="R4" s="17">
        <f>$H4/HSP!$E$2</f>
        <v>0.4398477798960323</v>
      </c>
      <c r="S4" s="17">
        <f>$I4/HSP!$E$3</f>
        <v>0.45301853025203576</v>
      </c>
      <c r="T4" s="17">
        <f>$J4/HSP!$E$4</f>
        <v>0.3005473429459079</v>
      </c>
      <c r="U4" s="17">
        <f>$K4/HSP!$E$5</f>
        <v>0.56339254227807234</v>
      </c>
      <c r="V4" s="17">
        <f>$L4/HSP!$E$6</f>
        <v>0.46629944419669278</v>
      </c>
      <c r="W4" s="12"/>
      <c r="X4" s="12"/>
      <c r="Y4" s="12"/>
      <c r="Z4" s="12"/>
    </row>
    <row r="5" spans="1:26" ht="15" customHeight="1" x14ac:dyDescent="0.35">
      <c r="A5" s="26" t="s">
        <v>1032</v>
      </c>
      <c r="B5" s="17" t="s">
        <v>1030</v>
      </c>
      <c r="C5" s="17">
        <v>16.399999999999999</v>
      </c>
      <c r="D5" s="17">
        <v>4.7</v>
      </c>
      <c r="E5" s="17">
        <v>7.4</v>
      </c>
      <c r="F5" s="17" t="s">
        <v>35</v>
      </c>
      <c r="G5" s="22">
        <v>343.7</v>
      </c>
      <c r="H5" s="17">
        <f>SQRT((4*(HSP!$B$2-$C5)^2+(HSP!$C$2-$D5)^2+(HSP!$D$2-$E5)^2))</f>
        <v>6.805439001269499</v>
      </c>
      <c r="I5" s="17">
        <f>SQRT((4*(HSP!$B$3-$C5)^2+(HSP!$C$3-$D5)^2+(HSP!$D$3-$E5)^2))</f>
        <v>5.3957761258228638</v>
      </c>
      <c r="J5" s="17">
        <f>SQRT((4*(HSP!$B$4-$C5)^2+(HSP!$C$4-$D5)^2+(HSP!$D$4-$E5)^2))</f>
        <v>2.5321927256826222</v>
      </c>
      <c r="K5" s="17">
        <f>SQRT((4*(HSP!$B$5-$C5)^2+(HSP!$C$5-$D5)^2+(HSP!$D$5-$E5)^2))</f>
        <v>9.0492485875900197</v>
      </c>
      <c r="L5" s="17">
        <f>SQRT((4*(HSP!$B$6-$C5)^2+(HSP!$C$6-$D5)^2+(HSP!$D$6-$E5)^2))</f>
        <v>4.5500549447231942</v>
      </c>
      <c r="M5" s="17" t="s">
        <v>35</v>
      </c>
      <c r="N5" s="17" t="s">
        <v>35</v>
      </c>
      <c r="O5" s="17" t="s">
        <v>35</v>
      </c>
      <c r="P5" s="17" t="s">
        <v>35</v>
      </c>
      <c r="Q5" s="17" t="s">
        <v>35</v>
      </c>
      <c r="R5" s="17">
        <f>$H5/HSP!$E$2</f>
        <v>0.41751159516990788</v>
      </c>
      <c r="S5" s="17">
        <f>$I5/HSP!$E$3</f>
        <v>0.39968712043132326</v>
      </c>
      <c r="T5" s="17">
        <f>$J5/HSP!$E$4</f>
        <v>0.15925740413098252</v>
      </c>
      <c r="U5" s="17">
        <f>$K5/HSP!$E$5</f>
        <v>0.66052909398467297</v>
      </c>
      <c r="V5" s="17">
        <f>$L5/HSP!$E$6</f>
        <v>0.30743614491372934</v>
      </c>
      <c r="W5" s="12"/>
      <c r="X5" s="12"/>
      <c r="Y5" s="12"/>
      <c r="Z5" s="12"/>
    </row>
    <row r="6" spans="1:26" ht="15" customHeight="1" x14ac:dyDescent="0.35">
      <c r="A6" s="26" t="s">
        <v>1033</v>
      </c>
      <c r="B6" s="17" t="s">
        <v>1030</v>
      </c>
      <c r="C6" s="17">
        <v>16.5</v>
      </c>
      <c r="D6" s="17">
        <v>5.4</v>
      </c>
      <c r="E6" s="17">
        <v>8</v>
      </c>
      <c r="F6" s="17" t="s">
        <v>35</v>
      </c>
      <c r="G6" s="22">
        <v>461.1</v>
      </c>
      <c r="H6" s="17">
        <f>SQRT((4*(HSP!$B$2-$C6)^2+(HSP!$C$2-$D6)^2+(HSP!$D$2-$E6)^2))</f>
        <v>6.4096801792289142</v>
      </c>
      <c r="I6" s="17">
        <f>SQRT((4*(HSP!$B$3-$C6)^2+(HSP!$C$3-$D6)^2+(HSP!$D$3-$E6)^2))</f>
        <v>5.0521678515267086</v>
      </c>
      <c r="J6" s="17">
        <f>SQRT((4*(HSP!$B$4-$C6)^2+(HSP!$C$4-$D6)^2+(HSP!$D$4-$E6)^2))</f>
        <v>3.0056613249000632</v>
      </c>
      <c r="K6" s="17">
        <f>SQRT((4*(HSP!$B$5-$C6)^2+(HSP!$C$5-$D6)^2+(HSP!$D$5-$E6)^2))</f>
        <v>8.259473348828001</v>
      </c>
      <c r="L6" s="17">
        <f>SQRT((4*(HSP!$B$6-$C6)^2+(HSP!$C$6-$D6)^2+(HSP!$D$6-$E6)^2))</f>
        <v>4.9330517937682359</v>
      </c>
      <c r="M6" s="17" t="s">
        <v>35</v>
      </c>
      <c r="N6" s="17" t="s">
        <v>35</v>
      </c>
      <c r="O6" s="17" t="s">
        <v>35</v>
      </c>
      <c r="P6" s="17" t="s">
        <v>35</v>
      </c>
      <c r="Q6" s="17" t="s">
        <v>35</v>
      </c>
      <c r="R6" s="17">
        <f>$H6/HSP!$E$2</f>
        <v>0.39323191283612968</v>
      </c>
      <c r="S6" s="17">
        <f>$I6/HSP!$E$3</f>
        <v>0.37423465566864506</v>
      </c>
      <c r="T6" s="17">
        <f>$J6/HSP!$E$4</f>
        <v>0.18903530345283415</v>
      </c>
      <c r="U6" s="17">
        <f>$K6/HSP!$E$5</f>
        <v>0.60288126633781036</v>
      </c>
      <c r="V6" s="17">
        <f>$L6/HSP!$E$6</f>
        <v>0.33331431038974563</v>
      </c>
      <c r="W6" s="12"/>
      <c r="X6" s="12"/>
      <c r="Y6" s="12"/>
      <c r="Z6" s="12"/>
    </row>
    <row r="7" spans="1:26" ht="15" customHeight="1" x14ac:dyDescent="0.35">
      <c r="A7" s="26" t="s">
        <v>1034</v>
      </c>
      <c r="B7" s="17" t="s">
        <v>1030</v>
      </c>
      <c r="C7" s="17">
        <v>16.5</v>
      </c>
      <c r="D7" s="17">
        <v>4.4000000000000004</v>
      </c>
      <c r="E7" s="17">
        <v>6.2</v>
      </c>
      <c r="F7" s="17" t="s">
        <v>35</v>
      </c>
      <c r="G7" s="22">
        <v>526.29999999999995</v>
      </c>
      <c r="H7" s="17">
        <f>SQRT((4*(HSP!$B$2-$C7)^2+(HSP!$C$2-$D7)^2+(HSP!$D$2-$E7)^2))</f>
        <v>7.1952762281930509</v>
      </c>
      <c r="I7" s="17">
        <f>SQRT((4*(HSP!$B$3-$C7)^2+(HSP!$C$3-$D7)^2+(HSP!$D$3-$E7)^2))</f>
        <v>5.5169194302617832</v>
      </c>
      <c r="J7" s="17">
        <f>SQRT((4*(HSP!$B$4-$C7)^2+(HSP!$C$4-$D7)^2+(HSP!$D$4-$E7)^2))</f>
        <v>2.7411676344215068</v>
      </c>
      <c r="K7" s="17">
        <f>SQRT((4*(HSP!$B$5-$C7)^2+(HSP!$C$5-$D7)^2+(HSP!$D$5-$E7)^2))</f>
        <v>9.8816445999641189</v>
      </c>
      <c r="L7" s="17">
        <f>SQRT((4*(HSP!$B$6-$C7)^2+(HSP!$C$6-$D7)^2+(HSP!$D$6-$E7)^2))</f>
        <v>3.9616915579080612</v>
      </c>
      <c r="M7" s="17" t="s">
        <v>35</v>
      </c>
      <c r="N7" s="17" t="s">
        <v>35</v>
      </c>
      <c r="O7" s="17" t="s">
        <v>35</v>
      </c>
      <c r="P7" s="17" t="s">
        <v>35</v>
      </c>
      <c r="Q7" s="17" t="s">
        <v>35</v>
      </c>
      <c r="R7" s="17">
        <f>$H7/HSP!$E$2</f>
        <v>0.44142798945969636</v>
      </c>
      <c r="S7" s="17">
        <f>$I7/HSP!$E$3</f>
        <v>0.40866069853790987</v>
      </c>
      <c r="T7" s="17">
        <f>$J7/HSP!$E$4</f>
        <v>0.17240048015229603</v>
      </c>
      <c r="U7" s="17">
        <f>$K7/HSP!$E$5</f>
        <v>0.72128792700468025</v>
      </c>
      <c r="V7" s="17">
        <f>$L7/HSP!$E$6</f>
        <v>0.26768186202081495</v>
      </c>
      <c r="W7" s="12"/>
      <c r="X7" s="12"/>
      <c r="Y7" s="12"/>
      <c r="Z7" s="12"/>
    </row>
    <row r="8" spans="1:26" ht="15" customHeight="1" x14ac:dyDescent="0.35">
      <c r="A8" s="26" t="s">
        <v>1035</v>
      </c>
      <c r="B8" s="17" t="s">
        <v>1030</v>
      </c>
      <c r="C8" s="17">
        <v>16.8</v>
      </c>
      <c r="D8" s="17">
        <v>5.3</v>
      </c>
      <c r="E8" s="17">
        <v>6.8</v>
      </c>
      <c r="F8" s="17" t="s">
        <v>35</v>
      </c>
      <c r="G8" s="22">
        <v>919.4</v>
      </c>
      <c r="H8" s="17">
        <f>SQRT((4*(HSP!$B$2-$C8)^2+(HSP!$C$2-$D8)^2+(HSP!$D$2-$E8)^2))</f>
        <v>6.7836568309430296</v>
      </c>
      <c r="I8" s="17">
        <f>SQRT((4*(HSP!$B$3-$C8)^2+(HSP!$C$3-$D8)^2+(HSP!$D$3-$E8)^2))</f>
        <v>4.9898296564111293</v>
      </c>
      <c r="J8" s="17">
        <f>SQRT((4*(HSP!$B$4-$C8)^2+(HSP!$C$4-$D8)^2+(HSP!$D$4-$E8)^2))</f>
        <v>3.3184333653096019</v>
      </c>
      <c r="K8" s="17">
        <f>SQRT((4*(HSP!$B$5-$C8)^2+(HSP!$C$5-$D8)^2+(HSP!$D$5-$E8)^2))</f>
        <v>9.0264555612931492</v>
      </c>
      <c r="L8" s="17">
        <f>SQRT((4*(HSP!$B$6-$C8)^2+(HSP!$C$6-$D8)^2+(HSP!$D$6-$E8)^2))</f>
        <v>4.3980677575499003</v>
      </c>
      <c r="M8" s="17" t="s">
        <v>35</v>
      </c>
      <c r="N8" s="17" t="s">
        <v>35</v>
      </c>
      <c r="O8" s="17" t="s">
        <v>35</v>
      </c>
      <c r="P8" s="17" t="s">
        <v>35</v>
      </c>
      <c r="Q8" s="17" t="s">
        <v>35</v>
      </c>
      <c r="R8" s="17">
        <f>$H8/HSP!$E$2</f>
        <v>0.41617526570202634</v>
      </c>
      <c r="S8" s="17">
        <f>$I8/HSP!$E$3</f>
        <v>0.36961701158600957</v>
      </c>
      <c r="T8" s="17">
        <f>$J8/HSP!$E$4</f>
        <v>0.20870650096286802</v>
      </c>
      <c r="U8" s="17">
        <f>$K8/HSP!$E$5</f>
        <v>0.65886536943745622</v>
      </c>
      <c r="V8" s="17">
        <f>$L8/HSP!$E$6</f>
        <v>0.29716674037499324</v>
      </c>
      <c r="W8" s="12"/>
      <c r="X8" s="12"/>
      <c r="Y8" s="12"/>
      <c r="Z8" s="12"/>
    </row>
    <row r="9" spans="1:26" ht="15" customHeight="1" x14ac:dyDescent="0.35">
      <c r="A9" s="26" t="s">
        <v>1036</v>
      </c>
      <c r="B9" s="17" t="s">
        <v>1030</v>
      </c>
      <c r="C9" s="17">
        <v>16.7</v>
      </c>
      <c r="D9" s="17">
        <v>4.0999999999999996</v>
      </c>
      <c r="E9" s="17">
        <v>5.9</v>
      </c>
      <c r="F9" s="17" t="s">
        <v>35</v>
      </c>
      <c r="G9" s="22">
        <v>545</v>
      </c>
      <c r="H9" s="17">
        <f>SQRT((4*(HSP!$B$2-$C9)^2+(HSP!$C$2-$D9)^2+(HSP!$D$2-$E9)^2))</f>
        <v>7.6977918911854202</v>
      </c>
      <c r="I9" s="17">
        <f>SQRT((4*(HSP!$B$3-$C9)^2+(HSP!$C$3-$D9)^2+(HSP!$D$3-$E9)^2))</f>
        <v>5.9161135891732171</v>
      </c>
      <c r="J9" s="17">
        <f>SQRT((4*(HSP!$B$4-$C9)^2+(HSP!$C$4-$D9)^2+(HSP!$D$4-$E9)^2))</f>
        <v>3.2419130154894642</v>
      </c>
      <c r="K9" s="17">
        <f>SQRT((4*(HSP!$B$5-$C9)^2+(HSP!$C$5-$D9)^2+(HSP!$D$5-$E9)^2))</f>
        <v>10.381950683758809</v>
      </c>
      <c r="L9" s="17">
        <f>SQRT((4*(HSP!$B$6-$C9)^2+(HSP!$C$6-$D9)^2+(HSP!$D$6-$E9)^2))</f>
        <v>4.2203080456288973</v>
      </c>
      <c r="M9" s="17" t="s">
        <v>35</v>
      </c>
      <c r="N9" s="17" t="s">
        <v>35</v>
      </c>
      <c r="O9" s="17" t="s">
        <v>35</v>
      </c>
      <c r="P9" s="17" t="s">
        <v>35</v>
      </c>
      <c r="Q9" s="17" t="s">
        <v>35</v>
      </c>
      <c r="R9" s="17">
        <f>$H9/HSP!$E$2</f>
        <v>0.4722571712383693</v>
      </c>
      <c r="S9" s="17">
        <f>$I9/HSP!$E$3</f>
        <v>0.43823063623505309</v>
      </c>
      <c r="T9" s="17">
        <f>$J9/HSP!$E$4</f>
        <v>0.20389390034524932</v>
      </c>
      <c r="U9" s="17">
        <f>$K9/HSP!$E$5</f>
        <v>0.75780661925246784</v>
      </c>
      <c r="V9" s="17">
        <f>$L9/HSP!$E$6</f>
        <v>0.28515594902897951</v>
      </c>
      <c r="W9" s="12"/>
      <c r="X9" s="12"/>
      <c r="Y9" s="12"/>
      <c r="Z9" s="12"/>
    </row>
    <row r="10" spans="1:26" ht="15" customHeight="1" x14ac:dyDescent="0.35">
      <c r="A10" s="26" t="s">
        <v>1037</v>
      </c>
      <c r="B10" s="17" t="s">
        <v>1030</v>
      </c>
      <c r="C10" s="17">
        <v>16.8</v>
      </c>
      <c r="D10" s="17">
        <v>6</v>
      </c>
      <c r="E10" s="17">
        <v>6.8</v>
      </c>
      <c r="F10" s="17" t="s">
        <v>35</v>
      </c>
      <c r="G10" s="22">
        <v>1311</v>
      </c>
      <c r="H10" s="17">
        <f>SQRT((4*(HSP!$B$2-$C10)^2+(HSP!$C$2-$D10)^2+(HSP!$D$2-$E10)^2))</f>
        <v>6.2676949510964581</v>
      </c>
      <c r="I10" s="17">
        <f>SQRT((4*(HSP!$B$3-$C10)^2+(HSP!$C$3-$D10)^2+(HSP!$D$3-$E10)^2))</f>
        <v>4.3914006877077396</v>
      </c>
      <c r="J10" s="17">
        <f>SQRT((4*(HSP!$B$4-$C10)^2+(HSP!$C$4-$D10)^2+(HSP!$D$4-$E10)^2))</f>
        <v>3.5171010790137966</v>
      </c>
      <c r="K10" s="17">
        <f>SQRT((4*(HSP!$B$5-$C10)^2+(HSP!$C$5-$D10)^2+(HSP!$D$5-$E10)^2))</f>
        <v>8.4604314310796234</v>
      </c>
      <c r="L10" s="17">
        <f>SQRT((4*(HSP!$B$6-$C10)^2+(HSP!$C$6-$D10)^2+(HSP!$D$6-$E10)^2))</f>
        <v>4.2721189122027035</v>
      </c>
      <c r="M10" s="17" t="s">
        <v>35</v>
      </c>
      <c r="N10" s="17" t="s">
        <v>35</v>
      </c>
      <c r="O10" s="17" t="s">
        <v>35</v>
      </c>
      <c r="P10" s="17" t="s">
        <v>35</v>
      </c>
      <c r="Q10" s="17" t="s">
        <v>35</v>
      </c>
      <c r="R10" s="17">
        <f>$H10/HSP!$E$2</f>
        <v>0.38452116264395447</v>
      </c>
      <c r="S10" s="17">
        <f>$I10/HSP!$E$3</f>
        <v>0.32528893983020296</v>
      </c>
      <c r="T10" s="17">
        <f>$J10/HSP!$E$4</f>
        <v>0.22120132572413814</v>
      </c>
      <c r="U10" s="17">
        <f>$K10/HSP!$E$5</f>
        <v>0.61754973949486303</v>
      </c>
      <c r="V10" s="17">
        <f>$L10/HSP!$E$6</f>
        <v>0.28865668325693938</v>
      </c>
      <c r="W10" s="12"/>
      <c r="X10" s="12"/>
      <c r="Y10" s="12"/>
      <c r="Z10" s="12"/>
    </row>
    <row r="11" spans="1:26" ht="15" customHeight="1" x14ac:dyDescent="0.35">
      <c r="A11" s="26" t="s">
        <v>1038</v>
      </c>
      <c r="B11" s="17" t="s">
        <v>1030</v>
      </c>
      <c r="C11" s="17">
        <v>16.7</v>
      </c>
      <c r="D11" s="17">
        <v>3.7</v>
      </c>
      <c r="E11" s="17">
        <v>5.4</v>
      </c>
      <c r="F11" s="17" t="s">
        <v>35</v>
      </c>
      <c r="G11" s="22">
        <v>1096.4000000000001</v>
      </c>
      <c r="H11" s="17">
        <f>SQRT((4*(HSP!$B$2-$C11)^2+(HSP!$C$2-$D11)^2+(HSP!$D$2-$E11)^2))</f>
        <v>8.1138153787228848</v>
      </c>
      <c r="I11" s="17">
        <f>SQRT((4*(HSP!$B$3-$C11)^2+(HSP!$C$3-$D11)^2+(HSP!$D$3-$E11)^2))</f>
        <v>6.3070119708147061</v>
      </c>
      <c r="J11" s="17">
        <f>SQRT((4*(HSP!$B$4-$C11)^2+(HSP!$C$4-$D11)^2+(HSP!$D$4-$E11)^2))</f>
        <v>3.5048537772637522</v>
      </c>
      <c r="K11" s="17">
        <f>SQRT((4*(HSP!$B$5-$C11)^2+(HSP!$C$5-$D11)^2+(HSP!$D$5-$E11)^2))</f>
        <v>10.959968065646907</v>
      </c>
      <c r="L11" s="17">
        <f>SQRT((4*(HSP!$B$6-$C11)^2+(HSP!$C$6-$D11)^2+(HSP!$D$6-$E11)^2))</f>
        <v>4.2467634735172144</v>
      </c>
      <c r="M11" s="17" t="s">
        <v>35</v>
      </c>
      <c r="N11" s="17" t="s">
        <v>35</v>
      </c>
      <c r="O11" s="17" t="s">
        <v>35</v>
      </c>
      <c r="P11" s="17" t="s">
        <v>35</v>
      </c>
      <c r="Q11" s="17" t="s">
        <v>35</v>
      </c>
      <c r="R11" s="17">
        <f>$H11/HSP!$E$2</f>
        <v>0.49778008458422607</v>
      </c>
      <c r="S11" s="17">
        <f>$I11/HSP!$E$3</f>
        <v>0.46718607191220046</v>
      </c>
      <c r="T11" s="17">
        <f>$J11/HSP!$E$4</f>
        <v>0.22043105517382089</v>
      </c>
      <c r="U11" s="17">
        <f>$K11/HSP!$E$5</f>
        <v>0.79999766902532166</v>
      </c>
      <c r="V11" s="17">
        <f>$L11/HSP!$E$6</f>
        <v>0.2869434779403523</v>
      </c>
      <c r="W11" s="12"/>
      <c r="X11" s="12"/>
      <c r="Y11" s="12"/>
      <c r="Z11" s="12"/>
    </row>
    <row r="12" spans="1:26" ht="15" customHeight="1" x14ac:dyDescent="0.35">
      <c r="A12" s="27" t="s">
        <v>1039</v>
      </c>
      <c r="B12" s="17" t="s">
        <v>1030</v>
      </c>
      <c r="C12" s="19">
        <v>20.2</v>
      </c>
      <c r="D12" s="19">
        <v>6.6</v>
      </c>
      <c r="E12" s="19">
        <v>5.2</v>
      </c>
      <c r="F12" s="17" t="s">
        <v>35</v>
      </c>
      <c r="G12" s="23">
        <v>385.8</v>
      </c>
      <c r="H12" s="19">
        <f>SQRT((4*(HSP!$B$2-$C12)^2+(HSP!$C$2-$D12)^2+(HSP!$D$2-$E12)^2))</f>
        <v>11.979482459605673</v>
      </c>
      <c r="I12" s="19">
        <f>SQRT((4*(HSP!$B$3-$C12)^2+(HSP!$C$3-$D12)^2+(HSP!$D$3-$E12)^2))</f>
        <v>9.5450720269676328</v>
      </c>
      <c r="J12" s="19">
        <f>SQRT((4*(HSP!$B$4-$C12)^2+(HSP!$C$4-$D12)^2+(HSP!$D$4-$E12)^2))</f>
        <v>10.365809182114052</v>
      </c>
      <c r="K12" s="19">
        <f>SQRT((4*(HSP!$B$5-$C12)^2+(HSP!$C$5-$D12)^2+(HSP!$D$5-$E12)^2))</f>
        <v>12.942445673055769</v>
      </c>
      <c r="L12" s="17">
        <f>SQRT((4*(HSP!$B$6-$C12)^2+(HSP!$C$6-$D12)^2+(HSP!$D$6-$E12)^2))</f>
        <v>9.9534416158432339</v>
      </c>
      <c r="M12" s="17" t="s">
        <v>35</v>
      </c>
      <c r="N12" s="17" t="s">
        <v>35</v>
      </c>
      <c r="O12" s="17" t="s">
        <v>35</v>
      </c>
      <c r="P12" s="17" t="s">
        <v>35</v>
      </c>
      <c r="Q12" s="17" t="s">
        <v>35</v>
      </c>
      <c r="R12" s="17">
        <f>$H12/HSP!$E$2</f>
        <v>0.73493757420893702</v>
      </c>
      <c r="S12" s="17">
        <f>$I12/HSP!$E$3</f>
        <v>0.70704237236797285</v>
      </c>
      <c r="T12" s="17">
        <f>$J12/HSP!$E$4</f>
        <v>0.6519376844096888</v>
      </c>
      <c r="U12" s="17">
        <f>$K12/HSP!$E$5</f>
        <v>0.94470406372669846</v>
      </c>
      <c r="V12" s="17">
        <f>$L12/HSP!$E$6</f>
        <v>0.67252983890832663</v>
      </c>
      <c r="W12" s="12"/>
      <c r="X12" s="12"/>
      <c r="Y12" s="12"/>
      <c r="Z12" s="12"/>
    </row>
    <row r="13" spans="1:26" ht="15" customHeight="1" x14ac:dyDescent="0.35">
      <c r="A13" s="26" t="s">
        <v>1040</v>
      </c>
      <c r="B13" s="17" t="s">
        <v>1030</v>
      </c>
      <c r="C13" s="17">
        <v>16.3</v>
      </c>
      <c r="D13" s="17">
        <v>6.6</v>
      </c>
      <c r="E13" s="17">
        <v>12.2</v>
      </c>
      <c r="F13" s="17" t="s">
        <v>35</v>
      </c>
      <c r="G13" s="22">
        <v>307.8</v>
      </c>
      <c r="H13" s="17">
        <f>SQRT((4*(HSP!$B$2-$C13)^2+(HSP!$C$2-$D13)^2+(HSP!$D$2-$E13)^2))</f>
        <v>7.3285742133105272</v>
      </c>
      <c r="I13" s="17">
        <f>SQRT((4*(HSP!$B$3-$C13)^2+(HSP!$C$3-$D13)^2+(HSP!$D$3-$E13)^2))</f>
        <v>7.1802785461289726</v>
      </c>
      <c r="J13" s="17">
        <f>SQRT((4*(HSP!$B$4-$C13)^2+(HSP!$C$4-$D13)^2+(HSP!$D$4-$E13)^2))</f>
        <v>6.16068178045255</v>
      </c>
      <c r="K13" s="17">
        <f>SQRT((4*(HSP!$B$5-$C13)^2+(HSP!$C$5-$D13)^2+(HSP!$D$5-$E13)^2))</f>
        <v>6.5811017314732352</v>
      </c>
      <c r="L13" s="17">
        <f>SQRT((4*(HSP!$B$6-$C13)^2+(HSP!$C$6-$D13)^2+(HSP!$D$6-$E13)^2))</f>
        <v>8.6020346430364949</v>
      </c>
      <c r="M13" s="17" t="s">
        <v>35</v>
      </c>
      <c r="N13" s="17" t="s">
        <v>35</v>
      </c>
      <c r="O13" s="17" t="s">
        <v>35</v>
      </c>
      <c r="P13" s="17" t="s">
        <v>35</v>
      </c>
      <c r="Q13" s="17" t="s">
        <v>35</v>
      </c>
      <c r="R13" s="17">
        <f>$H13/HSP!$E$2</f>
        <v>0.44960577995770101</v>
      </c>
      <c r="S13" s="17">
        <f>$I13/HSP!$E$3</f>
        <v>0.53187248489844241</v>
      </c>
      <c r="T13" s="17">
        <f>$J13/HSP!$E$4</f>
        <v>0.38746426292154401</v>
      </c>
      <c r="U13" s="17">
        <f>$K13/HSP!$E$5</f>
        <v>0.48037238915863034</v>
      </c>
      <c r="V13" s="17">
        <f>$L13/HSP!$E$6</f>
        <v>0.58121855696192526</v>
      </c>
      <c r="W13" s="12"/>
      <c r="X13" s="12"/>
      <c r="Y13" s="12"/>
      <c r="Z13" s="12"/>
    </row>
    <row r="14" spans="1:26" ht="15" customHeight="1" x14ac:dyDescent="0.35">
      <c r="A14" s="26" t="s">
        <v>1041</v>
      </c>
      <c r="B14" s="17" t="s">
        <v>1042</v>
      </c>
      <c r="C14" s="17">
        <v>15.8</v>
      </c>
      <c r="D14" s="17">
        <v>5</v>
      </c>
      <c r="E14" s="17">
        <v>11.9</v>
      </c>
      <c r="F14" s="17" t="s">
        <v>35</v>
      </c>
      <c r="G14" s="22">
        <v>117.1</v>
      </c>
      <c r="H14" s="17">
        <f>SQRT((4*(HSP!$B$2-$C14)^2+(HSP!$C$2-$D14)^2+(HSP!$D$2-$E14)^2))</f>
        <v>7.7316233741692324</v>
      </c>
      <c r="I14" s="17">
        <f>SQRT((4*(HSP!$B$3-$C14)^2+(HSP!$C$3-$D14)^2+(HSP!$D$3-$E14)^2))</f>
        <v>7.6635761886993725</v>
      </c>
      <c r="J14" s="17">
        <f>SQRT((4*(HSP!$B$4-$C14)^2+(HSP!$C$4-$D14)^2+(HSP!$D$4-$E14)^2))</f>
        <v>5.2630789467763082</v>
      </c>
      <c r="K14" s="17">
        <f>SQRT((4*(HSP!$B$5-$C14)^2+(HSP!$C$5-$D14)^2+(HSP!$D$5-$E14)^2))</f>
        <v>7.8525728267874104</v>
      </c>
      <c r="L14" s="17">
        <f>SQRT((4*(HSP!$B$6-$C14)^2+(HSP!$C$6-$D14)^2+(HSP!$D$6-$E14)^2))</f>
        <v>8.2444526804391334</v>
      </c>
      <c r="M14" s="17" t="s">
        <v>35</v>
      </c>
      <c r="N14" s="17" t="s">
        <v>35</v>
      </c>
      <c r="O14" s="17" t="s">
        <v>35</v>
      </c>
      <c r="P14" s="17" t="s">
        <v>35</v>
      </c>
      <c r="Q14" s="17" t="s">
        <v>35</v>
      </c>
      <c r="R14" s="17">
        <f>$H14/HSP!$E$2</f>
        <v>0.47433272234167068</v>
      </c>
      <c r="S14" s="17">
        <f>$I14/HSP!$E$3</f>
        <v>0.56767231027402765</v>
      </c>
      <c r="T14" s="17">
        <f>$J14/HSP!$E$4</f>
        <v>0.33101125451423319</v>
      </c>
      <c r="U14" s="17">
        <f>$K14/HSP!$E$5</f>
        <v>0.57318049830565043</v>
      </c>
      <c r="V14" s="17">
        <f>$L14/HSP!$E$6</f>
        <v>0.55705761354318462</v>
      </c>
      <c r="W14" s="12"/>
      <c r="X14" s="12"/>
      <c r="Y14" s="12"/>
      <c r="Z14" s="12"/>
    </row>
    <row r="15" spans="1:26" ht="15" customHeight="1" x14ac:dyDescent="0.35">
      <c r="A15" s="26" t="s">
        <v>1041</v>
      </c>
      <c r="B15" s="17" t="s">
        <v>1043</v>
      </c>
      <c r="C15" s="17">
        <v>16.8</v>
      </c>
      <c r="D15" s="17">
        <v>0</v>
      </c>
      <c r="E15" s="17">
        <v>0</v>
      </c>
      <c r="F15" s="17" t="s">
        <v>35</v>
      </c>
      <c r="G15" s="22">
        <v>275.7</v>
      </c>
      <c r="H15" s="17">
        <f>SQRT((4*(HSP!$B$2-$C15)^2+(HSP!$C$2-$D15)^2+(HSP!$D$2-$E15)^2))</f>
        <v>13.322612356441212</v>
      </c>
      <c r="I15" s="17">
        <f>SQRT((4*(HSP!$B$3-$C15)^2+(HSP!$C$3-$D15)^2+(HSP!$D$3-$E15)^2))</f>
        <v>11.494189836608756</v>
      </c>
      <c r="J15" s="17">
        <f>SQRT((4*(HSP!$B$4-$C15)^2+(HSP!$C$4-$D15)^2+(HSP!$D$4-$E15)^2))</f>
        <v>8.8752464754506963</v>
      </c>
      <c r="K15" s="17">
        <f>SQRT((4*(HSP!$B$5-$C15)^2+(HSP!$C$5-$D15)^2+(HSP!$D$5-$E15)^2))</f>
        <v>17.04778284704495</v>
      </c>
      <c r="L15" s="17">
        <f>SQRT((4*(HSP!$B$6-$C15)^2+(HSP!$C$6-$D15)^2+(HSP!$D$6-$E15)^2))</f>
        <v>8.0951219879628749</v>
      </c>
      <c r="M15" s="17" t="s">
        <v>35</v>
      </c>
      <c r="N15" s="17" t="s">
        <v>35</v>
      </c>
      <c r="O15" s="17" t="s">
        <v>35</v>
      </c>
      <c r="P15" s="17" t="s">
        <v>35</v>
      </c>
      <c r="Q15" s="17" t="s">
        <v>35</v>
      </c>
      <c r="R15" s="17">
        <f>$H15/HSP!$E$2</f>
        <v>0.8173381813767614</v>
      </c>
      <c r="S15" s="17">
        <f>$I15/HSP!$E$3</f>
        <v>0.85142146937842633</v>
      </c>
      <c r="T15" s="17">
        <f>$J15/HSP!$E$4</f>
        <v>0.55819160222960351</v>
      </c>
      <c r="U15" s="17">
        <f>$K15/HSP!$E$5</f>
        <v>1.244363711463135</v>
      </c>
      <c r="V15" s="17">
        <f>$L15/HSP!$E$6</f>
        <v>0.54696770188938337</v>
      </c>
      <c r="W15" s="12"/>
      <c r="X15" s="12"/>
      <c r="Y15" s="12"/>
      <c r="Z15" s="12"/>
    </row>
    <row r="16" spans="1:26" ht="15" customHeight="1" x14ac:dyDescent="0.35">
      <c r="A16" s="26" t="s">
        <v>1041</v>
      </c>
      <c r="B16" s="17" t="s">
        <v>1030</v>
      </c>
      <c r="C16" s="17">
        <v>16.8</v>
      </c>
      <c r="D16" s="17">
        <v>2.7</v>
      </c>
      <c r="E16" s="17">
        <v>6.5</v>
      </c>
      <c r="F16" s="17" t="s">
        <v>35</v>
      </c>
      <c r="G16" s="22">
        <v>392.8</v>
      </c>
      <c r="H16" s="17">
        <f>SQRT((4*(HSP!$B$2-$C16)^2+(HSP!$C$2-$D16)^2+(HSP!$D$2-$E16)^2))</f>
        <v>8.9335323360919237</v>
      </c>
      <c r="I16" s="17">
        <f>SQRT((4*(HSP!$B$3-$C16)^2+(HSP!$C$3-$D16)^2+(HSP!$D$3-$E16)^2))</f>
        <v>7.3370566305569715</v>
      </c>
      <c r="J16" s="17">
        <f>SQRT((4*(HSP!$B$4-$C16)^2+(HSP!$C$4-$D16)^2+(HSP!$D$4-$E16)^2))</f>
        <v>3.8259639308284141</v>
      </c>
      <c r="K16" s="17">
        <f>SQRT((4*(HSP!$B$5-$C16)^2+(HSP!$C$5-$D16)^2+(HSP!$D$5-$E16)^2))</f>
        <v>11.374924175571458</v>
      </c>
      <c r="L16" s="17">
        <f>SQRT((4*(HSP!$B$6-$C16)^2+(HSP!$C$6-$D16)^2+(HSP!$D$6-$E16)^2))</f>
        <v>5.5044527430072474</v>
      </c>
      <c r="M16" s="17" t="s">
        <v>35</v>
      </c>
      <c r="N16" s="17" t="s">
        <v>35</v>
      </c>
      <c r="O16" s="17" t="s">
        <v>35</v>
      </c>
      <c r="P16" s="17" t="s">
        <v>35</v>
      </c>
      <c r="Q16" s="17" t="s">
        <v>35</v>
      </c>
      <c r="R16" s="17">
        <f>$H16/HSP!$E$2</f>
        <v>0.54806946847189708</v>
      </c>
      <c r="S16" s="17">
        <f>$I16/HSP!$E$3</f>
        <v>0.5434856763375534</v>
      </c>
      <c r="T16" s="17">
        <f>$J16/HSP!$E$4</f>
        <v>0.24062666231625246</v>
      </c>
      <c r="U16" s="17">
        <f>$K16/HSP!$E$5</f>
        <v>0.83028643617309916</v>
      </c>
      <c r="V16" s="17">
        <f>$L16/HSP!$E$6</f>
        <v>0.37192248263562483</v>
      </c>
      <c r="W16" s="12"/>
      <c r="X16" s="12"/>
      <c r="Y16" s="12"/>
      <c r="Z16" s="12"/>
    </row>
    <row r="17" spans="1:26" ht="15" customHeight="1" x14ac:dyDescent="0.35">
      <c r="A17" s="26" t="s">
        <v>1044</v>
      </c>
      <c r="B17" s="17" t="s">
        <v>1042</v>
      </c>
      <c r="C17" s="17">
        <v>16.899999999999999</v>
      </c>
      <c r="D17" s="17">
        <v>12.9</v>
      </c>
      <c r="E17" s="17">
        <v>15.5</v>
      </c>
      <c r="F17" s="17" t="s">
        <v>35</v>
      </c>
      <c r="G17" s="22">
        <v>50.5</v>
      </c>
      <c r="H17" s="17">
        <f>SQRT((4*(HSP!$B$2-$C17)^2+(HSP!$C$2-$D17)^2+(HSP!$D$2-$E17)^2))</f>
        <v>9.9851890317609886</v>
      </c>
      <c r="I17" s="17">
        <f>SQRT((4*(HSP!$B$3-$C17)^2+(HSP!$C$3-$D17)^2+(HSP!$D$3-$E17)^2))</f>
        <v>10.490776901640793</v>
      </c>
      <c r="J17" s="17">
        <f>SQRT((4*(HSP!$B$4-$C17)^2+(HSP!$C$4-$D17)^2+(HSP!$D$4-$E17)^2))</f>
        <v>12.4591331961738</v>
      </c>
      <c r="K17" s="17">
        <f>SQRT((4*(HSP!$B$5-$C17)^2+(HSP!$C$5-$D17)^2+(HSP!$D$5-$E17)^2))</f>
        <v>5.6164846656961496</v>
      </c>
      <c r="L17" s="17">
        <f>SQRT((4*(HSP!$B$6-$C17)^2+(HSP!$C$6-$D17)^2+(HSP!$D$6-$E17)^2))</f>
        <v>13.719001421386324</v>
      </c>
      <c r="M17" s="17" t="s">
        <v>35</v>
      </c>
      <c r="N17" s="17" t="s">
        <v>35</v>
      </c>
      <c r="O17" s="17" t="s">
        <v>35</v>
      </c>
      <c r="P17" s="17" t="s">
        <v>35</v>
      </c>
      <c r="Q17" s="17" t="s">
        <v>35</v>
      </c>
      <c r="R17" s="17">
        <f>$H17/HSP!$E$2</f>
        <v>0.61258828415711586</v>
      </c>
      <c r="S17" s="17">
        <f>$I17/HSP!$E$3</f>
        <v>0.77709458530672537</v>
      </c>
      <c r="T17" s="17">
        <f>$J17/HSP!$E$4</f>
        <v>0.78359328277822637</v>
      </c>
      <c r="U17" s="17">
        <f>$K17/HSP!$E$5</f>
        <v>0.40996238435738319</v>
      </c>
      <c r="V17" s="17">
        <f>$L17/HSP!$E$6</f>
        <v>0.92695955549907583</v>
      </c>
      <c r="W17" s="12"/>
      <c r="X17" s="12"/>
      <c r="Y17" s="12"/>
      <c r="Z17" s="12"/>
    </row>
    <row r="18" spans="1:26" ht="15" customHeight="1" x14ac:dyDescent="0.35">
      <c r="A18" s="26" t="s">
        <v>1044</v>
      </c>
      <c r="B18" s="17" t="s">
        <v>1043</v>
      </c>
      <c r="C18" s="17">
        <v>16.3</v>
      </c>
      <c r="D18" s="17">
        <v>0</v>
      </c>
      <c r="E18" s="17">
        <v>0</v>
      </c>
      <c r="F18" s="17" t="s">
        <v>35</v>
      </c>
      <c r="G18" s="22">
        <v>588.20000000000005</v>
      </c>
      <c r="H18" s="17">
        <f>SQRT((4*(HSP!$B$2-$C18)^2+(HSP!$C$2-$D18)^2+(HSP!$D$2-$E18)^2))</f>
        <v>13.026588194918885</v>
      </c>
      <c r="I18" s="17">
        <f>SQRT((4*(HSP!$B$3-$C18)^2+(HSP!$C$3-$D18)^2+(HSP!$D$3-$E18)^2))</f>
        <v>11.343562050784579</v>
      </c>
      <c r="J18" s="17">
        <f>SQRT((4*(HSP!$B$4-$C18)^2+(HSP!$C$4-$D18)^2+(HSP!$D$4-$E18)^2))</f>
        <v>8.558621384311845</v>
      </c>
      <c r="K18" s="17">
        <f>SQRT((4*(HSP!$B$5-$C18)^2+(HSP!$C$5-$D18)^2+(HSP!$D$5-$E18)^2))</f>
        <v>16.896949428817027</v>
      </c>
      <c r="L18" s="17">
        <f>SQRT((4*(HSP!$B$6-$C18)^2+(HSP!$C$6-$D18)^2+(HSP!$D$6-$E18)^2))</f>
        <v>7.7724513507644417</v>
      </c>
      <c r="M18" s="17" t="s">
        <v>35</v>
      </c>
      <c r="N18" s="17" t="s">
        <v>35</v>
      </c>
      <c r="O18" s="17" t="s">
        <v>35</v>
      </c>
      <c r="P18" s="17" t="s">
        <v>35</v>
      </c>
      <c r="Q18" s="17" t="s">
        <v>35</v>
      </c>
      <c r="R18" s="17">
        <f>$H18/HSP!$E$2</f>
        <v>0.79917718987232422</v>
      </c>
      <c r="S18" s="17">
        <f>$I18/HSP!$E$3</f>
        <v>0.84026385561367245</v>
      </c>
      <c r="T18" s="17">
        <f>$J18/HSP!$E$4</f>
        <v>0.53827807448502174</v>
      </c>
      <c r="U18" s="17">
        <f>$K18/HSP!$E$5</f>
        <v>1.2333539729063525</v>
      </c>
      <c r="V18" s="17">
        <f>$L18/HSP!$E$6</f>
        <v>0.52516563180840825</v>
      </c>
      <c r="W18" s="12"/>
      <c r="X18" s="12"/>
      <c r="Y18" s="12"/>
      <c r="Z18" s="12"/>
    </row>
    <row r="19" spans="1:26" ht="15" customHeight="1" x14ac:dyDescent="0.35">
      <c r="A19" s="26" t="s">
        <v>1044</v>
      </c>
      <c r="B19" s="17" t="s">
        <v>1030</v>
      </c>
      <c r="C19" s="17">
        <v>16.3</v>
      </c>
      <c r="D19" s="17">
        <v>3.6</v>
      </c>
      <c r="E19" s="17">
        <v>4.4000000000000004</v>
      </c>
      <c r="F19" s="17" t="s">
        <v>35</v>
      </c>
      <c r="G19" s="22">
        <v>638.70000000000005</v>
      </c>
      <c r="H19" s="17">
        <f>SQRT((4*(HSP!$B$2-$C19)^2+(HSP!$C$2-$D19)^2+(HSP!$D$2-$E19)^2))</f>
        <v>8.0793564100118793</v>
      </c>
      <c r="I19" s="17">
        <f>SQRT((4*(HSP!$B$3-$C19)^2+(HSP!$C$3-$D19)^2+(HSP!$D$3-$E19)^2))</f>
        <v>6.3425862233003985</v>
      </c>
      <c r="J19" s="17">
        <f>SQRT((4*(HSP!$B$4-$C19)^2+(HSP!$C$4-$D19)^2+(HSP!$D$4-$E19)^2))</f>
        <v>3.4690056212119349</v>
      </c>
      <c r="K19" s="17">
        <f>SQRT((4*(HSP!$B$5-$C19)^2+(HSP!$C$5-$D19)^2+(HSP!$D$5-$E19)^2))</f>
        <v>11.404336894357341</v>
      </c>
      <c r="L19" s="17">
        <f>SQRT((4*(HSP!$B$6-$C19)^2+(HSP!$C$6-$D19)^2+(HSP!$D$6-$E19)^2))</f>
        <v>3.5433035433053157</v>
      </c>
      <c r="M19" s="17" t="s">
        <v>35</v>
      </c>
      <c r="N19" s="17" t="s">
        <v>35</v>
      </c>
      <c r="O19" s="17" t="s">
        <v>35</v>
      </c>
      <c r="P19" s="17" t="s">
        <v>35</v>
      </c>
      <c r="Q19" s="17" t="s">
        <v>35</v>
      </c>
      <c r="R19" s="17">
        <f>$H19/HSP!$E$2</f>
        <v>0.49566603742404164</v>
      </c>
      <c r="S19" s="17">
        <f>$I19/HSP!$E$3</f>
        <v>0.46982120172595543</v>
      </c>
      <c r="T19" s="17">
        <f>$J19/HSP!$E$4</f>
        <v>0.21817645416427264</v>
      </c>
      <c r="U19" s="17">
        <f>$K19/HSP!$E$5</f>
        <v>0.8324333499530906</v>
      </c>
      <c r="V19" s="17">
        <f>$L19/HSP!$E$6</f>
        <v>0.23941240157468349</v>
      </c>
      <c r="W19" s="12"/>
      <c r="X19" s="12"/>
      <c r="Y19" s="12"/>
      <c r="Z19" s="12"/>
    </row>
    <row r="20" spans="1:26" ht="15" customHeight="1" x14ac:dyDescent="0.35">
      <c r="A20" s="26" t="s">
        <v>1045</v>
      </c>
      <c r="B20" s="17" t="s">
        <v>1030</v>
      </c>
      <c r="C20" s="17">
        <v>18.899999999999999</v>
      </c>
      <c r="D20" s="17">
        <v>8.1</v>
      </c>
      <c r="E20" s="17">
        <v>11.2</v>
      </c>
      <c r="F20" s="17" t="s">
        <v>35</v>
      </c>
      <c r="G20" s="22">
        <v>624.29999999999995</v>
      </c>
      <c r="H20" s="17">
        <f>SQRT((4*(HSP!$B$2-$C20)^2+(HSP!$C$2-$D20)^2+(HSP!$D$2-$E20)^2))</f>
        <v>9.8660022298801433</v>
      </c>
      <c r="I20" s="17">
        <f>SQRT((4*(HSP!$B$3-$C20)^2+(HSP!$C$3-$D20)^2+(HSP!$D$3-$E20)^2))</f>
        <v>8.5202347385503394</v>
      </c>
      <c r="J20" s="17">
        <f>SQRT((4*(HSP!$B$4-$C20)^2+(HSP!$C$4-$D20)^2+(HSP!$D$4-$E20)^2))</f>
        <v>9.3117130539981723</v>
      </c>
      <c r="K20" s="17">
        <f>SQRT((4*(HSP!$B$5-$C20)^2+(HSP!$C$5-$D20)^2+(HSP!$D$5-$E20)^2))</f>
        <v>8.6095818713802803</v>
      </c>
      <c r="L20" s="17">
        <f>SQRT((4*(HSP!$B$6-$C20)^2+(HSP!$C$6-$D20)^2+(HSP!$D$6-$E20)^2))</f>
        <v>10.465132583966625</v>
      </c>
      <c r="M20" s="17" t="s">
        <v>35</v>
      </c>
      <c r="N20" s="17" t="s">
        <v>35</v>
      </c>
      <c r="O20" s="17" t="s">
        <v>35</v>
      </c>
      <c r="P20" s="17" t="s">
        <v>35</v>
      </c>
      <c r="Q20" s="17" t="s">
        <v>35</v>
      </c>
      <c r="R20" s="17">
        <f>$H20/HSP!$E$2</f>
        <v>0.60527621042209467</v>
      </c>
      <c r="S20" s="17">
        <f>$I20/HSP!$E$3</f>
        <v>0.63112849915187696</v>
      </c>
      <c r="T20" s="17">
        <f>$J20/HSP!$E$4</f>
        <v>0.58564233044013658</v>
      </c>
      <c r="U20" s="17">
        <f>$K20/HSP!$E$5</f>
        <v>0.62843663294746577</v>
      </c>
      <c r="V20" s="17">
        <f>$L20/HSP!$E$6</f>
        <v>0.70710355297071792</v>
      </c>
      <c r="W20" s="12"/>
      <c r="X20" s="12"/>
      <c r="Y20" s="12"/>
      <c r="Z20" s="12"/>
    </row>
    <row r="21" spans="1:26" ht="15" customHeight="1" x14ac:dyDescent="0.35">
      <c r="A21" s="26" t="s">
        <v>1046</v>
      </c>
      <c r="B21" s="17" t="s">
        <v>1030</v>
      </c>
      <c r="C21" s="17">
        <v>19.100000000000001</v>
      </c>
      <c r="D21" s="17">
        <v>8.8000000000000007</v>
      </c>
      <c r="E21" s="17">
        <v>13.8</v>
      </c>
      <c r="F21" s="17" t="s">
        <v>35</v>
      </c>
      <c r="G21" s="22">
        <v>735.2</v>
      </c>
      <c r="H21" s="17">
        <f>SQRT((4*(HSP!$B$2-$C21)^2+(HSP!$C$2-$D21)^2+(HSP!$D$2-$E21)^2))</f>
        <v>11.41350077758792</v>
      </c>
      <c r="I21" s="17">
        <f>SQRT((4*(HSP!$B$3-$C21)^2+(HSP!$C$3-$D21)^2+(HSP!$D$3-$E21)^2))</f>
        <v>10.532445110229631</v>
      </c>
      <c r="J21" s="17">
        <f>SQRT((4*(HSP!$B$4-$C21)^2+(HSP!$C$4-$D21)^2+(HSP!$D$4-$E21)^2))</f>
        <v>11.302831503654298</v>
      </c>
      <c r="K21" s="17">
        <f>SQRT((4*(HSP!$B$5-$C21)^2+(HSP!$C$5-$D21)^2+(HSP!$D$5-$E21)^2))</f>
        <v>9.0707717422499421</v>
      </c>
      <c r="L21" s="17">
        <f>SQRT((4*(HSP!$B$6-$C21)^2+(HSP!$C$6-$D21)^2+(HSP!$D$6-$E21)^2))</f>
        <v>12.778693203923478</v>
      </c>
      <c r="M21" s="17" t="s">
        <v>35</v>
      </c>
      <c r="N21" s="17" t="s">
        <v>35</v>
      </c>
      <c r="O21" s="17" t="s">
        <v>35</v>
      </c>
      <c r="P21" s="17" t="s">
        <v>35</v>
      </c>
      <c r="Q21" s="17" t="s">
        <v>35</v>
      </c>
      <c r="R21" s="17">
        <f>$H21/HSP!$E$2</f>
        <v>0.70021477163116075</v>
      </c>
      <c r="S21" s="17">
        <f>$I21/HSP!$E$3</f>
        <v>0.78018111927626899</v>
      </c>
      <c r="T21" s="17">
        <f>$J21/HSP!$E$4</f>
        <v>0.71086990589020738</v>
      </c>
      <c r="U21" s="17">
        <f>$K21/HSP!$E$5</f>
        <v>0.66210012717152866</v>
      </c>
      <c r="V21" s="17">
        <f>$L21/HSP!$E$6</f>
        <v>0.86342521648131598</v>
      </c>
      <c r="W21" s="12"/>
      <c r="X21" s="12"/>
      <c r="Y21" s="12"/>
      <c r="Z21" s="12"/>
    </row>
    <row r="22" spans="1:26" ht="15" customHeight="1" x14ac:dyDescent="0.35">
      <c r="A22" s="26" t="s">
        <v>1047</v>
      </c>
      <c r="B22" s="17" t="s">
        <v>1030</v>
      </c>
      <c r="C22" s="17">
        <v>17.100000000000001</v>
      </c>
      <c r="D22" s="17">
        <v>5.5</v>
      </c>
      <c r="E22" s="17">
        <v>5.4</v>
      </c>
      <c r="F22" s="17" t="s">
        <v>35</v>
      </c>
      <c r="G22" s="22">
        <v>365.4</v>
      </c>
      <c r="H22" s="17">
        <f>SQRT((4*(HSP!$B$2-$C22)^2+(HSP!$C$2-$D22)^2+(HSP!$D$2-$E22)^2))</f>
        <v>7.2178944298181618</v>
      </c>
      <c r="I22" s="17">
        <f>SQRT((4*(HSP!$B$3-$C22)^2+(HSP!$C$3-$D22)^2+(HSP!$D$3-$E22)^2))</f>
        <v>5.0432529185040904</v>
      </c>
      <c r="J22" s="17">
        <f>SQRT((4*(HSP!$B$4-$C22)^2+(HSP!$C$4-$D22)^2+(HSP!$D$4-$E22)^2))</f>
        <v>4.1871231173682988</v>
      </c>
      <c r="K22" s="17">
        <f>SQRT((4*(HSP!$B$5-$C22)^2+(HSP!$C$5-$D22)^2+(HSP!$D$5-$E22)^2))</f>
        <v>9.8033106652803781</v>
      </c>
      <c r="L22" s="17">
        <f>SQRT((4*(HSP!$B$6-$C22)^2+(HSP!$C$6-$D22)^2+(HSP!$D$6-$E22)^2))</f>
        <v>4.0820338068173845</v>
      </c>
      <c r="M22" s="17" t="s">
        <v>35</v>
      </c>
      <c r="N22" s="17" t="s">
        <v>35</v>
      </c>
      <c r="O22" s="17" t="s">
        <v>35</v>
      </c>
      <c r="P22" s="17" t="s">
        <v>35</v>
      </c>
      <c r="Q22" s="17" t="s">
        <v>35</v>
      </c>
      <c r="R22" s="17">
        <f>$H22/HSP!$E$2</f>
        <v>0.44281560919129825</v>
      </c>
      <c r="S22" s="17">
        <f>$I22/HSP!$E$3</f>
        <v>0.37357429025956224</v>
      </c>
      <c r="T22" s="17">
        <f>$J22/HSP!$E$4</f>
        <v>0.26334107656404393</v>
      </c>
      <c r="U22" s="17">
        <f>$K22/HSP!$E$5</f>
        <v>0.71557012155331234</v>
      </c>
      <c r="V22" s="17">
        <f>$L22/HSP!$E$6</f>
        <v>0.27581309505522866</v>
      </c>
      <c r="W22" s="12"/>
      <c r="X22" s="12"/>
      <c r="Y22" s="12"/>
      <c r="Z22" s="12"/>
    </row>
    <row r="23" spans="1:26" ht="15" customHeight="1" x14ac:dyDescent="0.35">
      <c r="A23" s="26" t="s">
        <v>1048</v>
      </c>
      <c r="B23" s="17" t="s">
        <v>1030</v>
      </c>
      <c r="C23" s="17">
        <v>16.8</v>
      </c>
      <c r="D23" s="17">
        <v>5.8</v>
      </c>
      <c r="E23" s="17">
        <v>7.5</v>
      </c>
      <c r="F23" s="17" t="s">
        <v>35</v>
      </c>
      <c r="G23" s="22">
        <v>772.3</v>
      </c>
      <c r="H23" s="17">
        <f>SQRT((4*(HSP!$B$2-$C23)^2+(HSP!$C$2-$D23)^2+(HSP!$D$2-$E23)^2))</f>
        <v>6.4300855359785087</v>
      </c>
      <c r="I23" s="17">
        <f>SQRT((4*(HSP!$B$3-$C23)^2+(HSP!$C$3-$D23)^2+(HSP!$D$3-$E23)^2))</f>
        <v>4.7592436373860929</v>
      </c>
      <c r="J23" s="17">
        <f>SQRT((4*(HSP!$B$4-$C23)^2+(HSP!$C$4-$D23)^2+(HSP!$D$4-$E23)^2))</f>
        <v>3.5173853925892185</v>
      </c>
      <c r="K23" s="17">
        <f>SQRT((4*(HSP!$B$5-$C23)^2+(HSP!$C$5-$D23)^2+(HSP!$D$5-$E23)^2))</f>
        <v>8.3075206891105609</v>
      </c>
      <c r="L23" s="17">
        <f>SQRT((4*(HSP!$B$6-$C23)^2+(HSP!$C$6-$D23)^2+(HSP!$D$6-$E23)^2))</f>
        <v>4.8044770787256352</v>
      </c>
      <c r="M23" s="17" t="s">
        <v>35</v>
      </c>
      <c r="N23" s="17" t="s">
        <v>35</v>
      </c>
      <c r="O23" s="17" t="s">
        <v>35</v>
      </c>
      <c r="P23" s="17" t="s">
        <v>35</v>
      </c>
      <c r="Q23" s="17" t="s">
        <v>35</v>
      </c>
      <c r="R23" s="17">
        <f>$H23/HSP!$E$2</f>
        <v>0.39448377521340544</v>
      </c>
      <c r="S23" s="17">
        <f>$I23/HSP!$E$3</f>
        <v>0.35253656573230319</v>
      </c>
      <c r="T23" s="17">
        <f>$J23/HSP!$E$4</f>
        <v>0.22121920708108292</v>
      </c>
      <c r="U23" s="17">
        <f>$K23/HSP!$E$5</f>
        <v>0.60638837146792424</v>
      </c>
      <c r="V23" s="17">
        <f>$L23/HSP!$E$6</f>
        <v>0.32462682964362399</v>
      </c>
      <c r="W23" s="12"/>
      <c r="X23" s="12"/>
      <c r="Y23" s="12"/>
      <c r="Z23" s="12"/>
    </row>
    <row r="24" spans="1:26" ht="15" customHeight="1" x14ac:dyDescent="0.35">
      <c r="A24" s="26" t="s">
        <v>1049</v>
      </c>
      <c r="B24" s="17" t="s">
        <v>1030</v>
      </c>
      <c r="C24" s="17">
        <v>16.600000000000001</v>
      </c>
      <c r="D24" s="17">
        <v>5</v>
      </c>
      <c r="E24" s="17">
        <v>7.4</v>
      </c>
      <c r="F24" s="17" t="s">
        <v>35</v>
      </c>
      <c r="G24" s="22">
        <v>537.20000000000005</v>
      </c>
      <c r="H24" s="17">
        <f>SQRT((4*(HSP!$B$2-$C24)^2+(HSP!$C$2-$D24)^2+(HSP!$D$2-$E24)^2))</f>
        <v>6.7814452736861366</v>
      </c>
      <c r="I24" s="17">
        <f>SQRT((4*(HSP!$B$3-$C24)^2+(HSP!$C$3-$D24)^2+(HSP!$D$3-$E24)^2))</f>
        <v>5.246370173748705</v>
      </c>
      <c r="J24" s="17">
        <f>SQRT((4*(HSP!$B$4-$C24)^2+(HSP!$C$4-$D24)^2+(HSP!$D$4-$E24)^2))</f>
        <v>2.9397278785629153</v>
      </c>
      <c r="K24" s="17">
        <f>SQRT((4*(HSP!$B$5-$C24)^2+(HSP!$C$5-$D24)^2+(HSP!$D$5-$E24)^2))</f>
        <v>8.8957798983563006</v>
      </c>
      <c r="L24" s="17">
        <f>SQRT((4*(HSP!$B$6-$C24)^2+(HSP!$C$6-$D24)^2+(HSP!$D$6-$E24)^2))</f>
        <v>4.660793923785949</v>
      </c>
      <c r="M24" s="17" t="s">
        <v>35</v>
      </c>
      <c r="N24" s="17" t="s">
        <v>35</v>
      </c>
      <c r="O24" s="17" t="s">
        <v>35</v>
      </c>
      <c r="P24" s="17" t="s">
        <v>35</v>
      </c>
      <c r="Q24" s="17" t="s">
        <v>35</v>
      </c>
      <c r="R24" s="17">
        <f>$H24/HSP!$E$2</f>
        <v>0.41603958734270774</v>
      </c>
      <c r="S24" s="17">
        <f>$I24/HSP!$E$3</f>
        <v>0.38862001287027442</v>
      </c>
      <c r="T24" s="17">
        <f>$J24/HSP!$E$4</f>
        <v>0.184888545821567</v>
      </c>
      <c r="U24" s="17">
        <f>$K24/HSP!$E$5</f>
        <v>0.64932699988002196</v>
      </c>
      <c r="V24" s="17">
        <f>$L24/HSP!$E$6</f>
        <v>0.31491850836391544</v>
      </c>
      <c r="W24" s="12"/>
      <c r="X24" s="12"/>
      <c r="Y24" s="12"/>
      <c r="Z24" s="12"/>
    </row>
    <row r="25" spans="1:26" ht="15" customHeight="1" x14ac:dyDescent="0.35">
      <c r="A25" s="26" t="s">
        <v>1050</v>
      </c>
      <c r="B25" s="17" t="s">
        <v>1030</v>
      </c>
      <c r="C25" s="17">
        <v>16.8</v>
      </c>
      <c r="D25" s="17">
        <v>6</v>
      </c>
      <c r="E25" s="17">
        <v>7.5</v>
      </c>
      <c r="F25" s="17" t="s">
        <v>35</v>
      </c>
      <c r="G25" s="22">
        <v>460.7</v>
      </c>
      <c r="H25" s="17">
        <f>SQRT((4*(HSP!$B$2-$C25)^2+(HSP!$C$2-$D25)^2+(HSP!$D$2-$E25)^2))</f>
        <v>6.2866525273789406</v>
      </c>
      <c r="I25" s="17">
        <f>SQRT((4*(HSP!$B$3-$C25)^2+(HSP!$C$3-$D25)^2+(HSP!$D$3-$E25)^2))</f>
        <v>4.5985215015263341</v>
      </c>
      <c r="J25" s="17">
        <f>SQRT((4*(HSP!$B$4-$C25)^2+(HSP!$C$4-$D25)^2+(HSP!$D$4-$E25)^2))</f>
        <v>3.5860842154082233</v>
      </c>
      <c r="K25" s="17">
        <f>SQRT((4*(HSP!$B$5-$C25)^2+(HSP!$C$5-$D25)^2+(HSP!$D$5-$E25)^2))</f>
        <v>8.141676731484738</v>
      </c>
      <c r="L25" s="17">
        <f>SQRT((4*(HSP!$B$6-$C25)^2+(HSP!$C$6-$D25)^2+(HSP!$D$6-$E25)^2))</f>
        <v>4.7823634324463473</v>
      </c>
      <c r="M25" s="17" t="s">
        <v>35</v>
      </c>
      <c r="N25" s="17" t="s">
        <v>35</v>
      </c>
      <c r="O25" s="17" t="s">
        <v>35</v>
      </c>
      <c r="P25" s="17" t="s">
        <v>35</v>
      </c>
      <c r="Q25" s="17" t="s">
        <v>35</v>
      </c>
      <c r="R25" s="17">
        <f>$H25/HSP!$E$2</f>
        <v>0.38568420413367732</v>
      </c>
      <c r="S25" s="17">
        <f>$I25/HSP!$E$3</f>
        <v>0.34063122233528403</v>
      </c>
      <c r="T25" s="17">
        <f>$J25/HSP!$E$4</f>
        <v>0.22553988776152348</v>
      </c>
      <c r="U25" s="17">
        <f>$K25/HSP!$E$5</f>
        <v>0.59428297310107581</v>
      </c>
      <c r="V25" s="17">
        <f>$L25/HSP!$E$6</f>
        <v>0.3231326643544829</v>
      </c>
      <c r="W25" s="12"/>
      <c r="X25" s="12"/>
      <c r="Y25" s="12"/>
      <c r="Z25" s="12"/>
    </row>
    <row r="26" spans="1:26" ht="15" customHeight="1" x14ac:dyDescent="0.35">
      <c r="A26" s="26" t="s">
        <v>1050</v>
      </c>
      <c r="B26" s="17" t="s">
        <v>1042</v>
      </c>
      <c r="C26" s="17">
        <v>16.600000000000001</v>
      </c>
      <c r="D26" s="17">
        <v>9.4</v>
      </c>
      <c r="E26" s="17">
        <v>11.9</v>
      </c>
      <c r="F26" s="17" t="s">
        <v>35</v>
      </c>
      <c r="G26" s="22">
        <v>185</v>
      </c>
      <c r="H26" s="17">
        <f>SQRT((4*(HSP!$B$2-$C26)^2+(HSP!$C$2-$D26)^2+(HSP!$D$2-$E26)^2))</f>
        <v>6.4288412641781747</v>
      </c>
      <c r="I26" s="17">
        <f>SQRT((4*(HSP!$B$3-$C26)^2+(HSP!$C$3-$D26)^2+(HSP!$D$3-$E26)^2))</f>
        <v>6.3518816109874106</v>
      </c>
      <c r="J26" s="17">
        <f>SQRT((4*(HSP!$B$4-$C26)^2+(HSP!$C$4-$D26)^2+(HSP!$D$4-$E26)^2))</f>
        <v>7.514519279368443</v>
      </c>
      <c r="K26" s="17">
        <f>SQRT((4*(HSP!$B$5-$C26)^2+(HSP!$C$5-$D26)^2+(HSP!$D$5-$E26)^2))</f>
        <v>4.3633587979903767</v>
      </c>
      <c r="L26" s="17">
        <f>SQRT((4*(HSP!$B$6-$C26)^2+(HSP!$C$6-$D26)^2+(HSP!$D$6-$E26)^2))</f>
        <v>8.9832622136949798</v>
      </c>
      <c r="M26" s="17" t="s">
        <v>35</v>
      </c>
      <c r="N26" s="17" t="s">
        <v>35</v>
      </c>
      <c r="O26" s="17" t="s">
        <v>35</v>
      </c>
      <c r="P26" s="17" t="s">
        <v>35</v>
      </c>
      <c r="Q26" s="17" t="s">
        <v>35</v>
      </c>
      <c r="R26" s="17">
        <f>$H26/HSP!$E$2</f>
        <v>0.39440743952013341</v>
      </c>
      <c r="S26" s="17">
        <f>$I26/HSP!$E$3</f>
        <v>0.47050974896203041</v>
      </c>
      <c r="T26" s="17">
        <f>$J26/HSP!$E$4</f>
        <v>0.47261127543197756</v>
      </c>
      <c r="U26" s="17">
        <f>$K26/HSP!$E$5</f>
        <v>0.31849334291900561</v>
      </c>
      <c r="V26" s="17">
        <f>$L26/HSP!$E$6</f>
        <v>0.60697717660101214</v>
      </c>
      <c r="W26" s="12"/>
      <c r="X26" s="12"/>
      <c r="Y26" s="12"/>
      <c r="Z26" s="12"/>
    </row>
    <row r="27" spans="1:26" ht="15" customHeight="1" x14ac:dyDescent="0.35">
      <c r="A27" s="26" t="s">
        <v>1050</v>
      </c>
      <c r="B27" s="17" t="s">
        <v>1043</v>
      </c>
      <c r="C27" s="17">
        <v>16.8</v>
      </c>
      <c r="D27" s="17">
        <v>0</v>
      </c>
      <c r="E27" s="17">
        <v>0</v>
      </c>
      <c r="F27" s="17" t="s">
        <v>35</v>
      </c>
      <c r="G27" s="22">
        <v>275.7</v>
      </c>
      <c r="H27" s="17">
        <f>SQRT((4*(HSP!$B$2-$C27)^2+(HSP!$C$2-$D27)^2+(HSP!$D$2-$E27)^2))</f>
        <v>13.322612356441212</v>
      </c>
      <c r="I27" s="17">
        <f>SQRT((4*(HSP!$B$3-$C27)^2+(HSP!$C$3-$D27)^2+(HSP!$D$3-$E27)^2))</f>
        <v>11.494189836608756</v>
      </c>
      <c r="J27" s="17">
        <f>SQRT((4*(HSP!$B$4-$C27)^2+(HSP!$C$4-$D27)^2+(HSP!$D$4-$E27)^2))</f>
        <v>8.8752464754506963</v>
      </c>
      <c r="K27" s="17">
        <f>SQRT((4*(HSP!$B$5-$C27)^2+(HSP!$C$5-$D27)^2+(HSP!$D$5-$E27)^2))</f>
        <v>17.04778284704495</v>
      </c>
      <c r="L27" s="17">
        <f>SQRT((4*(HSP!$B$6-$C27)^2+(HSP!$C$6-$D27)^2+(HSP!$D$6-$E27)^2))</f>
        <v>8.0951219879628749</v>
      </c>
      <c r="M27" s="17" t="s">
        <v>35</v>
      </c>
      <c r="N27" s="17" t="s">
        <v>35</v>
      </c>
      <c r="O27" s="17" t="s">
        <v>35</v>
      </c>
      <c r="P27" s="17" t="s">
        <v>35</v>
      </c>
      <c r="Q27" s="17" t="s">
        <v>35</v>
      </c>
      <c r="R27" s="17">
        <f>$H27/HSP!$E$2</f>
        <v>0.8173381813767614</v>
      </c>
      <c r="S27" s="17">
        <f>$I27/HSP!$E$3</f>
        <v>0.85142146937842633</v>
      </c>
      <c r="T27" s="17">
        <f>$J27/HSP!$E$4</f>
        <v>0.55819160222960351</v>
      </c>
      <c r="U27" s="17">
        <f>$K27/HSP!$E$5</f>
        <v>1.244363711463135</v>
      </c>
      <c r="V27" s="17">
        <f>$L27/HSP!$E$6</f>
        <v>0.54696770188938337</v>
      </c>
      <c r="W27" s="12"/>
      <c r="X27" s="12"/>
      <c r="Y27" s="12"/>
      <c r="Z27" s="12"/>
    </row>
    <row r="28" spans="1:26" ht="15" customHeight="1" x14ac:dyDescent="0.35">
      <c r="A28" s="26" t="s">
        <v>1051</v>
      </c>
      <c r="B28" s="17" t="s">
        <v>1030</v>
      </c>
      <c r="C28" s="17">
        <v>16.899999999999999</v>
      </c>
      <c r="D28" s="17">
        <v>6.4</v>
      </c>
      <c r="E28" s="17">
        <v>8.5</v>
      </c>
      <c r="F28" s="17" t="s">
        <v>35</v>
      </c>
      <c r="G28" s="22">
        <v>402.1</v>
      </c>
      <c r="H28" s="17">
        <f>SQRT((4*(HSP!$B$2-$C28)^2+(HSP!$C$2-$D28)^2+(HSP!$D$2-$E28)^2))</f>
        <v>6.3209176548979009</v>
      </c>
      <c r="I28" s="17">
        <f>SQRT((4*(HSP!$B$3-$C28)^2+(HSP!$C$3-$D28)^2+(HSP!$D$3-$E28)^2))</f>
        <v>4.8648124321498756</v>
      </c>
      <c r="J28" s="17">
        <f>SQRT((4*(HSP!$B$4-$C28)^2+(HSP!$C$4-$D28)^2+(HSP!$D$4-$E28)^2))</f>
        <v>4.2213741838410845</v>
      </c>
      <c r="K28" s="17">
        <f>SQRT((4*(HSP!$B$5-$C28)^2+(HSP!$C$5-$D28)^2+(HSP!$D$5-$E28)^2))</f>
        <v>7.5149783765490632</v>
      </c>
      <c r="L28" s="17">
        <f>SQRT((4*(HSP!$B$6-$C28)^2+(HSP!$C$6-$D28)^2+(HSP!$D$6-$E28)^2))</f>
        <v>5.678996390208396</v>
      </c>
      <c r="M28" s="17" t="s">
        <v>35</v>
      </c>
      <c r="N28" s="17" t="s">
        <v>35</v>
      </c>
      <c r="O28" s="17" t="s">
        <v>35</v>
      </c>
      <c r="P28" s="17" t="s">
        <v>35</v>
      </c>
      <c r="Q28" s="17" t="s">
        <v>35</v>
      </c>
      <c r="R28" s="17">
        <f>$H28/HSP!$E$2</f>
        <v>0.3877863591961902</v>
      </c>
      <c r="S28" s="17">
        <f>$I28/HSP!$E$3</f>
        <v>0.36035647645554636</v>
      </c>
      <c r="T28" s="17">
        <f>$J28/HSP!$E$4</f>
        <v>0.2654952316881185</v>
      </c>
      <c r="U28" s="17">
        <f>$K28/HSP!$E$5</f>
        <v>0.54853856763131847</v>
      </c>
      <c r="V28" s="17">
        <f>$L28/HSP!$E$6</f>
        <v>0.38371597231137811</v>
      </c>
      <c r="W28" s="12"/>
      <c r="X28" s="12"/>
      <c r="Y28" s="12"/>
      <c r="Z28" s="12"/>
    </row>
    <row r="29" spans="1:26" ht="15" customHeight="1" x14ac:dyDescent="0.35">
      <c r="A29" s="26" t="s">
        <v>1052</v>
      </c>
      <c r="B29" s="17" t="s">
        <v>1030</v>
      </c>
      <c r="C29" s="21">
        <v>16.899999999999999</v>
      </c>
      <c r="D29" s="17">
        <v>6.4</v>
      </c>
      <c r="E29" s="17">
        <v>11.9</v>
      </c>
      <c r="F29" s="17" t="s">
        <v>35</v>
      </c>
      <c r="G29" s="22">
        <v>323.2</v>
      </c>
      <c r="H29" s="17">
        <f>SQRT((4*(HSP!$B$2-$C29)^2+(HSP!$C$2-$D29)^2+(HSP!$D$2-$E29)^2))</f>
        <v>7.8644770964127027</v>
      </c>
      <c r="I29" s="17">
        <f>SQRT((4*(HSP!$B$3-$C29)^2+(HSP!$C$3-$D29)^2+(HSP!$D$3-$E29)^2))</f>
        <v>7.3109780467458654</v>
      </c>
      <c r="J29" s="17">
        <f>SQRT((4*(HSP!$B$4-$C29)^2+(HSP!$C$4-$D29)^2+(HSP!$D$4-$E29)^2))</f>
        <v>6.398437309218556</v>
      </c>
      <c r="K29" s="17">
        <f>SQRT((4*(HSP!$B$5-$C29)^2+(HSP!$C$5-$D29)^2+(HSP!$D$5-$E29)^2))</f>
        <v>7.1771094460095837</v>
      </c>
      <c r="L29" s="17">
        <f>SQRT((4*(HSP!$B$6-$C29)^2+(HSP!$C$6-$D29)^2+(HSP!$D$6-$E29)^2))</f>
        <v>8.6851021870787442</v>
      </c>
      <c r="M29" s="17" t="s">
        <v>35</v>
      </c>
      <c r="N29" s="17" t="s">
        <v>35</v>
      </c>
      <c r="O29" s="17" t="s">
        <v>35</v>
      </c>
      <c r="P29" s="17" t="s">
        <v>35</v>
      </c>
      <c r="Q29" s="17" t="s">
        <v>35</v>
      </c>
      <c r="R29" s="17">
        <f>$H29/HSP!$E$2</f>
        <v>0.48248325744863202</v>
      </c>
      <c r="S29" s="17">
        <f>$I29/HSP!$E$3</f>
        <v>0.5415539293885826</v>
      </c>
      <c r="T29" s="17">
        <f>$J29/HSP!$E$4</f>
        <v>0.40241744083135572</v>
      </c>
      <c r="U29" s="17">
        <f>$K29/HSP!$E$5</f>
        <v>0.52387660189850982</v>
      </c>
      <c r="V29" s="17">
        <f>$L29/HSP!$E$6</f>
        <v>0.58683122885667183</v>
      </c>
      <c r="W29" s="12"/>
      <c r="X29" s="12"/>
      <c r="Y29" s="12"/>
      <c r="Z29" s="12"/>
    </row>
    <row r="30" spans="1:26" ht="15" customHeight="1" x14ac:dyDescent="0.35">
      <c r="A30" s="28" t="s">
        <v>1053</v>
      </c>
      <c r="B30" s="17" t="s">
        <v>1042</v>
      </c>
      <c r="C30" s="17">
        <v>15</v>
      </c>
      <c r="D30" s="17">
        <v>9</v>
      </c>
      <c r="E30" s="17">
        <v>6.1</v>
      </c>
      <c r="F30" s="17" t="s">
        <v>35</v>
      </c>
      <c r="G30" s="22">
        <v>75</v>
      </c>
      <c r="H30" s="17">
        <f>SQRT((4*(HSP!$B$2-$C30)^2+(HSP!$C$2-$D30)^2+(HSP!$D$2-$E30)^2))</f>
        <v>1.8830825791770271</v>
      </c>
      <c r="I30" s="17">
        <f>SQRT((4*(HSP!$B$3-$C30)^2+(HSP!$C$3-$D30)^2+(HSP!$D$3-$E30)^2))</f>
        <v>1.5551205741034992</v>
      </c>
      <c r="J30" s="17">
        <f>SQRT((4*(HSP!$B$4-$C30)^2+(HSP!$C$4-$D30)^2+(HSP!$D$4-$E30)^2))</f>
        <v>4.3895330047739707</v>
      </c>
      <c r="K30" s="17">
        <f>SQRT((4*(HSP!$B$5-$C30)^2+(HSP!$C$5-$D30)^2+(HSP!$D$5-$E30)^2))</f>
        <v>6.1203676360166472</v>
      </c>
      <c r="L30" s="17">
        <f>SQRT((4*(HSP!$B$6-$C30)^2+(HSP!$C$6-$D30)^2+(HSP!$D$6-$E30)^2))</f>
        <v>3.4581787114028679</v>
      </c>
      <c r="M30" s="17" t="s">
        <v>35</v>
      </c>
      <c r="N30" s="17" t="s">
        <v>35</v>
      </c>
      <c r="O30" s="17" t="s">
        <v>35</v>
      </c>
      <c r="P30" s="17" t="s">
        <v>35</v>
      </c>
      <c r="Q30" s="17" t="s">
        <v>35</v>
      </c>
      <c r="R30" s="17">
        <f>$H30/HSP!$E$2</f>
        <v>0.11552653859981761</v>
      </c>
      <c r="S30" s="17">
        <f>$I30/HSP!$E$3</f>
        <v>0.1151941166002592</v>
      </c>
      <c r="T30" s="17">
        <f>$J30/HSP!$E$4</f>
        <v>0.27607125816188494</v>
      </c>
      <c r="U30" s="17">
        <f>$K30/HSP!$E$5</f>
        <v>0.44674216321289401</v>
      </c>
      <c r="V30" s="17">
        <f>$L30/HSP!$E$6</f>
        <v>0.23366072374343702</v>
      </c>
      <c r="W30" s="12"/>
      <c r="X30" s="12"/>
      <c r="Y30" s="12"/>
      <c r="Z30" s="12"/>
    </row>
    <row r="31" spans="1:26" ht="15" customHeight="1" x14ac:dyDescent="0.35">
      <c r="A31" s="26" t="s">
        <v>1053</v>
      </c>
      <c r="B31" s="17" t="s">
        <v>1043</v>
      </c>
      <c r="C31" s="17">
        <v>16.7</v>
      </c>
      <c r="D31" s="17">
        <v>0</v>
      </c>
      <c r="E31" s="17">
        <v>0</v>
      </c>
      <c r="F31" s="17" t="s">
        <v>35</v>
      </c>
      <c r="G31" s="22">
        <v>211.3</v>
      </c>
      <c r="H31" s="17">
        <f>SQRT((4*(HSP!$B$2-$C31)^2+(HSP!$C$2-$D31)^2+(HSP!$D$2-$E31)^2))</f>
        <v>13.257903303313086</v>
      </c>
      <c r="I31" s="17">
        <f>SQRT((4*(HSP!$B$3-$C31)^2+(HSP!$C$3-$D31)^2+(HSP!$D$3-$E31)^2))</f>
        <v>11.457242251082937</v>
      </c>
      <c r="J31" s="17">
        <f>SQRT((4*(HSP!$B$4-$C31)^2+(HSP!$C$4-$D31)^2+(HSP!$D$4-$E31)^2))</f>
        <v>8.8037492013346217</v>
      </c>
      <c r="K31" s="17">
        <f>SQRT((4*(HSP!$B$5-$C31)^2+(HSP!$C$5-$D31)^2+(HSP!$D$5-$E31)^2))</f>
        <v>17.013021483557822</v>
      </c>
      <c r="L31" s="17">
        <f>SQRT((4*(HSP!$B$6-$C31)^2+(HSP!$C$6-$D31)^2+(HSP!$D$6-$E31)^2))</f>
        <v>8.0216581826951465</v>
      </c>
      <c r="M31" s="17" t="s">
        <v>35</v>
      </c>
      <c r="N31" s="17" t="s">
        <v>35</v>
      </c>
      <c r="O31" s="17" t="s">
        <v>35</v>
      </c>
      <c r="P31" s="17" t="s">
        <v>35</v>
      </c>
      <c r="Q31" s="17" t="s">
        <v>35</v>
      </c>
      <c r="R31" s="17">
        <f>$H31/HSP!$E$2</f>
        <v>0.81336830081675371</v>
      </c>
      <c r="S31" s="17">
        <f>$I31/HSP!$E$3</f>
        <v>0.84868461119132865</v>
      </c>
      <c r="T31" s="17">
        <f>$J31/HSP!$E$4</f>
        <v>0.55369491832293216</v>
      </c>
      <c r="U31" s="17">
        <f>$K31/HSP!$E$5</f>
        <v>1.2418263856611549</v>
      </c>
      <c r="V31" s="17">
        <f>$L31/HSP!$E$6</f>
        <v>0.54200393126318558</v>
      </c>
      <c r="W31" s="12"/>
      <c r="X31" s="12"/>
      <c r="Y31" s="12"/>
      <c r="Z31" s="12"/>
    </row>
    <row r="32" spans="1:26" ht="15" customHeight="1" x14ac:dyDescent="0.35">
      <c r="A32" s="26" t="s">
        <v>1053</v>
      </c>
      <c r="B32" s="17" t="s">
        <v>1030</v>
      </c>
      <c r="C32" s="17">
        <v>16.7</v>
      </c>
      <c r="D32" s="17">
        <v>4.5999999999999996</v>
      </c>
      <c r="E32" s="17">
        <v>3.1</v>
      </c>
      <c r="F32" s="17" t="s">
        <v>35</v>
      </c>
      <c r="G32" s="22">
        <v>286.3</v>
      </c>
      <c r="H32" s="17">
        <f>SQRT((4*(HSP!$B$2-$C32)^2+(HSP!$C$2-$D32)^2+(HSP!$D$2-$E32)^2))</f>
        <v>8.1874293890084946</v>
      </c>
      <c r="I32" s="17">
        <f>SQRT((4*(HSP!$B$3-$C32)^2+(HSP!$C$3-$D32)^2+(HSP!$D$3-$E32)^2))</f>
        <v>6.0895320017222998</v>
      </c>
      <c r="J32" s="17">
        <f>SQRT((4*(HSP!$B$4-$C32)^2+(HSP!$C$4-$D32)^2+(HSP!$D$4-$E32)^2))</f>
        <v>4.8020828814171868</v>
      </c>
      <c r="K32" s="17">
        <f>SQRT((4*(HSP!$B$5-$C32)^2+(HSP!$C$5-$D32)^2+(HSP!$D$5-$E32)^2))</f>
        <v>11.637134527021676</v>
      </c>
      <c r="L32" s="17">
        <f>SQRT((4*(HSP!$B$6-$C32)^2+(HSP!$C$6-$D32)^2+(HSP!$D$6-$E32)^2))</f>
        <v>3.4772115264964825</v>
      </c>
      <c r="M32" s="17" t="s">
        <v>35</v>
      </c>
      <c r="N32" s="17" t="s">
        <v>35</v>
      </c>
      <c r="O32" s="17" t="s">
        <v>35</v>
      </c>
      <c r="P32" s="17" t="s">
        <v>35</v>
      </c>
      <c r="Q32" s="17" t="s">
        <v>35</v>
      </c>
      <c r="R32" s="17">
        <f>$H32/HSP!$E$2</f>
        <v>0.50229628153426342</v>
      </c>
      <c r="S32" s="17">
        <f>$I32/HSP!$E$3</f>
        <v>0.45107644457202223</v>
      </c>
      <c r="T32" s="17">
        <f>$J32/HSP!$E$4</f>
        <v>0.30201779128409978</v>
      </c>
      <c r="U32" s="17">
        <f>$K32/HSP!$E$5</f>
        <v>0.84942587788479385</v>
      </c>
      <c r="V32" s="17">
        <f>$L32/HSP!$E$6</f>
        <v>0.23494672476327583</v>
      </c>
      <c r="W32" s="12"/>
      <c r="X32" s="12"/>
      <c r="Y32" s="12"/>
      <c r="Z32" s="12"/>
    </row>
    <row r="33" spans="1:26" ht="15" customHeight="1" x14ac:dyDescent="0.35">
      <c r="A33" s="26" t="s">
        <v>1054</v>
      </c>
      <c r="B33" s="17" t="s">
        <v>1030</v>
      </c>
      <c r="C33" s="17">
        <v>16.8</v>
      </c>
      <c r="D33" s="17">
        <v>7.6</v>
      </c>
      <c r="E33" s="17">
        <v>10</v>
      </c>
      <c r="F33" s="17" t="s">
        <v>35</v>
      </c>
      <c r="G33" s="22">
        <v>287.10000000000002</v>
      </c>
      <c r="H33" s="17">
        <f>SQRT((4*(HSP!$B$2-$C33)^2+(HSP!$C$2-$D33)^2+(HSP!$D$2-$E33)^2))</f>
        <v>6.0547502012882433</v>
      </c>
      <c r="I33" s="17">
        <f>SQRT((4*(HSP!$B$3-$C33)^2+(HSP!$C$3-$D33)^2+(HSP!$D$3-$E33)^2))</f>
        <v>5.1618213839690359</v>
      </c>
      <c r="J33" s="17">
        <f>SQRT((4*(HSP!$B$4-$C33)^2+(HSP!$C$4-$D33)^2+(HSP!$D$4-$E33)^2))</f>
        <v>5.4216233731235901</v>
      </c>
      <c r="K33" s="17">
        <f>SQRT((4*(HSP!$B$5-$C33)^2+(HSP!$C$5-$D33)^2+(HSP!$D$5-$E33)^2))</f>
        <v>6.036795507552001</v>
      </c>
      <c r="L33" s="17">
        <f>SQRT((4*(HSP!$B$6-$C33)^2+(HSP!$C$6-$D33)^2+(HSP!$D$6-$E33)^2))</f>
        <v>6.9681417896021616</v>
      </c>
      <c r="M33" s="17" t="s">
        <v>35</v>
      </c>
      <c r="N33" s="17" t="s">
        <v>35</v>
      </c>
      <c r="O33" s="17" t="s">
        <v>35</v>
      </c>
      <c r="P33" s="17" t="s">
        <v>35</v>
      </c>
      <c r="Q33" s="17" t="s">
        <v>35</v>
      </c>
      <c r="R33" s="17">
        <f>$H33/HSP!$E$2</f>
        <v>0.3714570675636959</v>
      </c>
      <c r="S33" s="17">
        <f>$I33/HSP!$E$3</f>
        <v>0.38235713955326189</v>
      </c>
      <c r="T33" s="17">
        <f>$J33/HSP!$E$4</f>
        <v>0.34098260208324466</v>
      </c>
      <c r="U33" s="17">
        <f>$K33/HSP!$E$5</f>
        <v>0.44064200785051105</v>
      </c>
      <c r="V33" s="17">
        <f>$L33/HSP!$E$6</f>
        <v>0.47082039118933522</v>
      </c>
      <c r="W33" s="12"/>
      <c r="X33" s="12"/>
      <c r="Y33" s="12"/>
      <c r="Z33" s="12"/>
    </row>
    <row r="34" spans="1:26" ht="15" customHeight="1" x14ac:dyDescent="0.35">
      <c r="A34" s="26" t="s">
        <v>1055</v>
      </c>
      <c r="B34" s="17" t="s">
        <v>1030</v>
      </c>
      <c r="C34" s="17">
        <v>17.600000000000001</v>
      </c>
      <c r="D34" s="17">
        <v>16</v>
      </c>
      <c r="E34" s="17">
        <v>16</v>
      </c>
      <c r="F34" s="17" t="s">
        <v>35</v>
      </c>
      <c r="G34" s="22">
        <v>281.3</v>
      </c>
      <c r="H34" s="17">
        <f>SQRT((4*(HSP!$B$2-$C34)^2+(HSP!$C$2-$D34)^2+(HSP!$D$2-$E34)^2))</f>
        <v>12.167662059738511</v>
      </c>
      <c r="I34" s="17">
        <f>SQRT((4*(HSP!$B$3-$C34)^2+(HSP!$C$3-$D34)^2+(HSP!$D$3-$E34)^2))</f>
        <v>12.586516595150544</v>
      </c>
      <c r="J34" s="17">
        <f>SQRT((4*(HSP!$B$4-$C34)^2+(HSP!$C$4-$D34)^2+(HSP!$D$4-$E34)^2))</f>
        <v>15.375369914249218</v>
      </c>
      <c r="K34" s="17">
        <f>SQRT((4*(HSP!$B$5-$C34)^2+(HSP!$C$5-$D34)^2+(HSP!$D$5-$E34)^2))</f>
        <v>7.6275094231341356</v>
      </c>
      <c r="L34" s="17">
        <f>SQRT((4*(HSP!$B$6-$C34)^2+(HSP!$C$6-$D34)^2+(HSP!$D$6-$E34)^2))</f>
        <v>16.153111155439998</v>
      </c>
      <c r="M34" s="17" t="s">
        <v>35</v>
      </c>
      <c r="N34" s="17" t="s">
        <v>35</v>
      </c>
      <c r="O34" s="17" t="s">
        <v>35</v>
      </c>
      <c r="P34" s="17" t="s">
        <v>35</v>
      </c>
      <c r="Q34" s="17" t="s">
        <v>35</v>
      </c>
      <c r="R34" s="17">
        <f>$H34/HSP!$E$2</f>
        <v>0.74648233495328287</v>
      </c>
      <c r="S34" s="17">
        <f>$I34/HSP!$E$3</f>
        <v>0.93233456260374392</v>
      </c>
      <c r="T34" s="17">
        <f>$J34/HSP!$E$4</f>
        <v>0.96700439712259234</v>
      </c>
      <c r="U34" s="17">
        <f>$K34/HSP!$E$5</f>
        <v>0.55675251263752823</v>
      </c>
      <c r="V34" s="17">
        <f>$L34/HSP!$E$6</f>
        <v>1.0914264294216214</v>
      </c>
      <c r="W34" s="12"/>
      <c r="X34" s="12"/>
      <c r="Y34" s="12"/>
      <c r="Z34" s="12"/>
    </row>
    <row r="35" spans="1:26" ht="15" customHeight="1" x14ac:dyDescent="0.35">
      <c r="A35" s="26" t="s">
        <v>1056</v>
      </c>
      <c r="B35" s="17" t="s">
        <v>1030</v>
      </c>
      <c r="C35" s="17">
        <v>17.7</v>
      </c>
      <c r="D35" s="17">
        <v>16.899999999999999</v>
      </c>
      <c r="E35" s="17">
        <v>16.899999999999999</v>
      </c>
      <c r="F35" s="17" t="s">
        <v>35</v>
      </c>
      <c r="G35" s="22">
        <v>293.3</v>
      </c>
      <c r="H35" s="17">
        <f>SQRT((4*(HSP!$B$2-$C35)^2+(HSP!$C$2-$D35)^2+(HSP!$D$2-$E35)^2))</f>
        <v>13.353651186098876</v>
      </c>
      <c r="I35" s="17">
        <f>SQRT((4*(HSP!$B$3-$C35)^2+(HSP!$C$3-$D35)^2+(HSP!$D$3-$E35)^2))</f>
        <v>13.832729304081678</v>
      </c>
      <c r="J35" s="17">
        <f>SQRT((4*(HSP!$B$4-$C35)^2+(HSP!$C$4-$D35)^2+(HSP!$D$4-$E35)^2))</f>
        <v>16.641574444745302</v>
      </c>
      <c r="K35" s="17">
        <f>SQRT((4*(HSP!$B$5-$C35)^2+(HSP!$C$5-$D35)^2+(HSP!$D$5-$E35)^2))</f>
        <v>8.7597317310520406</v>
      </c>
      <c r="L35" s="17">
        <f>SQRT((4*(HSP!$B$6-$C35)^2+(HSP!$C$6-$D35)^2+(HSP!$D$6-$E35)^2))</f>
        <v>17.422485471367164</v>
      </c>
      <c r="M35" s="17" t="s">
        <v>35</v>
      </c>
      <c r="N35" s="17" t="s">
        <v>35</v>
      </c>
      <c r="O35" s="17" t="s">
        <v>35</v>
      </c>
      <c r="P35" s="17" t="s">
        <v>35</v>
      </c>
      <c r="Q35" s="17" t="s">
        <v>35</v>
      </c>
      <c r="R35" s="17">
        <f>$H35/HSP!$E$2</f>
        <v>0.8192424040551457</v>
      </c>
      <c r="S35" s="17">
        <f>$I35/HSP!$E$3</f>
        <v>1.0246466151171614</v>
      </c>
      <c r="T35" s="17">
        <f>$J35/HSP!$E$4</f>
        <v>1.0466399021852391</v>
      </c>
      <c r="U35" s="17">
        <f>$K35/HSP!$E$5</f>
        <v>0.63939647671912714</v>
      </c>
      <c r="V35" s="17">
        <f>$L35/HSP!$E$6</f>
        <v>1.1771949642815651</v>
      </c>
      <c r="W35" s="12"/>
      <c r="X35" s="12"/>
      <c r="Y35" s="12"/>
      <c r="Z35" s="12"/>
    </row>
    <row r="36" spans="1:26" ht="15" customHeight="1" x14ac:dyDescent="0.35">
      <c r="A36" s="26" t="s">
        <v>1057</v>
      </c>
      <c r="B36" s="17" t="s">
        <v>1030</v>
      </c>
      <c r="C36" s="17">
        <v>16.8</v>
      </c>
      <c r="D36" s="17">
        <v>6.2</v>
      </c>
      <c r="E36" s="17">
        <v>7.4</v>
      </c>
      <c r="F36" s="17" t="s">
        <v>35</v>
      </c>
      <c r="G36" s="22">
        <v>841.8</v>
      </c>
      <c r="H36" s="17">
        <f>SQRT((4*(HSP!$B$2-$C36)^2+(HSP!$C$2-$D36)^2+(HSP!$D$2-$E36)^2))</f>
        <v>6.1387295102488455</v>
      </c>
      <c r="I36" s="17">
        <f>SQRT((4*(HSP!$B$3-$C36)^2+(HSP!$C$3-$D36)^2+(HSP!$D$3-$E36)^2))</f>
        <v>4.4041344212001539</v>
      </c>
      <c r="J36" s="17">
        <f>SQRT((4*(HSP!$B$4-$C36)^2+(HSP!$C$4-$D36)^2+(HSP!$D$4-$E36)^2))</f>
        <v>3.6466422912043366</v>
      </c>
      <c r="K36" s="17">
        <f>SQRT((4*(HSP!$B$5-$C36)^2+(HSP!$C$5-$D36)^2+(HSP!$D$5-$E36)^2))</f>
        <v>8.0209039390831762</v>
      </c>
      <c r="L36" s="17">
        <f>SQRT((4*(HSP!$B$6-$C36)^2+(HSP!$C$6-$D36)^2+(HSP!$D$6-$E36)^2))</f>
        <v>4.6924407295138018</v>
      </c>
      <c r="M36" s="17" t="s">
        <v>35</v>
      </c>
      <c r="N36" s="17" t="s">
        <v>35</v>
      </c>
      <c r="O36" s="17" t="s">
        <v>35</v>
      </c>
      <c r="P36" s="17" t="s">
        <v>35</v>
      </c>
      <c r="Q36" s="17" t="s">
        <v>35</v>
      </c>
      <c r="R36" s="17">
        <f>$H36/HSP!$E$2</f>
        <v>0.37660917240790459</v>
      </c>
      <c r="S36" s="17">
        <f>$I36/HSP!$E$3</f>
        <v>0.32623217934815957</v>
      </c>
      <c r="T36" s="17">
        <f>$J36/HSP!$E$4</f>
        <v>0.22934857177385765</v>
      </c>
      <c r="U36" s="17">
        <f>$K36/HSP!$E$5</f>
        <v>0.58546744080899105</v>
      </c>
      <c r="V36" s="17">
        <f>$L36/HSP!$E$6</f>
        <v>0.31705680604822983</v>
      </c>
      <c r="W36" s="12"/>
      <c r="X36" s="12"/>
      <c r="Y36" s="12"/>
      <c r="Z36" s="12"/>
    </row>
    <row r="37" spans="1:26" ht="15" customHeight="1" x14ac:dyDescent="0.35">
      <c r="A37" s="26" t="s">
        <v>1058</v>
      </c>
      <c r="B37" s="17" t="s">
        <v>1030</v>
      </c>
      <c r="C37" s="17">
        <v>16.8</v>
      </c>
      <c r="D37" s="17">
        <v>6.7</v>
      </c>
      <c r="E37" s="17">
        <v>7.3</v>
      </c>
      <c r="F37" s="17" t="s">
        <v>35</v>
      </c>
      <c r="G37" s="22">
        <v>1428.4</v>
      </c>
      <c r="H37" s="17">
        <f>SQRT((4*(HSP!$B$2-$C37)^2+(HSP!$C$2-$D37)^2+(HSP!$D$2-$E37)^2))</f>
        <v>5.7965506984757775</v>
      </c>
      <c r="I37" s="17">
        <f>SQRT((4*(HSP!$B$3-$C37)^2+(HSP!$C$3-$D37)^2+(HSP!$D$3-$E37)^2))</f>
        <v>3.985021957279534</v>
      </c>
      <c r="J37" s="17">
        <f>SQRT((4*(HSP!$B$4-$C37)^2+(HSP!$C$4-$D37)^2+(HSP!$D$4-$E37)^2))</f>
        <v>3.8675573686759983</v>
      </c>
      <c r="K37" s="17">
        <f>SQRT((4*(HSP!$B$5-$C37)^2+(HSP!$C$5-$D37)^2+(HSP!$D$5-$E37)^2))</f>
        <v>7.6668702871510757</v>
      </c>
      <c r="L37" s="17">
        <f>SQRT((4*(HSP!$B$6-$C37)^2+(HSP!$C$6-$D37)^2+(HSP!$D$6-$E37)^2))</f>
        <v>4.6194155474475354</v>
      </c>
      <c r="M37" s="17" t="s">
        <v>35</v>
      </c>
      <c r="N37" s="17" t="s">
        <v>35</v>
      </c>
      <c r="O37" s="17" t="s">
        <v>35</v>
      </c>
      <c r="P37" s="17" t="s">
        <v>35</v>
      </c>
      <c r="Q37" s="17" t="s">
        <v>35</v>
      </c>
      <c r="R37" s="17">
        <f>$H37/HSP!$E$2</f>
        <v>0.35561660726845257</v>
      </c>
      <c r="S37" s="17">
        <f>$I37/HSP!$E$3</f>
        <v>0.29518681165033583</v>
      </c>
      <c r="T37" s="17">
        <f>$J37/HSP!$E$4</f>
        <v>0.24324260180352189</v>
      </c>
      <c r="U37" s="17">
        <f>$K37/HSP!$E$5</f>
        <v>0.55962556840518807</v>
      </c>
      <c r="V37" s="17">
        <f>$L37/HSP!$E$6</f>
        <v>0.31212267212483347</v>
      </c>
      <c r="W37" s="12"/>
      <c r="X37" s="12"/>
      <c r="Y37" s="12"/>
      <c r="Z37" s="12"/>
    </row>
    <row r="38" spans="1:26" ht="15" customHeight="1" x14ac:dyDescent="0.35">
      <c r="A38" s="26" t="s">
        <v>1059</v>
      </c>
      <c r="B38" s="17" t="s">
        <v>1030</v>
      </c>
      <c r="C38" s="17">
        <v>16.399999999999999</v>
      </c>
      <c r="D38" s="17">
        <v>4.7</v>
      </c>
      <c r="E38" s="17">
        <v>8.1</v>
      </c>
      <c r="F38" s="17" t="s">
        <v>35</v>
      </c>
      <c r="G38" s="22">
        <v>411.5</v>
      </c>
      <c r="H38" s="17">
        <f>SQRT((4*(HSP!$B$2-$C38)^2+(HSP!$C$2-$D38)^2+(HSP!$D$2-$E38)^2))</f>
        <v>6.8841847738130904</v>
      </c>
      <c r="I38" s="17">
        <f>SQRT((4*(HSP!$B$3-$C38)^2+(HSP!$C$3-$D38)^2+(HSP!$D$3-$E38)^2))</f>
        <v>5.6406028046654724</v>
      </c>
      <c r="J38" s="17">
        <f>SQRT((4*(HSP!$B$4-$C38)^2+(HSP!$C$4-$D38)^2+(HSP!$D$4-$E38)^2))</f>
        <v>2.7824449680092482</v>
      </c>
      <c r="K38" s="17">
        <f>SQRT((4*(HSP!$B$5-$C38)^2+(HSP!$C$5-$D38)^2+(HSP!$D$5-$E38)^2))</f>
        <v>8.7998238618735982</v>
      </c>
      <c r="L38" s="17">
        <f>SQRT((4*(HSP!$B$6-$C38)^2+(HSP!$C$6-$D38)^2+(HSP!$D$6-$E38)^2))</f>
        <v>5.1149780058178145</v>
      </c>
      <c r="M38" s="17" t="s">
        <v>35</v>
      </c>
      <c r="N38" s="17" t="s">
        <v>35</v>
      </c>
      <c r="O38" s="17" t="s">
        <v>35</v>
      </c>
      <c r="P38" s="17" t="s">
        <v>35</v>
      </c>
      <c r="Q38" s="17" t="s">
        <v>35</v>
      </c>
      <c r="R38" s="17">
        <f>$H38/HSP!$E$2</f>
        <v>0.42234262416031226</v>
      </c>
      <c r="S38" s="17">
        <f>$I38/HSP!$E$3</f>
        <v>0.41782242997522018</v>
      </c>
      <c r="T38" s="17">
        <f>$J38/HSP!$E$4</f>
        <v>0.17499653886850616</v>
      </c>
      <c r="U38" s="17">
        <f>$K38/HSP!$E$5</f>
        <v>0.64232290962581007</v>
      </c>
      <c r="V38" s="17">
        <f>$L38/HSP!$E$6</f>
        <v>0.3456066220147172</v>
      </c>
      <c r="W38" s="12"/>
      <c r="X38" s="12"/>
      <c r="Y38" s="12"/>
      <c r="Z38" s="12"/>
    </row>
    <row r="39" spans="1:26" ht="15" customHeight="1" x14ac:dyDescent="0.35">
      <c r="A39" s="26" t="s">
        <v>1060</v>
      </c>
      <c r="B39" s="17" t="s">
        <v>1030</v>
      </c>
      <c r="C39" s="17">
        <v>16.5</v>
      </c>
      <c r="D39" s="17">
        <v>5.7</v>
      </c>
      <c r="E39" s="17">
        <v>7.8</v>
      </c>
      <c r="F39" s="17" t="s">
        <v>35</v>
      </c>
      <c r="G39" s="22">
        <v>607.1</v>
      </c>
      <c r="H39" s="17">
        <f>SQRT((4*(HSP!$B$2-$C39)^2+(HSP!$C$2-$D39)^2+(HSP!$D$2-$E39)^2))</f>
        <v>6.1457302251237822</v>
      </c>
      <c r="I39" s="17">
        <f>SQRT((4*(HSP!$B$3-$C39)^2+(HSP!$C$3-$D39)^2+(HSP!$D$3-$E39)^2))</f>
        <v>4.7144883073351664</v>
      </c>
      <c r="J39" s="17">
        <f>SQRT((4*(HSP!$B$4-$C39)^2+(HSP!$C$4-$D39)^2+(HSP!$D$4-$E39)^2))</f>
        <v>3.019271435296933</v>
      </c>
      <c r="K39" s="17">
        <f>SQRT((4*(HSP!$B$5-$C39)^2+(HSP!$C$5-$D39)^2+(HSP!$D$5-$E39)^2))</f>
        <v>8.0702478276692347</v>
      </c>
      <c r="L39" s="17">
        <f>SQRT((4*(HSP!$B$6-$C39)^2+(HSP!$C$6-$D39)^2+(HSP!$D$6-$E39)^2))</f>
        <v>4.7103078455659348</v>
      </c>
      <c r="M39" s="17" t="s">
        <v>35</v>
      </c>
      <c r="N39" s="17" t="s">
        <v>35</v>
      </c>
      <c r="O39" s="17" t="s">
        <v>35</v>
      </c>
      <c r="P39" s="17" t="s">
        <v>35</v>
      </c>
      <c r="Q39" s="17" t="s">
        <v>35</v>
      </c>
      <c r="R39" s="17">
        <f>$H39/HSP!$E$2</f>
        <v>0.37703866411802345</v>
      </c>
      <c r="S39" s="17">
        <f>$I39/HSP!$E$3</f>
        <v>0.3492213560989012</v>
      </c>
      <c r="T39" s="17">
        <f>$J39/HSP!$E$4</f>
        <v>0.18989128523880081</v>
      </c>
      <c r="U39" s="17">
        <f>$K39/HSP!$E$5</f>
        <v>0.589069184501404</v>
      </c>
      <c r="V39" s="17">
        <f>$L39/HSP!$E$6</f>
        <v>0.31826404361931993</v>
      </c>
      <c r="W39" s="12"/>
      <c r="X39" s="12"/>
      <c r="Y39" s="12"/>
      <c r="Z39" s="12"/>
    </row>
    <row r="40" spans="1:26" ht="15" customHeight="1" x14ac:dyDescent="0.35">
      <c r="A40" s="26" t="s">
        <v>1061</v>
      </c>
      <c r="B40" s="17" t="s">
        <v>1042</v>
      </c>
      <c r="C40" s="17">
        <v>17.2</v>
      </c>
      <c r="D40" s="17">
        <v>10.9</v>
      </c>
      <c r="E40" s="17">
        <v>20</v>
      </c>
      <c r="F40" s="17" t="s">
        <v>35</v>
      </c>
      <c r="G40" s="22">
        <v>111.9</v>
      </c>
      <c r="H40" s="17">
        <f>SQRT((4*(HSP!$B$2-$C40)^2+(HSP!$C$2-$D40)^2+(HSP!$D$2-$E40)^2))</f>
        <v>14.026902722982005</v>
      </c>
      <c r="I40" s="17">
        <f>SQRT((4*(HSP!$B$3-$C40)^2+(HSP!$C$3-$D40)^2+(HSP!$D$3-$E40)^2))</f>
        <v>14.550958731300147</v>
      </c>
      <c r="J40" s="17">
        <f>SQRT((4*(HSP!$B$4-$C40)^2+(HSP!$C$4-$D40)^2+(HSP!$D$4-$E40)^2))</f>
        <v>15.14635269627642</v>
      </c>
      <c r="K40" s="17">
        <f>SQRT((4*(HSP!$B$5-$C40)^2+(HSP!$C$5-$D40)^2+(HSP!$D$5-$E40)^2))</f>
        <v>10.023816638386798</v>
      </c>
      <c r="L40" s="17">
        <f>SQRT((4*(HSP!$B$6-$C40)^2+(HSP!$C$6-$D40)^2+(HSP!$D$6-$E40)^2))</f>
        <v>17.196016980684799</v>
      </c>
      <c r="M40" s="17" t="s">
        <v>35</v>
      </c>
      <c r="N40" s="17" t="s">
        <v>35</v>
      </c>
      <c r="O40" s="17" t="s">
        <v>35</v>
      </c>
      <c r="P40" s="17" t="s">
        <v>35</v>
      </c>
      <c r="Q40" s="17" t="s">
        <v>35</v>
      </c>
      <c r="R40" s="17">
        <f>$H40/HSP!$E$2</f>
        <v>0.86054617932404931</v>
      </c>
      <c r="S40" s="17">
        <f>$I40/HSP!$E$3</f>
        <v>1.077848794911122</v>
      </c>
      <c r="T40" s="17">
        <f>$J40/HSP!$E$4</f>
        <v>0.95260079850795087</v>
      </c>
      <c r="U40" s="17">
        <f>$K40/HSP!$E$5</f>
        <v>0.7316654480574305</v>
      </c>
      <c r="V40" s="17">
        <f>$L40/HSP!$E$6</f>
        <v>1.1618930392354594</v>
      </c>
      <c r="W40" s="12"/>
      <c r="X40" s="12"/>
      <c r="Y40" s="12"/>
      <c r="Z40" s="12"/>
    </row>
    <row r="41" spans="1:26" ht="15" customHeight="1" x14ac:dyDescent="0.35">
      <c r="A41" s="26" t="s">
        <v>1061</v>
      </c>
      <c r="B41" s="17" t="s">
        <v>1030</v>
      </c>
      <c r="C41" s="17">
        <v>15.8</v>
      </c>
      <c r="D41" s="17">
        <v>5.6</v>
      </c>
      <c r="E41" s="17">
        <v>10.4</v>
      </c>
      <c r="F41" s="17" t="s">
        <v>35</v>
      </c>
      <c r="G41" s="22">
        <v>419.8</v>
      </c>
      <c r="H41" s="17">
        <f>SQRT((4*(HSP!$B$2-$C41)^2+(HSP!$C$2-$D41)^2+(HSP!$D$2-$E41)^2))</f>
        <v>6.4090560927487612</v>
      </c>
      <c r="I41" s="17">
        <f>SQRT((4*(HSP!$B$3-$C41)^2+(HSP!$C$3-$D41)^2+(HSP!$D$3-$E41)^2))</f>
        <v>6.1244101756822271</v>
      </c>
      <c r="J41" s="17">
        <f>SQRT((4*(HSP!$B$4-$C41)^2+(HSP!$C$4-$D41)^2+(HSP!$D$4-$E41)^2))</f>
        <v>3.9235188288066123</v>
      </c>
      <c r="K41" s="17">
        <f>SQRT((4*(HSP!$B$5-$C41)^2+(HSP!$C$5-$D41)^2+(HSP!$D$5-$E41)^2))</f>
        <v>7.217956774600415</v>
      </c>
      <c r="L41" s="17">
        <f>SQRT((4*(HSP!$B$6-$C41)^2+(HSP!$C$6-$D41)^2+(HSP!$D$6-$E41)^2))</f>
        <v>6.6869275455922219</v>
      </c>
      <c r="M41" s="17" t="s">
        <v>35</v>
      </c>
      <c r="N41" s="17" t="s">
        <v>35</v>
      </c>
      <c r="O41" s="17" t="s">
        <v>35</v>
      </c>
      <c r="P41" s="17" t="s">
        <v>35</v>
      </c>
      <c r="Q41" s="17" t="s">
        <v>35</v>
      </c>
      <c r="R41" s="17">
        <f>$H41/HSP!$E$2</f>
        <v>0.39319362532200985</v>
      </c>
      <c r="S41" s="17">
        <f>$I41/HSP!$E$3</f>
        <v>0.45366001301349829</v>
      </c>
      <c r="T41" s="17">
        <f>$J41/HSP!$E$4</f>
        <v>0.24676219049098189</v>
      </c>
      <c r="U41" s="17">
        <f>$K41/HSP!$E$5</f>
        <v>0.52685815872995734</v>
      </c>
      <c r="V41" s="17">
        <f>$L41/HSP!$E$6</f>
        <v>0.45181942875623121</v>
      </c>
      <c r="W41" s="12"/>
      <c r="X41" s="12"/>
      <c r="Y41" s="12"/>
      <c r="Z41" s="12"/>
    </row>
    <row r="42" spans="1:26" ht="15" customHeight="1" x14ac:dyDescent="0.35">
      <c r="A42" s="26" t="s">
        <v>1062</v>
      </c>
      <c r="B42" s="17" t="s">
        <v>1030</v>
      </c>
      <c r="C42" s="17">
        <v>16.7</v>
      </c>
      <c r="D42" s="17">
        <v>6.7</v>
      </c>
      <c r="E42" s="17">
        <v>9.6999999999999993</v>
      </c>
      <c r="F42" s="17" t="s">
        <v>35</v>
      </c>
      <c r="G42" s="22">
        <v>1226</v>
      </c>
      <c r="H42" s="17">
        <f>SQRT((4*(HSP!$B$2-$C42)^2+(HSP!$C$2-$D42)^2+(HSP!$D$2-$E42)^2))</f>
        <v>6.2590734138528843</v>
      </c>
      <c r="I42" s="17">
        <f>SQRT((4*(HSP!$B$3-$C42)^2+(HSP!$C$3-$D42)^2+(HSP!$D$3-$E42)^2))</f>
        <v>5.281704270403635</v>
      </c>
      <c r="J42" s="17">
        <f>SQRT((4*(HSP!$B$4-$C42)^2+(HSP!$C$4-$D42)^2+(HSP!$D$4-$E42)^2))</f>
        <v>4.674826199977919</v>
      </c>
      <c r="K42" s="17">
        <f>SQRT((4*(HSP!$B$5-$C42)^2+(HSP!$C$5-$D42)^2+(HSP!$D$5-$E42)^2))</f>
        <v>6.7773815002550952</v>
      </c>
      <c r="L42" s="17">
        <f>SQRT((4*(HSP!$B$6-$C42)^2+(HSP!$C$6-$D42)^2+(HSP!$D$6-$E42)^2))</f>
        <v>6.5172847106751437</v>
      </c>
      <c r="M42" s="17" t="s">
        <v>35</v>
      </c>
      <c r="N42" s="17" t="s">
        <v>35</v>
      </c>
      <c r="O42" s="17" t="s">
        <v>35</v>
      </c>
      <c r="P42" s="17" t="s">
        <v>35</v>
      </c>
      <c r="Q42" s="17" t="s">
        <v>35</v>
      </c>
      <c r="R42" s="17">
        <f>$H42/HSP!$E$2</f>
        <v>0.38399223397870452</v>
      </c>
      <c r="S42" s="17">
        <f>$I42/HSP!$E$3</f>
        <v>0.39123735336323223</v>
      </c>
      <c r="T42" s="17">
        <f>$J42/HSP!$E$4</f>
        <v>0.29401422641370561</v>
      </c>
      <c r="U42" s="17">
        <f>$K42/HSP!$E$5</f>
        <v>0.4946993795806639</v>
      </c>
      <c r="V42" s="17">
        <f>$L42/HSP!$E$6</f>
        <v>0.44035707504561777</v>
      </c>
      <c r="W42" s="12"/>
      <c r="X42" s="12"/>
      <c r="Y42" s="12"/>
      <c r="Z42" s="12"/>
    </row>
    <row r="43" spans="1:26" ht="15" customHeight="1" x14ac:dyDescent="0.35">
      <c r="A43" s="26" t="s">
        <v>1063</v>
      </c>
      <c r="B43" s="17" t="s">
        <v>1030</v>
      </c>
      <c r="C43" s="17">
        <v>16.7</v>
      </c>
      <c r="D43" s="17">
        <v>6.5</v>
      </c>
      <c r="E43" s="17">
        <v>9.4</v>
      </c>
      <c r="F43" s="17" t="s">
        <v>35</v>
      </c>
      <c r="G43" s="22">
        <v>1313.6</v>
      </c>
      <c r="H43" s="17">
        <f>SQRT((4*(HSP!$B$2-$C43)^2+(HSP!$C$2-$D43)^2+(HSP!$D$2-$E43)^2))</f>
        <v>6.259233179871158</v>
      </c>
      <c r="I43" s="17">
        <f>SQRT((4*(HSP!$B$3-$C43)^2+(HSP!$C$3-$D43)^2+(HSP!$D$3-$E43)^2))</f>
        <v>5.1848240085850552</v>
      </c>
      <c r="J43" s="17">
        <f>SQRT((4*(HSP!$B$4-$C43)^2+(HSP!$C$4-$D43)^2+(HSP!$D$4-$E43)^2))</f>
        <v>4.4086279044618859</v>
      </c>
      <c r="K43" s="17">
        <f>SQRT((4*(HSP!$B$5-$C43)^2+(HSP!$C$5-$D43)^2+(HSP!$D$5-$E43)^2))</f>
        <v>7.0149055588796063</v>
      </c>
      <c r="L43" s="17">
        <f>SQRT((4*(HSP!$B$6-$C43)^2+(HSP!$C$6-$D43)^2+(HSP!$D$6-$E43)^2))</f>
        <v>6.2439570786481235</v>
      </c>
      <c r="M43" s="17" t="s">
        <v>35</v>
      </c>
      <c r="N43" s="17" t="s">
        <v>35</v>
      </c>
      <c r="O43" s="17" t="s">
        <v>35</v>
      </c>
      <c r="P43" s="17" t="s">
        <v>35</v>
      </c>
      <c r="Q43" s="17" t="s">
        <v>35</v>
      </c>
      <c r="R43" s="17">
        <f>$H43/HSP!$E$2</f>
        <v>0.38400203557491763</v>
      </c>
      <c r="S43" s="17">
        <f>$I43/HSP!$E$3</f>
        <v>0.38406103767296706</v>
      </c>
      <c r="T43" s="17">
        <f>$J43/HSP!$E$4</f>
        <v>0.27727219524917524</v>
      </c>
      <c r="U43" s="17">
        <f>$K43/HSP!$E$5</f>
        <v>0.51203690210800046</v>
      </c>
      <c r="V43" s="17">
        <f>$L43/HSP!$E$6</f>
        <v>0.42188899180054884</v>
      </c>
      <c r="W43" s="12"/>
      <c r="X43" s="12"/>
      <c r="Y43" s="12"/>
      <c r="Z43" s="12"/>
    </row>
    <row r="44" spans="1:26" ht="15" customHeight="1" x14ac:dyDescent="0.35">
      <c r="A44" s="26" t="s">
        <v>1064</v>
      </c>
      <c r="B44" s="17" t="s">
        <v>1030</v>
      </c>
      <c r="C44" s="17">
        <v>16.8</v>
      </c>
      <c r="D44" s="17">
        <v>6.5</v>
      </c>
      <c r="E44" s="17">
        <v>9.5</v>
      </c>
      <c r="F44" s="17" t="s">
        <v>35</v>
      </c>
      <c r="G44" s="22">
        <v>1290.2</v>
      </c>
      <c r="H44" s="17">
        <f>SQRT((4*(HSP!$B$2-$C44)^2+(HSP!$C$2-$D44)^2+(HSP!$D$2-$E44)^2))</f>
        <v>6.4336614769507436</v>
      </c>
      <c r="I44" s="17">
        <f>SQRT((4*(HSP!$B$3-$C44)^2+(HSP!$C$3-$D44)^2+(HSP!$D$3-$E44)^2))</f>
        <v>5.3344540489163474</v>
      </c>
      <c r="J44" s="17">
        <f>SQRT((4*(HSP!$B$4-$C44)^2+(HSP!$C$4-$D44)^2+(HSP!$D$4-$E44)^2))</f>
        <v>4.6076024134033107</v>
      </c>
      <c r="K44" s="17">
        <f>SQRT((4*(HSP!$B$5-$C44)^2+(HSP!$C$5-$D44)^2+(HSP!$D$5-$E44)^2))</f>
        <v>7.077916360059648</v>
      </c>
      <c r="L44" s="17">
        <f>SQRT((4*(HSP!$B$6-$C44)^2+(HSP!$C$6-$D44)^2+(HSP!$D$6-$E44)^2))</f>
        <v>6.4258073422722548</v>
      </c>
      <c r="M44" s="17" t="s">
        <v>35</v>
      </c>
      <c r="N44" s="17" t="s">
        <v>35</v>
      </c>
      <c r="O44" s="17" t="s">
        <v>35</v>
      </c>
      <c r="P44" s="17" t="s">
        <v>35</v>
      </c>
      <c r="Q44" s="17" t="s">
        <v>35</v>
      </c>
      <c r="R44" s="17">
        <f>$H44/HSP!$E$2</f>
        <v>0.39470315809513762</v>
      </c>
      <c r="S44" s="17">
        <f>$I44/HSP!$E$3</f>
        <v>0.39514474436417391</v>
      </c>
      <c r="T44" s="17">
        <f>$J44/HSP!$E$4</f>
        <v>0.28978631530838433</v>
      </c>
      <c r="U44" s="17">
        <f>$K44/HSP!$E$5</f>
        <v>0.51663623066128816</v>
      </c>
      <c r="V44" s="17">
        <f>$L44/HSP!$E$6</f>
        <v>0.43417617177515233</v>
      </c>
      <c r="W44" s="12"/>
      <c r="X44" s="12"/>
      <c r="Y44" s="12"/>
      <c r="Z44" s="12"/>
    </row>
    <row r="45" spans="1:26" ht="15" customHeight="1" x14ac:dyDescent="0.35">
      <c r="A45" s="26" t="s">
        <v>1065</v>
      </c>
      <c r="B45" s="17" t="s">
        <v>1030</v>
      </c>
      <c r="C45" s="17">
        <v>16.8</v>
      </c>
      <c r="D45" s="17">
        <v>6.4</v>
      </c>
      <c r="E45" s="17">
        <v>9.4</v>
      </c>
      <c r="F45" s="17" t="s">
        <v>35</v>
      </c>
      <c r="G45" s="22">
        <v>1323.2</v>
      </c>
      <c r="H45" s="17">
        <f>SQRT((4*(HSP!$B$2-$C45)^2+(HSP!$C$2-$D45)^2+(HSP!$D$2-$E45)^2))</f>
        <v>6.4575537163851777</v>
      </c>
      <c r="I45" s="17">
        <f>SQRT((4*(HSP!$B$3-$C45)^2+(HSP!$C$3-$D45)^2+(HSP!$D$3-$E45)^2))</f>
        <v>5.3265748844825236</v>
      </c>
      <c r="J45" s="17">
        <f>SQRT((4*(HSP!$B$4-$C45)^2+(HSP!$C$4-$D45)^2+(HSP!$D$4-$E45)^2))</f>
        <v>4.5106540545690281</v>
      </c>
      <c r="K45" s="17">
        <f>SQRT((4*(HSP!$B$5-$C45)^2+(HSP!$C$5-$D45)^2+(HSP!$D$5-$E45)^2))</f>
        <v>7.1865777669207764</v>
      </c>
      <c r="L45" s="17">
        <f>SQRT((4*(HSP!$B$6-$C45)^2+(HSP!$C$6-$D45)^2+(HSP!$D$6-$E45)^2))</f>
        <v>6.3377440781401093</v>
      </c>
      <c r="M45" s="17" t="s">
        <v>35</v>
      </c>
      <c r="N45" s="17" t="s">
        <v>35</v>
      </c>
      <c r="O45" s="17" t="s">
        <v>35</v>
      </c>
      <c r="P45" s="17" t="s">
        <v>35</v>
      </c>
      <c r="Q45" s="17" t="s">
        <v>35</v>
      </c>
      <c r="R45" s="17">
        <f>$H45/HSP!$E$2</f>
        <v>0.39616893965553235</v>
      </c>
      <c r="S45" s="17">
        <f>$I45/HSP!$E$3</f>
        <v>0.39456110255426102</v>
      </c>
      <c r="T45" s="17">
        <f>$J45/HSP!$E$4</f>
        <v>0.28368893424962438</v>
      </c>
      <c r="U45" s="17">
        <f>$K45/HSP!$E$5</f>
        <v>0.52456772021319542</v>
      </c>
      <c r="V45" s="17">
        <f>$L45/HSP!$E$6</f>
        <v>0.42822595122568302</v>
      </c>
      <c r="W45" s="12"/>
      <c r="X45" s="12"/>
      <c r="Y45" s="12"/>
      <c r="Z45" s="12"/>
    </row>
    <row r="46" spans="1:26" ht="15" customHeight="1" x14ac:dyDescent="0.35">
      <c r="A46" s="26" t="s">
        <v>1066</v>
      </c>
      <c r="B46" s="17" t="s">
        <v>1030</v>
      </c>
      <c r="C46" s="17">
        <v>16.600000000000001</v>
      </c>
      <c r="D46" s="17">
        <v>5.3</v>
      </c>
      <c r="E46" s="17">
        <v>7.5</v>
      </c>
      <c r="F46" s="17" t="s">
        <v>35</v>
      </c>
      <c r="G46" s="22">
        <v>1877.4</v>
      </c>
      <c r="H46" s="17">
        <f>SQRT((4*(HSP!$B$2-$C46)^2+(HSP!$C$2-$D46)^2+(HSP!$D$2-$E46)^2))</f>
        <v>6.5495037979987485</v>
      </c>
      <c r="I46" s="17">
        <f>SQRT((4*(HSP!$B$3-$C46)^2+(HSP!$C$3-$D46)^2+(HSP!$D$3-$E46)^2))</f>
        <v>5.0144192086422148</v>
      </c>
      <c r="J46" s="17">
        <f>SQRT((4*(HSP!$B$4-$C46)^2+(HSP!$C$4-$D46)^2+(HSP!$D$4-$E46)^2))</f>
        <v>3.0089865403487628</v>
      </c>
      <c r="K46" s="17">
        <f>SQRT((4*(HSP!$B$5-$C46)^2+(HSP!$C$5-$D46)^2+(HSP!$D$5-$E46)^2))</f>
        <v>8.596330612534631</v>
      </c>
      <c r="L46" s="17">
        <f>SQRT((4*(HSP!$B$6-$C46)^2+(HSP!$C$6-$D46)^2+(HSP!$D$6-$E46)^2))</f>
        <v>4.6556417387939142</v>
      </c>
      <c r="M46" s="17" t="s">
        <v>35</v>
      </c>
      <c r="N46" s="17" t="s">
        <v>35</v>
      </c>
      <c r="O46" s="17" t="s">
        <v>35</v>
      </c>
      <c r="P46" s="17" t="s">
        <v>35</v>
      </c>
      <c r="Q46" s="17" t="s">
        <v>35</v>
      </c>
      <c r="R46" s="17">
        <f>$H46/HSP!$E$2</f>
        <v>0.40181004895697842</v>
      </c>
      <c r="S46" s="17">
        <f>$I46/HSP!$E$3</f>
        <v>0.37143845989942331</v>
      </c>
      <c r="T46" s="17">
        <f>$J46/HSP!$E$4</f>
        <v>0.18924443649992218</v>
      </c>
      <c r="U46" s="17">
        <f>$K46/HSP!$E$5</f>
        <v>0.6274693877762505</v>
      </c>
      <c r="V46" s="17">
        <f>$L46/HSP!$E$6</f>
        <v>0.31457038775634555</v>
      </c>
      <c r="W46" s="12"/>
      <c r="X46" s="12"/>
      <c r="Y46" s="12"/>
      <c r="Z46" s="12"/>
    </row>
    <row r="47" spans="1:26" ht="15" customHeight="1" x14ac:dyDescent="0.35">
      <c r="A47" s="26" t="s">
        <v>1067</v>
      </c>
      <c r="B47" s="17" t="s">
        <v>1030</v>
      </c>
      <c r="C47" s="17">
        <v>16.8</v>
      </c>
      <c r="D47" s="17">
        <v>5.2</v>
      </c>
      <c r="E47" s="17">
        <v>7.3</v>
      </c>
      <c r="F47" s="17" t="s">
        <v>35</v>
      </c>
      <c r="G47" s="22">
        <v>1905.6</v>
      </c>
      <c r="H47" s="17">
        <f>SQRT((4*(HSP!$B$2-$C47)^2+(HSP!$C$2-$D47)^2+(HSP!$D$2-$E47)^2))</f>
        <v>6.8651292777339616</v>
      </c>
      <c r="I47" s="17">
        <f>SQRT((4*(HSP!$B$3-$C47)^2+(HSP!$C$3-$D47)^2+(HSP!$D$3-$E47)^2))</f>
        <v>5.1971530668241828</v>
      </c>
      <c r="J47" s="17">
        <f>SQRT((4*(HSP!$B$4-$C47)^2+(HSP!$C$4-$D47)^2+(HSP!$D$4-$E47)^2))</f>
        <v>3.3388620816080454</v>
      </c>
      <c r="K47" s="17">
        <f>SQRT((4*(HSP!$B$5-$C47)^2+(HSP!$C$5-$D47)^2+(HSP!$D$5-$E47)^2))</f>
        <v>8.8933064717235535</v>
      </c>
      <c r="L47" s="17">
        <f>SQRT((4*(HSP!$B$6-$C47)^2+(HSP!$C$6-$D47)^2+(HSP!$D$6-$E47)^2))</f>
        <v>4.772735064928705</v>
      </c>
      <c r="M47" s="17" t="s">
        <v>35</v>
      </c>
      <c r="N47" s="17" t="s">
        <v>35</v>
      </c>
      <c r="O47" s="17" t="s">
        <v>35</v>
      </c>
      <c r="P47" s="17" t="s">
        <v>35</v>
      </c>
      <c r="Q47" s="17" t="s">
        <v>35</v>
      </c>
      <c r="R47" s="17">
        <f>$H47/HSP!$E$2</f>
        <v>0.42117357532110195</v>
      </c>
      <c r="S47" s="17">
        <f>$I47/HSP!$E$3</f>
        <v>0.38497430124623577</v>
      </c>
      <c r="T47" s="17">
        <f>$J47/HSP!$E$4</f>
        <v>0.20999132588729846</v>
      </c>
      <c r="U47" s="17">
        <f>$K47/HSP!$E$5</f>
        <v>0.64914645779004043</v>
      </c>
      <c r="V47" s="17">
        <f>$L47/HSP!$E$6</f>
        <v>0.32248209898166924</v>
      </c>
      <c r="W47" s="12"/>
      <c r="X47" s="12"/>
      <c r="Y47" s="12"/>
      <c r="Z47" s="12"/>
    </row>
    <row r="48" spans="1:26" ht="15" customHeight="1" x14ac:dyDescent="0.35">
      <c r="A48" s="26" t="s">
        <v>1068</v>
      </c>
      <c r="B48" s="17" t="s">
        <v>1030</v>
      </c>
      <c r="C48" s="17">
        <v>16.5</v>
      </c>
      <c r="D48" s="17">
        <v>6.6</v>
      </c>
      <c r="E48" s="17">
        <v>12</v>
      </c>
      <c r="F48" s="17" t="s">
        <v>35</v>
      </c>
      <c r="G48" s="22">
        <v>518</v>
      </c>
      <c r="H48" s="17">
        <f>SQRT((4*(HSP!$B$2-$C48)^2+(HSP!$C$2-$D48)^2+(HSP!$D$2-$E48)^2))</f>
        <v>7.3851201750547029</v>
      </c>
      <c r="I48" s="17">
        <f>SQRT((4*(HSP!$B$3-$C48)^2+(HSP!$C$3-$D48)^2+(HSP!$D$3-$E48)^2))</f>
        <v>7.0838125328102812</v>
      </c>
      <c r="J48" s="17">
        <f>SQRT((4*(HSP!$B$4-$C48)^2+(HSP!$C$4-$D48)^2+(HSP!$D$4-$E48)^2))</f>
        <v>6.1483331074365193</v>
      </c>
      <c r="K48" s="17">
        <f>SQRT((4*(HSP!$B$5-$C48)^2+(HSP!$C$5-$D48)^2+(HSP!$D$5-$E48)^2))</f>
        <v>6.6821328930215103</v>
      </c>
      <c r="L48" s="17">
        <f>SQRT((4*(HSP!$B$6-$C48)^2+(HSP!$C$6-$D48)^2+(HSP!$D$6-$E48)^2))</f>
        <v>8.5148693472066856</v>
      </c>
      <c r="M48" s="17" t="s">
        <v>35</v>
      </c>
      <c r="N48" s="17" t="s">
        <v>35</v>
      </c>
      <c r="O48" s="17" t="s">
        <v>35</v>
      </c>
      <c r="P48" s="17" t="s">
        <v>35</v>
      </c>
      <c r="Q48" s="17" t="s">
        <v>35</v>
      </c>
      <c r="R48" s="17">
        <f>$H48/HSP!$E$2</f>
        <v>0.45307485736531916</v>
      </c>
      <c r="S48" s="17">
        <f>$I48/HSP!$E$3</f>
        <v>0.52472685428224308</v>
      </c>
      <c r="T48" s="17">
        <f>$J48/HSP!$E$4</f>
        <v>0.38668761681990688</v>
      </c>
      <c r="U48" s="17">
        <f>$K48/HSP!$E$5</f>
        <v>0.48774692649792051</v>
      </c>
      <c r="V48" s="17">
        <f>$L48/HSP!$E$6</f>
        <v>0.57532900994639768</v>
      </c>
      <c r="W48" s="12"/>
      <c r="X48" s="12"/>
      <c r="Y48" s="12"/>
      <c r="Z48" s="12"/>
    </row>
    <row r="49" spans="1:26" ht="15" customHeight="1" x14ac:dyDescent="0.35">
      <c r="A49" s="26" t="s">
        <v>1069</v>
      </c>
      <c r="B49" s="17" t="s">
        <v>1030</v>
      </c>
      <c r="C49" s="17">
        <v>16.8</v>
      </c>
      <c r="D49" s="17">
        <v>6.1</v>
      </c>
      <c r="E49" s="17">
        <v>11</v>
      </c>
      <c r="F49" s="17" t="s">
        <v>35</v>
      </c>
      <c r="G49" s="22">
        <v>615.5</v>
      </c>
      <c r="H49" s="17">
        <f>SQRT((4*(HSP!$B$2-$C49)^2+(HSP!$C$2-$D49)^2+(HSP!$D$2-$E49)^2))</f>
        <v>7.3844431069648051</v>
      </c>
      <c r="I49" s="17">
        <f>SQRT((4*(HSP!$B$3-$C49)^2+(HSP!$C$3-$D49)^2+(HSP!$D$3-$E49)^2))</f>
        <v>6.6659132907651903</v>
      </c>
      <c r="J49" s="17">
        <f>SQRT((4*(HSP!$B$4-$C49)^2+(HSP!$C$4-$D49)^2+(HSP!$D$4-$E49)^2))</f>
        <v>5.5030900410587513</v>
      </c>
      <c r="K49" s="17">
        <f>SQRT((4*(HSP!$B$5-$C49)^2+(HSP!$C$5-$D49)^2+(HSP!$D$5-$E49)^2))</f>
        <v>7.2933462827429238</v>
      </c>
      <c r="L49" s="17">
        <f>SQRT((4*(HSP!$B$6-$C49)^2+(HSP!$C$6-$D49)^2+(HSP!$D$6-$E49)^2))</f>
        <v>7.7842790289146251</v>
      </c>
      <c r="M49" s="17" t="s">
        <v>35</v>
      </c>
      <c r="N49" s="17" t="s">
        <v>35</v>
      </c>
      <c r="O49" s="17" t="s">
        <v>35</v>
      </c>
      <c r="P49" s="17" t="s">
        <v>35</v>
      </c>
      <c r="Q49" s="17" t="s">
        <v>35</v>
      </c>
      <c r="R49" s="17">
        <f>$H49/HSP!$E$2</f>
        <v>0.45303331944569353</v>
      </c>
      <c r="S49" s="17">
        <f>$I49/HSP!$E$3</f>
        <v>0.49377135487149559</v>
      </c>
      <c r="T49" s="17">
        <f>$J49/HSP!$E$4</f>
        <v>0.34610629189048747</v>
      </c>
      <c r="U49" s="17">
        <f>$K49/HSP!$E$5</f>
        <v>0.53236104253597982</v>
      </c>
      <c r="V49" s="17">
        <f>$L49/HSP!$E$6</f>
        <v>0.52596479925098816</v>
      </c>
      <c r="W49" s="12"/>
      <c r="X49" s="12"/>
      <c r="Y49" s="12"/>
      <c r="Z49" s="12"/>
    </row>
    <row r="50" spans="1:26" ht="15" customHeight="1" x14ac:dyDescent="0.35">
      <c r="A50" s="26" t="s">
        <v>1070</v>
      </c>
      <c r="B50" s="17" t="s">
        <v>1030</v>
      </c>
      <c r="C50" s="17">
        <v>16.600000000000001</v>
      </c>
      <c r="D50" s="17">
        <v>6.1</v>
      </c>
      <c r="E50" s="17">
        <v>10.5</v>
      </c>
      <c r="F50" s="17" t="s">
        <v>35</v>
      </c>
      <c r="G50" s="22">
        <v>672</v>
      </c>
      <c r="H50" s="17">
        <f>SQRT((4*(HSP!$B$2-$C50)^2+(HSP!$C$2-$D50)^2+(HSP!$D$2-$E50)^2))</f>
        <v>6.8847657912234048</v>
      </c>
      <c r="I50" s="17">
        <f>SQRT((4*(HSP!$B$3-$C50)^2+(HSP!$C$3-$D50)^2+(HSP!$D$3-$E50)^2))</f>
        <v>6.1553553918518809</v>
      </c>
      <c r="J50" s="17">
        <f>SQRT((4*(HSP!$B$4-$C50)^2+(HSP!$C$4-$D50)^2+(HSP!$D$4-$E50)^2))</f>
        <v>4.8873305597227628</v>
      </c>
      <c r="K50" s="17">
        <f>SQRT((4*(HSP!$B$5-$C50)^2+(HSP!$C$5-$D50)^2+(HSP!$D$5-$E50)^2))</f>
        <v>7.1473701457249321</v>
      </c>
      <c r="L50" s="17">
        <f>SQRT((4*(HSP!$B$6-$C50)^2+(HSP!$C$6-$D50)^2+(HSP!$D$6-$E50)^2))</f>
        <v>7.1698675022625089</v>
      </c>
      <c r="M50" s="17" t="s">
        <v>35</v>
      </c>
      <c r="N50" s="17" t="s">
        <v>35</v>
      </c>
      <c r="O50" s="17" t="s">
        <v>35</v>
      </c>
      <c r="P50" s="17" t="s">
        <v>35</v>
      </c>
      <c r="Q50" s="17" t="s">
        <v>35</v>
      </c>
      <c r="R50" s="17">
        <f>$H50/HSP!$E$2</f>
        <v>0.42237826940020884</v>
      </c>
      <c r="S50" s="17">
        <f>$I50/HSP!$E$3</f>
        <v>0.45595225124828748</v>
      </c>
      <c r="T50" s="17">
        <f>$J50/HSP!$E$4</f>
        <v>0.30737928048570834</v>
      </c>
      <c r="U50" s="17">
        <f>$K50/HSP!$E$5</f>
        <v>0.52170585005291481</v>
      </c>
      <c r="V50" s="17">
        <f>$L50/HSP!$E$6</f>
        <v>0.48445050690962893</v>
      </c>
      <c r="W50" s="12"/>
      <c r="X50" s="12"/>
      <c r="Y50" s="12"/>
      <c r="Z50" s="12"/>
    </row>
    <row r="51" spans="1:26" ht="15" customHeight="1" x14ac:dyDescent="0.35">
      <c r="A51" s="26" t="s">
        <v>1071</v>
      </c>
      <c r="B51" s="17" t="s">
        <v>1030</v>
      </c>
      <c r="C51" s="17">
        <v>15.9</v>
      </c>
      <c r="D51" s="17">
        <v>7</v>
      </c>
      <c r="E51" s="17">
        <v>6.1</v>
      </c>
      <c r="F51" s="17" t="s">
        <v>35</v>
      </c>
      <c r="G51" s="22">
        <v>464.1</v>
      </c>
      <c r="H51" s="17">
        <f>SQRT((4*(HSP!$B$2-$C51)^2+(HSP!$C$2-$D51)^2+(HSP!$D$2-$E51)^2))</f>
        <v>4.4165597471335101</v>
      </c>
      <c r="I51" s="17">
        <f>SQRT((4*(HSP!$B$3-$C51)^2+(HSP!$C$3-$D51)^2+(HSP!$D$3-$E51)^2))</f>
        <v>2.7074711448139208</v>
      </c>
      <c r="J51" s="17">
        <f>SQRT((4*(HSP!$B$4-$C51)^2+(HSP!$C$4-$D51)^2+(HSP!$D$4-$E51)^2))</f>
        <v>2.8291341431611201</v>
      </c>
      <c r="K51" s="17">
        <f>SQRT((4*(HSP!$B$5-$C51)^2+(HSP!$C$5-$D51)^2+(HSP!$D$5-$E51)^2))</f>
        <v>7.591765275612782</v>
      </c>
      <c r="L51" s="17">
        <f>SQRT((4*(HSP!$B$6-$C51)^2+(HSP!$C$6-$D51)^2+(HSP!$D$6-$E51)^2))</f>
        <v>2.6410225292488518</v>
      </c>
      <c r="M51" s="17" t="s">
        <v>35</v>
      </c>
      <c r="N51" s="17" t="s">
        <v>35</v>
      </c>
      <c r="O51" s="17" t="s">
        <v>35</v>
      </c>
      <c r="P51" s="17" t="s">
        <v>35</v>
      </c>
      <c r="Q51" s="17" t="s">
        <v>35</v>
      </c>
      <c r="R51" s="17">
        <f>$H51/HSP!$E$2</f>
        <v>0.27095458571371228</v>
      </c>
      <c r="S51" s="17">
        <f>$I51/HSP!$E$3</f>
        <v>0.2005534181343645</v>
      </c>
      <c r="T51" s="17">
        <f>$J51/HSP!$E$4</f>
        <v>0.1779329649786868</v>
      </c>
      <c r="U51" s="17">
        <f>$K51/HSP!$E$5</f>
        <v>0.55414345077465565</v>
      </c>
      <c r="V51" s="17">
        <f>$L51/HSP!$E$6</f>
        <v>0.17844746819248999</v>
      </c>
      <c r="W51" s="12"/>
      <c r="X51" s="12"/>
      <c r="Y51" s="12"/>
      <c r="Z51" s="12"/>
    </row>
    <row r="52" spans="1:26" ht="15" customHeight="1" x14ac:dyDescent="0.35">
      <c r="A52" s="26" t="s">
        <v>1072</v>
      </c>
      <c r="B52" s="17" t="s">
        <v>1030</v>
      </c>
      <c r="C52" s="17">
        <v>17.7</v>
      </c>
      <c r="D52" s="17">
        <v>7.8</v>
      </c>
      <c r="E52" s="17">
        <v>15</v>
      </c>
      <c r="F52" s="17" t="s">
        <v>35</v>
      </c>
      <c r="G52" s="22">
        <v>489.4</v>
      </c>
      <c r="H52" s="17">
        <f>SQRT((4*(HSP!$B$2-$C52)^2+(HSP!$C$2-$D52)^2+(HSP!$D$2-$E52)^2))</f>
        <v>10.480267172166938</v>
      </c>
      <c r="I52" s="17">
        <f>SQRT((4*(HSP!$B$3-$C52)^2+(HSP!$C$3-$D52)^2+(HSP!$D$3-$E52)^2))</f>
        <v>10.192762137909428</v>
      </c>
      <c r="J52" s="17">
        <f>SQRT((4*(HSP!$B$4-$C52)^2+(HSP!$C$4-$D52)^2+(HSP!$D$4-$E52)^2))</f>
        <v>10.128079778516753</v>
      </c>
      <c r="K52" s="17">
        <f>SQRT((4*(HSP!$B$5-$C52)^2+(HSP!$C$5-$D52)^2+(HSP!$D$5-$E52)^2))</f>
        <v>8.0243940581205262</v>
      </c>
      <c r="L52" s="17">
        <f>SQRT((4*(HSP!$B$6-$C52)^2+(HSP!$C$6-$D52)^2+(HSP!$D$6-$E52)^2))</f>
        <v>12.24005718940888</v>
      </c>
      <c r="M52" s="17" t="s">
        <v>35</v>
      </c>
      <c r="N52" s="17" t="s">
        <v>35</v>
      </c>
      <c r="O52" s="17" t="s">
        <v>35</v>
      </c>
      <c r="P52" s="17" t="s">
        <v>35</v>
      </c>
      <c r="Q52" s="17" t="s">
        <v>35</v>
      </c>
      <c r="R52" s="17">
        <f>$H52/HSP!$E$2</f>
        <v>0.64296117620656057</v>
      </c>
      <c r="S52" s="17">
        <f>$I52/HSP!$E$3</f>
        <v>0.75501941762292057</v>
      </c>
      <c r="T52" s="17">
        <f>$J52/HSP!$E$4</f>
        <v>0.63698614959224864</v>
      </c>
      <c r="U52" s="17">
        <f>$K52/HSP!$E$5</f>
        <v>0.58572219402339609</v>
      </c>
      <c r="V52" s="17">
        <f>$L52/HSP!$E$6</f>
        <v>0.8270308911762756</v>
      </c>
      <c r="W52" s="12"/>
      <c r="X52" s="12"/>
      <c r="Y52" s="12"/>
      <c r="Z52" s="12"/>
    </row>
    <row r="53" spans="1:26" ht="15" customHeight="1" x14ac:dyDescent="0.35">
      <c r="A53" s="26" t="s">
        <v>1073</v>
      </c>
      <c r="B53" s="17" t="s">
        <v>1030</v>
      </c>
      <c r="C53" s="17">
        <v>17.899999999999999</v>
      </c>
      <c r="D53" s="17">
        <v>9</v>
      </c>
      <c r="E53" s="17">
        <v>17</v>
      </c>
      <c r="F53" s="17" t="s">
        <v>35</v>
      </c>
      <c r="G53" s="22">
        <v>600.29999999999995</v>
      </c>
      <c r="H53" s="17">
        <f>SQRT((4*(HSP!$B$2-$C53)^2+(HSP!$C$2-$D53)^2+(HSP!$D$2-$E53)^2))</f>
        <v>12.086852361140181</v>
      </c>
      <c r="I53" s="17">
        <f>SQRT((4*(HSP!$B$3-$C53)^2+(HSP!$C$3-$D53)^2+(HSP!$D$3-$E53)^2))</f>
        <v>12.040116278508275</v>
      </c>
      <c r="J53" s="17">
        <f>SQRT((4*(HSP!$B$4-$C53)^2+(HSP!$C$4-$D53)^2+(HSP!$D$4-$E53)^2))</f>
        <v>12.349655865650668</v>
      </c>
      <c r="K53" s="17">
        <f>SQRT((4*(HSP!$B$5-$C53)^2+(HSP!$C$5-$D53)^2+(HSP!$D$5-$E53)^2))</f>
        <v>8.8516043743493196</v>
      </c>
      <c r="L53" s="17">
        <f>SQRT((4*(HSP!$B$6-$C53)^2+(HSP!$C$6-$D53)^2+(HSP!$D$6-$E53)^2))</f>
        <v>14.394269693179991</v>
      </c>
      <c r="M53" s="17" t="s">
        <v>35</v>
      </c>
      <c r="N53" s="17" t="s">
        <v>35</v>
      </c>
      <c r="O53" s="17" t="s">
        <v>35</v>
      </c>
      <c r="P53" s="17" t="s">
        <v>35</v>
      </c>
      <c r="Q53" s="17" t="s">
        <v>35</v>
      </c>
      <c r="R53" s="17">
        <f>$H53/HSP!$E$2</f>
        <v>0.74152468473252642</v>
      </c>
      <c r="S53" s="17">
        <f>$I53/HSP!$E$3</f>
        <v>0.89186046507468708</v>
      </c>
      <c r="T53" s="17">
        <f>$J53/HSP!$E$4</f>
        <v>0.7767079160786583</v>
      </c>
      <c r="U53" s="17">
        <f>$K53/HSP!$E$5</f>
        <v>0.64610250907659272</v>
      </c>
      <c r="V53" s="17">
        <f>$L53/HSP!$E$6</f>
        <v>0.97258579007972912</v>
      </c>
      <c r="W53" s="12"/>
      <c r="X53" s="12"/>
      <c r="Y53" s="12"/>
      <c r="Z53" s="12"/>
    </row>
    <row r="54" spans="1:26" ht="15" customHeight="1" x14ac:dyDescent="0.35">
      <c r="A54" s="26" t="s">
        <v>1074</v>
      </c>
      <c r="B54" s="17" t="s">
        <v>1030</v>
      </c>
      <c r="C54" s="17">
        <v>18.100000000000001</v>
      </c>
      <c r="D54" s="17">
        <v>9.3000000000000007</v>
      </c>
      <c r="E54" s="17">
        <v>5.5</v>
      </c>
      <c r="F54" s="17" t="s">
        <v>35</v>
      </c>
      <c r="G54" s="22">
        <v>494.5</v>
      </c>
      <c r="H54" s="17">
        <f>SQRT((4*(HSP!$B$2-$C54)^2+(HSP!$C$2-$D54)^2+(HSP!$D$2-$E54)^2))</f>
        <v>7.2481721833852744</v>
      </c>
      <c r="I54" s="17">
        <f>SQRT((4*(HSP!$B$3-$C54)^2+(HSP!$C$3-$D54)^2+(HSP!$D$3-$E54)^2))</f>
        <v>4.8440066061061513</v>
      </c>
      <c r="J54" s="17">
        <f>SQRT((4*(HSP!$B$4-$C54)^2+(HSP!$C$4-$D54)^2+(HSP!$D$4-$E54)^2))</f>
        <v>7.574562693647735</v>
      </c>
      <c r="K54" s="17">
        <f>SQRT((4*(HSP!$B$5-$C54)^2+(HSP!$C$5-$D54)^2+(HSP!$D$5-$E54)^2))</f>
        <v>8.556687443163975</v>
      </c>
      <c r="L54" s="17">
        <f>SQRT((4*(HSP!$B$6-$C54)^2+(HSP!$C$6-$D54)^2+(HSP!$D$6-$E54)^2))</f>
        <v>6.5570572667927838</v>
      </c>
      <c r="M54" s="17" t="s">
        <v>35</v>
      </c>
      <c r="N54" s="17" t="s">
        <v>35</v>
      </c>
      <c r="O54" s="17" t="s">
        <v>35</v>
      </c>
      <c r="P54" s="17" t="s">
        <v>35</v>
      </c>
      <c r="Q54" s="17" t="s">
        <v>35</v>
      </c>
      <c r="R54" s="17">
        <f>$H54/HSP!$E$2</f>
        <v>0.44467314008498615</v>
      </c>
      <c r="S54" s="17">
        <f>$I54/HSP!$E$3</f>
        <v>0.35881530415601121</v>
      </c>
      <c r="T54" s="17">
        <f>$J54/HSP!$E$4</f>
        <v>0.47638759079545501</v>
      </c>
      <c r="U54" s="17">
        <f>$K54/HSP!$E$5</f>
        <v>0.62457572577839238</v>
      </c>
      <c r="V54" s="17">
        <f>$L54/HSP!$E$6</f>
        <v>0.4430444099184313</v>
      </c>
      <c r="W54" s="12"/>
      <c r="X54" s="12"/>
      <c r="Y54" s="12"/>
      <c r="Z54" s="12"/>
    </row>
    <row r="55" spans="1:26" ht="15" customHeight="1" x14ac:dyDescent="0.35">
      <c r="A55" s="26" t="s">
        <v>1075</v>
      </c>
      <c r="B55" s="17" t="s">
        <v>1030</v>
      </c>
      <c r="C55" s="17">
        <v>16.399999999999999</v>
      </c>
      <c r="D55" s="17">
        <v>8.6</v>
      </c>
      <c r="E55" s="17">
        <v>7.4</v>
      </c>
      <c r="F55" s="17" t="s">
        <v>35</v>
      </c>
      <c r="G55" s="22">
        <v>309.5</v>
      </c>
      <c r="H55" s="17">
        <f>SQRT((4*(HSP!$B$2-$C55)^2+(HSP!$C$2-$D55)^2+(HSP!$D$2-$E55)^2))</f>
        <v>4.0738188472243078</v>
      </c>
      <c r="I55" s="17">
        <f>SQRT((4*(HSP!$B$3-$C55)^2+(HSP!$C$3-$D55)^2+(HSP!$D$3-$E55)^2))</f>
        <v>2.3741103596926569</v>
      </c>
      <c r="J55" s="17">
        <f>SQRT((4*(HSP!$B$4-$C55)^2+(HSP!$C$4-$D55)^2+(HSP!$D$4-$E55)^2))</f>
        <v>4.6666904761297365</v>
      </c>
      <c r="K55" s="17">
        <f>SQRT((4*(HSP!$B$5-$C55)^2+(HSP!$C$5-$D55)^2+(HSP!$D$5-$E55)^2))</f>
        <v>5.8773208181959911</v>
      </c>
      <c r="L55" s="17">
        <f>SQRT((4*(HSP!$B$6-$C55)^2+(HSP!$C$6-$D55)^2+(HSP!$D$6-$E55)^2))</f>
        <v>4.734870642372397</v>
      </c>
      <c r="M55" s="17" t="s">
        <v>35</v>
      </c>
      <c r="N55" s="17" t="s">
        <v>35</v>
      </c>
      <c r="O55" s="17" t="s">
        <v>35</v>
      </c>
      <c r="P55" s="17" t="s">
        <v>35</v>
      </c>
      <c r="Q55" s="17" t="s">
        <v>35</v>
      </c>
      <c r="R55" s="17">
        <f>$H55/HSP!$E$2</f>
        <v>0.24992753663952808</v>
      </c>
      <c r="S55" s="17">
        <f>$I55/HSP!$E$3</f>
        <v>0.17586002664390052</v>
      </c>
      <c r="T55" s="17">
        <f>$J55/HSP!$E$4</f>
        <v>0.2935025456685369</v>
      </c>
      <c r="U55" s="17">
        <f>$K55/HSP!$E$5</f>
        <v>0.42900151957634974</v>
      </c>
      <c r="V55" s="17">
        <f>$L55/HSP!$E$6</f>
        <v>0.31992369205218896</v>
      </c>
      <c r="W55" s="12"/>
      <c r="X55" s="12"/>
      <c r="Y55" s="12"/>
      <c r="Z55" s="12"/>
    </row>
    <row r="56" spans="1:26" ht="15" customHeight="1" x14ac:dyDescent="0.35">
      <c r="A56" s="26" t="s">
        <v>1076</v>
      </c>
      <c r="B56" s="17" t="s">
        <v>1030</v>
      </c>
      <c r="C56" s="17">
        <v>17.5</v>
      </c>
      <c r="D56" s="17">
        <v>8.3000000000000007</v>
      </c>
      <c r="E56" s="17">
        <v>7.2</v>
      </c>
      <c r="F56" s="17" t="s">
        <v>35</v>
      </c>
      <c r="G56" s="22">
        <v>330.5</v>
      </c>
      <c r="H56" s="17">
        <f>SQRT((4*(HSP!$B$2-$C56)^2+(HSP!$C$2-$D56)^2+(HSP!$D$2-$E56)^2))</f>
        <v>6.1930606326758992</v>
      </c>
      <c r="I56" s="17">
        <f>SQRT((4*(HSP!$B$3-$C56)^2+(HSP!$C$3-$D56)^2+(HSP!$D$3-$E56)^2))</f>
        <v>4.1058981964973276</v>
      </c>
      <c r="J56" s="17">
        <f>SQRT((4*(HSP!$B$4-$C56)^2+(HSP!$C$4-$D56)^2+(HSP!$D$4-$E56)^2))</f>
        <v>5.9143892330484986</v>
      </c>
      <c r="K56" s="17">
        <f>SQRT((4*(HSP!$B$5-$C56)^2+(HSP!$C$5-$D56)^2+(HSP!$D$5-$E56)^2))</f>
        <v>7.3034854692810889</v>
      </c>
      <c r="L56" s="17">
        <f>SQRT((4*(HSP!$B$6-$C56)^2+(HSP!$C$6-$D56)^2+(HSP!$D$6-$E56)^2))</f>
        <v>5.8831114216883575</v>
      </c>
      <c r="M56" s="17" t="s">
        <v>35</v>
      </c>
      <c r="N56" s="17" t="s">
        <v>35</v>
      </c>
      <c r="O56" s="17" t="s">
        <v>35</v>
      </c>
      <c r="P56" s="17" t="s">
        <v>35</v>
      </c>
      <c r="Q56" s="17" t="s">
        <v>35</v>
      </c>
      <c r="R56" s="17">
        <f>$H56/HSP!$E$2</f>
        <v>0.3799423701028159</v>
      </c>
      <c r="S56" s="17">
        <f>$I56/HSP!$E$3</f>
        <v>0.30414060714795021</v>
      </c>
      <c r="T56" s="17">
        <f>$J56/HSP!$E$4</f>
        <v>0.37197416560053448</v>
      </c>
      <c r="U56" s="17">
        <f>$K56/HSP!$E$5</f>
        <v>0.53310112914460506</v>
      </c>
      <c r="V56" s="17">
        <f>$L56/HSP!$E$6</f>
        <v>0.39750752849245657</v>
      </c>
      <c r="W56" s="12"/>
      <c r="X56" s="12"/>
      <c r="Y56" s="12"/>
      <c r="Z56" s="12"/>
    </row>
    <row r="57" spans="1:26" ht="15" customHeight="1" x14ac:dyDescent="0.35">
      <c r="A57" s="26" t="s">
        <v>1077</v>
      </c>
      <c r="B57" s="17" t="s">
        <v>1030</v>
      </c>
      <c r="C57" s="17">
        <v>15.9</v>
      </c>
      <c r="D57" s="17">
        <v>7</v>
      </c>
      <c r="E57" s="17">
        <v>6.1</v>
      </c>
      <c r="F57" s="17" t="s">
        <v>35</v>
      </c>
      <c r="G57" s="22">
        <v>464.1</v>
      </c>
      <c r="H57" s="17">
        <f>SQRT((4*(HSP!$B$2-$C57)^2+(HSP!$C$2-$D57)^2+(HSP!$D$2-$E57)^2))</f>
        <v>4.4165597471335101</v>
      </c>
      <c r="I57" s="17">
        <f>SQRT((4*(HSP!$B$3-$C57)^2+(HSP!$C$3-$D57)^2+(HSP!$D$3-$E57)^2))</f>
        <v>2.7074711448139208</v>
      </c>
      <c r="J57" s="17">
        <f>SQRT((4*(HSP!$B$4-$C57)^2+(HSP!$C$4-$D57)^2+(HSP!$D$4-$E57)^2))</f>
        <v>2.8291341431611201</v>
      </c>
      <c r="K57" s="17">
        <f>SQRT((4*(HSP!$B$5-$C57)^2+(HSP!$C$5-$D57)^2+(HSP!$D$5-$E57)^2))</f>
        <v>7.591765275612782</v>
      </c>
      <c r="L57" s="17">
        <f>SQRT((4*(HSP!$B$6-$C57)^2+(HSP!$C$6-$D57)^2+(HSP!$D$6-$E57)^2))</f>
        <v>2.6410225292488518</v>
      </c>
      <c r="M57" s="17" t="s">
        <v>35</v>
      </c>
      <c r="N57" s="17" t="s">
        <v>35</v>
      </c>
      <c r="O57" s="17" t="s">
        <v>35</v>
      </c>
      <c r="P57" s="17" t="s">
        <v>35</v>
      </c>
      <c r="Q57" s="17" t="s">
        <v>35</v>
      </c>
      <c r="R57" s="17">
        <f>$H57/HSP!$E$2</f>
        <v>0.27095458571371228</v>
      </c>
      <c r="S57" s="17">
        <f>$I57/HSP!$E$3</f>
        <v>0.2005534181343645</v>
      </c>
      <c r="T57" s="17">
        <f>$J57/HSP!$E$4</f>
        <v>0.1779329649786868</v>
      </c>
      <c r="U57" s="17">
        <f>$K57/HSP!$E$5</f>
        <v>0.55414345077465565</v>
      </c>
      <c r="V57" s="17">
        <f>$L57/HSP!$E$6</f>
        <v>0.17844746819248999</v>
      </c>
      <c r="W57" s="12"/>
      <c r="X57" s="12"/>
      <c r="Y57" s="12"/>
      <c r="Z57" s="12"/>
    </row>
    <row r="58" spans="1:26" ht="15" customHeight="1" x14ac:dyDescent="0.35">
      <c r="A58" s="26" t="s">
        <v>1078</v>
      </c>
      <c r="B58" s="17" t="s">
        <v>1030</v>
      </c>
      <c r="C58" s="17">
        <v>16.899999999999999</v>
      </c>
      <c r="D58" s="17">
        <v>6.1</v>
      </c>
      <c r="E58" s="17">
        <v>5.3</v>
      </c>
      <c r="F58" s="17" t="s">
        <v>35</v>
      </c>
      <c r="G58" s="22">
        <v>615.70000000000005</v>
      </c>
      <c r="H58" s="17">
        <f>SQRT((4*(HSP!$B$2-$C58)^2+(HSP!$C$2-$D58)^2+(HSP!$D$2-$E58)^2))</f>
        <v>6.5568285016462031</v>
      </c>
      <c r="I58" s="17">
        <f>SQRT((4*(HSP!$B$3-$C58)^2+(HSP!$C$3-$D58)^2+(HSP!$D$3-$E58)^2))</f>
        <v>4.3359428040508092</v>
      </c>
      <c r="J58" s="17">
        <f>SQRT((4*(HSP!$B$4-$C58)^2+(HSP!$C$4-$D58)^2+(HSP!$D$4-$E58)^2))</f>
        <v>4.0296401824480537</v>
      </c>
      <c r="K58" s="17">
        <f>SQRT((4*(HSP!$B$5-$C58)^2+(HSP!$C$5-$D58)^2+(HSP!$D$5-$E58)^2))</f>
        <v>9.2816431734903482</v>
      </c>
      <c r="L58" s="17">
        <f>SQRT((4*(HSP!$B$6-$C58)^2+(HSP!$C$6-$D58)^2+(HSP!$D$6-$E58)^2))</f>
        <v>3.583155034323799</v>
      </c>
      <c r="M58" s="17" t="s">
        <v>35</v>
      </c>
      <c r="N58" s="17" t="s">
        <v>35</v>
      </c>
      <c r="O58" s="17" t="s">
        <v>35</v>
      </c>
      <c r="P58" s="17" t="s">
        <v>35</v>
      </c>
      <c r="Q58" s="17" t="s">
        <v>35</v>
      </c>
      <c r="R58" s="17">
        <f>$H58/HSP!$E$2</f>
        <v>0.40225941727890813</v>
      </c>
      <c r="S58" s="17">
        <f>$I58/HSP!$E$3</f>
        <v>0.3211809484482081</v>
      </c>
      <c r="T58" s="17">
        <f>$J58/HSP!$E$4</f>
        <v>0.25343648946214176</v>
      </c>
      <c r="U58" s="17">
        <f>$K58/HSP!$E$5</f>
        <v>0.67749220244455099</v>
      </c>
      <c r="V58" s="17">
        <f>$L58/HSP!$E$6</f>
        <v>0.24210506988674316</v>
      </c>
      <c r="W58" s="12"/>
      <c r="X58" s="12"/>
      <c r="Y58" s="12"/>
      <c r="Z58" s="12"/>
    </row>
    <row r="59" spans="1:26" ht="15" customHeight="1" x14ac:dyDescent="0.35">
      <c r="A59" s="26" t="s">
        <v>1079</v>
      </c>
      <c r="B59" s="17" t="s">
        <v>1030</v>
      </c>
      <c r="C59" s="17">
        <v>17.3</v>
      </c>
      <c r="D59" s="17">
        <v>7.2</v>
      </c>
      <c r="E59" s="17">
        <v>7.2</v>
      </c>
      <c r="F59" s="17" t="s">
        <v>35</v>
      </c>
      <c r="G59" s="22">
        <v>388.3</v>
      </c>
      <c r="H59" s="17">
        <f>SQRT((4*(HSP!$B$2-$C59)^2+(HSP!$C$2-$D59)^2+(HSP!$D$2-$E59)^2))</f>
        <v>6.3115766651447744</v>
      </c>
      <c r="I59" s="17">
        <f>SQRT((4*(HSP!$B$3-$C59)^2+(HSP!$C$3-$D59)^2+(HSP!$D$3-$E59)^2))</f>
        <v>4.2807008771928947</v>
      </c>
      <c r="J59" s="17">
        <f>SQRT((4*(HSP!$B$4-$C59)^2+(HSP!$C$4-$D59)^2+(HSP!$D$4-$E59)^2))</f>
        <v>4.9656822290597713</v>
      </c>
      <c r="K59" s="17">
        <f>SQRT((4*(HSP!$B$5-$C59)^2+(HSP!$C$5-$D59)^2+(HSP!$D$5-$E59)^2))</f>
        <v>7.8017241684130321</v>
      </c>
      <c r="L59" s="17">
        <f>SQRT((4*(HSP!$B$6-$C59)^2+(HSP!$C$6-$D59)^2+(HSP!$D$6-$E59)^2))</f>
        <v>5.3196804415303012</v>
      </c>
      <c r="M59" s="17" t="s">
        <v>35</v>
      </c>
      <c r="N59" s="17" t="s">
        <v>35</v>
      </c>
      <c r="O59" s="17" t="s">
        <v>35</v>
      </c>
      <c r="P59" s="17" t="s">
        <v>35</v>
      </c>
      <c r="Q59" s="17" t="s">
        <v>35</v>
      </c>
      <c r="R59" s="17">
        <f>$H59/HSP!$E$2</f>
        <v>0.38721329234017021</v>
      </c>
      <c r="S59" s="17">
        <f>$I59/HSP!$E$3</f>
        <v>0.31708895386614033</v>
      </c>
      <c r="T59" s="17">
        <f>$J59/HSP!$E$4</f>
        <v>0.31230705843143214</v>
      </c>
      <c r="U59" s="17">
        <f>$K59/HSP!$E$5</f>
        <v>0.56946891740241112</v>
      </c>
      <c r="V59" s="17">
        <f>$L59/HSP!$E$6</f>
        <v>0.3594378676709663</v>
      </c>
      <c r="W59" s="12"/>
      <c r="X59" s="12"/>
      <c r="Y59" s="12"/>
      <c r="Z59" s="12"/>
    </row>
    <row r="60" spans="1:26" ht="15" customHeight="1" x14ac:dyDescent="0.35">
      <c r="A60" s="26" t="s">
        <v>1080</v>
      </c>
      <c r="B60" s="17" t="s">
        <v>1030</v>
      </c>
      <c r="C60" s="17">
        <v>17.7</v>
      </c>
      <c r="D60" s="17">
        <v>16.8</v>
      </c>
      <c r="E60" s="17">
        <v>16.8</v>
      </c>
      <c r="F60" s="17" t="s">
        <v>35</v>
      </c>
      <c r="G60" s="22">
        <v>291.3</v>
      </c>
      <c r="H60" s="17">
        <f>SQRT((4*(HSP!$B$2-$C60)^2+(HSP!$C$2-$D60)^2+(HSP!$D$2-$E60)^2))</f>
        <v>13.23132646411538</v>
      </c>
      <c r="I60" s="17">
        <f>SQRT((4*(HSP!$B$3-$C60)^2+(HSP!$C$3-$D60)^2+(HSP!$D$3-$E60)^2))</f>
        <v>13.700379556786009</v>
      </c>
      <c r="J60" s="17">
        <f>SQRT((4*(HSP!$B$4-$C60)^2+(HSP!$C$4-$D60)^2+(HSP!$D$4-$E60)^2))</f>
        <v>16.507513440854744</v>
      </c>
      <c r="K60" s="17">
        <f>SQRT((4*(HSP!$B$5-$C60)^2+(HSP!$C$5-$D60)^2+(HSP!$D$5-$E60)^2))</f>
        <v>8.644240857356996</v>
      </c>
      <c r="L60" s="17">
        <f>SQRT((4*(HSP!$B$6-$C60)^2+(HSP!$C$6-$D60)^2+(HSP!$D$6-$E60)^2))</f>
        <v>17.287538864743009</v>
      </c>
      <c r="M60" s="17" t="s">
        <v>35</v>
      </c>
      <c r="N60" s="17" t="s">
        <v>35</v>
      </c>
      <c r="O60" s="17" t="s">
        <v>35</v>
      </c>
      <c r="P60" s="17" t="s">
        <v>35</v>
      </c>
      <c r="Q60" s="17" t="s">
        <v>35</v>
      </c>
      <c r="R60" s="17">
        <f>$H60/HSP!$E$2</f>
        <v>0.8117378198843791</v>
      </c>
      <c r="S60" s="17">
        <f>$I60/HSP!$E$3</f>
        <v>1.014842930132297</v>
      </c>
      <c r="T60" s="17">
        <f>$J60/HSP!$E$4</f>
        <v>1.0382083925065877</v>
      </c>
      <c r="U60" s="17">
        <f>$K60/HSP!$E$5</f>
        <v>0.63096648593846694</v>
      </c>
      <c r="V60" s="17">
        <f>$L60/HSP!$E$6</f>
        <v>1.1680769503204735</v>
      </c>
      <c r="W60" s="12"/>
      <c r="X60" s="12"/>
      <c r="Y60" s="12"/>
      <c r="Z60" s="12"/>
    </row>
    <row r="61" spans="1:26" ht="15" customHeight="1" x14ac:dyDescent="0.35">
      <c r="A61" s="26" t="s">
        <v>1081</v>
      </c>
      <c r="B61" s="17" t="s">
        <v>1030</v>
      </c>
      <c r="C61" s="17">
        <v>18.3</v>
      </c>
      <c r="D61" s="17">
        <v>8.6</v>
      </c>
      <c r="E61" s="17">
        <v>5.0999999999999996</v>
      </c>
      <c r="F61" s="17" t="s">
        <v>35</v>
      </c>
      <c r="G61" s="22">
        <v>576.70000000000005</v>
      </c>
      <c r="H61" s="17">
        <f>SQRT((4*(HSP!$B$2-$C61)^2+(HSP!$C$2-$D61)^2+(HSP!$D$2-$E61)^2))</f>
        <v>7.8583713325344995</v>
      </c>
      <c r="I61" s="17">
        <f>SQRT((4*(HSP!$B$3-$C61)^2+(HSP!$C$3-$D61)^2+(HSP!$D$3-$E61)^2))</f>
        <v>5.3749790697266926</v>
      </c>
      <c r="J61" s="17">
        <f>SQRT((4*(HSP!$B$4-$C61)^2+(HSP!$C$4-$D61)^2+(HSP!$D$4-$E61)^2))</f>
        <v>7.5791820139115291</v>
      </c>
      <c r="K61" s="17">
        <f>SQRT((4*(HSP!$B$5-$C61)^2+(HSP!$C$5-$D61)^2+(HSP!$D$5-$E61)^2))</f>
        <v>9.3641283630672234</v>
      </c>
      <c r="L61" s="17">
        <f>SQRT((4*(HSP!$B$6-$C61)^2+(HSP!$C$6-$D61)^2+(HSP!$D$6-$E61)^2))</f>
        <v>6.557057266792782</v>
      </c>
      <c r="M61" s="17" t="s">
        <v>35</v>
      </c>
      <c r="N61" s="17" t="s">
        <v>35</v>
      </c>
      <c r="O61" s="17" t="s">
        <v>35</v>
      </c>
      <c r="P61" s="17" t="s">
        <v>35</v>
      </c>
      <c r="Q61" s="17" t="s">
        <v>35</v>
      </c>
      <c r="R61" s="17">
        <f>$H61/HSP!$E$2</f>
        <v>0.48210867070763797</v>
      </c>
      <c r="S61" s="17">
        <f>$I61/HSP!$E$3</f>
        <v>0.39814659775753281</v>
      </c>
      <c r="T61" s="17">
        <f>$J61/HSP!$E$4</f>
        <v>0.47667811408248612</v>
      </c>
      <c r="U61" s="17">
        <f>$K61/HSP!$E$5</f>
        <v>0.68351301920198715</v>
      </c>
      <c r="V61" s="17">
        <f>$L61/HSP!$E$6</f>
        <v>0.44304440991843119</v>
      </c>
      <c r="W61" s="12"/>
      <c r="X61" s="12"/>
      <c r="Y61" s="12"/>
      <c r="Z61" s="12"/>
    </row>
    <row r="62" spans="1:26" ht="15" customHeight="1" x14ac:dyDescent="0.35">
      <c r="A62" s="26" t="s">
        <v>1082</v>
      </c>
      <c r="B62" s="17" t="s">
        <v>1042</v>
      </c>
      <c r="C62" s="17">
        <v>20</v>
      </c>
      <c r="D62" s="17">
        <v>17</v>
      </c>
      <c r="E62" s="17">
        <v>9.6999999999999993</v>
      </c>
      <c r="F62" s="17" t="s">
        <v>35</v>
      </c>
      <c r="G62" s="22">
        <v>148.1</v>
      </c>
      <c r="H62" s="17">
        <f>SQRT((4*(HSP!$B$2-$C62)^2+(HSP!$C$2-$D62)^2+(HSP!$D$2-$E62)^2))</f>
        <v>12.915494570476191</v>
      </c>
      <c r="I62" s="17">
        <f>SQRT((4*(HSP!$B$3-$C62)^2+(HSP!$C$3-$D62)^2+(HSP!$D$3-$E62)^2))</f>
        <v>11.968057486492953</v>
      </c>
      <c r="J62" s="17">
        <f>SQRT((4*(HSP!$B$4-$C62)^2+(HSP!$C$4-$D62)^2+(HSP!$D$4-$E62)^2))</f>
        <v>15.921934555825809</v>
      </c>
      <c r="K62" s="17">
        <f>SQRT((4*(HSP!$B$5-$C62)^2+(HSP!$C$5-$D62)^2+(HSP!$D$5-$E62)^2))</f>
        <v>10.455759178558008</v>
      </c>
      <c r="L62" s="17">
        <f>SQRT((4*(HSP!$B$6-$C62)^2+(HSP!$C$6-$D62)^2+(HSP!$D$6-$E62)^2))</f>
        <v>15.344021637106747</v>
      </c>
      <c r="M62" s="17" t="s">
        <v>35</v>
      </c>
      <c r="N62" s="17" t="s">
        <v>35</v>
      </c>
      <c r="O62" s="17" t="s">
        <v>35</v>
      </c>
      <c r="P62" s="17" t="s">
        <v>35</v>
      </c>
      <c r="Q62" s="17" t="s">
        <v>35</v>
      </c>
      <c r="R62" s="17">
        <f>$H62/HSP!$E$2</f>
        <v>0.79236163009056382</v>
      </c>
      <c r="S62" s="17">
        <f>$I62/HSP!$E$3</f>
        <v>0.88652277677725577</v>
      </c>
      <c r="T62" s="17">
        <f>$J62/HSP!$E$4</f>
        <v>1.0013795318129439</v>
      </c>
      <c r="U62" s="17">
        <f>$K62/HSP!$E$5</f>
        <v>0.76319410062467219</v>
      </c>
      <c r="V62" s="17">
        <f>$L62/HSP!$E$6</f>
        <v>1.0367582187234288</v>
      </c>
      <c r="W62" s="12"/>
      <c r="X62" s="12"/>
      <c r="Y62" s="12"/>
      <c r="Z62" s="12"/>
    </row>
    <row r="63" spans="1:26" ht="15" customHeight="1" x14ac:dyDescent="0.35">
      <c r="A63" s="26" t="s">
        <v>1082</v>
      </c>
      <c r="B63" s="17" t="s">
        <v>1043</v>
      </c>
      <c r="C63" s="17">
        <v>16.8</v>
      </c>
      <c r="D63" s="17">
        <v>0</v>
      </c>
      <c r="E63" s="17">
        <v>0</v>
      </c>
      <c r="F63" s="17" t="s">
        <v>35</v>
      </c>
      <c r="G63" s="22">
        <v>275.7</v>
      </c>
      <c r="H63" s="17">
        <f>SQRT((4*(HSP!$B$2-$C63)^2+(HSP!$C$2-$D63)^2+(HSP!$D$2-$E63)^2))</f>
        <v>13.322612356441212</v>
      </c>
      <c r="I63" s="17">
        <f>SQRT((4*(HSP!$B$3-$C63)^2+(HSP!$C$3-$D63)^2+(HSP!$D$3-$E63)^2))</f>
        <v>11.494189836608756</v>
      </c>
      <c r="J63" s="17">
        <f>SQRT((4*(HSP!$B$4-$C63)^2+(HSP!$C$4-$D63)^2+(HSP!$D$4-$E63)^2))</f>
        <v>8.8752464754506963</v>
      </c>
      <c r="K63" s="17">
        <f>SQRT((4*(HSP!$B$5-$C63)^2+(HSP!$C$5-$D63)^2+(HSP!$D$5-$E63)^2))</f>
        <v>17.04778284704495</v>
      </c>
      <c r="L63" s="17">
        <f>SQRT((4*(HSP!$B$6-$C63)^2+(HSP!$C$6-$D63)^2+(HSP!$D$6-$E63)^2))</f>
        <v>8.0951219879628749</v>
      </c>
      <c r="M63" s="17" t="s">
        <v>35</v>
      </c>
      <c r="N63" s="17" t="s">
        <v>35</v>
      </c>
      <c r="O63" s="17" t="s">
        <v>35</v>
      </c>
      <c r="P63" s="17" t="s">
        <v>35</v>
      </c>
      <c r="Q63" s="17" t="s">
        <v>35</v>
      </c>
      <c r="R63" s="17">
        <f>$H63/HSP!$E$2</f>
        <v>0.8173381813767614</v>
      </c>
      <c r="S63" s="17">
        <f>$I63/HSP!$E$3</f>
        <v>0.85142146937842633</v>
      </c>
      <c r="T63" s="17">
        <f>$J63/HSP!$E$4</f>
        <v>0.55819160222960351</v>
      </c>
      <c r="U63" s="17">
        <f>$K63/HSP!$E$5</f>
        <v>1.244363711463135</v>
      </c>
      <c r="V63" s="17">
        <f>$L63/HSP!$E$6</f>
        <v>0.54696770188938337</v>
      </c>
      <c r="W63" s="12"/>
      <c r="X63" s="12"/>
      <c r="Y63" s="12"/>
      <c r="Z63" s="12"/>
    </row>
    <row r="64" spans="1:26" ht="15" customHeight="1" x14ac:dyDescent="0.35">
      <c r="A64" s="26" t="s">
        <v>1082</v>
      </c>
      <c r="B64" s="17" t="s">
        <v>1030</v>
      </c>
      <c r="C64" s="17">
        <v>17.899999999999999</v>
      </c>
      <c r="D64" s="17">
        <v>10.199999999999999</v>
      </c>
      <c r="E64" s="17">
        <v>6.7</v>
      </c>
      <c r="F64" s="17" t="s">
        <v>35</v>
      </c>
      <c r="G64" s="22">
        <v>423.8</v>
      </c>
      <c r="H64" s="17">
        <f>SQRT((4*(HSP!$B$2-$C64)^2+(HSP!$C$2-$D64)^2+(HSP!$D$2-$E64)^2))</f>
        <v>6.6110513536048092</v>
      </c>
      <c r="I64" s="17">
        <f>SQRT((4*(HSP!$B$3-$C64)^2+(HSP!$C$3-$D64)^2+(HSP!$D$3-$E64)^2))</f>
        <v>4.5389866710533511</v>
      </c>
      <c r="J64" s="17">
        <f>SQRT((4*(HSP!$B$4-$C64)^2+(HSP!$C$4-$D64)^2+(HSP!$D$4-$E64)^2))</f>
        <v>7.7647923346345822</v>
      </c>
      <c r="K64" s="17">
        <f>SQRT((4*(HSP!$B$5-$C64)^2+(HSP!$C$5-$D64)^2+(HSP!$D$5-$E64)^2))</f>
        <v>7.2049219287928432</v>
      </c>
      <c r="L64" s="17">
        <f>SQRT((4*(HSP!$B$6-$C64)^2+(HSP!$C$6-$D64)^2+(HSP!$D$6-$E64)^2))</f>
        <v>7.071279940717945</v>
      </c>
      <c r="M64" s="17" t="s">
        <v>35</v>
      </c>
      <c r="N64" s="17" t="s">
        <v>35</v>
      </c>
      <c r="O64" s="17" t="s">
        <v>35</v>
      </c>
      <c r="P64" s="17" t="s">
        <v>35</v>
      </c>
      <c r="Q64" s="17" t="s">
        <v>35</v>
      </c>
      <c r="R64" s="17">
        <f>$H64/HSP!$E$2</f>
        <v>0.40558597261379198</v>
      </c>
      <c r="S64" s="17">
        <f>$I64/HSP!$E$3</f>
        <v>0.33622123489284084</v>
      </c>
      <c r="T64" s="17">
        <f>$J64/HSP!$E$4</f>
        <v>0.48835171915940767</v>
      </c>
      <c r="U64" s="17">
        <f>$K64/HSP!$E$5</f>
        <v>0.52590671013086454</v>
      </c>
      <c r="V64" s="17">
        <f>$L64/HSP!$E$6</f>
        <v>0.47778918518364488</v>
      </c>
      <c r="W64" s="12"/>
      <c r="X64" s="12"/>
      <c r="Y64" s="12"/>
      <c r="Z64" s="12"/>
    </row>
    <row r="65" spans="1:26" ht="15" customHeight="1" x14ac:dyDescent="0.35">
      <c r="A65" s="26" t="s">
        <v>1083</v>
      </c>
      <c r="B65" s="17" t="s">
        <v>1030</v>
      </c>
      <c r="C65" s="17">
        <v>16.8</v>
      </c>
      <c r="D65" s="17">
        <v>6.9</v>
      </c>
      <c r="E65" s="17">
        <v>9.9</v>
      </c>
      <c r="F65" s="17" t="s">
        <v>35</v>
      </c>
      <c r="G65" s="22">
        <v>406.7</v>
      </c>
      <c r="H65" s="17">
        <f>SQRT((4*(HSP!$B$2-$C65)^2+(HSP!$C$2-$D65)^2+(HSP!$D$2-$E65)^2))</f>
        <v>6.3686733312362644</v>
      </c>
      <c r="I65" s="17">
        <f>SQRT((4*(HSP!$B$3-$C65)^2+(HSP!$C$3-$D65)^2+(HSP!$D$3-$E65)^2))</f>
        <v>5.4029991671293089</v>
      </c>
      <c r="J65" s="17">
        <f>SQRT((4*(HSP!$B$4-$C65)^2+(HSP!$C$4-$D65)^2+(HSP!$D$4-$E65)^2))</f>
        <v>5.0165725351080113</v>
      </c>
      <c r="K65" s="17">
        <f>SQRT((4*(HSP!$B$5-$C65)^2+(HSP!$C$5-$D65)^2+(HSP!$D$5-$E65)^2))</f>
        <v>6.6555916341073704</v>
      </c>
      <c r="L65" s="17">
        <f>SQRT((4*(HSP!$B$6-$C65)^2+(HSP!$C$6-$D65)^2+(HSP!$D$6-$E65)^2))</f>
        <v>6.7961018238399005</v>
      </c>
      <c r="M65" s="17" t="s">
        <v>35</v>
      </c>
      <c r="N65" s="17" t="s">
        <v>35</v>
      </c>
      <c r="O65" s="17" t="s">
        <v>35</v>
      </c>
      <c r="P65" s="17" t="s">
        <v>35</v>
      </c>
      <c r="Q65" s="17" t="s">
        <v>35</v>
      </c>
      <c r="R65" s="17">
        <f>$H65/HSP!$E$2</f>
        <v>0.39071615529056836</v>
      </c>
      <c r="S65" s="17">
        <f>$I65/HSP!$E$3</f>
        <v>0.40022216052809695</v>
      </c>
      <c r="T65" s="17">
        <f>$J65/HSP!$E$4</f>
        <v>0.31550770661056676</v>
      </c>
      <c r="U65" s="17">
        <f>$K65/HSP!$E$5</f>
        <v>0.48580960832900516</v>
      </c>
      <c r="V65" s="17">
        <f>$L65/HSP!$E$6</f>
        <v>0.45919606917837164</v>
      </c>
      <c r="W65" s="12"/>
      <c r="X65" s="12"/>
      <c r="Y65" s="12"/>
      <c r="Z65" s="12"/>
    </row>
    <row r="66" spans="1:26" ht="15" customHeight="1" x14ac:dyDescent="0.35">
      <c r="A66" s="26" t="s">
        <v>1084</v>
      </c>
      <c r="B66" s="17" t="s">
        <v>1042</v>
      </c>
      <c r="C66" s="17">
        <v>20</v>
      </c>
      <c r="D66" s="17">
        <v>7.4</v>
      </c>
      <c r="E66" s="17">
        <v>11.4</v>
      </c>
      <c r="F66" s="17" t="s">
        <v>35</v>
      </c>
      <c r="G66" s="22">
        <v>114</v>
      </c>
      <c r="H66" s="17">
        <f>SQRT((4*(HSP!$B$2-$C66)^2+(HSP!$C$2-$D66)^2+(HSP!$D$2-$E66)^2))</f>
        <v>12.063996021219504</v>
      </c>
      <c r="I66" s="17">
        <f>SQRT((4*(HSP!$B$3-$C66)^2+(HSP!$C$3-$D66)^2+(HSP!$D$3-$E66)^2))</f>
        <v>10.514199922010235</v>
      </c>
      <c r="J66" s="17">
        <f>SQRT((4*(HSP!$B$4-$C66)^2+(HSP!$C$4-$D66)^2+(HSP!$D$4-$E66)^2))</f>
        <v>11.039655791735539</v>
      </c>
      <c r="K66" s="17">
        <f>SQRT((4*(HSP!$B$5-$C66)^2+(HSP!$C$5-$D66)^2+(HSP!$D$5-$E66)^2))</f>
        <v>10.863466297641835</v>
      </c>
      <c r="L66" s="17">
        <f>SQRT((4*(HSP!$B$6-$C66)^2+(HSP!$C$6-$D66)^2+(HSP!$D$6-$E66)^2))</f>
        <v>12.142281498960566</v>
      </c>
      <c r="M66" s="17" t="s">
        <v>35</v>
      </c>
      <c r="N66" s="17" t="s">
        <v>35</v>
      </c>
      <c r="O66" s="17" t="s">
        <v>35</v>
      </c>
      <c r="P66" s="17" t="s">
        <v>35</v>
      </c>
      <c r="Q66" s="17" t="s">
        <v>35</v>
      </c>
      <c r="R66" s="17">
        <f>$H66/HSP!$E$2</f>
        <v>0.74012245528954013</v>
      </c>
      <c r="S66" s="17">
        <f>$I66/HSP!$E$3</f>
        <v>0.77882962385261001</v>
      </c>
      <c r="T66" s="17">
        <f>$J66/HSP!$E$4</f>
        <v>0.69431797432298992</v>
      </c>
      <c r="U66" s="17">
        <f>$K66/HSP!$E$5</f>
        <v>0.7929537443534187</v>
      </c>
      <c r="V66" s="17">
        <f>$L66/HSP!$E$6</f>
        <v>0.8204244256054436</v>
      </c>
      <c r="W66" s="12"/>
      <c r="X66" s="12"/>
      <c r="Y66" s="12"/>
      <c r="Z66" s="12"/>
    </row>
    <row r="67" spans="1:26" ht="15" customHeight="1" x14ac:dyDescent="0.35">
      <c r="A67" s="26" t="s">
        <v>1084</v>
      </c>
      <c r="B67" s="17" t="s">
        <v>1043</v>
      </c>
      <c r="C67" s="17">
        <v>16.600000000000001</v>
      </c>
      <c r="D67" s="17">
        <v>0</v>
      </c>
      <c r="E67" s="17">
        <v>0</v>
      </c>
      <c r="F67" s="17" t="s">
        <v>35</v>
      </c>
      <c r="G67" s="22">
        <v>195.7</v>
      </c>
      <c r="H67" s="17">
        <f>SQRT((4*(HSP!$B$2-$C67)^2+(HSP!$C$2-$D67)^2+(HSP!$D$2-$E67)^2))</f>
        <v>13.19590845679069</v>
      </c>
      <c r="I67" s="17">
        <f>SQRT((4*(HSP!$B$3-$C67)^2+(HSP!$C$3-$D67)^2+(HSP!$D$3-$E67)^2))</f>
        <v>11.423677166306829</v>
      </c>
      <c r="J67" s="17">
        <f>SQRT((4*(HSP!$B$4-$C67)^2+(HSP!$C$4-$D67)^2+(HSP!$D$4-$E67)^2))</f>
        <v>8.73624633352334</v>
      </c>
      <c r="K67" s="17">
        <f>SQRT((4*(HSP!$B$5-$C67)^2+(HSP!$C$5-$D67)^2+(HSP!$D$5-$E67)^2))</f>
        <v>16.980544749801169</v>
      </c>
      <c r="L67" s="17">
        <f>SQRT((4*(HSP!$B$6-$C67)^2+(HSP!$C$6-$D67)^2+(HSP!$D$6-$E67)^2))</f>
        <v>7.9525467618870387</v>
      </c>
      <c r="M67" s="17" t="s">
        <v>35</v>
      </c>
      <c r="N67" s="17" t="s">
        <v>35</v>
      </c>
      <c r="O67" s="17" t="s">
        <v>35</v>
      </c>
      <c r="P67" s="17" t="s">
        <v>35</v>
      </c>
      <c r="Q67" s="17" t="s">
        <v>35</v>
      </c>
      <c r="R67" s="17">
        <f>$H67/HSP!$E$2</f>
        <v>0.8095649359994288</v>
      </c>
      <c r="S67" s="17">
        <f>$I67/HSP!$E$3</f>
        <v>0.84619830861532064</v>
      </c>
      <c r="T67" s="17">
        <f>$J67/HSP!$E$4</f>
        <v>0.54944945493857478</v>
      </c>
      <c r="U67" s="17">
        <f>$K67/HSP!$E$5</f>
        <v>1.2394558211533699</v>
      </c>
      <c r="V67" s="17">
        <f>$L67/HSP!$E$6</f>
        <v>0.53733424066804314</v>
      </c>
      <c r="W67" s="12"/>
      <c r="X67" s="12"/>
      <c r="Y67" s="12"/>
      <c r="Z67" s="12"/>
    </row>
    <row r="68" spans="1:26" ht="15" customHeight="1" x14ac:dyDescent="0.35">
      <c r="A68" s="26" t="s">
        <v>1084</v>
      </c>
      <c r="B68" s="17" t="s">
        <v>1030</v>
      </c>
      <c r="C68" s="17">
        <v>17.899999999999999</v>
      </c>
      <c r="D68" s="17">
        <v>4.5</v>
      </c>
      <c r="E68" s="17">
        <v>6.9</v>
      </c>
      <c r="F68" s="17" t="s">
        <v>35</v>
      </c>
      <c r="G68" s="22">
        <v>309.7</v>
      </c>
      <c r="H68" s="17">
        <f>SQRT((4*(HSP!$B$2-$C68)^2+(HSP!$C$2-$D68)^2+(HSP!$D$2-$E68)^2))</f>
        <v>8.8931434262582307</v>
      </c>
      <c r="I68" s="17">
        <f>SQRT((4*(HSP!$B$3-$C68)^2+(HSP!$C$3-$D68)^2+(HSP!$D$3-$E68)^2))</f>
        <v>6.8795639396694312</v>
      </c>
      <c r="J68" s="17">
        <f>SQRT((4*(HSP!$B$4-$C68)^2+(HSP!$C$4-$D68)^2+(HSP!$D$4-$E68)^2))</f>
        <v>5.4638814042766315</v>
      </c>
      <c r="K68" s="17">
        <f>SQRT((4*(HSP!$B$5-$C68)^2+(HSP!$C$5-$D68)^2+(HSP!$D$5-$E68)^2))</f>
        <v>10.558262167610728</v>
      </c>
      <c r="L68" s="17">
        <f>SQRT((4*(HSP!$B$6-$C68)^2+(HSP!$C$6-$D68)^2+(HSP!$D$6-$E68)^2))</f>
        <v>6.3792632803482867</v>
      </c>
      <c r="M68" s="17" t="s">
        <v>35</v>
      </c>
      <c r="N68" s="17" t="s">
        <v>35</v>
      </c>
      <c r="O68" s="17" t="s">
        <v>35</v>
      </c>
      <c r="P68" s="17" t="s">
        <v>35</v>
      </c>
      <c r="Q68" s="17" t="s">
        <v>35</v>
      </c>
      <c r="R68" s="17">
        <f>$H68/HSP!$E$2</f>
        <v>0.54559162124283622</v>
      </c>
      <c r="S68" s="17">
        <f>$I68/HSP!$E$3</f>
        <v>0.50959732886440234</v>
      </c>
      <c r="T68" s="17">
        <f>$J68/HSP!$E$4</f>
        <v>0.34364033989161202</v>
      </c>
      <c r="U68" s="17">
        <f>$K68/HSP!$E$5</f>
        <v>0.77067607062852028</v>
      </c>
      <c r="V68" s="17">
        <f>$L68/HSP!$E$6</f>
        <v>0.43103130272623558</v>
      </c>
      <c r="W68" s="12"/>
      <c r="X68" s="12"/>
      <c r="Y68" s="12"/>
      <c r="Z68" s="12"/>
    </row>
    <row r="69" spans="1:26" ht="15" customHeight="1" x14ac:dyDescent="0.35">
      <c r="A69" s="26" t="s">
        <v>1085</v>
      </c>
      <c r="B69" s="17" t="s">
        <v>1042</v>
      </c>
      <c r="C69" s="17">
        <v>20</v>
      </c>
      <c r="D69" s="17">
        <v>7.7</v>
      </c>
      <c r="E69" s="17">
        <v>10.199999999999999</v>
      </c>
      <c r="F69" s="17" t="s">
        <v>35</v>
      </c>
      <c r="G69" s="22">
        <v>112</v>
      </c>
      <c r="H69" s="17">
        <f>SQRT((4*(HSP!$B$2-$C69)^2+(HSP!$C$2-$D69)^2+(HSP!$D$2-$E69)^2))</f>
        <v>11.602844478833628</v>
      </c>
      <c r="I69" s="17">
        <f>SQRT((4*(HSP!$B$3-$C69)^2+(HSP!$C$3-$D69)^2+(HSP!$D$3-$E69)^2))</f>
        <v>9.8656170612891732</v>
      </c>
      <c r="J69" s="17">
        <f>SQRT((4*(HSP!$B$4-$C69)^2+(HSP!$C$4-$D69)^2+(HSP!$D$4-$E69)^2))</f>
        <v>10.676890933225833</v>
      </c>
      <c r="K69" s="17">
        <f>SQRT((4*(HSP!$B$5-$C69)^2+(HSP!$C$5-$D69)^2+(HSP!$D$5-$E69)^2))</f>
        <v>10.734286189588948</v>
      </c>
      <c r="L69" s="17">
        <f>SQRT((4*(HSP!$B$6-$C69)^2+(HSP!$C$6-$D69)^2+(HSP!$D$6-$E69)^2))</f>
        <v>11.46416154805924</v>
      </c>
      <c r="M69" s="17" t="s">
        <v>35</v>
      </c>
      <c r="N69" s="17" t="s">
        <v>35</v>
      </c>
      <c r="O69" s="17" t="s">
        <v>35</v>
      </c>
      <c r="P69" s="17" t="s">
        <v>35</v>
      </c>
      <c r="Q69" s="17" t="s">
        <v>35</v>
      </c>
      <c r="R69" s="17">
        <f>$H69/HSP!$E$2</f>
        <v>0.71183094962169491</v>
      </c>
      <c r="S69" s="17">
        <f>$I69/HSP!$E$3</f>
        <v>0.73078644898438316</v>
      </c>
      <c r="T69" s="17">
        <f>$J69/HSP!$E$4</f>
        <v>0.67150257441671901</v>
      </c>
      <c r="U69" s="17">
        <f>$K69/HSP!$E$5</f>
        <v>0.7835245393860546</v>
      </c>
      <c r="V69" s="17">
        <f>$L69/HSP!$E$6</f>
        <v>0.77460551000400268</v>
      </c>
      <c r="W69" s="12"/>
      <c r="X69" s="12"/>
      <c r="Y69" s="12"/>
      <c r="Z69" s="12"/>
    </row>
    <row r="70" spans="1:26" ht="15" customHeight="1" x14ac:dyDescent="0.35">
      <c r="A70" s="26" t="s">
        <v>1085</v>
      </c>
      <c r="B70" s="17" t="s">
        <v>1043</v>
      </c>
      <c r="C70" s="17">
        <v>16.600000000000001</v>
      </c>
      <c r="D70" s="17">
        <v>0</v>
      </c>
      <c r="E70" s="17">
        <v>0</v>
      </c>
      <c r="F70" s="17" t="s">
        <v>35</v>
      </c>
      <c r="G70" s="22">
        <v>195.7</v>
      </c>
      <c r="H70" s="17">
        <f>SQRT((4*(HSP!$B$2-$C70)^2+(HSP!$C$2-$D70)^2+(HSP!$D$2-$E70)^2))</f>
        <v>13.19590845679069</v>
      </c>
      <c r="I70" s="17">
        <f>SQRT((4*(HSP!$B$3-$C70)^2+(HSP!$C$3-$D70)^2+(HSP!$D$3-$E70)^2))</f>
        <v>11.423677166306829</v>
      </c>
      <c r="J70" s="17">
        <f>SQRT((4*(HSP!$B$4-$C70)^2+(HSP!$C$4-$D70)^2+(HSP!$D$4-$E70)^2))</f>
        <v>8.73624633352334</v>
      </c>
      <c r="K70" s="17">
        <f>SQRT((4*(HSP!$B$5-$C70)^2+(HSP!$C$5-$D70)^2+(HSP!$D$5-$E70)^2))</f>
        <v>16.980544749801169</v>
      </c>
      <c r="L70" s="17">
        <f>SQRT((4*(HSP!$B$6-$C70)^2+(HSP!$C$6-$D70)^2+(HSP!$D$6-$E70)^2))</f>
        <v>7.9525467618870387</v>
      </c>
      <c r="M70" s="17" t="s">
        <v>35</v>
      </c>
      <c r="N70" s="17" t="s">
        <v>35</v>
      </c>
      <c r="O70" s="17" t="s">
        <v>35</v>
      </c>
      <c r="P70" s="17" t="s">
        <v>35</v>
      </c>
      <c r="Q70" s="17" t="s">
        <v>35</v>
      </c>
      <c r="R70" s="17">
        <f>$H70/HSP!$E$2</f>
        <v>0.8095649359994288</v>
      </c>
      <c r="S70" s="17">
        <f>$I70/HSP!$E$3</f>
        <v>0.84619830861532064</v>
      </c>
      <c r="T70" s="17">
        <f>$J70/HSP!$E$4</f>
        <v>0.54944945493857478</v>
      </c>
      <c r="U70" s="17">
        <f>$K70/HSP!$E$5</f>
        <v>1.2394558211533699</v>
      </c>
      <c r="V70" s="17">
        <f>$L70/HSP!$E$6</f>
        <v>0.53733424066804314</v>
      </c>
      <c r="W70" s="12"/>
      <c r="X70" s="12"/>
      <c r="Y70" s="12"/>
      <c r="Z70" s="12"/>
    </row>
    <row r="71" spans="1:26" ht="15" customHeight="1" x14ac:dyDescent="0.35">
      <c r="A71" s="26" t="s">
        <v>1085</v>
      </c>
      <c r="B71" s="17" t="s">
        <v>1030</v>
      </c>
      <c r="C71" s="17">
        <v>17.899999999999999</v>
      </c>
      <c r="D71" s="17">
        <v>4.5999999999999996</v>
      </c>
      <c r="E71" s="17">
        <v>6.2</v>
      </c>
      <c r="F71" s="17" t="s">
        <v>35</v>
      </c>
      <c r="G71" s="22">
        <v>307.7</v>
      </c>
      <c r="H71" s="17">
        <f>SQRT((4*(HSP!$B$2-$C71)^2+(HSP!$C$2-$D71)^2+(HSP!$D$2-$E71)^2))</f>
        <v>8.8604740279513265</v>
      </c>
      <c r="I71" s="17">
        <f>SQRT((4*(HSP!$B$3-$C71)^2+(HSP!$C$3-$D71)^2+(HSP!$D$3-$E71)^2))</f>
        <v>6.7293684696262535</v>
      </c>
      <c r="J71" s="17">
        <f>SQRT((4*(HSP!$B$4-$C71)^2+(HSP!$C$4-$D71)^2+(HSP!$D$4-$E71)^2))</f>
        <v>5.4934506459965551</v>
      </c>
      <c r="K71" s="17">
        <f>SQRT((4*(HSP!$B$5-$C71)^2+(HSP!$C$5-$D71)^2+(HSP!$D$5-$E71)^2))</f>
        <v>10.769164312981765</v>
      </c>
      <c r="L71" s="17">
        <f>SQRT((4*(HSP!$B$6-$C71)^2+(HSP!$C$6-$D71)^2+(HSP!$D$6-$E71)^2))</f>
        <v>6.0447497880392023</v>
      </c>
      <c r="M71" s="17" t="s">
        <v>35</v>
      </c>
      <c r="N71" s="17" t="s">
        <v>35</v>
      </c>
      <c r="O71" s="17" t="s">
        <v>35</v>
      </c>
      <c r="P71" s="17" t="s">
        <v>35</v>
      </c>
      <c r="Q71" s="17" t="s">
        <v>35</v>
      </c>
      <c r="R71" s="17">
        <f>$H71/HSP!$E$2</f>
        <v>0.54358736367799543</v>
      </c>
      <c r="S71" s="17">
        <f>$I71/HSP!$E$3</f>
        <v>0.49847173849083359</v>
      </c>
      <c r="T71" s="17">
        <f>$J71/HSP!$E$4</f>
        <v>0.34550004062871414</v>
      </c>
      <c r="U71" s="17">
        <f>$K71/HSP!$E$5</f>
        <v>0.78607038780888794</v>
      </c>
      <c r="V71" s="17">
        <f>$L71/HSP!$E$6</f>
        <v>0.40842903973237848</v>
      </c>
      <c r="W71" s="12"/>
      <c r="X71" s="12"/>
      <c r="Y71" s="12"/>
      <c r="Z71" s="12"/>
    </row>
    <row r="72" spans="1:26" ht="15" customHeight="1" x14ac:dyDescent="0.35">
      <c r="A72" s="26" t="s">
        <v>1086</v>
      </c>
      <c r="B72" s="17" t="s">
        <v>1030</v>
      </c>
      <c r="C72" s="17">
        <v>17.3</v>
      </c>
      <c r="D72" s="17">
        <v>7.3</v>
      </c>
      <c r="E72" s="17">
        <v>4.9000000000000004</v>
      </c>
      <c r="F72" s="17" t="s">
        <v>35</v>
      </c>
      <c r="G72" s="22">
        <v>348.6</v>
      </c>
      <c r="H72" s="17">
        <f>SQRT((4*(HSP!$B$2-$C72)^2+(HSP!$C$2-$D72)^2+(HSP!$D$2-$E72)^2))</f>
        <v>6.5933299629246545</v>
      </c>
      <c r="I72" s="17">
        <f>SQRT((4*(HSP!$B$3-$C72)^2+(HSP!$C$3-$D72)^2+(HSP!$D$3-$E72)^2))</f>
        <v>4.0968768592673142</v>
      </c>
      <c r="J72" s="17">
        <f>SQRT((4*(HSP!$B$4-$C72)^2+(HSP!$C$4-$D72)^2+(HSP!$D$4-$E72)^2))</f>
        <v>5.3499532708239625</v>
      </c>
      <c r="K72" s="17">
        <f>SQRT((4*(HSP!$B$5-$C72)^2+(HSP!$C$5-$D72)^2+(HSP!$D$5-$E72)^2))</f>
        <v>9.0675740967471583</v>
      </c>
      <c r="L72" s="17">
        <f>SQRT((4*(HSP!$B$6-$C72)^2+(HSP!$C$6-$D72)^2+(HSP!$D$6-$E72)^2))</f>
        <v>4.2828728675971712</v>
      </c>
      <c r="M72" s="17" t="s">
        <v>35</v>
      </c>
      <c r="N72" s="17" t="s">
        <v>35</v>
      </c>
      <c r="O72" s="17" t="s">
        <v>35</v>
      </c>
      <c r="P72" s="17" t="s">
        <v>35</v>
      </c>
      <c r="Q72" s="17" t="s">
        <v>35</v>
      </c>
      <c r="R72" s="17">
        <f>$H72/HSP!$E$2</f>
        <v>0.40449877073157386</v>
      </c>
      <c r="S72" s="17">
        <f>$I72/HSP!$E$3</f>
        <v>0.30347235994572697</v>
      </c>
      <c r="T72" s="17">
        <f>$J72/HSP!$E$4</f>
        <v>0.3364750484794945</v>
      </c>
      <c r="U72" s="17">
        <f>$K72/HSP!$E$5</f>
        <v>0.66186672239030353</v>
      </c>
      <c r="V72" s="17">
        <f>$L72/HSP!$E$6</f>
        <v>0.2893833018646737</v>
      </c>
      <c r="W72" s="12"/>
      <c r="X72" s="12"/>
      <c r="Y72" s="12"/>
      <c r="Z72" s="12"/>
    </row>
    <row r="73" spans="1:26" ht="15" customHeight="1" x14ac:dyDescent="0.35">
      <c r="A73" s="26" t="s">
        <v>1087</v>
      </c>
      <c r="B73" s="17" t="s">
        <v>1030</v>
      </c>
      <c r="C73" s="17">
        <v>17.399999999999999</v>
      </c>
      <c r="D73" s="17">
        <v>7.2</v>
      </c>
      <c r="E73" s="17">
        <v>5.0999999999999996</v>
      </c>
      <c r="F73" s="17" t="s">
        <v>35</v>
      </c>
      <c r="G73" s="22">
        <v>392.6</v>
      </c>
      <c r="H73" s="17">
        <f>SQRT((4*(HSP!$B$2-$C73)^2+(HSP!$C$2-$D73)^2+(HSP!$D$2-$E73)^2))</f>
        <v>6.7469993330368707</v>
      </c>
      <c r="I73" s="17">
        <f>SQRT((4*(HSP!$B$3-$C73)^2+(HSP!$C$3-$D73)^2+(HSP!$D$3-$E73)^2))</f>
        <v>4.2739209164419485</v>
      </c>
      <c r="J73" s="17">
        <f>SQRT((4*(HSP!$B$4-$C73)^2+(HSP!$C$4-$D73)^2+(HSP!$D$4-$E73)^2))</f>
        <v>5.3974067847439455</v>
      </c>
      <c r="K73" s="17">
        <f>SQRT((4*(HSP!$B$5-$C73)^2+(HSP!$C$5-$D73)^2+(HSP!$D$5-$E73)^2))</f>
        <v>9.0888338085807252</v>
      </c>
      <c r="L73" s="17">
        <f>SQRT((4*(HSP!$B$6-$C73)^2+(HSP!$C$6-$D73)^2+(HSP!$D$6-$E73)^2))</f>
        <v>4.5058850406995496</v>
      </c>
      <c r="M73" s="17" t="s">
        <v>35</v>
      </c>
      <c r="N73" s="17" t="s">
        <v>35</v>
      </c>
      <c r="O73" s="17" t="s">
        <v>35</v>
      </c>
      <c r="P73" s="17" t="s">
        <v>35</v>
      </c>
      <c r="Q73" s="17" t="s">
        <v>35</v>
      </c>
      <c r="R73" s="17">
        <f>$H73/HSP!$E$2</f>
        <v>0.41392633945011476</v>
      </c>
      <c r="S73" s="17">
        <f>$I73/HSP!$E$3</f>
        <v>0.31658673455125547</v>
      </c>
      <c r="T73" s="17">
        <f>$J73/HSP!$E$4</f>
        <v>0.33945954621031105</v>
      </c>
      <c r="U73" s="17">
        <f>$K73/HSP!$E$5</f>
        <v>0.66341852617377561</v>
      </c>
      <c r="V73" s="17">
        <f>$L73/HSP!$E$6</f>
        <v>0.30445169193915872</v>
      </c>
      <c r="W73" s="12"/>
      <c r="X73" s="12"/>
      <c r="Y73" s="12"/>
      <c r="Z73" s="12"/>
    </row>
    <row r="74" spans="1:26" ht="15" customHeight="1" x14ac:dyDescent="0.35">
      <c r="A74" s="26" t="s">
        <v>1088</v>
      </c>
      <c r="B74" s="17" t="s">
        <v>1030</v>
      </c>
      <c r="C74" s="17">
        <v>17.7</v>
      </c>
      <c r="D74" s="17">
        <v>16.8</v>
      </c>
      <c r="E74" s="17">
        <v>16.8</v>
      </c>
      <c r="F74" s="17" t="s">
        <v>35</v>
      </c>
      <c r="G74" s="22">
        <v>291.3</v>
      </c>
      <c r="H74" s="17">
        <f>SQRT((4*(HSP!$B$2-$C74)^2+(HSP!$C$2-$D74)^2+(HSP!$D$2-$E74)^2))</f>
        <v>13.23132646411538</v>
      </c>
      <c r="I74" s="17">
        <f>SQRT((4*(HSP!$B$3-$C74)^2+(HSP!$C$3-$D74)^2+(HSP!$D$3-$E74)^2))</f>
        <v>13.700379556786009</v>
      </c>
      <c r="J74" s="17">
        <f>SQRT((4*(HSP!$B$4-$C74)^2+(HSP!$C$4-$D74)^2+(HSP!$D$4-$E74)^2))</f>
        <v>16.507513440854744</v>
      </c>
      <c r="K74" s="17">
        <f>SQRT((4*(HSP!$B$5-$C74)^2+(HSP!$C$5-$D74)^2+(HSP!$D$5-$E74)^2))</f>
        <v>8.644240857356996</v>
      </c>
      <c r="L74" s="17">
        <f>SQRT((4*(HSP!$B$6-$C74)^2+(HSP!$C$6-$D74)^2+(HSP!$D$6-$E74)^2))</f>
        <v>17.287538864743009</v>
      </c>
      <c r="M74" s="17" t="s">
        <v>35</v>
      </c>
      <c r="N74" s="17" t="s">
        <v>35</v>
      </c>
      <c r="O74" s="17" t="s">
        <v>35</v>
      </c>
      <c r="P74" s="17" t="s">
        <v>35</v>
      </c>
      <c r="Q74" s="17" t="s">
        <v>35</v>
      </c>
      <c r="R74" s="17">
        <f>$H74/HSP!$E$2</f>
        <v>0.8117378198843791</v>
      </c>
      <c r="S74" s="17">
        <f>$I74/HSP!$E$3</f>
        <v>1.014842930132297</v>
      </c>
      <c r="T74" s="17">
        <f>$J74/HSP!$E$4</f>
        <v>1.0382083925065877</v>
      </c>
      <c r="U74" s="17">
        <f>$K74/HSP!$E$5</f>
        <v>0.63096648593846694</v>
      </c>
      <c r="V74" s="17">
        <f>$L74/HSP!$E$6</f>
        <v>1.1680769503204735</v>
      </c>
      <c r="W74" s="12"/>
      <c r="X74" s="12"/>
      <c r="Y74" s="12"/>
      <c r="Z74" s="12"/>
    </row>
    <row r="75" spans="1:26" ht="15" customHeight="1" x14ac:dyDescent="0.35">
      <c r="A75" s="26" t="s">
        <v>1089</v>
      </c>
      <c r="B75" s="17" t="s">
        <v>1030</v>
      </c>
      <c r="C75" s="17">
        <v>17.100000000000001</v>
      </c>
      <c r="D75" s="17">
        <v>18.399999999999999</v>
      </c>
      <c r="E75" s="17">
        <v>18.399999999999999</v>
      </c>
      <c r="F75" s="17" t="s">
        <v>35</v>
      </c>
      <c r="G75" s="22">
        <v>241.2</v>
      </c>
      <c r="H75" s="17">
        <f>SQRT((4*(HSP!$B$2-$C75)^2+(HSP!$C$2-$D75)^2+(HSP!$D$2-$E75)^2))</f>
        <v>14.780392416982709</v>
      </c>
      <c r="I75" s="17">
        <f>SQRT((4*(HSP!$B$3-$C75)^2+(HSP!$C$3-$D75)^2+(HSP!$D$3-$E75)^2))</f>
        <v>15.57550641231289</v>
      </c>
      <c r="J75" s="17">
        <f>SQRT((4*(HSP!$B$4-$C75)^2+(HSP!$C$4-$D75)^2+(HSP!$D$4-$E75)^2))</f>
        <v>18.376561158171022</v>
      </c>
      <c r="K75" s="17">
        <f>SQRT((4*(HSP!$B$5-$C75)^2+(HSP!$C$5-$D75)^2+(HSP!$D$5-$E75)^2))</f>
        <v>10.072680874523922</v>
      </c>
      <c r="L75" s="17">
        <f>SQRT((4*(HSP!$B$6-$C75)^2+(HSP!$C$6-$D75)^2+(HSP!$D$6-$E75)^2))</f>
        <v>19.193201921513772</v>
      </c>
      <c r="M75" s="17" t="s">
        <v>35</v>
      </c>
      <c r="N75" s="17" t="s">
        <v>35</v>
      </c>
      <c r="O75" s="17" t="s">
        <v>35</v>
      </c>
      <c r="P75" s="17" t="s">
        <v>35</v>
      </c>
      <c r="Q75" s="17" t="s">
        <v>35</v>
      </c>
      <c r="R75" s="17">
        <f>$H75/HSP!$E$2</f>
        <v>0.90677254091918458</v>
      </c>
      <c r="S75" s="17">
        <f>$I75/HSP!$E$3</f>
        <v>1.1537412157268807</v>
      </c>
      <c r="T75" s="17">
        <f>$J75/HSP!$E$4</f>
        <v>1.1557585634069825</v>
      </c>
      <c r="U75" s="17">
        <f>$K75/HSP!$E$5</f>
        <v>0.73523218062218409</v>
      </c>
      <c r="V75" s="17">
        <f>$L75/HSP!$E$6</f>
        <v>1.2968379676698494</v>
      </c>
      <c r="W75" s="12"/>
      <c r="X75" s="12"/>
      <c r="Y75" s="12"/>
      <c r="Z75" s="12"/>
    </row>
    <row r="76" spans="1:26" ht="15" customHeight="1" x14ac:dyDescent="0.35">
      <c r="A76" s="26" t="s">
        <v>1090</v>
      </c>
      <c r="B76" s="17" t="s">
        <v>1042</v>
      </c>
      <c r="C76" s="17">
        <v>20</v>
      </c>
      <c r="D76" s="17">
        <v>7.4</v>
      </c>
      <c r="E76" s="17">
        <v>11.4</v>
      </c>
      <c r="F76" s="17" t="s">
        <v>35</v>
      </c>
      <c r="G76" s="22">
        <v>114</v>
      </c>
      <c r="H76" s="17">
        <f>SQRT((4*(HSP!$B$2-$C76)^2+(HSP!$C$2-$D76)^2+(HSP!$D$2-$E76)^2))</f>
        <v>12.063996021219504</v>
      </c>
      <c r="I76" s="17">
        <f>SQRT((4*(HSP!$B$3-$C76)^2+(HSP!$C$3-$D76)^2+(HSP!$D$3-$E76)^2))</f>
        <v>10.514199922010235</v>
      </c>
      <c r="J76" s="17">
        <f>SQRT((4*(HSP!$B$4-$C76)^2+(HSP!$C$4-$D76)^2+(HSP!$D$4-$E76)^2))</f>
        <v>11.039655791735539</v>
      </c>
      <c r="K76" s="17">
        <f>SQRT((4*(HSP!$B$5-$C76)^2+(HSP!$C$5-$D76)^2+(HSP!$D$5-$E76)^2))</f>
        <v>10.863466297641835</v>
      </c>
      <c r="L76" s="17">
        <f>SQRT((4*(HSP!$B$6-$C76)^2+(HSP!$C$6-$D76)^2+(HSP!$D$6-$E76)^2))</f>
        <v>12.142281498960566</v>
      </c>
      <c r="M76" s="17" t="s">
        <v>35</v>
      </c>
      <c r="N76" s="17" t="s">
        <v>35</v>
      </c>
      <c r="O76" s="17" t="s">
        <v>35</v>
      </c>
      <c r="P76" s="17" t="s">
        <v>35</v>
      </c>
      <c r="Q76" s="17" t="s">
        <v>35</v>
      </c>
      <c r="R76" s="17">
        <f>$H76/HSP!$E$2</f>
        <v>0.74012245528954013</v>
      </c>
      <c r="S76" s="17">
        <f>$I76/HSP!$E$3</f>
        <v>0.77882962385261001</v>
      </c>
      <c r="T76" s="17">
        <f>$J76/HSP!$E$4</f>
        <v>0.69431797432298992</v>
      </c>
      <c r="U76" s="17">
        <f>$K76/HSP!$E$5</f>
        <v>0.7929537443534187</v>
      </c>
      <c r="V76" s="17">
        <f>$L76/HSP!$E$6</f>
        <v>0.8204244256054436</v>
      </c>
      <c r="W76" s="12"/>
      <c r="X76" s="12"/>
      <c r="Y76" s="12"/>
      <c r="Z76" s="12"/>
    </row>
    <row r="77" spans="1:26" ht="15" customHeight="1" x14ac:dyDescent="0.35">
      <c r="A77" s="26" t="s">
        <v>1090</v>
      </c>
      <c r="B77" s="17" t="s">
        <v>1043</v>
      </c>
      <c r="C77" s="17">
        <v>16.8</v>
      </c>
      <c r="D77" s="17">
        <v>0</v>
      </c>
      <c r="E77" s="17">
        <v>0</v>
      </c>
      <c r="F77" s="17" t="s">
        <v>35</v>
      </c>
      <c r="G77" s="22">
        <v>293.2</v>
      </c>
      <c r="H77" s="17">
        <f>SQRT((4*(HSP!$B$2-$C77)^2+(HSP!$C$2-$D77)^2+(HSP!$D$2-$E77)^2))</f>
        <v>13.322612356441212</v>
      </c>
      <c r="I77" s="17">
        <f>SQRT((4*(HSP!$B$3-$C77)^2+(HSP!$C$3-$D77)^2+(HSP!$D$3-$E77)^2))</f>
        <v>11.494189836608756</v>
      </c>
      <c r="J77" s="17">
        <f>SQRT((4*(HSP!$B$4-$C77)^2+(HSP!$C$4-$D77)^2+(HSP!$D$4-$E77)^2))</f>
        <v>8.8752464754506963</v>
      </c>
      <c r="K77" s="17">
        <f>SQRT((4*(HSP!$B$5-$C77)^2+(HSP!$C$5-$D77)^2+(HSP!$D$5-$E77)^2))</f>
        <v>17.04778284704495</v>
      </c>
      <c r="L77" s="17">
        <f>SQRT((4*(HSP!$B$6-$C77)^2+(HSP!$C$6-$D77)^2+(HSP!$D$6-$E77)^2))</f>
        <v>8.0951219879628749</v>
      </c>
      <c r="M77" s="17" t="s">
        <v>35</v>
      </c>
      <c r="N77" s="17" t="s">
        <v>35</v>
      </c>
      <c r="O77" s="17" t="s">
        <v>35</v>
      </c>
      <c r="P77" s="17" t="s">
        <v>35</v>
      </c>
      <c r="Q77" s="17" t="s">
        <v>35</v>
      </c>
      <c r="R77" s="17">
        <f>$H77/HSP!$E$2</f>
        <v>0.8173381813767614</v>
      </c>
      <c r="S77" s="17">
        <f>$I77/HSP!$E$3</f>
        <v>0.85142146937842633</v>
      </c>
      <c r="T77" s="17">
        <f>$J77/HSP!$E$4</f>
        <v>0.55819160222960351</v>
      </c>
      <c r="U77" s="17">
        <f>$K77/HSP!$E$5</f>
        <v>1.244363711463135</v>
      </c>
      <c r="V77" s="17">
        <f>$L77/HSP!$E$6</f>
        <v>0.54696770188938337</v>
      </c>
      <c r="W77" s="12"/>
      <c r="X77" s="12"/>
      <c r="Y77" s="12"/>
      <c r="Z77" s="12"/>
    </row>
    <row r="78" spans="1:26" ht="15" customHeight="1" x14ac:dyDescent="0.35">
      <c r="A78" s="26" t="s">
        <v>1090</v>
      </c>
      <c r="B78" s="17" t="s">
        <v>1030</v>
      </c>
      <c r="C78" s="17">
        <v>17.8</v>
      </c>
      <c r="D78" s="17">
        <v>3.9</v>
      </c>
      <c r="E78" s="17">
        <v>6</v>
      </c>
      <c r="F78" s="17" t="s">
        <v>35</v>
      </c>
      <c r="G78" s="22">
        <v>407.2</v>
      </c>
      <c r="H78" s="17">
        <f>SQRT((4*(HSP!$B$2-$C78)^2+(HSP!$C$2-$D78)^2+(HSP!$D$2-$E78)^2))</f>
        <v>9.2170494194183448</v>
      </c>
      <c r="I78" s="17">
        <f>SQRT((4*(HSP!$B$3-$C78)^2+(HSP!$C$3-$D78)^2+(HSP!$D$3-$E78)^2))</f>
        <v>7.142716570045323</v>
      </c>
      <c r="J78" s="17">
        <f>SQRT((4*(HSP!$B$4-$C78)^2+(HSP!$C$4-$D78)^2+(HSP!$D$4-$E78)^2))</f>
        <v>5.3773599470372089</v>
      </c>
      <c r="K78" s="17">
        <f>SQRT((4*(HSP!$B$5-$C78)^2+(HSP!$C$5-$D78)^2+(HSP!$D$5-$E78)^2))</f>
        <v>11.300482290592734</v>
      </c>
      <c r="L78" s="17">
        <f>SQRT((4*(HSP!$B$6-$C78)^2+(HSP!$C$6-$D78)^2+(HSP!$D$6-$E78)^2))</f>
        <v>6.0520244546763049</v>
      </c>
      <c r="M78" s="17" t="s">
        <v>35</v>
      </c>
      <c r="N78" s="17" t="s">
        <v>35</v>
      </c>
      <c r="O78" s="17" t="s">
        <v>35</v>
      </c>
      <c r="P78" s="17" t="s">
        <v>35</v>
      </c>
      <c r="Q78" s="17" t="s">
        <v>35</v>
      </c>
      <c r="R78" s="17">
        <f>$H78/HSP!$E$2</f>
        <v>0.56546315456554264</v>
      </c>
      <c r="S78" s="17">
        <f>$I78/HSP!$E$3</f>
        <v>0.52909011629965352</v>
      </c>
      <c r="T78" s="17">
        <f>$J78/HSP!$E$4</f>
        <v>0.33819873880737161</v>
      </c>
      <c r="U78" s="17">
        <f>$K78/HSP!$E$5</f>
        <v>0.82485272194107551</v>
      </c>
      <c r="V78" s="17">
        <f>$L78/HSP!$E$6</f>
        <v>0.40892057126191245</v>
      </c>
      <c r="W78" s="12"/>
      <c r="X78" s="12"/>
      <c r="Y78" s="12"/>
      <c r="Z78" s="12"/>
    </row>
    <row r="79" spans="1:26" ht="15" customHeight="1" x14ac:dyDescent="0.35">
      <c r="A79" s="26" t="s">
        <v>1091</v>
      </c>
      <c r="B79" s="17" t="s">
        <v>1030</v>
      </c>
      <c r="C79" s="17">
        <v>16.7</v>
      </c>
      <c r="D79" s="17">
        <v>6.8</v>
      </c>
      <c r="E79" s="17">
        <v>13.7</v>
      </c>
      <c r="F79" s="17" t="s">
        <v>35</v>
      </c>
      <c r="G79" s="22">
        <v>346.5</v>
      </c>
      <c r="H79" s="17">
        <f>SQRT((4*(HSP!$B$2-$C79)^2+(HSP!$C$2-$D79)^2+(HSP!$D$2-$E79)^2))</f>
        <v>8.7289174586543083</v>
      </c>
      <c r="I79" s="17">
        <f>SQRT((4*(HSP!$B$3-$C79)^2+(HSP!$C$3-$D79)^2+(HSP!$D$3-$E79)^2))</f>
        <v>8.6228997442855597</v>
      </c>
      <c r="J79" s="17">
        <f>SQRT((4*(HSP!$B$4-$C79)^2+(HSP!$C$4-$D79)^2+(HSP!$D$4-$E79)^2))</f>
        <v>7.8401530597304019</v>
      </c>
      <c r="K79" s="17">
        <f>SQRT((4*(HSP!$B$5-$C79)^2+(HSP!$C$5-$D79)^2+(HSP!$D$5-$E79)^2))</f>
        <v>7.1343465012571414</v>
      </c>
      <c r="L79" s="17">
        <f>SQRT((4*(HSP!$B$6-$C79)^2+(HSP!$C$6-$D79)^2+(HSP!$D$6-$E79)^2))</f>
        <v>10.263478942346985</v>
      </c>
      <c r="M79" s="17" t="s">
        <v>35</v>
      </c>
      <c r="N79" s="17" t="s">
        <v>35</v>
      </c>
      <c r="O79" s="17" t="s">
        <v>35</v>
      </c>
      <c r="P79" s="17" t="s">
        <v>35</v>
      </c>
      <c r="Q79" s="17" t="s">
        <v>35</v>
      </c>
      <c r="R79" s="17">
        <f>$H79/HSP!$E$2</f>
        <v>0.53551640850639926</v>
      </c>
      <c r="S79" s="17">
        <f>$I79/HSP!$E$3</f>
        <v>0.63873331439152292</v>
      </c>
      <c r="T79" s="17">
        <f>$J79/HSP!$E$4</f>
        <v>0.49309138740442776</v>
      </c>
      <c r="U79" s="17">
        <f>$K79/HSP!$E$5</f>
        <v>0.52075521906986433</v>
      </c>
      <c r="V79" s="17">
        <f>$L79/HSP!$E$6</f>
        <v>0.69347830691533685</v>
      </c>
      <c r="W79" s="12"/>
      <c r="X79" s="12"/>
      <c r="Y79" s="12"/>
      <c r="Z79" s="12"/>
    </row>
    <row r="80" spans="1:26" ht="15" customHeight="1" x14ac:dyDescent="0.35">
      <c r="A80" s="26" t="s">
        <v>1092</v>
      </c>
      <c r="B80" s="17" t="s">
        <v>1030</v>
      </c>
      <c r="C80" s="17">
        <v>16.7</v>
      </c>
      <c r="D80" s="17">
        <v>6.1</v>
      </c>
      <c r="E80" s="17">
        <v>12.4</v>
      </c>
      <c r="F80" s="17" t="s">
        <v>35</v>
      </c>
      <c r="G80" s="22">
        <v>428.6</v>
      </c>
      <c r="H80" s="17">
        <f>SQRT((4*(HSP!$B$2-$C80)^2+(HSP!$C$2-$D80)^2+(HSP!$D$2-$E80)^2))</f>
        <v>8.1256384364553167</v>
      </c>
      <c r="I80" s="17">
        <f>SQRT((4*(HSP!$B$3-$C80)^2+(HSP!$C$3-$D80)^2+(HSP!$D$3-$E80)^2))</f>
        <v>7.7492193155181761</v>
      </c>
      <c r="J80" s="17">
        <f>SQRT((4*(HSP!$B$4-$C80)^2+(HSP!$C$4-$D80)^2+(HSP!$D$4-$E80)^2))</f>
        <v>6.5375836514724606</v>
      </c>
      <c r="K80" s="17">
        <f>SQRT((4*(HSP!$B$5-$C80)^2+(HSP!$C$5-$D80)^2+(HSP!$D$5-$E80)^2))</f>
        <v>7.3596806995956019</v>
      </c>
      <c r="L80" s="17">
        <f>SQRT((4*(HSP!$B$6-$C80)^2+(HSP!$C$6-$D80)^2+(HSP!$D$6-$E80)^2))</f>
        <v>9.0216960711387308</v>
      </c>
      <c r="M80" s="17" t="s">
        <v>35</v>
      </c>
      <c r="N80" s="17" t="s">
        <v>35</v>
      </c>
      <c r="O80" s="17" t="s">
        <v>35</v>
      </c>
      <c r="P80" s="17" t="s">
        <v>35</v>
      </c>
      <c r="Q80" s="17" t="s">
        <v>35</v>
      </c>
      <c r="R80" s="17">
        <f>$H80/HSP!$E$2</f>
        <v>0.49850542554940591</v>
      </c>
      <c r="S80" s="17">
        <f>$I80/HSP!$E$3</f>
        <v>0.57401624559393893</v>
      </c>
      <c r="T80" s="17">
        <f>$J80/HSP!$E$4</f>
        <v>0.41116878311147548</v>
      </c>
      <c r="U80" s="17">
        <f>$K80/HSP!$E$5</f>
        <v>0.53720297077340162</v>
      </c>
      <c r="V80" s="17">
        <f>$L80/HSP!$E$6</f>
        <v>0.60957405886072502</v>
      </c>
      <c r="W80" s="12"/>
      <c r="X80" s="12"/>
      <c r="Y80" s="12"/>
      <c r="Z80" s="12"/>
    </row>
    <row r="81" spans="1:26" ht="15" customHeight="1" x14ac:dyDescent="0.35">
      <c r="A81" s="26" t="s">
        <v>1093</v>
      </c>
      <c r="B81" s="17" t="s">
        <v>1030</v>
      </c>
      <c r="C81" s="17">
        <v>17.100000000000001</v>
      </c>
      <c r="D81" s="17">
        <v>6.3</v>
      </c>
      <c r="E81" s="17">
        <v>12.7</v>
      </c>
      <c r="F81" s="17" t="s">
        <v>35</v>
      </c>
      <c r="G81" s="22">
        <v>403</v>
      </c>
      <c r="H81" s="17">
        <f>SQRT((4*(HSP!$B$2-$C81)^2+(HSP!$C$2-$D81)^2+(HSP!$D$2-$E81)^2))</f>
        <v>8.6616395676569251</v>
      </c>
      <c r="I81" s="17">
        <f>SQRT((4*(HSP!$B$3-$C81)^2+(HSP!$C$3-$D81)^2+(HSP!$D$3-$E81)^2))</f>
        <v>8.1594362550362511</v>
      </c>
      <c r="J81" s="17">
        <f>SQRT((4*(HSP!$B$4-$C81)^2+(HSP!$C$4-$D81)^2+(HSP!$D$4-$E81)^2))</f>
        <v>7.2342242154912517</v>
      </c>
      <c r="K81" s="17">
        <f>SQRT((4*(HSP!$B$5-$C81)^2+(HSP!$C$5-$D81)^2+(HSP!$D$5-$E81)^2))</f>
        <v>7.5990065140122125</v>
      </c>
      <c r="L81" s="17">
        <f>SQRT((4*(HSP!$B$6-$C81)^2+(HSP!$C$6-$D81)^2+(HSP!$D$6-$E81)^2))</f>
        <v>9.5778390047024704</v>
      </c>
      <c r="M81" s="17" t="s">
        <v>35</v>
      </c>
      <c r="N81" s="17" t="s">
        <v>35</v>
      </c>
      <c r="O81" s="17" t="s">
        <v>35</v>
      </c>
      <c r="P81" s="17" t="s">
        <v>35</v>
      </c>
      <c r="Q81" s="17" t="s">
        <v>35</v>
      </c>
      <c r="R81" s="17">
        <f>$H81/HSP!$E$2</f>
        <v>0.5313889305310997</v>
      </c>
      <c r="S81" s="17">
        <f>$I81/HSP!$E$3</f>
        <v>0.60440268555824084</v>
      </c>
      <c r="T81" s="17">
        <f>$J81/HSP!$E$4</f>
        <v>0.45498265506234287</v>
      </c>
      <c r="U81" s="17">
        <f>$K81/HSP!$E$5</f>
        <v>0.55467200832205932</v>
      </c>
      <c r="V81" s="17">
        <f>$L81/HSP!$E$6</f>
        <v>0.64715128410151823</v>
      </c>
      <c r="W81" s="12"/>
      <c r="X81" s="12"/>
      <c r="Y81" s="12"/>
      <c r="Z81" s="12"/>
    </row>
    <row r="82" spans="1:26" ht="15" customHeight="1" x14ac:dyDescent="0.35">
      <c r="A82" s="26" t="s">
        <v>1094</v>
      </c>
      <c r="B82" s="17" t="s">
        <v>1030</v>
      </c>
      <c r="C82" s="17">
        <v>17.100000000000001</v>
      </c>
      <c r="D82" s="17">
        <v>6.1</v>
      </c>
      <c r="E82" s="17">
        <v>12.3</v>
      </c>
      <c r="F82" s="17" t="s">
        <v>35</v>
      </c>
      <c r="G82" s="22">
        <v>430.7</v>
      </c>
      <c r="H82" s="17">
        <f>SQRT((4*(HSP!$B$2-$C82)^2+(HSP!$C$2-$D82)^2+(HSP!$D$2-$E82)^2))</f>
        <v>8.5036462767450569</v>
      </c>
      <c r="I82" s="17">
        <f>SQRT((4*(HSP!$B$3-$C82)^2+(HSP!$C$3-$D82)^2+(HSP!$D$3-$E82)^2))</f>
        <v>7.9130525083560537</v>
      </c>
      <c r="J82" s="17">
        <f>SQRT((4*(HSP!$B$4-$C82)^2+(HSP!$C$4-$D82)^2+(HSP!$D$4-$E82)^2))</f>
        <v>6.8677507234901904</v>
      </c>
      <c r="K82" s="17">
        <f>SQRT((4*(HSP!$B$5-$C82)^2+(HSP!$C$5-$D82)^2+(HSP!$D$5-$E82)^2))</f>
        <v>7.6874508128507753</v>
      </c>
      <c r="L82" s="17">
        <f>SQRT((4*(HSP!$B$6-$C82)^2+(HSP!$C$6-$D82)^2+(HSP!$D$6-$E82)^2))</f>
        <v>9.2144994438113699</v>
      </c>
      <c r="M82" s="17" t="s">
        <v>35</v>
      </c>
      <c r="N82" s="17" t="s">
        <v>35</v>
      </c>
      <c r="O82" s="17" t="s">
        <v>35</v>
      </c>
      <c r="P82" s="17" t="s">
        <v>35</v>
      </c>
      <c r="Q82" s="17" t="s">
        <v>35</v>
      </c>
      <c r="R82" s="17">
        <f>$H82/HSP!$E$2</f>
        <v>0.52169609059785627</v>
      </c>
      <c r="S82" s="17">
        <f>$I82/HSP!$E$3</f>
        <v>0.58615203765600399</v>
      </c>
      <c r="T82" s="17">
        <f>$J82/HSP!$E$4</f>
        <v>0.43193400776667862</v>
      </c>
      <c r="U82" s="17">
        <f>$K82/HSP!$E$5</f>
        <v>0.5611277965584508</v>
      </c>
      <c r="V82" s="17">
        <f>$L82/HSP!$E$6</f>
        <v>0.62260131377103844</v>
      </c>
      <c r="W82" s="12"/>
      <c r="X82" s="12"/>
      <c r="Y82" s="12"/>
      <c r="Z82" s="12"/>
    </row>
    <row r="83" spans="1:26" ht="15" customHeight="1" x14ac:dyDescent="0.35">
      <c r="A83" s="26" t="s">
        <v>1095</v>
      </c>
      <c r="B83" s="17" t="s">
        <v>1030</v>
      </c>
      <c r="C83" s="17">
        <v>16.3</v>
      </c>
      <c r="D83" s="17">
        <v>2.8</v>
      </c>
      <c r="E83" s="17">
        <v>4.9000000000000004</v>
      </c>
      <c r="F83" s="17" t="s">
        <v>35</v>
      </c>
      <c r="G83" s="22">
        <v>1007.9</v>
      </c>
      <c r="H83" s="17">
        <f>SQRT((4*(HSP!$B$2-$C83)^2+(HSP!$C$2-$D83)^2+(HSP!$D$2-$E83)^2))</f>
        <v>8.634929067456202</v>
      </c>
      <c r="I83" s="17">
        <f>SQRT((4*(HSP!$B$3-$C83)^2+(HSP!$C$3-$D83)^2+(HSP!$D$3-$E83)^2))</f>
        <v>7.0281149677562906</v>
      </c>
      <c r="J83" s="17">
        <f>SQRT((4*(HSP!$B$4-$C83)^2+(HSP!$C$4-$D83)^2+(HSP!$D$4-$E83)^2))</f>
        <v>3.5002857026248591</v>
      </c>
      <c r="K83" s="17">
        <f>SQRT((4*(HSP!$B$5-$C83)^2+(HSP!$C$5-$D83)^2+(HSP!$D$5-$E83)^2))</f>
        <v>11.79028837645628</v>
      </c>
      <c r="L83" s="17">
        <f>SQRT((4*(HSP!$B$6-$C83)^2+(HSP!$C$6-$D83)^2+(HSP!$D$6-$E83)^2))</f>
        <v>4.3038354987150713</v>
      </c>
      <c r="M83" s="17" t="s">
        <v>35</v>
      </c>
      <c r="N83" s="17" t="s">
        <v>35</v>
      </c>
      <c r="O83" s="17" t="s">
        <v>35</v>
      </c>
      <c r="P83" s="17" t="s">
        <v>35</v>
      </c>
      <c r="Q83" s="17" t="s">
        <v>35</v>
      </c>
      <c r="R83" s="17">
        <f>$H83/HSP!$E$2</f>
        <v>0.5297502495371903</v>
      </c>
      <c r="S83" s="17">
        <f>$I83/HSP!$E$3</f>
        <v>0.52060110872268817</v>
      </c>
      <c r="T83" s="17">
        <f>$J83/HSP!$E$4</f>
        <v>0.22014375488206661</v>
      </c>
      <c r="U83" s="17">
        <f>$K83/HSP!$E$5</f>
        <v>0.86060499098221022</v>
      </c>
      <c r="V83" s="17">
        <f>$L83/HSP!$E$6</f>
        <v>0.29079969585912641</v>
      </c>
      <c r="W83" s="12"/>
      <c r="X83" s="12"/>
      <c r="Y83" s="12"/>
      <c r="Z83" s="12"/>
    </row>
    <row r="84" spans="1:26" ht="15" customHeight="1" x14ac:dyDescent="0.35">
      <c r="A84" s="26" t="s">
        <v>1096</v>
      </c>
      <c r="B84" s="17" t="s">
        <v>1030</v>
      </c>
      <c r="C84" s="17">
        <v>16.8</v>
      </c>
      <c r="D84" s="17">
        <v>2.7</v>
      </c>
      <c r="E84" s="17">
        <v>1.8</v>
      </c>
      <c r="F84" s="17" t="s">
        <v>35</v>
      </c>
      <c r="G84" s="22">
        <v>1036.0999999999999</v>
      </c>
      <c r="H84" s="17">
        <f>SQRT((4*(HSP!$B$2-$C84)^2+(HSP!$C$2-$D84)^2+(HSP!$D$2-$E84)^2))</f>
        <v>10.315522284402281</v>
      </c>
      <c r="I84" s="17">
        <f>SQRT((4*(HSP!$B$3-$C84)^2+(HSP!$C$3-$D84)^2+(HSP!$D$3-$E84)^2))</f>
        <v>8.3384890717683398</v>
      </c>
      <c r="J84" s="17">
        <f>SQRT((4*(HSP!$B$4-$C84)^2+(HSP!$C$4-$D84)^2+(HSP!$D$4-$E84)^2))</f>
        <v>6.2887200605528637</v>
      </c>
      <c r="K84" s="17">
        <f>SQRT((4*(HSP!$B$5-$C84)^2+(HSP!$C$5-$D84)^2+(HSP!$D$5-$E84)^2))</f>
        <v>13.896794594437957</v>
      </c>
      <c r="L84" s="17">
        <f>SQRT((4*(HSP!$B$6-$C84)^2+(HSP!$C$6-$D84)^2+(HSP!$D$6-$E84)^2))</f>
        <v>5.2420415870155033</v>
      </c>
      <c r="M84" s="17" t="s">
        <v>35</v>
      </c>
      <c r="N84" s="17" t="s">
        <v>35</v>
      </c>
      <c r="O84" s="17" t="s">
        <v>35</v>
      </c>
      <c r="P84" s="17" t="s">
        <v>35</v>
      </c>
      <c r="Q84" s="17" t="s">
        <v>35</v>
      </c>
      <c r="R84" s="17">
        <f>$H84/HSP!$E$2</f>
        <v>0.63285412787744055</v>
      </c>
      <c r="S84" s="17">
        <f>$I84/HSP!$E$3</f>
        <v>0.61766585716802513</v>
      </c>
      <c r="T84" s="17">
        <f>$J84/HSP!$E$4</f>
        <v>0.39551698494043169</v>
      </c>
      <c r="U84" s="17">
        <f>$K84/HSP!$E$5</f>
        <v>1.0143645689370773</v>
      </c>
      <c r="V84" s="17">
        <f>$L84/HSP!$E$6</f>
        <v>0.35419199912266913</v>
      </c>
      <c r="W84" s="12"/>
      <c r="X84" s="12"/>
      <c r="Y84" s="12"/>
      <c r="Z84" s="12"/>
    </row>
    <row r="85" spans="1:26" ht="15" customHeight="1" x14ac:dyDescent="0.35">
      <c r="A85" s="26" t="s">
        <v>1097</v>
      </c>
      <c r="B85" s="17" t="s">
        <v>1030</v>
      </c>
      <c r="C85" s="17">
        <v>16.7</v>
      </c>
      <c r="D85" s="17">
        <v>4.5999999999999996</v>
      </c>
      <c r="E85" s="17">
        <v>6.6</v>
      </c>
      <c r="F85" s="17" t="s">
        <v>35</v>
      </c>
      <c r="G85" s="22">
        <v>436.4</v>
      </c>
      <c r="H85" s="17">
        <f>SQRT((4*(HSP!$B$2-$C85)^2+(HSP!$C$2-$D85)^2+(HSP!$D$2-$E85)^2))</f>
        <v>7.2196952844285613</v>
      </c>
      <c r="I85" s="17">
        <f>SQRT((4*(HSP!$B$3-$C85)^2+(HSP!$C$3-$D85)^2+(HSP!$D$3-$E85)^2))</f>
        <v>5.5038531957166157</v>
      </c>
      <c r="J85" s="17">
        <f>SQRT((4*(HSP!$B$4-$C85)^2+(HSP!$C$4-$D85)^2+(HSP!$D$4-$E85)^2))</f>
        <v>3.0675723300355924</v>
      </c>
      <c r="K85" s="17">
        <f>SQRT((4*(HSP!$B$5-$C85)^2+(HSP!$C$5-$D85)^2+(HSP!$D$5-$E85)^2))</f>
        <v>9.6365398354388585</v>
      </c>
      <c r="L85" s="17">
        <f>SQRT((4*(HSP!$B$6-$C85)^2+(HSP!$C$6-$D85)^2+(HSP!$D$6-$E85)^2))</f>
        <v>4.3693248906438615</v>
      </c>
      <c r="M85" s="17" t="s">
        <v>35</v>
      </c>
      <c r="N85" s="17" t="s">
        <v>35</v>
      </c>
      <c r="O85" s="17" t="s">
        <v>35</v>
      </c>
      <c r="P85" s="17" t="s">
        <v>35</v>
      </c>
      <c r="Q85" s="17" t="s">
        <v>35</v>
      </c>
      <c r="R85" s="17">
        <f>$H85/HSP!$E$2</f>
        <v>0.44292609106923686</v>
      </c>
      <c r="S85" s="17">
        <f>$I85/HSP!$E$3</f>
        <v>0.40769282931234191</v>
      </c>
      <c r="T85" s="17">
        <f>$J85/HSP!$E$4</f>
        <v>0.19292907736072906</v>
      </c>
      <c r="U85" s="17">
        <f>$K85/HSP!$E$5</f>
        <v>0.70339706828020865</v>
      </c>
      <c r="V85" s="17">
        <f>$L85/HSP!$E$6</f>
        <v>0.2952246547732339</v>
      </c>
      <c r="W85" s="12"/>
      <c r="X85" s="12"/>
      <c r="Y85" s="12"/>
      <c r="Z85" s="12"/>
    </row>
    <row r="86" spans="1:26" ht="15" customHeight="1" x14ac:dyDescent="0.35">
      <c r="A86" s="26" t="s">
        <v>1098</v>
      </c>
      <c r="B86" s="17" t="s">
        <v>1030</v>
      </c>
      <c r="C86" s="17">
        <v>16.8</v>
      </c>
      <c r="D86" s="17">
        <v>6.2</v>
      </c>
      <c r="E86" s="17">
        <v>7.1</v>
      </c>
      <c r="F86" s="17" t="s">
        <v>35</v>
      </c>
      <c r="G86" s="22">
        <v>1123.3</v>
      </c>
      <c r="H86" s="17">
        <f>SQRT((4*(HSP!$B$2-$C86)^2+(HSP!$C$2-$D86)^2+(HSP!$D$2-$E86)^2))</f>
        <v>6.1255203860570102</v>
      </c>
      <c r="I86" s="17">
        <f>SQRT((4*(HSP!$B$3-$C86)^2+(HSP!$C$3-$D86)^2+(HSP!$D$3-$E86)^2))</f>
        <v>4.3056242288430155</v>
      </c>
      <c r="J86" s="17">
        <f>SQRT((4*(HSP!$B$4-$C86)^2+(HSP!$C$4-$D86)^2+(HSP!$D$4-$E86)^2))</f>
        <v>3.6094320882931168</v>
      </c>
      <c r="K86" s="17">
        <f>SQRT((4*(HSP!$B$5-$C86)^2+(HSP!$C$5-$D86)^2+(HSP!$D$5-$E86)^2))</f>
        <v>8.1573831588322498</v>
      </c>
      <c r="L86" s="17">
        <f>SQRT((4*(HSP!$B$6-$C86)^2+(HSP!$C$6-$D86)^2+(HSP!$D$6-$E86)^2))</f>
        <v>4.469787466983191</v>
      </c>
      <c r="M86" s="17" t="s">
        <v>35</v>
      </c>
      <c r="N86" s="17" t="s">
        <v>35</v>
      </c>
      <c r="O86" s="17" t="s">
        <v>35</v>
      </c>
      <c r="P86" s="17" t="s">
        <v>35</v>
      </c>
      <c r="Q86" s="17" t="s">
        <v>35</v>
      </c>
      <c r="R86" s="17">
        <f>$H86/HSP!$E$2</f>
        <v>0.37579879669061411</v>
      </c>
      <c r="S86" s="17">
        <f>$I86/HSP!$E$3</f>
        <v>0.31893512806244562</v>
      </c>
      <c r="T86" s="17">
        <f>$J86/HSP!$E$4</f>
        <v>0.22700830743981867</v>
      </c>
      <c r="U86" s="17">
        <f>$K86/HSP!$E$5</f>
        <v>0.59542942765198903</v>
      </c>
      <c r="V86" s="17">
        <f>$L86/HSP!$E$6</f>
        <v>0.30201266668805343</v>
      </c>
      <c r="W86" s="12"/>
      <c r="X86" s="12"/>
      <c r="Y86" s="12"/>
      <c r="Z86" s="12"/>
    </row>
    <row r="87" spans="1:26" ht="15" customHeight="1" x14ac:dyDescent="0.35">
      <c r="A87" s="26" t="s">
        <v>1099</v>
      </c>
      <c r="B87" s="17" t="s">
        <v>1030</v>
      </c>
      <c r="C87" s="17">
        <v>16.899999999999999</v>
      </c>
      <c r="D87" s="17">
        <v>6.4</v>
      </c>
      <c r="E87" s="17">
        <v>8.5</v>
      </c>
      <c r="F87" s="17" t="s">
        <v>35</v>
      </c>
      <c r="G87" s="22">
        <v>402.1</v>
      </c>
      <c r="H87" s="17">
        <f>SQRT((4*(HSP!$B$2-$C87)^2+(HSP!$C$2-$D87)^2+(HSP!$D$2-$E87)^2))</f>
        <v>6.3209176548979009</v>
      </c>
      <c r="I87" s="17">
        <f>SQRT((4*(HSP!$B$3-$C87)^2+(HSP!$C$3-$D87)^2+(HSP!$D$3-$E87)^2))</f>
        <v>4.8648124321498756</v>
      </c>
      <c r="J87" s="17">
        <f>SQRT((4*(HSP!$B$4-$C87)^2+(HSP!$C$4-$D87)^2+(HSP!$D$4-$E87)^2))</f>
        <v>4.2213741838410845</v>
      </c>
      <c r="K87" s="17">
        <f>SQRT((4*(HSP!$B$5-$C87)^2+(HSP!$C$5-$D87)^2+(HSP!$D$5-$E87)^2))</f>
        <v>7.5149783765490632</v>
      </c>
      <c r="L87" s="17">
        <f>SQRT((4*(HSP!$B$6-$C87)^2+(HSP!$C$6-$D87)^2+(HSP!$D$6-$E87)^2))</f>
        <v>5.678996390208396</v>
      </c>
      <c r="M87" s="17" t="s">
        <v>35</v>
      </c>
      <c r="N87" s="17" t="s">
        <v>35</v>
      </c>
      <c r="O87" s="17" t="s">
        <v>35</v>
      </c>
      <c r="P87" s="17" t="s">
        <v>35</v>
      </c>
      <c r="Q87" s="17" t="s">
        <v>35</v>
      </c>
      <c r="R87" s="17">
        <f>$H87/HSP!$E$2</f>
        <v>0.3877863591961902</v>
      </c>
      <c r="S87" s="17">
        <f>$I87/HSP!$E$3</f>
        <v>0.36035647645554636</v>
      </c>
      <c r="T87" s="17">
        <f>$J87/HSP!$E$4</f>
        <v>0.2654952316881185</v>
      </c>
      <c r="U87" s="17">
        <f>$K87/HSP!$E$5</f>
        <v>0.54853856763131847</v>
      </c>
      <c r="V87" s="17">
        <f>$L87/HSP!$E$6</f>
        <v>0.38371597231137811</v>
      </c>
      <c r="W87" s="12"/>
      <c r="X87" s="12"/>
      <c r="Y87" s="12"/>
      <c r="Z87" s="12"/>
    </row>
    <row r="88" spans="1:26" ht="15" customHeight="1" x14ac:dyDescent="0.35">
      <c r="A88" s="26"/>
      <c r="B88" s="17"/>
      <c r="C88" s="17"/>
      <c r="D88" s="17"/>
      <c r="E88" s="17"/>
      <c r="F88" s="17"/>
      <c r="G88" s="17"/>
      <c r="H88" s="17"/>
      <c r="I88" s="17"/>
      <c r="J88" s="17"/>
      <c r="K88" s="17"/>
      <c r="L88" s="17"/>
      <c r="M88" s="17"/>
      <c r="N88" s="17"/>
      <c r="O88" s="17"/>
      <c r="P88" s="17"/>
      <c r="Q88" s="17"/>
      <c r="R88" s="17"/>
      <c r="S88" s="17"/>
      <c r="T88" s="17"/>
      <c r="U88" s="17"/>
      <c r="V88" s="17"/>
      <c r="W88" s="12"/>
      <c r="X88" s="12"/>
      <c r="Y88" s="12"/>
      <c r="Z88" s="12"/>
    </row>
    <row r="89" spans="1:26" ht="15" customHeight="1" x14ac:dyDescent="0.35">
      <c r="A89" s="26"/>
      <c r="B89" s="17"/>
      <c r="C89" s="17"/>
      <c r="D89" s="17"/>
      <c r="E89" s="17"/>
      <c r="F89" s="17"/>
      <c r="G89" s="17"/>
      <c r="H89" s="17"/>
      <c r="I89" s="17"/>
      <c r="J89" s="17"/>
      <c r="K89" s="17"/>
      <c r="L89" s="17"/>
      <c r="M89" s="17"/>
      <c r="N89" s="17"/>
      <c r="O89" s="17"/>
      <c r="P89" s="17"/>
      <c r="Q89" s="17"/>
      <c r="R89" s="17"/>
      <c r="S89" s="17"/>
      <c r="T89" s="17"/>
      <c r="U89" s="17"/>
      <c r="V89" s="17"/>
      <c r="W89" s="12"/>
      <c r="X89" s="12"/>
      <c r="Y89" s="12"/>
      <c r="Z89" s="12"/>
    </row>
    <row r="90" spans="1:26" ht="15" customHeight="1" x14ac:dyDescent="0.35">
      <c r="A90" s="26"/>
      <c r="B90" s="17"/>
      <c r="C90" s="17"/>
      <c r="D90" s="17"/>
      <c r="E90" s="17"/>
      <c r="F90" s="17"/>
      <c r="G90" s="17"/>
      <c r="H90" s="17"/>
      <c r="I90" s="17"/>
      <c r="J90" s="17"/>
      <c r="K90" s="17"/>
      <c r="L90" s="17"/>
      <c r="M90" s="17"/>
      <c r="N90" s="17"/>
      <c r="O90" s="17"/>
      <c r="P90" s="17"/>
      <c r="Q90" s="17"/>
      <c r="R90" s="17"/>
      <c r="S90" s="17"/>
      <c r="T90" s="17"/>
      <c r="U90" s="17"/>
      <c r="V90" s="17"/>
      <c r="W90" s="12"/>
      <c r="X90" s="12"/>
      <c r="Y90" s="12"/>
      <c r="Z90" s="12"/>
    </row>
    <row r="91" spans="1:26" ht="15" customHeight="1" x14ac:dyDescent="0.35">
      <c r="A91" s="26"/>
      <c r="B91" s="17"/>
      <c r="C91" s="17"/>
      <c r="D91" s="17"/>
      <c r="E91" s="17"/>
      <c r="F91" s="17"/>
      <c r="G91" s="17"/>
      <c r="H91" s="17"/>
      <c r="I91" s="17"/>
      <c r="J91" s="17"/>
      <c r="K91" s="17"/>
      <c r="L91" s="17"/>
      <c r="M91" s="17"/>
      <c r="N91" s="17"/>
      <c r="O91" s="17"/>
      <c r="P91" s="17"/>
      <c r="Q91" s="17"/>
      <c r="R91" s="17"/>
      <c r="S91" s="17"/>
      <c r="T91" s="17"/>
      <c r="U91" s="17"/>
      <c r="V91" s="17"/>
      <c r="W91" s="12"/>
      <c r="X91" s="12"/>
      <c r="Y91" s="12"/>
      <c r="Z91" s="12"/>
    </row>
    <row r="92" spans="1:26" ht="15" customHeight="1" x14ac:dyDescent="0.35">
      <c r="A92" s="26"/>
      <c r="B92" s="17"/>
      <c r="C92" s="17"/>
      <c r="D92" s="17"/>
      <c r="E92" s="17"/>
      <c r="F92" s="17"/>
      <c r="G92" s="17"/>
      <c r="H92" s="17"/>
      <c r="I92" s="17"/>
      <c r="J92" s="17"/>
      <c r="K92" s="17"/>
      <c r="L92" s="17"/>
      <c r="M92" s="17"/>
      <c r="N92" s="17"/>
      <c r="O92" s="17"/>
      <c r="P92" s="17"/>
      <c r="Q92" s="17"/>
      <c r="R92" s="17"/>
      <c r="S92" s="17"/>
      <c r="T92" s="17"/>
      <c r="U92" s="17"/>
      <c r="V92" s="17"/>
      <c r="W92" s="12"/>
      <c r="X92" s="12"/>
      <c r="Y92" s="12"/>
      <c r="Z92" s="12"/>
    </row>
    <row r="93" spans="1:26" ht="15" customHeight="1" x14ac:dyDescent="0.35">
      <c r="A93" s="26"/>
      <c r="B93" s="17"/>
      <c r="C93" s="17"/>
      <c r="D93" s="17"/>
      <c r="E93" s="17"/>
      <c r="F93" s="17"/>
      <c r="G93" s="17"/>
      <c r="H93" s="17"/>
      <c r="I93" s="17"/>
      <c r="J93" s="17"/>
      <c r="K93" s="17"/>
      <c r="L93" s="17"/>
      <c r="M93" s="17"/>
      <c r="N93" s="17"/>
      <c r="O93" s="17"/>
      <c r="P93" s="17"/>
      <c r="Q93" s="17"/>
      <c r="R93" s="17"/>
      <c r="S93" s="17"/>
      <c r="T93" s="17"/>
      <c r="U93" s="17"/>
      <c r="V93" s="17"/>
      <c r="W93" s="12"/>
      <c r="X93" s="12"/>
      <c r="Y93" s="12"/>
      <c r="Z93" s="12"/>
    </row>
    <row r="94" spans="1:26" ht="15" customHeight="1" x14ac:dyDescent="0.35">
      <c r="A94" s="26"/>
      <c r="B94" s="17"/>
      <c r="C94" s="17"/>
      <c r="D94" s="17"/>
      <c r="E94" s="17"/>
      <c r="F94" s="17"/>
      <c r="G94" s="17"/>
      <c r="H94" s="17"/>
      <c r="I94" s="17"/>
      <c r="J94" s="17"/>
      <c r="K94" s="17"/>
      <c r="L94" s="17"/>
      <c r="M94" s="17"/>
      <c r="N94" s="17"/>
      <c r="O94" s="17"/>
      <c r="P94" s="17"/>
      <c r="Q94" s="17"/>
      <c r="R94" s="17"/>
      <c r="S94" s="17"/>
      <c r="T94" s="17"/>
      <c r="U94" s="17"/>
      <c r="V94" s="17"/>
      <c r="W94" s="12"/>
      <c r="X94" s="12"/>
      <c r="Y94" s="12"/>
      <c r="Z94" s="12"/>
    </row>
    <row r="95" spans="1:26" ht="15" customHeight="1" x14ac:dyDescent="0.35">
      <c r="A95" s="26"/>
      <c r="B95" s="17"/>
      <c r="C95" s="17"/>
      <c r="D95" s="17"/>
      <c r="E95" s="17"/>
      <c r="F95" s="17"/>
      <c r="G95" s="17"/>
      <c r="H95" s="17"/>
      <c r="I95" s="17"/>
      <c r="J95" s="17"/>
      <c r="K95" s="17"/>
      <c r="L95" s="17"/>
      <c r="M95" s="17"/>
      <c r="N95" s="17"/>
      <c r="O95" s="17"/>
      <c r="P95" s="17"/>
      <c r="Q95" s="17"/>
      <c r="R95" s="17"/>
      <c r="S95" s="17"/>
      <c r="T95" s="17"/>
      <c r="U95" s="17"/>
      <c r="V95" s="17"/>
      <c r="W95" s="12"/>
      <c r="X95" s="12"/>
      <c r="Y95" s="12"/>
      <c r="Z95" s="12"/>
    </row>
    <row r="96" spans="1:26" ht="15" customHeight="1" x14ac:dyDescent="0.35">
      <c r="A96" s="26"/>
      <c r="B96" s="17"/>
      <c r="C96" s="17"/>
      <c r="D96" s="17"/>
      <c r="E96" s="17"/>
      <c r="F96" s="17"/>
      <c r="G96" s="17"/>
      <c r="H96" s="17"/>
      <c r="I96" s="17"/>
      <c r="J96" s="17"/>
      <c r="K96" s="17"/>
      <c r="L96" s="17"/>
      <c r="M96" s="17"/>
      <c r="N96" s="17"/>
      <c r="O96" s="17"/>
      <c r="P96" s="17"/>
      <c r="Q96" s="17"/>
      <c r="R96" s="17"/>
      <c r="S96" s="17"/>
      <c r="T96" s="17"/>
      <c r="U96" s="17"/>
      <c r="V96" s="17"/>
      <c r="W96" s="12"/>
      <c r="X96" s="12"/>
      <c r="Y96" s="12"/>
      <c r="Z96" s="12"/>
    </row>
    <row r="97" spans="1:26" ht="15" customHeight="1" x14ac:dyDescent="0.35">
      <c r="A97" s="26"/>
      <c r="B97" s="17"/>
      <c r="C97" s="17"/>
      <c r="D97" s="17"/>
      <c r="E97" s="17"/>
      <c r="F97" s="17"/>
      <c r="G97" s="17"/>
      <c r="H97" s="17"/>
      <c r="I97" s="17"/>
      <c r="J97" s="17"/>
      <c r="K97" s="17"/>
      <c r="L97" s="17"/>
      <c r="M97" s="17"/>
      <c r="N97" s="17"/>
      <c r="O97" s="17"/>
      <c r="P97" s="17"/>
      <c r="Q97" s="17"/>
      <c r="R97" s="17"/>
      <c r="S97" s="17"/>
      <c r="T97" s="17"/>
      <c r="U97" s="17"/>
      <c r="V97" s="17"/>
      <c r="W97" s="12"/>
      <c r="X97" s="12"/>
      <c r="Y97" s="12"/>
      <c r="Z97" s="12"/>
    </row>
    <row r="98" spans="1:26" ht="15" customHeight="1" x14ac:dyDescent="0.35">
      <c r="A98" s="26"/>
      <c r="B98" s="17"/>
      <c r="C98" s="17"/>
      <c r="D98" s="17"/>
      <c r="E98" s="17"/>
      <c r="F98" s="17"/>
      <c r="G98" s="17"/>
      <c r="H98" s="17"/>
      <c r="I98" s="17"/>
      <c r="J98" s="17"/>
      <c r="K98" s="17"/>
      <c r="L98" s="17"/>
      <c r="M98" s="17"/>
      <c r="N98" s="17"/>
      <c r="O98" s="17"/>
      <c r="P98" s="17"/>
      <c r="Q98" s="17"/>
      <c r="R98" s="17"/>
      <c r="S98" s="17"/>
      <c r="T98" s="17"/>
      <c r="U98" s="17"/>
      <c r="V98" s="17"/>
      <c r="W98" s="12"/>
      <c r="X98" s="12"/>
      <c r="Y98" s="12"/>
      <c r="Z98" s="12"/>
    </row>
    <row r="99" spans="1:26" ht="15" customHeight="1" x14ac:dyDescent="0.35">
      <c r="A99" s="26"/>
      <c r="B99" s="17"/>
      <c r="C99" s="17"/>
      <c r="D99" s="17"/>
      <c r="E99" s="17"/>
      <c r="F99" s="17"/>
      <c r="G99" s="17"/>
      <c r="H99" s="17"/>
      <c r="I99" s="17"/>
      <c r="J99" s="17"/>
      <c r="K99" s="17"/>
      <c r="L99" s="17"/>
      <c r="M99" s="17"/>
      <c r="N99" s="17"/>
      <c r="O99" s="17"/>
      <c r="P99" s="17"/>
      <c r="Q99" s="17"/>
      <c r="R99" s="17"/>
      <c r="S99" s="17"/>
      <c r="T99" s="17"/>
      <c r="U99" s="17"/>
      <c r="V99" s="17"/>
      <c r="W99" s="12"/>
      <c r="X99" s="12"/>
      <c r="Y99" s="12"/>
      <c r="Z99" s="12"/>
    </row>
    <row r="100" spans="1:26" ht="15" customHeight="1" x14ac:dyDescent="0.35">
      <c r="A100" s="26"/>
      <c r="B100" s="17"/>
      <c r="C100" s="17"/>
      <c r="D100" s="17"/>
      <c r="E100" s="17"/>
      <c r="F100" s="17"/>
      <c r="G100" s="17"/>
      <c r="H100" s="17"/>
      <c r="I100" s="17"/>
      <c r="J100" s="17"/>
      <c r="K100" s="17"/>
      <c r="L100" s="17"/>
      <c r="M100" s="17"/>
      <c r="N100" s="17"/>
      <c r="O100" s="17"/>
      <c r="P100" s="17"/>
      <c r="Q100" s="17"/>
      <c r="R100" s="17"/>
      <c r="S100" s="17"/>
      <c r="T100" s="17"/>
      <c r="U100" s="17"/>
      <c r="V100" s="17"/>
      <c r="W100" s="12"/>
      <c r="X100" s="12"/>
      <c r="Y100" s="12"/>
      <c r="Z100" s="12"/>
    </row>
    <row r="101" spans="1:26" ht="15" customHeight="1" x14ac:dyDescent="0.35">
      <c r="A101" s="26"/>
      <c r="B101" s="17"/>
      <c r="C101" s="17"/>
      <c r="D101" s="17"/>
      <c r="E101" s="17"/>
      <c r="F101" s="17"/>
      <c r="G101" s="17"/>
      <c r="H101" s="17"/>
      <c r="I101" s="17"/>
      <c r="J101" s="17"/>
      <c r="K101" s="17"/>
      <c r="L101" s="17"/>
      <c r="M101" s="17"/>
      <c r="N101" s="17"/>
      <c r="O101" s="17"/>
      <c r="P101" s="17"/>
      <c r="Q101" s="17"/>
      <c r="R101" s="17"/>
      <c r="S101" s="17"/>
      <c r="T101" s="17"/>
      <c r="U101" s="17"/>
      <c r="V101" s="17"/>
      <c r="W101" s="12"/>
      <c r="X101" s="12"/>
      <c r="Y101" s="12"/>
      <c r="Z101" s="12"/>
    </row>
    <row r="102" spans="1:26" ht="15" customHeight="1" x14ac:dyDescent="0.35">
      <c r="A102" s="26"/>
      <c r="B102" s="17"/>
      <c r="C102" s="17"/>
      <c r="D102" s="17"/>
      <c r="E102" s="17"/>
      <c r="F102" s="17"/>
      <c r="G102" s="17"/>
      <c r="H102" s="17"/>
      <c r="I102" s="17"/>
      <c r="J102" s="17"/>
      <c r="K102" s="17"/>
      <c r="L102" s="17"/>
      <c r="M102" s="17"/>
      <c r="N102" s="17"/>
      <c r="O102" s="17"/>
      <c r="P102" s="17"/>
      <c r="Q102" s="17"/>
      <c r="R102" s="17"/>
      <c r="S102" s="17"/>
      <c r="T102" s="17"/>
      <c r="U102" s="17"/>
      <c r="V102" s="17"/>
      <c r="W102" s="12"/>
      <c r="X102" s="12"/>
      <c r="Y102" s="12"/>
      <c r="Z102" s="12"/>
    </row>
    <row r="103" spans="1:26" ht="15" customHeight="1" x14ac:dyDescent="0.35">
      <c r="A103" s="26"/>
      <c r="B103" s="17"/>
      <c r="C103" s="17"/>
      <c r="D103" s="17"/>
      <c r="E103" s="17"/>
      <c r="F103" s="17"/>
      <c r="G103" s="17"/>
      <c r="H103" s="17"/>
      <c r="I103" s="17"/>
      <c r="J103" s="17"/>
      <c r="K103" s="17"/>
      <c r="L103" s="17"/>
      <c r="M103" s="17"/>
      <c r="N103" s="17"/>
      <c r="O103" s="17"/>
      <c r="P103" s="17"/>
      <c r="Q103" s="17"/>
      <c r="R103" s="17"/>
      <c r="S103" s="17"/>
      <c r="T103" s="17"/>
      <c r="U103" s="17"/>
      <c r="V103" s="17"/>
      <c r="W103" s="12"/>
      <c r="X103" s="12"/>
      <c r="Y103" s="12"/>
      <c r="Z103" s="12"/>
    </row>
    <row r="104" spans="1:26" ht="15" customHeight="1" x14ac:dyDescent="0.35">
      <c r="A104" s="26"/>
      <c r="B104" s="17"/>
      <c r="C104" s="17"/>
      <c r="D104" s="17"/>
      <c r="E104" s="17"/>
      <c r="F104" s="17"/>
      <c r="G104" s="17"/>
      <c r="H104" s="17"/>
      <c r="I104" s="17"/>
      <c r="J104" s="17"/>
      <c r="K104" s="17"/>
      <c r="L104" s="17"/>
      <c r="M104" s="17"/>
      <c r="N104" s="17"/>
      <c r="O104" s="17"/>
      <c r="P104" s="17"/>
      <c r="Q104" s="17"/>
      <c r="R104" s="17"/>
      <c r="S104" s="17"/>
      <c r="T104" s="17"/>
      <c r="U104" s="17"/>
      <c r="V104" s="17"/>
      <c r="W104" s="12"/>
      <c r="X104" s="12"/>
      <c r="Y104" s="12"/>
      <c r="Z104" s="12"/>
    </row>
    <row r="105" spans="1:26" ht="15" customHeight="1" x14ac:dyDescent="0.35">
      <c r="A105" s="26"/>
      <c r="B105" s="17"/>
      <c r="C105" s="17"/>
      <c r="D105" s="17"/>
      <c r="E105" s="17"/>
      <c r="F105" s="17"/>
      <c r="G105" s="17"/>
      <c r="H105" s="17"/>
      <c r="I105" s="17"/>
      <c r="J105" s="17"/>
      <c r="K105" s="17"/>
      <c r="L105" s="17"/>
      <c r="M105" s="17"/>
      <c r="N105" s="17"/>
      <c r="O105" s="17"/>
      <c r="P105" s="17"/>
      <c r="Q105" s="17"/>
      <c r="R105" s="17"/>
      <c r="S105" s="17"/>
      <c r="T105" s="17"/>
      <c r="U105" s="17"/>
      <c r="V105" s="17"/>
      <c r="W105" s="12"/>
      <c r="X105" s="12"/>
      <c r="Y105" s="12"/>
      <c r="Z105" s="12"/>
    </row>
    <row r="106" spans="1:26" ht="15" customHeight="1" x14ac:dyDescent="0.35">
      <c r="A106" s="26"/>
      <c r="B106" s="17"/>
      <c r="C106" s="17"/>
      <c r="D106" s="17"/>
      <c r="E106" s="17"/>
      <c r="F106" s="17"/>
      <c r="G106" s="17"/>
      <c r="H106" s="17"/>
      <c r="I106" s="17"/>
      <c r="J106" s="17"/>
      <c r="K106" s="17"/>
      <c r="L106" s="17"/>
      <c r="M106" s="17"/>
      <c r="N106" s="17"/>
      <c r="O106" s="17"/>
      <c r="P106" s="17"/>
      <c r="Q106" s="17"/>
      <c r="R106" s="17"/>
      <c r="S106" s="17"/>
      <c r="T106" s="17"/>
      <c r="U106" s="17"/>
      <c r="V106" s="17"/>
      <c r="W106" s="12"/>
      <c r="X106" s="12"/>
      <c r="Y106" s="12"/>
      <c r="Z106" s="12"/>
    </row>
    <row r="107" spans="1:26" ht="15" customHeight="1" x14ac:dyDescent="0.35">
      <c r="A107" s="26"/>
      <c r="B107" s="17"/>
      <c r="C107" s="17"/>
      <c r="D107" s="17"/>
      <c r="E107" s="17"/>
      <c r="F107" s="17"/>
      <c r="G107" s="17"/>
      <c r="H107" s="17"/>
      <c r="I107" s="17"/>
      <c r="J107" s="17"/>
      <c r="K107" s="17"/>
      <c r="L107" s="17"/>
      <c r="M107" s="17"/>
      <c r="N107" s="17"/>
      <c r="O107" s="17"/>
      <c r="P107" s="17"/>
      <c r="Q107" s="17"/>
      <c r="R107" s="17"/>
      <c r="S107" s="17"/>
      <c r="T107" s="17"/>
      <c r="U107" s="17"/>
      <c r="V107" s="17"/>
      <c r="W107" s="12"/>
      <c r="X107" s="12"/>
      <c r="Y107" s="12"/>
      <c r="Z107" s="12"/>
    </row>
    <row r="108" spans="1:26" ht="15" customHeight="1" x14ac:dyDescent="0.35">
      <c r="A108" s="26"/>
      <c r="B108" s="17"/>
      <c r="C108" s="17"/>
      <c r="D108" s="17"/>
      <c r="E108" s="17"/>
      <c r="F108" s="17"/>
      <c r="G108" s="17"/>
      <c r="H108" s="17"/>
      <c r="I108" s="17"/>
      <c r="J108" s="17"/>
      <c r="K108" s="17"/>
      <c r="L108" s="17"/>
      <c r="M108" s="17"/>
      <c r="N108" s="17"/>
      <c r="O108" s="17"/>
      <c r="P108" s="17"/>
      <c r="Q108" s="17"/>
      <c r="R108" s="17"/>
      <c r="S108" s="17"/>
      <c r="T108" s="17"/>
      <c r="U108" s="17"/>
      <c r="V108" s="17"/>
      <c r="W108" s="12"/>
      <c r="X108" s="12"/>
      <c r="Y108" s="12"/>
      <c r="Z108" s="12"/>
    </row>
    <row r="109" spans="1:26" ht="15" customHeight="1" x14ac:dyDescent="0.35">
      <c r="A109" s="26"/>
      <c r="B109" s="17"/>
      <c r="C109" s="17"/>
      <c r="D109" s="17"/>
      <c r="E109" s="17"/>
      <c r="F109" s="17"/>
      <c r="G109" s="17"/>
      <c r="H109" s="17"/>
      <c r="I109" s="17"/>
      <c r="J109" s="17"/>
      <c r="K109" s="17"/>
      <c r="L109" s="17"/>
      <c r="M109" s="17"/>
      <c r="N109" s="17"/>
      <c r="O109" s="17"/>
      <c r="P109" s="17"/>
      <c r="Q109" s="17"/>
      <c r="R109" s="17"/>
      <c r="S109" s="17"/>
      <c r="T109" s="17"/>
      <c r="U109" s="17"/>
      <c r="V109" s="17"/>
      <c r="W109" s="12"/>
      <c r="X109" s="12"/>
      <c r="Y109" s="12"/>
      <c r="Z109" s="12"/>
    </row>
    <row r="110" spans="1:26" ht="15" customHeight="1" x14ac:dyDescent="0.35">
      <c r="A110" s="26"/>
      <c r="B110" s="17"/>
      <c r="C110" s="17"/>
      <c r="D110" s="17"/>
      <c r="E110" s="17"/>
      <c r="F110" s="17"/>
      <c r="G110" s="17"/>
      <c r="H110" s="17"/>
      <c r="I110" s="17"/>
      <c r="J110" s="17"/>
      <c r="K110" s="17"/>
      <c r="L110" s="17"/>
      <c r="M110" s="17"/>
      <c r="N110" s="17"/>
      <c r="O110" s="17"/>
      <c r="P110" s="17"/>
      <c r="Q110" s="17"/>
      <c r="R110" s="17"/>
      <c r="S110" s="17"/>
      <c r="T110" s="17"/>
      <c r="U110" s="17"/>
      <c r="V110" s="17"/>
      <c r="W110" s="12"/>
      <c r="X110" s="12"/>
      <c r="Y110" s="12"/>
      <c r="Z110" s="12"/>
    </row>
    <row r="111" spans="1:26" ht="15" customHeight="1" x14ac:dyDescent="0.35">
      <c r="A111" s="26"/>
      <c r="B111" s="17"/>
      <c r="C111" s="17"/>
      <c r="D111" s="17"/>
      <c r="E111" s="17"/>
      <c r="F111" s="17"/>
      <c r="G111" s="17"/>
      <c r="H111" s="17"/>
      <c r="I111" s="17"/>
      <c r="J111" s="17"/>
      <c r="K111" s="17"/>
      <c r="L111" s="17"/>
      <c r="M111" s="17"/>
      <c r="N111" s="17"/>
      <c r="O111" s="17"/>
      <c r="P111" s="17"/>
      <c r="Q111" s="17"/>
      <c r="R111" s="17"/>
      <c r="S111" s="17"/>
      <c r="T111" s="17"/>
      <c r="U111" s="17"/>
      <c r="V111" s="17"/>
      <c r="W111" s="12"/>
      <c r="X111" s="12"/>
      <c r="Y111" s="12"/>
      <c r="Z111" s="12"/>
    </row>
    <row r="112" spans="1:26" ht="15" customHeight="1" x14ac:dyDescent="0.35">
      <c r="A112" s="26"/>
      <c r="B112" s="17"/>
      <c r="C112" s="17"/>
      <c r="D112" s="17"/>
      <c r="E112" s="17"/>
      <c r="F112" s="17"/>
      <c r="G112" s="17"/>
      <c r="H112" s="17"/>
      <c r="I112" s="17"/>
      <c r="J112" s="17"/>
      <c r="K112" s="17"/>
      <c r="L112" s="17"/>
      <c r="M112" s="17"/>
      <c r="N112" s="17"/>
      <c r="O112" s="17"/>
      <c r="P112" s="17"/>
      <c r="Q112" s="17"/>
      <c r="R112" s="17"/>
      <c r="S112" s="17"/>
      <c r="T112" s="17"/>
      <c r="U112" s="17"/>
      <c r="V112" s="17"/>
      <c r="W112" s="12"/>
      <c r="X112" s="12"/>
      <c r="Y112" s="12"/>
      <c r="Z112" s="12"/>
    </row>
    <row r="113" spans="1:26" ht="15" customHeight="1" x14ac:dyDescent="0.35">
      <c r="A113" s="26"/>
      <c r="B113" s="17"/>
      <c r="C113" s="17"/>
      <c r="D113" s="17"/>
      <c r="E113" s="17"/>
      <c r="F113" s="17"/>
      <c r="G113" s="17"/>
      <c r="H113" s="17"/>
      <c r="I113" s="17"/>
      <c r="J113" s="17"/>
      <c r="K113" s="17"/>
      <c r="L113" s="17"/>
      <c r="M113" s="17"/>
      <c r="N113" s="17"/>
      <c r="O113" s="17"/>
      <c r="P113" s="17"/>
      <c r="Q113" s="17"/>
      <c r="R113" s="17"/>
      <c r="S113" s="17"/>
      <c r="T113" s="17"/>
      <c r="U113" s="17"/>
      <c r="V113" s="17"/>
      <c r="W113" s="12"/>
      <c r="X113" s="12"/>
      <c r="Y113" s="12"/>
      <c r="Z113" s="12"/>
    </row>
    <row r="114" spans="1:26" ht="15" customHeight="1" x14ac:dyDescent="0.35">
      <c r="A114" s="26"/>
      <c r="B114" s="17"/>
      <c r="C114" s="17"/>
      <c r="D114" s="17"/>
      <c r="E114" s="17"/>
      <c r="F114" s="17"/>
      <c r="G114" s="17"/>
      <c r="H114" s="17"/>
      <c r="I114" s="17"/>
      <c r="J114" s="17"/>
      <c r="K114" s="17"/>
      <c r="L114" s="17"/>
      <c r="M114" s="17"/>
      <c r="N114" s="17"/>
      <c r="O114" s="17"/>
      <c r="P114" s="17"/>
      <c r="Q114" s="17"/>
      <c r="R114" s="17"/>
      <c r="S114" s="17"/>
      <c r="T114" s="17"/>
      <c r="U114" s="17"/>
      <c r="V114" s="17"/>
      <c r="W114" s="12"/>
      <c r="X114" s="12"/>
      <c r="Y114" s="12"/>
      <c r="Z114" s="12"/>
    </row>
    <row r="115" spans="1:26" ht="15" customHeight="1" x14ac:dyDescent="0.35">
      <c r="A115" s="26"/>
      <c r="B115" s="17"/>
      <c r="C115" s="17"/>
      <c r="D115" s="17"/>
      <c r="E115" s="17"/>
      <c r="F115" s="17"/>
      <c r="G115" s="17"/>
      <c r="H115" s="17"/>
      <c r="I115" s="17"/>
      <c r="J115" s="17"/>
      <c r="K115" s="17"/>
      <c r="L115" s="17"/>
      <c r="M115" s="17"/>
      <c r="N115" s="17"/>
      <c r="O115" s="17"/>
      <c r="P115" s="17"/>
      <c r="Q115" s="17"/>
      <c r="R115" s="17"/>
      <c r="S115" s="17"/>
      <c r="T115" s="17"/>
      <c r="U115" s="17"/>
      <c r="V115" s="17"/>
      <c r="W115" s="12"/>
      <c r="X115" s="12"/>
      <c r="Y115" s="12"/>
      <c r="Z115" s="12"/>
    </row>
    <row r="116" spans="1:26" ht="15" customHeight="1" x14ac:dyDescent="0.35">
      <c r="A116" s="26"/>
      <c r="B116" s="17"/>
      <c r="C116" s="17"/>
      <c r="D116" s="17"/>
      <c r="E116" s="17"/>
      <c r="F116" s="17"/>
      <c r="G116" s="17"/>
      <c r="H116" s="17"/>
      <c r="I116" s="17"/>
      <c r="J116" s="17"/>
      <c r="K116" s="17"/>
      <c r="L116" s="17"/>
      <c r="M116" s="17"/>
      <c r="N116" s="17"/>
      <c r="O116" s="17"/>
      <c r="P116" s="17"/>
      <c r="Q116" s="17"/>
      <c r="R116" s="17"/>
      <c r="S116" s="17"/>
      <c r="T116" s="17"/>
      <c r="U116" s="17"/>
      <c r="V116" s="17"/>
      <c r="W116" s="12"/>
      <c r="X116" s="12"/>
      <c r="Y116" s="12"/>
      <c r="Z116" s="12"/>
    </row>
    <row r="117" spans="1:26" ht="15" customHeight="1" x14ac:dyDescent="0.35">
      <c r="A117" s="26"/>
      <c r="B117" s="17"/>
      <c r="C117" s="17"/>
      <c r="D117" s="17"/>
      <c r="E117" s="17"/>
      <c r="F117" s="17"/>
      <c r="G117" s="17"/>
      <c r="H117" s="17"/>
      <c r="I117" s="17"/>
      <c r="J117" s="17"/>
      <c r="K117" s="17"/>
      <c r="L117" s="17"/>
      <c r="M117" s="17"/>
      <c r="N117" s="17"/>
      <c r="O117" s="17"/>
      <c r="P117" s="17"/>
      <c r="Q117" s="17"/>
      <c r="R117" s="17"/>
      <c r="S117" s="17"/>
      <c r="T117" s="17"/>
      <c r="U117" s="17"/>
      <c r="V117" s="17"/>
      <c r="W117" s="12"/>
      <c r="X117" s="12"/>
      <c r="Y117" s="12"/>
      <c r="Z117" s="12"/>
    </row>
    <row r="118" spans="1:26" ht="15" customHeight="1" x14ac:dyDescent="0.35">
      <c r="A118" s="26"/>
      <c r="B118" s="17"/>
      <c r="C118" s="17"/>
      <c r="D118" s="17"/>
      <c r="E118" s="17"/>
      <c r="F118" s="17"/>
      <c r="G118" s="17"/>
      <c r="H118" s="17"/>
      <c r="I118" s="17"/>
      <c r="J118" s="17"/>
      <c r="K118" s="17"/>
      <c r="L118" s="17"/>
      <c r="M118" s="17"/>
      <c r="N118" s="17"/>
      <c r="O118" s="17"/>
      <c r="P118" s="17"/>
      <c r="Q118" s="17"/>
      <c r="R118" s="17"/>
      <c r="S118" s="17"/>
      <c r="T118" s="17"/>
      <c r="U118" s="17"/>
      <c r="V118" s="17"/>
      <c r="W118" s="12"/>
      <c r="X118" s="12"/>
      <c r="Y118" s="12"/>
      <c r="Z118" s="12"/>
    </row>
    <row r="119" spans="1:26" ht="15" customHeight="1" x14ac:dyDescent="0.35">
      <c r="A119" s="26"/>
      <c r="B119" s="17"/>
      <c r="C119" s="17"/>
      <c r="D119" s="17"/>
      <c r="E119" s="17"/>
      <c r="F119" s="17"/>
      <c r="G119" s="17"/>
      <c r="H119" s="17"/>
      <c r="I119" s="17"/>
      <c r="J119" s="17"/>
      <c r="K119" s="17"/>
      <c r="L119" s="17"/>
      <c r="M119" s="17"/>
      <c r="N119" s="17"/>
      <c r="O119" s="17"/>
      <c r="P119" s="17"/>
      <c r="Q119" s="17"/>
      <c r="R119" s="17"/>
      <c r="S119" s="17"/>
      <c r="T119" s="17"/>
      <c r="U119" s="17"/>
      <c r="V119" s="17"/>
      <c r="W119" s="12"/>
      <c r="X119" s="12"/>
      <c r="Y119" s="12"/>
      <c r="Z119" s="12"/>
    </row>
    <row r="120" spans="1:26" ht="15" customHeight="1" x14ac:dyDescent="0.35">
      <c r="A120" s="26"/>
      <c r="B120" s="17"/>
      <c r="C120" s="17"/>
      <c r="D120" s="17"/>
      <c r="E120" s="17"/>
      <c r="F120" s="17"/>
      <c r="G120" s="17"/>
      <c r="H120" s="17"/>
      <c r="I120" s="17"/>
      <c r="J120" s="17"/>
      <c r="K120" s="17"/>
      <c r="L120" s="17"/>
      <c r="M120" s="17"/>
      <c r="N120" s="17"/>
      <c r="O120" s="17"/>
      <c r="P120" s="17"/>
      <c r="Q120" s="17"/>
      <c r="R120" s="17"/>
      <c r="S120" s="17"/>
      <c r="T120" s="17"/>
      <c r="U120" s="17"/>
      <c r="V120" s="17"/>
      <c r="W120" s="12"/>
      <c r="X120" s="12"/>
      <c r="Y120" s="12"/>
      <c r="Z120" s="12"/>
    </row>
    <row r="121" spans="1:26" ht="15" customHeight="1" x14ac:dyDescent="0.35">
      <c r="A121" s="26"/>
      <c r="B121" s="17"/>
      <c r="C121" s="17"/>
      <c r="D121" s="17"/>
      <c r="E121" s="17"/>
      <c r="F121" s="17"/>
      <c r="G121" s="17"/>
      <c r="H121" s="17"/>
      <c r="I121" s="17"/>
      <c r="J121" s="17"/>
      <c r="K121" s="17"/>
      <c r="L121" s="17"/>
      <c r="M121" s="17"/>
      <c r="N121" s="17"/>
      <c r="O121" s="17"/>
      <c r="P121" s="17"/>
      <c r="Q121" s="17"/>
      <c r="R121" s="17"/>
      <c r="S121" s="17"/>
      <c r="T121" s="17"/>
      <c r="U121" s="17"/>
      <c r="V121" s="17"/>
      <c r="W121" s="12"/>
      <c r="X121" s="12"/>
      <c r="Y121" s="12"/>
      <c r="Z121" s="12"/>
    </row>
    <row r="122" spans="1:26" ht="15" customHeight="1" x14ac:dyDescent="0.35">
      <c r="A122" s="26"/>
      <c r="B122" s="17"/>
      <c r="C122" s="17"/>
      <c r="D122" s="17"/>
      <c r="E122" s="17"/>
      <c r="F122" s="17"/>
      <c r="G122" s="17"/>
      <c r="H122" s="17"/>
      <c r="I122" s="17"/>
      <c r="J122" s="17"/>
      <c r="K122" s="17"/>
      <c r="L122" s="17"/>
      <c r="M122" s="17"/>
      <c r="N122" s="17"/>
      <c r="O122" s="17"/>
      <c r="P122" s="17"/>
      <c r="Q122" s="17"/>
      <c r="R122" s="17"/>
      <c r="S122" s="17"/>
      <c r="T122" s="17"/>
      <c r="U122" s="17"/>
      <c r="V122" s="17"/>
      <c r="W122" s="12"/>
      <c r="X122" s="12"/>
      <c r="Y122" s="12"/>
      <c r="Z122" s="12"/>
    </row>
    <row r="123" spans="1:26" ht="15" customHeight="1" x14ac:dyDescent="0.35">
      <c r="A123" s="26"/>
      <c r="B123" s="17"/>
      <c r="C123" s="17"/>
      <c r="D123" s="17"/>
      <c r="E123" s="17"/>
      <c r="F123" s="17"/>
      <c r="G123" s="17"/>
      <c r="H123" s="17"/>
      <c r="I123" s="17"/>
      <c r="J123" s="17"/>
      <c r="K123" s="17"/>
      <c r="L123" s="17"/>
      <c r="M123" s="17"/>
      <c r="N123" s="17"/>
      <c r="O123" s="17"/>
      <c r="P123" s="17"/>
      <c r="Q123" s="17"/>
      <c r="R123" s="17"/>
      <c r="S123" s="17"/>
      <c r="T123" s="17"/>
      <c r="U123" s="17"/>
      <c r="V123" s="17"/>
      <c r="W123" s="12"/>
      <c r="X123" s="12"/>
      <c r="Y123" s="12"/>
      <c r="Z123" s="12"/>
    </row>
    <row r="124" spans="1:26" ht="15" customHeight="1" x14ac:dyDescent="0.35">
      <c r="A124" s="26"/>
      <c r="B124" s="17"/>
      <c r="C124" s="17"/>
      <c r="D124" s="17"/>
      <c r="E124" s="17"/>
      <c r="F124" s="17"/>
      <c r="G124" s="17"/>
      <c r="H124" s="17"/>
      <c r="I124" s="17"/>
      <c r="J124" s="17"/>
      <c r="K124" s="17"/>
      <c r="L124" s="17"/>
      <c r="M124" s="17"/>
      <c r="N124" s="17"/>
      <c r="O124" s="17"/>
      <c r="P124" s="17"/>
      <c r="Q124" s="17"/>
      <c r="R124" s="17"/>
      <c r="S124" s="17"/>
      <c r="T124" s="17"/>
      <c r="U124" s="17"/>
      <c r="V124" s="17"/>
      <c r="W124" s="12"/>
      <c r="X124" s="12"/>
      <c r="Y124" s="12"/>
      <c r="Z124" s="12"/>
    </row>
    <row r="125" spans="1:26" ht="15" customHeight="1" x14ac:dyDescent="0.35">
      <c r="A125" s="26"/>
      <c r="B125" s="17"/>
      <c r="C125" s="17"/>
      <c r="D125" s="17"/>
      <c r="E125" s="17"/>
      <c r="F125" s="17"/>
      <c r="G125" s="17"/>
      <c r="H125" s="17"/>
      <c r="I125" s="17"/>
      <c r="J125" s="17"/>
      <c r="K125" s="17"/>
      <c r="L125" s="17"/>
      <c r="M125" s="17"/>
      <c r="N125" s="17"/>
      <c r="O125" s="17"/>
      <c r="P125" s="17"/>
      <c r="Q125" s="17"/>
      <c r="R125" s="17"/>
      <c r="S125" s="17"/>
      <c r="T125" s="17"/>
      <c r="U125" s="17"/>
      <c r="V125" s="17"/>
      <c r="W125" s="12"/>
      <c r="X125" s="12"/>
      <c r="Y125" s="12"/>
      <c r="Z125" s="12"/>
    </row>
    <row r="126" spans="1:26" ht="15" customHeight="1" x14ac:dyDescent="0.35">
      <c r="A126" s="26"/>
      <c r="B126" s="17"/>
      <c r="C126" s="17"/>
      <c r="D126" s="17"/>
      <c r="E126" s="17"/>
      <c r="F126" s="17"/>
      <c r="G126" s="17"/>
      <c r="H126" s="17"/>
      <c r="I126" s="17"/>
      <c r="J126" s="17"/>
      <c r="K126" s="17"/>
      <c r="L126" s="17"/>
      <c r="M126" s="17"/>
      <c r="N126" s="17"/>
      <c r="O126" s="17"/>
      <c r="P126" s="17"/>
      <c r="Q126" s="17"/>
      <c r="R126" s="17"/>
      <c r="S126" s="17"/>
      <c r="T126" s="17"/>
      <c r="U126" s="17"/>
      <c r="V126" s="17"/>
      <c r="W126" s="12"/>
      <c r="X126" s="12"/>
      <c r="Y126" s="12"/>
      <c r="Z126" s="12"/>
    </row>
    <row r="127" spans="1:26" ht="15" customHeight="1" x14ac:dyDescent="0.35">
      <c r="A127" s="26"/>
      <c r="B127" s="17"/>
      <c r="C127" s="17"/>
      <c r="D127" s="17"/>
      <c r="E127" s="17"/>
      <c r="F127" s="17"/>
      <c r="G127" s="17"/>
      <c r="H127" s="17"/>
      <c r="I127" s="17"/>
      <c r="J127" s="17"/>
      <c r="K127" s="17"/>
      <c r="L127" s="17"/>
      <c r="M127" s="17"/>
      <c r="N127" s="17"/>
      <c r="O127" s="17"/>
      <c r="P127" s="17"/>
      <c r="Q127" s="17"/>
      <c r="R127" s="17"/>
      <c r="S127" s="17"/>
      <c r="T127" s="17"/>
      <c r="U127" s="17"/>
      <c r="V127" s="17"/>
      <c r="W127" s="12"/>
      <c r="X127" s="12"/>
      <c r="Y127" s="12"/>
      <c r="Z127" s="12"/>
    </row>
    <row r="128" spans="1:26" ht="15" customHeight="1" x14ac:dyDescent="0.35">
      <c r="A128" s="26"/>
      <c r="B128" s="17"/>
      <c r="C128" s="17"/>
      <c r="D128" s="17"/>
      <c r="E128" s="17"/>
      <c r="F128" s="17"/>
      <c r="G128" s="17"/>
      <c r="H128" s="17"/>
      <c r="I128" s="17"/>
      <c r="J128" s="17"/>
      <c r="K128" s="17"/>
      <c r="L128" s="17"/>
      <c r="M128" s="17"/>
      <c r="N128" s="17"/>
      <c r="O128" s="17"/>
      <c r="P128" s="17"/>
      <c r="Q128" s="17"/>
      <c r="R128" s="17"/>
      <c r="S128" s="17"/>
      <c r="T128" s="17"/>
      <c r="U128" s="17"/>
      <c r="V128" s="17"/>
      <c r="W128" s="12"/>
      <c r="X128" s="12"/>
      <c r="Y128" s="12"/>
      <c r="Z128" s="12"/>
    </row>
    <row r="129" spans="1:26" ht="15" customHeight="1" x14ac:dyDescent="0.35">
      <c r="A129" s="26"/>
      <c r="B129" s="17"/>
      <c r="C129" s="17"/>
      <c r="D129" s="17"/>
      <c r="E129" s="17"/>
      <c r="F129" s="17"/>
      <c r="G129" s="17"/>
      <c r="H129" s="17"/>
      <c r="I129" s="17"/>
      <c r="J129" s="17"/>
      <c r="K129" s="17"/>
      <c r="L129" s="17"/>
      <c r="M129" s="17"/>
      <c r="N129" s="17"/>
      <c r="O129" s="17"/>
      <c r="P129" s="17"/>
      <c r="Q129" s="17"/>
      <c r="R129" s="17"/>
      <c r="S129" s="17"/>
      <c r="T129" s="17"/>
      <c r="U129" s="17"/>
      <c r="V129" s="17"/>
      <c r="W129" s="12"/>
      <c r="X129" s="12"/>
      <c r="Y129" s="12"/>
      <c r="Z129" s="12"/>
    </row>
    <row r="130" spans="1:26" ht="15" customHeight="1" x14ac:dyDescent="0.35">
      <c r="A130" s="26"/>
      <c r="B130" s="17"/>
      <c r="C130" s="17"/>
      <c r="D130" s="17"/>
      <c r="E130" s="17"/>
      <c r="F130" s="17"/>
      <c r="G130" s="17"/>
      <c r="H130" s="17"/>
      <c r="I130" s="17"/>
      <c r="J130" s="17"/>
      <c r="K130" s="17"/>
      <c r="L130" s="17"/>
      <c r="M130" s="17"/>
      <c r="N130" s="17"/>
      <c r="O130" s="17"/>
      <c r="P130" s="17"/>
      <c r="Q130" s="17"/>
      <c r="R130" s="17"/>
      <c r="S130" s="17"/>
      <c r="T130" s="17"/>
      <c r="U130" s="17"/>
      <c r="V130" s="17"/>
      <c r="W130" s="12"/>
      <c r="X130" s="12"/>
      <c r="Y130" s="12"/>
      <c r="Z130" s="12"/>
    </row>
    <row r="131" spans="1:26" ht="15" customHeight="1" x14ac:dyDescent="0.35">
      <c r="A131" s="26"/>
      <c r="B131" s="17"/>
      <c r="C131" s="17"/>
      <c r="D131" s="17"/>
      <c r="E131" s="17"/>
      <c r="F131" s="17"/>
      <c r="G131" s="17"/>
      <c r="H131" s="17"/>
      <c r="I131" s="17"/>
      <c r="J131" s="17"/>
      <c r="K131" s="17"/>
      <c r="L131" s="17"/>
      <c r="M131" s="17"/>
      <c r="N131" s="17"/>
      <c r="O131" s="17"/>
      <c r="P131" s="17"/>
      <c r="Q131" s="17"/>
      <c r="R131" s="17"/>
      <c r="S131" s="17"/>
      <c r="T131" s="17"/>
      <c r="U131" s="17"/>
      <c r="V131" s="17"/>
      <c r="W131" s="12"/>
      <c r="X131" s="12"/>
      <c r="Y131" s="12"/>
      <c r="Z131" s="12"/>
    </row>
    <row r="132" spans="1:26" ht="15" customHeight="1" x14ac:dyDescent="0.35">
      <c r="A132" s="26"/>
      <c r="B132" s="17"/>
      <c r="C132" s="17"/>
      <c r="D132" s="17"/>
      <c r="E132" s="17"/>
      <c r="F132" s="17"/>
      <c r="G132" s="17"/>
      <c r="H132" s="17"/>
      <c r="I132" s="17"/>
      <c r="J132" s="17"/>
      <c r="K132" s="17"/>
      <c r="L132" s="17"/>
      <c r="M132" s="17"/>
      <c r="N132" s="17"/>
      <c r="O132" s="17"/>
      <c r="P132" s="17"/>
      <c r="Q132" s="17"/>
      <c r="R132" s="17"/>
      <c r="S132" s="17"/>
      <c r="T132" s="17"/>
      <c r="U132" s="17"/>
      <c r="V132" s="17"/>
      <c r="W132" s="12"/>
      <c r="X132" s="12"/>
      <c r="Y132" s="12"/>
      <c r="Z132" s="12"/>
    </row>
    <row r="133" spans="1:26" ht="15" customHeight="1" x14ac:dyDescent="0.35">
      <c r="A133" s="26"/>
      <c r="B133" s="17"/>
      <c r="C133" s="17"/>
      <c r="D133" s="17"/>
      <c r="E133" s="17"/>
      <c r="F133" s="17"/>
      <c r="G133" s="17"/>
      <c r="H133" s="17"/>
      <c r="I133" s="17"/>
      <c r="J133" s="17"/>
      <c r="K133" s="17"/>
      <c r="L133" s="17"/>
      <c r="M133" s="17"/>
      <c r="N133" s="17"/>
      <c r="O133" s="17"/>
      <c r="P133" s="17"/>
      <c r="Q133" s="17"/>
      <c r="R133" s="17"/>
      <c r="S133" s="17"/>
      <c r="T133" s="17"/>
      <c r="U133" s="17"/>
      <c r="V133" s="17"/>
      <c r="W133" s="12"/>
      <c r="X133" s="12"/>
      <c r="Y133" s="12"/>
      <c r="Z133" s="12"/>
    </row>
    <row r="134" spans="1:26" ht="15" customHeight="1" x14ac:dyDescent="0.35">
      <c r="A134" s="26"/>
      <c r="B134" s="17"/>
      <c r="C134" s="17"/>
      <c r="D134" s="17"/>
      <c r="E134" s="17"/>
      <c r="F134" s="17"/>
      <c r="G134" s="17"/>
      <c r="H134" s="17"/>
      <c r="I134" s="17"/>
      <c r="J134" s="17"/>
      <c r="K134" s="17"/>
      <c r="L134" s="17"/>
      <c r="M134" s="17"/>
      <c r="N134" s="17"/>
      <c r="O134" s="17"/>
      <c r="P134" s="17"/>
      <c r="Q134" s="17"/>
      <c r="R134" s="17"/>
      <c r="S134" s="17"/>
      <c r="T134" s="17"/>
      <c r="U134" s="17"/>
      <c r="V134" s="17"/>
      <c r="W134" s="12"/>
      <c r="X134" s="12"/>
      <c r="Y134" s="12"/>
      <c r="Z134" s="12"/>
    </row>
    <row r="135" spans="1:26" ht="15" customHeight="1" x14ac:dyDescent="0.35">
      <c r="A135" s="26"/>
      <c r="B135" s="17"/>
      <c r="C135" s="17"/>
      <c r="D135" s="17"/>
      <c r="E135" s="17"/>
      <c r="F135" s="17"/>
      <c r="G135" s="17"/>
      <c r="H135" s="17"/>
      <c r="I135" s="17"/>
      <c r="J135" s="17"/>
      <c r="K135" s="17"/>
      <c r="L135" s="17"/>
      <c r="M135" s="17"/>
      <c r="N135" s="17"/>
      <c r="O135" s="17"/>
      <c r="P135" s="17"/>
      <c r="Q135" s="17"/>
      <c r="R135" s="17"/>
      <c r="S135" s="17"/>
      <c r="T135" s="17"/>
      <c r="U135" s="17"/>
      <c r="V135" s="17"/>
      <c r="W135" s="12"/>
      <c r="X135" s="12"/>
      <c r="Y135" s="12"/>
      <c r="Z135" s="12"/>
    </row>
    <row r="136" spans="1:26" ht="15" customHeight="1" x14ac:dyDescent="0.35">
      <c r="A136" s="26"/>
      <c r="B136" s="17"/>
      <c r="C136" s="17"/>
      <c r="D136" s="17"/>
      <c r="E136" s="17"/>
      <c r="F136" s="17"/>
      <c r="G136" s="17"/>
      <c r="H136" s="17"/>
      <c r="I136" s="17"/>
      <c r="J136" s="17"/>
      <c r="K136" s="17"/>
      <c r="L136" s="17"/>
      <c r="M136" s="17"/>
      <c r="N136" s="17"/>
      <c r="O136" s="17"/>
      <c r="P136" s="17"/>
      <c r="Q136" s="17"/>
      <c r="R136" s="17"/>
      <c r="S136" s="17"/>
      <c r="T136" s="17"/>
      <c r="U136" s="17"/>
      <c r="V136" s="17"/>
      <c r="W136" s="12"/>
      <c r="X136" s="12"/>
      <c r="Y136" s="12"/>
      <c r="Z136" s="12"/>
    </row>
    <row r="137" spans="1:26" ht="15" customHeight="1" x14ac:dyDescent="0.35">
      <c r="A137" s="26"/>
      <c r="B137" s="17"/>
      <c r="C137" s="17"/>
      <c r="D137" s="17"/>
      <c r="E137" s="17"/>
      <c r="F137" s="17"/>
      <c r="G137" s="17"/>
      <c r="H137" s="17"/>
      <c r="I137" s="17"/>
      <c r="J137" s="17"/>
      <c r="K137" s="17"/>
      <c r="L137" s="17"/>
      <c r="M137" s="17"/>
      <c r="N137" s="17"/>
      <c r="O137" s="17"/>
      <c r="P137" s="17"/>
      <c r="Q137" s="17"/>
      <c r="R137" s="17"/>
      <c r="S137" s="17"/>
      <c r="T137" s="17"/>
      <c r="U137" s="17"/>
      <c r="V137" s="17"/>
      <c r="W137" s="12"/>
      <c r="X137" s="12"/>
      <c r="Y137" s="12"/>
      <c r="Z137" s="12"/>
    </row>
    <row r="138" spans="1:26" ht="15" customHeight="1" x14ac:dyDescent="0.35">
      <c r="A138" s="26"/>
      <c r="B138" s="17"/>
      <c r="C138" s="17"/>
      <c r="D138" s="17"/>
      <c r="E138" s="17"/>
      <c r="F138" s="17"/>
      <c r="G138" s="17"/>
      <c r="H138" s="17"/>
      <c r="I138" s="17"/>
      <c r="J138" s="17"/>
      <c r="K138" s="17"/>
      <c r="L138" s="17"/>
      <c r="M138" s="17"/>
      <c r="N138" s="17"/>
      <c r="O138" s="17"/>
      <c r="P138" s="17"/>
      <c r="Q138" s="17"/>
      <c r="R138" s="17"/>
      <c r="S138" s="17"/>
      <c r="T138" s="17"/>
      <c r="U138" s="17"/>
      <c r="V138" s="17"/>
      <c r="W138" s="12"/>
      <c r="X138" s="12"/>
      <c r="Y138" s="12"/>
      <c r="Z138" s="12"/>
    </row>
    <row r="139" spans="1:26" ht="15" customHeight="1" x14ac:dyDescent="0.35">
      <c r="A139" s="26"/>
      <c r="B139" s="17"/>
      <c r="C139" s="17"/>
      <c r="D139" s="17"/>
      <c r="E139" s="17"/>
      <c r="F139" s="17"/>
      <c r="G139" s="17"/>
      <c r="H139" s="17"/>
      <c r="I139" s="17"/>
      <c r="J139" s="17"/>
      <c r="K139" s="17"/>
      <c r="L139" s="17"/>
      <c r="M139" s="17"/>
      <c r="N139" s="17"/>
      <c r="O139" s="17"/>
      <c r="P139" s="17"/>
      <c r="Q139" s="17"/>
      <c r="R139" s="17"/>
      <c r="S139" s="17"/>
      <c r="T139" s="17"/>
      <c r="U139" s="17"/>
      <c r="V139" s="17"/>
      <c r="W139" s="12"/>
      <c r="X139" s="12"/>
      <c r="Y139" s="12"/>
      <c r="Z139" s="12"/>
    </row>
    <row r="140" spans="1:26" ht="15" customHeight="1" x14ac:dyDescent="0.35">
      <c r="A140" s="26"/>
      <c r="B140" s="17"/>
      <c r="C140" s="17"/>
      <c r="D140" s="17"/>
      <c r="E140" s="17"/>
      <c r="F140" s="17"/>
      <c r="G140" s="17"/>
      <c r="H140" s="17"/>
      <c r="I140" s="17"/>
      <c r="J140" s="17"/>
      <c r="K140" s="17"/>
      <c r="L140" s="17"/>
      <c r="M140" s="17"/>
      <c r="N140" s="17"/>
      <c r="O140" s="17"/>
      <c r="P140" s="17"/>
      <c r="Q140" s="17"/>
      <c r="R140" s="17"/>
      <c r="S140" s="17"/>
      <c r="T140" s="17"/>
      <c r="U140" s="17"/>
      <c r="V140" s="17"/>
      <c r="W140" s="12"/>
      <c r="X140" s="12"/>
      <c r="Y140" s="12"/>
      <c r="Z140" s="12"/>
    </row>
    <row r="141" spans="1:26" ht="15" customHeight="1" x14ac:dyDescent="0.35">
      <c r="A141" s="26"/>
      <c r="B141" s="17"/>
      <c r="C141" s="17"/>
      <c r="D141" s="17"/>
      <c r="E141" s="17"/>
      <c r="F141" s="17"/>
      <c r="G141" s="17"/>
      <c r="H141" s="17"/>
      <c r="I141" s="17"/>
      <c r="J141" s="17"/>
      <c r="K141" s="17"/>
      <c r="L141" s="17"/>
      <c r="M141" s="17"/>
      <c r="N141" s="17"/>
      <c r="O141" s="17"/>
      <c r="P141" s="17"/>
      <c r="Q141" s="17"/>
      <c r="R141" s="17"/>
      <c r="S141" s="17"/>
      <c r="T141" s="17"/>
      <c r="U141" s="17"/>
      <c r="V141" s="17"/>
      <c r="W141" s="12"/>
      <c r="X141" s="12"/>
      <c r="Y141" s="12"/>
      <c r="Z141" s="12"/>
    </row>
    <row r="142" spans="1:26" ht="15" customHeight="1" x14ac:dyDescent="0.35">
      <c r="A142" s="26"/>
      <c r="B142" s="17"/>
      <c r="C142" s="17"/>
      <c r="D142" s="17"/>
      <c r="E142" s="17"/>
      <c r="F142" s="17"/>
      <c r="G142" s="17"/>
      <c r="H142" s="17"/>
      <c r="I142" s="17"/>
      <c r="J142" s="17"/>
      <c r="K142" s="17"/>
      <c r="L142" s="17"/>
      <c r="M142" s="17"/>
      <c r="N142" s="17"/>
      <c r="O142" s="17"/>
      <c r="P142" s="17"/>
      <c r="Q142" s="17"/>
      <c r="R142" s="17"/>
      <c r="S142" s="17"/>
      <c r="T142" s="17"/>
      <c r="U142" s="17"/>
      <c r="V142" s="17"/>
      <c r="W142" s="12"/>
      <c r="X142" s="12"/>
      <c r="Y142" s="12"/>
      <c r="Z142" s="12"/>
    </row>
    <row r="143" spans="1:26" ht="15" customHeight="1" x14ac:dyDescent="0.35">
      <c r="A143" s="26"/>
      <c r="B143" s="17"/>
      <c r="C143" s="17"/>
      <c r="D143" s="17"/>
      <c r="E143" s="17"/>
      <c r="F143" s="17"/>
      <c r="G143" s="17"/>
      <c r="H143" s="17"/>
      <c r="I143" s="17"/>
      <c r="J143" s="17"/>
      <c r="K143" s="17"/>
      <c r="L143" s="17"/>
      <c r="M143" s="17"/>
      <c r="N143" s="17"/>
      <c r="O143" s="17"/>
      <c r="P143" s="17"/>
      <c r="Q143" s="17"/>
      <c r="R143" s="17"/>
      <c r="S143" s="17"/>
      <c r="T143" s="17"/>
      <c r="U143" s="17"/>
      <c r="V143" s="17"/>
      <c r="W143" s="12"/>
      <c r="X143" s="12"/>
      <c r="Y143" s="12"/>
      <c r="Z143" s="12"/>
    </row>
    <row r="144" spans="1:26" ht="15" customHeight="1" x14ac:dyDescent="0.35">
      <c r="A144" s="26"/>
      <c r="B144" s="17"/>
      <c r="C144" s="17"/>
      <c r="D144" s="17"/>
      <c r="E144" s="17"/>
      <c r="F144" s="17"/>
      <c r="G144" s="17"/>
      <c r="H144" s="17"/>
      <c r="I144" s="17"/>
      <c r="J144" s="17"/>
      <c r="K144" s="17"/>
      <c r="L144" s="17"/>
      <c r="M144" s="17"/>
      <c r="N144" s="17"/>
      <c r="O144" s="17"/>
      <c r="P144" s="17"/>
      <c r="Q144" s="17"/>
      <c r="R144" s="17"/>
      <c r="S144" s="17"/>
      <c r="T144" s="17"/>
      <c r="U144" s="17"/>
      <c r="V144" s="17"/>
      <c r="W144" s="12"/>
      <c r="X144" s="12"/>
      <c r="Y144" s="12"/>
      <c r="Z144" s="12"/>
    </row>
    <row r="145" spans="1:26" ht="15" customHeight="1" x14ac:dyDescent="0.35">
      <c r="A145" s="26"/>
      <c r="B145" s="17"/>
      <c r="C145" s="17"/>
      <c r="D145" s="17"/>
      <c r="E145" s="17"/>
      <c r="F145" s="17"/>
      <c r="G145" s="17"/>
      <c r="H145" s="17"/>
      <c r="I145" s="17"/>
      <c r="J145" s="17"/>
      <c r="K145" s="17"/>
      <c r="L145" s="17"/>
      <c r="M145" s="17"/>
      <c r="N145" s="17"/>
      <c r="O145" s="17"/>
      <c r="P145" s="17"/>
      <c r="Q145" s="17"/>
      <c r="R145" s="17"/>
      <c r="S145" s="17"/>
      <c r="T145" s="17"/>
      <c r="U145" s="17"/>
      <c r="V145" s="17"/>
      <c r="W145" s="12"/>
      <c r="X145" s="12"/>
      <c r="Y145" s="12"/>
      <c r="Z145" s="12"/>
    </row>
    <row r="146" spans="1:26" ht="15" customHeight="1" x14ac:dyDescent="0.35">
      <c r="A146" s="26"/>
      <c r="B146" s="17"/>
      <c r="C146" s="17"/>
      <c r="D146" s="17"/>
      <c r="E146" s="17"/>
      <c r="F146" s="17"/>
      <c r="G146" s="17"/>
      <c r="H146" s="17"/>
      <c r="I146" s="17"/>
      <c r="J146" s="17"/>
      <c r="K146" s="17"/>
      <c r="L146" s="17"/>
      <c r="M146" s="17"/>
      <c r="N146" s="17"/>
      <c r="O146" s="17"/>
      <c r="P146" s="17"/>
      <c r="Q146" s="17"/>
      <c r="R146" s="17"/>
      <c r="S146" s="17"/>
      <c r="T146" s="17"/>
      <c r="U146" s="17"/>
      <c r="V146" s="17"/>
      <c r="W146" s="12"/>
      <c r="X146" s="12"/>
      <c r="Y146" s="12"/>
      <c r="Z146" s="12"/>
    </row>
    <row r="147" spans="1:26" ht="15" customHeight="1" x14ac:dyDescent="0.35">
      <c r="A147" s="26"/>
      <c r="B147" s="17"/>
      <c r="C147" s="17"/>
      <c r="D147" s="17"/>
      <c r="E147" s="17"/>
      <c r="F147" s="17"/>
      <c r="G147" s="17"/>
      <c r="H147" s="17"/>
      <c r="I147" s="17"/>
      <c r="J147" s="17"/>
      <c r="K147" s="17"/>
      <c r="L147" s="17"/>
      <c r="M147" s="17"/>
      <c r="N147" s="17"/>
      <c r="O147" s="17"/>
      <c r="P147" s="17"/>
      <c r="Q147" s="17"/>
      <c r="R147" s="17"/>
      <c r="S147" s="17"/>
      <c r="T147" s="17"/>
      <c r="U147" s="17"/>
      <c r="V147" s="17"/>
      <c r="W147" s="12"/>
      <c r="X147" s="12"/>
      <c r="Y147" s="12"/>
      <c r="Z147" s="12"/>
    </row>
    <row r="148" spans="1:26" ht="15" customHeight="1" x14ac:dyDescent="0.35">
      <c r="A148" s="26"/>
      <c r="B148" s="17"/>
      <c r="C148" s="17"/>
      <c r="D148" s="17"/>
      <c r="E148" s="17"/>
      <c r="F148" s="17"/>
      <c r="G148" s="17"/>
      <c r="H148" s="17"/>
      <c r="I148" s="17"/>
      <c r="J148" s="17"/>
      <c r="K148" s="17"/>
      <c r="L148" s="17"/>
      <c r="M148" s="17"/>
      <c r="N148" s="17"/>
      <c r="O148" s="17"/>
      <c r="P148" s="17"/>
      <c r="Q148" s="17"/>
      <c r="R148" s="17"/>
      <c r="S148" s="17"/>
      <c r="T148" s="17"/>
      <c r="U148" s="17"/>
      <c r="V148" s="17"/>
      <c r="W148" s="12"/>
      <c r="X148" s="12"/>
      <c r="Y148" s="12"/>
      <c r="Z148" s="12"/>
    </row>
    <row r="149" spans="1:26" ht="15" customHeight="1" x14ac:dyDescent="0.35">
      <c r="A149" s="26"/>
      <c r="B149" s="17"/>
      <c r="C149" s="17"/>
      <c r="D149" s="17"/>
      <c r="E149" s="17"/>
      <c r="F149" s="17"/>
      <c r="G149" s="17"/>
      <c r="H149" s="17"/>
      <c r="I149" s="17"/>
      <c r="J149" s="17"/>
      <c r="K149" s="17"/>
      <c r="L149" s="17"/>
      <c r="M149" s="17"/>
      <c r="N149" s="17"/>
      <c r="O149" s="17"/>
      <c r="P149" s="17"/>
      <c r="Q149" s="17"/>
      <c r="R149" s="17"/>
      <c r="S149" s="17"/>
      <c r="T149" s="17"/>
      <c r="U149" s="17"/>
      <c r="V149" s="17"/>
      <c r="W149" s="12"/>
      <c r="X149" s="12"/>
      <c r="Y149" s="12"/>
      <c r="Z149" s="12"/>
    </row>
    <row r="150" spans="1:26" ht="15" customHeight="1" x14ac:dyDescent="0.35">
      <c r="A150" s="26"/>
      <c r="B150" s="17"/>
      <c r="C150" s="17"/>
      <c r="D150" s="17"/>
      <c r="E150" s="17"/>
      <c r="F150" s="17"/>
      <c r="G150" s="17"/>
      <c r="H150" s="17"/>
      <c r="I150" s="17"/>
      <c r="J150" s="17"/>
      <c r="K150" s="17"/>
      <c r="L150" s="17"/>
      <c r="M150" s="17"/>
      <c r="N150" s="17"/>
      <c r="O150" s="17"/>
      <c r="P150" s="17"/>
      <c r="Q150" s="17"/>
      <c r="R150" s="17"/>
      <c r="S150" s="17"/>
      <c r="T150" s="17"/>
      <c r="U150" s="17"/>
      <c r="V150" s="17"/>
      <c r="W150" s="12"/>
      <c r="X150" s="12"/>
      <c r="Y150" s="12"/>
      <c r="Z150" s="12"/>
    </row>
    <row r="151" spans="1:26" ht="15" customHeight="1" x14ac:dyDescent="0.35">
      <c r="A151" s="26"/>
      <c r="B151" s="17"/>
      <c r="C151" s="17"/>
      <c r="D151" s="17"/>
      <c r="E151" s="17"/>
      <c r="F151" s="17"/>
      <c r="G151" s="17"/>
      <c r="H151" s="17"/>
      <c r="I151" s="17"/>
      <c r="J151" s="17"/>
      <c r="K151" s="17"/>
      <c r="L151" s="17"/>
      <c r="M151" s="17"/>
      <c r="N151" s="17"/>
      <c r="O151" s="17"/>
      <c r="P151" s="17"/>
      <c r="Q151" s="17"/>
      <c r="R151" s="17"/>
      <c r="S151" s="17"/>
      <c r="T151" s="17"/>
      <c r="U151" s="17"/>
      <c r="V151" s="17"/>
      <c r="W151" s="12"/>
      <c r="X151" s="12"/>
      <c r="Y151" s="12"/>
      <c r="Z151" s="12"/>
    </row>
    <row r="152" spans="1:26" ht="15" customHeight="1" x14ac:dyDescent="0.35">
      <c r="A152" s="26"/>
      <c r="B152" s="17"/>
      <c r="C152" s="17"/>
      <c r="D152" s="17"/>
      <c r="E152" s="17"/>
      <c r="F152" s="17"/>
      <c r="G152" s="17"/>
      <c r="H152" s="17"/>
      <c r="I152" s="17"/>
      <c r="J152" s="17"/>
      <c r="K152" s="17"/>
      <c r="L152" s="17"/>
      <c r="M152" s="17"/>
      <c r="N152" s="17"/>
      <c r="O152" s="17"/>
      <c r="P152" s="17"/>
      <c r="Q152" s="17"/>
      <c r="R152" s="17"/>
      <c r="S152" s="17"/>
      <c r="T152" s="17"/>
      <c r="U152" s="17"/>
      <c r="V152" s="17"/>
      <c r="W152" s="12"/>
      <c r="X152" s="12"/>
      <c r="Y152" s="12"/>
      <c r="Z152" s="12"/>
    </row>
    <row r="153" spans="1:26" ht="15" customHeight="1" x14ac:dyDescent="0.35">
      <c r="A153" s="26"/>
      <c r="B153" s="17"/>
      <c r="C153" s="17"/>
      <c r="D153" s="17"/>
      <c r="E153" s="17"/>
      <c r="F153" s="17"/>
      <c r="G153" s="17"/>
      <c r="H153" s="17"/>
      <c r="I153" s="17"/>
      <c r="J153" s="17"/>
      <c r="K153" s="17"/>
      <c r="L153" s="17"/>
      <c r="M153" s="17"/>
      <c r="N153" s="17"/>
      <c r="O153" s="17"/>
      <c r="P153" s="17"/>
      <c r="Q153" s="17"/>
      <c r="R153" s="17"/>
      <c r="S153" s="17"/>
      <c r="T153" s="17"/>
      <c r="U153" s="17"/>
      <c r="V153" s="17"/>
      <c r="W153" s="12"/>
      <c r="X153" s="12"/>
      <c r="Y153" s="12"/>
      <c r="Z153" s="12"/>
    </row>
    <row r="154" spans="1:26" ht="15" customHeight="1" x14ac:dyDescent="0.35">
      <c r="A154" s="26"/>
      <c r="B154" s="17"/>
      <c r="C154" s="17"/>
      <c r="D154" s="17"/>
      <c r="E154" s="17"/>
      <c r="F154" s="17"/>
      <c r="G154" s="17"/>
      <c r="H154" s="17"/>
      <c r="I154" s="17"/>
      <c r="J154" s="17"/>
      <c r="K154" s="17"/>
      <c r="L154" s="17"/>
      <c r="M154" s="17"/>
      <c r="N154" s="17"/>
      <c r="O154" s="17"/>
      <c r="P154" s="17"/>
      <c r="Q154" s="17"/>
      <c r="R154" s="17"/>
      <c r="S154" s="17"/>
      <c r="T154" s="17"/>
      <c r="U154" s="17"/>
      <c r="V154" s="17"/>
      <c r="W154" s="12"/>
      <c r="X154" s="12"/>
      <c r="Y154" s="12"/>
      <c r="Z154" s="12"/>
    </row>
    <row r="155" spans="1:26" ht="15" customHeight="1" x14ac:dyDescent="0.35">
      <c r="A155" s="26"/>
      <c r="B155" s="17"/>
      <c r="C155" s="17"/>
      <c r="D155" s="17"/>
      <c r="E155" s="17"/>
      <c r="F155" s="17"/>
      <c r="G155" s="17"/>
      <c r="H155" s="17"/>
      <c r="I155" s="17"/>
      <c r="J155" s="17"/>
      <c r="K155" s="17"/>
      <c r="L155" s="17"/>
      <c r="M155" s="17"/>
      <c r="N155" s="17"/>
      <c r="O155" s="17"/>
      <c r="P155" s="17"/>
      <c r="Q155" s="17"/>
      <c r="R155" s="17"/>
      <c r="S155" s="17"/>
      <c r="T155" s="17"/>
      <c r="U155" s="17"/>
      <c r="V155" s="17"/>
      <c r="W155" s="12"/>
      <c r="X155" s="12"/>
      <c r="Y155" s="12"/>
      <c r="Z155" s="12"/>
    </row>
    <row r="156" spans="1:26" ht="15" customHeight="1" x14ac:dyDescent="0.35">
      <c r="A156" s="26"/>
      <c r="B156" s="17"/>
      <c r="C156" s="17"/>
      <c r="D156" s="17"/>
      <c r="E156" s="17"/>
      <c r="F156" s="17"/>
      <c r="G156" s="17"/>
      <c r="H156" s="17"/>
      <c r="I156" s="17"/>
      <c r="J156" s="17"/>
      <c r="K156" s="17"/>
      <c r="L156" s="17"/>
      <c r="M156" s="17"/>
      <c r="N156" s="17"/>
      <c r="O156" s="17"/>
      <c r="P156" s="17"/>
      <c r="Q156" s="17"/>
      <c r="R156" s="17"/>
      <c r="S156" s="17"/>
      <c r="T156" s="17"/>
      <c r="U156" s="17"/>
      <c r="V156" s="17"/>
      <c r="W156" s="12"/>
      <c r="X156" s="12"/>
      <c r="Y156" s="12"/>
      <c r="Z156" s="12"/>
    </row>
    <row r="157" spans="1:26" ht="15" customHeight="1" x14ac:dyDescent="0.35">
      <c r="A157" s="26"/>
      <c r="B157" s="17"/>
      <c r="C157" s="17"/>
      <c r="D157" s="17"/>
      <c r="E157" s="17"/>
      <c r="F157" s="17"/>
      <c r="G157" s="17"/>
      <c r="H157" s="17"/>
      <c r="I157" s="17"/>
      <c r="J157" s="17"/>
      <c r="K157" s="17"/>
      <c r="L157" s="17"/>
      <c r="M157" s="17"/>
      <c r="N157" s="17"/>
      <c r="O157" s="17"/>
      <c r="P157" s="17"/>
      <c r="Q157" s="17"/>
      <c r="R157" s="17"/>
      <c r="S157" s="17"/>
      <c r="T157" s="17"/>
      <c r="U157" s="17"/>
      <c r="V157" s="17"/>
      <c r="W157" s="12"/>
      <c r="X157" s="12"/>
      <c r="Y157" s="12"/>
      <c r="Z157" s="12"/>
    </row>
    <row r="158" spans="1:26" ht="15" customHeight="1" x14ac:dyDescent="0.35">
      <c r="A158" s="26"/>
      <c r="B158" s="17"/>
      <c r="C158" s="17"/>
      <c r="D158" s="17"/>
      <c r="E158" s="17"/>
      <c r="F158" s="17"/>
      <c r="G158" s="17"/>
      <c r="H158" s="17"/>
      <c r="I158" s="17"/>
      <c r="J158" s="17"/>
      <c r="K158" s="17"/>
      <c r="L158" s="17"/>
      <c r="M158" s="17"/>
      <c r="N158" s="17"/>
      <c r="O158" s="17"/>
      <c r="P158" s="17"/>
      <c r="Q158" s="17"/>
      <c r="R158" s="17"/>
      <c r="S158" s="17"/>
      <c r="T158" s="17"/>
      <c r="U158" s="17"/>
      <c r="V158" s="17"/>
      <c r="W158" s="12"/>
      <c r="X158" s="12"/>
      <c r="Y158" s="12"/>
      <c r="Z158" s="12"/>
    </row>
    <row r="159" spans="1:26" ht="15" customHeight="1" x14ac:dyDescent="0.35">
      <c r="A159" s="26"/>
      <c r="B159" s="17"/>
      <c r="C159" s="17"/>
      <c r="D159" s="17"/>
      <c r="E159" s="17"/>
      <c r="F159" s="17"/>
      <c r="G159" s="17"/>
      <c r="H159" s="17"/>
      <c r="I159" s="17"/>
      <c r="J159" s="17"/>
      <c r="K159" s="17"/>
      <c r="L159" s="17"/>
      <c r="M159" s="17"/>
      <c r="N159" s="17"/>
      <c r="O159" s="17"/>
      <c r="P159" s="17"/>
      <c r="Q159" s="17"/>
      <c r="R159" s="17"/>
      <c r="S159" s="17"/>
      <c r="T159" s="17"/>
      <c r="U159" s="17"/>
      <c r="V159" s="17"/>
      <c r="W159" s="12"/>
      <c r="X159" s="12"/>
      <c r="Y159" s="12"/>
      <c r="Z159" s="12"/>
    </row>
    <row r="160" spans="1:26" ht="15" customHeight="1" x14ac:dyDescent="0.35">
      <c r="A160" s="27"/>
      <c r="B160" s="19"/>
      <c r="C160" s="19"/>
      <c r="D160" s="19"/>
      <c r="E160" s="19"/>
      <c r="F160" s="17"/>
      <c r="G160" s="19"/>
      <c r="H160" s="17"/>
      <c r="I160" s="17"/>
      <c r="J160" s="17"/>
      <c r="K160" s="17"/>
      <c r="L160" s="17"/>
      <c r="M160" s="17"/>
      <c r="N160" s="17"/>
      <c r="O160" s="17"/>
      <c r="P160" s="17"/>
      <c r="Q160" s="17"/>
      <c r="R160" s="17"/>
      <c r="S160" s="17"/>
      <c r="T160" s="17"/>
      <c r="U160" s="17"/>
      <c r="V160" s="17"/>
      <c r="W160" s="12"/>
      <c r="X160" s="12"/>
      <c r="Y160" s="12"/>
      <c r="Z160" s="12"/>
    </row>
    <row r="161" spans="1:26" ht="15" customHeight="1" x14ac:dyDescent="0.35">
      <c r="A161" s="26"/>
      <c r="B161" s="17"/>
      <c r="C161" s="17"/>
      <c r="D161" s="17"/>
      <c r="E161" s="17"/>
      <c r="F161" s="17"/>
      <c r="G161" s="17"/>
      <c r="H161" s="17"/>
      <c r="I161" s="17"/>
      <c r="J161" s="17"/>
      <c r="K161" s="17"/>
      <c r="L161" s="17"/>
      <c r="M161" s="17"/>
      <c r="N161" s="17"/>
      <c r="O161" s="17"/>
      <c r="P161" s="17"/>
      <c r="Q161" s="17"/>
      <c r="R161" s="17"/>
      <c r="S161" s="17"/>
      <c r="T161" s="17"/>
      <c r="U161" s="17"/>
      <c r="V161" s="17"/>
      <c r="W161" s="12"/>
      <c r="X161" s="12"/>
      <c r="Y161" s="12"/>
      <c r="Z161" s="12"/>
    </row>
    <row r="162" spans="1:26" ht="15" customHeight="1" x14ac:dyDescent="0.35">
      <c r="A162" s="26"/>
      <c r="B162" s="17"/>
      <c r="C162" s="17"/>
      <c r="D162" s="17"/>
      <c r="E162" s="17"/>
      <c r="F162" s="17"/>
      <c r="G162" s="17"/>
      <c r="H162" s="17"/>
      <c r="I162" s="17"/>
      <c r="J162" s="17"/>
      <c r="K162" s="17"/>
      <c r="L162" s="17"/>
      <c r="M162" s="17"/>
      <c r="N162" s="17"/>
      <c r="O162" s="17"/>
      <c r="P162" s="17"/>
      <c r="Q162" s="17"/>
      <c r="R162" s="17"/>
      <c r="S162" s="17"/>
      <c r="T162" s="17"/>
      <c r="U162" s="17"/>
      <c r="V162" s="17"/>
      <c r="W162" s="12"/>
      <c r="X162" s="12"/>
      <c r="Y162" s="12"/>
      <c r="Z162" s="12"/>
    </row>
    <row r="163" spans="1:26" ht="15" customHeight="1" x14ac:dyDescent="0.35">
      <c r="A163" s="26"/>
      <c r="B163" s="17"/>
      <c r="C163" s="17"/>
      <c r="D163" s="17"/>
      <c r="E163" s="17"/>
      <c r="F163" s="17"/>
      <c r="G163" s="17"/>
      <c r="H163" s="17"/>
      <c r="I163" s="17"/>
      <c r="J163" s="17"/>
      <c r="K163" s="17"/>
      <c r="L163" s="17"/>
      <c r="M163" s="17"/>
      <c r="N163" s="17"/>
      <c r="O163" s="17"/>
      <c r="P163" s="17"/>
      <c r="Q163" s="17"/>
      <c r="R163" s="17"/>
      <c r="S163" s="17"/>
      <c r="T163" s="17"/>
      <c r="U163" s="17"/>
      <c r="V163" s="17"/>
      <c r="W163" s="12"/>
      <c r="X163" s="12"/>
      <c r="Y163" s="12"/>
      <c r="Z163" s="12"/>
    </row>
    <row r="164" spans="1:26" ht="15" customHeight="1" x14ac:dyDescent="0.35">
      <c r="A164" s="26"/>
      <c r="B164" s="17"/>
      <c r="C164" s="17"/>
      <c r="D164" s="17"/>
      <c r="E164" s="17"/>
      <c r="F164" s="17"/>
      <c r="G164" s="17"/>
      <c r="H164" s="17"/>
      <c r="I164" s="17"/>
      <c r="J164" s="17"/>
      <c r="K164" s="17"/>
      <c r="L164" s="17"/>
      <c r="M164" s="17"/>
      <c r="N164" s="17"/>
      <c r="O164" s="17"/>
      <c r="P164" s="17"/>
      <c r="Q164" s="17"/>
      <c r="R164" s="17"/>
      <c r="S164" s="17"/>
      <c r="T164" s="17"/>
      <c r="U164" s="17"/>
      <c r="V164" s="17"/>
      <c r="W164" s="12"/>
      <c r="X164" s="12"/>
      <c r="Y164" s="12"/>
      <c r="Z164" s="12"/>
    </row>
    <row r="165" spans="1:26" ht="15" customHeight="1" x14ac:dyDescent="0.35">
      <c r="A165" s="26"/>
      <c r="B165" s="17"/>
      <c r="C165" s="17"/>
      <c r="D165" s="17"/>
      <c r="E165" s="17"/>
      <c r="F165" s="17"/>
      <c r="G165" s="17"/>
      <c r="H165" s="17"/>
      <c r="I165" s="17"/>
      <c r="J165" s="17"/>
      <c r="K165" s="17"/>
      <c r="L165" s="17"/>
      <c r="M165" s="17"/>
      <c r="N165" s="17"/>
      <c r="O165" s="17"/>
      <c r="P165" s="17"/>
      <c r="Q165" s="17"/>
      <c r="R165" s="17"/>
      <c r="S165" s="17"/>
      <c r="T165" s="17"/>
      <c r="U165" s="17"/>
      <c r="V165" s="17"/>
      <c r="W165" s="12"/>
      <c r="X165" s="12"/>
      <c r="Y165" s="12"/>
      <c r="Z165" s="12"/>
    </row>
    <row r="166" spans="1:26" ht="15" customHeight="1" x14ac:dyDescent="0.35">
      <c r="A166" s="26"/>
      <c r="B166" s="17"/>
      <c r="C166" s="17"/>
      <c r="D166" s="17"/>
      <c r="E166" s="17"/>
      <c r="F166" s="17"/>
      <c r="G166" s="17"/>
      <c r="H166" s="17"/>
      <c r="I166" s="17"/>
      <c r="J166" s="17"/>
      <c r="K166" s="17"/>
      <c r="L166" s="17"/>
      <c r="M166" s="17"/>
      <c r="N166" s="17"/>
      <c r="O166" s="17"/>
      <c r="P166" s="17"/>
      <c r="Q166" s="17"/>
      <c r="R166" s="17"/>
      <c r="S166" s="17"/>
      <c r="T166" s="17"/>
      <c r="U166" s="17"/>
      <c r="V166" s="17"/>
      <c r="W166" s="12"/>
      <c r="X166" s="12"/>
      <c r="Y166" s="12"/>
      <c r="Z166" s="12"/>
    </row>
    <row r="167" spans="1:26" ht="15" customHeight="1" x14ac:dyDescent="0.35">
      <c r="A167" s="26"/>
      <c r="B167" s="17"/>
      <c r="C167" s="17"/>
      <c r="D167" s="17"/>
      <c r="E167" s="17"/>
      <c r="F167" s="17"/>
      <c r="G167" s="17"/>
      <c r="H167" s="17"/>
      <c r="I167" s="17"/>
      <c r="J167" s="17"/>
      <c r="K167" s="17"/>
      <c r="L167" s="17"/>
      <c r="M167" s="17"/>
      <c r="N167" s="17"/>
      <c r="O167" s="17"/>
      <c r="P167" s="17"/>
      <c r="Q167" s="17"/>
      <c r="R167" s="17"/>
      <c r="S167" s="17"/>
      <c r="T167" s="17"/>
      <c r="U167" s="17"/>
      <c r="V167" s="17"/>
      <c r="W167" s="12"/>
      <c r="X167" s="12"/>
      <c r="Y167" s="12"/>
      <c r="Z167" s="12"/>
    </row>
    <row r="168" spans="1:26" ht="15" customHeight="1" x14ac:dyDescent="0.35">
      <c r="A168" s="26"/>
      <c r="B168" s="17"/>
      <c r="C168" s="17"/>
      <c r="D168" s="17"/>
      <c r="E168" s="17"/>
      <c r="F168" s="17"/>
      <c r="G168" s="17"/>
      <c r="H168" s="17"/>
      <c r="I168" s="17"/>
      <c r="J168" s="17"/>
      <c r="K168" s="17"/>
      <c r="L168" s="17"/>
      <c r="M168" s="17"/>
      <c r="N168" s="17"/>
      <c r="O168" s="17"/>
      <c r="P168" s="17"/>
      <c r="Q168" s="17"/>
      <c r="R168" s="17"/>
      <c r="S168" s="17"/>
      <c r="T168" s="17"/>
      <c r="U168" s="17"/>
      <c r="V168" s="17"/>
      <c r="W168" s="12"/>
      <c r="X168" s="12"/>
      <c r="Y168" s="12"/>
      <c r="Z168" s="12"/>
    </row>
    <row r="169" spans="1:26" ht="15" customHeight="1" x14ac:dyDescent="0.35">
      <c r="A169" s="26"/>
      <c r="B169" s="17"/>
      <c r="C169" s="17"/>
      <c r="D169" s="17"/>
      <c r="E169" s="17"/>
      <c r="F169" s="17"/>
      <c r="G169" s="17"/>
      <c r="H169" s="17"/>
      <c r="I169" s="17"/>
      <c r="J169" s="17"/>
      <c r="K169" s="17"/>
      <c r="L169" s="17"/>
      <c r="M169" s="17"/>
      <c r="N169" s="17"/>
      <c r="O169" s="17"/>
      <c r="P169" s="17"/>
      <c r="Q169" s="17"/>
      <c r="R169" s="17"/>
      <c r="S169" s="17"/>
      <c r="T169" s="17"/>
      <c r="U169" s="17"/>
      <c r="V169" s="17"/>
      <c r="W169" s="12"/>
      <c r="X169" s="12"/>
      <c r="Y169" s="12"/>
      <c r="Z169" s="12"/>
    </row>
    <row r="170" spans="1:26" ht="15" customHeight="1" x14ac:dyDescent="0.35">
      <c r="A170" s="26"/>
      <c r="B170" s="17"/>
      <c r="C170" s="17"/>
      <c r="D170" s="17"/>
      <c r="E170" s="17"/>
      <c r="F170" s="17"/>
      <c r="G170" s="17"/>
      <c r="H170" s="17"/>
      <c r="I170" s="17"/>
      <c r="J170" s="17"/>
      <c r="K170" s="17"/>
      <c r="L170" s="17"/>
      <c r="M170" s="17"/>
      <c r="N170" s="17"/>
      <c r="O170" s="17"/>
      <c r="P170" s="17"/>
      <c r="Q170" s="17"/>
      <c r="R170" s="17"/>
      <c r="S170" s="17"/>
      <c r="T170" s="17"/>
      <c r="U170" s="17"/>
      <c r="V170" s="17"/>
      <c r="W170" s="12"/>
      <c r="X170" s="12"/>
      <c r="Y170" s="12"/>
      <c r="Z170" s="12"/>
    </row>
    <row r="171" spans="1:26" ht="15" customHeight="1" x14ac:dyDescent="0.35">
      <c r="A171" s="26"/>
      <c r="B171" s="17"/>
      <c r="C171" s="17"/>
      <c r="D171" s="17"/>
      <c r="E171" s="17"/>
      <c r="F171" s="17"/>
      <c r="G171" s="17"/>
      <c r="H171" s="17"/>
      <c r="I171" s="17"/>
      <c r="J171" s="17"/>
      <c r="K171" s="17"/>
      <c r="L171" s="17"/>
      <c r="M171" s="17"/>
      <c r="N171" s="17"/>
      <c r="O171" s="17"/>
      <c r="P171" s="17"/>
      <c r="Q171" s="17"/>
      <c r="R171" s="17"/>
      <c r="S171" s="17"/>
      <c r="T171" s="17"/>
      <c r="U171" s="17"/>
      <c r="V171" s="17"/>
      <c r="W171" s="12"/>
      <c r="X171" s="12"/>
      <c r="Y171" s="12"/>
      <c r="Z171" s="12"/>
    </row>
    <row r="172" spans="1:26" ht="15" customHeight="1" x14ac:dyDescent="0.35">
      <c r="A172" s="26"/>
      <c r="B172" s="17"/>
      <c r="C172" s="17"/>
      <c r="D172" s="17"/>
      <c r="E172" s="17"/>
      <c r="F172" s="17"/>
      <c r="G172" s="17"/>
      <c r="H172" s="17"/>
      <c r="I172" s="17"/>
      <c r="J172" s="17"/>
      <c r="K172" s="17"/>
      <c r="L172" s="17"/>
      <c r="M172" s="17"/>
      <c r="N172" s="17"/>
      <c r="O172" s="17"/>
      <c r="P172" s="17"/>
      <c r="Q172" s="17"/>
      <c r="R172" s="17"/>
      <c r="S172" s="17"/>
      <c r="T172" s="17"/>
      <c r="U172" s="17"/>
      <c r="V172" s="17"/>
      <c r="W172" s="12"/>
      <c r="X172" s="12"/>
      <c r="Y172" s="12"/>
      <c r="Z172" s="12"/>
    </row>
    <row r="173" spans="1:26" ht="15" customHeight="1" x14ac:dyDescent="0.35">
      <c r="A173" s="26"/>
      <c r="B173" s="17"/>
      <c r="C173" s="17"/>
      <c r="D173" s="17"/>
      <c r="E173" s="17"/>
      <c r="F173" s="17"/>
      <c r="G173" s="17"/>
      <c r="H173" s="17"/>
      <c r="I173" s="17"/>
      <c r="J173" s="17"/>
      <c r="K173" s="17"/>
      <c r="L173" s="17"/>
      <c r="M173" s="17"/>
      <c r="N173" s="17"/>
      <c r="O173" s="17"/>
      <c r="P173" s="17"/>
      <c r="Q173" s="17"/>
      <c r="R173" s="17"/>
      <c r="S173" s="17"/>
      <c r="T173" s="17"/>
      <c r="U173" s="17"/>
      <c r="V173" s="17"/>
      <c r="W173" s="12"/>
      <c r="X173" s="12"/>
      <c r="Y173" s="12"/>
      <c r="Z173" s="12"/>
    </row>
    <row r="174" spans="1:26" ht="15" customHeight="1" x14ac:dyDescent="0.35">
      <c r="A174" s="27"/>
      <c r="B174" s="19"/>
      <c r="C174" s="19"/>
      <c r="D174" s="19"/>
      <c r="E174" s="19"/>
      <c r="F174" s="17"/>
      <c r="G174" s="19"/>
      <c r="H174" s="17"/>
      <c r="I174" s="17"/>
      <c r="J174" s="17"/>
      <c r="K174" s="17"/>
      <c r="L174" s="17"/>
      <c r="M174" s="17"/>
      <c r="N174" s="17"/>
      <c r="O174" s="17"/>
      <c r="P174" s="17"/>
      <c r="Q174" s="17"/>
      <c r="R174" s="17"/>
      <c r="S174" s="17"/>
      <c r="T174" s="17"/>
      <c r="U174" s="17"/>
      <c r="V174" s="17"/>
      <c r="W174" s="12"/>
      <c r="X174" s="12"/>
      <c r="Y174" s="12"/>
      <c r="Z174" s="12"/>
    </row>
    <row r="175" spans="1:26" ht="15" customHeight="1" x14ac:dyDescent="0.35">
      <c r="A175" s="26"/>
      <c r="B175" s="17"/>
      <c r="C175" s="17"/>
      <c r="D175" s="17"/>
      <c r="E175" s="17"/>
      <c r="F175" s="17"/>
      <c r="G175" s="17"/>
      <c r="H175" s="17"/>
      <c r="I175" s="17"/>
      <c r="J175" s="17"/>
      <c r="K175" s="17"/>
      <c r="L175" s="17"/>
      <c r="M175" s="17"/>
      <c r="N175" s="17"/>
      <c r="O175" s="17"/>
      <c r="P175" s="17"/>
      <c r="Q175" s="17"/>
      <c r="R175" s="17"/>
      <c r="S175" s="17"/>
      <c r="T175" s="17"/>
      <c r="U175" s="17"/>
      <c r="V175" s="17"/>
      <c r="W175" s="12"/>
      <c r="X175" s="12"/>
      <c r="Y175" s="12"/>
      <c r="Z175" s="12"/>
    </row>
    <row r="176" spans="1:26" ht="15" customHeight="1" x14ac:dyDescent="0.35">
      <c r="A176" s="26"/>
      <c r="B176" s="17"/>
      <c r="C176" s="17"/>
      <c r="D176" s="17"/>
      <c r="E176" s="17"/>
      <c r="F176" s="17"/>
      <c r="G176" s="17"/>
      <c r="H176" s="17"/>
      <c r="I176" s="17"/>
      <c r="J176" s="17"/>
      <c r="K176" s="17"/>
      <c r="L176" s="17"/>
      <c r="M176" s="17"/>
      <c r="N176" s="17"/>
      <c r="O176" s="17"/>
      <c r="P176" s="17"/>
      <c r="Q176" s="17"/>
      <c r="R176" s="17"/>
      <c r="S176" s="17"/>
      <c r="T176" s="17"/>
      <c r="U176" s="17"/>
      <c r="V176" s="17"/>
      <c r="W176" s="12"/>
      <c r="X176" s="12"/>
      <c r="Y176" s="12"/>
      <c r="Z176" s="12"/>
    </row>
    <row r="177" spans="1:26" ht="15" customHeight="1" x14ac:dyDescent="0.35">
      <c r="A177" s="26"/>
      <c r="B177" s="17"/>
      <c r="C177" s="17"/>
      <c r="D177" s="17"/>
      <c r="E177" s="17"/>
      <c r="F177" s="17"/>
      <c r="G177" s="17"/>
      <c r="H177" s="17"/>
      <c r="I177" s="17"/>
      <c r="J177" s="17"/>
      <c r="K177" s="17"/>
      <c r="L177" s="17"/>
      <c r="M177" s="17"/>
      <c r="N177" s="17"/>
      <c r="O177" s="17"/>
      <c r="P177" s="17"/>
      <c r="Q177" s="17"/>
      <c r="R177" s="17"/>
      <c r="S177" s="17"/>
      <c r="T177" s="17"/>
      <c r="U177" s="17"/>
      <c r="V177" s="17"/>
      <c r="W177" s="12"/>
      <c r="X177" s="12"/>
      <c r="Y177" s="12"/>
      <c r="Z177" s="12"/>
    </row>
    <row r="178" spans="1:26" ht="15" customHeight="1" x14ac:dyDescent="0.35">
      <c r="A178" s="26"/>
      <c r="B178" s="17"/>
      <c r="C178" s="17"/>
      <c r="D178" s="17"/>
      <c r="E178" s="17"/>
      <c r="F178" s="17"/>
      <c r="G178" s="17"/>
      <c r="H178" s="17"/>
      <c r="I178" s="17"/>
      <c r="J178" s="17"/>
      <c r="K178" s="17"/>
      <c r="L178" s="17"/>
      <c r="M178" s="17"/>
      <c r="N178" s="17"/>
      <c r="O178" s="17"/>
      <c r="P178" s="17"/>
      <c r="Q178" s="17"/>
      <c r="R178" s="17"/>
      <c r="S178" s="17"/>
      <c r="T178" s="17"/>
      <c r="U178" s="17"/>
      <c r="V178" s="17"/>
      <c r="W178" s="12"/>
      <c r="X178" s="12"/>
      <c r="Y178" s="12"/>
      <c r="Z178" s="12"/>
    </row>
    <row r="179" spans="1:26" ht="15" customHeight="1" x14ac:dyDescent="0.35">
      <c r="A179" s="26"/>
      <c r="B179" s="17"/>
      <c r="C179" s="17"/>
      <c r="D179" s="17"/>
      <c r="E179" s="17"/>
      <c r="F179" s="17"/>
      <c r="G179" s="17"/>
      <c r="H179" s="17"/>
      <c r="I179" s="17"/>
      <c r="J179" s="17"/>
      <c r="K179" s="17"/>
      <c r="L179" s="17"/>
      <c r="M179" s="17"/>
      <c r="N179" s="17"/>
      <c r="O179" s="17"/>
      <c r="P179" s="17"/>
      <c r="Q179" s="17"/>
      <c r="R179" s="17"/>
      <c r="S179" s="17"/>
      <c r="T179" s="17"/>
      <c r="U179" s="17"/>
      <c r="V179" s="17"/>
      <c r="W179" s="12"/>
      <c r="X179" s="12"/>
      <c r="Y179" s="12"/>
      <c r="Z179" s="12"/>
    </row>
    <row r="180" spans="1:26" ht="15" customHeight="1" x14ac:dyDescent="0.35">
      <c r="A180" s="26"/>
      <c r="B180" s="17"/>
      <c r="C180" s="17"/>
      <c r="D180" s="17"/>
      <c r="E180" s="17"/>
      <c r="F180" s="17"/>
      <c r="G180" s="17"/>
      <c r="H180" s="17"/>
      <c r="I180" s="17"/>
      <c r="J180" s="17"/>
      <c r="K180" s="17"/>
      <c r="L180" s="17"/>
      <c r="M180" s="17"/>
      <c r="N180" s="17"/>
      <c r="O180" s="17"/>
      <c r="P180" s="17"/>
      <c r="Q180" s="17"/>
      <c r="R180" s="17"/>
      <c r="S180" s="17"/>
      <c r="T180" s="17"/>
      <c r="U180" s="17"/>
      <c r="V180" s="17"/>
      <c r="W180" s="12"/>
      <c r="X180" s="12"/>
      <c r="Y180" s="12"/>
      <c r="Z180" s="12"/>
    </row>
    <row r="181" spans="1:26" ht="15" customHeight="1" x14ac:dyDescent="0.35">
      <c r="A181" s="26"/>
      <c r="B181" s="17"/>
      <c r="C181" s="17"/>
      <c r="D181" s="17"/>
      <c r="E181" s="17"/>
      <c r="F181" s="17"/>
      <c r="G181" s="17"/>
      <c r="H181" s="17"/>
      <c r="I181" s="17"/>
      <c r="J181" s="17"/>
      <c r="K181" s="17"/>
      <c r="L181" s="17"/>
      <c r="M181" s="17"/>
      <c r="N181" s="17"/>
      <c r="O181" s="17"/>
      <c r="P181" s="17"/>
      <c r="Q181" s="17"/>
      <c r="R181" s="17"/>
      <c r="S181" s="17"/>
      <c r="T181" s="17"/>
      <c r="U181" s="17"/>
      <c r="V181" s="17"/>
      <c r="W181" s="12"/>
      <c r="X181" s="12"/>
      <c r="Y181" s="12"/>
      <c r="Z181" s="12"/>
    </row>
    <row r="182" spans="1:26" ht="15" customHeight="1" x14ac:dyDescent="0.35">
      <c r="A182" s="26"/>
      <c r="B182" s="17"/>
      <c r="C182" s="17"/>
      <c r="D182" s="17"/>
      <c r="E182" s="17"/>
      <c r="F182" s="17"/>
      <c r="G182" s="17"/>
      <c r="H182" s="17"/>
      <c r="I182" s="17"/>
      <c r="J182" s="17"/>
      <c r="K182" s="17"/>
      <c r="L182" s="17"/>
      <c r="M182" s="17"/>
      <c r="N182" s="17"/>
      <c r="O182" s="17"/>
      <c r="P182" s="17"/>
      <c r="Q182" s="17"/>
      <c r="R182" s="17"/>
      <c r="S182" s="17"/>
      <c r="T182" s="17"/>
      <c r="U182" s="17"/>
      <c r="V182" s="17"/>
      <c r="W182" s="12"/>
      <c r="X182" s="12"/>
      <c r="Y182" s="12"/>
      <c r="Z182" s="12"/>
    </row>
    <row r="183" spans="1:26" ht="15" customHeight="1" x14ac:dyDescent="0.35">
      <c r="A183" s="26"/>
      <c r="B183" s="17"/>
      <c r="C183" s="17"/>
      <c r="D183" s="17"/>
      <c r="E183" s="17"/>
      <c r="F183" s="17"/>
      <c r="G183" s="17"/>
      <c r="H183" s="17"/>
      <c r="I183" s="17"/>
      <c r="J183" s="17"/>
      <c r="K183" s="17"/>
      <c r="L183" s="17"/>
      <c r="M183" s="17"/>
      <c r="N183" s="17"/>
      <c r="O183" s="17"/>
      <c r="P183" s="17"/>
      <c r="Q183" s="17"/>
      <c r="R183" s="17"/>
      <c r="S183" s="17"/>
      <c r="T183" s="17"/>
      <c r="U183" s="17"/>
      <c r="V183" s="17"/>
      <c r="W183" s="12"/>
      <c r="X183" s="12"/>
      <c r="Y183" s="12"/>
      <c r="Z183" s="12"/>
    </row>
    <row r="184" spans="1:26" ht="15" customHeight="1" x14ac:dyDescent="0.35">
      <c r="A184" s="26"/>
      <c r="B184" s="17"/>
      <c r="C184" s="17"/>
      <c r="D184" s="17"/>
      <c r="E184" s="17"/>
      <c r="F184" s="17"/>
      <c r="G184" s="17"/>
      <c r="H184" s="17"/>
      <c r="I184" s="17"/>
      <c r="J184" s="17"/>
      <c r="K184" s="17"/>
      <c r="L184" s="17"/>
      <c r="M184" s="17"/>
      <c r="N184" s="17"/>
      <c r="O184" s="17"/>
      <c r="P184" s="17"/>
      <c r="Q184" s="17"/>
      <c r="R184" s="17"/>
      <c r="S184" s="17"/>
      <c r="T184" s="17"/>
      <c r="U184" s="17"/>
      <c r="V184" s="17"/>
      <c r="W184" s="12"/>
      <c r="X184" s="12"/>
      <c r="Y184" s="12"/>
      <c r="Z184" s="12"/>
    </row>
    <row r="185" spans="1:26" ht="15" customHeight="1" x14ac:dyDescent="0.35">
      <c r="A185" s="26"/>
      <c r="B185" s="17"/>
      <c r="C185" s="17"/>
      <c r="D185" s="17"/>
      <c r="E185" s="17"/>
      <c r="F185" s="17"/>
      <c r="G185" s="17"/>
      <c r="H185" s="17"/>
      <c r="I185" s="17"/>
      <c r="J185" s="17"/>
      <c r="K185" s="17"/>
      <c r="L185" s="17"/>
      <c r="M185" s="17"/>
      <c r="N185" s="17"/>
      <c r="O185" s="17"/>
      <c r="P185" s="17"/>
      <c r="Q185" s="17"/>
      <c r="R185" s="17"/>
      <c r="S185" s="17"/>
      <c r="T185" s="17"/>
      <c r="U185" s="17"/>
      <c r="V185" s="17"/>
      <c r="W185" s="12"/>
      <c r="X185" s="12"/>
      <c r="Y185" s="12"/>
      <c r="Z185" s="12"/>
    </row>
    <row r="186" spans="1:26" ht="15" customHeight="1" x14ac:dyDescent="0.35">
      <c r="A186" s="26"/>
      <c r="B186" s="17"/>
      <c r="C186" s="17"/>
      <c r="D186" s="17"/>
      <c r="E186" s="17"/>
      <c r="F186" s="17"/>
      <c r="G186" s="17"/>
      <c r="H186" s="17"/>
      <c r="I186" s="17"/>
      <c r="J186" s="17"/>
      <c r="K186" s="17"/>
      <c r="L186" s="17"/>
      <c r="M186" s="17"/>
      <c r="N186" s="17"/>
      <c r="O186" s="17"/>
      <c r="P186" s="17"/>
      <c r="Q186" s="17"/>
      <c r="R186" s="17"/>
      <c r="S186" s="17"/>
      <c r="T186" s="17"/>
      <c r="U186" s="17"/>
      <c r="V186" s="17"/>
      <c r="W186" s="12"/>
      <c r="X186" s="12"/>
      <c r="Y186" s="12"/>
      <c r="Z186" s="12"/>
    </row>
    <row r="187" spans="1:26" ht="15" customHeight="1" x14ac:dyDescent="0.35">
      <c r="A187" s="26"/>
      <c r="B187" s="17"/>
      <c r="C187" s="17"/>
      <c r="D187" s="17"/>
      <c r="E187" s="17"/>
      <c r="F187" s="17"/>
      <c r="G187" s="17"/>
      <c r="H187" s="17"/>
      <c r="I187" s="17"/>
      <c r="J187" s="17"/>
      <c r="K187" s="17"/>
      <c r="L187" s="17"/>
      <c r="M187" s="17"/>
      <c r="N187" s="17"/>
      <c r="O187" s="17"/>
      <c r="P187" s="17"/>
      <c r="Q187" s="17"/>
      <c r="R187" s="17"/>
      <c r="S187" s="17"/>
      <c r="T187" s="17"/>
      <c r="U187" s="17"/>
      <c r="V187" s="17"/>
      <c r="W187" s="12"/>
      <c r="X187" s="12"/>
      <c r="Y187" s="12"/>
      <c r="Z187" s="12"/>
    </row>
    <row r="188" spans="1:26" ht="15" customHeight="1" x14ac:dyDescent="0.35">
      <c r="A188" s="26"/>
      <c r="B188" s="17"/>
      <c r="C188" s="17"/>
      <c r="D188" s="17"/>
      <c r="E188" s="17"/>
      <c r="F188" s="17"/>
      <c r="G188" s="17"/>
      <c r="H188" s="17"/>
      <c r="I188" s="17"/>
      <c r="J188" s="17"/>
      <c r="K188" s="17"/>
      <c r="L188" s="17"/>
      <c r="M188" s="17"/>
      <c r="N188" s="17"/>
      <c r="O188" s="17"/>
      <c r="P188" s="17"/>
      <c r="Q188" s="17"/>
      <c r="R188" s="17"/>
      <c r="S188" s="17"/>
      <c r="T188" s="17"/>
      <c r="U188" s="17"/>
      <c r="V188" s="17"/>
      <c r="W188" s="12"/>
      <c r="X188" s="12"/>
      <c r="Y188" s="12"/>
      <c r="Z188" s="12"/>
    </row>
    <row r="189" spans="1:26" ht="15" customHeight="1" x14ac:dyDescent="0.35">
      <c r="A189" s="26"/>
      <c r="B189" s="17"/>
      <c r="C189" s="17"/>
      <c r="D189" s="17"/>
      <c r="E189" s="17"/>
      <c r="F189" s="17"/>
      <c r="G189" s="17"/>
      <c r="H189" s="17"/>
      <c r="I189" s="17"/>
      <c r="J189" s="17"/>
      <c r="K189" s="17"/>
      <c r="L189" s="17"/>
      <c r="M189" s="17"/>
      <c r="N189" s="17"/>
      <c r="O189" s="17"/>
      <c r="P189" s="17"/>
      <c r="Q189" s="17"/>
      <c r="R189" s="17"/>
      <c r="S189" s="17"/>
      <c r="T189" s="17"/>
      <c r="U189" s="17"/>
      <c r="V189" s="17"/>
      <c r="W189" s="12"/>
      <c r="X189" s="12"/>
      <c r="Y189" s="12"/>
      <c r="Z189" s="12"/>
    </row>
    <row r="190" spans="1:26" ht="15" customHeight="1" x14ac:dyDescent="0.35">
      <c r="A190" s="26"/>
      <c r="B190" s="17"/>
      <c r="C190" s="17"/>
      <c r="D190" s="17"/>
      <c r="E190" s="17"/>
      <c r="F190" s="17"/>
      <c r="G190" s="17"/>
      <c r="H190" s="17"/>
      <c r="I190" s="17"/>
      <c r="J190" s="17"/>
      <c r="K190" s="17"/>
      <c r="L190" s="17"/>
      <c r="M190" s="17"/>
      <c r="N190" s="17"/>
      <c r="O190" s="17"/>
      <c r="P190" s="17"/>
      <c r="Q190" s="17"/>
      <c r="R190" s="17"/>
      <c r="S190" s="17"/>
      <c r="T190" s="17"/>
      <c r="U190" s="17"/>
      <c r="V190" s="17"/>
      <c r="W190" s="12"/>
      <c r="X190" s="12"/>
      <c r="Y190" s="12"/>
      <c r="Z190" s="12"/>
    </row>
    <row r="191" spans="1:26" ht="15" customHeight="1" x14ac:dyDescent="0.35">
      <c r="A191" s="26"/>
      <c r="B191" s="17"/>
      <c r="C191" s="17"/>
      <c r="D191" s="17"/>
      <c r="E191" s="17"/>
      <c r="F191" s="17"/>
      <c r="G191" s="17"/>
      <c r="H191" s="17"/>
      <c r="I191" s="17"/>
      <c r="J191" s="17"/>
      <c r="K191" s="17"/>
      <c r="L191" s="17"/>
      <c r="M191" s="17"/>
      <c r="N191" s="17"/>
      <c r="O191" s="17"/>
      <c r="P191" s="17"/>
      <c r="Q191" s="17"/>
      <c r="R191" s="17"/>
      <c r="S191" s="17"/>
      <c r="T191" s="17"/>
      <c r="U191" s="17"/>
      <c r="V191" s="17"/>
      <c r="W191" s="12"/>
      <c r="X191" s="12"/>
      <c r="Y191" s="12"/>
      <c r="Z191" s="12"/>
    </row>
    <row r="192" spans="1:26" ht="15" customHeight="1" x14ac:dyDescent="0.35">
      <c r="A192" s="26"/>
      <c r="B192" s="17"/>
      <c r="C192" s="17"/>
      <c r="D192" s="17"/>
      <c r="E192" s="17"/>
      <c r="F192" s="17"/>
      <c r="G192" s="17"/>
      <c r="H192" s="17"/>
      <c r="I192" s="17"/>
      <c r="J192" s="17"/>
      <c r="K192" s="17"/>
      <c r="L192" s="17"/>
      <c r="M192" s="17"/>
      <c r="N192" s="17"/>
      <c r="O192" s="17"/>
      <c r="P192" s="17"/>
      <c r="Q192" s="17"/>
      <c r="R192" s="17"/>
      <c r="S192" s="17"/>
      <c r="T192" s="17"/>
      <c r="U192" s="17"/>
      <c r="V192" s="17"/>
      <c r="W192" s="12"/>
      <c r="X192" s="12"/>
      <c r="Y192" s="12"/>
      <c r="Z192" s="12"/>
    </row>
    <row r="193" spans="1:26" ht="15" customHeight="1" x14ac:dyDescent="0.35">
      <c r="A193" s="26"/>
      <c r="B193" s="17"/>
      <c r="C193" s="17"/>
      <c r="D193" s="17"/>
      <c r="E193" s="17"/>
      <c r="F193" s="17"/>
      <c r="G193" s="17"/>
      <c r="H193" s="17"/>
      <c r="I193" s="17"/>
      <c r="J193" s="17"/>
      <c r="K193" s="17"/>
      <c r="L193" s="17"/>
      <c r="M193" s="17"/>
      <c r="N193" s="17"/>
      <c r="O193" s="17"/>
      <c r="P193" s="17"/>
      <c r="Q193" s="17"/>
      <c r="R193" s="17"/>
      <c r="S193" s="17"/>
      <c r="T193" s="17"/>
      <c r="U193" s="17"/>
      <c r="V193" s="17"/>
      <c r="W193" s="12"/>
      <c r="X193" s="12"/>
      <c r="Y193" s="12"/>
      <c r="Z193" s="12"/>
    </row>
    <row r="194" spans="1:26" ht="15" customHeight="1" x14ac:dyDescent="0.35">
      <c r="A194" s="26"/>
      <c r="B194" s="17"/>
      <c r="C194" s="17"/>
      <c r="D194" s="17"/>
      <c r="E194" s="17"/>
      <c r="F194" s="17"/>
      <c r="G194" s="17"/>
      <c r="H194" s="17"/>
      <c r="I194" s="17"/>
      <c r="J194" s="17"/>
      <c r="K194" s="17"/>
      <c r="L194" s="17"/>
      <c r="M194" s="17"/>
      <c r="N194" s="17"/>
      <c r="O194" s="17"/>
      <c r="P194" s="17"/>
      <c r="Q194" s="17"/>
      <c r="R194" s="17"/>
      <c r="S194" s="17"/>
      <c r="T194" s="17"/>
      <c r="U194" s="17"/>
      <c r="V194" s="17"/>
      <c r="W194" s="12"/>
      <c r="X194" s="12"/>
      <c r="Y194" s="12"/>
      <c r="Z194" s="12"/>
    </row>
    <row r="195" spans="1:26" ht="15" customHeight="1" x14ac:dyDescent="0.35">
      <c r="A195" s="26"/>
      <c r="B195" s="17"/>
      <c r="C195" s="17"/>
      <c r="D195" s="17"/>
      <c r="E195" s="17"/>
      <c r="F195" s="17"/>
      <c r="G195" s="17"/>
      <c r="H195" s="17"/>
      <c r="I195" s="17"/>
      <c r="J195" s="17"/>
      <c r="K195" s="17"/>
      <c r="L195" s="17"/>
      <c r="M195" s="17"/>
      <c r="N195" s="17"/>
      <c r="O195" s="17"/>
      <c r="P195" s="17"/>
      <c r="Q195" s="17"/>
      <c r="R195" s="17"/>
      <c r="S195" s="17"/>
      <c r="T195" s="17"/>
      <c r="U195" s="17"/>
      <c r="V195" s="17"/>
      <c r="W195" s="12"/>
      <c r="X195" s="12"/>
      <c r="Y195" s="12"/>
      <c r="Z195" s="12"/>
    </row>
    <row r="196" spans="1:26" ht="15" customHeight="1" x14ac:dyDescent="0.35">
      <c r="A196" s="26"/>
      <c r="B196" s="17"/>
      <c r="C196" s="17"/>
      <c r="D196" s="17"/>
      <c r="E196" s="17"/>
      <c r="F196" s="17"/>
      <c r="G196" s="17"/>
      <c r="H196" s="17"/>
      <c r="I196" s="17"/>
      <c r="J196" s="17"/>
      <c r="K196" s="17"/>
      <c r="L196" s="17"/>
      <c r="M196" s="17"/>
      <c r="N196" s="17"/>
      <c r="O196" s="17"/>
      <c r="P196" s="17"/>
      <c r="Q196" s="17"/>
      <c r="R196" s="17"/>
      <c r="S196" s="17"/>
      <c r="T196" s="17"/>
      <c r="U196" s="17"/>
      <c r="V196" s="17"/>
      <c r="W196" s="12"/>
      <c r="X196" s="12"/>
      <c r="Y196" s="12"/>
      <c r="Z196" s="12"/>
    </row>
    <row r="197" spans="1:26" ht="15" customHeight="1" x14ac:dyDescent="0.35">
      <c r="A197" s="26"/>
      <c r="B197" s="17"/>
      <c r="C197" s="17"/>
      <c r="D197" s="17"/>
      <c r="E197" s="17"/>
      <c r="F197" s="17"/>
      <c r="G197" s="17"/>
      <c r="H197" s="17"/>
      <c r="I197" s="17"/>
      <c r="J197" s="17"/>
      <c r="K197" s="17"/>
      <c r="L197" s="17"/>
      <c r="M197" s="17"/>
      <c r="N197" s="17"/>
      <c r="O197" s="17"/>
      <c r="P197" s="17"/>
      <c r="Q197" s="17"/>
      <c r="R197" s="17"/>
      <c r="S197" s="17"/>
      <c r="T197" s="17"/>
      <c r="U197" s="17"/>
      <c r="V197" s="17"/>
      <c r="W197" s="12"/>
      <c r="X197" s="12"/>
      <c r="Y197" s="12"/>
      <c r="Z197" s="12"/>
    </row>
    <row r="198" spans="1:26" ht="15" customHeight="1" x14ac:dyDescent="0.35">
      <c r="A198" s="26"/>
      <c r="B198" s="17"/>
      <c r="C198" s="17"/>
      <c r="D198" s="17"/>
      <c r="E198" s="17"/>
      <c r="F198" s="17"/>
      <c r="G198" s="17"/>
      <c r="H198" s="17"/>
      <c r="I198" s="17"/>
      <c r="J198" s="17"/>
      <c r="K198" s="17"/>
      <c r="L198" s="17"/>
      <c r="M198" s="17"/>
      <c r="N198" s="17"/>
      <c r="O198" s="17"/>
      <c r="P198" s="17"/>
      <c r="Q198" s="17"/>
      <c r="R198" s="17"/>
      <c r="S198" s="17"/>
      <c r="T198" s="17"/>
      <c r="U198" s="17"/>
      <c r="V198" s="17"/>
      <c r="W198" s="12"/>
      <c r="X198" s="12"/>
      <c r="Y198" s="12"/>
      <c r="Z198" s="12"/>
    </row>
    <row r="199" spans="1:26" ht="15" customHeight="1" x14ac:dyDescent="0.35">
      <c r="A199" s="26"/>
      <c r="B199" s="17"/>
      <c r="C199" s="17"/>
      <c r="D199" s="17"/>
      <c r="E199" s="17"/>
      <c r="F199" s="17"/>
      <c r="G199" s="17"/>
      <c r="H199" s="17"/>
      <c r="I199" s="17"/>
      <c r="J199" s="17"/>
      <c r="K199" s="17"/>
      <c r="L199" s="17"/>
      <c r="M199" s="17"/>
      <c r="N199" s="17"/>
      <c r="O199" s="17"/>
      <c r="P199" s="17"/>
      <c r="Q199" s="17"/>
      <c r="R199" s="17"/>
      <c r="S199" s="17"/>
      <c r="T199" s="17"/>
      <c r="U199" s="17"/>
      <c r="V199" s="17"/>
      <c r="W199" s="12"/>
      <c r="X199" s="12"/>
      <c r="Y199" s="12"/>
      <c r="Z199" s="12"/>
    </row>
    <row r="200" spans="1:26" ht="15" customHeight="1" x14ac:dyDescent="0.35">
      <c r="A200" s="26"/>
      <c r="B200" s="17"/>
      <c r="C200" s="17"/>
      <c r="D200" s="17"/>
      <c r="E200" s="17"/>
      <c r="F200" s="17"/>
      <c r="G200" s="17"/>
      <c r="H200" s="17"/>
      <c r="I200" s="17"/>
      <c r="J200" s="17"/>
      <c r="K200" s="17"/>
      <c r="L200" s="17"/>
      <c r="M200" s="17"/>
      <c r="N200" s="17"/>
      <c r="O200" s="17"/>
      <c r="P200" s="17"/>
      <c r="Q200" s="17"/>
      <c r="R200" s="17"/>
      <c r="S200" s="17"/>
      <c r="T200" s="17"/>
      <c r="U200" s="17"/>
      <c r="V200" s="17"/>
      <c r="W200" s="12"/>
      <c r="X200" s="12"/>
      <c r="Y200" s="12"/>
      <c r="Z200" s="12"/>
    </row>
    <row r="201" spans="1:26" ht="15" customHeight="1" x14ac:dyDescent="0.35">
      <c r="A201" s="26"/>
      <c r="B201" s="17"/>
      <c r="C201" s="17"/>
      <c r="D201" s="17"/>
      <c r="E201" s="17"/>
      <c r="F201" s="17"/>
      <c r="G201" s="17"/>
      <c r="H201" s="17"/>
      <c r="I201" s="17"/>
      <c r="J201" s="17"/>
      <c r="K201" s="17"/>
      <c r="L201" s="17"/>
      <c r="M201" s="17"/>
      <c r="N201" s="17"/>
      <c r="O201" s="17"/>
      <c r="P201" s="17"/>
      <c r="Q201" s="17"/>
      <c r="R201" s="17"/>
      <c r="S201" s="17"/>
      <c r="T201" s="17"/>
      <c r="U201" s="17"/>
      <c r="V201" s="17"/>
      <c r="W201" s="12"/>
      <c r="X201" s="12"/>
      <c r="Y201" s="12"/>
      <c r="Z201" s="12"/>
    </row>
    <row r="202" spans="1:26" ht="15" customHeight="1" x14ac:dyDescent="0.35">
      <c r="A202" s="26"/>
      <c r="B202" s="17"/>
      <c r="C202" s="17"/>
      <c r="D202" s="17"/>
      <c r="E202" s="17"/>
      <c r="F202" s="17"/>
      <c r="G202" s="17"/>
      <c r="H202" s="17"/>
      <c r="I202" s="17"/>
      <c r="J202" s="17"/>
      <c r="K202" s="17"/>
      <c r="L202" s="17"/>
      <c r="M202" s="17"/>
      <c r="N202" s="17"/>
      <c r="O202" s="17"/>
      <c r="P202" s="17"/>
      <c r="Q202" s="17"/>
      <c r="R202" s="17"/>
      <c r="S202" s="17"/>
      <c r="T202" s="17"/>
      <c r="U202" s="17"/>
      <c r="V202" s="17"/>
      <c r="W202" s="12"/>
      <c r="X202" s="12"/>
      <c r="Y202" s="12"/>
      <c r="Z202" s="12"/>
    </row>
    <row r="203" spans="1:26" ht="15" customHeight="1" x14ac:dyDescent="0.35">
      <c r="A203" s="26"/>
      <c r="B203" s="17"/>
      <c r="C203" s="17"/>
      <c r="D203" s="17"/>
      <c r="E203" s="17"/>
      <c r="F203" s="17"/>
      <c r="G203" s="17"/>
      <c r="H203" s="17"/>
      <c r="I203" s="17"/>
      <c r="J203" s="17"/>
      <c r="K203" s="17"/>
      <c r="L203" s="17"/>
      <c r="M203" s="17"/>
      <c r="N203" s="17"/>
      <c r="O203" s="17"/>
      <c r="P203" s="17"/>
      <c r="Q203" s="17"/>
      <c r="R203" s="17"/>
      <c r="S203" s="17"/>
      <c r="T203" s="17"/>
      <c r="U203" s="17"/>
      <c r="V203" s="17"/>
      <c r="W203" s="12"/>
      <c r="X203" s="12"/>
      <c r="Y203" s="12"/>
      <c r="Z203" s="12"/>
    </row>
    <row r="204" spans="1:26" ht="15" customHeight="1" x14ac:dyDescent="0.35">
      <c r="A204" s="26"/>
      <c r="B204" s="17"/>
      <c r="C204" s="17"/>
      <c r="D204" s="17"/>
      <c r="E204" s="17"/>
      <c r="F204" s="17"/>
      <c r="G204" s="17"/>
      <c r="H204" s="17"/>
      <c r="I204" s="17"/>
      <c r="J204" s="17"/>
      <c r="K204" s="17"/>
      <c r="L204" s="17"/>
      <c r="M204" s="17"/>
      <c r="N204" s="17"/>
      <c r="O204" s="17"/>
      <c r="P204" s="17"/>
      <c r="Q204" s="17"/>
      <c r="R204" s="17"/>
      <c r="S204" s="17"/>
      <c r="T204" s="17"/>
      <c r="U204" s="17"/>
      <c r="V204" s="17"/>
      <c r="W204" s="12"/>
      <c r="X204" s="12"/>
      <c r="Y204" s="12"/>
      <c r="Z204" s="12"/>
    </row>
    <row r="205" spans="1:26" ht="15" customHeight="1" x14ac:dyDescent="0.35">
      <c r="A205" s="26"/>
      <c r="B205" s="17"/>
      <c r="C205" s="17"/>
      <c r="D205" s="17"/>
      <c r="E205" s="17"/>
      <c r="F205" s="17"/>
      <c r="G205" s="17"/>
      <c r="H205" s="17"/>
      <c r="I205" s="17"/>
      <c r="J205" s="17"/>
      <c r="K205" s="17"/>
      <c r="L205" s="17"/>
      <c r="M205" s="17"/>
      <c r="N205" s="17"/>
      <c r="O205" s="17"/>
      <c r="P205" s="17"/>
      <c r="Q205" s="17"/>
      <c r="R205" s="17"/>
      <c r="S205" s="17"/>
      <c r="T205" s="17"/>
      <c r="U205" s="17"/>
      <c r="V205" s="17"/>
      <c r="W205" s="12"/>
      <c r="X205" s="12"/>
      <c r="Y205" s="12"/>
      <c r="Z205" s="12"/>
    </row>
    <row r="206" spans="1:26" ht="15" customHeight="1" x14ac:dyDescent="0.35">
      <c r="A206" s="26"/>
      <c r="B206" s="17"/>
      <c r="C206" s="17"/>
      <c r="D206" s="17"/>
      <c r="E206" s="17"/>
      <c r="F206" s="17"/>
      <c r="G206" s="17"/>
      <c r="H206" s="17"/>
      <c r="I206" s="17"/>
      <c r="J206" s="17"/>
      <c r="K206" s="17"/>
      <c r="L206" s="17"/>
      <c r="M206" s="17"/>
      <c r="N206" s="17"/>
      <c r="O206" s="17"/>
      <c r="P206" s="17"/>
      <c r="Q206" s="17"/>
      <c r="R206" s="17"/>
      <c r="S206" s="17"/>
      <c r="T206" s="17"/>
      <c r="U206" s="17"/>
      <c r="V206" s="17"/>
      <c r="W206" s="12"/>
      <c r="X206" s="12"/>
      <c r="Y206" s="12"/>
      <c r="Z206" s="12"/>
    </row>
    <row r="207" spans="1:26" ht="15" customHeight="1" x14ac:dyDescent="0.35">
      <c r="A207" s="26"/>
      <c r="B207" s="17"/>
      <c r="C207" s="17"/>
      <c r="D207" s="17"/>
      <c r="E207" s="17"/>
      <c r="F207" s="17"/>
      <c r="G207" s="17"/>
      <c r="H207" s="17"/>
      <c r="I207" s="17"/>
      <c r="J207" s="17"/>
      <c r="K207" s="17"/>
      <c r="L207" s="17"/>
      <c r="M207" s="17"/>
      <c r="N207" s="17"/>
      <c r="O207" s="17"/>
      <c r="P207" s="17"/>
      <c r="Q207" s="17"/>
      <c r="R207" s="17"/>
      <c r="S207" s="17"/>
      <c r="T207" s="17"/>
      <c r="U207" s="17"/>
      <c r="V207" s="17"/>
      <c r="W207" s="12"/>
      <c r="X207" s="12"/>
      <c r="Y207" s="12"/>
      <c r="Z207" s="12"/>
    </row>
    <row r="208" spans="1:26" ht="15" customHeight="1" x14ac:dyDescent="0.35">
      <c r="A208" s="26"/>
      <c r="B208" s="17"/>
      <c r="C208" s="17"/>
      <c r="D208" s="17"/>
      <c r="E208" s="17"/>
      <c r="F208" s="17"/>
      <c r="G208" s="17"/>
      <c r="H208" s="17"/>
      <c r="I208" s="17"/>
      <c r="J208" s="17"/>
      <c r="K208" s="17"/>
      <c r="L208" s="17"/>
      <c r="M208" s="17"/>
      <c r="N208" s="17"/>
      <c r="O208" s="17"/>
      <c r="P208" s="17"/>
      <c r="Q208" s="17"/>
      <c r="R208" s="17"/>
      <c r="S208" s="17"/>
      <c r="T208" s="17"/>
      <c r="U208" s="17"/>
      <c r="V208" s="17"/>
      <c r="W208" s="12"/>
      <c r="X208" s="12"/>
      <c r="Y208" s="12"/>
      <c r="Z208" s="12"/>
    </row>
    <row r="209" spans="1:26" ht="15" customHeight="1" x14ac:dyDescent="0.35">
      <c r="A209" s="26"/>
      <c r="B209" s="17"/>
      <c r="C209" s="17"/>
      <c r="D209" s="17"/>
      <c r="E209" s="17"/>
      <c r="F209" s="17"/>
      <c r="G209" s="17"/>
      <c r="H209" s="17"/>
      <c r="I209" s="17"/>
      <c r="J209" s="17"/>
      <c r="K209" s="17"/>
      <c r="L209" s="17"/>
      <c r="M209" s="17"/>
      <c r="N209" s="17"/>
      <c r="O209" s="17"/>
      <c r="P209" s="17"/>
      <c r="Q209" s="17"/>
      <c r="R209" s="17"/>
      <c r="S209" s="17"/>
      <c r="T209" s="17"/>
      <c r="U209" s="17"/>
      <c r="V209" s="17"/>
      <c r="W209" s="12"/>
      <c r="X209" s="12"/>
      <c r="Y209" s="12"/>
      <c r="Z209" s="12"/>
    </row>
    <row r="210" spans="1:26" ht="15" customHeight="1" x14ac:dyDescent="0.35">
      <c r="A210" s="26"/>
      <c r="B210" s="17"/>
      <c r="C210" s="17"/>
      <c r="D210" s="17"/>
      <c r="E210" s="17"/>
      <c r="F210" s="17"/>
      <c r="G210" s="17"/>
      <c r="H210" s="17"/>
      <c r="I210" s="17"/>
      <c r="J210" s="17"/>
      <c r="K210" s="17"/>
      <c r="L210" s="17"/>
      <c r="M210" s="17"/>
      <c r="N210" s="17"/>
      <c r="O210" s="17"/>
      <c r="P210" s="17"/>
      <c r="Q210" s="17"/>
      <c r="R210" s="17"/>
      <c r="S210" s="17"/>
      <c r="T210" s="17"/>
      <c r="U210" s="17"/>
      <c r="V210" s="17"/>
      <c r="W210" s="12"/>
      <c r="X210" s="12"/>
      <c r="Y210" s="12"/>
      <c r="Z210" s="12"/>
    </row>
    <row r="211" spans="1:26" ht="15" customHeight="1" x14ac:dyDescent="0.35">
      <c r="A211" s="26"/>
      <c r="B211" s="17"/>
      <c r="C211" s="17"/>
      <c r="D211" s="17"/>
      <c r="E211" s="17"/>
      <c r="F211" s="17"/>
      <c r="G211" s="17"/>
      <c r="H211" s="17"/>
      <c r="I211" s="17"/>
      <c r="J211" s="17"/>
      <c r="K211" s="17"/>
      <c r="L211" s="17"/>
      <c r="M211" s="17"/>
      <c r="N211" s="17"/>
      <c r="O211" s="17"/>
      <c r="P211" s="17"/>
      <c r="Q211" s="17"/>
      <c r="R211" s="17"/>
      <c r="S211" s="17"/>
      <c r="T211" s="17"/>
      <c r="U211" s="17"/>
      <c r="V211" s="17"/>
      <c r="W211" s="12"/>
      <c r="X211" s="12"/>
      <c r="Y211" s="12"/>
      <c r="Z211" s="12"/>
    </row>
    <row r="212" spans="1:26" ht="15" customHeight="1" x14ac:dyDescent="0.35">
      <c r="A212" s="26"/>
      <c r="B212" s="17"/>
      <c r="C212" s="17"/>
      <c r="D212" s="17"/>
      <c r="E212" s="17"/>
      <c r="F212" s="17"/>
      <c r="G212" s="17"/>
      <c r="H212" s="17"/>
      <c r="I212" s="17"/>
      <c r="J212" s="17"/>
      <c r="K212" s="17"/>
      <c r="L212" s="17"/>
      <c r="M212" s="17"/>
      <c r="N212" s="17"/>
      <c r="O212" s="17"/>
      <c r="P212" s="17"/>
      <c r="Q212" s="17"/>
      <c r="R212" s="17"/>
      <c r="S212" s="17"/>
      <c r="T212" s="17"/>
      <c r="U212" s="17"/>
      <c r="V212" s="17"/>
      <c r="W212" s="12"/>
      <c r="X212" s="12"/>
      <c r="Y212" s="12"/>
      <c r="Z212" s="12"/>
    </row>
    <row r="213" spans="1:26" ht="15" customHeight="1" x14ac:dyDescent="0.35">
      <c r="A213" s="26"/>
      <c r="B213" s="17"/>
      <c r="C213" s="17"/>
      <c r="D213" s="17"/>
      <c r="E213" s="17"/>
      <c r="F213" s="17"/>
      <c r="G213" s="17"/>
      <c r="H213" s="17"/>
      <c r="I213" s="17"/>
      <c r="J213" s="17"/>
      <c r="K213" s="17"/>
      <c r="L213" s="17"/>
      <c r="M213" s="17"/>
      <c r="N213" s="17"/>
      <c r="O213" s="17"/>
      <c r="P213" s="17"/>
      <c r="Q213" s="17"/>
      <c r="R213" s="17"/>
      <c r="S213" s="17"/>
      <c r="T213" s="17"/>
      <c r="U213" s="17"/>
      <c r="V213" s="17"/>
      <c r="W213" s="12"/>
      <c r="X213" s="12"/>
      <c r="Y213" s="12"/>
      <c r="Z213" s="12"/>
    </row>
    <row r="214" spans="1:26" ht="15" customHeight="1" x14ac:dyDescent="0.35">
      <c r="A214" s="26"/>
      <c r="B214" s="17"/>
      <c r="C214" s="17"/>
      <c r="D214" s="17"/>
      <c r="E214" s="17"/>
      <c r="F214" s="17"/>
      <c r="G214" s="17"/>
      <c r="H214" s="17"/>
      <c r="I214" s="17"/>
      <c r="J214" s="17"/>
      <c r="K214" s="17"/>
      <c r="L214" s="17"/>
      <c r="M214" s="17"/>
      <c r="N214" s="17"/>
      <c r="O214" s="17"/>
      <c r="P214" s="17"/>
      <c r="Q214" s="17"/>
      <c r="R214" s="17"/>
      <c r="S214" s="17"/>
      <c r="T214" s="17"/>
      <c r="U214" s="17"/>
      <c r="V214" s="17"/>
      <c r="W214" s="12"/>
      <c r="X214" s="12"/>
      <c r="Y214" s="12"/>
      <c r="Z214" s="12"/>
    </row>
    <row r="215" spans="1:26" ht="15" customHeight="1" x14ac:dyDescent="0.35">
      <c r="A215" s="26"/>
      <c r="B215" s="17"/>
      <c r="C215" s="17"/>
      <c r="D215" s="17"/>
      <c r="E215" s="17"/>
      <c r="F215" s="17"/>
      <c r="G215" s="17"/>
      <c r="H215" s="17"/>
      <c r="I215" s="17"/>
      <c r="J215" s="17"/>
      <c r="K215" s="17"/>
      <c r="L215" s="17"/>
      <c r="M215" s="17"/>
      <c r="N215" s="17"/>
      <c r="O215" s="17"/>
      <c r="P215" s="17"/>
      <c r="Q215" s="17"/>
      <c r="R215" s="17"/>
      <c r="S215" s="17"/>
      <c r="T215" s="17"/>
      <c r="U215" s="17"/>
      <c r="V215" s="17"/>
      <c r="W215" s="12"/>
      <c r="X215" s="12"/>
      <c r="Y215" s="12"/>
      <c r="Z215" s="12"/>
    </row>
    <row r="216" spans="1:26" ht="15" customHeight="1" x14ac:dyDescent="0.35">
      <c r="A216" s="26"/>
      <c r="B216" s="17"/>
      <c r="C216" s="17"/>
      <c r="D216" s="17"/>
      <c r="E216" s="17"/>
      <c r="F216" s="17"/>
      <c r="G216" s="17"/>
      <c r="H216" s="17"/>
      <c r="I216" s="17"/>
      <c r="J216" s="17"/>
      <c r="K216" s="17"/>
      <c r="L216" s="17"/>
      <c r="M216" s="17"/>
      <c r="N216" s="17"/>
      <c r="O216" s="17"/>
      <c r="P216" s="17"/>
      <c r="Q216" s="17"/>
      <c r="R216" s="17"/>
      <c r="S216" s="17"/>
      <c r="T216" s="17"/>
      <c r="U216" s="17"/>
      <c r="V216" s="17"/>
      <c r="W216" s="12"/>
      <c r="X216" s="12"/>
      <c r="Y216" s="12"/>
      <c r="Z216" s="12"/>
    </row>
    <row r="217" spans="1:26" ht="15" customHeight="1" x14ac:dyDescent="0.35">
      <c r="A217" s="26"/>
      <c r="B217" s="17"/>
      <c r="C217" s="17"/>
      <c r="D217" s="17"/>
      <c r="E217" s="17"/>
      <c r="F217" s="17"/>
      <c r="G217" s="17"/>
      <c r="H217" s="17"/>
      <c r="I217" s="17"/>
      <c r="J217" s="17"/>
      <c r="K217" s="17"/>
      <c r="L217" s="17"/>
      <c r="M217" s="17"/>
      <c r="N217" s="17"/>
      <c r="O217" s="17"/>
      <c r="P217" s="17"/>
      <c r="Q217" s="17"/>
      <c r="R217" s="17"/>
      <c r="S217" s="17"/>
      <c r="T217" s="17"/>
      <c r="U217" s="17"/>
      <c r="V217" s="17"/>
      <c r="W217" s="12"/>
      <c r="X217" s="12"/>
      <c r="Y217" s="12"/>
      <c r="Z217" s="12"/>
    </row>
    <row r="218" spans="1:26" ht="15" customHeight="1" x14ac:dyDescent="0.35">
      <c r="A218" s="26"/>
      <c r="B218" s="17"/>
      <c r="C218" s="17"/>
      <c r="D218" s="17"/>
      <c r="E218" s="17"/>
      <c r="F218" s="17"/>
      <c r="G218" s="17"/>
      <c r="H218" s="17"/>
      <c r="I218" s="17"/>
      <c r="J218" s="17"/>
      <c r="K218" s="17"/>
      <c r="L218" s="17"/>
      <c r="M218" s="17"/>
      <c r="N218" s="17"/>
      <c r="O218" s="17"/>
      <c r="P218" s="17"/>
      <c r="Q218" s="17"/>
      <c r="R218" s="17"/>
      <c r="S218" s="17"/>
      <c r="T218" s="17"/>
      <c r="U218" s="17"/>
      <c r="V218" s="17"/>
      <c r="W218" s="12"/>
      <c r="X218" s="12"/>
      <c r="Y218" s="12"/>
      <c r="Z218" s="12"/>
    </row>
    <row r="219" spans="1:26" ht="15" customHeight="1" x14ac:dyDescent="0.35">
      <c r="A219" s="26"/>
      <c r="B219" s="17"/>
      <c r="C219" s="17"/>
      <c r="D219" s="17"/>
      <c r="E219" s="17"/>
      <c r="F219" s="17"/>
      <c r="G219" s="17"/>
      <c r="H219" s="17"/>
      <c r="I219" s="17"/>
      <c r="J219" s="17"/>
      <c r="K219" s="17"/>
      <c r="L219" s="17"/>
      <c r="M219" s="17"/>
      <c r="N219" s="17"/>
      <c r="O219" s="17"/>
      <c r="P219" s="17"/>
      <c r="Q219" s="17"/>
      <c r="R219" s="17"/>
      <c r="S219" s="17"/>
      <c r="T219" s="17"/>
      <c r="U219" s="17"/>
      <c r="V219" s="17"/>
      <c r="W219" s="12"/>
      <c r="X219" s="12"/>
      <c r="Y219" s="12"/>
      <c r="Z219" s="12"/>
    </row>
    <row r="220" spans="1:26" ht="15" customHeight="1" x14ac:dyDescent="0.35">
      <c r="A220" s="26"/>
      <c r="B220" s="17"/>
      <c r="C220" s="17"/>
      <c r="D220" s="17"/>
      <c r="E220" s="17"/>
      <c r="F220" s="17"/>
      <c r="G220" s="17"/>
      <c r="H220" s="17"/>
      <c r="I220" s="17"/>
      <c r="J220" s="17"/>
      <c r="K220" s="17"/>
      <c r="L220" s="17"/>
      <c r="M220" s="17"/>
      <c r="N220" s="17"/>
      <c r="O220" s="17"/>
      <c r="P220" s="17"/>
      <c r="Q220" s="17"/>
      <c r="R220" s="17"/>
      <c r="S220" s="17"/>
      <c r="T220" s="17"/>
      <c r="U220" s="17"/>
      <c r="V220" s="17"/>
      <c r="W220" s="12"/>
      <c r="X220" s="12"/>
      <c r="Y220" s="12"/>
      <c r="Z220" s="12"/>
    </row>
    <row r="221" spans="1:26" ht="15" customHeight="1" x14ac:dyDescent="0.35">
      <c r="A221" s="26"/>
      <c r="B221" s="17"/>
      <c r="C221" s="17"/>
      <c r="D221" s="17"/>
      <c r="E221" s="17"/>
      <c r="F221" s="17"/>
      <c r="G221" s="17"/>
      <c r="H221" s="17"/>
      <c r="I221" s="17"/>
      <c r="J221" s="17"/>
      <c r="K221" s="17"/>
      <c r="L221" s="17"/>
      <c r="M221" s="17"/>
      <c r="N221" s="17"/>
      <c r="O221" s="17"/>
      <c r="P221" s="17"/>
      <c r="Q221" s="17"/>
      <c r="R221" s="17"/>
      <c r="S221" s="17"/>
      <c r="T221" s="17"/>
      <c r="U221" s="17"/>
      <c r="V221" s="17"/>
      <c r="W221" s="12"/>
      <c r="X221" s="12"/>
      <c r="Y221" s="12"/>
      <c r="Z221" s="12"/>
    </row>
    <row r="222" spans="1:26" ht="15" customHeight="1" x14ac:dyDescent="0.35">
      <c r="A222" s="26"/>
      <c r="B222" s="17"/>
      <c r="C222" s="17"/>
      <c r="D222" s="17"/>
      <c r="E222" s="17"/>
      <c r="F222" s="17"/>
      <c r="G222" s="17"/>
      <c r="H222" s="17"/>
      <c r="I222" s="17"/>
      <c r="J222" s="17"/>
      <c r="K222" s="17"/>
      <c r="L222" s="17"/>
      <c r="M222" s="17"/>
      <c r="N222" s="17"/>
      <c r="O222" s="17"/>
      <c r="P222" s="17"/>
      <c r="Q222" s="17"/>
      <c r="R222" s="17"/>
      <c r="S222" s="17"/>
      <c r="T222" s="17"/>
      <c r="U222" s="17"/>
      <c r="V222" s="17"/>
      <c r="W222" s="12"/>
      <c r="X222" s="12"/>
      <c r="Y222" s="12"/>
      <c r="Z222" s="12"/>
    </row>
    <row r="223" spans="1:26" ht="15" customHeight="1" x14ac:dyDescent="0.35">
      <c r="A223" s="26"/>
      <c r="B223" s="17"/>
      <c r="C223" s="17"/>
      <c r="D223" s="17"/>
      <c r="E223" s="17"/>
      <c r="F223" s="17"/>
      <c r="G223" s="17"/>
      <c r="H223" s="17"/>
      <c r="I223" s="17"/>
      <c r="J223" s="17"/>
      <c r="K223" s="17"/>
      <c r="L223" s="17"/>
      <c r="M223" s="17"/>
      <c r="N223" s="17"/>
      <c r="O223" s="17"/>
      <c r="P223" s="17"/>
      <c r="Q223" s="17"/>
      <c r="R223" s="17"/>
      <c r="S223" s="17"/>
      <c r="T223" s="17"/>
      <c r="U223" s="17"/>
      <c r="V223" s="17"/>
      <c r="W223" s="12"/>
      <c r="X223" s="12"/>
      <c r="Y223" s="12"/>
      <c r="Z223" s="12"/>
    </row>
    <row r="224" spans="1:26" ht="15" customHeight="1" x14ac:dyDescent="0.35">
      <c r="A224" s="26"/>
      <c r="B224" s="17"/>
      <c r="C224" s="17"/>
      <c r="D224" s="17"/>
      <c r="E224" s="17"/>
      <c r="F224" s="17"/>
      <c r="G224" s="17"/>
      <c r="H224" s="17"/>
      <c r="I224" s="17"/>
      <c r="J224" s="17"/>
      <c r="K224" s="17"/>
      <c r="L224" s="17"/>
      <c r="M224" s="17"/>
      <c r="N224" s="17"/>
      <c r="O224" s="17"/>
      <c r="P224" s="17"/>
      <c r="Q224" s="17"/>
      <c r="R224" s="17"/>
      <c r="S224" s="17"/>
      <c r="T224" s="17"/>
      <c r="U224" s="17"/>
      <c r="V224" s="17"/>
      <c r="W224" s="12"/>
      <c r="X224" s="12"/>
      <c r="Y224" s="12"/>
      <c r="Z224" s="12"/>
    </row>
    <row r="225" spans="1:26" ht="15" customHeight="1" x14ac:dyDescent="0.35">
      <c r="A225" s="27"/>
      <c r="B225" s="19"/>
      <c r="C225" s="19"/>
      <c r="D225" s="19"/>
      <c r="E225" s="19"/>
      <c r="F225" s="17"/>
      <c r="G225" s="19"/>
      <c r="H225" s="17"/>
      <c r="I225" s="17"/>
      <c r="J225" s="17"/>
      <c r="K225" s="17"/>
      <c r="L225" s="17"/>
      <c r="M225" s="17"/>
      <c r="N225" s="17"/>
      <c r="O225" s="17"/>
      <c r="P225" s="17"/>
      <c r="Q225" s="17"/>
      <c r="R225" s="17"/>
      <c r="S225" s="17"/>
      <c r="T225" s="17"/>
      <c r="U225" s="17"/>
      <c r="V225" s="17"/>
      <c r="W225" s="12"/>
      <c r="X225" s="12"/>
      <c r="Y225" s="12"/>
      <c r="Z225" s="12"/>
    </row>
    <row r="226" spans="1:26" ht="15" customHeight="1" x14ac:dyDescent="0.35">
      <c r="A226" s="26"/>
      <c r="B226" s="17"/>
      <c r="C226" s="17"/>
      <c r="D226" s="17"/>
      <c r="E226" s="17"/>
      <c r="F226" s="17"/>
      <c r="G226" s="17"/>
      <c r="H226" s="17"/>
      <c r="I226" s="17"/>
      <c r="J226" s="17"/>
      <c r="K226" s="17"/>
      <c r="L226" s="17"/>
      <c r="M226" s="17"/>
      <c r="N226" s="17"/>
      <c r="O226" s="17"/>
      <c r="P226" s="17"/>
      <c r="Q226" s="17"/>
      <c r="R226" s="17"/>
      <c r="S226" s="17"/>
      <c r="T226" s="17"/>
      <c r="U226" s="17"/>
      <c r="V226" s="17"/>
      <c r="W226" s="12"/>
      <c r="X226" s="12"/>
      <c r="Y226" s="12"/>
      <c r="Z226" s="12"/>
    </row>
    <row r="227" spans="1:26" ht="15" customHeight="1" x14ac:dyDescent="0.35">
      <c r="A227" s="26"/>
      <c r="B227" s="17"/>
      <c r="C227" s="17"/>
      <c r="D227" s="17"/>
      <c r="E227" s="17"/>
      <c r="F227" s="17"/>
      <c r="G227" s="17"/>
      <c r="H227" s="17"/>
      <c r="I227" s="17"/>
      <c r="J227" s="17"/>
      <c r="K227" s="17"/>
      <c r="L227" s="17"/>
      <c r="M227" s="17"/>
      <c r="N227" s="17"/>
      <c r="O227" s="17"/>
      <c r="P227" s="17"/>
      <c r="Q227" s="17"/>
      <c r="R227" s="17"/>
      <c r="S227" s="17"/>
      <c r="T227" s="17"/>
      <c r="U227" s="17"/>
      <c r="V227" s="17"/>
      <c r="W227" s="12"/>
      <c r="X227" s="12"/>
      <c r="Y227" s="12"/>
      <c r="Z227" s="12"/>
    </row>
    <row r="228" spans="1:26" ht="15" customHeight="1" x14ac:dyDescent="0.35">
      <c r="A228" s="26"/>
      <c r="B228" s="17"/>
      <c r="C228" s="17"/>
      <c r="D228" s="17"/>
      <c r="E228" s="17"/>
      <c r="F228" s="17"/>
      <c r="G228" s="17"/>
      <c r="H228" s="17"/>
      <c r="I228" s="17"/>
      <c r="J228" s="17"/>
      <c r="K228" s="17"/>
      <c r="L228" s="17"/>
      <c r="M228" s="17"/>
      <c r="N228" s="17"/>
      <c r="O228" s="17"/>
      <c r="P228" s="17"/>
      <c r="Q228" s="17"/>
      <c r="R228" s="17"/>
      <c r="S228" s="17"/>
      <c r="T228" s="17"/>
      <c r="U228" s="17"/>
      <c r="V228" s="17"/>
      <c r="W228" s="12"/>
      <c r="X228" s="12"/>
      <c r="Y228" s="12"/>
      <c r="Z228" s="12"/>
    </row>
    <row r="229" spans="1:26" ht="15" customHeight="1" x14ac:dyDescent="0.35">
      <c r="A229" s="26"/>
      <c r="B229" s="17"/>
      <c r="C229" s="17"/>
      <c r="D229" s="17"/>
      <c r="E229" s="17"/>
      <c r="F229" s="17"/>
      <c r="G229" s="17"/>
      <c r="H229" s="17"/>
      <c r="I229" s="17"/>
      <c r="J229" s="17"/>
      <c r="K229" s="17"/>
      <c r="L229" s="17"/>
      <c r="M229" s="17"/>
      <c r="N229" s="17"/>
      <c r="O229" s="17"/>
      <c r="P229" s="17"/>
      <c r="Q229" s="17"/>
      <c r="R229" s="17"/>
      <c r="S229" s="17"/>
      <c r="T229" s="17"/>
      <c r="U229" s="17"/>
      <c r="V229" s="17"/>
      <c r="W229" s="12"/>
      <c r="X229" s="12"/>
      <c r="Y229" s="12"/>
      <c r="Z229" s="12"/>
    </row>
    <row r="230" spans="1:26" ht="15" customHeight="1" x14ac:dyDescent="0.35">
      <c r="A230" s="26"/>
      <c r="B230" s="17"/>
      <c r="C230" s="17"/>
      <c r="D230" s="17"/>
      <c r="E230" s="17"/>
      <c r="F230" s="17"/>
      <c r="G230" s="17"/>
      <c r="H230" s="17"/>
      <c r="I230" s="17"/>
      <c r="J230" s="17"/>
      <c r="K230" s="17"/>
      <c r="L230" s="17"/>
      <c r="M230" s="17"/>
      <c r="N230" s="17"/>
      <c r="O230" s="17"/>
      <c r="P230" s="17"/>
      <c r="Q230" s="17"/>
      <c r="R230" s="17"/>
      <c r="S230" s="17"/>
      <c r="T230" s="17"/>
      <c r="U230" s="17"/>
      <c r="V230" s="17"/>
      <c r="W230" s="12"/>
      <c r="X230" s="12"/>
      <c r="Y230" s="12"/>
      <c r="Z230" s="12"/>
    </row>
    <row r="231" spans="1:26" ht="15" customHeight="1" x14ac:dyDescent="0.35">
      <c r="A231" s="26"/>
      <c r="B231" s="17"/>
      <c r="C231" s="17"/>
      <c r="D231" s="17"/>
      <c r="E231" s="17"/>
      <c r="F231" s="17"/>
      <c r="G231" s="17"/>
      <c r="H231" s="17"/>
      <c r="I231" s="17"/>
      <c r="J231" s="17"/>
      <c r="K231" s="17"/>
      <c r="L231" s="17"/>
      <c r="M231" s="17"/>
      <c r="N231" s="17"/>
      <c r="O231" s="17"/>
      <c r="P231" s="17"/>
      <c r="Q231" s="17"/>
      <c r="R231" s="17"/>
      <c r="S231" s="17"/>
      <c r="T231" s="17"/>
      <c r="U231" s="17"/>
      <c r="V231" s="17"/>
      <c r="W231" s="12"/>
      <c r="X231" s="12"/>
      <c r="Y231" s="12"/>
      <c r="Z231" s="12"/>
    </row>
    <row r="232" spans="1:26" ht="15" customHeight="1" x14ac:dyDescent="0.35">
      <c r="A232" s="26"/>
      <c r="B232" s="17"/>
      <c r="C232" s="17"/>
      <c r="D232" s="17"/>
      <c r="E232" s="17"/>
      <c r="F232" s="17"/>
      <c r="G232" s="17"/>
      <c r="H232" s="17"/>
      <c r="I232" s="17"/>
      <c r="J232" s="17"/>
      <c r="K232" s="17"/>
      <c r="L232" s="17"/>
      <c r="M232" s="17"/>
      <c r="N232" s="17"/>
      <c r="O232" s="17"/>
      <c r="P232" s="17"/>
      <c r="Q232" s="17"/>
      <c r="R232" s="17"/>
      <c r="S232" s="17"/>
      <c r="T232" s="17"/>
      <c r="U232" s="17"/>
      <c r="V232" s="17"/>
      <c r="W232" s="12"/>
      <c r="X232" s="12"/>
      <c r="Y232" s="12"/>
      <c r="Z232" s="12"/>
    </row>
    <row r="233" spans="1:26" ht="15" customHeight="1" x14ac:dyDescent="0.35">
      <c r="A233" s="26"/>
      <c r="B233" s="17"/>
      <c r="C233" s="17"/>
      <c r="D233" s="17"/>
      <c r="E233" s="17"/>
      <c r="F233" s="17"/>
      <c r="G233" s="17"/>
      <c r="H233" s="17"/>
      <c r="I233" s="17"/>
      <c r="J233" s="17"/>
      <c r="K233" s="17"/>
      <c r="L233" s="17"/>
      <c r="M233" s="17"/>
      <c r="N233" s="17"/>
      <c r="O233" s="17"/>
      <c r="P233" s="17"/>
      <c r="Q233" s="17"/>
      <c r="R233" s="17"/>
      <c r="S233" s="17"/>
      <c r="T233" s="17"/>
      <c r="U233" s="17"/>
      <c r="V233" s="17"/>
      <c r="W233" s="12"/>
      <c r="X233" s="12"/>
      <c r="Y233" s="12"/>
      <c r="Z233" s="12"/>
    </row>
    <row r="234" spans="1:26" ht="15" customHeight="1" x14ac:dyDescent="0.35">
      <c r="A234" s="26"/>
      <c r="B234" s="17"/>
      <c r="C234" s="17"/>
      <c r="D234" s="17"/>
      <c r="E234" s="17"/>
      <c r="F234" s="17"/>
      <c r="G234" s="17"/>
      <c r="H234" s="17"/>
      <c r="I234" s="17"/>
      <c r="J234" s="17"/>
      <c r="K234" s="17"/>
      <c r="L234" s="17"/>
      <c r="M234" s="17"/>
      <c r="N234" s="17"/>
      <c r="O234" s="17"/>
      <c r="P234" s="17"/>
      <c r="Q234" s="17"/>
      <c r="R234" s="17"/>
      <c r="S234" s="17"/>
      <c r="T234" s="17"/>
      <c r="U234" s="17"/>
      <c r="V234" s="17"/>
      <c r="W234" s="12"/>
      <c r="X234" s="12"/>
      <c r="Y234" s="12"/>
      <c r="Z234" s="12"/>
    </row>
    <row r="235" spans="1:26" ht="15" customHeight="1" x14ac:dyDescent="0.35">
      <c r="A235" s="26"/>
      <c r="B235" s="17"/>
      <c r="C235" s="17"/>
      <c r="D235" s="17"/>
      <c r="E235" s="17"/>
      <c r="F235" s="17"/>
      <c r="G235" s="17"/>
      <c r="H235" s="17"/>
      <c r="I235" s="17"/>
      <c r="J235" s="17"/>
      <c r="K235" s="17"/>
      <c r="L235" s="17"/>
      <c r="M235" s="17"/>
      <c r="N235" s="17"/>
      <c r="O235" s="17"/>
      <c r="P235" s="17"/>
      <c r="Q235" s="17"/>
      <c r="R235" s="17"/>
      <c r="S235" s="17"/>
      <c r="T235" s="17"/>
      <c r="U235" s="17"/>
      <c r="V235" s="17"/>
      <c r="W235" s="12"/>
      <c r="X235" s="12"/>
      <c r="Y235" s="12"/>
      <c r="Z235" s="12"/>
    </row>
    <row r="236" spans="1:26" ht="15" customHeight="1" x14ac:dyDescent="0.35">
      <c r="A236" s="26"/>
      <c r="B236" s="17"/>
      <c r="C236" s="17"/>
      <c r="D236" s="17"/>
      <c r="E236" s="17"/>
      <c r="F236" s="17"/>
      <c r="G236" s="17"/>
      <c r="H236" s="17"/>
      <c r="I236" s="17"/>
      <c r="J236" s="17"/>
      <c r="K236" s="17"/>
      <c r="L236" s="17"/>
      <c r="M236" s="17"/>
      <c r="N236" s="17"/>
      <c r="O236" s="17"/>
      <c r="P236" s="17"/>
      <c r="Q236" s="17"/>
      <c r="R236" s="17"/>
      <c r="S236" s="17"/>
      <c r="T236" s="17"/>
      <c r="U236" s="17"/>
      <c r="V236" s="17"/>
      <c r="W236" s="12"/>
      <c r="X236" s="12"/>
      <c r="Y236" s="12"/>
      <c r="Z236" s="12"/>
    </row>
    <row r="237" spans="1:26" ht="15" customHeight="1" x14ac:dyDescent="0.35">
      <c r="A237" s="26"/>
      <c r="B237" s="17"/>
      <c r="C237" s="17"/>
      <c r="D237" s="17"/>
      <c r="E237" s="17"/>
      <c r="F237" s="17"/>
      <c r="G237" s="17"/>
      <c r="H237" s="17"/>
      <c r="I237" s="17"/>
      <c r="J237" s="17"/>
      <c r="K237" s="17"/>
      <c r="L237" s="17"/>
      <c r="M237" s="17"/>
      <c r="N237" s="17"/>
      <c r="O237" s="17"/>
      <c r="P237" s="17"/>
      <c r="Q237" s="17"/>
      <c r="R237" s="17"/>
      <c r="S237" s="17"/>
      <c r="T237" s="17"/>
      <c r="U237" s="17"/>
      <c r="V237" s="17"/>
      <c r="W237" s="12"/>
      <c r="X237" s="12"/>
      <c r="Y237" s="12"/>
      <c r="Z237" s="12"/>
    </row>
    <row r="238" spans="1:26" ht="15" customHeight="1" x14ac:dyDescent="0.35">
      <c r="A238" s="26"/>
      <c r="B238" s="17"/>
      <c r="C238" s="17"/>
      <c r="D238" s="17"/>
      <c r="E238" s="17"/>
      <c r="F238" s="17"/>
      <c r="G238" s="17"/>
      <c r="H238" s="17"/>
      <c r="I238" s="17"/>
      <c r="J238" s="17"/>
      <c r="K238" s="17"/>
      <c r="L238" s="17"/>
      <c r="M238" s="17"/>
      <c r="N238" s="17"/>
      <c r="O238" s="17"/>
      <c r="P238" s="17"/>
      <c r="Q238" s="17"/>
      <c r="R238" s="17"/>
      <c r="S238" s="17"/>
      <c r="T238" s="17"/>
      <c r="U238" s="17"/>
      <c r="V238" s="17"/>
      <c r="W238" s="12"/>
      <c r="X238" s="12"/>
      <c r="Y238" s="12"/>
      <c r="Z238" s="12"/>
    </row>
    <row r="239" spans="1:26" ht="15" customHeight="1" x14ac:dyDescent="0.35">
      <c r="A239" s="26"/>
      <c r="B239" s="17"/>
      <c r="C239" s="17"/>
      <c r="D239" s="17"/>
      <c r="E239" s="17"/>
      <c r="F239" s="17"/>
      <c r="G239" s="17"/>
      <c r="H239" s="17"/>
      <c r="I239" s="17"/>
      <c r="J239" s="17"/>
      <c r="K239" s="17"/>
      <c r="L239" s="17"/>
      <c r="M239" s="17"/>
      <c r="N239" s="17"/>
      <c r="O239" s="17"/>
      <c r="P239" s="17"/>
      <c r="Q239" s="17"/>
      <c r="R239" s="17"/>
      <c r="S239" s="17"/>
      <c r="T239" s="17"/>
      <c r="U239" s="17"/>
      <c r="V239" s="17"/>
      <c r="W239" s="12"/>
      <c r="X239" s="12"/>
      <c r="Y239" s="12"/>
      <c r="Z239" s="12"/>
    </row>
    <row r="240" spans="1:26" ht="15" customHeight="1" x14ac:dyDescent="0.35">
      <c r="A240" s="26"/>
      <c r="B240" s="17"/>
      <c r="C240" s="17"/>
      <c r="D240" s="17"/>
      <c r="E240" s="17"/>
      <c r="F240" s="17"/>
      <c r="G240" s="17"/>
      <c r="H240" s="17"/>
      <c r="I240" s="17"/>
      <c r="J240" s="17"/>
      <c r="K240" s="17"/>
      <c r="L240" s="17"/>
      <c r="M240" s="17"/>
      <c r="N240" s="17"/>
      <c r="O240" s="17"/>
      <c r="P240" s="17"/>
      <c r="Q240" s="17"/>
      <c r="R240" s="17"/>
      <c r="S240" s="17"/>
      <c r="T240" s="17"/>
      <c r="U240" s="17"/>
      <c r="V240" s="17"/>
      <c r="W240" s="12"/>
      <c r="X240" s="12"/>
      <c r="Y240" s="12"/>
      <c r="Z240" s="12"/>
    </row>
    <row r="241" spans="1:26" ht="15" customHeight="1" x14ac:dyDescent="0.35">
      <c r="A241" s="26"/>
      <c r="B241" s="17"/>
      <c r="C241" s="17"/>
      <c r="D241" s="17"/>
      <c r="E241" s="17"/>
      <c r="F241" s="17"/>
      <c r="G241" s="17"/>
      <c r="H241" s="17"/>
      <c r="I241" s="17"/>
      <c r="J241" s="17"/>
      <c r="K241" s="17"/>
      <c r="L241" s="17"/>
      <c r="M241" s="17"/>
      <c r="N241" s="17"/>
      <c r="O241" s="17"/>
      <c r="P241" s="17"/>
      <c r="Q241" s="17"/>
      <c r="R241" s="17"/>
      <c r="S241" s="17"/>
      <c r="T241" s="17"/>
      <c r="U241" s="17"/>
      <c r="V241" s="17"/>
      <c r="W241" s="12"/>
      <c r="X241" s="12"/>
      <c r="Y241" s="12"/>
      <c r="Z241" s="12"/>
    </row>
    <row r="242" spans="1:26" ht="15" customHeight="1" x14ac:dyDescent="0.35">
      <c r="A242" s="26"/>
      <c r="B242" s="17"/>
      <c r="C242" s="17"/>
      <c r="D242" s="17"/>
      <c r="E242" s="17"/>
      <c r="F242" s="17"/>
      <c r="G242" s="17"/>
      <c r="H242" s="17"/>
      <c r="I242" s="17"/>
      <c r="J242" s="17"/>
      <c r="K242" s="17"/>
      <c r="L242" s="17"/>
      <c r="M242" s="17"/>
      <c r="N242" s="17"/>
      <c r="O242" s="17"/>
      <c r="P242" s="17"/>
      <c r="Q242" s="17"/>
      <c r="R242" s="17"/>
      <c r="S242" s="17"/>
      <c r="T242" s="17"/>
      <c r="U242" s="17"/>
      <c r="V242" s="17"/>
      <c r="W242" s="12"/>
      <c r="X242" s="12"/>
      <c r="Y242" s="12"/>
      <c r="Z242" s="12"/>
    </row>
    <row r="243" spans="1:26" ht="15" customHeight="1" x14ac:dyDescent="0.35">
      <c r="A243" s="26"/>
      <c r="B243" s="17"/>
      <c r="C243" s="17"/>
      <c r="D243" s="17"/>
      <c r="E243" s="17"/>
      <c r="F243" s="17"/>
      <c r="G243" s="17"/>
      <c r="H243" s="17"/>
      <c r="I243" s="17"/>
      <c r="J243" s="17"/>
      <c r="K243" s="17"/>
      <c r="L243" s="17"/>
      <c r="M243" s="17"/>
      <c r="N243" s="17"/>
      <c r="O243" s="17"/>
      <c r="P243" s="17"/>
      <c r="Q243" s="17"/>
      <c r="R243" s="17"/>
      <c r="S243" s="17"/>
      <c r="T243" s="17"/>
      <c r="U243" s="17"/>
      <c r="V243" s="17"/>
      <c r="W243" s="12"/>
      <c r="X243" s="12"/>
      <c r="Y243" s="12"/>
      <c r="Z243" s="12"/>
    </row>
    <row r="244" spans="1:26" ht="15" customHeight="1" x14ac:dyDescent="0.35">
      <c r="A244" s="26"/>
      <c r="B244" s="17"/>
      <c r="C244" s="17"/>
      <c r="D244" s="17"/>
      <c r="E244" s="17"/>
      <c r="F244" s="17"/>
      <c r="G244" s="17"/>
      <c r="H244" s="17"/>
      <c r="I244" s="17"/>
      <c r="J244" s="17"/>
      <c r="K244" s="17"/>
      <c r="L244" s="17"/>
      <c r="M244" s="17"/>
      <c r="N244" s="17"/>
      <c r="O244" s="17"/>
      <c r="P244" s="17"/>
      <c r="Q244" s="17"/>
      <c r="R244" s="17"/>
      <c r="S244" s="17"/>
      <c r="T244" s="17"/>
      <c r="U244" s="17"/>
      <c r="V244" s="17"/>
      <c r="W244" s="12"/>
      <c r="X244" s="12"/>
      <c r="Y244" s="12"/>
      <c r="Z244" s="12"/>
    </row>
    <row r="245" spans="1:26" ht="15" customHeight="1" x14ac:dyDescent="0.35">
      <c r="A245" s="26"/>
      <c r="B245" s="17"/>
      <c r="C245" s="17"/>
      <c r="D245" s="17"/>
      <c r="E245" s="17"/>
      <c r="F245" s="17"/>
      <c r="G245" s="17"/>
      <c r="H245" s="17"/>
      <c r="I245" s="17"/>
      <c r="J245" s="17"/>
      <c r="K245" s="17"/>
      <c r="L245" s="17"/>
      <c r="M245" s="17"/>
      <c r="N245" s="17"/>
      <c r="O245" s="17"/>
      <c r="P245" s="17"/>
      <c r="Q245" s="17"/>
      <c r="R245" s="17"/>
      <c r="S245" s="17"/>
      <c r="T245" s="17"/>
      <c r="U245" s="17"/>
      <c r="V245" s="17"/>
      <c r="W245" s="12"/>
      <c r="X245" s="12"/>
      <c r="Y245" s="12"/>
      <c r="Z245" s="12"/>
    </row>
    <row r="246" spans="1:26" ht="15" customHeight="1" x14ac:dyDescent="0.35">
      <c r="A246" s="26"/>
      <c r="B246" s="17"/>
      <c r="C246" s="17"/>
      <c r="D246" s="17"/>
      <c r="E246" s="17"/>
      <c r="F246" s="17"/>
      <c r="G246" s="17"/>
      <c r="H246" s="17"/>
      <c r="I246" s="17"/>
      <c r="J246" s="17"/>
      <c r="K246" s="17"/>
      <c r="L246" s="17"/>
      <c r="M246" s="17"/>
      <c r="N246" s="17"/>
      <c r="O246" s="17"/>
      <c r="P246" s="17"/>
      <c r="Q246" s="17"/>
      <c r="R246" s="17"/>
      <c r="S246" s="17"/>
      <c r="T246" s="17"/>
      <c r="U246" s="17"/>
      <c r="V246" s="17"/>
      <c r="W246" s="12"/>
      <c r="X246" s="12"/>
      <c r="Y246" s="12"/>
      <c r="Z246" s="12"/>
    </row>
    <row r="247" spans="1:26" ht="15" customHeight="1" x14ac:dyDescent="0.35">
      <c r="A247" s="27"/>
      <c r="B247" s="19"/>
      <c r="C247" s="19"/>
      <c r="D247" s="19"/>
      <c r="E247" s="19"/>
      <c r="F247" s="17"/>
      <c r="G247" s="19"/>
      <c r="H247" s="17"/>
      <c r="I247" s="17"/>
      <c r="J247" s="17"/>
      <c r="K247" s="17"/>
      <c r="L247" s="17"/>
      <c r="M247" s="17"/>
      <c r="N247" s="17"/>
      <c r="O247" s="17"/>
      <c r="P247" s="17"/>
      <c r="Q247" s="17"/>
      <c r="R247" s="17"/>
      <c r="S247" s="17"/>
      <c r="T247" s="17"/>
      <c r="U247" s="17"/>
      <c r="V247" s="17"/>
      <c r="W247" s="12"/>
      <c r="X247" s="12"/>
      <c r="Y247" s="12"/>
      <c r="Z247" s="12"/>
    </row>
    <row r="248" spans="1:26" ht="15" customHeight="1" x14ac:dyDescent="0.35">
      <c r="A248" s="27"/>
      <c r="B248" s="19"/>
      <c r="C248" s="19"/>
      <c r="D248" s="19"/>
      <c r="E248" s="19"/>
      <c r="F248" s="17"/>
      <c r="G248" s="19"/>
      <c r="H248" s="17"/>
      <c r="I248" s="17"/>
      <c r="J248" s="17"/>
      <c r="K248" s="17"/>
      <c r="L248" s="17"/>
      <c r="M248" s="17"/>
      <c r="N248" s="17"/>
      <c r="O248" s="17"/>
      <c r="P248" s="17"/>
      <c r="Q248" s="17"/>
      <c r="R248" s="17"/>
      <c r="S248" s="17"/>
      <c r="T248" s="17"/>
      <c r="U248" s="17"/>
      <c r="V248" s="17"/>
      <c r="W248" s="12"/>
      <c r="X248" s="12"/>
      <c r="Y248" s="12"/>
      <c r="Z248" s="12"/>
    </row>
    <row r="249" spans="1:26" ht="15" customHeight="1" x14ac:dyDescent="0.35">
      <c r="A249" s="26"/>
      <c r="B249" s="17"/>
      <c r="C249" s="17"/>
      <c r="D249" s="17"/>
      <c r="E249" s="17"/>
      <c r="F249" s="17"/>
      <c r="G249" s="17"/>
      <c r="H249" s="17"/>
      <c r="I249" s="17"/>
      <c r="J249" s="17"/>
      <c r="K249" s="17"/>
      <c r="L249" s="17"/>
      <c r="M249" s="17"/>
      <c r="N249" s="17"/>
      <c r="O249" s="17"/>
      <c r="P249" s="17"/>
      <c r="Q249" s="17"/>
      <c r="R249" s="17"/>
      <c r="S249" s="17"/>
      <c r="T249" s="17"/>
      <c r="U249" s="17"/>
      <c r="V249" s="17"/>
      <c r="W249" s="12"/>
      <c r="X249" s="12"/>
      <c r="Y249" s="12"/>
      <c r="Z249" s="12"/>
    </row>
    <row r="250" spans="1:26" ht="15" customHeight="1" x14ac:dyDescent="0.35">
      <c r="A250" s="26"/>
      <c r="B250" s="17"/>
      <c r="C250" s="17"/>
      <c r="D250" s="17"/>
      <c r="E250" s="17"/>
      <c r="F250" s="17"/>
      <c r="G250" s="17"/>
      <c r="H250" s="17"/>
      <c r="I250" s="17"/>
      <c r="J250" s="17"/>
      <c r="K250" s="17"/>
      <c r="L250" s="17"/>
      <c r="M250" s="17"/>
      <c r="N250" s="17"/>
      <c r="O250" s="17"/>
      <c r="P250" s="17"/>
      <c r="Q250" s="17"/>
      <c r="R250" s="17"/>
      <c r="S250" s="17"/>
      <c r="T250" s="17"/>
      <c r="U250" s="17"/>
      <c r="V250" s="17"/>
      <c r="W250" s="12"/>
      <c r="X250" s="12"/>
      <c r="Y250" s="12"/>
      <c r="Z250" s="12"/>
    </row>
    <row r="251" spans="1:26" ht="15" customHeight="1" x14ac:dyDescent="0.35">
      <c r="A251" s="26"/>
      <c r="B251" s="17"/>
      <c r="C251" s="17"/>
      <c r="D251" s="17"/>
      <c r="E251" s="17"/>
      <c r="F251" s="17"/>
      <c r="G251" s="17"/>
      <c r="H251" s="17"/>
      <c r="I251" s="17"/>
      <c r="J251" s="17"/>
      <c r="K251" s="17"/>
      <c r="L251" s="17"/>
      <c r="M251" s="17"/>
      <c r="N251" s="17"/>
      <c r="O251" s="17"/>
      <c r="P251" s="17"/>
      <c r="Q251" s="17"/>
      <c r="R251" s="17"/>
      <c r="S251" s="17"/>
      <c r="T251" s="17"/>
      <c r="U251" s="17"/>
      <c r="V251" s="17"/>
      <c r="W251" s="12"/>
      <c r="X251" s="12"/>
      <c r="Y251" s="12"/>
      <c r="Z251" s="12"/>
    </row>
    <row r="252" spans="1:26" ht="15" customHeight="1" x14ac:dyDescent="0.35">
      <c r="A252" s="26"/>
      <c r="B252" s="17"/>
      <c r="C252" s="17"/>
      <c r="D252" s="17"/>
      <c r="E252" s="17"/>
      <c r="F252" s="17"/>
      <c r="G252" s="17"/>
      <c r="H252" s="17"/>
      <c r="I252" s="17"/>
      <c r="J252" s="17"/>
      <c r="K252" s="17"/>
      <c r="L252" s="17"/>
      <c r="M252" s="17"/>
      <c r="N252" s="17"/>
      <c r="O252" s="17"/>
      <c r="P252" s="17"/>
      <c r="Q252" s="17"/>
      <c r="R252" s="17"/>
      <c r="S252" s="17"/>
      <c r="T252" s="17"/>
      <c r="U252" s="17"/>
      <c r="V252" s="17"/>
      <c r="W252" s="12"/>
      <c r="X252" s="12"/>
      <c r="Y252" s="12"/>
      <c r="Z252" s="12"/>
    </row>
    <row r="253" spans="1:26" ht="15" customHeight="1" x14ac:dyDescent="0.35">
      <c r="A253" s="26"/>
      <c r="B253" s="17"/>
      <c r="C253" s="17"/>
      <c r="D253" s="17"/>
      <c r="E253" s="17"/>
      <c r="F253" s="17"/>
      <c r="G253" s="17"/>
      <c r="H253" s="17"/>
      <c r="I253" s="17"/>
      <c r="J253" s="17"/>
      <c r="K253" s="17"/>
      <c r="L253" s="17"/>
      <c r="M253" s="17"/>
      <c r="N253" s="17"/>
      <c r="O253" s="17"/>
      <c r="P253" s="17"/>
      <c r="Q253" s="17"/>
      <c r="R253" s="17"/>
      <c r="S253" s="17"/>
      <c r="T253" s="17"/>
      <c r="U253" s="17"/>
      <c r="V253" s="17"/>
      <c r="W253" s="12"/>
      <c r="X253" s="12"/>
      <c r="Y253" s="12"/>
      <c r="Z253" s="12"/>
    </row>
    <row r="254" spans="1:26" ht="15" customHeight="1" x14ac:dyDescent="0.35">
      <c r="A254" s="26"/>
      <c r="B254" s="17"/>
      <c r="C254" s="17"/>
      <c r="D254" s="17"/>
      <c r="E254" s="17"/>
      <c r="F254" s="17"/>
      <c r="G254" s="17"/>
      <c r="H254" s="17"/>
      <c r="I254" s="17"/>
      <c r="J254" s="17"/>
      <c r="K254" s="17"/>
      <c r="L254" s="17"/>
      <c r="M254" s="17"/>
      <c r="N254" s="17"/>
      <c r="O254" s="17"/>
      <c r="P254" s="17"/>
      <c r="Q254" s="17"/>
      <c r="R254" s="17"/>
      <c r="S254" s="17"/>
      <c r="T254" s="17"/>
      <c r="U254" s="17"/>
      <c r="V254" s="17"/>
      <c r="W254" s="12"/>
      <c r="X254" s="12"/>
      <c r="Y254" s="12"/>
      <c r="Z254" s="12"/>
    </row>
    <row r="255" spans="1:26" ht="15" customHeight="1" x14ac:dyDescent="0.35">
      <c r="A255" s="26"/>
      <c r="B255" s="17"/>
      <c r="C255" s="17"/>
      <c r="D255" s="17"/>
      <c r="E255" s="17"/>
      <c r="F255" s="17"/>
      <c r="G255" s="17"/>
      <c r="H255" s="17"/>
      <c r="I255" s="17"/>
      <c r="J255" s="17"/>
      <c r="K255" s="17"/>
      <c r="L255" s="17"/>
      <c r="M255" s="17"/>
      <c r="N255" s="17"/>
      <c r="O255" s="17"/>
      <c r="P255" s="17"/>
      <c r="Q255" s="17"/>
      <c r="R255" s="17"/>
      <c r="S255" s="17"/>
      <c r="T255" s="17"/>
      <c r="U255" s="17"/>
      <c r="V255" s="17"/>
      <c r="W255" s="12"/>
      <c r="X255" s="12"/>
      <c r="Y255" s="12"/>
      <c r="Z255" s="12"/>
    </row>
    <row r="256" spans="1:26" ht="15" customHeight="1" x14ac:dyDescent="0.35">
      <c r="A256" s="26"/>
      <c r="B256" s="17"/>
      <c r="C256" s="17"/>
      <c r="D256" s="17"/>
      <c r="E256" s="17"/>
      <c r="F256" s="17"/>
      <c r="G256" s="17"/>
      <c r="H256" s="17"/>
      <c r="I256" s="17"/>
      <c r="J256" s="17"/>
      <c r="K256" s="17"/>
      <c r="L256" s="17"/>
      <c r="M256" s="17"/>
      <c r="N256" s="17"/>
      <c r="O256" s="17"/>
      <c r="P256" s="17"/>
      <c r="Q256" s="17"/>
      <c r="R256" s="17"/>
      <c r="S256" s="17"/>
      <c r="T256" s="17"/>
      <c r="U256" s="17"/>
      <c r="V256" s="17"/>
      <c r="W256" s="12"/>
      <c r="X256" s="12"/>
      <c r="Y256" s="12"/>
      <c r="Z256" s="12"/>
    </row>
    <row r="257" spans="1:26" ht="15" customHeight="1" x14ac:dyDescent="0.35">
      <c r="A257" s="26"/>
      <c r="B257" s="17"/>
      <c r="C257" s="17"/>
      <c r="D257" s="17"/>
      <c r="E257" s="17"/>
      <c r="F257" s="17"/>
      <c r="G257" s="17"/>
      <c r="H257" s="17"/>
      <c r="I257" s="17"/>
      <c r="J257" s="17"/>
      <c r="K257" s="17"/>
      <c r="L257" s="17"/>
      <c r="M257" s="17"/>
      <c r="N257" s="17"/>
      <c r="O257" s="17"/>
      <c r="P257" s="17"/>
      <c r="Q257" s="17"/>
      <c r="R257" s="17"/>
      <c r="S257" s="17"/>
      <c r="T257" s="17"/>
      <c r="U257" s="17"/>
      <c r="V257" s="17"/>
      <c r="W257" s="12"/>
      <c r="X257" s="12"/>
      <c r="Y257" s="12"/>
      <c r="Z257" s="12"/>
    </row>
    <row r="258" spans="1:26" ht="15" customHeight="1" x14ac:dyDescent="0.35">
      <c r="A258" s="26"/>
      <c r="B258" s="17"/>
      <c r="C258" s="17"/>
      <c r="D258" s="17"/>
      <c r="E258" s="17"/>
      <c r="F258" s="17"/>
      <c r="G258" s="17"/>
      <c r="H258" s="17"/>
      <c r="I258" s="17"/>
      <c r="J258" s="17"/>
      <c r="K258" s="17"/>
      <c r="L258" s="17"/>
      <c r="M258" s="17"/>
      <c r="N258" s="17"/>
      <c r="O258" s="17"/>
      <c r="P258" s="17"/>
      <c r="Q258" s="17"/>
      <c r="R258" s="17"/>
      <c r="S258" s="17"/>
      <c r="T258" s="17"/>
      <c r="U258" s="17"/>
      <c r="V258" s="17"/>
      <c r="W258" s="12"/>
      <c r="X258" s="12"/>
      <c r="Y258" s="12"/>
      <c r="Z258" s="12"/>
    </row>
    <row r="259" spans="1:26" ht="15" customHeight="1" x14ac:dyDescent="0.35">
      <c r="A259" s="26"/>
      <c r="B259" s="17"/>
      <c r="C259" s="17"/>
      <c r="D259" s="17"/>
      <c r="E259" s="17"/>
      <c r="F259" s="17"/>
      <c r="G259" s="17"/>
      <c r="H259" s="17"/>
      <c r="I259" s="17"/>
      <c r="J259" s="17"/>
      <c r="K259" s="17"/>
      <c r="L259" s="17"/>
      <c r="M259" s="17"/>
      <c r="N259" s="17"/>
      <c r="O259" s="17"/>
      <c r="P259" s="17"/>
      <c r="Q259" s="17"/>
      <c r="R259" s="17"/>
      <c r="S259" s="17"/>
      <c r="T259" s="17"/>
      <c r="U259" s="17"/>
      <c r="V259" s="17"/>
      <c r="W259" s="12"/>
      <c r="X259" s="12"/>
      <c r="Y259" s="12"/>
      <c r="Z259" s="12"/>
    </row>
    <row r="260" spans="1:26" ht="15" customHeight="1" x14ac:dyDescent="0.35">
      <c r="A260" s="26"/>
      <c r="B260" s="17"/>
      <c r="C260" s="17"/>
      <c r="D260" s="17"/>
      <c r="E260" s="17"/>
      <c r="F260" s="17"/>
      <c r="G260" s="17"/>
      <c r="H260" s="17"/>
      <c r="I260" s="17"/>
      <c r="J260" s="17"/>
      <c r="K260" s="17"/>
      <c r="L260" s="17"/>
      <c r="M260" s="17"/>
      <c r="N260" s="17"/>
      <c r="O260" s="17"/>
      <c r="P260" s="17"/>
      <c r="Q260" s="17"/>
      <c r="R260" s="17"/>
      <c r="S260" s="17"/>
      <c r="T260" s="17"/>
      <c r="U260" s="17"/>
      <c r="V260" s="17"/>
      <c r="W260" s="12"/>
      <c r="X260" s="12"/>
      <c r="Y260" s="12"/>
      <c r="Z260" s="12"/>
    </row>
    <row r="261" spans="1:26" ht="15" customHeight="1" x14ac:dyDescent="0.35">
      <c r="A261" s="26"/>
      <c r="B261" s="17"/>
      <c r="C261" s="17"/>
      <c r="D261" s="17"/>
      <c r="E261" s="17"/>
      <c r="F261" s="17"/>
      <c r="G261" s="17"/>
      <c r="H261" s="17"/>
      <c r="I261" s="17"/>
      <c r="J261" s="17"/>
      <c r="K261" s="17"/>
      <c r="L261" s="17"/>
      <c r="M261" s="17"/>
      <c r="N261" s="17"/>
      <c r="O261" s="17"/>
      <c r="P261" s="17"/>
      <c r="Q261" s="17"/>
      <c r="R261" s="17"/>
      <c r="S261" s="17"/>
      <c r="T261" s="17"/>
      <c r="U261" s="17"/>
      <c r="V261" s="17"/>
      <c r="W261" s="12"/>
      <c r="X261" s="12"/>
      <c r="Y261" s="12"/>
      <c r="Z261" s="12"/>
    </row>
    <row r="262" spans="1:26" ht="15" customHeight="1" x14ac:dyDescent="0.35">
      <c r="A262" s="26"/>
      <c r="B262" s="17"/>
      <c r="C262" s="17"/>
      <c r="D262" s="17"/>
      <c r="E262" s="17"/>
      <c r="F262" s="17"/>
      <c r="G262" s="17"/>
      <c r="H262" s="17"/>
      <c r="I262" s="17"/>
      <c r="J262" s="17"/>
      <c r="K262" s="17"/>
      <c r="L262" s="17"/>
      <c r="M262" s="17"/>
      <c r="N262" s="17"/>
      <c r="O262" s="17"/>
      <c r="P262" s="17"/>
      <c r="Q262" s="17"/>
      <c r="R262" s="17"/>
      <c r="S262" s="17"/>
      <c r="T262" s="17"/>
      <c r="U262" s="17"/>
      <c r="V262" s="17"/>
      <c r="W262" s="12"/>
      <c r="X262" s="12"/>
      <c r="Y262" s="12"/>
      <c r="Z262" s="12"/>
    </row>
    <row r="263" spans="1:26" ht="15" customHeight="1" x14ac:dyDescent="0.35">
      <c r="A263" s="26"/>
      <c r="B263" s="17"/>
      <c r="C263" s="17"/>
      <c r="D263" s="17"/>
      <c r="E263" s="17"/>
      <c r="F263" s="17"/>
      <c r="G263" s="17"/>
      <c r="H263" s="17"/>
      <c r="I263" s="17"/>
      <c r="J263" s="17"/>
      <c r="K263" s="17"/>
      <c r="L263" s="17"/>
      <c r="M263" s="17"/>
      <c r="N263" s="17"/>
      <c r="O263" s="17"/>
      <c r="P263" s="17"/>
      <c r="Q263" s="17"/>
      <c r="R263" s="17"/>
      <c r="S263" s="17"/>
      <c r="T263" s="17"/>
      <c r="U263" s="17"/>
      <c r="V263" s="17"/>
      <c r="W263" s="12"/>
      <c r="X263" s="12"/>
      <c r="Y263" s="12"/>
      <c r="Z263" s="12"/>
    </row>
    <row r="264" spans="1:26" ht="15" customHeight="1" x14ac:dyDescent="0.35">
      <c r="A264" s="26"/>
      <c r="B264" s="17"/>
      <c r="C264" s="17"/>
      <c r="D264" s="17"/>
      <c r="E264" s="17"/>
      <c r="F264" s="17"/>
      <c r="G264" s="17"/>
      <c r="H264" s="17"/>
      <c r="I264" s="17"/>
      <c r="J264" s="17"/>
      <c r="K264" s="17"/>
      <c r="L264" s="17"/>
      <c r="M264" s="17"/>
      <c r="N264" s="17"/>
      <c r="O264" s="17"/>
      <c r="P264" s="17"/>
      <c r="Q264" s="17"/>
      <c r="R264" s="17"/>
      <c r="S264" s="17"/>
      <c r="T264" s="17"/>
      <c r="U264" s="17"/>
      <c r="V264" s="17"/>
      <c r="W264" s="12"/>
      <c r="X264" s="12"/>
      <c r="Y264" s="12"/>
      <c r="Z264" s="12"/>
    </row>
    <row r="265" spans="1:26" ht="15" customHeight="1" x14ac:dyDescent="0.35">
      <c r="A265" s="26"/>
      <c r="B265" s="17"/>
      <c r="C265" s="17"/>
      <c r="D265" s="17"/>
      <c r="E265" s="17"/>
      <c r="F265" s="17"/>
      <c r="G265" s="17"/>
      <c r="H265" s="17"/>
      <c r="I265" s="17"/>
      <c r="J265" s="17"/>
      <c r="K265" s="17"/>
      <c r="L265" s="17"/>
      <c r="M265" s="17"/>
      <c r="N265" s="17"/>
      <c r="O265" s="17"/>
      <c r="P265" s="17"/>
      <c r="Q265" s="17"/>
      <c r="R265" s="17"/>
      <c r="S265" s="17"/>
      <c r="T265" s="17"/>
      <c r="U265" s="17"/>
      <c r="V265" s="17"/>
      <c r="W265" s="12"/>
      <c r="X265" s="12"/>
      <c r="Y265" s="12"/>
      <c r="Z265" s="12"/>
    </row>
    <row r="266" spans="1:26" ht="15" customHeight="1" x14ac:dyDescent="0.35">
      <c r="A266" s="26"/>
      <c r="B266" s="17"/>
      <c r="C266" s="17"/>
      <c r="D266" s="17"/>
      <c r="E266" s="17"/>
      <c r="F266" s="17"/>
      <c r="G266" s="17"/>
      <c r="H266" s="17"/>
      <c r="I266" s="17"/>
      <c r="J266" s="17"/>
      <c r="K266" s="17"/>
      <c r="L266" s="17"/>
      <c r="M266" s="17"/>
      <c r="N266" s="17"/>
      <c r="O266" s="17"/>
      <c r="P266" s="17"/>
      <c r="Q266" s="17"/>
      <c r="R266" s="17"/>
      <c r="S266" s="17"/>
      <c r="T266" s="17"/>
      <c r="U266" s="17"/>
      <c r="V266" s="17"/>
      <c r="W266" s="12"/>
      <c r="X266" s="12"/>
      <c r="Y266" s="12"/>
      <c r="Z266" s="12"/>
    </row>
    <row r="267" spans="1:26" ht="15" customHeight="1" x14ac:dyDescent="0.35">
      <c r="A267" s="26"/>
      <c r="B267" s="17"/>
      <c r="C267" s="17"/>
      <c r="D267" s="17"/>
      <c r="E267" s="17"/>
      <c r="F267" s="17"/>
      <c r="G267" s="17"/>
      <c r="H267" s="17"/>
      <c r="I267" s="17"/>
      <c r="J267" s="17"/>
      <c r="K267" s="17"/>
      <c r="L267" s="17"/>
      <c r="M267" s="17"/>
      <c r="N267" s="17"/>
      <c r="O267" s="17"/>
      <c r="P267" s="17"/>
      <c r="Q267" s="17"/>
      <c r="R267" s="17"/>
      <c r="S267" s="17"/>
      <c r="T267" s="17"/>
      <c r="U267" s="17"/>
      <c r="V267" s="17"/>
      <c r="W267" s="12"/>
      <c r="X267" s="12"/>
      <c r="Y267" s="12"/>
      <c r="Z267" s="12"/>
    </row>
    <row r="268" spans="1:26" ht="15" customHeight="1" x14ac:dyDescent="0.35">
      <c r="A268" s="26"/>
      <c r="B268" s="17"/>
      <c r="C268" s="17"/>
      <c r="D268" s="17"/>
      <c r="E268" s="17"/>
      <c r="F268" s="17"/>
      <c r="G268" s="17"/>
      <c r="H268" s="17"/>
      <c r="I268" s="17"/>
      <c r="J268" s="17"/>
      <c r="K268" s="17"/>
      <c r="L268" s="17"/>
      <c r="M268" s="17"/>
      <c r="N268" s="17"/>
      <c r="O268" s="17"/>
      <c r="P268" s="17"/>
      <c r="Q268" s="17"/>
      <c r="R268" s="17"/>
      <c r="S268" s="17"/>
      <c r="T268" s="17"/>
      <c r="U268" s="17"/>
      <c r="V268" s="17"/>
      <c r="W268" s="12"/>
      <c r="X268" s="12"/>
      <c r="Y268" s="12"/>
      <c r="Z268" s="12"/>
    </row>
    <row r="269" spans="1:26" ht="15" customHeight="1" x14ac:dyDescent="0.35">
      <c r="A269" s="26"/>
      <c r="B269" s="17"/>
      <c r="C269" s="17"/>
      <c r="D269" s="17"/>
      <c r="E269" s="17"/>
      <c r="F269" s="17"/>
      <c r="G269" s="17"/>
      <c r="H269" s="17"/>
      <c r="I269" s="17"/>
      <c r="J269" s="17"/>
      <c r="K269" s="17"/>
      <c r="L269" s="17"/>
      <c r="M269" s="17"/>
      <c r="N269" s="17"/>
      <c r="O269" s="17"/>
      <c r="P269" s="17"/>
      <c r="Q269" s="17"/>
      <c r="R269" s="17"/>
      <c r="S269" s="17"/>
      <c r="T269" s="17"/>
      <c r="U269" s="17"/>
      <c r="V269" s="17"/>
      <c r="W269" s="12"/>
      <c r="X269" s="12"/>
      <c r="Y269" s="12"/>
      <c r="Z269" s="12"/>
    </row>
    <row r="270" spans="1:26" ht="15" customHeight="1" x14ac:dyDescent="0.35">
      <c r="A270" s="26"/>
      <c r="B270" s="17"/>
      <c r="C270" s="17"/>
      <c r="D270" s="17"/>
      <c r="E270" s="17"/>
      <c r="F270" s="17"/>
      <c r="G270" s="17"/>
      <c r="H270" s="17"/>
      <c r="I270" s="17"/>
      <c r="J270" s="17"/>
      <c r="K270" s="17"/>
      <c r="L270" s="17"/>
      <c r="M270" s="17"/>
      <c r="N270" s="17"/>
      <c r="O270" s="17"/>
      <c r="P270" s="17"/>
      <c r="Q270" s="17"/>
      <c r="R270" s="17"/>
      <c r="S270" s="17"/>
      <c r="T270" s="17"/>
      <c r="U270" s="17"/>
      <c r="V270" s="17"/>
      <c r="W270" s="12"/>
      <c r="X270" s="12"/>
      <c r="Y270" s="12"/>
      <c r="Z270" s="12"/>
    </row>
    <row r="271" spans="1:26" ht="15" customHeight="1" x14ac:dyDescent="0.35">
      <c r="A271" s="26"/>
      <c r="B271" s="17"/>
      <c r="C271" s="17"/>
      <c r="D271" s="17"/>
      <c r="E271" s="17"/>
      <c r="F271" s="17"/>
      <c r="G271" s="17"/>
      <c r="H271" s="17"/>
      <c r="I271" s="17"/>
      <c r="J271" s="17"/>
      <c r="K271" s="17"/>
      <c r="L271" s="17"/>
      <c r="M271" s="17"/>
      <c r="N271" s="17"/>
      <c r="O271" s="17"/>
      <c r="P271" s="17"/>
      <c r="Q271" s="17"/>
      <c r="R271" s="17"/>
      <c r="S271" s="17"/>
      <c r="T271" s="17"/>
      <c r="U271" s="17"/>
      <c r="V271" s="17"/>
      <c r="W271" s="12"/>
      <c r="X271" s="12"/>
      <c r="Y271" s="12"/>
      <c r="Z271" s="12"/>
    </row>
    <row r="272" spans="1:26" ht="15" customHeight="1" x14ac:dyDescent="0.35">
      <c r="A272" s="26"/>
      <c r="B272" s="17"/>
      <c r="C272" s="17"/>
      <c r="D272" s="17"/>
      <c r="E272" s="17"/>
      <c r="F272" s="17"/>
      <c r="G272" s="17"/>
      <c r="H272" s="17"/>
      <c r="I272" s="17"/>
      <c r="J272" s="17"/>
      <c r="K272" s="17"/>
      <c r="L272" s="17"/>
      <c r="M272" s="17"/>
      <c r="N272" s="17"/>
      <c r="O272" s="17"/>
      <c r="P272" s="17"/>
      <c r="Q272" s="17"/>
      <c r="R272" s="17"/>
      <c r="S272" s="17"/>
      <c r="T272" s="17"/>
      <c r="U272" s="17"/>
      <c r="V272" s="17"/>
      <c r="W272" s="12"/>
      <c r="X272" s="12"/>
      <c r="Y272" s="12"/>
      <c r="Z272" s="12"/>
    </row>
    <row r="273" spans="1:26" ht="15" customHeight="1" x14ac:dyDescent="0.35">
      <c r="A273" s="26"/>
      <c r="B273" s="17"/>
      <c r="C273" s="17"/>
      <c r="D273" s="17"/>
      <c r="E273" s="17"/>
      <c r="F273" s="17"/>
      <c r="G273" s="17"/>
      <c r="H273" s="17"/>
      <c r="I273" s="17"/>
      <c r="J273" s="17"/>
      <c r="K273" s="17"/>
      <c r="L273" s="17"/>
      <c r="M273" s="17"/>
      <c r="N273" s="17"/>
      <c r="O273" s="17"/>
      <c r="P273" s="17"/>
      <c r="Q273" s="17"/>
      <c r="R273" s="17"/>
      <c r="S273" s="17"/>
      <c r="T273" s="17"/>
      <c r="U273" s="17"/>
      <c r="V273" s="17"/>
      <c r="W273" s="12"/>
      <c r="X273" s="12"/>
      <c r="Y273" s="12"/>
      <c r="Z273" s="12"/>
    </row>
    <row r="274" spans="1:26" ht="15" customHeight="1" x14ac:dyDescent="0.35">
      <c r="A274" s="26"/>
      <c r="B274" s="17"/>
      <c r="C274" s="17"/>
      <c r="D274" s="17"/>
      <c r="E274" s="17"/>
      <c r="F274" s="17"/>
      <c r="G274" s="17"/>
      <c r="H274" s="17"/>
      <c r="I274" s="17"/>
      <c r="J274" s="17"/>
      <c r="K274" s="17"/>
      <c r="L274" s="17"/>
      <c r="M274" s="17"/>
      <c r="N274" s="17"/>
      <c r="O274" s="17"/>
      <c r="P274" s="17"/>
      <c r="Q274" s="17"/>
      <c r="R274" s="17"/>
      <c r="S274" s="17"/>
      <c r="T274" s="17"/>
      <c r="U274" s="17"/>
      <c r="V274" s="17"/>
      <c r="W274" s="12"/>
      <c r="X274" s="12"/>
      <c r="Y274" s="12"/>
      <c r="Z274" s="12"/>
    </row>
    <row r="275" spans="1:26" ht="15" customHeight="1" x14ac:dyDescent="0.35">
      <c r="A275" s="26"/>
      <c r="B275" s="17"/>
      <c r="C275" s="17"/>
      <c r="D275" s="17"/>
      <c r="E275" s="17"/>
      <c r="F275" s="17"/>
      <c r="G275" s="17"/>
      <c r="H275" s="17"/>
      <c r="I275" s="17"/>
      <c r="J275" s="17"/>
      <c r="K275" s="17"/>
      <c r="L275" s="17"/>
      <c r="M275" s="17"/>
      <c r="N275" s="17"/>
      <c r="O275" s="17"/>
      <c r="P275" s="17"/>
      <c r="Q275" s="17"/>
      <c r="R275" s="17"/>
      <c r="S275" s="17"/>
      <c r="T275" s="17"/>
      <c r="U275" s="17"/>
      <c r="V275" s="17"/>
      <c r="W275" s="12"/>
      <c r="X275" s="12"/>
      <c r="Y275" s="12"/>
      <c r="Z275" s="12"/>
    </row>
    <row r="276" spans="1:26" ht="15" customHeight="1" x14ac:dyDescent="0.35">
      <c r="A276" s="26"/>
      <c r="B276" s="17"/>
      <c r="C276" s="17"/>
      <c r="D276" s="17"/>
      <c r="E276" s="17"/>
      <c r="F276" s="17"/>
      <c r="G276" s="17"/>
      <c r="H276" s="17"/>
      <c r="I276" s="17"/>
      <c r="J276" s="17"/>
      <c r="K276" s="17"/>
      <c r="L276" s="17"/>
      <c r="M276" s="17"/>
      <c r="N276" s="17"/>
      <c r="O276" s="17"/>
      <c r="P276" s="17"/>
      <c r="Q276" s="17"/>
      <c r="R276" s="17"/>
      <c r="S276" s="17"/>
      <c r="T276" s="17"/>
      <c r="U276" s="17"/>
      <c r="V276" s="17"/>
      <c r="W276" s="21"/>
      <c r="X276" s="21"/>
      <c r="Y276" s="21"/>
      <c r="Z276" s="21"/>
    </row>
    <row r="277" spans="1:26" ht="15" customHeight="1" x14ac:dyDescent="0.35">
      <c r="A277" s="26"/>
      <c r="B277" s="17"/>
      <c r="C277" s="17"/>
      <c r="D277" s="17"/>
      <c r="E277" s="17"/>
      <c r="F277" s="17"/>
      <c r="G277" s="17"/>
      <c r="H277" s="17"/>
      <c r="I277" s="17"/>
      <c r="J277" s="17"/>
      <c r="K277" s="17"/>
      <c r="L277" s="17"/>
      <c r="M277" s="17"/>
      <c r="N277" s="17"/>
      <c r="O277" s="17"/>
      <c r="P277" s="17"/>
      <c r="Q277" s="17"/>
      <c r="R277" s="17"/>
      <c r="S277" s="17"/>
      <c r="T277" s="17"/>
      <c r="U277" s="17"/>
      <c r="V277" s="17"/>
      <c r="W277" s="12"/>
      <c r="X277" s="12"/>
      <c r="Y277" s="12"/>
      <c r="Z277" s="12"/>
    </row>
    <row r="278" spans="1:26" ht="15" customHeight="1" x14ac:dyDescent="0.35">
      <c r="A278" s="26"/>
      <c r="B278" s="17"/>
      <c r="C278" s="17"/>
      <c r="D278" s="17"/>
      <c r="E278" s="17"/>
      <c r="F278" s="17"/>
      <c r="G278" s="17"/>
      <c r="H278" s="17"/>
      <c r="I278" s="17"/>
      <c r="J278" s="17"/>
      <c r="K278" s="17"/>
      <c r="L278" s="17"/>
      <c r="M278" s="17"/>
      <c r="N278" s="17"/>
      <c r="O278" s="17"/>
      <c r="P278" s="17"/>
      <c r="Q278" s="17"/>
      <c r="R278" s="17"/>
      <c r="S278" s="17"/>
      <c r="T278" s="17"/>
      <c r="U278" s="17"/>
      <c r="V278" s="17"/>
      <c r="W278" s="12"/>
      <c r="X278" s="12"/>
      <c r="Y278" s="12"/>
      <c r="Z278" s="12"/>
    </row>
    <row r="279" spans="1:26" ht="15" customHeight="1" x14ac:dyDescent="0.35">
      <c r="A279" s="26"/>
      <c r="B279" s="17"/>
      <c r="C279" s="17"/>
      <c r="D279" s="17"/>
      <c r="E279" s="17"/>
      <c r="F279" s="17"/>
      <c r="G279" s="17"/>
      <c r="H279" s="17"/>
      <c r="I279" s="17"/>
      <c r="J279" s="17"/>
      <c r="K279" s="17"/>
      <c r="L279" s="17"/>
      <c r="M279" s="17"/>
      <c r="N279" s="17"/>
      <c r="O279" s="17"/>
      <c r="P279" s="17"/>
      <c r="Q279" s="17"/>
      <c r="R279" s="17"/>
      <c r="S279" s="17"/>
      <c r="T279" s="17"/>
      <c r="U279" s="17"/>
      <c r="V279" s="17"/>
      <c r="W279" s="12"/>
      <c r="X279" s="12"/>
      <c r="Y279" s="12"/>
      <c r="Z279" s="12"/>
    </row>
    <row r="280" spans="1:26" ht="15" customHeight="1" x14ac:dyDescent="0.35">
      <c r="A280" s="26"/>
      <c r="B280" s="17"/>
      <c r="C280" s="17"/>
      <c r="D280" s="17"/>
      <c r="E280" s="17"/>
      <c r="F280" s="17"/>
      <c r="G280" s="17"/>
      <c r="H280" s="17"/>
      <c r="I280" s="17"/>
      <c r="J280" s="17"/>
      <c r="K280" s="17"/>
      <c r="L280" s="17"/>
      <c r="M280" s="17"/>
      <c r="N280" s="17"/>
      <c r="O280" s="17"/>
      <c r="P280" s="17"/>
      <c r="Q280" s="17"/>
      <c r="R280" s="17"/>
      <c r="S280" s="17"/>
      <c r="T280" s="17"/>
      <c r="U280" s="17"/>
      <c r="V280" s="17"/>
      <c r="W280" s="12"/>
      <c r="X280" s="12"/>
      <c r="Y280" s="12"/>
      <c r="Z280" s="12"/>
    </row>
    <row r="281" spans="1:26" ht="15" customHeight="1" x14ac:dyDescent="0.35">
      <c r="A281" s="26"/>
      <c r="B281" s="17"/>
      <c r="C281" s="17"/>
      <c r="D281" s="17"/>
      <c r="E281" s="17"/>
      <c r="F281" s="17"/>
      <c r="G281" s="17"/>
      <c r="H281" s="17"/>
      <c r="I281" s="17"/>
      <c r="J281" s="17"/>
      <c r="K281" s="17"/>
      <c r="L281" s="17"/>
      <c r="M281" s="17"/>
      <c r="N281" s="17"/>
      <c r="O281" s="17"/>
      <c r="P281" s="17"/>
      <c r="Q281" s="17"/>
      <c r="R281" s="17"/>
      <c r="S281" s="17"/>
      <c r="T281" s="17"/>
      <c r="U281" s="17"/>
      <c r="V281" s="17"/>
      <c r="W281" s="12"/>
      <c r="X281" s="12"/>
      <c r="Y281" s="12"/>
      <c r="Z281" s="12"/>
    </row>
    <row r="282" spans="1:26" ht="15" customHeight="1" x14ac:dyDescent="0.35">
      <c r="A282" s="26"/>
      <c r="B282" s="17"/>
      <c r="C282" s="17"/>
      <c r="D282" s="17"/>
      <c r="E282" s="17"/>
      <c r="F282" s="17"/>
      <c r="G282" s="17"/>
      <c r="H282" s="17"/>
      <c r="I282" s="17"/>
      <c r="J282" s="17"/>
      <c r="K282" s="17"/>
      <c r="L282" s="17"/>
      <c r="M282" s="17"/>
      <c r="N282" s="17"/>
      <c r="O282" s="17"/>
      <c r="P282" s="17"/>
      <c r="Q282" s="17"/>
      <c r="R282" s="17"/>
      <c r="S282" s="17"/>
      <c r="T282" s="17"/>
      <c r="U282" s="17"/>
      <c r="V282" s="17"/>
      <c r="W282" s="12"/>
      <c r="X282" s="12"/>
      <c r="Y282" s="12"/>
      <c r="Z282" s="12"/>
    </row>
    <row r="283" spans="1:26" ht="15" customHeight="1" x14ac:dyDescent="0.35">
      <c r="A283" s="26"/>
      <c r="B283" s="17"/>
      <c r="C283" s="17"/>
      <c r="D283" s="17"/>
      <c r="E283" s="17"/>
      <c r="F283" s="17"/>
      <c r="G283" s="17"/>
      <c r="H283" s="17"/>
      <c r="I283" s="17"/>
      <c r="J283" s="17"/>
      <c r="K283" s="17"/>
      <c r="L283" s="17"/>
      <c r="M283" s="17"/>
      <c r="N283" s="17"/>
      <c r="O283" s="17"/>
      <c r="P283" s="17"/>
      <c r="Q283" s="17"/>
      <c r="R283" s="17"/>
      <c r="S283" s="17"/>
      <c r="T283" s="17"/>
      <c r="U283" s="17"/>
      <c r="V283" s="17"/>
      <c r="W283" s="12"/>
      <c r="X283" s="12"/>
      <c r="Y283" s="12"/>
      <c r="Z283" s="12"/>
    </row>
    <row r="284" spans="1:26" ht="15" customHeight="1" x14ac:dyDescent="0.35">
      <c r="A284" s="26"/>
      <c r="B284" s="17"/>
      <c r="C284" s="17"/>
      <c r="D284" s="17"/>
      <c r="E284" s="17"/>
      <c r="F284" s="17"/>
      <c r="G284" s="17"/>
      <c r="H284" s="17"/>
      <c r="I284" s="17"/>
      <c r="J284" s="17"/>
      <c r="K284" s="17"/>
      <c r="L284" s="17"/>
      <c r="M284" s="17"/>
      <c r="N284" s="17"/>
      <c r="O284" s="17"/>
      <c r="P284" s="17"/>
      <c r="Q284" s="17"/>
      <c r="R284" s="17"/>
      <c r="S284" s="17"/>
      <c r="T284" s="17"/>
      <c r="U284" s="17"/>
      <c r="V284" s="17"/>
      <c r="W284" s="12"/>
      <c r="X284" s="12"/>
      <c r="Y284" s="12"/>
      <c r="Z284" s="12"/>
    </row>
    <row r="285" spans="1:26" ht="15" customHeight="1" x14ac:dyDescent="0.35">
      <c r="A285" s="26"/>
      <c r="B285" s="17"/>
      <c r="C285" s="17"/>
      <c r="D285" s="17"/>
      <c r="E285" s="17"/>
      <c r="F285" s="17"/>
      <c r="G285" s="17"/>
      <c r="H285" s="17"/>
      <c r="I285" s="17"/>
      <c r="J285" s="17"/>
      <c r="K285" s="17"/>
      <c r="L285" s="17"/>
      <c r="M285" s="17"/>
      <c r="N285" s="17"/>
      <c r="O285" s="17"/>
      <c r="P285" s="17"/>
      <c r="Q285" s="17"/>
      <c r="R285" s="17"/>
      <c r="S285" s="17"/>
      <c r="T285" s="17"/>
      <c r="U285" s="17"/>
      <c r="V285" s="17"/>
      <c r="W285" s="12"/>
      <c r="X285" s="12"/>
      <c r="Y285" s="12"/>
      <c r="Z285" s="12"/>
    </row>
    <row r="286" spans="1:26" ht="15" customHeight="1" x14ac:dyDescent="0.35">
      <c r="A286" s="26"/>
      <c r="B286" s="17"/>
      <c r="C286" s="17"/>
      <c r="D286" s="17"/>
      <c r="E286" s="17"/>
      <c r="F286" s="17"/>
      <c r="G286" s="17"/>
      <c r="H286" s="17"/>
      <c r="I286" s="17"/>
      <c r="J286" s="17"/>
      <c r="K286" s="17"/>
      <c r="L286" s="17"/>
      <c r="M286" s="17"/>
      <c r="N286" s="17"/>
      <c r="O286" s="17"/>
      <c r="P286" s="17"/>
      <c r="Q286" s="17"/>
      <c r="R286" s="17"/>
      <c r="S286" s="17"/>
      <c r="T286" s="17"/>
      <c r="U286" s="17"/>
      <c r="V286" s="17"/>
      <c r="W286" s="12"/>
      <c r="X286" s="12"/>
      <c r="Y286" s="12"/>
      <c r="Z286" s="12"/>
    </row>
    <row r="287" spans="1:26" ht="15" customHeight="1" x14ac:dyDescent="0.35">
      <c r="A287" s="26"/>
      <c r="B287" s="17"/>
      <c r="C287" s="17"/>
      <c r="D287" s="17"/>
      <c r="E287" s="17"/>
      <c r="F287" s="17"/>
      <c r="G287" s="17"/>
      <c r="H287" s="17"/>
      <c r="I287" s="17"/>
      <c r="J287" s="17"/>
      <c r="K287" s="17"/>
      <c r="L287" s="17"/>
      <c r="M287" s="17"/>
      <c r="N287" s="17"/>
      <c r="O287" s="17"/>
      <c r="P287" s="17"/>
      <c r="Q287" s="17"/>
      <c r="R287" s="17"/>
      <c r="S287" s="17"/>
      <c r="T287" s="17"/>
      <c r="U287" s="17"/>
      <c r="V287" s="17"/>
      <c r="W287" s="12"/>
      <c r="X287" s="12"/>
      <c r="Y287" s="12"/>
      <c r="Z287" s="12"/>
    </row>
    <row r="288" spans="1:26" ht="15" customHeight="1" x14ac:dyDescent="0.35">
      <c r="A288" s="26"/>
      <c r="B288" s="17"/>
      <c r="C288" s="17"/>
      <c r="D288" s="17"/>
      <c r="E288" s="17"/>
      <c r="F288" s="17"/>
      <c r="G288" s="17"/>
      <c r="H288" s="17"/>
      <c r="I288" s="17"/>
      <c r="J288" s="17"/>
      <c r="K288" s="17"/>
      <c r="L288" s="17"/>
      <c r="M288" s="17"/>
      <c r="N288" s="17"/>
      <c r="O288" s="17"/>
      <c r="P288" s="17"/>
      <c r="Q288" s="17"/>
      <c r="R288" s="17"/>
      <c r="S288" s="17"/>
      <c r="T288" s="17"/>
      <c r="U288" s="17"/>
      <c r="V288" s="17"/>
      <c r="W288" s="12"/>
      <c r="X288" s="12"/>
      <c r="Y288" s="12"/>
      <c r="Z288" s="12"/>
    </row>
    <row r="289" spans="1:26" ht="15" customHeight="1" x14ac:dyDescent="0.35">
      <c r="A289" s="26"/>
      <c r="B289" s="17"/>
      <c r="C289" s="17"/>
      <c r="D289" s="17"/>
      <c r="E289" s="17"/>
      <c r="F289" s="17"/>
      <c r="G289" s="17"/>
      <c r="H289" s="17"/>
      <c r="I289" s="17"/>
      <c r="J289" s="17"/>
      <c r="K289" s="17"/>
      <c r="L289" s="17"/>
      <c r="M289" s="17"/>
      <c r="N289" s="17"/>
      <c r="O289" s="17"/>
      <c r="P289" s="17"/>
      <c r="Q289" s="17"/>
      <c r="R289" s="17"/>
      <c r="S289" s="17"/>
      <c r="T289" s="17"/>
      <c r="U289" s="17"/>
      <c r="V289" s="17"/>
      <c r="W289" s="12"/>
      <c r="X289" s="12"/>
      <c r="Y289" s="12"/>
      <c r="Z289" s="12"/>
    </row>
    <row r="290" spans="1:26" ht="15" customHeight="1" x14ac:dyDescent="0.35">
      <c r="A290" s="27"/>
      <c r="B290" s="19"/>
      <c r="C290" s="19"/>
      <c r="D290" s="19"/>
      <c r="E290" s="19"/>
      <c r="F290" s="19"/>
      <c r="G290" s="19"/>
      <c r="H290" s="19"/>
      <c r="I290" s="19"/>
      <c r="J290" s="19"/>
      <c r="K290" s="19"/>
      <c r="L290" s="17"/>
      <c r="M290" s="17"/>
      <c r="N290" s="17"/>
      <c r="O290" s="17"/>
      <c r="P290" s="17"/>
      <c r="Q290" s="17"/>
      <c r="R290" s="17"/>
      <c r="S290" s="17"/>
      <c r="T290" s="17"/>
      <c r="U290" s="17"/>
      <c r="V290" s="17"/>
      <c r="W290" s="12"/>
      <c r="X290" s="12"/>
      <c r="Y290" s="12"/>
      <c r="Z290" s="12"/>
    </row>
    <row r="291" spans="1:26" ht="15" customHeight="1" x14ac:dyDescent="0.35">
      <c r="A291" s="26"/>
      <c r="B291" s="17"/>
      <c r="C291" s="17"/>
      <c r="D291" s="17"/>
      <c r="E291" s="17"/>
      <c r="F291" s="17"/>
      <c r="G291" s="17"/>
      <c r="H291" s="17"/>
      <c r="I291" s="17"/>
      <c r="J291" s="17"/>
      <c r="K291" s="17"/>
      <c r="L291" s="17"/>
      <c r="M291" s="17"/>
      <c r="N291" s="17"/>
      <c r="O291" s="17"/>
      <c r="P291" s="17"/>
      <c r="Q291" s="17"/>
      <c r="R291" s="17"/>
      <c r="S291" s="17"/>
      <c r="T291" s="17"/>
      <c r="U291" s="17"/>
      <c r="V291" s="17"/>
      <c r="W291" s="12"/>
      <c r="X291" s="12"/>
      <c r="Y291" s="12"/>
      <c r="Z291" s="12"/>
    </row>
    <row r="292" spans="1:26" ht="15" customHeight="1" x14ac:dyDescent="0.35">
      <c r="A292" s="26"/>
      <c r="B292" s="17"/>
      <c r="C292" s="17"/>
      <c r="D292" s="17"/>
      <c r="E292" s="17"/>
      <c r="F292" s="17"/>
      <c r="G292" s="17"/>
      <c r="H292" s="17"/>
      <c r="I292" s="17"/>
      <c r="J292" s="17"/>
      <c r="K292" s="17"/>
      <c r="L292" s="17"/>
      <c r="M292" s="17"/>
      <c r="N292" s="17"/>
      <c r="O292" s="17"/>
      <c r="P292" s="17"/>
      <c r="Q292" s="17"/>
      <c r="R292" s="17"/>
      <c r="S292" s="17"/>
      <c r="T292" s="17"/>
      <c r="U292" s="17"/>
      <c r="V292" s="17"/>
      <c r="W292" s="12"/>
      <c r="X292" s="12"/>
      <c r="Y292" s="12"/>
      <c r="Z292" s="12"/>
    </row>
    <row r="293" spans="1:26" ht="15" customHeight="1" x14ac:dyDescent="0.35">
      <c r="A293" s="26"/>
      <c r="B293" s="17"/>
      <c r="C293" s="17"/>
      <c r="D293" s="17"/>
      <c r="E293" s="17"/>
      <c r="F293" s="17"/>
      <c r="G293" s="17"/>
      <c r="H293" s="17"/>
      <c r="I293" s="17"/>
      <c r="J293" s="17"/>
      <c r="K293" s="17"/>
      <c r="L293" s="17"/>
      <c r="M293" s="17"/>
      <c r="N293" s="17"/>
      <c r="O293" s="17"/>
      <c r="P293" s="17"/>
      <c r="Q293" s="17"/>
      <c r="R293" s="17"/>
      <c r="S293" s="17"/>
      <c r="T293" s="17"/>
      <c r="U293" s="17"/>
      <c r="V293" s="17"/>
      <c r="W293" s="12"/>
      <c r="X293" s="12"/>
      <c r="Y293" s="12"/>
      <c r="Z293" s="12"/>
    </row>
    <row r="294" spans="1:26" ht="15" customHeight="1" x14ac:dyDescent="0.35">
      <c r="A294" s="26"/>
      <c r="B294" s="17"/>
      <c r="C294" s="17"/>
      <c r="D294" s="17"/>
      <c r="E294" s="17"/>
      <c r="F294" s="17"/>
      <c r="G294" s="17"/>
      <c r="H294" s="17"/>
      <c r="I294" s="17"/>
      <c r="J294" s="17"/>
      <c r="K294" s="17"/>
      <c r="L294" s="17"/>
      <c r="M294" s="17"/>
      <c r="N294" s="17"/>
      <c r="O294" s="17"/>
      <c r="P294" s="17"/>
      <c r="Q294" s="17"/>
      <c r="R294" s="17"/>
      <c r="S294" s="17"/>
      <c r="T294" s="17"/>
      <c r="U294" s="17"/>
      <c r="V294" s="17"/>
      <c r="W294" s="12"/>
      <c r="X294" s="12"/>
      <c r="Y294" s="12"/>
      <c r="Z294" s="12"/>
    </row>
    <row r="295" spans="1:26" ht="15" customHeight="1" x14ac:dyDescent="0.35">
      <c r="A295" s="26"/>
      <c r="B295" s="17"/>
      <c r="C295" s="17"/>
      <c r="D295" s="17"/>
      <c r="E295" s="17"/>
      <c r="F295" s="17"/>
      <c r="G295" s="17"/>
      <c r="H295" s="17"/>
      <c r="I295" s="17"/>
      <c r="J295" s="17"/>
      <c r="K295" s="17"/>
      <c r="L295" s="17"/>
      <c r="M295" s="17"/>
      <c r="N295" s="17"/>
      <c r="O295" s="17"/>
      <c r="P295" s="17"/>
      <c r="Q295" s="17"/>
      <c r="R295" s="17"/>
      <c r="S295" s="17"/>
      <c r="T295" s="17"/>
      <c r="U295" s="17"/>
      <c r="V295" s="17"/>
      <c r="W295" s="12"/>
      <c r="X295" s="12"/>
      <c r="Y295" s="12"/>
      <c r="Z295" s="12"/>
    </row>
    <row r="296" spans="1:26" ht="15" customHeight="1" x14ac:dyDescent="0.35">
      <c r="A296" s="26"/>
      <c r="B296" s="17"/>
      <c r="C296" s="17"/>
      <c r="D296" s="17"/>
      <c r="E296" s="17"/>
      <c r="F296" s="17"/>
      <c r="G296" s="17"/>
      <c r="H296" s="17"/>
      <c r="I296" s="17"/>
      <c r="J296" s="17"/>
      <c r="K296" s="17"/>
      <c r="L296" s="17"/>
      <c r="M296" s="17"/>
      <c r="N296" s="17"/>
      <c r="O296" s="17"/>
      <c r="P296" s="17"/>
      <c r="Q296" s="17"/>
      <c r="R296" s="17"/>
      <c r="S296" s="17"/>
      <c r="T296" s="17"/>
      <c r="U296" s="17"/>
      <c r="V296" s="17"/>
      <c r="W296" s="12"/>
      <c r="X296" s="12"/>
      <c r="Y296" s="12"/>
      <c r="Z296" s="12"/>
    </row>
    <row r="297" spans="1:26" ht="15" customHeight="1" x14ac:dyDescent="0.35">
      <c r="A297" s="26"/>
      <c r="B297" s="17"/>
      <c r="C297" s="17"/>
      <c r="D297" s="17"/>
      <c r="E297" s="17"/>
      <c r="F297" s="17"/>
      <c r="G297" s="17"/>
      <c r="H297" s="17"/>
      <c r="I297" s="17"/>
      <c r="J297" s="17"/>
      <c r="K297" s="17"/>
      <c r="L297" s="17"/>
      <c r="M297" s="17"/>
      <c r="N297" s="17"/>
      <c r="O297" s="17"/>
      <c r="P297" s="17"/>
      <c r="Q297" s="17"/>
      <c r="R297" s="17"/>
      <c r="S297" s="17"/>
      <c r="T297" s="17"/>
      <c r="U297" s="17"/>
      <c r="V297" s="17"/>
      <c r="W297" s="12"/>
      <c r="X297" s="12"/>
      <c r="Y297" s="12"/>
      <c r="Z297" s="12"/>
    </row>
    <row r="298" spans="1:26" ht="15" customHeight="1" x14ac:dyDescent="0.35">
      <c r="A298" s="26"/>
      <c r="B298" s="17"/>
      <c r="C298" s="17"/>
      <c r="D298" s="17"/>
      <c r="E298" s="17"/>
      <c r="F298" s="17"/>
      <c r="G298" s="17"/>
      <c r="H298" s="17"/>
      <c r="I298" s="17"/>
      <c r="J298" s="17"/>
      <c r="K298" s="17"/>
      <c r="L298" s="17"/>
      <c r="M298" s="17"/>
      <c r="N298" s="17"/>
      <c r="O298" s="17"/>
      <c r="P298" s="17"/>
      <c r="Q298" s="17"/>
      <c r="R298" s="17"/>
      <c r="S298" s="17"/>
      <c r="T298" s="17"/>
      <c r="U298" s="17"/>
      <c r="V298" s="17"/>
      <c r="W298" s="12"/>
      <c r="X298" s="12"/>
      <c r="Y298" s="12"/>
      <c r="Z298" s="12"/>
    </row>
    <row r="299" spans="1:26" ht="15" customHeight="1" x14ac:dyDescent="0.35">
      <c r="A299" s="26"/>
      <c r="B299" s="17"/>
      <c r="C299" s="17"/>
      <c r="D299" s="17"/>
      <c r="E299" s="17"/>
      <c r="F299" s="17"/>
      <c r="G299" s="17"/>
      <c r="H299" s="17"/>
      <c r="I299" s="17"/>
      <c r="J299" s="17"/>
      <c r="K299" s="17"/>
      <c r="L299" s="17"/>
      <c r="M299" s="17"/>
      <c r="N299" s="17"/>
      <c r="O299" s="17"/>
      <c r="P299" s="17"/>
      <c r="Q299" s="17"/>
      <c r="R299" s="17"/>
      <c r="S299" s="17"/>
      <c r="T299" s="17"/>
      <c r="U299" s="17"/>
      <c r="V299" s="17"/>
      <c r="W299" s="12"/>
      <c r="X299" s="12"/>
      <c r="Y299" s="12"/>
      <c r="Z299" s="12"/>
    </row>
    <row r="300" spans="1:26" ht="15" customHeight="1" x14ac:dyDescent="0.35">
      <c r="A300" s="26"/>
      <c r="B300" s="17"/>
      <c r="C300" s="17"/>
      <c r="D300" s="17"/>
      <c r="E300" s="17"/>
      <c r="F300" s="17"/>
      <c r="G300" s="17"/>
      <c r="H300" s="17"/>
      <c r="I300" s="17"/>
      <c r="J300" s="17"/>
      <c r="K300" s="17"/>
      <c r="L300" s="17"/>
      <c r="M300" s="17"/>
      <c r="N300" s="17"/>
      <c r="O300" s="17"/>
      <c r="P300" s="17"/>
      <c r="Q300" s="17"/>
      <c r="R300" s="17"/>
      <c r="S300" s="17"/>
      <c r="T300" s="17"/>
      <c r="U300" s="17"/>
      <c r="V300" s="17"/>
      <c r="W300" s="12"/>
      <c r="X300" s="12"/>
      <c r="Y300" s="12"/>
      <c r="Z300" s="12"/>
    </row>
    <row r="301" spans="1:26" ht="15" customHeight="1" x14ac:dyDescent="0.35">
      <c r="A301" s="26"/>
      <c r="B301" s="17"/>
      <c r="C301" s="17"/>
      <c r="D301" s="17"/>
      <c r="E301" s="17"/>
      <c r="F301" s="17"/>
      <c r="G301" s="17"/>
      <c r="H301" s="17"/>
      <c r="I301" s="17"/>
      <c r="J301" s="17"/>
      <c r="K301" s="17"/>
      <c r="L301" s="17"/>
      <c r="M301" s="17"/>
      <c r="N301" s="17"/>
      <c r="O301" s="17"/>
      <c r="P301" s="17"/>
      <c r="Q301" s="17"/>
      <c r="R301" s="17"/>
      <c r="S301" s="17"/>
      <c r="T301" s="17"/>
      <c r="U301" s="17"/>
      <c r="V301" s="17"/>
      <c r="W301" s="12"/>
      <c r="X301" s="12"/>
      <c r="Y301" s="12"/>
      <c r="Z301" s="12"/>
    </row>
    <row r="302" spans="1:26" ht="15" customHeight="1" x14ac:dyDescent="0.35">
      <c r="A302" s="26"/>
      <c r="B302" s="17"/>
      <c r="C302" s="17"/>
      <c r="D302" s="17"/>
      <c r="E302" s="17"/>
      <c r="F302" s="17"/>
      <c r="G302" s="17"/>
      <c r="H302" s="17"/>
      <c r="I302" s="17"/>
      <c r="J302" s="17"/>
      <c r="K302" s="17"/>
      <c r="L302" s="17"/>
      <c r="M302" s="17"/>
      <c r="N302" s="17"/>
      <c r="O302" s="17"/>
      <c r="P302" s="17"/>
      <c r="Q302" s="17"/>
      <c r="R302" s="17"/>
      <c r="S302" s="17"/>
      <c r="T302" s="17"/>
      <c r="U302" s="17"/>
      <c r="V302" s="17"/>
      <c r="W302" s="12"/>
      <c r="X302" s="12"/>
      <c r="Y302" s="12"/>
      <c r="Z302" s="12"/>
    </row>
    <row r="303" spans="1:26" ht="15" customHeight="1" x14ac:dyDescent="0.35">
      <c r="A303" s="26"/>
      <c r="B303" s="17"/>
      <c r="C303" s="17"/>
      <c r="D303" s="17"/>
      <c r="E303" s="17"/>
      <c r="F303" s="17"/>
      <c r="G303" s="17"/>
      <c r="H303" s="17"/>
      <c r="I303" s="17"/>
      <c r="J303" s="17"/>
      <c r="K303" s="17"/>
      <c r="L303" s="17"/>
      <c r="M303" s="17"/>
      <c r="N303" s="17"/>
      <c r="O303" s="17"/>
      <c r="P303" s="17"/>
      <c r="Q303" s="17"/>
      <c r="R303" s="17"/>
      <c r="S303" s="17"/>
      <c r="T303" s="17"/>
      <c r="U303" s="17"/>
      <c r="V303" s="17"/>
      <c r="W303" s="12"/>
      <c r="X303" s="12"/>
      <c r="Y303" s="12"/>
      <c r="Z303" s="12"/>
    </row>
    <row r="304" spans="1:26" ht="15" customHeight="1" x14ac:dyDescent="0.35">
      <c r="A304" s="26"/>
      <c r="B304" s="17"/>
      <c r="C304" s="17"/>
      <c r="D304" s="17"/>
      <c r="E304" s="17"/>
      <c r="F304" s="17"/>
      <c r="G304" s="17"/>
      <c r="H304" s="17"/>
      <c r="I304" s="17"/>
      <c r="J304" s="17"/>
      <c r="K304" s="17"/>
      <c r="L304" s="17"/>
      <c r="M304" s="17"/>
      <c r="N304" s="17"/>
      <c r="O304" s="17"/>
      <c r="P304" s="17"/>
      <c r="Q304" s="17"/>
      <c r="R304" s="17"/>
      <c r="S304" s="17"/>
      <c r="T304" s="17"/>
      <c r="U304" s="17"/>
      <c r="V304" s="17"/>
      <c r="W304" s="12"/>
      <c r="X304" s="12"/>
      <c r="Y304" s="12"/>
      <c r="Z304" s="12"/>
    </row>
    <row r="305" spans="1:26" ht="15" customHeight="1" x14ac:dyDescent="0.35">
      <c r="A305" s="26"/>
      <c r="B305" s="17"/>
      <c r="C305" s="17"/>
      <c r="D305" s="17"/>
      <c r="E305" s="17"/>
      <c r="F305" s="17"/>
      <c r="G305" s="17"/>
      <c r="H305" s="17"/>
      <c r="I305" s="17"/>
      <c r="J305" s="17"/>
      <c r="K305" s="17"/>
      <c r="L305" s="17"/>
      <c r="M305" s="17"/>
      <c r="N305" s="17"/>
      <c r="O305" s="17"/>
      <c r="P305" s="17"/>
      <c r="Q305" s="17"/>
      <c r="R305" s="17"/>
      <c r="S305" s="17"/>
      <c r="T305" s="17"/>
      <c r="U305" s="17"/>
      <c r="V305" s="17"/>
      <c r="W305" s="12"/>
      <c r="X305" s="12"/>
      <c r="Y305" s="12"/>
      <c r="Z305" s="12"/>
    </row>
    <row r="306" spans="1:26" ht="15" customHeight="1" x14ac:dyDescent="0.35">
      <c r="A306" s="26"/>
      <c r="B306" s="17"/>
      <c r="C306" s="17"/>
      <c r="D306" s="17"/>
      <c r="E306" s="17"/>
      <c r="F306" s="17"/>
      <c r="G306" s="17"/>
      <c r="H306" s="17"/>
      <c r="I306" s="17"/>
      <c r="J306" s="17"/>
      <c r="K306" s="17"/>
      <c r="L306" s="17"/>
      <c r="M306" s="17"/>
      <c r="N306" s="17"/>
      <c r="O306" s="17"/>
      <c r="P306" s="17"/>
      <c r="Q306" s="17"/>
      <c r="R306" s="17"/>
      <c r="S306" s="17"/>
      <c r="T306" s="17"/>
      <c r="U306" s="17"/>
      <c r="V306" s="17"/>
      <c r="W306" s="12"/>
      <c r="X306" s="12"/>
      <c r="Y306" s="12"/>
      <c r="Z306" s="12"/>
    </row>
    <row r="307" spans="1:26" ht="15" customHeight="1" x14ac:dyDescent="0.35">
      <c r="A307" s="26"/>
      <c r="B307" s="17"/>
      <c r="C307" s="17"/>
      <c r="D307" s="17"/>
      <c r="E307" s="17"/>
      <c r="F307" s="17"/>
      <c r="G307" s="17"/>
      <c r="H307" s="17"/>
      <c r="I307" s="17"/>
      <c r="J307" s="17"/>
      <c r="K307" s="17"/>
      <c r="L307" s="17"/>
      <c r="M307" s="17"/>
      <c r="N307" s="17"/>
      <c r="O307" s="17"/>
      <c r="P307" s="17"/>
      <c r="Q307" s="17"/>
      <c r="R307" s="17"/>
      <c r="S307" s="17"/>
      <c r="T307" s="17"/>
      <c r="U307" s="17"/>
      <c r="V307" s="17"/>
      <c r="W307" s="12"/>
      <c r="X307" s="12"/>
      <c r="Y307" s="12"/>
      <c r="Z307" s="12"/>
    </row>
    <row r="308" spans="1:26" ht="15" customHeight="1" x14ac:dyDescent="0.35">
      <c r="A308" s="26"/>
      <c r="B308" s="17"/>
      <c r="C308" s="17"/>
      <c r="D308" s="17"/>
      <c r="E308" s="17"/>
      <c r="F308" s="17"/>
      <c r="G308" s="17"/>
      <c r="H308" s="17"/>
      <c r="I308" s="17"/>
      <c r="J308" s="17"/>
      <c r="K308" s="17"/>
      <c r="L308" s="17"/>
      <c r="M308" s="17"/>
      <c r="N308" s="17"/>
      <c r="O308" s="17"/>
      <c r="P308" s="17"/>
      <c r="Q308" s="17"/>
      <c r="R308" s="17"/>
      <c r="S308" s="17"/>
      <c r="T308" s="17"/>
      <c r="U308" s="17"/>
      <c r="V308" s="17"/>
      <c r="W308" s="12"/>
      <c r="X308" s="12"/>
      <c r="Y308" s="12"/>
      <c r="Z308" s="12"/>
    </row>
    <row r="309" spans="1:26" ht="15" customHeight="1" x14ac:dyDescent="0.35">
      <c r="A309" s="26"/>
      <c r="B309" s="17"/>
      <c r="C309" s="17"/>
      <c r="D309" s="17"/>
      <c r="E309" s="17"/>
      <c r="F309" s="17"/>
      <c r="G309" s="17"/>
      <c r="H309" s="17"/>
      <c r="I309" s="17"/>
      <c r="J309" s="17"/>
      <c r="K309" s="17"/>
      <c r="L309" s="17"/>
      <c r="M309" s="17"/>
      <c r="N309" s="17"/>
      <c r="O309" s="17"/>
      <c r="P309" s="17"/>
      <c r="Q309" s="17"/>
      <c r="R309" s="17"/>
      <c r="S309" s="17"/>
      <c r="T309" s="17"/>
      <c r="U309" s="17"/>
      <c r="V309" s="17"/>
      <c r="W309" s="12"/>
      <c r="X309" s="12"/>
      <c r="Y309" s="12"/>
      <c r="Z309" s="12"/>
    </row>
    <row r="310" spans="1:26" ht="15" customHeight="1" x14ac:dyDescent="0.35">
      <c r="A310" s="26"/>
      <c r="B310" s="17"/>
      <c r="C310" s="17"/>
      <c r="D310" s="17"/>
      <c r="E310" s="17"/>
      <c r="F310" s="17"/>
      <c r="G310" s="17"/>
      <c r="H310" s="17"/>
      <c r="I310" s="17"/>
      <c r="J310" s="17"/>
      <c r="K310" s="17"/>
      <c r="L310" s="17"/>
      <c r="M310" s="17"/>
      <c r="N310" s="17"/>
      <c r="O310" s="17"/>
      <c r="P310" s="17"/>
      <c r="Q310" s="17"/>
      <c r="R310" s="17"/>
      <c r="S310" s="17"/>
      <c r="T310" s="17"/>
      <c r="U310" s="17"/>
      <c r="V310" s="17"/>
      <c r="W310" s="12"/>
      <c r="X310" s="12"/>
      <c r="Y310" s="12"/>
      <c r="Z310" s="12"/>
    </row>
    <row r="311" spans="1:26" ht="15" customHeight="1" x14ac:dyDescent="0.35">
      <c r="A311" s="26"/>
      <c r="B311" s="17"/>
      <c r="C311" s="17"/>
      <c r="D311" s="17"/>
      <c r="E311" s="17"/>
      <c r="F311" s="17"/>
      <c r="G311" s="17"/>
      <c r="H311" s="17"/>
      <c r="I311" s="17"/>
      <c r="J311" s="17"/>
      <c r="K311" s="17"/>
      <c r="L311" s="17"/>
      <c r="M311" s="17"/>
      <c r="N311" s="17"/>
      <c r="O311" s="17"/>
      <c r="P311" s="17"/>
      <c r="Q311" s="17"/>
      <c r="R311" s="17"/>
      <c r="S311" s="17"/>
      <c r="T311" s="17"/>
      <c r="U311" s="17"/>
      <c r="V311" s="17"/>
      <c r="W311" s="12"/>
      <c r="X311" s="12"/>
      <c r="Y311" s="12"/>
      <c r="Z311" s="12"/>
    </row>
    <row r="312" spans="1:26" ht="15" customHeight="1" x14ac:dyDescent="0.35">
      <c r="A312" s="26"/>
      <c r="B312" s="17"/>
      <c r="C312" s="17"/>
      <c r="D312" s="17"/>
      <c r="E312" s="17"/>
      <c r="F312" s="17"/>
      <c r="G312" s="17"/>
      <c r="H312" s="17"/>
      <c r="I312" s="17"/>
      <c r="J312" s="17"/>
      <c r="K312" s="17"/>
      <c r="L312" s="17"/>
      <c r="M312" s="17"/>
      <c r="N312" s="17"/>
      <c r="O312" s="17"/>
      <c r="P312" s="17"/>
      <c r="Q312" s="17"/>
      <c r="R312" s="17"/>
      <c r="S312" s="17"/>
      <c r="T312" s="17"/>
      <c r="U312" s="17"/>
      <c r="V312" s="17"/>
      <c r="W312" s="12"/>
      <c r="X312" s="12"/>
      <c r="Y312" s="12"/>
      <c r="Z312" s="12"/>
    </row>
    <row r="313" spans="1:26" ht="15" customHeight="1" x14ac:dyDescent="0.35">
      <c r="A313" s="26"/>
      <c r="B313" s="17"/>
      <c r="C313" s="17"/>
      <c r="D313" s="17"/>
      <c r="E313" s="17"/>
      <c r="F313" s="17"/>
      <c r="G313" s="17"/>
      <c r="H313" s="17"/>
      <c r="I313" s="17"/>
      <c r="J313" s="17"/>
      <c r="K313" s="17"/>
      <c r="L313" s="17"/>
      <c r="M313" s="17"/>
      <c r="N313" s="17"/>
      <c r="O313" s="17"/>
      <c r="P313" s="17"/>
      <c r="Q313" s="17"/>
      <c r="R313" s="17"/>
      <c r="S313" s="17"/>
      <c r="T313" s="17"/>
      <c r="U313" s="17"/>
      <c r="V313" s="17"/>
      <c r="W313" s="12"/>
      <c r="X313" s="12"/>
      <c r="Y313" s="12"/>
      <c r="Z313" s="12"/>
    </row>
    <row r="314" spans="1:26" ht="15" customHeight="1" x14ac:dyDescent="0.35">
      <c r="A314" s="26"/>
      <c r="B314" s="17"/>
      <c r="C314" s="17"/>
      <c r="D314" s="17"/>
      <c r="E314" s="17"/>
      <c r="F314" s="17"/>
      <c r="G314" s="17"/>
      <c r="H314" s="17"/>
      <c r="I314" s="17"/>
      <c r="J314" s="17"/>
      <c r="K314" s="17"/>
      <c r="L314" s="17"/>
      <c r="M314" s="17"/>
      <c r="N314" s="17"/>
      <c r="O314" s="17"/>
      <c r="P314" s="17"/>
      <c r="Q314" s="17"/>
      <c r="R314" s="17"/>
      <c r="S314" s="17"/>
      <c r="T314" s="17"/>
      <c r="U314" s="17"/>
      <c r="V314" s="17"/>
      <c r="W314" s="12"/>
      <c r="X314" s="12"/>
      <c r="Y314" s="12"/>
      <c r="Z314" s="12"/>
    </row>
    <row r="315" spans="1:26" ht="15" customHeight="1" x14ac:dyDescent="0.35">
      <c r="A315" s="26"/>
      <c r="B315" s="17"/>
      <c r="C315" s="17"/>
      <c r="D315" s="17"/>
      <c r="E315" s="17"/>
      <c r="F315" s="17"/>
      <c r="G315" s="17"/>
      <c r="H315" s="17"/>
      <c r="I315" s="17"/>
      <c r="J315" s="17"/>
      <c r="K315" s="17"/>
      <c r="L315" s="17"/>
      <c r="M315" s="17"/>
      <c r="N315" s="17"/>
      <c r="O315" s="17"/>
      <c r="P315" s="17"/>
      <c r="Q315" s="17"/>
      <c r="R315" s="17"/>
      <c r="S315" s="17"/>
      <c r="T315" s="17"/>
      <c r="U315" s="17"/>
      <c r="V315" s="17"/>
      <c r="W315" s="12"/>
      <c r="X315" s="12"/>
      <c r="Y315" s="12"/>
      <c r="Z315" s="12"/>
    </row>
    <row r="316" spans="1:26" ht="15" customHeight="1" x14ac:dyDescent="0.35">
      <c r="A316" s="26"/>
      <c r="B316" s="17"/>
      <c r="C316" s="17"/>
      <c r="D316" s="17"/>
      <c r="E316" s="17"/>
      <c r="F316" s="17"/>
      <c r="G316" s="17"/>
      <c r="H316" s="17"/>
      <c r="I316" s="17"/>
      <c r="J316" s="17"/>
      <c r="K316" s="17"/>
      <c r="L316" s="17"/>
      <c r="M316" s="17"/>
      <c r="N316" s="17"/>
      <c r="O316" s="17"/>
      <c r="P316" s="17"/>
      <c r="Q316" s="17"/>
      <c r="R316" s="17"/>
      <c r="S316" s="17"/>
      <c r="T316" s="17"/>
      <c r="U316" s="17"/>
      <c r="V316" s="17"/>
      <c r="W316" s="12"/>
      <c r="X316" s="12"/>
      <c r="Y316" s="12"/>
      <c r="Z316" s="12"/>
    </row>
    <row r="317" spans="1:26" ht="15" customHeight="1" x14ac:dyDescent="0.35">
      <c r="A317" s="26"/>
      <c r="B317" s="17"/>
      <c r="C317" s="17"/>
      <c r="D317" s="17"/>
      <c r="E317" s="17"/>
      <c r="F317" s="17"/>
      <c r="G317" s="17"/>
      <c r="H317" s="17"/>
      <c r="I317" s="17"/>
      <c r="J317" s="17"/>
      <c r="K317" s="17"/>
      <c r="L317" s="17"/>
      <c r="M317" s="17"/>
      <c r="N317" s="17"/>
      <c r="O317" s="17"/>
      <c r="P317" s="17"/>
      <c r="Q317" s="17"/>
      <c r="R317" s="17"/>
      <c r="S317" s="17"/>
      <c r="T317" s="17"/>
      <c r="U317" s="17"/>
      <c r="V317" s="17"/>
      <c r="W317" s="12"/>
      <c r="X317" s="12"/>
      <c r="Y317" s="12"/>
      <c r="Z317" s="12"/>
    </row>
    <row r="318" spans="1:26" ht="15" customHeight="1" x14ac:dyDescent="0.35">
      <c r="A318" s="26"/>
      <c r="B318" s="17"/>
      <c r="C318" s="17"/>
      <c r="D318" s="17"/>
      <c r="E318" s="17"/>
      <c r="F318" s="17"/>
      <c r="G318" s="17"/>
      <c r="H318" s="17"/>
      <c r="I318" s="17"/>
      <c r="J318" s="17"/>
      <c r="K318" s="17"/>
      <c r="L318" s="17"/>
      <c r="M318" s="17"/>
      <c r="N318" s="17"/>
      <c r="O318" s="17"/>
      <c r="P318" s="17"/>
      <c r="Q318" s="17"/>
      <c r="R318" s="17"/>
      <c r="S318" s="17"/>
      <c r="T318" s="17"/>
      <c r="U318" s="17"/>
      <c r="V318" s="17"/>
      <c r="W318" s="12"/>
      <c r="X318" s="12"/>
      <c r="Y318" s="12"/>
      <c r="Z318" s="12"/>
    </row>
    <row r="319" spans="1:26" ht="15" customHeight="1" x14ac:dyDescent="0.35">
      <c r="A319" s="26"/>
      <c r="B319" s="17"/>
      <c r="C319" s="17"/>
      <c r="D319" s="17"/>
      <c r="E319" s="17"/>
      <c r="F319" s="17"/>
      <c r="G319" s="17"/>
      <c r="H319" s="17"/>
      <c r="I319" s="17"/>
      <c r="J319" s="17"/>
      <c r="K319" s="17"/>
      <c r="L319" s="17"/>
      <c r="M319" s="17"/>
      <c r="N319" s="17"/>
      <c r="O319" s="17"/>
      <c r="P319" s="17"/>
      <c r="Q319" s="17"/>
      <c r="R319" s="17"/>
      <c r="S319" s="17"/>
      <c r="T319" s="17"/>
      <c r="U319" s="17"/>
      <c r="V319" s="17"/>
      <c r="W319" s="12"/>
      <c r="X319" s="12"/>
      <c r="Y319" s="12"/>
      <c r="Z319" s="12"/>
    </row>
    <row r="320" spans="1:26" ht="15" customHeight="1" x14ac:dyDescent="0.35">
      <c r="A320" s="26"/>
      <c r="B320" s="17"/>
      <c r="C320" s="17"/>
      <c r="D320" s="17"/>
      <c r="E320" s="17"/>
      <c r="F320" s="17"/>
      <c r="G320" s="17"/>
      <c r="H320" s="17"/>
      <c r="I320" s="17"/>
      <c r="J320" s="17"/>
      <c r="K320" s="17"/>
      <c r="L320" s="17"/>
      <c r="M320" s="17"/>
      <c r="N320" s="17"/>
      <c r="O320" s="17"/>
      <c r="P320" s="17"/>
      <c r="Q320" s="17"/>
      <c r="R320" s="17"/>
      <c r="S320" s="17"/>
      <c r="T320" s="17"/>
      <c r="U320" s="17"/>
      <c r="V320" s="17"/>
      <c r="W320" s="12"/>
      <c r="X320" s="12"/>
      <c r="Y320" s="12"/>
      <c r="Z320" s="12"/>
    </row>
    <row r="321" spans="1:26" ht="15" customHeight="1" x14ac:dyDescent="0.35">
      <c r="A321" s="26"/>
      <c r="B321" s="17"/>
      <c r="C321" s="17"/>
      <c r="D321" s="17"/>
      <c r="E321" s="17"/>
      <c r="F321" s="17"/>
      <c r="G321" s="17"/>
      <c r="H321" s="17"/>
      <c r="I321" s="17"/>
      <c r="J321" s="17"/>
      <c r="K321" s="17"/>
      <c r="L321" s="17"/>
      <c r="M321" s="17"/>
      <c r="N321" s="17"/>
      <c r="O321" s="17"/>
      <c r="P321" s="17"/>
      <c r="Q321" s="17"/>
      <c r="R321" s="17"/>
      <c r="S321" s="17"/>
      <c r="T321" s="17"/>
      <c r="U321" s="17"/>
      <c r="V321" s="17"/>
      <c r="W321" s="12"/>
      <c r="X321" s="12"/>
      <c r="Y321" s="12"/>
      <c r="Z321" s="12"/>
    </row>
    <row r="322" spans="1:26" ht="15" customHeight="1" x14ac:dyDescent="0.35">
      <c r="A322" s="26"/>
      <c r="B322" s="17"/>
      <c r="C322" s="17"/>
      <c r="D322" s="17"/>
      <c r="E322" s="17"/>
      <c r="F322" s="17"/>
      <c r="G322" s="17"/>
      <c r="H322" s="17"/>
      <c r="I322" s="17"/>
      <c r="J322" s="17"/>
      <c r="K322" s="17"/>
      <c r="L322" s="17"/>
      <c r="M322" s="17"/>
      <c r="N322" s="17"/>
      <c r="O322" s="17"/>
      <c r="P322" s="17"/>
      <c r="Q322" s="17"/>
      <c r="R322" s="17"/>
      <c r="S322" s="17"/>
      <c r="T322" s="17"/>
      <c r="U322" s="17"/>
      <c r="V322" s="17"/>
      <c r="W322" s="12"/>
      <c r="X322" s="12"/>
      <c r="Y322" s="12"/>
      <c r="Z322" s="12"/>
    </row>
    <row r="323" spans="1:26" ht="15" customHeight="1" x14ac:dyDescent="0.35">
      <c r="A323" s="26"/>
      <c r="B323" s="17"/>
      <c r="C323" s="17"/>
      <c r="D323" s="17"/>
      <c r="E323" s="17"/>
      <c r="F323" s="17"/>
      <c r="G323" s="17"/>
      <c r="H323" s="17"/>
      <c r="I323" s="17"/>
      <c r="J323" s="17"/>
      <c r="K323" s="17"/>
      <c r="L323" s="17"/>
      <c r="M323" s="17"/>
      <c r="N323" s="17"/>
      <c r="O323" s="17"/>
      <c r="P323" s="17"/>
      <c r="Q323" s="17"/>
      <c r="R323" s="17"/>
      <c r="S323" s="17"/>
      <c r="T323" s="17"/>
      <c r="U323" s="17"/>
      <c r="V323" s="17"/>
      <c r="W323" s="12"/>
      <c r="X323" s="12"/>
      <c r="Y323" s="12"/>
      <c r="Z323" s="12"/>
    </row>
    <row r="324" spans="1:26" ht="15" customHeight="1" x14ac:dyDescent="0.35">
      <c r="A324" s="26"/>
      <c r="B324" s="17"/>
      <c r="C324" s="17"/>
      <c r="D324" s="17"/>
      <c r="E324" s="17"/>
      <c r="F324" s="17"/>
      <c r="G324" s="17"/>
      <c r="H324" s="17"/>
      <c r="I324" s="17"/>
      <c r="J324" s="17"/>
      <c r="K324" s="17"/>
      <c r="L324" s="17"/>
      <c r="M324" s="17"/>
      <c r="N324" s="17"/>
      <c r="O324" s="17"/>
      <c r="P324" s="17"/>
      <c r="Q324" s="17"/>
      <c r="R324" s="17"/>
      <c r="S324" s="17"/>
      <c r="T324" s="17"/>
      <c r="U324" s="17"/>
      <c r="V324" s="17"/>
      <c r="W324" s="12"/>
      <c r="X324" s="12"/>
      <c r="Y324" s="12"/>
      <c r="Z324" s="12"/>
    </row>
    <row r="325" spans="1:26" ht="15" customHeight="1" x14ac:dyDescent="0.35">
      <c r="A325" s="26"/>
      <c r="B325" s="17"/>
      <c r="C325" s="17"/>
      <c r="D325" s="17"/>
      <c r="E325" s="17"/>
      <c r="F325" s="17"/>
      <c r="G325" s="17"/>
      <c r="H325" s="17"/>
      <c r="I325" s="17"/>
      <c r="J325" s="17"/>
      <c r="K325" s="17"/>
      <c r="L325" s="17"/>
      <c r="M325" s="17"/>
      <c r="N325" s="17"/>
      <c r="O325" s="17"/>
      <c r="P325" s="17"/>
      <c r="Q325" s="17"/>
      <c r="R325" s="17"/>
      <c r="S325" s="17"/>
      <c r="T325" s="17"/>
      <c r="U325" s="17"/>
      <c r="V325" s="17"/>
      <c r="W325" s="12"/>
      <c r="X325" s="12"/>
      <c r="Y325" s="12"/>
      <c r="Z325" s="12"/>
    </row>
    <row r="326" spans="1:26" ht="15" customHeight="1" x14ac:dyDescent="0.35">
      <c r="A326" s="26"/>
      <c r="B326" s="17"/>
      <c r="C326" s="17"/>
      <c r="D326" s="17"/>
      <c r="E326" s="17"/>
      <c r="F326" s="17"/>
      <c r="G326" s="17"/>
      <c r="H326" s="17"/>
      <c r="I326" s="17"/>
      <c r="J326" s="17"/>
      <c r="K326" s="17"/>
      <c r="L326" s="17"/>
      <c r="M326" s="17"/>
      <c r="N326" s="17"/>
      <c r="O326" s="17"/>
      <c r="P326" s="17"/>
      <c r="Q326" s="17"/>
      <c r="R326" s="17"/>
      <c r="S326" s="17"/>
      <c r="T326" s="17"/>
      <c r="U326" s="17"/>
      <c r="V326" s="17"/>
      <c r="W326" s="12"/>
      <c r="X326" s="12"/>
      <c r="Y326" s="12"/>
      <c r="Z326" s="12"/>
    </row>
    <row r="327" spans="1:26" ht="15" customHeight="1" x14ac:dyDescent="0.35">
      <c r="A327" s="26"/>
      <c r="B327" s="17"/>
      <c r="C327" s="17"/>
      <c r="D327" s="17"/>
      <c r="E327" s="17"/>
      <c r="F327" s="17"/>
      <c r="G327" s="17"/>
      <c r="H327" s="17"/>
      <c r="I327" s="17"/>
      <c r="J327" s="17"/>
      <c r="K327" s="17"/>
      <c r="L327" s="17"/>
      <c r="M327" s="17"/>
      <c r="N327" s="17"/>
      <c r="O327" s="17"/>
      <c r="P327" s="17"/>
      <c r="Q327" s="17"/>
      <c r="R327" s="17"/>
      <c r="S327" s="17"/>
      <c r="T327" s="17"/>
      <c r="U327" s="17"/>
      <c r="V327" s="17"/>
      <c r="W327" s="12"/>
      <c r="X327" s="12"/>
      <c r="Y327" s="12"/>
      <c r="Z327" s="12"/>
    </row>
    <row r="328" spans="1:26" ht="15" customHeight="1" x14ac:dyDescent="0.35">
      <c r="A328" s="26"/>
      <c r="B328" s="17"/>
      <c r="C328" s="17"/>
      <c r="D328" s="17"/>
      <c r="E328" s="17"/>
      <c r="F328" s="17"/>
      <c r="G328" s="17"/>
      <c r="H328" s="17"/>
      <c r="I328" s="17"/>
      <c r="J328" s="17"/>
      <c r="K328" s="17"/>
      <c r="L328" s="17"/>
      <c r="M328" s="17"/>
      <c r="N328" s="17"/>
      <c r="O328" s="17"/>
      <c r="P328" s="17"/>
      <c r="Q328" s="17"/>
      <c r="R328" s="17"/>
      <c r="S328" s="17"/>
      <c r="T328" s="17"/>
      <c r="U328" s="17"/>
      <c r="V328" s="17"/>
      <c r="W328" s="12"/>
      <c r="X328" s="12"/>
      <c r="Y328" s="12"/>
      <c r="Z328" s="12"/>
    </row>
    <row r="329" spans="1:26" ht="15" customHeight="1" x14ac:dyDescent="0.35">
      <c r="A329" s="26"/>
      <c r="B329" s="17"/>
      <c r="C329" s="17"/>
      <c r="D329" s="17"/>
      <c r="E329" s="17"/>
      <c r="F329" s="17"/>
      <c r="G329" s="17"/>
      <c r="H329" s="17"/>
      <c r="I329" s="17"/>
      <c r="J329" s="17"/>
      <c r="K329" s="17"/>
      <c r="L329" s="17"/>
      <c r="M329" s="17"/>
      <c r="N329" s="17"/>
      <c r="O329" s="17"/>
      <c r="P329" s="17"/>
      <c r="Q329" s="17"/>
      <c r="R329" s="17"/>
      <c r="S329" s="17"/>
      <c r="T329" s="17"/>
      <c r="U329" s="17"/>
      <c r="V329" s="17"/>
      <c r="W329" s="12"/>
      <c r="X329" s="12"/>
      <c r="Y329" s="12"/>
      <c r="Z329" s="12"/>
    </row>
    <row r="330" spans="1:26" ht="15" customHeight="1" x14ac:dyDescent="0.35">
      <c r="A330" s="26"/>
      <c r="B330" s="17"/>
      <c r="C330" s="17"/>
      <c r="D330" s="17"/>
      <c r="E330" s="17"/>
      <c r="F330" s="17"/>
      <c r="G330" s="17"/>
      <c r="H330" s="17"/>
      <c r="I330" s="17"/>
      <c r="J330" s="17"/>
      <c r="K330" s="17"/>
      <c r="L330" s="17"/>
      <c r="M330" s="17"/>
      <c r="N330" s="17"/>
      <c r="O330" s="17"/>
      <c r="P330" s="17"/>
      <c r="Q330" s="17"/>
      <c r="R330" s="17"/>
      <c r="S330" s="17"/>
      <c r="T330" s="17"/>
      <c r="U330" s="17"/>
      <c r="V330" s="17"/>
      <c r="W330" s="12"/>
      <c r="X330" s="12"/>
      <c r="Y330" s="12"/>
      <c r="Z330" s="12"/>
    </row>
    <row r="331" spans="1:26" ht="15" customHeight="1" x14ac:dyDescent="0.35">
      <c r="A331" s="26"/>
      <c r="B331" s="17"/>
      <c r="C331" s="17"/>
      <c r="D331" s="17"/>
      <c r="E331" s="17"/>
      <c r="F331" s="17"/>
      <c r="G331" s="17"/>
      <c r="H331" s="17"/>
      <c r="I331" s="17"/>
      <c r="J331" s="17"/>
      <c r="K331" s="17"/>
      <c r="L331" s="17"/>
      <c r="M331" s="17"/>
      <c r="N331" s="17"/>
      <c r="O331" s="17"/>
      <c r="P331" s="17"/>
      <c r="Q331" s="17"/>
      <c r="R331" s="17"/>
      <c r="S331" s="17"/>
      <c r="T331" s="17"/>
      <c r="U331" s="17"/>
      <c r="V331" s="17"/>
      <c r="W331" s="12"/>
      <c r="X331" s="12"/>
      <c r="Y331" s="12"/>
      <c r="Z331" s="12"/>
    </row>
    <row r="332" spans="1:26" ht="15" customHeight="1" x14ac:dyDescent="0.35">
      <c r="A332" s="26"/>
      <c r="B332" s="17"/>
      <c r="C332" s="17"/>
      <c r="D332" s="17"/>
      <c r="E332" s="17"/>
      <c r="F332" s="17"/>
      <c r="G332" s="17"/>
      <c r="H332" s="17"/>
      <c r="I332" s="17"/>
      <c r="J332" s="17"/>
      <c r="K332" s="17"/>
      <c r="L332" s="17"/>
      <c r="M332" s="17"/>
      <c r="N332" s="17"/>
      <c r="O332" s="17"/>
      <c r="P332" s="17"/>
      <c r="Q332" s="17"/>
      <c r="R332" s="17"/>
      <c r="S332" s="17"/>
      <c r="T332" s="17"/>
      <c r="U332" s="17"/>
      <c r="V332" s="17"/>
      <c r="W332" s="12"/>
      <c r="X332" s="12"/>
      <c r="Y332" s="12"/>
      <c r="Z332" s="12"/>
    </row>
    <row r="333" spans="1:26" ht="15" customHeight="1" x14ac:dyDescent="0.35">
      <c r="A333" s="26"/>
      <c r="B333" s="17"/>
      <c r="C333" s="17"/>
      <c r="D333" s="17"/>
      <c r="E333" s="17"/>
      <c r="F333" s="17"/>
      <c r="G333" s="17"/>
      <c r="H333" s="17"/>
      <c r="I333" s="17"/>
      <c r="J333" s="17"/>
      <c r="K333" s="17"/>
      <c r="L333" s="17"/>
      <c r="M333" s="17"/>
      <c r="N333" s="17"/>
      <c r="O333" s="17"/>
      <c r="P333" s="17"/>
      <c r="Q333" s="17"/>
      <c r="R333" s="17"/>
      <c r="S333" s="17"/>
      <c r="T333" s="17"/>
      <c r="U333" s="17"/>
      <c r="V333" s="17"/>
      <c r="W333" s="12"/>
      <c r="X333" s="12"/>
      <c r="Y333" s="12"/>
      <c r="Z333" s="12"/>
    </row>
    <row r="334" spans="1:26" ht="15" customHeight="1" x14ac:dyDescent="0.35">
      <c r="A334" s="26"/>
      <c r="B334" s="17"/>
      <c r="C334" s="17"/>
      <c r="D334" s="17"/>
      <c r="E334" s="17"/>
      <c r="F334" s="17"/>
      <c r="G334" s="17"/>
      <c r="H334" s="17"/>
      <c r="I334" s="17"/>
      <c r="J334" s="17"/>
      <c r="K334" s="17"/>
      <c r="L334" s="17"/>
      <c r="M334" s="17"/>
      <c r="N334" s="17"/>
      <c r="O334" s="17"/>
      <c r="P334" s="17"/>
      <c r="Q334" s="17"/>
      <c r="R334" s="17"/>
      <c r="S334" s="17"/>
      <c r="T334" s="17"/>
      <c r="U334" s="17"/>
      <c r="V334" s="17"/>
      <c r="W334" s="12"/>
      <c r="X334" s="12"/>
      <c r="Y334" s="12"/>
      <c r="Z334" s="12"/>
    </row>
    <row r="335" spans="1:26" ht="15" customHeight="1" x14ac:dyDescent="0.35">
      <c r="A335" s="26"/>
      <c r="B335" s="17"/>
      <c r="C335" s="17"/>
      <c r="D335" s="17"/>
      <c r="E335" s="17"/>
      <c r="F335" s="17"/>
      <c r="G335" s="17"/>
      <c r="H335" s="17"/>
      <c r="I335" s="17"/>
      <c r="J335" s="17"/>
      <c r="K335" s="17"/>
      <c r="L335" s="17"/>
      <c r="M335" s="17"/>
      <c r="N335" s="17"/>
      <c r="O335" s="17"/>
      <c r="P335" s="17"/>
      <c r="Q335" s="17"/>
      <c r="R335" s="17"/>
      <c r="S335" s="17"/>
      <c r="T335" s="17"/>
      <c r="U335" s="17"/>
      <c r="V335" s="17"/>
      <c r="W335" s="12"/>
      <c r="X335" s="12"/>
      <c r="Y335" s="12"/>
      <c r="Z335" s="12"/>
    </row>
    <row r="336" spans="1:26" ht="15" customHeight="1" x14ac:dyDescent="0.35">
      <c r="A336" s="26"/>
      <c r="B336" s="17"/>
      <c r="C336" s="17"/>
      <c r="D336" s="17"/>
      <c r="E336" s="17"/>
      <c r="F336" s="17"/>
      <c r="G336" s="17"/>
      <c r="H336" s="17"/>
      <c r="I336" s="17"/>
      <c r="J336" s="17"/>
      <c r="K336" s="17"/>
      <c r="L336" s="17"/>
      <c r="M336" s="17"/>
      <c r="N336" s="17"/>
      <c r="O336" s="17"/>
      <c r="P336" s="17"/>
      <c r="Q336" s="17"/>
      <c r="R336" s="17"/>
      <c r="S336" s="17"/>
      <c r="T336" s="17"/>
      <c r="U336" s="17"/>
      <c r="V336" s="17"/>
      <c r="W336" s="12"/>
      <c r="X336" s="12"/>
      <c r="Y336" s="12"/>
      <c r="Z336" s="12"/>
    </row>
    <row r="337" spans="1:26" ht="15" customHeight="1" x14ac:dyDescent="0.35">
      <c r="A337" s="26"/>
      <c r="B337" s="17"/>
      <c r="C337" s="17"/>
      <c r="D337" s="17"/>
      <c r="E337" s="17"/>
      <c r="F337" s="17"/>
      <c r="G337" s="17"/>
      <c r="H337" s="17"/>
      <c r="I337" s="17"/>
      <c r="J337" s="17"/>
      <c r="K337" s="17"/>
      <c r="L337" s="17"/>
      <c r="M337" s="17"/>
      <c r="N337" s="17"/>
      <c r="O337" s="17"/>
      <c r="P337" s="17"/>
      <c r="Q337" s="17"/>
      <c r="R337" s="17"/>
      <c r="S337" s="17"/>
      <c r="T337" s="17"/>
      <c r="U337" s="17"/>
      <c r="V337" s="17"/>
      <c r="W337" s="12"/>
      <c r="X337" s="12"/>
      <c r="Y337" s="12"/>
      <c r="Z337" s="12"/>
    </row>
    <row r="338" spans="1:26" ht="15" customHeight="1" x14ac:dyDescent="0.35">
      <c r="A338" s="26"/>
      <c r="B338" s="17"/>
      <c r="C338" s="17"/>
      <c r="D338" s="17"/>
      <c r="E338" s="17"/>
      <c r="F338" s="17"/>
      <c r="G338" s="17"/>
      <c r="H338" s="17"/>
      <c r="I338" s="17"/>
      <c r="J338" s="17"/>
      <c r="K338" s="17"/>
      <c r="L338" s="17"/>
      <c r="M338" s="17"/>
      <c r="N338" s="17"/>
      <c r="O338" s="17"/>
      <c r="P338" s="17"/>
      <c r="Q338" s="17"/>
      <c r="R338" s="17"/>
      <c r="S338" s="17"/>
      <c r="T338" s="17"/>
      <c r="U338" s="17"/>
      <c r="V338" s="17"/>
      <c r="W338" s="12"/>
      <c r="X338" s="12"/>
      <c r="Y338" s="12"/>
      <c r="Z338" s="12"/>
    </row>
    <row r="339" spans="1:26" ht="15" customHeight="1" x14ac:dyDescent="0.35">
      <c r="A339" s="26"/>
      <c r="B339" s="17"/>
      <c r="C339" s="17"/>
      <c r="D339" s="17"/>
      <c r="E339" s="17"/>
      <c r="F339" s="17"/>
      <c r="G339" s="17"/>
      <c r="H339" s="17"/>
      <c r="I339" s="17"/>
      <c r="J339" s="17"/>
      <c r="K339" s="17"/>
      <c r="L339" s="17"/>
      <c r="M339" s="17"/>
      <c r="N339" s="17"/>
      <c r="O339" s="17"/>
      <c r="P339" s="17"/>
      <c r="Q339" s="17"/>
      <c r="R339" s="17"/>
      <c r="S339" s="17"/>
      <c r="T339" s="17"/>
      <c r="U339" s="17"/>
      <c r="V339" s="17"/>
      <c r="W339" s="12"/>
      <c r="X339" s="12"/>
      <c r="Y339" s="12"/>
      <c r="Z339" s="12"/>
    </row>
    <row r="340" spans="1:26" ht="15" customHeight="1" x14ac:dyDescent="0.35">
      <c r="A340" s="26"/>
      <c r="B340" s="17"/>
      <c r="C340" s="17"/>
      <c r="D340" s="17"/>
      <c r="E340" s="17"/>
      <c r="F340" s="17"/>
      <c r="G340" s="17"/>
      <c r="H340" s="17"/>
      <c r="I340" s="17"/>
      <c r="J340" s="17"/>
      <c r="K340" s="17"/>
      <c r="L340" s="17"/>
      <c r="M340" s="17"/>
      <c r="N340" s="17"/>
      <c r="O340" s="17"/>
      <c r="P340" s="17"/>
      <c r="Q340" s="17"/>
      <c r="R340" s="17"/>
      <c r="S340" s="17"/>
      <c r="T340" s="17"/>
      <c r="U340" s="17"/>
      <c r="V340" s="17"/>
      <c r="W340" s="12"/>
      <c r="X340" s="12"/>
      <c r="Y340" s="12"/>
      <c r="Z340" s="12"/>
    </row>
    <row r="341" spans="1:26" ht="15" customHeight="1" x14ac:dyDescent="0.35">
      <c r="A341" s="26"/>
      <c r="B341" s="17"/>
      <c r="C341" s="17"/>
      <c r="D341" s="17"/>
      <c r="E341" s="17"/>
      <c r="F341" s="17"/>
      <c r="G341" s="17"/>
      <c r="H341" s="17"/>
      <c r="I341" s="17"/>
      <c r="J341" s="17"/>
      <c r="K341" s="17"/>
      <c r="L341" s="17"/>
      <c r="M341" s="17"/>
      <c r="N341" s="17"/>
      <c r="O341" s="17"/>
      <c r="P341" s="17"/>
      <c r="Q341" s="17"/>
      <c r="R341" s="17"/>
      <c r="S341" s="17"/>
      <c r="T341" s="17"/>
      <c r="U341" s="17"/>
      <c r="V341" s="17"/>
      <c r="W341" s="12"/>
      <c r="X341" s="12"/>
      <c r="Y341" s="12"/>
      <c r="Z341" s="12"/>
    </row>
    <row r="342" spans="1:26" ht="15" customHeight="1" x14ac:dyDescent="0.35">
      <c r="A342" s="26"/>
      <c r="B342" s="17"/>
      <c r="C342" s="17"/>
      <c r="D342" s="17"/>
      <c r="E342" s="17"/>
      <c r="F342" s="17"/>
      <c r="G342" s="17"/>
      <c r="H342" s="17"/>
      <c r="I342" s="17"/>
      <c r="J342" s="17"/>
      <c r="K342" s="17"/>
      <c r="L342" s="17"/>
      <c r="M342" s="17"/>
      <c r="N342" s="17"/>
      <c r="O342" s="17"/>
      <c r="P342" s="17"/>
      <c r="Q342" s="17"/>
      <c r="R342" s="17"/>
      <c r="S342" s="17"/>
      <c r="T342" s="17"/>
      <c r="U342" s="17"/>
      <c r="V342" s="17"/>
      <c r="W342" s="12"/>
      <c r="X342" s="12"/>
      <c r="Y342" s="12"/>
      <c r="Z342" s="12"/>
    </row>
    <row r="343" spans="1:26" ht="15" customHeight="1" x14ac:dyDescent="0.35">
      <c r="A343" s="26"/>
      <c r="B343" s="17"/>
      <c r="C343" s="17"/>
      <c r="D343" s="17"/>
      <c r="E343" s="17"/>
      <c r="F343" s="17"/>
      <c r="G343" s="17"/>
      <c r="H343" s="17"/>
      <c r="I343" s="17"/>
      <c r="J343" s="17"/>
      <c r="K343" s="17"/>
      <c r="L343" s="17"/>
      <c r="M343" s="17"/>
      <c r="N343" s="17"/>
      <c r="O343" s="17"/>
      <c r="P343" s="17"/>
      <c r="Q343" s="17"/>
      <c r="R343" s="17"/>
      <c r="S343" s="17"/>
      <c r="T343" s="17"/>
      <c r="U343" s="17"/>
      <c r="V343" s="17"/>
      <c r="W343" s="12"/>
      <c r="X343" s="12"/>
      <c r="Y343" s="12"/>
      <c r="Z343" s="12"/>
    </row>
    <row r="344" spans="1:26" ht="15" customHeight="1" x14ac:dyDescent="0.35">
      <c r="A344" s="26"/>
      <c r="B344" s="17"/>
      <c r="C344" s="17"/>
      <c r="D344" s="17"/>
      <c r="E344" s="17"/>
      <c r="F344" s="17"/>
      <c r="G344" s="17"/>
      <c r="H344" s="17"/>
      <c r="I344" s="17"/>
      <c r="J344" s="17"/>
      <c r="K344" s="17"/>
      <c r="L344" s="17"/>
      <c r="M344" s="17"/>
      <c r="N344" s="17"/>
      <c r="O344" s="17"/>
      <c r="P344" s="17"/>
      <c r="Q344" s="17"/>
      <c r="R344" s="17"/>
      <c r="S344" s="17"/>
      <c r="T344" s="17"/>
      <c r="U344" s="17"/>
      <c r="V344" s="17"/>
      <c r="W344" s="12"/>
      <c r="X344" s="12"/>
      <c r="Y344" s="12"/>
      <c r="Z344" s="12"/>
    </row>
    <row r="345" spans="1:26" ht="15" customHeight="1" x14ac:dyDescent="0.35">
      <c r="A345" s="26"/>
      <c r="B345" s="17"/>
      <c r="C345" s="17"/>
      <c r="D345" s="17"/>
      <c r="E345" s="17"/>
      <c r="F345" s="17"/>
      <c r="G345" s="17"/>
      <c r="H345" s="17"/>
      <c r="I345" s="17"/>
      <c r="J345" s="17"/>
      <c r="K345" s="17"/>
      <c r="L345" s="17"/>
      <c r="M345" s="17"/>
      <c r="N345" s="17"/>
      <c r="O345" s="17"/>
      <c r="P345" s="17"/>
      <c r="Q345" s="17"/>
      <c r="R345" s="17"/>
      <c r="S345" s="17"/>
      <c r="T345" s="17"/>
      <c r="U345" s="17"/>
      <c r="V345" s="17"/>
      <c r="W345" s="12"/>
      <c r="X345" s="12"/>
      <c r="Y345" s="12"/>
      <c r="Z345" s="12"/>
    </row>
    <row r="346" spans="1:26" ht="15" customHeight="1" x14ac:dyDescent="0.35">
      <c r="A346" s="26"/>
      <c r="B346" s="17"/>
      <c r="C346" s="17"/>
      <c r="D346" s="17"/>
      <c r="E346" s="17"/>
      <c r="F346" s="17"/>
      <c r="G346" s="17"/>
      <c r="H346" s="17"/>
      <c r="I346" s="17"/>
      <c r="J346" s="17"/>
      <c r="K346" s="17"/>
      <c r="L346" s="17"/>
      <c r="M346" s="17"/>
      <c r="N346" s="17"/>
      <c r="O346" s="17"/>
      <c r="P346" s="17"/>
      <c r="Q346" s="17"/>
      <c r="R346" s="17"/>
      <c r="S346" s="17"/>
      <c r="T346" s="17"/>
      <c r="U346" s="17"/>
      <c r="V346" s="17"/>
      <c r="W346" s="12"/>
      <c r="X346" s="12"/>
      <c r="Y346" s="12"/>
      <c r="Z346" s="12"/>
    </row>
    <row r="347" spans="1:26" ht="15" customHeight="1" x14ac:dyDescent="0.35">
      <c r="A347" s="26"/>
      <c r="B347" s="17"/>
      <c r="C347" s="17"/>
      <c r="D347" s="17"/>
      <c r="E347" s="17"/>
      <c r="F347" s="17"/>
      <c r="G347" s="17"/>
      <c r="H347" s="17"/>
      <c r="I347" s="17"/>
      <c r="J347" s="17"/>
      <c r="K347" s="17"/>
      <c r="L347" s="17"/>
      <c r="M347" s="17"/>
      <c r="N347" s="17"/>
      <c r="O347" s="17"/>
      <c r="P347" s="17"/>
      <c r="Q347" s="17"/>
      <c r="R347" s="17"/>
      <c r="S347" s="17"/>
      <c r="T347" s="17"/>
      <c r="U347" s="17"/>
      <c r="V347" s="17"/>
      <c r="W347" s="12"/>
      <c r="X347" s="12"/>
      <c r="Y347" s="12"/>
      <c r="Z347" s="12"/>
    </row>
    <row r="348" spans="1:26" ht="15" customHeight="1" x14ac:dyDescent="0.35">
      <c r="A348" s="26"/>
      <c r="B348" s="17"/>
      <c r="C348" s="17"/>
      <c r="D348" s="17"/>
      <c r="E348" s="17"/>
      <c r="F348" s="17"/>
      <c r="G348" s="17"/>
      <c r="H348" s="17"/>
      <c r="I348" s="17"/>
      <c r="J348" s="17"/>
      <c r="K348" s="17"/>
      <c r="L348" s="17"/>
      <c r="M348" s="17"/>
      <c r="N348" s="17"/>
      <c r="O348" s="17"/>
      <c r="P348" s="17"/>
      <c r="Q348" s="17"/>
      <c r="R348" s="17"/>
      <c r="S348" s="17"/>
      <c r="T348" s="17"/>
      <c r="U348" s="17"/>
      <c r="V348" s="17"/>
      <c r="W348" s="12"/>
      <c r="X348" s="12"/>
      <c r="Y348" s="12"/>
      <c r="Z348" s="12"/>
    </row>
    <row r="349" spans="1:26" ht="15" customHeight="1" x14ac:dyDescent="0.35">
      <c r="A349" s="26"/>
      <c r="B349" s="17"/>
      <c r="C349" s="17"/>
      <c r="D349" s="17"/>
      <c r="E349" s="17"/>
      <c r="F349" s="17"/>
      <c r="G349" s="17"/>
      <c r="H349" s="17"/>
      <c r="I349" s="17"/>
      <c r="J349" s="17"/>
      <c r="K349" s="17"/>
      <c r="L349" s="17"/>
      <c r="M349" s="17"/>
      <c r="N349" s="17"/>
      <c r="O349" s="17"/>
      <c r="P349" s="17"/>
      <c r="Q349" s="17"/>
      <c r="R349" s="17"/>
      <c r="S349" s="17"/>
      <c r="T349" s="17"/>
      <c r="U349" s="17"/>
      <c r="V349" s="17"/>
      <c r="W349" s="12"/>
      <c r="X349" s="12"/>
      <c r="Y349" s="12"/>
      <c r="Z349" s="12"/>
    </row>
    <row r="350" spans="1:26" ht="15" customHeight="1" x14ac:dyDescent="0.35">
      <c r="A350" s="26"/>
      <c r="B350" s="17"/>
      <c r="C350" s="17"/>
      <c r="D350" s="17"/>
      <c r="E350" s="17"/>
      <c r="F350" s="17"/>
      <c r="G350" s="17"/>
      <c r="H350" s="17"/>
      <c r="I350" s="17"/>
      <c r="J350" s="17"/>
      <c r="K350" s="17"/>
      <c r="L350" s="17"/>
      <c r="M350" s="17"/>
      <c r="N350" s="17"/>
      <c r="O350" s="17"/>
      <c r="P350" s="17"/>
      <c r="Q350" s="17"/>
      <c r="R350" s="17"/>
      <c r="S350" s="17"/>
      <c r="T350" s="17"/>
      <c r="U350" s="17"/>
      <c r="V350" s="17"/>
      <c r="W350" s="12"/>
      <c r="X350" s="12"/>
      <c r="Y350" s="12"/>
      <c r="Z350" s="12"/>
    </row>
    <row r="351" spans="1:26" ht="15" customHeight="1" x14ac:dyDescent="0.35">
      <c r="A351" s="26"/>
      <c r="B351" s="17"/>
      <c r="C351" s="17"/>
      <c r="D351" s="17"/>
      <c r="E351" s="17"/>
      <c r="F351" s="17"/>
      <c r="G351" s="17"/>
      <c r="H351" s="17"/>
      <c r="I351" s="17"/>
      <c r="J351" s="17"/>
      <c r="K351" s="17"/>
      <c r="L351" s="17"/>
      <c r="M351" s="17"/>
      <c r="N351" s="17"/>
      <c r="O351" s="17"/>
      <c r="P351" s="17"/>
      <c r="Q351" s="17"/>
      <c r="R351" s="17"/>
      <c r="S351" s="17"/>
      <c r="T351" s="17"/>
      <c r="U351" s="17"/>
      <c r="V351" s="17"/>
      <c r="W351" s="12"/>
      <c r="X351" s="12"/>
      <c r="Y351" s="12"/>
      <c r="Z351" s="12"/>
    </row>
    <row r="352" spans="1:26" ht="15" customHeight="1" x14ac:dyDescent="0.35">
      <c r="A352" s="26"/>
      <c r="B352" s="17"/>
      <c r="C352" s="17"/>
      <c r="D352" s="17"/>
      <c r="E352" s="17"/>
      <c r="F352" s="17"/>
      <c r="G352" s="17"/>
      <c r="H352" s="17"/>
      <c r="I352" s="17"/>
      <c r="J352" s="17"/>
      <c r="K352" s="17"/>
      <c r="L352" s="17"/>
      <c r="M352" s="17"/>
      <c r="N352" s="17"/>
      <c r="O352" s="17"/>
      <c r="P352" s="17"/>
      <c r="Q352" s="17"/>
      <c r="R352" s="17"/>
      <c r="S352" s="17"/>
      <c r="T352" s="17"/>
      <c r="U352" s="17"/>
      <c r="V352" s="17"/>
      <c r="W352" s="12"/>
      <c r="X352" s="12"/>
      <c r="Y352" s="12"/>
      <c r="Z352" s="12"/>
    </row>
    <row r="353" spans="1:26" ht="15" customHeight="1" x14ac:dyDescent="0.35">
      <c r="A353" s="26"/>
      <c r="B353" s="17"/>
      <c r="C353" s="17"/>
      <c r="D353" s="17"/>
      <c r="E353" s="17"/>
      <c r="F353" s="17"/>
      <c r="G353" s="17"/>
      <c r="H353" s="17"/>
      <c r="I353" s="17"/>
      <c r="J353" s="17"/>
      <c r="K353" s="17"/>
      <c r="L353" s="17"/>
      <c r="M353" s="17"/>
      <c r="N353" s="17"/>
      <c r="O353" s="17"/>
      <c r="P353" s="17"/>
      <c r="Q353" s="17"/>
      <c r="R353" s="17"/>
      <c r="S353" s="17"/>
      <c r="T353" s="17"/>
      <c r="U353" s="17"/>
      <c r="V353" s="17"/>
      <c r="W353" s="12"/>
      <c r="X353" s="12"/>
      <c r="Y353" s="12"/>
      <c r="Z353" s="12"/>
    </row>
    <row r="354" spans="1:26" ht="15" customHeight="1" x14ac:dyDescent="0.35">
      <c r="A354" s="26"/>
      <c r="B354" s="17"/>
      <c r="C354" s="17"/>
      <c r="D354" s="17"/>
      <c r="E354" s="17"/>
      <c r="F354" s="17"/>
      <c r="G354" s="17"/>
      <c r="H354" s="17"/>
      <c r="I354" s="17"/>
      <c r="J354" s="17"/>
      <c r="K354" s="17"/>
      <c r="L354" s="17"/>
      <c r="M354" s="17"/>
      <c r="N354" s="17"/>
      <c r="O354" s="17"/>
      <c r="P354" s="17"/>
      <c r="Q354" s="17"/>
      <c r="R354" s="17"/>
      <c r="S354" s="17"/>
      <c r="T354" s="17"/>
      <c r="U354" s="17"/>
      <c r="V354" s="17"/>
      <c r="W354" s="12"/>
      <c r="X354" s="12"/>
      <c r="Y354" s="12"/>
      <c r="Z354" s="12"/>
    </row>
    <row r="355" spans="1:26" ht="15" customHeight="1" x14ac:dyDescent="0.35">
      <c r="A355" s="26"/>
      <c r="B355" s="17"/>
      <c r="C355" s="17"/>
      <c r="D355" s="17"/>
      <c r="E355" s="17"/>
      <c r="F355" s="17"/>
      <c r="G355" s="17"/>
      <c r="H355" s="17"/>
      <c r="I355" s="17"/>
      <c r="J355" s="17"/>
      <c r="K355" s="17"/>
      <c r="L355" s="17"/>
      <c r="M355" s="17"/>
      <c r="N355" s="17"/>
      <c r="O355" s="17"/>
      <c r="P355" s="17"/>
      <c r="Q355" s="17"/>
      <c r="R355" s="17"/>
      <c r="S355" s="17"/>
      <c r="T355" s="17"/>
      <c r="U355" s="17"/>
      <c r="V355" s="17"/>
      <c r="W355" s="12"/>
      <c r="X355" s="12"/>
      <c r="Y355" s="12"/>
      <c r="Z355" s="12"/>
    </row>
    <row r="356" spans="1:26" ht="15" customHeight="1" x14ac:dyDescent="0.35">
      <c r="A356" s="26"/>
      <c r="B356" s="17"/>
      <c r="C356" s="17"/>
      <c r="D356" s="17"/>
      <c r="E356" s="17"/>
      <c r="F356" s="17"/>
      <c r="G356" s="17"/>
      <c r="H356" s="17"/>
      <c r="I356" s="17"/>
      <c r="J356" s="17"/>
      <c r="K356" s="17"/>
      <c r="L356" s="17"/>
      <c r="M356" s="17"/>
      <c r="N356" s="17"/>
      <c r="O356" s="17"/>
      <c r="P356" s="17"/>
      <c r="Q356" s="17"/>
      <c r="R356" s="17"/>
      <c r="S356" s="17"/>
      <c r="T356" s="17"/>
      <c r="U356" s="17"/>
      <c r="V356" s="17"/>
      <c r="W356" s="12"/>
      <c r="X356" s="12"/>
      <c r="Y356" s="12"/>
      <c r="Z356" s="12"/>
    </row>
    <row r="357" spans="1:26" ht="15" customHeight="1" x14ac:dyDescent="0.35">
      <c r="A357" s="26"/>
      <c r="B357" s="17"/>
      <c r="C357" s="17"/>
      <c r="D357" s="17"/>
      <c r="E357" s="17"/>
      <c r="F357" s="17"/>
      <c r="G357" s="17"/>
      <c r="H357" s="17"/>
      <c r="I357" s="17"/>
      <c r="J357" s="17"/>
      <c r="K357" s="17"/>
      <c r="L357" s="17"/>
      <c r="M357" s="17"/>
      <c r="N357" s="17"/>
      <c r="O357" s="17"/>
      <c r="P357" s="17"/>
      <c r="Q357" s="17"/>
      <c r="R357" s="17"/>
      <c r="S357" s="17"/>
      <c r="T357" s="17"/>
      <c r="U357" s="17"/>
      <c r="V357" s="17"/>
      <c r="W357" s="12"/>
      <c r="X357" s="12"/>
      <c r="Y357" s="12"/>
      <c r="Z357" s="12"/>
    </row>
    <row r="358" spans="1:26" ht="15" customHeight="1" x14ac:dyDescent="0.35">
      <c r="A358" s="26"/>
      <c r="B358" s="17"/>
      <c r="C358" s="17"/>
      <c r="D358" s="17"/>
      <c r="E358" s="17"/>
      <c r="F358" s="17"/>
      <c r="G358" s="17"/>
      <c r="H358" s="17"/>
      <c r="I358" s="17"/>
      <c r="J358" s="17"/>
      <c r="K358" s="17"/>
      <c r="L358" s="17"/>
      <c r="M358" s="17"/>
      <c r="N358" s="17"/>
      <c r="O358" s="17"/>
      <c r="P358" s="17"/>
      <c r="Q358" s="17"/>
      <c r="R358" s="17"/>
      <c r="S358" s="17"/>
      <c r="T358" s="17"/>
      <c r="U358" s="17"/>
      <c r="V358" s="17"/>
      <c r="W358" s="12"/>
      <c r="X358" s="12"/>
      <c r="Y358" s="12"/>
      <c r="Z358" s="12"/>
    </row>
    <row r="359" spans="1:26" ht="15" customHeight="1" x14ac:dyDescent="0.35">
      <c r="A359" s="26"/>
      <c r="B359" s="17"/>
      <c r="C359" s="17"/>
      <c r="D359" s="17"/>
      <c r="E359" s="17"/>
      <c r="F359" s="17"/>
      <c r="G359" s="17"/>
      <c r="H359" s="17"/>
      <c r="I359" s="17"/>
      <c r="J359" s="17"/>
      <c r="K359" s="17"/>
      <c r="L359" s="17"/>
      <c r="M359" s="17"/>
      <c r="N359" s="17"/>
      <c r="O359" s="17"/>
      <c r="P359" s="17"/>
      <c r="Q359" s="17"/>
      <c r="R359" s="17"/>
      <c r="S359" s="17"/>
      <c r="T359" s="17"/>
      <c r="U359" s="17"/>
      <c r="V359" s="17"/>
      <c r="W359" s="12"/>
      <c r="X359" s="12"/>
      <c r="Y359" s="12"/>
      <c r="Z359" s="12"/>
    </row>
    <row r="360" spans="1:26" ht="15" customHeight="1" x14ac:dyDescent="0.35">
      <c r="A360" s="26"/>
      <c r="B360" s="17"/>
      <c r="C360" s="17"/>
      <c r="D360" s="17"/>
      <c r="E360" s="17"/>
      <c r="F360" s="17"/>
      <c r="G360" s="17"/>
      <c r="H360" s="17"/>
      <c r="I360" s="17"/>
      <c r="J360" s="17"/>
      <c r="K360" s="17"/>
      <c r="L360" s="17"/>
      <c r="M360" s="17"/>
      <c r="N360" s="17"/>
      <c r="O360" s="17"/>
      <c r="P360" s="17"/>
      <c r="Q360" s="17"/>
      <c r="R360" s="17"/>
      <c r="S360" s="17"/>
      <c r="T360" s="17"/>
      <c r="U360" s="17"/>
      <c r="V360" s="17"/>
      <c r="W360" s="12"/>
      <c r="X360" s="12"/>
      <c r="Y360" s="12"/>
      <c r="Z360" s="12"/>
    </row>
    <row r="361" spans="1:26" ht="15" customHeight="1" x14ac:dyDescent="0.35">
      <c r="A361" s="26"/>
      <c r="B361" s="17"/>
      <c r="C361" s="17"/>
      <c r="D361" s="17"/>
      <c r="E361" s="17"/>
      <c r="F361" s="17"/>
      <c r="G361" s="17"/>
      <c r="H361" s="17"/>
      <c r="I361" s="17"/>
      <c r="J361" s="17"/>
      <c r="K361" s="17"/>
      <c r="L361" s="17"/>
      <c r="M361" s="17"/>
      <c r="N361" s="17"/>
      <c r="O361" s="17"/>
      <c r="P361" s="17"/>
      <c r="Q361" s="17"/>
      <c r="R361" s="17"/>
      <c r="S361" s="17"/>
      <c r="T361" s="17"/>
      <c r="U361" s="17"/>
      <c r="V361" s="17"/>
      <c r="W361" s="12"/>
      <c r="X361" s="12"/>
      <c r="Y361" s="12"/>
      <c r="Z361" s="12"/>
    </row>
    <row r="362" spans="1:26" ht="15" customHeight="1" x14ac:dyDescent="0.35">
      <c r="A362" s="26"/>
      <c r="B362" s="17"/>
      <c r="C362" s="17"/>
      <c r="D362" s="17"/>
      <c r="E362" s="17"/>
      <c r="F362" s="17"/>
      <c r="G362" s="17"/>
      <c r="H362" s="17"/>
      <c r="I362" s="17"/>
      <c r="J362" s="17"/>
      <c r="K362" s="17"/>
      <c r="L362" s="17"/>
      <c r="M362" s="17"/>
      <c r="N362" s="17"/>
      <c r="O362" s="17"/>
      <c r="P362" s="17"/>
      <c r="Q362" s="17"/>
      <c r="R362" s="17"/>
      <c r="S362" s="17"/>
      <c r="T362" s="17"/>
      <c r="U362" s="17"/>
      <c r="V362" s="17"/>
      <c r="W362" s="12"/>
      <c r="X362" s="12"/>
      <c r="Y362" s="12"/>
      <c r="Z362" s="12"/>
    </row>
    <row r="363" spans="1:26" ht="15" customHeight="1" x14ac:dyDescent="0.35">
      <c r="A363" s="26"/>
      <c r="B363" s="17"/>
      <c r="C363" s="17"/>
      <c r="D363" s="17"/>
      <c r="E363" s="17"/>
      <c r="F363" s="17"/>
      <c r="G363" s="17"/>
      <c r="H363" s="17"/>
      <c r="I363" s="17"/>
      <c r="J363" s="17"/>
      <c r="K363" s="17"/>
      <c r="L363" s="17"/>
      <c r="M363" s="17"/>
      <c r="N363" s="17"/>
      <c r="O363" s="17"/>
      <c r="P363" s="17"/>
      <c r="Q363" s="17"/>
      <c r="R363" s="17"/>
      <c r="S363" s="17"/>
      <c r="T363" s="17"/>
      <c r="U363" s="17"/>
      <c r="V363" s="17"/>
      <c r="W363" s="12"/>
      <c r="X363" s="12"/>
      <c r="Y363" s="12"/>
      <c r="Z363" s="12"/>
    </row>
    <row r="364" spans="1:26" ht="15" customHeight="1" x14ac:dyDescent="0.35">
      <c r="A364" s="26"/>
      <c r="B364" s="17"/>
      <c r="C364" s="17"/>
      <c r="D364" s="17"/>
      <c r="E364" s="17"/>
      <c r="F364" s="17"/>
      <c r="G364" s="17"/>
      <c r="H364" s="17"/>
      <c r="I364" s="17"/>
      <c r="J364" s="17"/>
      <c r="K364" s="17"/>
      <c r="L364" s="17"/>
      <c r="M364" s="17"/>
      <c r="N364" s="17"/>
      <c r="O364" s="17"/>
      <c r="P364" s="17"/>
      <c r="Q364" s="17"/>
      <c r="R364" s="17"/>
      <c r="S364" s="17"/>
      <c r="T364" s="17"/>
      <c r="U364" s="17"/>
      <c r="V364" s="17"/>
      <c r="W364" s="12"/>
      <c r="X364" s="12"/>
      <c r="Y364" s="12"/>
      <c r="Z364" s="12"/>
    </row>
    <row r="365" spans="1:26" ht="15" customHeight="1" x14ac:dyDescent="0.35">
      <c r="A365" s="26"/>
      <c r="B365" s="17"/>
      <c r="C365" s="17"/>
      <c r="D365" s="17"/>
      <c r="E365" s="17"/>
      <c r="F365" s="17"/>
      <c r="G365" s="17"/>
      <c r="H365" s="17"/>
      <c r="I365" s="17"/>
      <c r="J365" s="17"/>
      <c r="K365" s="17"/>
      <c r="L365" s="17"/>
      <c r="M365" s="17"/>
      <c r="N365" s="17"/>
      <c r="O365" s="17"/>
      <c r="P365" s="17"/>
      <c r="Q365" s="17"/>
      <c r="R365" s="17"/>
      <c r="S365" s="17"/>
      <c r="T365" s="17"/>
      <c r="U365" s="17"/>
      <c r="V365" s="17"/>
      <c r="W365" s="12"/>
      <c r="X365" s="12"/>
      <c r="Y365" s="12"/>
      <c r="Z365" s="12"/>
    </row>
    <row r="366" spans="1:26" ht="15" customHeight="1" x14ac:dyDescent="0.35">
      <c r="A366" s="26"/>
      <c r="B366" s="17"/>
      <c r="C366" s="17"/>
      <c r="D366" s="17"/>
      <c r="E366" s="17"/>
      <c r="F366" s="17"/>
      <c r="G366" s="17"/>
      <c r="H366" s="17"/>
      <c r="I366" s="17"/>
      <c r="J366" s="17"/>
      <c r="K366" s="17"/>
      <c r="L366" s="17"/>
      <c r="M366" s="17"/>
      <c r="N366" s="17"/>
      <c r="O366" s="17"/>
      <c r="P366" s="17"/>
      <c r="Q366" s="17"/>
      <c r="R366" s="17"/>
      <c r="S366" s="17"/>
      <c r="T366" s="17"/>
      <c r="U366" s="17"/>
      <c r="V366" s="17"/>
      <c r="W366" s="12"/>
      <c r="X366" s="12"/>
      <c r="Y366" s="12"/>
      <c r="Z366" s="12"/>
    </row>
    <row r="367" spans="1:26" ht="15" customHeight="1" x14ac:dyDescent="0.35">
      <c r="A367" s="26"/>
      <c r="B367" s="17"/>
      <c r="C367" s="17"/>
      <c r="D367" s="17"/>
      <c r="E367" s="17"/>
      <c r="F367" s="17"/>
      <c r="G367" s="17"/>
      <c r="H367" s="17"/>
      <c r="I367" s="17"/>
      <c r="J367" s="17"/>
      <c r="K367" s="17"/>
      <c r="L367" s="17"/>
      <c r="M367" s="17"/>
      <c r="N367" s="17"/>
      <c r="O367" s="17"/>
      <c r="P367" s="17"/>
      <c r="Q367" s="17"/>
      <c r="R367" s="17"/>
      <c r="S367" s="17"/>
      <c r="T367" s="17"/>
      <c r="U367" s="17"/>
      <c r="V367" s="17"/>
      <c r="W367" s="12"/>
      <c r="X367" s="12"/>
      <c r="Y367" s="12"/>
      <c r="Z367" s="12"/>
    </row>
    <row r="368" spans="1:26" ht="15" customHeight="1" x14ac:dyDescent="0.35">
      <c r="A368" s="26"/>
      <c r="B368" s="17"/>
      <c r="C368" s="17"/>
      <c r="D368" s="17"/>
      <c r="E368" s="17"/>
      <c r="F368" s="17"/>
      <c r="G368" s="17"/>
      <c r="H368" s="17"/>
      <c r="I368" s="17"/>
      <c r="J368" s="17"/>
      <c r="K368" s="17"/>
      <c r="L368" s="17"/>
      <c r="M368" s="17"/>
      <c r="N368" s="17"/>
      <c r="O368" s="17"/>
      <c r="P368" s="17"/>
      <c r="Q368" s="17"/>
      <c r="R368" s="17"/>
      <c r="S368" s="17"/>
      <c r="T368" s="17"/>
      <c r="U368" s="17"/>
      <c r="V368" s="17"/>
      <c r="W368" s="12"/>
      <c r="X368" s="12"/>
      <c r="Y368" s="12"/>
      <c r="Z368" s="12"/>
    </row>
    <row r="369" spans="1:26" ht="15" customHeight="1" x14ac:dyDescent="0.35">
      <c r="A369" s="26"/>
      <c r="B369" s="17"/>
      <c r="C369" s="17"/>
      <c r="D369" s="17"/>
      <c r="E369" s="17"/>
      <c r="F369" s="17"/>
      <c r="G369" s="17"/>
      <c r="H369" s="17"/>
      <c r="I369" s="17"/>
      <c r="J369" s="17"/>
      <c r="K369" s="17"/>
      <c r="L369" s="17"/>
      <c r="M369" s="17"/>
      <c r="N369" s="17"/>
      <c r="O369" s="17"/>
      <c r="P369" s="17"/>
      <c r="Q369" s="17"/>
      <c r="R369" s="17"/>
      <c r="S369" s="17"/>
      <c r="T369" s="17"/>
      <c r="U369" s="17"/>
      <c r="V369" s="17"/>
      <c r="W369" s="12"/>
      <c r="X369" s="12"/>
      <c r="Y369" s="12"/>
      <c r="Z369" s="12"/>
    </row>
    <row r="370" spans="1:26" ht="15" customHeight="1" x14ac:dyDescent="0.35">
      <c r="A370" s="26"/>
      <c r="B370" s="17"/>
      <c r="C370" s="17"/>
      <c r="D370" s="17"/>
      <c r="E370" s="17"/>
      <c r="F370" s="17"/>
      <c r="G370" s="17"/>
      <c r="H370" s="17"/>
      <c r="I370" s="17"/>
      <c r="J370" s="17"/>
      <c r="K370" s="17"/>
      <c r="L370" s="17"/>
      <c r="M370" s="17"/>
      <c r="N370" s="17"/>
      <c r="O370" s="17"/>
      <c r="P370" s="17"/>
      <c r="Q370" s="17"/>
      <c r="R370" s="17"/>
      <c r="S370" s="17"/>
      <c r="T370" s="17"/>
      <c r="U370" s="17"/>
      <c r="V370" s="17"/>
      <c r="W370" s="12"/>
      <c r="X370" s="12"/>
      <c r="Y370" s="12"/>
      <c r="Z370" s="12"/>
    </row>
    <row r="371" spans="1:26" ht="15" customHeight="1" x14ac:dyDescent="0.35">
      <c r="A371" s="26"/>
      <c r="B371" s="17"/>
      <c r="C371" s="17"/>
      <c r="D371" s="17"/>
      <c r="E371" s="17"/>
      <c r="F371" s="17"/>
      <c r="G371" s="17"/>
      <c r="H371" s="17"/>
      <c r="I371" s="17"/>
      <c r="J371" s="17"/>
      <c r="K371" s="17"/>
      <c r="L371" s="17"/>
      <c r="M371" s="17"/>
      <c r="N371" s="17"/>
      <c r="O371" s="17"/>
      <c r="P371" s="17"/>
      <c r="Q371" s="17"/>
      <c r="R371" s="17"/>
      <c r="S371" s="17"/>
      <c r="T371" s="17"/>
      <c r="U371" s="17"/>
      <c r="V371" s="17"/>
      <c r="W371" s="12"/>
      <c r="X371" s="12"/>
      <c r="Y371" s="12"/>
      <c r="Z371" s="12"/>
    </row>
    <row r="372" spans="1:26" ht="15" customHeight="1" x14ac:dyDescent="0.35">
      <c r="A372" s="26"/>
      <c r="B372" s="17"/>
      <c r="C372" s="17"/>
      <c r="D372" s="17"/>
      <c r="E372" s="17"/>
      <c r="F372" s="17"/>
      <c r="G372" s="17"/>
      <c r="H372" s="17"/>
      <c r="I372" s="17"/>
      <c r="J372" s="17"/>
      <c r="K372" s="17"/>
      <c r="L372" s="17"/>
      <c r="M372" s="17"/>
      <c r="N372" s="17"/>
      <c r="O372" s="17"/>
      <c r="P372" s="17"/>
      <c r="Q372" s="17"/>
      <c r="R372" s="17"/>
      <c r="S372" s="17"/>
      <c r="T372" s="17"/>
      <c r="U372" s="17"/>
      <c r="V372" s="17"/>
      <c r="W372" s="12"/>
      <c r="X372" s="12"/>
      <c r="Y372" s="12"/>
      <c r="Z372" s="12"/>
    </row>
    <row r="373" spans="1:26" ht="15" customHeight="1" x14ac:dyDescent="0.35">
      <c r="A373" s="26"/>
      <c r="B373" s="17"/>
      <c r="C373" s="17"/>
      <c r="D373" s="17"/>
      <c r="E373" s="17"/>
      <c r="F373" s="17"/>
      <c r="G373" s="17"/>
      <c r="H373" s="17"/>
      <c r="I373" s="17"/>
      <c r="J373" s="17"/>
      <c r="K373" s="17"/>
      <c r="L373" s="17"/>
      <c r="M373" s="17"/>
      <c r="N373" s="17"/>
      <c r="O373" s="17"/>
      <c r="P373" s="17"/>
      <c r="Q373" s="17"/>
      <c r="R373" s="17"/>
      <c r="S373" s="17"/>
      <c r="T373" s="17"/>
      <c r="U373" s="17"/>
      <c r="V373" s="17"/>
      <c r="W373" s="12"/>
      <c r="X373" s="12"/>
      <c r="Y373" s="12"/>
      <c r="Z373" s="12"/>
    </row>
    <row r="374" spans="1:26" ht="15" customHeight="1" x14ac:dyDescent="0.35">
      <c r="A374" s="26"/>
      <c r="B374" s="17"/>
      <c r="C374" s="17"/>
      <c r="D374" s="17"/>
      <c r="E374" s="17"/>
      <c r="F374" s="17"/>
      <c r="G374" s="17"/>
      <c r="H374" s="17"/>
      <c r="I374" s="17"/>
      <c r="J374" s="17"/>
      <c r="K374" s="17"/>
      <c r="L374" s="17"/>
      <c r="M374" s="17"/>
      <c r="N374" s="17"/>
      <c r="O374" s="17"/>
      <c r="P374" s="17"/>
      <c r="Q374" s="17"/>
      <c r="R374" s="17"/>
      <c r="S374" s="17"/>
      <c r="T374" s="17"/>
      <c r="U374" s="17"/>
      <c r="V374" s="17"/>
      <c r="W374" s="12"/>
      <c r="X374" s="12"/>
      <c r="Y374" s="12"/>
      <c r="Z374" s="12"/>
    </row>
    <row r="375" spans="1:26" ht="15" customHeight="1" x14ac:dyDescent="0.35">
      <c r="A375" s="26"/>
      <c r="B375" s="17"/>
      <c r="C375" s="17"/>
      <c r="D375" s="17"/>
      <c r="E375" s="17"/>
      <c r="F375" s="17"/>
      <c r="G375" s="17"/>
      <c r="H375" s="17"/>
      <c r="I375" s="17"/>
      <c r="J375" s="17"/>
      <c r="K375" s="17"/>
      <c r="L375" s="17"/>
      <c r="M375" s="17"/>
      <c r="N375" s="17"/>
      <c r="O375" s="17"/>
      <c r="P375" s="17"/>
      <c r="Q375" s="17"/>
      <c r="R375" s="17"/>
      <c r="S375" s="17"/>
      <c r="T375" s="17"/>
      <c r="U375" s="17"/>
      <c r="V375" s="17"/>
      <c r="W375" s="12"/>
      <c r="X375" s="12"/>
      <c r="Y375" s="12"/>
      <c r="Z375" s="12"/>
    </row>
    <row r="376" spans="1:26" ht="15" customHeight="1" x14ac:dyDescent="0.35">
      <c r="A376" s="26"/>
      <c r="B376" s="17"/>
      <c r="C376" s="17"/>
      <c r="D376" s="17"/>
      <c r="E376" s="17"/>
      <c r="F376" s="17"/>
      <c r="G376" s="17"/>
      <c r="H376" s="17"/>
      <c r="I376" s="17"/>
      <c r="J376" s="17"/>
      <c r="K376" s="17"/>
      <c r="L376" s="17"/>
      <c r="M376" s="17"/>
      <c r="N376" s="17"/>
      <c r="O376" s="17"/>
      <c r="P376" s="17"/>
      <c r="Q376" s="17"/>
      <c r="R376" s="17"/>
      <c r="S376" s="17"/>
      <c r="T376" s="17"/>
      <c r="U376" s="17"/>
      <c r="V376" s="17"/>
      <c r="W376" s="12"/>
      <c r="X376" s="12"/>
      <c r="Y376" s="12"/>
      <c r="Z376" s="12"/>
    </row>
    <row r="377" spans="1:26" ht="15" customHeight="1" x14ac:dyDescent="0.35">
      <c r="A377" s="26"/>
      <c r="B377" s="17"/>
      <c r="C377" s="17"/>
      <c r="D377" s="17"/>
      <c r="E377" s="17"/>
      <c r="F377" s="17"/>
      <c r="G377" s="17"/>
      <c r="H377" s="17"/>
      <c r="I377" s="17"/>
      <c r="J377" s="17"/>
      <c r="K377" s="17"/>
      <c r="L377" s="17"/>
      <c r="M377" s="17"/>
      <c r="N377" s="17"/>
      <c r="O377" s="17"/>
      <c r="P377" s="17"/>
      <c r="Q377" s="17"/>
      <c r="R377" s="17"/>
      <c r="S377" s="17"/>
      <c r="T377" s="17"/>
      <c r="U377" s="17"/>
      <c r="V377" s="17"/>
      <c r="W377" s="12"/>
      <c r="X377" s="12"/>
      <c r="Y377" s="12"/>
      <c r="Z377" s="12"/>
    </row>
    <row r="378" spans="1:26" ht="15" customHeight="1" x14ac:dyDescent="0.35">
      <c r="A378" s="26"/>
      <c r="B378" s="17"/>
      <c r="C378" s="17"/>
      <c r="D378" s="17"/>
      <c r="E378" s="17"/>
      <c r="F378" s="17"/>
      <c r="G378" s="17"/>
      <c r="H378" s="17"/>
      <c r="I378" s="17"/>
      <c r="J378" s="17"/>
      <c r="K378" s="17"/>
      <c r="L378" s="17"/>
      <c r="M378" s="17"/>
      <c r="N378" s="17"/>
      <c r="O378" s="17"/>
      <c r="P378" s="17"/>
      <c r="Q378" s="17"/>
      <c r="R378" s="17"/>
      <c r="S378" s="17"/>
      <c r="T378" s="17"/>
      <c r="U378" s="17"/>
      <c r="V378" s="17"/>
      <c r="W378" s="12"/>
      <c r="X378" s="12"/>
      <c r="Y378" s="12"/>
      <c r="Z378" s="12"/>
    </row>
    <row r="379" spans="1:26" ht="15" customHeight="1" x14ac:dyDescent="0.35">
      <c r="A379" s="26"/>
      <c r="B379" s="17"/>
      <c r="C379" s="17"/>
      <c r="D379" s="17"/>
      <c r="E379" s="17"/>
      <c r="F379" s="17"/>
      <c r="G379" s="17"/>
      <c r="H379" s="17"/>
      <c r="I379" s="17"/>
      <c r="J379" s="17"/>
      <c r="K379" s="17"/>
      <c r="L379" s="17"/>
      <c r="M379" s="17"/>
      <c r="N379" s="17"/>
      <c r="O379" s="17"/>
      <c r="P379" s="17"/>
      <c r="Q379" s="17"/>
      <c r="R379" s="17"/>
      <c r="S379" s="17"/>
      <c r="T379" s="17"/>
      <c r="U379" s="17"/>
      <c r="V379" s="17"/>
      <c r="W379" s="12"/>
      <c r="X379" s="12"/>
      <c r="Y379" s="12"/>
      <c r="Z379" s="12"/>
    </row>
    <row r="380" spans="1:26" ht="15" customHeight="1" x14ac:dyDescent="0.35">
      <c r="A380" s="26"/>
      <c r="B380" s="17"/>
      <c r="C380" s="17"/>
      <c r="D380" s="17"/>
      <c r="E380" s="17"/>
      <c r="F380" s="17"/>
      <c r="G380" s="17"/>
      <c r="H380" s="17"/>
      <c r="I380" s="17"/>
      <c r="J380" s="17"/>
      <c r="K380" s="17"/>
      <c r="L380" s="17"/>
      <c r="M380" s="17"/>
      <c r="N380" s="17"/>
      <c r="O380" s="17"/>
      <c r="P380" s="17"/>
      <c r="Q380" s="17"/>
      <c r="R380" s="17"/>
      <c r="S380" s="17"/>
      <c r="T380" s="17"/>
      <c r="U380" s="17"/>
      <c r="V380" s="17"/>
      <c r="W380" s="12"/>
      <c r="X380" s="12"/>
      <c r="Y380" s="12"/>
      <c r="Z380" s="12"/>
    </row>
    <row r="381" spans="1:26" ht="15" customHeight="1" x14ac:dyDescent="0.35">
      <c r="A381" s="26"/>
      <c r="B381" s="17"/>
      <c r="C381" s="17"/>
      <c r="D381" s="17"/>
      <c r="E381" s="17"/>
      <c r="F381" s="17"/>
      <c r="G381" s="17"/>
      <c r="H381" s="17"/>
      <c r="I381" s="17"/>
      <c r="J381" s="17"/>
      <c r="K381" s="17"/>
      <c r="L381" s="17"/>
      <c r="M381" s="17"/>
      <c r="N381" s="17"/>
      <c r="O381" s="17"/>
      <c r="P381" s="17"/>
      <c r="Q381" s="17"/>
      <c r="R381" s="17"/>
      <c r="S381" s="17"/>
      <c r="T381" s="17"/>
      <c r="U381" s="17"/>
      <c r="V381" s="17"/>
      <c r="W381" s="12"/>
      <c r="X381" s="12"/>
      <c r="Y381" s="12"/>
      <c r="Z381" s="12"/>
    </row>
    <row r="382" spans="1:26" ht="15" customHeight="1" x14ac:dyDescent="0.35">
      <c r="A382" s="26"/>
      <c r="B382" s="17"/>
      <c r="C382" s="17"/>
      <c r="D382" s="17"/>
      <c r="E382" s="17"/>
      <c r="F382" s="17"/>
      <c r="G382" s="17"/>
      <c r="H382" s="17"/>
      <c r="I382" s="17"/>
      <c r="J382" s="17"/>
      <c r="K382" s="17"/>
      <c r="L382" s="17"/>
      <c r="M382" s="17"/>
      <c r="N382" s="17"/>
      <c r="O382" s="17"/>
      <c r="P382" s="17"/>
      <c r="Q382" s="17"/>
      <c r="R382" s="17"/>
      <c r="S382" s="17"/>
      <c r="T382" s="17"/>
      <c r="U382" s="17"/>
      <c r="V382" s="17"/>
      <c r="W382" s="12"/>
      <c r="X382" s="12"/>
      <c r="Y382" s="12"/>
      <c r="Z382" s="12"/>
    </row>
    <row r="383" spans="1:26" ht="15" customHeight="1" x14ac:dyDescent="0.35">
      <c r="A383" s="26"/>
      <c r="B383" s="17"/>
      <c r="C383" s="17"/>
      <c r="D383" s="17"/>
      <c r="E383" s="17"/>
      <c r="F383" s="17"/>
      <c r="G383" s="17"/>
      <c r="H383" s="17"/>
      <c r="I383" s="17"/>
      <c r="J383" s="17"/>
      <c r="K383" s="17"/>
      <c r="L383" s="17"/>
      <c r="M383" s="17"/>
      <c r="N383" s="17"/>
      <c r="O383" s="17"/>
      <c r="P383" s="17"/>
      <c r="Q383" s="17"/>
      <c r="R383" s="17"/>
      <c r="S383" s="17"/>
      <c r="T383" s="17"/>
      <c r="U383" s="17"/>
      <c r="V383" s="17"/>
      <c r="W383" s="12"/>
      <c r="X383" s="12"/>
      <c r="Y383" s="12"/>
      <c r="Z383" s="12"/>
    </row>
    <row r="384" spans="1:26" ht="15" customHeight="1" x14ac:dyDescent="0.35">
      <c r="A384" s="26"/>
      <c r="B384" s="17"/>
      <c r="C384" s="17"/>
      <c r="D384" s="17"/>
      <c r="E384" s="17"/>
      <c r="F384" s="17"/>
      <c r="G384" s="17"/>
      <c r="H384" s="17"/>
      <c r="I384" s="17"/>
      <c r="J384" s="17"/>
      <c r="K384" s="17"/>
      <c r="L384" s="17"/>
      <c r="M384" s="17"/>
      <c r="N384" s="17"/>
      <c r="O384" s="17"/>
      <c r="P384" s="17"/>
      <c r="Q384" s="17"/>
      <c r="R384" s="17"/>
      <c r="S384" s="17"/>
      <c r="T384" s="17"/>
      <c r="U384" s="17"/>
      <c r="V384" s="17"/>
      <c r="W384" s="12"/>
      <c r="X384" s="12"/>
      <c r="Y384" s="12"/>
      <c r="Z384" s="12"/>
    </row>
    <row r="385" spans="1:26" ht="15" customHeight="1" x14ac:dyDescent="0.35">
      <c r="A385" s="26"/>
      <c r="B385" s="17"/>
      <c r="C385" s="17"/>
      <c r="D385" s="17"/>
      <c r="E385" s="17"/>
      <c r="F385" s="17"/>
      <c r="G385" s="17"/>
      <c r="H385" s="17"/>
      <c r="I385" s="17"/>
      <c r="J385" s="17"/>
      <c r="K385" s="17"/>
      <c r="L385" s="17"/>
      <c r="M385" s="17"/>
      <c r="N385" s="17"/>
      <c r="O385" s="17"/>
      <c r="P385" s="17"/>
      <c r="Q385" s="17"/>
      <c r="R385" s="17"/>
      <c r="S385" s="17"/>
      <c r="T385" s="17"/>
      <c r="U385" s="17"/>
      <c r="V385" s="17"/>
      <c r="W385" s="12"/>
      <c r="X385" s="12"/>
      <c r="Y385" s="12"/>
      <c r="Z385" s="12"/>
    </row>
    <row r="386" spans="1:26" ht="15" customHeight="1" x14ac:dyDescent="0.35">
      <c r="A386" s="26"/>
      <c r="B386" s="17"/>
      <c r="C386" s="17"/>
      <c r="D386" s="17"/>
      <c r="E386" s="17"/>
      <c r="F386" s="17"/>
      <c r="G386" s="17"/>
      <c r="H386" s="17"/>
      <c r="I386" s="17"/>
      <c r="J386" s="17"/>
      <c r="K386" s="17"/>
      <c r="L386" s="17"/>
      <c r="M386" s="17"/>
      <c r="N386" s="17"/>
      <c r="O386" s="17"/>
      <c r="P386" s="17"/>
      <c r="Q386" s="17"/>
      <c r="R386" s="17"/>
      <c r="S386" s="17"/>
      <c r="T386" s="17"/>
      <c r="U386" s="17"/>
      <c r="V386" s="17"/>
      <c r="W386" s="12"/>
      <c r="X386" s="12"/>
      <c r="Y386" s="12"/>
      <c r="Z386" s="12"/>
    </row>
    <row r="387" spans="1:26" ht="15" customHeight="1" x14ac:dyDescent="0.35">
      <c r="A387" s="26"/>
      <c r="B387" s="17"/>
      <c r="C387" s="17"/>
      <c r="D387" s="17"/>
      <c r="E387" s="17"/>
      <c r="F387" s="17"/>
      <c r="G387" s="17"/>
      <c r="H387" s="17"/>
      <c r="I387" s="17"/>
      <c r="J387" s="17"/>
      <c r="K387" s="17"/>
      <c r="L387" s="17"/>
      <c r="M387" s="17"/>
      <c r="N387" s="17"/>
      <c r="O387" s="17"/>
      <c r="P387" s="17"/>
      <c r="Q387" s="17"/>
      <c r="R387" s="17"/>
      <c r="S387" s="17"/>
      <c r="T387" s="17"/>
      <c r="U387" s="17"/>
      <c r="V387" s="17"/>
      <c r="W387" s="12"/>
      <c r="X387" s="12"/>
      <c r="Y387" s="12"/>
      <c r="Z387" s="12"/>
    </row>
    <row r="388" spans="1:26" ht="15" customHeight="1" x14ac:dyDescent="0.35">
      <c r="A388" s="26"/>
      <c r="B388" s="17"/>
      <c r="C388" s="17"/>
      <c r="D388" s="17"/>
      <c r="E388" s="17"/>
      <c r="F388" s="17"/>
      <c r="G388" s="17"/>
      <c r="H388" s="17"/>
      <c r="I388" s="17"/>
      <c r="J388" s="17"/>
      <c r="K388" s="17"/>
      <c r="L388" s="17"/>
      <c r="M388" s="17"/>
      <c r="N388" s="17"/>
      <c r="O388" s="17"/>
      <c r="P388" s="17"/>
      <c r="Q388" s="17"/>
      <c r="R388" s="17"/>
      <c r="S388" s="17"/>
      <c r="T388" s="17"/>
      <c r="U388" s="17"/>
      <c r="V388" s="17"/>
      <c r="W388" s="12"/>
      <c r="X388" s="12"/>
      <c r="Y388" s="12"/>
      <c r="Z388" s="12"/>
    </row>
    <row r="389" spans="1:26" ht="15" customHeight="1" x14ac:dyDescent="0.35">
      <c r="A389" s="26"/>
      <c r="B389" s="17"/>
      <c r="C389" s="17"/>
      <c r="D389" s="17"/>
      <c r="E389" s="17"/>
      <c r="F389" s="17"/>
      <c r="G389" s="17"/>
      <c r="H389" s="17"/>
      <c r="I389" s="17"/>
      <c r="J389" s="17"/>
      <c r="K389" s="17"/>
      <c r="L389" s="17"/>
      <c r="M389" s="17"/>
      <c r="N389" s="17"/>
      <c r="O389" s="17"/>
      <c r="P389" s="17"/>
      <c r="Q389" s="17"/>
      <c r="R389" s="17"/>
      <c r="S389" s="17"/>
      <c r="T389" s="17"/>
      <c r="U389" s="17"/>
      <c r="V389" s="17"/>
      <c r="W389" s="12"/>
      <c r="X389" s="12"/>
      <c r="Y389" s="12"/>
      <c r="Z389" s="12"/>
    </row>
    <row r="390" spans="1:26" ht="15" customHeight="1" x14ac:dyDescent="0.35">
      <c r="A390" s="26"/>
      <c r="B390" s="17"/>
      <c r="C390" s="17"/>
      <c r="D390" s="17"/>
      <c r="E390" s="17"/>
      <c r="F390" s="17"/>
      <c r="G390" s="17"/>
      <c r="H390" s="17"/>
      <c r="I390" s="17"/>
      <c r="J390" s="17"/>
      <c r="K390" s="17"/>
      <c r="L390" s="17"/>
      <c r="M390" s="17"/>
      <c r="N390" s="17"/>
      <c r="O390" s="17"/>
      <c r="P390" s="17"/>
      <c r="Q390" s="17"/>
      <c r="R390" s="17"/>
      <c r="S390" s="17"/>
      <c r="T390" s="17"/>
      <c r="U390" s="17"/>
      <c r="V390" s="17"/>
      <c r="W390" s="12"/>
      <c r="X390" s="12"/>
      <c r="Y390" s="12"/>
      <c r="Z390" s="12"/>
    </row>
    <row r="391" spans="1:26" ht="15" customHeight="1" x14ac:dyDescent="0.35">
      <c r="A391" s="26"/>
      <c r="B391" s="17"/>
      <c r="C391" s="17"/>
      <c r="D391" s="17"/>
      <c r="E391" s="17"/>
      <c r="F391" s="17"/>
      <c r="G391" s="17"/>
      <c r="H391" s="17"/>
      <c r="I391" s="17"/>
      <c r="J391" s="17"/>
      <c r="K391" s="17"/>
      <c r="L391" s="17"/>
      <c r="M391" s="17"/>
      <c r="N391" s="17"/>
      <c r="O391" s="17"/>
      <c r="P391" s="17"/>
      <c r="Q391" s="17"/>
      <c r="R391" s="17"/>
      <c r="S391" s="17"/>
      <c r="T391" s="17"/>
      <c r="U391" s="17"/>
      <c r="V391" s="17"/>
      <c r="W391" s="12"/>
      <c r="X391" s="12"/>
      <c r="Y391" s="12"/>
      <c r="Z391" s="12"/>
    </row>
    <row r="392" spans="1:26" ht="15" customHeight="1" x14ac:dyDescent="0.35">
      <c r="A392" s="26"/>
      <c r="B392" s="17"/>
      <c r="C392" s="17"/>
      <c r="D392" s="17"/>
      <c r="E392" s="17"/>
      <c r="F392" s="17"/>
      <c r="G392" s="17"/>
      <c r="H392" s="17"/>
      <c r="I392" s="17"/>
      <c r="J392" s="17"/>
      <c r="K392" s="17"/>
      <c r="L392" s="17"/>
      <c r="M392" s="17"/>
      <c r="N392" s="17"/>
      <c r="O392" s="17"/>
      <c r="P392" s="17"/>
      <c r="Q392" s="17"/>
      <c r="R392" s="17"/>
      <c r="S392" s="17"/>
      <c r="T392" s="17"/>
      <c r="U392" s="17"/>
      <c r="V392" s="17"/>
      <c r="W392" s="12"/>
      <c r="X392" s="12"/>
      <c r="Y392" s="12"/>
      <c r="Z392" s="12"/>
    </row>
    <row r="393" spans="1:26" ht="15" customHeight="1" x14ac:dyDescent="0.35">
      <c r="A393" s="26"/>
      <c r="B393" s="17"/>
      <c r="C393" s="17"/>
      <c r="D393" s="17"/>
      <c r="E393" s="17"/>
      <c r="F393" s="17"/>
      <c r="G393" s="17"/>
      <c r="H393" s="17"/>
      <c r="I393" s="17"/>
      <c r="J393" s="17"/>
      <c r="K393" s="17"/>
      <c r="L393" s="17"/>
      <c r="M393" s="17"/>
      <c r="N393" s="17"/>
      <c r="O393" s="17"/>
      <c r="P393" s="17"/>
      <c r="Q393" s="17"/>
      <c r="R393" s="17"/>
      <c r="S393" s="17"/>
      <c r="T393" s="17"/>
      <c r="U393" s="17"/>
      <c r="V393" s="17"/>
      <c r="W393" s="12"/>
      <c r="X393" s="12"/>
      <c r="Y393" s="12"/>
      <c r="Z393" s="12"/>
    </row>
    <row r="394" spans="1:26" ht="15" customHeight="1" x14ac:dyDescent="0.35">
      <c r="A394" s="26"/>
      <c r="B394" s="17"/>
      <c r="C394" s="17"/>
      <c r="D394" s="17"/>
      <c r="E394" s="17"/>
      <c r="F394" s="17"/>
      <c r="G394" s="17"/>
      <c r="H394" s="17"/>
      <c r="I394" s="17"/>
      <c r="J394" s="17"/>
      <c r="K394" s="17"/>
      <c r="L394" s="17"/>
      <c r="M394" s="17"/>
      <c r="N394" s="17"/>
      <c r="O394" s="17"/>
      <c r="P394" s="17"/>
      <c r="Q394" s="17"/>
      <c r="R394" s="17"/>
      <c r="S394" s="17"/>
      <c r="T394" s="17"/>
      <c r="U394" s="17"/>
      <c r="V394" s="17"/>
      <c r="W394" s="12"/>
      <c r="X394" s="12"/>
      <c r="Y394" s="12"/>
      <c r="Z394" s="12"/>
    </row>
    <row r="395" spans="1:26" ht="15" customHeight="1" x14ac:dyDescent="0.35">
      <c r="A395" s="26"/>
      <c r="B395" s="17"/>
      <c r="C395" s="17"/>
      <c r="D395" s="17"/>
      <c r="E395" s="17"/>
      <c r="F395" s="17"/>
      <c r="G395" s="17"/>
      <c r="H395" s="17"/>
      <c r="I395" s="17"/>
      <c r="J395" s="17"/>
      <c r="K395" s="17"/>
      <c r="L395" s="17"/>
      <c r="M395" s="17"/>
      <c r="N395" s="17"/>
      <c r="O395" s="17"/>
      <c r="P395" s="17"/>
      <c r="Q395" s="17"/>
      <c r="R395" s="17"/>
      <c r="S395" s="17"/>
      <c r="T395" s="17"/>
      <c r="U395" s="17"/>
      <c r="V395" s="17"/>
      <c r="W395" s="12"/>
      <c r="X395" s="12"/>
      <c r="Y395" s="12"/>
      <c r="Z395" s="12"/>
    </row>
    <row r="396" spans="1:26" ht="15" customHeight="1" x14ac:dyDescent="0.35">
      <c r="A396" s="26"/>
      <c r="B396" s="17"/>
      <c r="C396" s="17"/>
      <c r="D396" s="17"/>
      <c r="E396" s="17"/>
      <c r="F396" s="17"/>
      <c r="G396" s="17"/>
      <c r="H396" s="17"/>
      <c r="I396" s="17"/>
      <c r="J396" s="17"/>
      <c r="K396" s="17"/>
      <c r="L396" s="17"/>
      <c r="M396" s="17"/>
      <c r="N396" s="17"/>
      <c r="O396" s="17"/>
      <c r="P396" s="17"/>
      <c r="Q396" s="17"/>
      <c r="R396" s="17"/>
      <c r="S396" s="17"/>
      <c r="T396" s="17"/>
      <c r="U396" s="17"/>
      <c r="V396" s="17"/>
      <c r="W396" s="12"/>
      <c r="X396" s="12"/>
      <c r="Y396" s="12"/>
      <c r="Z396" s="12"/>
    </row>
    <row r="397" spans="1:26" ht="15" customHeight="1" x14ac:dyDescent="0.35">
      <c r="A397" s="26"/>
      <c r="B397" s="17"/>
      <c r="C397" s="17"/>
      <c r="D397" s="17"/>
      <c r="E397" s="17"/>
      <c r="F397" s="17"/>
      <c r="G397" s="17"/>
      <c r="H397" s="17"/>
      <c r="I397" s="17"/>
      <c r="J397" s="17"/>
      <c r="K397" s="17"/>
      <c r="L397" s="17"/>
      <c r="M397" s="17"/>
      <c r="N397" s="17"/>
      <c r="O397" s="17"/>
      <c r="P397" s="17"/>
      <c r="Q397" s="17"/>
      <c r="R397" s="17"/>
      <c r="S397" s="17"/>
      <c r="T397" s="17"/>
      <c r="U397" s="17"/>
      <c r="V397" s="17"/>
      <c r="W397" s="12"/>
      <c r="X397" s="12"/>
      <c r="Y397" s="12"/>
      <c r="Z397" s="12"/>
    </row>
    <row r="398" spans="1:26" ht="15" customHeight="1" x14ac:dyDescent="0.35">
      <c r="A398" s="26"/>
      <c r="B398" s="17"/>
      <c r="C398" s="17"/>
      <c r="D398" s="17"/>
      <c r="E398" s="17"/>
      <c r="F398" s="17"/>
      <c r="G398" s="17"/>
      <c r="H398" s="17"/>
      <c r="I398" s="17"/>
      <c r="J398" s="17"/>
      <c r="K398" s="17"/>
      <c r="L398" s="17"/>
      <c r="M398" s="17"/>
      <c r="N398" s="17"/>
      <c r="O398" s="17"/>
      <c r="P398" s="17"/>
      <c r="Q398" s="17"/>
      <c r="R398" s="17"/>
      <c r="S398" s="17"/>
      <c r="T398" s="17"/>
      <c r="U398" s="17"/>
      <c r="V398" s="17"/>
      <c r="W398" s="12"/>
      <c r="X398" s="12"/>
      <c r="Y398" s="12"/>
      <c r="Z398" s="12"/>
    </row>
    <row r="399" spans="1:26" ht="15" customHeight="1" x14ac:dyDescent="0.35">
      <c r="A399" s="26"/>
      <c r="B399" s="17"/>
      <c r="C399" s="17"/>
      <c r="D399" s="17"/>
      <c r="E399" s="17"/>
      <c r="F399" s="17"/>
      <c r="G399" s="17"/>
      <c r="H399" s="17"/>
      <c r="I399" s="17"/>
      <c r="J399" s="17"/>
      <c r="K399" s="17"/>
      <c r="L399" s="17"/>
      <c r="M399" s="17"/>
      <c r="N399" s="17"/>
      <c r="O399" s="17"/>
      <c r="P399" s="17"/>
      <c r="Q399" s="17"/>
      <c r="R399" s="17"/>
      <c r="S399" s="17"/>
      <c r="T399" s="17"/>
      <c r="U399" s="17"/>
      <c r="V399" s="17"/>
      <c r="W399" s="12"/>
      <c r="X399" s="12"/>
      <c r="Y399" s="12"/>
      <c r="Z399" s="12"/>
    </row>
    <row r="400" spans="1:26" ht="15" customHeight="1" x14ac:dyDescent="0.35">
      <c r="A400" s="26"/>
      <c r="B400" s="17"/>
      <c r="C400" s="17"/>
      <c r="D400" s="17"/>
      <c r="E400" s="17"/>
      <c r="F400" s="17"/>
      <c r="G400" s="17"/>
      <c r="H400" s="17"/>
      <c r="I400" s="17"/>
      <c r="J400" s="17"/>
      <c r="K400" s="17"/>
      <c r="L400" s="17"/>
      <c r="M400" s="17"/>
      <c r="N400" s="17"/>
      <c r="O400" s="17"/>
      <c r="P400" s="17"/>
      <c r="Q400" s="17"/>
      <c r="R400" s="17"/>
      <c r="S400" s="17"/>
      <c r="T400" s="17"/>
      <c r="U400" s="17"/>
      <c r="V400" s="17"/>
      <c r="W400" s="12"/>
      <c r="X400" s="12"/>
      <c r="Y400" s="12"/>
      <c r="Z400" s="12"/>
    </row>
    <row r="401" spans="1:26" ht="15" customHeight="1" x14ac:dyDescent="0.35">
      <c r="A401" s="26"/>
      <c r="B401" s="17"/>
      <c r="C401" s="17"/>
      <c r="D401" s="17"/>
      <c r="E401" s="17"/>
      <c r="F401" s="17"/>
      <c r="G401" s="17"/>
      <c r="H401" s="17"/>
      <c r="I401" s="17"/>
      <c r="J401" s="17"/>
      <c r="K401" s="17"/>
      <c r="L401" s="17"/>
      <c r="M401" s="17"/>
      <c r="N401" s="17"/>
      <c r="O401" s="17"/>
      <c r="P401" s="17"/>
      <c r="Q401" s="17"/>
      <c r="R401" s="17"/>
      <c r="S401" s="17"/>
      <c r="T401" s="17"/>
      <c r="U401" s="17"/>
      <c r="V401" s="17"/>
      <c r="W401" s="12"/>
      <c r="X401" s="12"/>
      <c r="Y401" s="12"/>
      <c r="Z401" s="12"/>
    </row>
    <row r="402" spans="1:26" ht="15" customHeight="1" x14ac:dyDescent="0.35">
      <c r="A402" s="26"/>
      <c r="B402" s="17"/>
      <c r="C402" s="17"/>
      <c r="D402" s="17"/>
      <c r="E402" s="17"/>
      <c r="F402" s="17"/>
      <c r="G402" s="17"/>
      <c r="H402" s="17"/>
      <c r="I402" s="17"/>
      <c r="J402" s="17"/>
      <c r="K402" s="17"/>
      <c r="L402" s="17"/>
      <c r="M402" s="17"/>
      <c r="N402" s="17"/>
      <c r="O402" s="17"/>
      <c r="P402" s="17"/>
      <c r="Q402" s="17"/>
      <c r="R402" s="17"/>
      <c r="S402" s="17"/>
      <c r="T402" s="17"/>
      <c r="U402" s="17"/>
      <c r="V402" s="17"/>
      <c r="W402" s="12"/>
      <c r="X402" s="12"/>
      <c r="Y402" s="12"/>
      <c r="Z402" s="12"/>
    </row>
    <row r="403" spans="1:26" ht="15" customHeight="1" x14ac:dyDescent="0.35">
      <c r="A403" s="26"/>
      <c r="B403" s="17"/>
      <c r="C403" s="17"/>
      <c r="D403" s="17"/>
      <c r="E403" s="17"/>
      <c r="F403" s="17"/>
      <c r="G403" s="17"/>
      <c r="H403" s="17"/>
      <c r="I403" s="17"/>
      <c r="J403" s="17"/>
      <c r="K403" s="17"/>
      <c r="L403" s="17"/>
      <c r="M403" s="17"/>
      <c r="N403" s="17"/>
      <c r="O403" s="17"/>
      <c r="P403" s="17"/>
      <c r="Q403" s="17"/>
      <c r="R403" s="17"/>
      <c r="S403" s="17"/>
      <c r="T403" s="17"/>
      <c r="U403" s="17"/>
      <c r="V403" s="17"/>
      <c r="W403" s="12"/>
      <c r="X403" s="12"/>
      <c r="Y403" s="12"/>
      <c r="Z403" s="12"/>
    </row>
    <row r="404" spans="1:26" ht="15" customHeight="1" x14ac:dyDescent="0.35">
      <c r="A404" s="26"/>
      <c r="B404" s="17"/>
      <c r="C404" s="17"/>
      <c r="D404" s="17"/>
      <c r="E404" s="17"/>
      <c r="F404" s="17"/>
      <c r="G404" s="17"/>
      <c r="H404" s="17"/>
      <c r="I404" s="17"/>
      <c r="J404" s="17"/>
      <c r="K404" s="17"/>
      <c r="L404" s="17"/>
      <c r="M404" s="17"/>
      <c r="N404" s="17"/>
      <c r="O404" s="17"/>
      <c r="P404" s="17"/>
      <c r="Q404" s="17"/>
      <c r="R404" s="17"/>
      <c r="S404" s="17"/>
      <c r="T404" s="17"/>
      <c r="U404" s="17"/>
      <c r="V404" s="17"/>
      <c r="W404" s="12"/>
      <c r="X404" s="12"/>
      <c r="Y404" s="12"/>
      <c r="Z404" s="12"/>
    </row>
    <row r="405" spans="1:26" ht="15" customHeight="1" x14ac:dyDescent="0.35">
      <c r="A405" s="26"/>
      <c r="B405" s="17"/>
      <c r="C405" s="17"/>
      <c r="D405" s="17"/>
      <c r="E405" s="17"/>
      <c r="F405" s="17"/>
      <c r="G405" s="17"/>
      <c r="H405" s="17"/>
      <c r="I405" s="17"/>
      <c r="J405" s="17"/>
      <c r="K405" s="17"/>
      <c r="L405" s="17"/>
      <c r="M405" s="17"/>
      <c r="N405" s="17"/>
      <c r="O405" s="17"/>
      <c r="P405" s="17"/>
      <c r="Q405" s="17"/>
      <c r="R405" s="17"/>
      <c r="S405" s="17"/>
      <c r="T405" s="17"/>
      <c r="U405" s="17"/>
      <c r="V405" s="17"/>
      <c r="W405" s="12"/>
      <c r="X405" s="12"/>
      <c r="Y405" s="12"/>
      <c r="Z405" s="12"/>
    </row>
    <row r="406" spans="1:26" ht="15" customHeight="1" x14ac:dyDescent="0.35">
      <c r="A406" s="26"/>
      <c r="B406" s="17"/>
      <c r="C406" s="17"/>
      <c r="D406" s="17"/>
      <c r="E406" s="17"/>
      <c r="F406" s="17"/>
      <c r="G406" s="17"/>
      <c r="H406" s="17"/>
      <c r="I406" s="17"/>
      <c r="J406" s="17"/>
      <c r="K406" s="17"/>
      <c r="L406" s="17"/>
      <c r="M406" s="17"/>
      <c r="N406" s="17"/>
      <c r="O406" s="17"/>
      <c r="P406" s="17"/>
      <c r="Q406" s="17"/>
      <c r="R406" s="17"/>
      <c r="S406" s="17"/>
      <c r="T406" s="17"/>
      <c r="U406" s="17"/>
      <c r="V406" s="17"/>
      <c r="W406" s="12"/>
      <c r="X406" s="12"/>
      <c r="Y406" s="12"/>
      <c r="Z406" s="12"/>
    </row>
    <row r="407" spans="1:26" ht="15" customHeight="1" x14ac:dyDescent="0.35">
      <c r="A407" s="26"/>
      <c r="B407" s="17"/>
      <c r="C407" s="17"/>
      <c r="D407" s="17"/>
      <c r="E407" s="17"/>
      <c r="F407" s="17"/>
      <c r="G407" s="17"/>
      <c r="H407" s="17"/>
      <c r="I407" s="17"/>
      <c r="J407" s="17"/>
      <c r="K407" s="17"/>
      <c r="L407" s="17"/>
      <c r="M407" s="17"/>
      <c r="N407" s="17"/>
      <c r="O407" s="17"/>
      <c r="P407" s="17"/>
      <c r="Q407" s="17"/>
      <c r="R407" s="17"/>
      <c r="S407" s="17"/>
      <c r="T407" s="17"/>
      <c r="U407" s="17"/>
      <c r="V407" s="17"/>
      <c r="W407" s="12"/>
      <c r="X407" s="12"/>
      <c r="Y407" s="12"/>
      <c r="Z407" s="12"/>
    </row>
    <row r="408" spans="1:26" ht="15" customHeight="1" x14ac:dyDescent="0.35">
      <c r="A408" s="26"/>
      <c r="B408" s="17"/>
      <c r="C408" s="17"/>
      <c r="D408" s="17"/>
      <c r="E408" s="17"/>
      <c r="F408" s="17"/>
      <c r="G408" s="17"/>
      <c r="H408" s="17"/>
      <c r="I408" s="17"/>
      <c r="J408" s="17"/>
      <c r="K408" s="17"/>
      <c r="L408" s="17"/>
      <c r="M408" s="17"/>
      <c r="N408" s="17"/>
      <c r="O408" s="17"/>
      <c r="P408" s="17"/>
      <c r="Q408" s="17"/>
      <c r="R408" s="17"/>
      <c r="S408" s="17"/>
      <c r="T408" s="17"/>
      <c r="U408" s="17"/>
      <c r="V408" s="17"/>
      <c r="W408" s="12"/>
      <c r="X408" s="12"/>
      <c r="Y408" s="12"/>
      <c r="Z408" s="12"/>
    </row>
    <row r="409" spans="1:26" ht="15" customHeight="1" x14ac:dyDescent="0.35">
      <c r="A409" s="26"/>
      <c r="B409" s="17"/>
      <c r="C409" s="17"/>
      <c r="D409" s="17"/>
      <c r="E409" s="17"/>
      <c r="F409" s="17"/>
      <c r="G409" s="17"/>
      <c r="H409" s="17"/>
      <c r="I409" s="17"/>
      <c r="J409" s="17"/>
      <c r="K409" s="17"/>
      <c r="L409" s="17"/>
      <c r="M409" s="17"/>
      <c r="N409" s="17"/>
      <c r="O409" s="17"/>
      <c r="P409" s="17"/>
      <c r="Q409" s="17"/>
      <c r="R409" s="17"/>
      <c r="S409" s="17"/>
      <c r="T409" s="17"/>
      <c r="U409" s="17"/>
      <c r="V409" s="17"/>
      <c r="W409" s="12"/>
      <c r="X409" s="12"/>
      <c r="Y409" s="12"/>
      <c r="Z409" s="12"/>
    </row>
    <row r="410" spans="1:26" ht="15" customHeight="1" x14ac:dyDescent="0.35">
      <c r="A410" s="26"/>
      <c r="B410" s="17"/>
      <c r="C410" s="17"/>
      <c r="D410" s="17"/>
      <c r="E410" s="17"/>
      <c r="F410" s="17"/>
      <c r="G410" s="17"/>
      <c r="H410" s="17"/>
      <c r="I410" s="17"/>
      <c r="J410" s="17"/>
      <c r="K410" s="17"/>
      <c r="L410" s="17"/>
      <c r="M410" s="17"/>
      <c r="N410" s="17"/>
      <c r="O410" s="17"/>
      <c r="P410" s="17"/>
      <c r="Q410" s="17"/>
      <c r="R410" s="17"/>
      <c r="S410" s="17"/>
      <c r="T410" s="17"/>
      <c r="U410" s="17"/>
      <c r="V410" s="17"/>
      <c r="W410" s="12"/>
      <c r="X410" s="12"/>
      <c r="Y410" s="12"/>
      <c r="Z410" s="12"/>
    </row>
    <row r="411" spans="1:26" ht="15" customHeight="1" x14ac:dyDescent="0.35">
      <c r="A411" s="26"/>
      <c r="B411" s="17"/>
      <c r="C411" s="17"/>
      <c r="D411" s="17"/>
      <c r="E411" s="17"/>
      <c r="F411" s="17"/>
      <c r="G411" s="17"/>
      <c r="H411" s="17"/>
      <c r="I411" s="17"/>
      <c r="J411" s="17"/>
      <c r="K411" s="17"/>
      <c r="L411" s="17"/>
      <c r="M411" s="17"/>
      <c r="N411" s="17"/>
      <c r="O411" s="17"/>
      <c r="P411" s="17"/>
      <c r="Q411" s="17"/>
      <c r="R411" s="17"/>
      <c r="S411" s="17"/>
      <c r="T411" s="17"/>
      <c r="U411" s="17"/>
      <c r="V411" s="17"/>
      <c r="W411" s="12"/>
      <c r="X411" s="12"/>
      <c r="Y411" s="12"/>
      <c r="Z411" s="12"/>
    </row>
    <row r="412" spans="1:26" ht="15" customHeight="1" x14ac:dyDescent="0.35">
      <c r="A412" s="26"/>
      <c r="B412" s="17"/>
      <c r="C412" s="17"/>
      <c r="D412" s="17"/>
      <c r="E412" s="17"/>
      <c r="F412" s="17"/>
      <c r="G412" s="17"/>
      <c r="H412" s="17"/>
      <c r="I412" s="17"/>
      <c r="J412" s="17"/>
      <c r="K412" s="17"/>
      <c r="L412" s="17"/>
      <c r="M412" s="17"/>
      <c r="N412" s="17"/>
      <c r="O412" s="17"/>
      <c r="P412" s="17"/>
      <c r="Q412" s="17"/>
      <c r="R412" s="17"/>
      <c r="S412" s="17"/>
      <c r="T412" s="17"/>
      <c r="U412" s="17"/>
      <c r="V412" s="17"/>
      <c r="W412" s="12"/>
      <c r="X412" s="12"/>
      <c r="Y412" s="12"/>
      <c r="Z412" s="12"/>
    </row>
    <row r="413" spans="1:26" ht="15" customHeight="1" x14ac:dyDescent="0.35">
      <c r="A413" s="26"/>
      <c r="B413" s="17"/>
      <c r="C413" s="17"/>
      <c r="D413" s="17"/>
      <c r="E413" s="17"/>
      <c r="F413" s="17"/>
      <c r="G413" s="17"/>
      <c r="H413" s="17"/>
      <c r="I413" s="17"/>
      <c r="J413" s="17"/>
      <c r="K413" s="17"/>
      <c r="L413" s="17"/>
      <c r="M413" s="17"/>
      <c r="N413" s="17"/>
      <c r="O413" s="17"/>
      <c r="P413" s="17"/>
      <c r="Q413" s="17"/>
      <c r="R413" s="17"/>
      <c r="S413" s="17"/>
      <c r="T413" s="17"/>
      <c r="U413" s="17"/>
      <c r="V413" s="17"/>
      <c r="W413" s="12"/>
      <c r="X413" s="12"/>
      <c r="Y413" s="12"/>
      <c r="Z413" s="12"/>
    </row>
    <row r="414" spans="1:26" ht="15" customHeight="1" x14ac:dyDescent="0.35">
      <c r="A414" s="26"/>
      <c r="B414" s="17"/>
      <c r="C414" s="17"/>
      <c r="D414" s="17"/>
      <c r="E414" s="17"/>
      <c r="F414" s="17"/>
      <c r="G414" s="17"/>
      <c r="H414" s="17"/>
      <c r="I414" s="17"/>
      <c r="J414" s="17"/>
      <c r="K414" s="17"/>
      <c r="L414" s="17"/>
      <c r="M414" s="17"/>
      <c r="N414" s="17"/>
      <c r="O414" s="17"/>
      <c r="P414" s="17"/>
      <c r="Q414" s="17"/>
      <c r="R414" s="17"/>
      <c r="S414" s="17"/>
      <c r="T414" s="17"/>
      <c r="U414" s="17"/>
      <c r="V414" s="17"/>
      <c r="W414" s="12"/>
      <c r="X414" s="12"/>
      <c r="Y414" s="12"/>
      <c r="Z414" s="12"/>
    </row>
    <row r="415" spans="1:26" ht="15" customHeight="1" x14ac:dyDescent="0.35">
      <c r="A415" s="26"/>
      <c r="B415" s="17"/>
      <c r="C415" s="17"/>
      <c r="D415" s="17"/>
      <c r="E415" s="17"/>
      <c r="F415" s="17"/>
      <c r="G415" s="17"/>
      <c r="H415" s="17"/>
      <c r="I415" s="17"/>
      <c r="J415" s="17"/>
      <c r="K415" s="17"/>
      <c r="L415" s="17"/>
      <c r="M415" s="17"/>
      <c r="N415" s="17"/>
      <c r="O415" s="17"/>
      <c r="P415" s="17"/>
      <c r="Q415" s="17"/>
      <c r="R415" s="17"/>
      <c r="S415" s="17"/>
      <c r="T415" s="17"/>
      <c r="U415" s="17"/>
      <c r="V415" s="17"/>
      <c r="W415" s="12"/>
      <c r="X415" s="12"/>
      <c r="Y415" s="12"/>
      <c r="Z415" s="12"/>
    </row>
    <row r="416" spans="1:26" ht="15" customHeight="1" x14ac:dyDescent="0.35">
      <c r="A416" s="26"/>
      <c r="B416" s="17"/>
      <c r="C416" s="17"/>
      <c r="D416" s="17"/>
      <c r="E416" s="17"/>
      <c r="F416" s="17"/>
      <c r="G416" s="17"/>
      <c r="H416" s="17"/>
      <c r="I416" s="17"/>
      <c r="J416" s="17"/>
      <c r="K416" s="17"/>
      <c r="L416" s="17"/>
      <c r="M416" s="17"/>
      <c r="N416" s="17"/>
      <c r="O416" s="17"/>
      <c r="P416" s="17"/>
      <c r="Q416" s="17"/>
      <c r="R416" s="17"/>
      <c r="S416" s="17"/>
      <c r="T416" s="17"/>
      <c r="U416" s="17"/>
      <c r="V416" s="17"/>
      <c r="W416" s="12"/>
      <c r="X416" s="12"/>
      <c r="Y416" s="12"/>
      <c r="Z416" s="12"/>
    </row>
    <row r="417" spans="1:26" ht="15" customHeight="1" x14ac:dyDescent="0.35">
      <c r="A417" s="26"/>
      <c r="B417" s="17"/>
      <c r="C417" s="17"/>
      <c r="D417" s="17"/>
      <c r="E417" s="17"/>
      <c r="F417" s="17"/>
      <c r="G417" s="17"/>
      <c r="H417" s="17"/>
      <c r="I417" s="17"/>
      <c r="J417" s="17"/>
      <c r="K417" s="17"/>
      <c r="L417" s="17"/>
      <c r="M417" s="17"/>
      <c r="N417" s="17"/>
      <c r="O417" s="17"/>
      <c r="P417" s="17"/>
      <c r="Q417" s="17"/>
      <c r="R417" s="17"/>
      <c r="S417" s="17"/>
      <c r="T417" s="17"/>
      <c r="U417" s="17"/>
      <c r="V417" s="17"/>
      <c r="W417" s="12"/>
      <c r="X417" s="12"/>
      <c r="Y417" s="12"/>
      <c r="Z417" s="12"/>
    </row>
    <row r="418" spans="1:26" ht="15" customHeight="1" x14ac:dyDescent="0.35">
      <c r="A418" s="26"/>
      <c r="B418" s="17"/>
      <c r="C418" s="17"/>
      <c r="D418" s="17"/>
      <c r="E418" s="17"/>
      <c r="F418" s="17"/>
      <c r="G418" s="17"/>
      <c r="H418" s="17"/>
      <c r="I418" s="17"/>
      <c r="J418" s="17"/>
      <c r="K418" s="17"/>
      <c r="L418" s="17"/>
      <c r="M418" s="17"/>
      <c r="N418" s="17"/>
      <c r="O418" s="17"/>
      <c r="P418" s="17"/>
      <c r="Q418" s="17"/>
      <c r="R418" s="17"/>
      <c r="S418" s="17"/>
      <c r="T418" s="17"/>
      <c r="U418" s="17"/>
      <c r="V418" s="17"/>
      <c r="W418" s="12"/>
      <c r="X418" s="12"/>
      <c r="Y418" s="12"/>
      <c r="Z418" s="12"/>
    </row>
    <row r="419" spans="1:26" ht="15" customHeight="1" x14ac:dyDescent="0.35">
      <c r="A419" s="26"/>
      <c r="B419" s="17"/>
      <c r="C419" s="17"/>
      <c r="D419" s="17"/>
      <c r="E419" s="17"/>
      <c r="F419" s="17"/>
      <c r="G419" s="17"/>
      <c r="H419" s="17"/>
      <c r="I419" s="17"/>
      <c r="J419" s="17"/>
      <c r="K419" s="17"/>
      <c r="L419" s="17"/>
      <c r="M419" s="17"/>
      <c r="N419" s="17"/>
      <c r="O419" s="17"/>
      <c r="P419" s="17"/>
      <c r="Q419" s="17"/>
      <c r="R419" s="17"/>
      <c r="S419" s="17"/>
      <c r="T419" s="17"/>
      <c r="U419" s="17"/>
      <c r="V419" s="17"/>
      <c r="W419" s="12"/>
      <c r="X419" s="12"/>
      <c r="Y419" s="12"/>
      <c r="Z419" s="12"/>
    </row>
    <row r="420" spans="1:26" ht="15" customHeight="1" x14ac:dyDescent="0.35">
      <c r="A420" s="26"/>
      <c r="B420" s="17"/>
      <c r="C420" s="17"/>
      <c r="D420" s="17"/>
      <c r="E420" s="17"/>
      <c r="F420" s="17"/>
      <c r="G420" s="17"/>
      <c r="H420" s="17"/>
      <c r="I420" s="17"/>
      <c r="J420" s="17"/>
      <c r="K420" s="17"/>
      <c r="L420" s="17"/>
      <c r="M420" s="17"/>
      <c r="N420" s="17"/>
      <c r="O420" s="17"/>
      <c r="P420" s="17"/>
      <c r="Q420" s="17"/>
      <c r="R420" s="17"/>
      <c r="S420" s="17"/>
      <c r="T420" s="17"/>
      <c r="U420" s="17"/>
      <c r="V420" s="17"/>
      <c r="W420" s="12"/>
      <c r="X420" s="12"/>
      <c r="Y420" s="12"/>
      <c r="Z420" s="12"/>
    </row>
    <row r="421" spans="1:26" ht="15" customHeight="1" x14ac:dyDescent="0.35">
      <c r="A421" s="26"/>
      <c r="B421" s="17"/>
      <c r="C421" s="17"/>
      <c r="D421" s="17"/>
      <c r="E421" s="17"/>
      <c r="F421" s="17"/>
      <c r="G421" s="17"/>
      <c r="H421" s="17"/>
      <c r="I421" s="17"/>
      <c r="J421" s="17"/>
      <c r="K421" s="17"/>
      <c r="L421" s="17"/>
      <c r="M421" s="17"/>
      <c r="N421" s="17"/>
      <c r="O421" s="17"/>
      <c r="P421" s="17"/>
      <c r="Q421" s="17"/>
      <c r="R421" s="17"/>
      <c r="S421" s="17"/>
      <c r="T421" s="17"/>
      <c r="U421" s="17"/>
      <c r="V421" s="17"/>
      <c r="W421" s="12"/>
      <c r="X421" s="12"/>
      <c r="Y421" s="12"/>
      <c r="Z421" s="12"/>
    </row>
    <row r="422" spans="1:26" ht="15" customHeight="1" x14ac:dyDescent="0.35">
      <c r="A422" s="26"/>
      <c r="B422" s="17"/>
      <c r="C422" s="17"/>
      <c r="D422" s="17"/>
      <c r="E422" s="17"/>
      <c r="F422" s="17"/>
      <c r="G422" s="17"/>
      <c r="H422" s="17"/>
      <c r="I422" s="17"/>
      <c r="J422" s="17"/>
      <c r="K422" s="17"/>
      <c r="L422" s="17"/>
      <c r="M422" s="17"/>
      <c r="N422" s="17"/>
      <c r="O422" s="17"/>
      <c r="P422" s="17"/>
      <c r="Q422" s="17"/>
      <c r="R422" s="17"/>
      <c r="S422" s="17"/>
      <c r="T422" s="17"/>
      <c r="U422" s="17"/>
      <c r="V422" s="17"/>
      <c r="W422" s="12"/>
      <c r="X422" s="12"/>
      <c r="Y422" s="12"/>
      <c r="Z422" s="12"/>
    </row>
    <row r="423" spans="1:26" ht="15" customHeight="1" x14ac:dyDescent="0.35">
      <c r="A423" s="26"/>
      <c r="B423" s="17"/>
      <c r="C423" s="17"/>
      <c r="D423" s="17"/>
      <c r="E423" s="17"/>
      <c r="F423" s="17"/>
      <c r="G423" s="17"/>
      <c r="H423" s="17"/>
      <c r="I423" s="17"/>
      <c r="J423" s="17"/>
      <c r="K423" s="17"/>
      <c r="L423" s="17"/>
      <c r="M423" s="17"/>
      <c r="N423" s="17"/>
      <c r="O423" s="17"/>
      <c r="P423" s="17"/>
      <c r="Q423" s="17"/>
      <c r="R423" s="17"/>
      <c r="S423" s="17"/>
      <c r="T423" s="17"/>
      <c r="U423" s="17"/>
      <c r="V423" s="17"/>
      <c r="W423" s="12"/>
      <c r="X423" s="12"/>
      <c r="Y423" s="12"/>
      <c r="Z423" s="12"/>
    </row>
    <row r="424" spans="1:26" ht="15" customHeight="1" x14ac:dyDescent="0.35">
      <c r="A424" s="26"/>
      <c r="B424" s="17"/>
      <c r="C424" s="17"/>
      <c r="D424" s="17"/>
      <c r="E424" s="17"/>
      <c r="F424" s="17"/>
      <c r="G424" s="17"/>
      <c r="H424" s="17"/>
      <c r="I424" s="17"/>
      <c r="J424" s="17"/>
      <c r="K424" s="17"/>
      <c r="L424" s="17"/>
      <c r="M424" s="17"/>
      <c r="N424" s="17"/>
      <c r="O424" s="17"/>
      <c r="P424" s="17"/>
      <c r="Q424" s="17"/>
      <c r="R424" s="17"/>
      <c r="S424" s="17"/>
      <c r="T424" s="17"/>
      <c r="U424" s="17"/>
      <c r="V424" s="17"/>
      <c r="W424" s="12"/>
      <c r="X424" s="12"/>
      <c r="Y424" s="12"/>
      <c r="Z424" s="12"/>
    </row>
    <row r="425" spans="1:26" ht="15" customHeight="1" x14ac:dyDescent="0.35">
      <c r="A425" s="26"/>
      <c r="B425" s="17"/>
      <c r="C425" s="17"/>
      <c r="D425" s="17"/>
      <c r="E425" s="17"/>
      <c r="F425" s="17"/>
      <c r="G425" s="17"/>
      <c r="H425" s="17"/>
      <c r="I425" s="17"/>
      <c r="J425" s="17"/>
      <c r="K425" s="17"/>
      <c r="L425" s="17"/>
      <c r="M425" s="17"/>
      <c r="N425" s="17"/>
      <c r="O425" s="17"/>
      <c r="P425" s="17"/>
      <c r="Q425" s="17"/>
      <c r="R425" s="17"/>
      <c r="S425" s="17"/>
      <c r="T425" s="17"/>
      <c r="U425" s="17"/>
      <c r="V425" s="17"/>
      <c r="W425" s="12"/>
      <c r="X425" s="12"/>
      <c r="Y425" s="12"/>
      <c r="Z425" s="12"/>
    </row>
    <row r="426" spans="1:26" ht="15" customHeight="1" x14ac:dyDescent="0.35">
      <c r="A426" s="26"/>
      <c r="B426" s="17"/>
      <c r="C426" s="17"/>
      <c r="D426" s="17"/>
      <c r="E426" s="17"/>
      <c r="F426" s="17"/>
      <c r="G426" s="17"/>
      <c r="H426" s="17"/>
      <c r="I426" s="17"/>
      <c r="J426" s="17"/>
      <c r="K426" s="17"/>
      <c r="L426" s="17"/>
      <c r="M426" s="17"/>
      <c r="N426" s="17"/>
      <c r="O426" s="17"/>
      <c r="P426" s="17"/>
      <c r="Q426" s="17"/>
      <c r="R426" s="17"/>
      <c r="S426" s="17"/>
      <c r="T426" s="17"/>
      <c r="U426" s="17"/>
      <c r="V426" s="17"/>
      <c r="W426" s="12"/>
      <c r="X426" s="12"/>
      <c r="Y426" s="12"/>
      <c r="Z426" s="12"/>
    </row>
    <row r="427" spans="1:26" ht="15" customHeight="1" x14ac:dyDescent="0.35">
      <c r="A427" s="26"/>
      <c r="B427" s="17"/>
      <c r="C427" s="17"/>
      <c r="D427" s="17"/>
      <c r="E427" s="17"/>
      <c r="F427" s="17"/>
      <c r="G427" s="17"/>
      <c r="H427" s="17"/>
      <c r="I427" s="17"/>
      <c r="J427" s="17"/>
      <c r="K427" s="17"/>
      <c r="L427" s="17"/>
      <c r="M427" s="17"/>
      <c r="N427" s="17"/>
      <c r="O427" s="17"/>
      <c r="P427" s="17"/>
      <c r="Q427" s="17"/>
      <c r="R427" s="17"/>
      <c r="S427" s="17"/>
      <c r="T427" s="17"/>
      <c r="U427" s="17"/>
      <c r="V427" s="17"/>
      <c r="W427" s="12"/>
      <c r="X427" s="12"/>
      <c r="Y427" s="12"/>
      <c r="Z427" s="12"/>
    </row>
    <row r="428" spans="1:26" ht="15" customHeight="1" x14ac:dyDescent="0.35">
      <c r="A428" s="26"/>
      <c r="B428" s="17"/>
      <c r="C428" s="17"/>
      <c r="D428" s="17"/>
      <c r="E428" s="17"/>
      <c r="F428" s="17"/>
      <c r="G428" s="17"/>
      <c r="H428" s="17"/>
      <c r="I428" s="17"/>
      <c r="J428" s="17"/>
      <c r="K428" s="17"/>
      <c r="L428" s="17"/>
      <c r="M428" s="17"/>
      <c r="N428" s="17"/>
      <c r="O428" s="17"/>
      <c r="P428" s="17"/>
      <c r="Q428" s="17"/>
      <c r="R428" s="17"/>
      <c r="S428" s="17"/>
      <c r="T428" s="17"/>
      <c r="U428" s="17"/>
      <c r="V428" s="17"/>
      <c r="W428" s="12"/>
      <c r="X428" s="12"/>
      <c r="Y428" s="12"/>
      <c r="Z428" s="12"/>
    </row>
    <row r="429" spans="1:26" ht="15" customHeight="1" x14ac:dyDescent="0.35">
      <c r="A429" s="26"/>
      <c r="B429" s="17"/>
      <c r="C429" s="17"/>
      <c r="D429" s="17"/>
      <c r="E429" s="17"/>
      <c r="F429" s="17"/>
      <c r="G429" s="17"/>
      <c r="H429" s="17"/>
      <c r="I429" s="17"/>
      <c r="J429" s="17"/>
      <c r="K429" s="17"/>
      <c r="L429" s="17"/>
      <c r="M429" s="17"/>
      <c r="N429" s="17"/>
      <c r="O429" s="17"/>
      <c r="P429" s="17"/>
      <c r="Q429" s="17"/>
      <c r="R429" s="17"/>
      <c r="S429" s="17"/>
      <c r="T429" s="17"/>
      <c r="U429" s="17"/>
      <c r="V429" s="17"/>
      <c r="W429" s="12"/>
      <c r="X429" s="12"/>
      <c r="Y429" s="12"/>
      <c r="Z429" s="12"/>
    </row>
    <row r="430" spans="1:26" ht="15" customHeight="1" x14ac:dyDescent="0.35">
      <c r="A430" s="26"/>
      <c r="B430" s="17"/>
      <c r="C430" s="17"/>
      <c r="D430" s="17"/>
      <c r="E430" s="17"/>
      <c r="F430" s="17"/>
      <c r="G430" s="17"/>
      <c r="H430" s="17"/>
      <c r="I430" s="17"/>
      <c r="J430" s="17"/>
      <c r="K430" s="17"/>
      <c r="L430" s="17"/>
      <c r="M430" s="17"/>
      <c r="N430" s="17"/>
      <c r="O430" s="17"/>
      <c r="P430" s="17"/>
      <c r="Q430" s="17"/>
      <c r="R430" s="17"/>
      <c r="S430" s="17"/>
      <c r="T430" s="17"/>
      <c r="U430" s="17"/>
      <c r="V430" s="17"/>
      <c r="W430" s="12"/>
      <c r="X430" s="12"/>
      <c r="Y430" s="12"/>
      <c r="Z430" s="12"/>
    </row>
    <row r="431" spans="1:26" ht="15" customHeight="1" x14ac:dyDescent="0.35">
      <c r="A431" s="26"/>
      <c r="B431" s="17"/>
      <c r="C431" s="17"/>
      <c r="D431" s="17"/>
      <c r="E431" s="17"/>
      <c r="F431" s="17"/>
      <c r="G431" s="17"/>
      <c r="H431" s="17"/>
      <c r="I431" s="17"/>
      <c r="J431" s="17"/>
      <c r="K431" s="17"/>
      <c r="L431" s="17"/>
      <c r="M431" s="17"/>
      <c r="N431" s="17"/>
      <c r="O431" s="17"/>
      <c r="P431" s="17"/>
      <c r="Q431" s="17"/>
      <c r="R431" s="17"/>
      <c r="S431" s="17"/>
      <c r="T431" s="17"/>
      <c r="U431" s="17"/>
      <c r="V431" s="17"/>
      <c r="W431" s="12"/>
      <c r="X431" s="12"/>
      <c r="Y431" s="12"/>
      <c r="Z431" s="12"/>
    </row>
    <row r="432" spans="1:26" ht="15" customHeight="1" x14ac:dyDescent="0.35">
      <c r="A432" s="26"/>
      <c r="B432" s="17"/>
      <c r="C432" s="17"/>
      <c r="D432" s="17"/>
      <c r="E432" s="17"/>
      <c r="F432" s="17"/>
      <c r="G432" s="17"/>
      <c r="H432" s="17"/>
      <c r="I432" s="17"/>
      <c r="J432" s="17"/>
      <c r="K432" s="17"/>
      <c r="L432" s="17"/>
      <c r="M432" s="17"/>
      <c r="N432" s="17"/>
      <c r="O432" s="17"/>
      <c r="P432" s="17"/>
      <c r="Q432" s="17"/>
      <c r="R432" s="17"/>
      <c r="S432" s="17"/>
      <c r="T432" s="17"/>
      <c r="U432" s="17"/>
      <c r="V432" s="17"/>
      <c r="W432" s="12"/>
      <c r="X432" s="12"/>
      <c r="Y432" s="12"/>
      <c r="Z432" s="12"/>
    </row>
    <row r="433" spans="1:26" ht="15" customHeight="1" x14ac:dyDescent="0.35">
      <c r="A433" s="26"/>
      <c r="B433" s="17"/>
      <c r="C433" s="17"/>
      <c r="D433" s="17"/>
      <c r="E433" s="17"/>
      <c r="F433" s="17"/>
      <c r="G433" s="17"/>
      <c r="H433" s="17"/>
      <c r="I433" s="17"/>
      <c r="J433" s="17"/>
      <c r="K433" s="17"/>
      <c r="L433" s="17"/>
      <c r="M433" s="17"/>
      <c r="N433" s="17"/>
      <c r="O433" s="17"/>
      <c r="P433" s="17"/>
      <c r="Q433" s="17"/>
      <c r="R433" s="17"/>
      <c r="S433" s="17"/>
      <c r="T433" s="17"/>
      <c r="U433" s="17"/>
      <c r="V433" s="17"/>
      <c r="W433" s="12"/>
      <c r="X433" s="12"/>
      <c r="Y433" s="12"/>
      <c r="Z433" s="12"/>
    </row>
    <row r="434" spans="1:26" ht="15" customHeight="1" x14ac:dyDescent="0.35">
      <c r="A434" s="26"/>
      <c r="B434" s="17"/>
      <c r="C434" s="17"/>
      <c r="D434" s="17"/>
      <c r="E434" s="17"/>
      <c r="F434" s="17"/>
      <c r="G434" s="17"/>
      <c r="H434" s="17"/>
      <c r="I434" s="17"/>
      <c r="J434" s="17"/>
      <c r="K434" s="17"/>
      <c r="L434" s="17"/>
      <c r="M434" s="17"/>
      <c r="N434" s="17"/>
      <c r="O434" s="17"/>
      <c r="P434" s="17"/>
      <c r="Q434" s="17"/>
      <c r="R434" s="17"/>
      <c r="S434" s="17"/>
      <c r="T434" s="17"/>
      <c r="U434" s="17"/>
      <c r="V434" s="17"/>
      <c r="W434" s="12"/>
      <c r="X434" s="12"/>
      <c r="Y434" s="12"/>
      <c r="Z434" s="12"/>
    </row>
    <row r="435" spans="1:26" ht="15" customHeight="1" x14ac:dyDescent="0.35">
      <c r="A435" s="26"/>
      <c r="B435" s="17"/>
      <c r="C435" s="17"/>
      <c r="D435" s="17"/>
      <c r="E435" s="17"/>
      <c r="F435" s="17"/>
      <c r="G435" s="17"/>
      <c r="H435" s="17"/>
      <c r="I435" s="17"/>
      <c r="J435" s="17"/>
      <c r="K435" s="17"/>
      <c r="L435" s="17"/>
      <c r="M435" s="17"/>
      <c r="N435" s="17"/>
      <c r="O435" s="17"/>
      <c r="P435" s="17"/>
      <c r="Q435" s="17"/>
      <c r="R435" s="17"/>
      <c r="S435" s="17"/>
      <c r="T435" s="17"/>
      <c r="U435" s="17"/>
      <c r="V435" s="17"/>
      <c r="W435" s="12"/>
      <c r="X435" s="12"/>
      <c r="Y435" s="12"/>
      <c r="Z435" s="12"/>
    </row>
    <row r="436" spans="1:26" ht="15" customHeight="1" x14ac:dyDescent="0.35">
      <c r="A436" s="26"/>
      <c r="B436" s="17"/>
      <c r="C436" s="17"/>
      <c r="D436" s="17"/>
      <c r="E436" s="17"/>
      <c r="F436" s="17"/>
      <c r="G436" s="17"/>
      <c r="H436" s="17"/>
      <c r="I436" s="17"/>
      <c r="J436" s="17"/>
      <c r="K436" s="17"/>
      <c r="L436" s="17"/>
      <c r="M436" s="17"/>
      <c r="N436" s="17"/>
      <c r="O436" s="17"/>
      <c r="P436" s="17"/>
      <c r="Q436" s="17"/>
      <c r="R436" s="17"/>
      <c r="S436" s="17"/>
      <c r="T436" s="17"/>
      <c r="U436" s="17"/>
      <c r="V436" s="17"/>
      <c r="W436" s="12"/>
      <c r="X436" s="12"/>
      <c r="Y436" s="12"/>
      <c r="Z436" s="12"/>
    </row>
    <row r="437" spans="1:26" ht="15" customHeight="1" x14ac:dyDescent="0.35">
      <c r="A437" s="26"/>
      <c r="B437" s="17"/>
      <c r="C437" s="17"/>
      <c r="D437" s="17"/>
      <c r="E437" s="17"/>
      <c r="F437" s="17"/>
      <c r="G437" s="17"/>
      <c r="H437" s="17"/>
      <c r="I437" s="17"/>
      <c r="J437" s="17"/>
      <c r="K437" s="17"/>
      <c r="L437" s="17"/>
      <c r="M437" s="17"/>
      <c r="N437" s="17"/>
      <c r="O437" s="17"/>
      <c r="P437" s="17"/>
      <c r="Q437" s="17"/>
      <c r="R437" s="17"/>
      <c r="S437" s="17"/>
      <c r="T437" s="17"/>
      <c r="U437" s="17"/>
      <c r="V437" s="17"/>
      <c r="W437" s="12"/>
      <c r="X437" s="12"/>
      <c r="Y437" s="12"/>
      <c r="Z437" s="12"/>
    </row>
    <row r="438" spans="1:26" ht="15" customHeight="1" x14ac:dyDescent="0.35">
      <c r="A438" s="26"/>
      <c r="B438" s="17"/>
      <c r="C438" s="17"/>
      <c r="D438" s="17"/>
      <c r="E438" s="17"/>
      <c r="F438" s="17"/>
      <c r="G438" s="17"/>
      <c r="H438" s="17"/>
      <c r="I438" s="17"/>
      <c r="J438" s="17"/>
      <c r="K438" s="17"/>
      <c r="L438" s="17"/>
      <c r="M438" s="17"/>
      <c r="N438" s="17"/>
      <c r="O438" s="17"/>
      <c r="P438" s="17"/>
      <c r="Q438" s="17"/>
      <c r="R438" s="17"/>
      <c r="S438" s="17"/>
      <c r="T438" s="17"/>
      <c r="U438" s="17"/>
      <c r="V438" s="17"/>
      <c r="W438" s="12"/>
      <c r="X438" s="12"/>
      <c r="Y438" s="12"/>
      <c r="Z438" s="12"/>
    </row>
    <row r="439" spans="1:26" ht="15" customHeight="1" x14ac:dyDescent="0.35">
      <c r="A439" s="26"/>
      <c r="B439" s="17"/>
      <c r="C439" s="17"/>
      <c r="D439" s="17"/>
      <c r="E439" s="17"/>
      <c r="F439" s="17"/>
      <c r="G439" s="17"/>
      <c r="H439" s="17"/>
      <c r="I439" s="17"/>
      <c r="J439" s="17"/>
      <c r="K439" s="17"/>
      <c r="L439" s="17"/>
      <c r="M439" s="17"/>
      <c r="N439" s="17"/>
      <c r="O439" s="17"/>
      <c r="P439" s="17"/>
      <c r="Q439" s="17"/>
      <c r="R439" s="17"/>
      <c r="S439" s="17"/>
      <c r="T439" s="17"/>
      <c r="U439" s="17"/>
      <c r="V439" s="17"/>
      <c r="W439" s="12"/>
      <c r="X439" s="12"/>
      <c r="Y439" s="12"/>
      <c r="Z439" s="12"/>
    </row>
    <row r="440" spans="1:26" ht="15" customHeight="1" x14ac:dyDescent="0.35">
      <c r="A440" s="26"/>
      <c r="B440" s="17"/>
      <c r="C440" s="17"/>
      <c r="D440" s="17"/>
      <c r="E440" s="17"/>
      <c r="F440" s="17"/>
      <c r="G440" s="17"/>
      <c r="H440" s="17"/>
      <c r="I440" s="17"/>
      <c r="J440" s="17"/>
      <c r="K440" s="17"/>
      <c r="L440" s="17"/>
      <c r="M440" s="17"/>
      <c r="N440" s="17"/>
      <c r="O440" s="17"/>
      <c r="P440" s="17"/>
      <c r="Q440" s="17"/>
      <c r="R440" s="17"/>
      <c r="S440" s="17"/>
      <c r="T440" s="17"/>
      <c r="U440" s="17"/>
      <c r="V440" s="17"/>
      <c r="W440" s="12"/>
      <c r="X440" s="12"/>
      <c r="Y440" s="12"/>
      <c r="Z440" s="12"/>
    </row>
    <row r="441" spans="1:26" ht="15" customHeight="1" x14ac:dyDescent="0.35">
      <c r="A441" s="26"/>
      <c r="B441" s="17"/>
      <c r="C441" s="17"/>
      <c r="D441" s="17"/>
      <c r="E441" s="17"/>
      <c r="F441" s="17"/>
      <c r="G441" s="17"/>
      <c r="H441" s="17"/>
      <c r="I441" s="17"/>
      <c r="J441" s="17"/>
      <c r="K441" s="17"/>
      <c r="L441" s="17"/>
      <c r="M441" s="17"/>
      <c r="N441" s="17"/>
      <c r="O441" s="17"/>
      <c r="P441" s="17"/>
      <c r="Q441" s="17"/>
      <c r="R441" s="17"/>
      <c r="S441" s="17"/>
      <c r="T441" s="17"/>
      <c r="U441" s="17"/>
      <c r="V441" s="17"/>
      <c r="W441" s="12"/>
      <c r="X441" s="12"/>
      <c r="Y441" s="12"/>
      <c r="Z441" s="12"/>
    </row>
    <row r="442" spans="1:26" ht="15" customHeight="1" x14ac:dyDescent="0.35">
      <c r="A442" s="26"/>
      <c r="B442" s="17"/>
      <c r="C442" s="17"/>
      <c r="D442" s="17"/>
      <c r="E442" s="17"/>
      <c r="F442" s="17"/>
      <c r="G442" s="17"/>
      <c r="H442" s="17"/>
      <c r="I442" s="17"/>
      <c r="J442" s="17"/>
      <c r="K442" s="17"/>
      <c r="L442" s="17"/>
      <c r="M442" s="17"/>
      <c r="N442" s="17"/>
      <c r="O442" s="17"/>
      <c r="P442" s="17"/>
      <c r="Q442" s="17"/>
      <c r="R442" s="17"/>
      <c r="S442" s="17"/>
      <c r="T442" s="17"/>
      <c r="U442" s="17"/>
      <c r="V442" s="17"/>
      <c r="W442" s="12"/>
      <c r="X442" s="12"/>
      <c r="Y442" s="12"/>
      <c r="Z442" s="12"/>
    </row>
    <row r="443" spans="1:26" ht="15" customHeight="1" x14ac:dyDescent="0.35">
      <c r="A443" s="26"/>
      <c r="B443" s="17"/>
      <c r="C443" s="17"/>
      <c r="D443" s="17"/>
      <c r="E443" s="17"/>
      <c r="F443" s="17"/>
      <c r="G443" s="17"/>
      <c r="H443" s="17"/>
      <c r="I443" s="17"/>
      <c r="J443" s="17"/>
      <c r="K443" s="17"/>
      <c r="L443" s="17"/>
      <c r="M443" s="17"/>
      <c r="N443" s="17"/>
      <c r="O443" s="17"/>
      <c r="P443" s="17"/>
      <c r="Q443" s="17"/>
      <c r="R443" s="17"/>
      <c r="S443" s="17"/>
      <c r="T443" s="17"/>
      <c r="U443" s="17"/>
      <c r="V443" s="17"/>
      <c r="W443" s="12"/>
      <c r="X443" s="12"/>
      <c r="Y443" s="12"/>
      <c r="Z443" s="12"/>
    </row>
    <row r="444" spans="1:26" ht="15" customHeight="1" x14ac:dyDescent="0.35">
      <c r="A444" s="26"/>
      <c r="B444" s="17"/>
      <c r="C444" s="17"/>
      <c r="D444" s="17"/>
      <c r="E444" s="17"/>
      <c r="F444" s="17"/>
      <c r="G444" s="17"/>
      <c r="H444" s="17"/>
      <c r="I444" s="17"/>
      <c r="J444" s="17"/>
      <c r="K444" s="17"/>
      <c r="L444" s="17"/>
      <c r="M444" s="17"/>
      <c r="N444" s="17"/>
      <c r="O444" s="17"/>
      <c r="P444" s="17"/>
      <c r="Q444" s="17"/>
      <c r="R444" s="17"/>
      <c r="S444" s="17"/>
      <c r="T444" s="17"/>
      <c r="U444" s="17"/>
      <c r="V444" s="17"/>
      <c r="W444" s="12"/>
      <c r="X444" s="12"/>
      <c r="Y444" s="12"/>
      <c r="Z444" s="12"/>
    </row>
    <row r="445" spans="1:26" ht="15" customHeight="1" x14ac:dyDescent="0.35">
      <c r="A445" s="26"/>
      <c r="B445" s="17"/>
      <c r="C445" s="17"/>
      <c r="D445" s="17"/>
      <c r="E445" s="17"/>
      <c r="F445" s="17"/>
      <c r="G445" s="17"/>
      <c r="H445" s="17"/>
      <c r="I445" s="17"/>
      <c r="J445" s="17"/>
      <c r="K445" s="17"/>
      <c r="L445" s="17"/>
      <c r="M445" s="17"/>
      <c r="N445" s="17"/>
      <c r="O445" s="17"/>
      <c r="P445" s="17"/>
      <c r="Q445" s="17"/>
      <c r="R445" s="17"/>
      <c r="S445" s="17"/>
      <c r="T445" s="17"/>
      <c r="U445" s="17"/>
      <c r="V445" s="17"/>
      <c r="W445" s="12"/>
      <c r="X445" s="12"/>
      <c r="Y445" s="12"/>
      <c r="Z445" s="12"/>
    </row>
    <row r="446" spans="1:26" ht="15" customHeight="1" x14ac:dyDescent="0.35">
      <c r="A446" s="26"/>
      <c r="B446" s="17"/>
      <c r="C446" s="17"/>
      <c r="D446" s="17"/>
      <c r="E446" s="17"/>
      <c r="F446" s="17"/>
      <c r="G446" s="17"/>
      <c r="H446" s="17"/>
      <c r="I446" s="17"/>
      <c r="J446" s="17"/>
      <c r="K446" s="17"/>
      <c r="L446" s="17"/>
      <c r="M446" s="17"/>
      <c r="N446" s="17"/>
      <c r="O446" s="17"/>
      <c r="P446" s="17"/>
      <c r="Q446" s="17"/>
      <c r="R446" s="17"/>
      <c r="S446" s="17"/>
      <c r="T446" s="17"/>
      <c r="U446" s="17"/>
      <c r="V446" s="17"/>
      <c r="W446" s="12"/>
      <c r="X446" s="12"/>
      <c r="Y446" s="12"/>
      <c r="Z446" s="12"/>
    </row>
    <row r="447" spans="1:26" ht="15" customHeight="1" x14ac:dyDescent="0.35">
      <c r="A447" s="26"/>
      <c r="B447" s="17"/>
      <c r="C447" s="17"/>
      <c r="D447" s="17"/>
      <c r="E447" s="17"/>
      <c r="F447" s="17"/>
      <c r="G447" s="17"/>
      <c r="H447" s="17"/>
      <c r="I447" s="17"/>
      <c r="J447" s="17"/>
      <c r="K447" s="17"/>
      <c r="L447" s="17"/>
      <c r="M447" s="17"/>
      <c r="N447" s="17"/>
      <c r="O447" s="17"/>
      <c r="P447" s="17"/>
      <c r="Q447" s="17"/>
      <c r="R447" s="17"/>
      <c r="S447" s="17"/>
      <c r="T447" s="17"/>
      <c r="U447" s="17"/>
      <c r="V447" s="17"/>
      <c r="W447" s="12"/>
      <c r="X447" s="12"/>
      <c r="Y447" s="12"/>
      <c r="Z447" s="12"/>
    </row>
    <row r="448" spans="1:26" ht="15" customHeight="1" x14ac:dyDescent="0.35">
      <c r="A448" s="26"/>
      <c r="B448" s="17"/>
      <c r="C448" s="17"/>
      <c r="D448" s="17"/>
      <c r="E448" s="17"/>
      <c r="F448" s="17"/>
      <c r="G448" s="17"/>
      <c r="H448" s="17"/>
      <c r="I448" s="17"/>
      <c r="J448" s="17"/>
      <c r="K448" s="17"/>
      <c r="L448" s="17"/>
      <c r="M448" s="17"/>
      <c r="N448" s="17"/>
      <c r="O448" s="17"/>
      <c r="P448" s="17"/>
      <c r="Q448" s="17"/>
      <c r="R448" s="17"/>
      <c r="S448" s="17"/>
      <c r="T448" s="17"/>
      <c r="U448" s="17"/>
      <c r="V448" s="17"/>
      <c r="W448" s="12"/>
      <c r="X448" s="12"/>
      <c r="Y448" s="12"/>
      <c r="Z448" s="12"/>
    </row>
    <row r="449" spans="1:26" ht="15" customHeight="1" x14ac:dyDescent="0.35">
      <c r="A449" s="26"/>
      <c r="B449" s="17"/>
      <c r="C449" s="17"/>
      <c r="D449" s="17"/>
      <c r="E449" s="17"/>
      <c r="F449" s="17"/>
      <c r="G449" s="17"/>
      <c r="H449" s="17"/>
      <c r="I449" s="17"/>
      <c r="J449" s="17"/>
      <c r="K449" s="17"/>
      <c r="L449" s="17"/>
      <c r="M449" s="17"/>
      <c r="N449" s="17"/>
      <c r="O449" s="17"/>
      <c r="P449" s="17"/>
      <c r="Q449" s="17"/>
      <c r="R449" s="17"/>
      <c r="S449" s="17"/>
      <c r="T449" s="17"/>
      <c r="U449" s="17"/>
      <c r="V449" s="17"/>
      <c r="W449" s="12"/>
      <c r="X449" s="12"/>
      <c r="Y449" s="12"/>
      <c r="Z449" s="12"/>
    </row>
    <row r="450" spans="1:26" ht="15" customHeight="1" x14ac:dyDescent="0.35">
      <c r="A450" s="26"/>
      <c r="B450" s="17"/>
      <c r="C450" s="17"/>
      <c r="D450" s="17"/>
      <c r="E450" s="17"/>
      <c r="F450" s="17"/>
      <c r="G450" s="17"/>
      <c r="H450" s="17"/>
      <c r="I450" s="17"/>
      <c r="J450" s="17"/>
      <c r="K450" s="17"/>
      <c r="L450" s="17"/>
      <c r="M450" s="17"/>
      <c r="N450" s="17"/>
      <c r="O450" s="17"/>
      <c r="P450" s="17"/>
      <c r="Q450" s="17"/>
      <c r="R450" s="17"/>
      <c r="S450" s="17"/>
      <c r="T450" s="17"/>
      <c r="U450" s="17"/>
      <c r="V450" s="17"/>
      <c r="W450" s="12"/>
      <c r="X450" s="12"/>
      <c r="Y450" s="12"/>
      <c r="Z450" s="12"/>
    </row>
    <row r="451" spans="1:26" ht="15" customHeight="1" x14ac:dyDescent="0.35">
      <c r="A451" s="26"/>
      <c r="B451" s="17"/>
      <c r="C451" s="17"/>
      <c r="D451" s="17"/>
      <c r="E451" s="17"/>
      <c r="F451" s="17"/>
      <c r="G451" s="17"/>
      <c r="H451" s="17"/>
      <c r="I451" s="17"/>
      <c r="J451" s="17"/>
      <c r="K451" s="17"/>
      <c r="L451" s="17"/>
      <c r="M451" s="17"/>
      <c r="N451" s="17"/>
      <c r="O451" s="17"/>
      <c r="P451" s="17"/>
      <c r="Q451" s="17"/>
      <c r="R451" s="17"/>
      <c r="S451" s="17"/>
      <c r="T451" s="17"/>
      <c r="U451" s="17"/>
      <c r="V451" s="17"/>
      <c r="W451" s="12"/>
      <c r="X451" s="12"/>
      <c r="Y451" s="12"/>
      <c r="Z451" s="12"/>
    </row>
    <row r="452" spans="1:26" ht="15" customHeight="1" x14ac:dyDescent="0.35">
      <c r="A452" s="26"/>
      <c r="B452" s="17"/>
      <c r="C452" s="17"/>
      <c r="D452" s="17"/>
      <c r="E452" s="17"/>
      <c r="F452" s="17"/>
      <c r="G452" s="17"/>
      <c r="H452" s="17"/>
      <c r="I452" s="17"/>
      <c r="J452" s="17"/>
      <c r="K452" s="17"/>
      <c r="L452" s="17"/>
      <c r="M452" s="17"/>
      <c r="N452" s="17"/>
      <c r="O452" s="17"/>
      <c r="P452" s="17"/>
      <c r="Q452" s="17"/>
      <c r="R452" s="17"/>
      <c r="S452" s="17"/>
      <c r="T452" s="17"/>
      <c r="U452" s="17"/>
      <c r="V452" s="17"/>
      <c r="W452" s="12"/>
      <c r="X452" s="12"/>
      <c r="Y452" s="12"/>
      <c r="Z452" s="12"/>
    </row>
    <row r="453" spans="1:26" ht="15" customHeight="1" x14ac:dyDescent="0.35">
      <c r="A453" s="26"/>
      <c r="B453" s="17"/>
      <c r="C453" s="17"/>
      <c r="D453" s="17"/>
      <c r="E453" s="17"/>
      <c r="F453" s="17"/>
      <c r="G453" s="17"/>
      <c r="H453" s="17"/>
      <c r="I453" s="17"/>
      <c r="J453" s="17"/>
      <c r="K453" s="17"/>
      <c r="L453" s="17"/>
      <c r="M453" s="17"/>
      <c r="N453" s="17"/>
      <c r="O453" s="17"/>
      <c r="P453" s="17"/>
      <c r="Q453" s="17"/>
      <c r="R453" s="17"/>
      <c r="S453" s="17"/>
      <c r="T453" s="17"/>
      <c r="U453" s="17"/>
      <c r="V453" s="17"/>
      <c r="W453" s="12"/>
      <c r="X453" s="12"/>
      <c r="Y453" s="12"/>
      <c r="Z453" s="12"/>
    </row>
    <row r="454" spans="1:26" ht="15" customHeight="1" x14ac:dyDescent="0.35">
      <c r="A454" s="26"/>
      <c r="B454" s="17"/>
      <c r="C454" s="17"/>
      <c r="D454" s="17"/>
      <c r="E454" s="17"/>
      <c r="F454" s="17"/>
      <c r="G454" s="17"/>
      <c r="H454" s="17"/>
      <c r="I454" s="17"/>
      <c r="J454" s="17"/>
      <c r="K454" s="17"/>
      <c r="L454" s="17"/>
      <c r="M454" s="17"/>
      <c r="N454" s="17"/>
      <c r="O454" s="17"/>
      <c r="P454" s="17"/>
      <c r="Q454" s="17"/>
      <c r="R454" s="17"/>
      <c r="S454" s="17"/>
      <c r="T454" s="17"/>
      <c r="U454" s="17"/>
      <c r="V454" s="17"/>
      <c r="W454" s="12"/>
      <c r="X454" s="12"/>
      <c r="Y454" s="12"/>
      <c r="Z454" s="12"/>
    </row>
    <row r="455" spans="1:26" ht="15" customHeight="1" x14ac:dyDescent="0.35">
      <c r="A455" s="26"/>
      <c r="B455" s="17"/>
      <c r="C455" s="17"/>
      <c r="D455" s="17"/>
      <c r="E455" s="17"/>
      <c r="F455" s="17"/>
      <c r="G455" s="17"/>
      <c r="H455" s="17"/>
      <c r="I455" s="17"/>
      <c r="J455" s="17"/>
      <c r="K455" s="17"/>
      <c r="L455" s="17"/>
      <c r="M455" s="17"/>
      <c r="N455" s="17"/>
      <c r="O455" s="17"/>
      <c r="P455" s="17"/>
      <c r="Q455" s="17"/>
      <c r="R455" s="17"/>
      <c r="S455" s="17"/>
      <c r="T455" s="17"/>
      <c r="U455" s="17"/>
      <c r="V455" s="17"/>
      <c r="W455" s="12"/>
      <c r="X455" s="12"/>
      <c r="Y455" s="12"/>
      <c r="Z455" s="12"/>
    </row>
    <row r="456" spans="1:26" ht="15" customHeight="1" x14ac:dyDescent="0.35">
      <c r="A456" s="26"/>
      <c r="B456" s="17"/>
      <c r="C456" s="17"/>
      <c r="D456" s="17"/>
      <c r="E456" s="17"/>
      <c r="F456" s="17"/>
      <c r="G456" s="17"/>
      <c r="H456" s="17"/>
      <c r="I456" s="17"/>
      <c r="J456" s="17"/>
      <c r="K456" s="17"/>
      <c r="L456" s="17"/>
      <c r="M456" s="17"/>
      <c r="N456" s="17"/>
      <c r="O456" s="17"/>
      <c r="P456" s="17"/>
      <c r="Q456" s="17"/>
      <c r="R456" s="17"/>
      <c r="S456" s="17"/>
      <c r="T456" s="17"/>
      <c r="U456" s="17"/>
      <c r="V456" s="17"/>
      <c r="W456" s="12"/>
      <c r="X456" s="12"/>
      <c r="Y456" s="12"/>
      <c r="Z456" s="12"/>
    </row>
    <row r="457" spans="1:26" ht="15" customHeight="1" x14ac:dyDescent="0.35">
      <c r="A457" s="26"/>
      <c r="B457" s="17"/>
      <c r="C457" s="17"/>
      <c r="D457" s="17"/>
      <c r="E457" s="17"/>
      <c r="F457" s="17"/>
      <c r="G457" s="17"/>
      <c r="H457" s="17"/>
      <c r="I457" s="17"/>
      <c r="J457" s="17"/>
      <c r="K457" s="17"/>
      <c r="L457" s="17"/>
      <c r="M457" s="17"/>
      <c r="N457" s="17"/>
      <c r="O457" s="17"/>
      <c r="P457" s="17"/>
      <c r="Q457" s="17"/>
      <c r="R457" s="17"/>
      <c r="S457" s="17"/>
      <c r="T457" s="17"/>
      <c r="U457" s="17"/>
      <c r="V457" s="17"/>
      <c r="W457" s="12"/>
      <c r="X457" s="12"/>
      <c r="Y457" s="12"/>
      <c r="Z457" s="12"/>
    </row>
    <row r="458" spans="1:26" ht="15" customHeight="1" x14ac:dyDescent="0.35">
      <c r="A458" s="26"/>
      <c r="B458" s="17"/>
      <c r="C458" s="17"/>
      <c r="D458" s="17"/>
      <c r="E458" s="17"/>
      <c r="F458" s="17"/>
      <c r="G458" s="17"/>
      <c r="H458" s="17"/>
      <c r="I458" s="17"/>
      <c r="J458" s="17"/>
      <c r="K458" s="17"/>
      <c r="L458" s="17"/>
      <c r="M458" s="17"/>
      <c r="N458" s="17"/>
      <c r="O458" s="17"/>
      <c r="P458" s="17"/>
      <c r="Q458" s="17"/>
      <c r="R458" s="17"/>
      <c r="S458" s="17"/>
      <c r="T458" s="17"/>
      <c r="U458" s="17"/>
      <c r="V458" s="17"/>
      <c r="W458" s="12"/>
      <c r="X458" s="12"/>
      <c r="Y458" s="12"/>
      <c r="Z458" s="12"/>
    </row>
    <row r="459" spans="1:26" ht="15" customHeight="1" x14ac:dyDescent="0.35">
      <c r="A459" s="26"/>
      <c r="B459" s="17"/>
      <c r="C459" s="17"/>
      <c r="D459" s="17"/>
      <c r="E459" s="17"/>
      <c r="F459" s="17"/>
      <c r="G459" s="17"/>
      <c r="H459" s="17"/>
      <c r="I459" s="17"/>
      <c r="J459" s="17"/>
      <c r="K459" s="17"/>
      <c r="L459" s="17"/>
      <c r="M459" s="17"/>
      <c r="N459" s="17"/>
      <c r="O459" s="17"/>
      <c r="P459" s="17"/>
      <c r="Q459" s="17"/>
      <c r="R459" s="17"/>
      <c r="S459" s="17"/>
      <c r="T459" s="17"/>
      <c r="U459" s="17"/>
      <c r="V459" s="17"/>
      <c r="W459" s="12"/>
      <c r="X459" s="12"/>
      <c r="Y459" s="12"/>
      <c r="Z459" s="12"/>
    </row>
    <row r="460" spans="1:26" ht="15" customHeight="1" x14ac:dyDescent="0.35">
      <c r="A460" s="26"/>
      <c r="B460" s="17"/>
      <c r="C460" s="17"/>
      <c r="D460" s="17"/>
      <c r="E460" s="17"/>
      <c r="F460" s="17"/>
      <c r="G460" s="17"/>
      <c r="H460" s="17"/>
      <c r="I460" s="17"/>
      <c r="J460" s="17"/>
      <c r="K460" s="17"/>
      <c r="L460" s="17"/>
      <c r="M460" s="17"/>
      <c r="N460" s="17"/>
      <c r="O460" s="17"/>
      <c r="P460" s="17"/>
      <c r="Q460" s="17"/>
      <c r="R460" s="17"/>
      <c r="S460" s="17"/>
      <c r="T460" s="17"/>
      <c r="U460" s="17"/>
      <c r="V460" s="17"/>
      <c r="W460" s="12"/>
      <c r="X460" s="12"/>
      <c r="Y460" s="12"/>
      <c r="Z460" s="12"/>
    </row>
    <row r="461" spans="1:26" ht="15" customHeight="1" x14ac:dyDescent="0.35">
      <c r="A461" s="26"/>
      <c r="B461" s="17"/>
      <c r="C461" s="17"/>
      <c r="D461" s="17"/>
      <c r="E461" s="17"/>
      <c r="F461" s="17"/>
      <c r="G461" s="17"/>
      <c r="H461" s="17"/>
      <c r="I461" s="17"/>
      <c r="J461" s="17"/>
      <c r="K461" s="17"/>
      <c r="L461" s="17"/>
      <c r="M461" s="17"/>
      <c r="N461" s="17"/>
      <c r="O461" s="17"/>
      <c r="P461" s="17"/>
      <c r="Q461" s="17"/>
      <c r="R461" s="17"/>
      <c r="S461" s="17"/>
      <c r="T461" s="17"/>
      <c r="U461" s="17"/>
      <c r="V461" s="17"/>
      <c r="W461" s="12"/>
      <c r="X461" s="12"/>
      <c r="Y461" s="12"/>
      <c r="Z461" s="12"/>
    </row>
    <row r="462" spans="1:26" ht="15" customHeight="1" x14ac:dyDescent="0.35">
      <c r="A462" s="26"/>
      <c r="B462" s="17"/>
      <c r="C462" s="17"/>
      <c r="D462" s="17"/>
      <c r="E462" s="17"/>
      <c r="F462" s="17"/>
      <c r="G462" s="17"/>
      <c r="H462" s="17"/>
      <c r="I462" s="17"/>
      <c r="J462" s="17"/>
      <c r="K462" s="17"/>
      <c r="L462" s="17"/>
      <c r="M462" s="17"/>
      <c r="N462" s="17"/>
      <c r="O462" s="17"/>
      <c r="P462" s="17"/>
      <c r="Q462" s="17"/>
      <c r="R462" s="17"/>
      <c r="S462" s="17"/>
      <c r="T462" s="17"/>
      <c r="U462" s="17"/>
      <c r="V462" s="17"/>
      <c r="W462" s="12"/>
      <c r="X462" s="12"/>
      <c r="Y462" s="12"/>
      <c r="Z462" s="12"/>
    </row>
    <row r="463" spans="1:26" ht="15" customHeight="1" x14ac:dyDescent="0.35">
      <c r="A463" s="26"/>
      <c r="B463" s="17"/>
      <c r="C463" s="17"/>
      <c r="D463" s="17"/>
      <c r="E463" s="17"/>
      <c r="F463" s="17"/>
      <c r="G463" s="17"/>
      <c r="H463" s="17"/>
      <c r="I463" s="17"/>
      <c r="J463" s="17"/>
      <c r="K463" s="17"/>
      <c r="L463" s="17"/>
      <c r="M463" s="17"/>
      <c r="N463" s="17"/>
      <c r="O463" s="17"/>
      <c r="P463" s="17"/>
      <c r="Q463" s="17"/>
      <c r="R463" s="17"/>
      <c r="S463" s="17"/>
      <c r="T463" s="17"/>
      <c r="U463" s="17"/>
      <c r="V463" s="17"/>
      <c r="W463" s="12"/>
      <c r="X463" s="12"/>
      <c r="Y463" s="12"/>
      <c r="Z463" s="12"/>
    </row>
    <row r="464" spans="1:26" ht="15" customHeight="1" x14ac:dyDescent="0.35">
      <c r="A464" s="26"/>
      <c r="B464" s="17"/>
      <c r="C464" s="17"/>
      <c r="D464" s="17"/>
      <c r="E464" s="17"/>
      <c r="F464" s="17"/>
      <c r="G464" s="17"/>
      <c r="H464" s="17"/>
      <c r="I464" s="17"/>
      <c r="J464" s="17"/>
      <c r="K464" s="17"/>
      <c r="L464" s="17"/>
      <c r="M464" s="17"/>
      <c r="N464" s="17"/>
      <c r="O464" s="17"/>
      <c r="P464" s="17"/>
      <c r="Q464" s="17"/>
      <c r="R464" s="17"/>
      <c r="S464" s="17"/>
      <c r="T464" s="17"/>
      <c r="U464" s="17"/>
      <c r="V464" s="17"/>
      <c r="W464" s="12"/>
      <c r="X464" s="12"/>
      <c r="Y464" s="12"/>
      <c r="Z464" s="12"/>
    </row>
    <row r="465" spans="1:26" ht="15" customHeight="1" x14ac:dyDescent="0.35">
      <c r="A465" s="26"/>
      <c r="B465" s="17"/>
      <c r="C465" s="17"/>
      <c r="D465" s="17"/>
      <c r="E465" s="17"/>
      <c r="F465" s="17"/>
      <c r="G465" s="17"/>
      <c r="H465" s="17"/>
      <c r="I465" s="17"/>
      <c r="J465" s="17"/>
      <c r="K465" s="17"/>
      <c r="L465" s="17"/>
      <c r="M465" s="17"/>
      <c r="N465" s="17"/>
      <c r="O465" s="17"/>
      <c r="P465" s="17"/>
      <c r="Q465" s="17"/>
      <c r="R465" s="17"/>
      <c r="S465" s="17"/>
      <c r="T465" s="17"/>
      <c r="U465" s="17"/>
      <c r="V465" s="17"/>
      <c r="W465" s="12"/>
      <c r="X465" s="12"/>
      <c r="Y465" s="12"/>
      <c r="Z465" s="12"/>
    </row>
    <row r="466" spans="1:26" ht="15" customHeight="1" x14ac:dyDescent="0.35">
      <c r="A466" s="26"/>
      <c r="B466" s="17"/>
      <c r="C466" s="17"/>
      <c r="D466" s="17"/>
      <c r="E466" s="17"/>
      <c r="F466" s="17"/>
      <c r="G466" s="17"/>
      <c r="H466" s="17"/>
      <c r="I466" s="17"/>
      <c r="J466" s="17"/>
      <c r="K466" s="17"/>
      <c r="L466" s="17"/>
      <c r="M466" s="17"/>
      <c r="N466" s="17"/>
      <c r="O466" s="17"/>
      <c r="P466" s="17"/>
      <c r="Q466" s="17"/>
      <c r="R466" s="17"/>
      <c r="S466" s="17"/>
      <c r="T466" s="17"/>
      <c r="U466" s="17"/>
      <c r="V466" s="17"/>
      <c r="W466" s="12"/>
      <c r="X466" s="12"/>
      <c r="Y466" s="12"/>
      <c r="Z466" s="12"/>
    </row>
    <row r="467" spans="1:26" ht="15" customHeight="1" x14ac:dyDescent="0.35">
      <c r="A467" s="26"/>
      <c r="B467" s="17"/>
      <c r="C467" s="17"/>
      <c r="D467" s="17"/>
      <c r="E467" s="17"/>
      <c r="F467" s="17"/>
      <c r="G467" s="17"/>
      <c r="H467" s="17"/>
      <c r="I467" s="17"/>
      <c r="J467" s="17"/>
      <c r="K467" s="17"/>
      <c r="L467" s="17"/>
      <c r="M467" s="17"/>
      <c r="N467" s="17"/>
      <c r="O467" s="17"/>
      <c r="P467" s="17"/>
      <c r="Q467" s="17"/>
      <c r="R467" s="17"/>
      <c r="S467" s="17"/>
      <c r="T467" s="17"/>
      <c r="U467" s="17"/>
      <c r="V467" s="17"/>
      <c r="W467" s="12"/>
      <c r="X467" s="12"/>
      <c r="Y467" s="12"/>
      <c r="Z467" s="12"/>
    </row>
    <row r="468" spans="1:26" ht="15" customHeight="1" x14ac:dyDescent="0.35">
      <c r="A468" s="26"/>
      <c r="B468" s="17"/>
      <c r="C468" s="17"/>
      <c r="D468" s="17"/>
      <c r="E468" s="17"/>
      <c r="F468" s="17"/>
      <c r="G468" s="17"/>
      <c r="H468" s="17"/>
      <c r="I468" s="17"/>
      <c r="J468" s="17"/>
      <c r="K468" s="17"/>
      <c r="L468" s="17"/>
      <c r="M468" s="17"/>
      <c r="N468" s="17"/>
      <c r="O468" s="17"/>
      <c r="P468" s="17"/>
      <c r="Q468" s="17"/>
      <c r="R468" s="17"/>
      <c r="S468" s="17"/>
      <c r="T468" s="17"/>
      <c r="U468" s="17"/>
      <c r="V468" s="17"/>
      <c r="W468" s="12"/>
      <c r="X468" s="12"/>
      <c r="Y468" s="12"/>
      <c r="Z468" s="12"/>
    </row>
    <row r="469" spans="1:26" ht="15" customHeight="1" x14ac:dyDescent="0.35">
      <c r="A469" s="26"/>
      <c r="B469" s="17"/>
      <c r="C469" s="17"/>
      <c r="D469" s="17"/>
      <c r="E469" s="17"/>
      <c r="F469" s="17"/>
      <c r="G469" s="17"/>
      <c r="H469" s="17"/>
      <c r="I469" s="17"/>
      <c r="J469" s="17"/>
      <c r="K469" s="17"/>
      <c r="L469" s="17"/>
      <c r="M469" s="17"/>
      <c r="N469" s="17"/>
      <c r="O469" s="17"/>
      <c r="P469" s="17"/>
      <c r="Q469" s="17"/>
      <c r="R469" s="17"/>
      <c r="S469" s="17"/>
      <c r="T469" s="17"/>
      <c r="U469" s="17"/>
      <c r="V469" s="17"/>
      <c r="W469" s="12"/>
      <c r="X469" s="12"/>
      <c r="Y469" s="12"/>
      <c r="Z469" s="12"/>
    </row>
    <row r="470" spans="1:26" ht="15" customHeight="1" x14ac:dyDescent="0.35">
      <c r="A470" s="29"/>
      <c r="B470" s="17"/>
      <c r="C470" s="17"/>
      <c r="D470" s="17"/>
      <c r="E470" s="17"/>
      <c r="F470" s="17"/>
      <c r="G470" s="17"/>
      <c r="H470" s="17"/>
      <c r="I470" s="17"/>
      <c r="J470" s="17"/>
      <c r="K470" s="17"/>
      <c r="L470" s="17"/>
      <c r="M470" s="17"/>
      <c r="N470" s="17"/>
      <c r="O470" s="17"/>
      <c r="P470" s="17"/>
      <c r="Q470" s="17"/>
      <c r="R470" s="17"/>
      <c r="S470" s="17"/>
      <c r="T470" s="17"/>
      <c r="U470" s="17"/>
      <c r="V470" s="17"/>
      <c r="W470" s="12"/>
      <c r="X470" s="12"/>
      <c r="Y470" s="12"/>
      <c r="Z470" s="12"/>
    </row>
    <row r="471" spans="1:26" ht="15" customHeight="1" x14ac:dyDescent="0.35">
      <c r="A471" s="29"/>
      <c r="B471" s="17"/>
      <c r="C471" s="17"/>
      <c r="D471" s="17"/>
      <c r="E471" s="17"/>
      <c r="F471" s="17"/>
      <c r="G471" s="17"/>
      <c r="H471" s="17"/>
      <c r="I471" s="17"/>
      <c r="J471" s="17"/>
      <c r="K471" s="17"/>
      <c r="L471" s="17"/>
      <c r="M471" s="17"/>
      <c r="N471" s="17"/>
      <c r="O471" s="17"/>
      <c r="P471" s="17"/>
      <c r="Q471" s="17"/>
      <c r="R471" s="17"/>
      <c r="S471" s="17"/>
      <c r="T471" s="17"/>
      <c r="U471" s="17"/>
      <c r="V471" s="17"/>
      <c r="W471" s="12"/>
      <c r="X471" s="12"/>
      <c r="Y471" s="12"/>
      <c r="Z471" s="12"/>
    </row>
    <row r="472" spans="1:26" ht="15" customHeight="1" x14ac:dyDescent="0.35">
      <c r="A472" s="26"/>
      <c r="B472" s="17"/>
      <c r="C472" s="17"/>
      <c r="D472" s="17"/>
      <c r="E472" s="17"/>
      <c r="F472" s="17"/>
      <c r="G472" s="17"/>
      <c r="H472" s="17"/>
      <c r="I472" s="17"/>
      <c r="J472" s="17"/>
      <c r="K472" s="17"/>
      <c r="L472" s="17"/>
      <c r="M472" s="17"/>
      <c r="N472" s="17"/>
      <c r="O472" s="17"/>
      <c r="P472" s="17"/>
      <c r="Q472" s="17"/>
      <c r="R472" s="17"/>
      <c r="S472" s="17"/>
      <c r="T472" s="17"/>
      <c r="U472" s="17"/>
      <c r="V472" s="17"/>
      <c r="W472" s="12"/>
      <c r="X472" s="12"/>
      <c r="Y472" s="12"/>
      <c r="Z472" s="12"/>
    </row>
    <row r="473" spans="1:26" ht="15" customHeight="1" x14ac:dyDescent="0.35">
      <c r="A473" s="26"/>
      <c r="B473" s="17"/>
      <c r="C473" s="17"/>
      <c r="D473" s="17"/>
      <c r="E473" s="17"/>
      <c r="F473" s="17"/>
      <c r="G473" s="17"/>
      <c r="H473" s="17"/>
      <c r="I473" s="17"/>
      <c r="J473" s="17"/>
      <c r="K473" s="17"/>
      <c r="L473" s="17"/>
      <c r="M473" s="17"/>
      <c r="N473" s="17"/>
      <c r="O473" s="17"/>
      <c r="P473" s="17"/>
      <c r="Q473" s="17"/>
      <c r="R473" s="17"/>
      <c r="S473" s="17"/>
      <c r="T473" s="17"/>
      <c r="U473" s="17"/>
      <c r="V473" s="17"/>
      <c r="W473" s="12"/>
      <c r="X473" s="12"/>
      <c r="Y473" s="12"/>
      <c r="Z473" s="12"/>
    </row>
    <row r="474" spans="1:26" ht="15" customHeight="1" x14ac:dyDescent="0.35">
      <c r="A474" s="26"/>
      <c r="B474" s="17"/>
      <c r="C474" s="17"/>
      <c r="D474" s="17"/>
      <c r="E474" s="17"/>
      <c r="F474" s="17"/>
      <c r="G474" s="17"/>
      <c r="H474" s="17"/>
      <c r="I474" s="17"/>
      <c r="J474" s="17"/>
      <c r="K474" s="17"/>
      <c r="L474" s="17"/>
      <c r="M474" s="17"/>
      <c r="N474" s="17"/>
      <c r="O474" s="17"/>
      <c r="P474" s="17"/>
      <c r="Q474" s="17"/>
      <c r="R474" s="17"/>
      <c r="S474" s="17"/>
      <c r="T474" s="17"/>
      <c r="U474" s="17"/>
      <c r="V474" s="17"/>
      <c r="W474" s="12"/>
      <c r="X474" s="12"/>
      <c r="Y474" s="12"/>
      <c r="Z474" s="12"/>
    </row>
    <row r="475" spans="1:26" ht="15" customHeight="1" x14ac:dyDescent="0.35">
      <c r="A475" s="26"/>
      <c r="B475" s="17"/>
      <c r="C475" s="17"/>
      <c r="D475" s="17"/>
      <c r="E475" s="17"/>
      <c r="F475" s="17"/>
      <c r="G475" s="17"/>
      <c r="H475" s="17"/>
      <c r="I475" s="17"/>
      <c r="J475" s="17"/>
      <c r="K475" s="17"/>
      <c r="L475" s="17"/>
      <c r="M475" s="17"/>
      <c r="N475" s="17"/>
      <c r="O475" s="17"/>
      <c r="P475" s="17"/>
      <c r="Q475" s="17"/>
      <c r="R475" s="17"/>
      <c r="S475" s="17"/>
      <c r="T475" s="17"/>
      <c r="U475" s="17"/>
      <c r="V475" s="17"/>
      <c r="W475" s="12"/>
      <c r="X475" s="12"/>
      <c r="Y475" s="12"/>
      <c r="Z475" s="12"/>
    </row>
    <row r="476" spans="1:26" ht="15" customHeight="1" x14ac:dyDescent="0.35">
      <c r="A476" s="26"/>
      <c r="B476" s="17"/>
      <c r="C476" s="17"/>
      <c r="D476" s="17"/>
      <c r="E476" s="17"/>
      <c r="F476" s="17"/>
      <c r="G476" s="17"/>
      <c r="H476" s="17"/>
      <c r="I476" s="17"/>
      <c r="J476" s="17"/>
      <c r="K476" s="17"/>
      <c r="L476" s="17"/>
      <c r="M476" s="17"/>
      <c r="N476" s="17"/>
      <c r="O476" s="17"/>
      <c r="P476" s="17"/>
      <c r="Q476" s="17"/>
      <c r="R476" s="17"/>
      <c r="S476" s="17"/>
      <c r="T476" s="17"/>
      <c r="U476" s="17"/>
      <c r="V476" s="17"/>
      <c r="W476" s="12"/>
      <c r="X476" s="12"/>
      <c r="Y476" s="12"/>
      <c r="Z476" s="12"/>
    </row>
    <row r="477" spans="1:26" ht="15" customHeight="1" x14ac:dyDescent="0.35">
      <c r="A477" s="26"/>
      <c r="B477" s="17"/>
      <c r="C477" s="17"/>
      <c r="D477" s="17"/>
      <c r="E477" s="17"/>
      <c r="F477" s="17"/>
      <c r="G477" s="17"/>
      <c r="H477" s="17"/>
      <c r="I477" s="17"/>
      <c r="J477" s="17"/>
      <c r="K477" s="17"/>
      <c r="L477" s="17"/>
      <c r="M477" s="17"/>
      <c r="N477" s="17"/>
      <c r="O477" s="17"/>
      <c r="P477" s="17"/>
      <c r="Q477" s="17"/>
      <c r="R477" s="17"/>
      <c r="S477" s="17"/>
      <c r="T477" s="17"/>
      <c r="U477" s="17"/>
      <c r="V477" s="17"/>
      <c r="W477" s="12"/>
      <c r="X477" s="12"/>
      <c r="Y477" s="12"/>
      <c r="Z477" s="12"/>
    </row>
    <row r="478" spans="1:26" ht="15" customHeight="1" x14ac:dyDescent="0.35">
      <c r="A478" s="26"/>
      <c r="B478" s="17"/>
      <c r="C478" s="17"/>
      <c r="D478" s="17"/>
      <c r="E478" s="17"/>
      <c r="F478" s="17"/>
      <c r="G478" s="17"/>
      <c r="H478" s="17"/>
      <c r="I478" s="17"/>
      <c r="J478" s="17"/>
      <c r="K478" s="17"/>
      <c r="L478" s="17"/>
      <c r="M478" s="17"/>
      <c r="N478" s="17"/>
      <c r="O478" s="17"/>
      <c r="P478" s="17"/>
      <c r="Q478" s="17"/>
      <c r="R478" s="17"/>
      <c r="S478" s="17"/>
      <c r="T478" s="17"/>
      <c r="U478" s="17"/>
      <c r="V478" s="17"/>
      <c r="W478" s="12"/>
      <c r="X478" s="12"/>
      <c r="Y478" s="12"/>
      <c r="Z478" s="12"/>
    </row>
    <row r="479" spans="1:26" ht="15" customHeight="1" x14ac:dyDescent="0.35">
      <c r="A479" s="27"/>
      <c r="B479" s="17"/>
      <c r="C479" s="17"/>
      <c r="D479" s="17"/>
      <c r="E479" s="17"/>
      <c r="F479" s="17"/>
      <c r="G479" s="17"/>
      <c r="H479" s="17"/>
      <c r="I479" s="17"/>
      <c r="J479" s="17"/>
      <c r="K479" s="17"/>
      <c r="L479" s="17"/>
      <c r="M479" s="17"/>
      <c r="N479" s="17"/>
      <c r="O479" s="17"/>
      <c r="P479" s="17"/>
      <c r="Q479" s="17"/>
      <c r="R479" s="17"/>
      <c r="S479" s="17"/>
      <c r="T479" s="17"/>
      <c r="U479" s="17"/>
      <c r="V479" s="17"/>
      <c r="W479" s="12"/>
      <c r="X479" s="12"/>
      <c r="Y479" s="12"/>
      <c r="Z479" s="12"/>
    </row>
    <row r="480" spans="1:26" ht="15" customHeight="1" x14ac:dyDescent="0.35">
      <c r="A480" s="26"/>
      <c r="B480" s="17"/>
      <c r="C480" s="17"/>
      <c r="D480" s="17"/>
      <c r="E480" s="17"/>
      <c r="F480" s="17"/>
      <c r="G480" s="17"/>
      <c r="H480" s="17"/>
      <c r="I480" s="17"/>
      <c r="J480" s="17"/>
      <c r="K480" s="17"/>
      <c r="L480" s="17"/>
      <c r="M480" s="17"/>
      <c r="N480" s="17"/>
      <c r="O480" s="17"/>
      <c r="P480" s="17"/>
      <c r="Q480" s="17"/>
      <c r="R480" s="17"/>
      <c r="S480" s="17"/>
      <c r="T480" s="17"/>
      <c r="U480" s="17"/>
      <c r="V480" s="17"/>
      <c r="W480" s="12"/>
      <c r="X480" s="12"/>
      <c r="Y480" s="12"/>
      <c r="Z480" s="12"/>
    </row>
    <row r="481" spans="1:26" ht="15" customHeight="1" x14ac:dyDescent="0.35">
      <c r="A481" s="26"/>
      <c r="B481" s="17"/>
      <c r="C481" s="17"/>
      <c r="D481" s="17"/>
      <c r="E481" s="17"/>
      <c r="F481" s="17"/>
      <c r="G481" s="17"/>
      <c r="H481" s="17"/>
      <c r="I481" s="17"/>
      <c r="J481" s="17"/>
      <c r="K481" s="17"/>
      <c r="L481" s="17"/>
      <c r="M481" s="17"/>
      <c r="N481" s="17"/>
      <c r="O481" s="17"/>
      <c r="P481" s="17"/>
      <c r="Q481" s="17"/>
      <c r="R481" s="17"/>
      <c r="S481" s="17"/>
      <c r="T481" s="17"/>
      <c r="U481" s="17"/>
      <c r="V481" s="17"/>
      <c r="W481" s="12"/>
      <c r="X481" s="12"/>
      <c r="Y481" s="12"/>
      <c r="Z481" s="12"/>
    </row>
    <row r="482" spans="1:26" ht="15" customHeight="1" x14ac:dyDescent="0.35">
      <c r="A482" s="26"/>
      <c r="B482" s="17"/>
      <c r="C482" s="17"/>
      <c r="D482" s="17"/>
      <c r="E482" s="17"/>
      <c r="F482" s="17"/>
      <c r="G482" s="17"/>
      <c r="H482" s="17"/>
      <c r="I482" s="17"/>
      <c r="J482" s="17"/>
      <c r="K482" s="17"/>
      <c r="L482" s="17"/>
      <c r="M482" s="17"/>
      <c r="N482" s="17"/>
      <c r="O482" s="17"/>
      <c r="P482" s="17"/>
      <c r="Q482" s="17"/>
      <c r="R482" s="17"/>
      <c r="S482" s="17"/>
      <c r="T482" s="17"/>
      <c r="U482" s="17"/>
      <c r="V482" s="17"/>
      <c r="W482" s="12"/>
      <c r="X482" s="12"/>
      <c r="Y482" s="12"/>
      <c r="Z482" s="12"/>
    </row>
    <row r="483" spans="1:26" ht="15" customHeight="1" x14ac:dyDescent="0.35">
      <c r="A483" s="26"/>
      <c r="B483" s="17"/>
      <c r="C483" s="17"/>
      <c r="D483" s="17"/>
      <c r="E483" s="17"/>
      <c r="F483" s="17"/>
      <c r="G483" s="17"/>
      <c r="H483" s="17"/>
      <c r="I483" s="17"/>
      <c r="J483" s="17"/>
      <c r="K483" s="17"/>
      <c r="L483" s="17"/>
      <c r="M483" s="17"/>
      <c r="N483" s="17"/>
      <c r="O483" s="17"/>
      <c r="P483" s="17"/>
      <c r="Q483" s="17"/>
      <c r="R483" s="17"/>
      <c r="S483" s="17"/>
      <c r="T483" s="17"/>
      <c r="U483" s="17"/>
      <c r="V483" s="17"/>
      <c r="W483" s="12"/>
      <c r="X483" s="12"/>
      <c r="Y483" s="12"/>
      <c r="Z483" s="12"/>
    </row>
    <row r="484" spans="1:26" ht="15" customHeight="1" x14ac:dyDescent="0.35">
      <c r="A484" s="26"/>
      <c r="B484" s="17"/>
      <c r="C484" s="17"/>
      <c r="D484" s="17"/>
      <c r="E484" s="17"/>
      <c r="F484" s="17"/>
      <c r="G484" s="17"/>
      <c r="H484" s="17"/>
      <c r="I484" s="17"/>
      <c r="J484" s="17"/>
      <c r="K484" s="17"/>
      <c r="L484" s="17"/>
      <c r="M484" s="17"/>
      <c r="N484" s="17"/>
      <c r="O484" s="17"/>
      <c r="P484" s="17"/>
      <c r="Q484" s="17"/>
      <c r="R484" s="17"/>
      <c r="S484" s="17"/>
      <c r="T484" s="17"/>
      <c r="U484" s="17"/>
      <c r="V484" s="17"/>
      <c r="W484" s="12"/>
      <c r="X484" s="12"/>
      <c r="Y484" s="12"/>
      <c r="Z484" s="12"/>
    </row>
    <row r="485" spans="1:26" ht="15" customHeight="1" x14ac:dyDescent="0.35">
      <c r="A485" s="26"/>
      <c r="B485" s="17"/>
      <c r="C485" s="17"/>
      <c r="D485" s="17"/>
      <c r="E485" s="17"/>
      <c r="F485" s="17"/>
      <c r="G485" s="17"/>
      <c r="H485" s="17"/>
      <c r="I485" s="17"/>
      <c r="J485" s="17"/>
      <c r="K485" s="17"/>
      <c r="L485" s="17"/>
      <c r="M485" s="17"/>
      <c r="N485" s="17"/>
      <c r="O485" s="17"/>
      <c r="P485" s="17"/>
      <c r="Q485" s="17"/>
      <c r="R485" s="17"/>
      <c r="S485" s="17"/>
      <c r="T485" s="17"/>
      <c r="U485" s="17"/>
      <c r="V485" s="17"/>
      <c r="W485" s="12"/>
      <c r="X485" s="12"/>
      <c r="Y485" s="12"/>
      <c r="Z485" s="12"/>
    </row>
    <row r="486" spans="1:26" ht="15" customHeight="1" x14ac:dyDescent="0.35">
      <c r="A486" s="26"/>
      <c r="B486" s="17"/>
      <c r="C486" s="17"/>
      <c r="D486" s="17"/>
      <c r="E486" s="17"/>
      <c r="F486" s="17"/>
      <c r="G486" s="17"/>
      <c r="H486" s="17"/>
      <c r="I486" s="17"/>
      <c r="J486" s="17"/>
      <c r="K486" s="17"/>
      <c r="L486" s="17"/>
      <c r="M486" s="17"/>
      <c r="N486" s="17"/>
      <c r="O486" s="17"/>
      <c r="P486" s="17"/>
      <c r="Q486" s="17"/>
      <c r="R486" s="17"/>
      <c r="S486" s="17"/>
      <c r="T486" s="17"/>
      <c r="U486" s="17"/>
      <c r="V486" s="17"/>
      <c r="W486" s="12"/>
      <c r="X486" s="12"/>
      <c r="Y486" s="12"/>
      <c r="Z486" s="12"/>
    </row>
    <row r="487" spans="1:26" ht="15" customHeight="1" x14ac:dyDescent="0.35">
      <c r="A487" s="26"/>
      <c r="B487" s="17"/>
      <c r="C487" s="17"/>
      <c r="D487" s="17"/>
      <c r="E487" s="17"/>
      <c r="F487" s="17"/>
      <c r="G487" s="17"/>
      <c r="H487" s="17"/>
      <c r="I487" s="17"/>
      <c r="J487" s="17"/>
      <c r="K487" s="17"/>
      <c r="L487" s="17"/>
      <c r="M487" s="17"/>
      <c r="N487" s="17"/>
      <c r="O487" s="17"/>
      <c r="P487" s="17"/>
      <c r="Q487" s="17"/>
      <c r="R487" s="17"/>
      <c r="S487" s="17"/>
      <c r="T487" s="17"/>
      <c r="U487" s="17"/>
      <c r="V487" s="17"/>
      <c r="W487" s="12"/>
      <c r="X487" s="12"/>
      <c r="Y487" s="12"/>
      <c r="Z487" s="12"/>
    </row>
    <row r="488" spans="1:26" ht="15" customHeight="1" x14ac:dyDescent="0.35">
      <c r="A488" s="26"/>
      <c r="B488" s="17"/>
      <c r="C488" s="17"/>
      <c r="D488" s="17"/>
      <c r="E488" s="17"/>
      <c r="F488" s="17"/>
      <c r="G488" s="17"/>
      <c r="H488" s="17"/>
      <c r="I488" s="17"/>
      <c r="J488" s="17"/>
      <c r="K488" s="17"/>
      <c r="L488" s="17"/>
      <c r="M488" s="17"/>
      <c r="N488" s="17"/>
      <c r="O488" s="17"/>
      <c r="P488" s="17"/>
      <c r="Q488" s="17"/>
      <c r="R488" s="17"/>
      <c r="S488" s="17"/>
      <c r="T488" s="17"/>
      <c r="U488" s="17"/>
      <c r="V488" s="17"/>
      <c r="W488" s="12"/>
      <c r="X488" s="12"/>
      <c r="Y488" s="12"/>
      <c r="Z488" s="12"/>
    </row>
    <row r="489" spans="1:26" ht="15" customHeight="1" x14ac:dyDescent="0.35">
      <c r="A489" s="26"/>
      <c r="B489" s="17"/>
      <c r="C489" s="17"/>
      <c r="D489" s="17"/>
      <c r="E489" s="17"/>
      <c r="F489" s="17"/>
      <c r="G489" s="17"/>
      <c r="H489" s="17"/>
      <c r="I489" s="17"/>
      <c r="J489" s="17"/>
      <c r="K489" s="17"/>
      <c r="L489" s="17"/>
      <c r="M489" s="17"/>
      <c r="N489" s="17"/>
      <c r="O489" s="17"/>
      <c r="P489" s="17"/>
      <c r="Q489" s="17"/>
      <c r="R489" s="17"/>
      <c r="S489" s="17"/>
      <c r="T489" s="17"/>
      <c r="U489" s="17"/>
      <c r="V489" s="17"/>
      <c r="W489" s="12"/>
      <c r="X489" s="12"/>
      <c r="Y489" s="12"/>
      <c r="Z489" s="12"/>
    </row>
    <row r="490" spans="1:26" ht="15" customHeight="1" x14ac:dyDescent="0.35">
      <c r="A490" s="26"/>
      <c r="B490" s="17"/>
      <c r="C490" s="17"/>
      <c r="D490" s="17"/>
      <c r="E490" s="17"/>
      <c r="F490" s="17"/>
      <c r="G490" s="17"/>
      <c r="H490" s="17"/>
      <c r="I490" s="17"/>
      <c r="J490" s="17"/>
      <c r="K490" s="17"/>
      <c r="L490" s="17"/>
      <c r="M490" s="17"/>
      <c r="N490" s="17"/>
      <c r="O490" s="17"/>
      <c r="P490" s="17"/>
      <c r="Q490" s="17"/>
      <c r="R490" s="17"/>
      <c r="S490" s="17"/>
      <c r="T490" s="17"/>
      <c r="U490" s="17"/>
      <c r="V490" s="17"/>
      <c r="W490" s="12"/>
      <c r="X490" s="12"/>
      <c r="Y490" s="12"/>
      <c r="Z490" s="12"/>
    </row>
    <row r="491" spans="1:26" ht="15" customHeight="1" x14ac:dyDescent="0.35">
      <c r="A491" s="26"/>
      <c r="B491" s="17"/>
      <c r="C491" s="17"/>
      <c r="D491" s="17"/>
      <c r="E491" s="17"/>
      <c r="F491" s="17"/>
      <c r="G491" s="17"/>
      <c r="H491" s="17"/>
      <c r="I491" s="17"/>
      <c r="J491" s="17"/>
      <c r="K491" s="17"/>
      <c r="L491" s="17"/>
      <c r="M491" s="17"/>
      <c r="N491" s="17"/>
      <c r="O491" s="17"/>
      <c r="P491" s="17"/>
      <c r="Q491" s="17"/>
      <c r="R491" s="17"/>
      <c r="S491" s="17"/>
      <c r="T491" s="17"/>
      <c r="U491" s="17"/>
      <c r="V491" s="17"/>
      <c r="W491" s="12"/>
      <c r="X491" s="12"/>
      <c r="Y491" s="12"/>
      <c r="Z491" s="12"/>
    </row>
    <row r="492" spans="1:26" ht="15" customHeight="1" x14ac:dyDescent="0.35">
      <c r="A492" s="26"/>
      <c r="B492" s="17"/>
      <c r="C492" s="17"/>
      <c r="D492" s="17"/>
      <c r="E492" s="17"/>
      <c r="F492" s="17"/>
      <c r="G492" s="17"/>
      <c r="H492" s="17"/>
      <c r="I492" s="17"/>
      <c r="J492" s="17"/>
      <c r="K492" s="17"/>
      <c r="L492" s="17"/>
      <c r="M492" s="17"/>
      <c r="N492" s="17"/>
      <c r="O492" s="17"/>
      <c r="P492" s="17"/>
      <c r="Q492" s="17"/>
      <c r="R492" s="17"/>
      <c r="S492" s="17"/>
      <c r="T492" s="17"/>
      <c r="U492" s="17"/>
      <c r="V492" s="17"/>
      <c r="W492" s="12"/>
      <c r="X492" s="12"/>
      <c r="Y492" s="12"/>
      <c r="Z492" s="12"/>
    </row>
    <row r="493" spans="1:26" ht="15" customHeight="1" x14ac:dyDescent="0.35">
      <c r="A493" s="26"/>
      <c r="B493" s="17"/>
      <c r="C493" s="17"/>
      <c r="D493" s="17"/>
      <c r="E493" s="17"/>
      <c r="F493" s="17"/>
      <c r="G493" s="17"/>
      <c r="H493" s="17"/>
      <c r="I493" s="17"/>
      <c r="J493" s="17"/>
      <c r="K493" s="17"/>
      <c r="L493" s="17"/>
      <c r="M493" s="17"/>
      <c r="N493" s="17"/>
      <c r="O493" s="17"/>
      <c r="P493" s="17"/>
      <c r="Q493" s="17"/>
      <c r="R493" s="17"/>
      <c r="S493" s="17"/>
      <c r="T493" s="17"/>
      <c r="U493" s="17"/>
      <c r="V493" s="17"/>
      <c r="W493" s="12"/>
      <c r="X493" s="12"/>
      <c r="Y493" s="12"/>
      <c r="Z493" s="12"/>
    </row>
    <row r="494" spans="1:26" ht="15" customHeight="1" x14ac:dyDescent="0.35">
      <c r="A494" s="26"/>
      <c r="B494" s="17"/>
      <c r="C494" s="17"/>
      <c r="D494" s="17"/>
      <c r="E494" s="17"/>
      <c r="F494" s="17"/>
      <c r="G494" s="17"/>
      <c r="H494" s="17"/>
      <c r="I494" s="17"/>
      <c r="J494" s="17"/>
      <c r="K494" s="17"/>
      <c r="L494" s="17"/>
      <c r="M494" s="17"/>
      <c r="N494" s="17"/>
      <c r="O494" s="17"/>
      <c r="P494" s="17"/>
      <c r="Q494" s="17"/>
      <c r="R494" s="17"/>
      <c r="S494" s="17"/>
      <c r="T494" s="17"/>
      <c r="U494" s="17"/>
      <c r="V494" s="17"/>
      <c r="W494" s="12"/>
      <c r="X494" s="12"/>
      <c r="Y494" s="12"/>
      <c r="Z494" s="12"/>
    </row>
    <row r="495" spans="1:26" ht="15" customHeight="1" x14ac:dyDescent="0.35">
      <c r="A495" s="26"/>
      <c r="B495" s="17"/>
      <c r="C495" s="17"/>
      <c r="D495" s="17"/>
      <c r="E495" s="17"/>
      <c r="F495" s="17"/>
      <c r="G495" s="17"/>
      <c r="H495" s="17"/>
      <c r="I495" s="17"/>
      <c r="J495" s="17"/>
      <c r="K495" s="17"/>
      <c r="L495" s="17"/>
      <c r="M495" s="17"/>
      <c r="N495" s="17"/>
      <c r="O495" s="17"/>
      <c r="P495" s="17"/>
      <c r="Q495" s="17"/>
      <c r="R495" s="17"/>
      <c r="S495" s="17"/>
      <c r="T495" s="17"/>
      <c r="U495" s="17"/>
      <c r="V495" s="17"/>
      <c r="W495" s="12"/>
      <c r="X495" s="12"/>
      <c r="Y495" s="12"/>
      <c r="Z495" s="12"/>
    </row>
    <row r="496" spans="1:26" ht="15" customHeight="1" x14ac:dyDescent="0.35">
      <c r="A496" s="26"/>
      <c r="B496" s="17"/>
      <c r="C496" s="17"/>
      <c r="D496" s="17"/>
      <c r="E496" s="17"/>
      <c r="F496" s="17"/>
      <c r="G496" s="17"/>
      <c r="H496" s="17"/>
      <c r="I496" s="17"/>
      <c r="J496" s="17"/>
      <c r="K496" s="17"/>
      <c r="L496" s="17"/>
      <c r="M496" s="17"/>
      <c r="N496" s="17"/>
      <c r="O496" s="17"/>
      <c r="P496" s="17"/>
      <c r="Q496" s="17"/>
      <c r="R496" s="17"/>
      <c r="S496" s="17"/>
      <c r="T496" s="17"/>
      <c r="U496" s="17"/>
      <c r="V496" s="17"/>
      <c r="W496" s="12"/>
      <c r="X496" s="12"/>
      <c r="Y496" s="12"/>
      <c r="Z496" s="12"/>
    </row>
    <row r="497" spans="1:26" ht="15" customHeight="1" x14ac:dyDescent="0.35">
      <c r="A497" s="26"/>
      <c r="B497" s="17"/>
      <c r="C497" s="17"/>
      <c r="D497" s="17"/>
      <c r="E497" s="17"/>
      <c r="F497" s="17"/>
      <c r="G497" s="17"/>
      <c r="H497" s="17"/>
      <c r="I497" s="17"/>
      <c r="J497" s="17"/>
      <c r="K497" s="17"/>
      <c r="L497" s="17"/>
      <c r="M497" s="17"/>
      <c r="N497" s="17"/>
      <c r="O497" s="17"/>
      <c r="P497" s="17"/>
      <c r="Q497" s="17"/>
      <c r="R497" s="17"/>
      <c r="S497" s="17"/>
      <c r="T497" s="17"/>
      <c r="U497" s="17"/>
      <c r="V497" s="17"/>
      <c r="W497" s="12"/>
      <c r="X497" s="12"/>
      <c r="Y497" s="12"/>
      <c r="Z497" s="12"/>
    </row>
    <row r="498" spans="1:26" ht="15" customHeight="1" x14ac:dyDescent="0.35">
      <c r="A498" s="26"/>
      <c r="B498" s="17"/>
      <c r="C498" s="17"/>
      <c r="D498" s="17"/>
      <c r="E498" s="17"/>
      <c r="F498" s="17"/>
      <c r="G498" s="17"/>
      <c r="H498" s="17"/>
      <c r="I498" s="17"/>
      <c r="J498" s="17"/>
      <c r="K498" s="17"/>
      <c r="L498" s="17"/>
      <c r="M498" s="17"/>
      <c r="N498" s="17"/>
      <c r="O498" s="17"/>
      <c r="P498" s="17"/>
      <c r="Q498" s="17"/>
      <c r="R498" s="17"/>
      <c r="S498" s="17"/>
      <c r="T498" s="17"/>
      <c r="U498" s="17"/>
      <c r="V498" s="17"/>
      <c r="W498" s="12"/>
      <c r="X498" s="12"/>
      <c r="Y498" s="12"/>
      <c r="Z498" s="12"/>
    </row>
    <row r="499" spans="1:26" ht="15" customHeight="1" x14ac:dyDescent="0.35">
      <c r="A499" s="26"/>
      <c r="B499" s="17"/>
      <c r="C499" s="17"/>
      <c r="D499" s="17"/>
      <c r="E499" s="17"/>
      <c r="F499" s="17"/>
      <c r="G499" s="17"/>
      <c r="H499" s="17"/>
      <c r="I499" s="17"/>
      <c r="J499" s="17"/>
      <c r="K499" s="17"/>
      <c r="L499" s="17"/>
      <c r="M499" s="17"/>
      <c r="N499" s="17"/>
      <c r="O499" s="17"/>
      <c r="P499" s="17"/>
      <c r="Q499" s="17"/>
      <c r="R499" s="17"/>
      <c r="S499" s="17"/>
      <c r="T499" s="17"/>
      <c r="U499" s="17"/>
      <c r="V499" s="17"/>
      <c r="W499" s="12"/>
      <c r="X499" s="12"/>
      <c r="Y499" s="12"/>
      <c r="Z499" s="12"/>
    </row>
    <row r="500" spans="1:26" ht="15" customHeight="1" x14ac:dyDescent="0.35">
      <c r="A500" s="26"/>
      <c r="B500" s="17"/>
      <c r="C500" s="17"/>
      <c r="D500" s="17"/>
      <c r="E500" s="17"/>
      <c r="F500" s="17"/>
      <c r="G500" s="17"/>
      <c r="H500" s="17"/>
      <c r="I500" s="17"/>
      <c r="J500" s="17"/>
      <c r="K500" s="17"/>
      <c r="L500" s="17"/>
      <c r="M500" s="17"/>
      <c r="N500" s="17"/>
      <c r="O500" s="17"/>
      <c r="P500" s="17"/>
      <c r="Q500" s="17"/>
      <c r="R500" s="17"/>
      <c r="S500" s="17"/>
      <c r="T500" s="17"/>
      <c r="U500" s="17"/>
      <c r="V500" s="17"/>
      <c r="W500" s="12"/>
      <c r="X500" s="12"/>
      <c r="Y500" s="12"/>
      <c r="Z500" s="12"/>
    </row>
    <row r="501" spans="1:26" ht="15" customHeight="1" x14ac:dyDescent="0.35">
      <c r="A501" s="26"/>
      <c r="B501" s="17"/>
      <c r="C501" s="17"/>
      <c r="D501" s="17"/>
      <c r="E501" s="17"/>
      <c r="F501" s="17"/>
      <c r="G501" s="17"/>
      <c r="H501" s="17"/>
      <c r="I501" s="17"/>
      <c r="J501" s="17"/>
      <c r="K501" s="17"/>
      <c r="L501" s="17"/>
      <c r="M501" s="17"/>
      <c r="N501" s="17"/>
      <c r="O501" s="17"/>
      <c r="P501" s="17"/>
      <c r="Q501" s="17"/>
      <c r="R501" s="17"/>
      <c r="S501" s="17"/>
      <c r="T501" s="17"/>
      <c r="U501" s="17"/>
      <c r="V501" s="17"/>
      <c r="W501" s="12"/>
      <c r="X501" s="12"/>
      <c r="Y501" s="12"/>
      <c r="Z501" s="12"/>
    </row>
    <row r="502" spans="1:26" ht="15" customHeight="1" x14ac:dyDescent="0.35">
      <c r="A502" s="26"/>
      <c r="B502" s="17"/>
      <c r="C502" s="17"/>
      <c r="D502" s="17"/>
      <c r="E502" s="17"/>
      <c r="F502" s="17"/>
      <c r="G502" s="17"/>
      <c r="H502" s="17"/>
      <c r="I502" s="17"/>
      <c r="J502" s="17"/>
      <c r="K502" s="17"/>
      <c r="L502" s="17"/>
      <c r="M502" s="17"/>
      <c r="N502" s="17"/>
      <c r="O502" s="17"/>
      <c r="P502" s="17"/>
      <c r="Q502" s="17"/>
      <c r="R502" s="17"/>
      <c r="S502" s="17"/>
      <c r="T502" s="17"/>
      <c r="U502" s="17"/>
      <c r="V502" s="17"/>
      <c r="W502" s="12"/>
      <c r="X502" s="12"/>
      <c r="Y502" s="12"/>
      <c r="Z502" s="12"/>
    </row>
    <row r="503" spans="1:26" ht="15" customHeight="1" x14ac:dyDescent="0.35">
      <c r="A503" s="26"/>
      <c r="B503" s="17"/>
      <c r="C503" s="17"/>
      <c r="D503" s="17"/>
      <c r="E503" s="17"/>
      <c r="F503" s="17"/>
      <c r="G503" s="17"/>
      <c r="H503" s="17"/>
      <c r="I503" s="17"/>
      <c r="J503" s="17"/>
      <c r="K503" s="17"/>
      <c r="L503" s="17"/>
      <c r="M503" s="17"/>
      <c r="N503" s="17"/>
      <c r="O503" s="17"/>
      <c r="P503" s="17"/>
      <c r="Q503" s="17"/>
      <c r="R503" s="17"/>
      <c r="S503" s="17"/>
      <c r="T503" s="17"/>
      <c r="U503" s="17"/>
      <c r="V503" s="17"/>
      <c r="W503" s="12"/>
      <c r="X503" s="12"/>
      <c r="Y503" s="12"/>
      <c r="Z503" s="12"/>
    </row>
    <row r="504" spans="1:26" ht="15" customHeight="1" x14ac:dyDescent="0.35">
      <c r="A504" s="26"/>
      <c r="B504" s="17"/>
      <c r="C504" s="17"/>
      <c r="D504" s="17"/>
      <c r="E504" s="17"/>
      <c r="F504" s="17"/>
      <c r="G504" s="17"/>
      <c r="H504" s="17"/>
      <c r="I504" s="17"/>
      <c r="J504" s="17"/>
      <c r="K504" s="17"/>
      <c r="L504" s="17"/>
      <c r="M504" s="17"/>
      <c r="N504" s="17"/>
      <c r="O504" s="17"/>
      <c r="P504" s="17"/>
      <c r="Q504" s="17"/>
      <c r="R504" s="17"/>
      <c r="S504" s="17"/>
      <c r="T504" s="17"/>
      <c r="U504" s="17"/>
      <c r="V504" s="17"/>
      <c r="W504" s="12"/>
      <c r="X504" s="12"/>
      <c r="Y504" s="12"/>
      <c r="Z504" s="12"/>
    </row>
    <row r="505" spans="1:26" ht="15" customHeight="1" x14ac:dyDescent="0.35">
      <c r="A505" s="26"/>
      <c r="B505" s="17"/>
      <c r="C505" s="17"/>
      <c r="D505" s="17"/>
      <c r="E505" s="17"/>
      <c r="F505" s="17"/>
      <c r="G505" s="17"/>
      <c r="H505" s="17"/>
      <c r="I505" s="17"/>
      <c r="J505" s="17"/>
      <c r="K505" s="17"/>
      <c r="L505" s="17"/>
      <c r="M505" s="17"/>
      <c r="N505" s="17"/>
      <c r="O505" s="17"/>
      <c r="P505" s="17"/>
      <c r="Q505" s="17"/>
      <c r="R505" s="17"/>
      <c r="S505" s="17"/>
      <c r="T505" s="17"/>
      <c r="U505" s="17"/>
      <c r="V505" s="17"/>
      <c r="W505" s="12"/>
      <c r="X505" s="12"/>
      <c r="Y505" s="12"/>
      <c r="Z505" s="12"/>
    </row>
    <row r="506" spans="1:26" ht="15" customHeight="1" x14ac:dyDescent="0.35">
      <c r="A506" s="26"/>
      <c r="B506" s="17"/>
      <c r="C506" s="17"/>
      <c r="D506" s="17"/>
      <c r="E506" s="17"/>
      <c r="F506" s="17"/>
      <c r="G506" s="17"/>
      <c r="H506" s="17"/>
      <c r="I506" s="17"/>
      <c r="J506" s="17"/>
      <c r="K506" s="17"/>
      <c r="L506" s="17"/>
      <c r="M506" s="17"/>
      <c r="N506" s="17"/>
      <c r="O506" s="17"/>
      <c r="P506" s="17"/>
      <c r="Q506" s="17"/>
      <c r="R506" s="17"/>
      <c r="S506" s="17"/>
      <c r="T506" s="17"/>
      <c r="U506" s="17"/>
      <c r="V506" s="17"/>
      <c r="W506" s="12"/>
      <c r="X506" s="12"/>
      <c r="Y506" s="12"/>
      <c r="Z506" s="12"/>
    </row>
    <row r="507" spans="1:26" ht="15" customHeight="1" x14ac:dyDescent="0.35">
      <c r="A507" s="26"/>
      <c r="B507" s="17"/>
      <c r="C507" s="17"/>
      <c r="D507" s="17"/>
      <c r="E507" s="17"/>
      <c r="F507" s="17"/>
      <c r="G507" s="17"/>
      <c r="H507" s="17"/>
      <c r="I507" s="17"/>
      <c r="J507" s="17"/>
      <c r="K507" s="17"/>
      <c r="L507" s="17"/>
      <c r="M507" s="17"/>
      <c r="N507" s="17"/>
      <c r="O507" s="17"/>
      <c r="P507" s="17"/>
      <c r="Q507" s="17"/>
      <c r="R507" s="17"/>
      <c r="S507" s="17"/>
      <c r="T507" s="17"/>
      <c r="U507" s="17"/>
      <c r="V507" s="17"/>
      <c r="W507" s="12"/>
      <c r="X507" s="12"/>
      <c r="Y507" s="12"/>
      <c r="Z507" s="12"/>
    </row>
    <row r="508" spans="1:26" ht="15" customHeight="1" x14ac:dyDescent="0.35">
      <c r="A508" s="26"/>
      <c r="B508" s="17"/>
      <c r="C508" s="17"/>
      <c r="D508" s="17"/>
      <c r="E508" s="17"/>
      <c r="F508" s="17"/>
      <c r="G508" s="17"/>
      <c r="H508" s="17"/>
      <c r="I508" s="17"/>
      <c r="J508" s="17"/>
      <c r="K508" s="17"/>
      <c r="L508" s="17"/>
      <c r="M508" s="17"/>
      <c r="N508" s="17"/>
      <c r="O508" s="17"/>
      <c r="P508" s="17"/>
      <c r="Q508" s="17"/>
      <c r="R508" s="17"/>
      <c r="S508" s="17"/>
      <c r="T508" s="17"/>
      <c r="U508" s="17"/>
      <c r="V508" s="17"/>
      <c r="W508" s="12"/>
      <c r="X508" s="12"/>
      <c r="Y508" s="12"/>
      <c r="Z508" s="12"/>
    </row>
    <row r="509" spans="1:26" ht="15" customHeight="1" x14ac:dyDescent="0.35">
      <c r="A509" s="26"/>
      <c r="B509" s="17"/>
      <c r="C509" s="17"/>
      <c r="D509" s="17"/>
      <c r="E509" s="17"/>
      <c r="F509" s="17"/>
      <c r="G509" s="17"/>
      <c r="H509" s="17"/>
      <c r="I509" s="17"/>
      <c r="J509" s="17"/>
      <c r="K509" s="17"/>
      <c r="L509" s="17"/>
      <c r="M509" s="17"/>
      <c r="N509" s="17"/>
      <c r="O509" s="17"/>
      <c r="P509" s="17"/>
      <c r="Q509" s="17"/>
      <c r="R509" s="17"/>
      <c r="S509" s="17"/>
      <c r="T509" s="17"/>
      <c r="U509" s="17"/>
      <c r="V509" s="17"/>
      <c r="W509" s="12"/>
      <c r="X509" s="12"/>
      <c r="Y509" s="12"/>
      <c r="Z509" s="12"/>
    </row>
    <row r="510" spans="1:26" ht="15" customHeight="1" x14ac:dyDescent="0.35">
      <c r="A510" s="26"/>
      <c r="B510" s="17"/>
      <c r="C510" s="17"/>
      <c r="D510" s="17"/>
      <c r="E510" s="17"/>
      <c r="F510" s="17"/>
      <c r="G510" s="17"/>
      <c r="H510" s="17"/>
      <c r="I510" s="17"/>
      <c r="J510" s="17"/>
      <c r="K510" s="17"/>
      <c r="L510" s="17"/>
      <c r="M510" s="17"/>
      <c r="N510" s="17"/>
      <c r="O510" s="17"/>
      <c r="P510" s="17"/>
      <c r="Q510" s="17"/>
      <c r="R510" s="17"/>
      <c r="S510" s="17"/>
      <c r="T510" s="17"/>
      <c r="U510" s="17"/>
      <c r="V510" s="17"/>
      <c r="W510" s="12"/>
      <c r="X510" s="12"/>
      <c r="Y510" s="12"/>
      <c r="Z510" s="12"/>
    </row>
    <row r="511" spans="1:26" ht="15" customHeight="1" x14ac:dyDescent="0.35">
      <c r="A511" s="26"/>
      <c r="B511" s="17"/>
      <c r="C511" s="17"/>
      <c r="D511" s="17"/>
      <c r="E511" s="17"/>
      <c r="F511" s="17"/>
      <c r="G511" s="17"/>
      <c r="H511" s="17"/>
      <c r="I511" s="17"/>
      <c r="J511" s="17"/>
      <c r="K511" s="17"/>
      <c r="L511" s="17"/>
      <c r="M511" s="17"/>
      <c r="N511" s="17"/>
      <c r="O511" s="17"/>
      <c r="P511" s="17"/>
      <c r="Q511" s="17"/>
      <c r="R511" s="17"/>
      <c r="S511" s="17"/>
      <c r="T511" s="17"/>
      <c r="U511" s="17"/>
      <c r="V511" s="17"/>
      <c r="W511" s="12"/>
      <c r="X511" s="12"/>
      <c r="Y511" s="12"/>
      <c r="Z511" s="12"/>
    </row>
    <row r="512" spans="1:26" ht="15" customHeight="1" x14ac:dyDescent="0.35">
      <c r="A512" s="26"/>
      <c r="B512" s="17"/>
      <c r="C512" s="17"/>
      <c r="D512" s="17"/>
      <c r="E512" s="17"/>
      <c r="F512" s="17"/>
      <c r="G512" s="17"/>
      <c r="H512" s="17"/>
      <c r="I512" s="17"/>
      <c r="J512" s="17"/>
      <c r="K512" s="17"/>
      <c r="L512" s="17"/>
      <c r="M512" s="17"/>
      <c r="N512" s="17"/>
      <c r="O512" s="17"/>
      <c r="P512" s="17"/>
      <c r="Q512" s="17"/>
      <c r="R512" s="17"/>
      <c r="S512" s="17"/>
      <c r="T512" s="17"/>
      <c r="U512" s="17"/>
      <c r="V512" s="17"/>
      <c r="W512" s="12"/>
      <c r="X512" s="12"/>
      <c r="Y512" s="12"/>
      <c r="Z512" s="12"/>
    </row>
    <row r="513" spans="1:26" ht="15" customHeight="1" x14ac:dyDescent="0.35">
      <c r="A513" s="26"/>
      <c r="B513" s="17"/>
      <c r="C513" s="17"/>
      <c r="D513" s="17"/>
      <c r="E513" s="17"/>
      <c r="F513" s="17"/>
      <c r="G513" s="17"/>
      <c r="H513" s="17"/>
      <c r="I513" s="17"/>
      <c r="J513" s="17"/>
      <c r="K513" s="17"/>
      <c r="L513" s="17"/>
      <c r="M513" s="17"/>
      <c r="N513" s="17"/>
      <c r="O513" s="17"/>
      <c r="P513" s="17"/>
      <c r="Q513" s="17"/>
      <c r="R513" s="17"/>
      <c r="S513" s="17"/>
      <c r="T513" s="17"/>
      <c r="U513" s="17"/>
      <c r="V513" s="17"/>
      <c r="W513" s="12"/>
      <c r="X513" s="12"/>
      <c r="Y513" s="12"/>
      <c r="Z513" s="12"/>
    </row>
    <row r="514" spans="1:26" ht="15" customHeight="1" x14ac:dyDescent="0.35">
      <c r="A514" s="26"/>
      <c r="B514" s="17"/>
      <c r="C514" s="17"/>
      <c r="D514" s="17"/>
      <c r="E514" s="17"/>
      <c r="F514" s="17"/>
      <c r="G514" s="17"/>
      <c r="H514" s="17"/>
      <c r="I514" s="17"/>
      <c r="J514" s="17"/>
      <c r="K514" s="17"/>
      <c r="L514" s="17"/>
      <c r="M514" s="17"/>
      <c r="N514" s="17"/>
      <c r="O514" s="17"/>
      <c r="P514" s="17"/>
      <c r="Q514" s="17"/>
      <c r="R514" s="17"/>
      <c r="S514" s="17"/>
      <c r="T514" s="17"/>
      <c r="U514" s="17"/>
      <c r="V514" s="17"/>
      <c r="W514" s="12"/>
      <c r="X514" s="12"/>
      <c r="Y514" s="12"/>
      <c r="Z514" s="12"/>
    </row>
    <row r="515" spans="1:26" ht="15" customHeight="1" x14ac:dyDescent="0.35">
      <c r="A515" s="26"/>
      <c r="B515" s="17"/>
      <c r="C515" s="17"/>
      <c r="D515" s="17"/>
      <c r="E515" s="17"/>
      <c r="F515" s="17"/>
      <c r="G515" s="17"/>
      <c r="H515" s="17"/>
      <c r="I515" s="17"/>
      <c r="J515" s="17"/>
      <c r="K515" s="17"/>
      <c r="L515" s="17"/>
      <c r="M515" s="17"/>
      <c r="N515" s="17"/>
      <c r="O515" s="17"/>
      <c r="P515" s="17"/>
      <c r="Q515" s="17"/>
      <c r="R515" s="17"/>
      <c r="S515" s="17"/>
      <c r="T515" s="17"/>
      <c r="U515" s="17"/>
      <c r="V515" s="17"/>
      <c r="W515" s="12"/>
      <c r="X515" s="12"/>
      <c r="Y515" s="12"/>
      <c r="Z515" s="12"/>
    </row>
    <row r="516" spans="1:26" ht="15" customHeight="1" x14ac:dyDescent="0.35">
      <c r="A516" s="26"/>
      <c r="B516" s="17"/>
      <c r="C516" s="17"/>
      <c r="D516" s="17"/>
      <c r="E516" s="17"/>
      <c r="F516" s="17"/>
      <c r="G516" s="17"/>
      <c r="H516" s="17"/>
      <c r="I516" s="17"/>
      <c r="J516" s="17"/>
      <c r="K516" s="17"/>
      <c r="L516" s="17"/>
      <c r="M516" s="17"/>
      <c r="N516" s="17"/>
      <c r="O516" s="17"/>
      <c r="P516" s="17"/>
      <c r="Q516" s="17"/>
      <c r="R516" s="17"/>
      <c r="S516" s="17"/>
      <c r="T516" s="17"/>
      <c r="U516" s="17"/>
      <c r="V516" s="17"/>
      <c r="W516" s="12"/>
      <c r="X516" s="12"/>
      <c r="Y516" s="12"/>
      <c r="Z516" s="12"/>
    </row>
    <row r="517" spans="1:26" ht="15" customHeight="1" x14ac:dyDescent="0.35">
      <c r="A517" s="26"/>
      <c r="B517" s="17"/>
      <c r="C517" s="17"/>
      <c r="D517" s="17"/>
      <c r="E517" s="17"/>
      <c r="F517" s="17"/>
      <c r="G517" s="17"/>
      <c r="H517" s="17"/>
      <c r="I517" s="17"/>
      <c r="J517" s="17"/>
      <c r="K517" s="17"/>
      <c r="L517" s="17"/>
      <c r="M517" s="17"/>
      <c r="N517" s="17"/>
      <c r="O517" s="17"/>
      <c r="P517" s="17"/>
      <c r="Q517" s="17"/>
      <c r="R517" s="17"/>
      <c r="S517" s="17"/>
      <c r="T517" s="17"/>
      <c r="U517" s="17"/>
      <c r="V517" s="17"/>
      <c r="W517" s="12"/>
      <c r="X517" s="12"/>
      <c r="Y517" s="12"/>
      <c r="Z517" s="12"/>
    </row>
    <row r="518" spans="1:26" ht="15" customHeight="1" x14ac:dyDescent="0.35">
      <c r="A518" s="26"/>
      <c r="B518" s="17"/>
      <c r="C518" s="17"/>
      <c r="D518" s="17"/>
      <c r="E518" s="17"/>
      <c r="F518" s="17"/>
      <c r="G518" s="17"/>
      <c r="H518" s="17"/>
      <c r="I518" s="17"/>
      <c r="J518" s="17"/>
      <c r="K518" s="17"/>
      <c r="L518" s="17"/>
      <c r="M518" s="17"/>
      <c r="N518" s="17"/>
      <c r="O518" s="17"/>
      <c r="P518" s="17"/>
      <c r="Q518" s="17"/>
      <c r="R518" s="17"/>
      <c r="S518" s="17"/>
      <c r="T518" s="17"/>
      <c r="U518" s="17"/>
      <c r="V518" s="17"/>
      <c r="W518" s="12"/>
      <c r="X518" s="12"/>
      <c r="Y518" s="12"/>
      <c r="Z518" s="12"/>
    </row>
    <row r="519" spans="1:26" ht="15" customHeight="1" x14ac:dyDescent="0.35">
      <c r="A519" s="26"/>
      <c r="B519" s="17"/>
      <c r="C519" s="17"/>
      <c r="D519" s="17"/>
      <c r="E519" s="17"/>
      <c r="F519" s="17"/>
      <c r="G519" s="17"/>
      <c r="H519" s="17"/>
      <c r="I519" s="17"/>
      <c r="J519" s="17"/>
      <c r="K519" s="17"/>
      <c r="L519" s="17"/>
      <c r="M519" s="17"/>
      <c r="N519" s="17"/>
      <c r="O519" s="17"/>
      <c r="P519" s="17"/>
      <c r="Q519" s="17"/>
      <c r="R519" s="17"/>
      <c r="S519" s="17"/>
      <c r="T519" s="17"/>
      <c r="U519" s="17"/>
      <c r="V519" s="17"/>
      <c r="W519" s="12"/>
      <c r="X519" s="12"/>
      <c r="Y519" s="12"/>
      <c r="Z519" s="12"/>
    </row>
    <row r="520" spans="1:26" ht="15" customHeight="1" x14ac:dyDescent="0.35">
      <c r="A520" s="26"/>
      <c r="B520" s="17"/>
      <c r="C520" s="17"/>
      <c r="D520" s="17"/>
      <c r="E520" s="17"/>
      <c r="F520" s="17"/>
      <c r="G520" s="17"/>
      <c r="H520" s="17"/>
      <c r="I520" s="17"/>
      <c r="J520" s="17"/>
      <c r="K520" s="17"/>
      <c r="L520" s="17"/>
      <c r="M520" s="17"/>
      <c r="N520" s="17"/>
      <c r="O520" s="17"/>
      <c r="P520" s="17"/>
      <c r="Q520" s="17"/>
      <c r="R520" s="17"/>
      <c r="S520" s="17"/>
      <c r="T520" s="17"/>
      <c r="U520" s="17"/>
      <c r="V520" s="17"/>
      <c r="W520" s="12"/>
      <c r="X520" s="12"/>
      <c r="Y520" s="12"/>
      <c r="Z520" s="12"/>
    </row>
    <row r="521" spans="1:26" ht="15" customHeight="1" x14ac:dyDescent="0.35">
      <c r="A521" s="26"/>
      <c r="B521" s="17"/>
      <c r="C521" s="17"/>
      <c r="D521" s="17"/>
      <c r="E521" s="17"/>
      <c r="F521" s="17"/>
      <c r="G521" s="17"/>
      <c r="H521" s="17"/>
      <c r="I521" s="17"/>
      <c r="J521" s="17"/>
      <c r="K521" s="17"/>
      <c r="L521" s="17"/>
      <c r="M521" s="17"/>
      <c r="N521" s="17"/>
      <c r="O521" s="17"/>
      <c r="P521" s="17"/>
      <c r="Q521" s="17"/>
      <c r="R521" s="17"/>
      <c r="S521" s="17"/>
      <c r="T521" s="17"/>
      <c r="U521" s="17"/>
      <c r="V521" s="17"/>
      <c r="W521" s="12"/>
      <c r="X521" s="12"/>
      <c r="Y521" s="12"/>
      <c r="Z521" s="12"/>
    </row>
    <row r="522" spans="1:26" ht="15" customHeight="1" x14ac:dyDescent="0.35">
      <c r="A522" s="26"/>
      <c r="B522" s="17"/>
      <c r="C522" s="17"/>
      <c r="D522" s="17"/>
      <c r="E522" s="17"/>
      <c r="F522" s="17"/>
      <c r="G522" s="17"/>
      <c r="H522" s="17"/>
      <c r="I522" s="17"/>
      <c r="J522" s="17"/>
      <c r="K522" s="17"/>
      <c r="L522" s="17"/>
      <c r="M522" s="17"/>
      <c r="N522" s="17"/>
      <c r="O522" s="17"/>
      <c r="P522" s="17"/>
      <c r="Q522" s="17"/>
      <c r="R522" s="17"/>
      <c r="S522" s="17"/>
      <c r="T522" s="17"/>
      <c r="U522" s="17"/>
      <c r="V522" s="17"/>
      <c r="W522" s="12"/>
      <c r="X522" s="12"/>
      <c r="Y522" s="12"/>
      <c r="Z522" s="12"/>
    </row>
    <row r="523" spans="1:26" ht="15" customHeight="1" x14ac:dyDescent="0.35">
      <c r="A523" s="26"/>
      <c r="B523" s="17"/>
      <c r="C523" s="17"/>
      <c r="D523" s="17"/>
      <c r="E523" s="17"/>
      <c r="F523" s="17"/>
      <c r="G523" s="17"/>
      <c r="H523" s="17"/>
      <c r="I523" s="17"/>
      <c r="J523" s="17"/>
      <c r="K523" s="17"/>
      <c r="L523" s="17"/>
      <c r="M523" s="17"/>
      <c r="N523" s="17"/>
      <c r="O523" s="17"/>
      <c r="P523" s="17"/>
      <c r="Q523" s="17"/>
      <c r="R523" s="17"/>
      <c r="S523" s="17"/>
      <c r="T523" s="17"/>
      <c r="U523" s="17"/>
      <c r="V523" s="17"/>
      <c r="W523" s="12"/>
      <c r="X523" s="12"/>
      <c r="Y523" s="12"/>
      <c r="Z523" s="12"/>
    </row>
    <row r="524" spans="1:26" ht="15" customHeight="1" x14ac:dyDescent="0.35">
      <c r="A524" s="26"/>
      <c r="B524" s="17"/>
      <c r="C524" s="17"/>
      <c r="D524" s="17"/>
      <c r="E524" s="17"/>
      <c r="F524" s="17"/>
      <c r="G524" s="17"/>
      <c r="H524" s="17"/>
      <c r="I524" s="17"/>
      <c r="J524" s="17"/>
      <c r="K524" s="17"/>
      <c r="L524" s="17"/>
      <c r="M524" s="17"/>
      <c r="N524" s="17"/>
      <c r="O524" s="17"/>
      <c r="P524" s="17"/>
      <c r="Q524" s="17"/>
      <c r="R524" s="17"/>
      <c r="S524" s="17"/>
      <c r="T524" s="17"/>
      <c r="U524" s="17"/>
      <c r="V524" s="17"/>
      <c r="W524" s="12"/>
      <c r="X524" s="12"/>
      <c r="Y524" s="12"/>
      <c r="Z524" s="12"/>
    </row>
    <row r="525" spans="1:26" ht="15" customHeight="1" x14ac:dyDescent="0.35">
      <c r="A525" s="26"/>
      <c r="B525" s="17"/>
      <c r="C525" s="17"/>
      <c r="D525" s="17"/>
      <c r="E525" s="17"/>
      <c r="F525" s="17"/>
      <c r="G525" s="17"/>
      <c r="H525" s="17"/>
      <c r="I525" s="17"/>
      <c r="J525" s="17"/>
      <c r="K525" s="17"/>
      <c r="L525" s="17"/>
      <c r="M525" s="17"/>
      <c r="N525" s="17"/>
      <c r="O525" s="17"/>
      <c r="P525" s="17"/>
      <c r="Q525" s="17"/>
      <c r="R525" s="17"/>
      <c r="S525" s="17"/>
      <c r="T525" s="17"/>
      <c r="U525" s="17"/>
      <c r="V525" s="17"/>
      <c r="W525" s="12"/>
      <c r="X525" s="12"/>
      <c r="Y525" s="12"/>
      <c r="Z525" s="12"/>
    </row>
    <row r="526" spans="1:26" ht="15" customHeight="1" x14ac:dyDescent="0.35">
      <c r="A526" s="26"/>
      <c r="B526" s="17"/>
      <c r="C526" s="17"/>
      <c r="D526" s="17"/>
      <c r="E526" s="17"/>
      <c r="F526" s="17"/>
      <c r="G526" s="17"/>
      <c r="H526" s="17"/>
      <c r="I526" s="17"/>
      <c r="J526" s="17"/>
      <c r="K526" s="17"/>
      <c r="L526" s="17"/>
      <c r="M526" s="17"/>
      <c r="N526" s="17"/>
      <c r="O526" s="17"/>
      <c r="P526" s="17"/>
      <c r="Q526" s="17"/>
      <c r="R526" s="17"/>
      <c r="S526" s="17"/>
      <c r="T526" s="17"/>
      <c r="U526" s="17"/>
      <c r="V526" s="17"/>
      <c r="W526" s="12"/>
      <c r="X526" s="12"/>
      <c r="Y526" s="12"/>
      <c r="Z526" s="12"/>
    </row>
    <row r="527" spans="1:26" ht="15" customHeight="1" x14ac:dyDescent="0.35">
      <c r="A527" s="26"/>
      <c r="B527" s="17"/>
      <c r="C527" s="17"/>
      <c r="D527" s="17"/>
      <c r="E527" s="17"/>
      <c r="F527" s="17"/>
      <c r="G527" s="17"/>
      <c r="H527" s="17"/>
      <c r="I527" s="17"/>
      <c r="J527" s="17"/>
      <c r="K527" s="17"/>
      <c r="L527" s="17"/>
      <c r="M527" s="17"/>
      <c r="N527" s="17"/>
      <c r="O527" s="17"/>
      <c r="P527" s="17"/>
      <c r="Q527" s="17"/>
      <c r="R527" s="17"/>
      <c r="S527" s="17"/>
      <c r="T527" s="17"/>
      <c r="U527" s="17"/>
      <c r="V527" s="17"/>
      <c r="W527" s="12"/>
      <c r="X527" s="12"/>
      <c r="Y527" s="12"/>
      <c r="Z527" s="12"/>
    </row>
    <row r="528" spans="1:26" ht="15" customHeight="1" x14ac:dyDescent="0.35">
      <c r="A528" s="26"/>
      <c r="B528" s="17"/>
      <c r="C528" s="17"/>
      <c r="D528" s="17"/>
      <c r="E528" s="17"/>
      <c r="F528" s="17"/>
      <c r="G528" s="17"/>
      <c r="H528" s="17"/>
      <c r="I528" s="17"/>
      <c r="J528" s="17"/>
      <c r="K528" s="17"/>
      <c r="L528" s="17"/>
      <c r="M528" s="17"/>
      <c r="N528" s="17"/>
      <c r="O528" s="17"/>
      <c r="P528" s="17"/>
      <c r="Q528" s="17"/>
      <c r="R528" s="17"/>
      <c r="S528" s="17"/>
      <c r="T528" s="17"/>
      <c r="U528" s="17"/>
      <c r="V528" s="17"/>
      <c r="W528" s="12"/>
      <c r="X528" s="12"/>
      <c r="Y528" s="12"/>
      <c r="Z528" s="12"/>
    </row>
    <row r="529" spans="1:26" ht="15" customHeight="1" x14ac:dyDescent="0.35">
      <c r="A529" s="26"/>
      <c r="B529" s="17"/>
      <c r="C529" s="17"/>
      <c r="D529" s="17"/>
      <c r="E529" s="17"/>
      <c r="F529" s="17"/>
      <c r="G529" s="17"/>
      <c r="H529" s="17"/>
      <c r="I529" s="17"/>
      <c r="J529" s="17"/>
      <c r="K529" s="17"/>
      <c r="L529" s="17"/>
      <c r="M529" s="17"/>
      <c r="N529" s="17"/>
      <c r="O529" s="17"/>
      <c r="P529" s="17"/>
      <c r="Q529" s="17"/>
      <c r="R529" s="17"/>
      <c r="S529" s="17"/>
      <c r="T529" s="17"/>
      <c r="U529" s="17"/>
      <c r="V529" s="17"/>
      <c r="W529" s="12"/>
      <c r="X529" s="12"/>
      <c r="Y529" s="12"/>
      <c r="Z529" s="12"/>
    </row>
    <row r="530" spans="1:26" ht="15" customHeight="1" x14ac:dyDescent="0.35">
      <c r="A530" s="26"/>
      <c r="B530" s="17"/>
      <c r="C530" s="17"/>
      <c r="D530" s="17"/>
      <c r="E530" s="17"/>
      <c r="F530" s="17"/>
      <c r="G530" s="17"/>
      <c r="H530" s="17"/>
      <c r="I530" s="17"/>
      <c r="J530" s="17"/>
      <c r="K530" s="17"/>
      <c r="L530" s="17"/>
      <c r="M530" s="17"/>
      <c r="N530" s="17"/>
      <c r="O530" s="17"/>
      <c r="P530" s="17"/>
      <c r="Q530" s="17"/>
      <c r="R530" s="17"/>
      <c r="S530" s="17"/>
      <c r="T530" s="17"/>
      <c r="U530" s="17"/>
      <c r="V530" s="17"/>
      <c r="W530" s="12"/>
      <c r="X530" s="12"/>
      <c r="Y530" s="12"/>
      <c r="Z530" s="12"/>
    </row>
    <row r="531" spans="1:26" ht="15" customHeight="1" x14ac:dyDescent="0.35">
      <c r="A531" s="26"/>
      <c r="B531" s="17"/>
      <c r="C531" s="17"/>
      <c r="D531" s="17"/>
      <c r="E531" s="17"/>
      <c r="F531" s="17"/>
      <c r="G531" s="17"/>
      <c r="H531" s="17"/>
      <c r="I531" s="17"/>
      <c r="J531" s="17"/>
      <c r="K531" s="17"/>
      <c r="L531" s="17"/>
      <c r="M531" s="17"/>
      <c r="N531" s="17"/>
      <c r="O531" s="17"/>
      <c r="P531" s="17"/>
      <c r="Q531" s="17"/>
      <c r="R531" s="17"/>
      <c r="S531" s="17"/>
      <c r="T531" s="17"/>
      <c r="U531" s="17"/>
      <c r="V531" s="17"/>
      <c r="W531" s="12"/>
      <c r="X531" s="12"/>
      <c r="Y531" s="12"/>
      <c r="Z531" s="12"/>
    </row>
    <row r="532" spans="1:26" ht="15" customHeight="1" x14ac:dyDescent="0.35">
      <c r="A532" s="26"/>
      <c r="B532" s="17"/>
      <c r="C532" s="17"/>
      <c r="D532" s="17"/>
      <c r="E532" s="17"/>
      <c r="F532" s="17"/>
      <c r="G532" s="17"/>
      <c r="H532" s="17"/>
      <c r="I532" s="17"/>
      <c r="J532" s="17"/>
      <c r="K532" s="17"/>
      <c r="L532" s="17"/>
      <c r="M532" s="17"/>
      <c r="N532" s="17"/>
      <c r="O532" s="17"/>
      <c r="P532" s="17"/>
      <c r="Q532" s="17"/>
      <c r="R532" s="17"/>
      <c r="S532" s="17"/>
      <c r="T532" s="17"/>
      <c r="U532" s="17"/>
      <c r="V532" s="17"/>
      <c r="W532" s="12"/>
      <c r="X532" s="12"/>
      <c r="Y532" s="12"/>
      <c r="Z532" s="12"/>
    </row>
    <row r="533" spans="1:26" ht="15" customHeight="1" x14ac:dyDescent="0.35">
      <c r="A533" s="26"/>
      <c r="B533" s="17"/>
      <c r="C533" s="17"/>
      <c r="D533" s="17"/>
      <c r="E533" s="17"/>
      <c r="F533" s="17"/>
      <c r="G533" s="17"/>
      <c r="H533" s="17"/>
      <c r="I533" s="17"/>
      <c r="J533" s="17"/>
      <c r="K533" s="17"/>
      <c r="L533" s="17"/>
      <c r="M533" s="17"/>
      <c r="N533" s="17"/>
      <c r="O533" s="17"/>
      <c r="P533" s="17"/>
      <c r="Q533" s="17"/>
      <c r="R533" s="17"/>
      <c r="S533" s="17"/>
      <c r="T533" s="17"/>
      <c r="U533" s="17"/>
      <c r="V533" s="17"/>
      <c r="W533" s="12"/>
      <c r="X533" s="12"/>
      <c r="Y533" s="12"/>
      <c r="Z533" s="12"/>
    </row>
    <row r="534" spans="1:26" ht="15" customHeight="1" x14ac:dyDescent="0.35">
      <c r="A534" s="27"/>
      <c r="B534" s="19"/>
      <c r="C534" s="19"/>
      <c r="D534" s="19"/>
      <c r="E534" s="19"/>
      <c r="F534" s="19"/>
      <c r="G534" s="19"/>
      <c r="H534" s="19"/>
      <c r="I534" s="19"/>
      <c r="J534" s="19"/>
      <c r="K534" s="19"/>
      <c r="L534" s="19"/>
      <c r="M534" s="17"/>
      <c r="N534" s="17"/>
      <c r="O534" s="17"/>
      <c r="P534" s="17"/>
      <c r="Q534" s="17"/>
      <c r="R534" s="17"/>
      <c r="S534" s="17"/>
      <c r="T534" s="17"/>
      <c r="U534" s="17"/>
      <c r="V534" s="17"/>
      <c r="W534" s="12"/>
      <c r="X534" s="12"/>
      <c r="Y534" s="12"/>
      <c r="Z534" s="12"/>
    </row>
    <row r="535" spans="1:26" ht="15" customHeight="1" x14ac:dyDescent="0.35">
      <c r="A535" s="27"/>
      <c r="B535" s="19"/>
      <c r="C535" s="19"/>
      <c r="D535" s="19"/>
      <c r="E535" s="19"/>
      <c r="F535" s="19"/>
      <c r="G535" s="19"/>
      <c r="H535" s="19"/>
      <c r="I535" s="19"/>
      <c r="J535" s="19"/>
      <c r="K535" s="19"/>
      <c r="L535" s="19"/>
      <c r="M535" s="17"/>
      <c r="N535" s="17"/>
      <c r="O535" s="17"/>
      <c r="P535" s="17"/>
      <c r="Q535" s="17"/>
      <c r="R535" s="17"/>
      <c r="S535" s="17"/>
      <c r="T535" s="17"/>
      <c r="U535" s="17"/>
      <c r="V535" s="17"/>
      <c r="W535" s="12"/>
      <c r="X535" s="12"/>
      <c r="Y535" s="12"/>
      <c r="Z535" s="12"/>
    </row>
    <row r="536" spans="1:26" ht="15" customHeight="1" x14ac:dyDescent="0.35">
      <c r="A536" s="27"/>
      <c r="B536" s="19"/>
      <c r="C536" s="19"/>
      <c r="D536" s="19"/>
      <c r="E536" s="19"/>
      <c r="F536" s="19"/>
      <c r="G536" s="19"/>
      <c r="H536" s="19"/>
      <c r="I536" s="19"/>
      <c r="J536" s="19"/>
      <c r="K536" s="19"/>
      <c r="L536" s="19"/>
      <c r="M536" s="17"/>
      <c r="N536" s="17"/>
      <c r="O536" s="17"/>
      <c r="P536" s="17"/>
      <c r="Q536" s="17"/>
      <c r="R536" s="17"/>
      <c r="S536" s="17"/>
      <c r="T536" s="17"/>
      <c r="U536" s="17"/>
      <c r="V536" s="17"/>
      <c r="W536" s="12"/>
      <c r="X536" s="12"/>
      <c r="Y536" s="12"/>
      <c r="Z536" s="12"/>
    </row>
    <row r="537" spans="1:26" ht="15" customHeight="1" x14ac:dyDescent="0.35">
      <c r="A537" s="27"/>
      <c r="B537" s="19"/>
      <c r="C537" s="19"/>
      <c r="D537" s="19"/>
      <c r="E537" s="19"/>
      <c r="F537" s="19"/>
      <c r="G537" s="19"/>
      <c r="H537" s="19"/>
      <c r="I537" s="19"/>
      <c r="J537" s="19"/>
      <c r="K537" s="19"/>
      <c r="L537" s="19"/>
      <c r="M537" s="17"/>
      <c r="N537" s="17"/>
      <c r="O537" s="17"/>
      <c r="P537" s="17"/>
      <c r="Q537" s="17"/>
      <c r="R537" s="17"/>
      <c r="S537" s="17"/>
      <c r="T537" s="17"/>
      <c r="U537" s="17"/>
      <c r="V537" s="17"/>
      <c r="W537" s="12"/>
      <c r="X537" s="12"/>
      <c r="Y537" s="12"/>
      <c r="Z537" s="12"/>
    </row>
    <row r="538" spans="1:26" ht="15" customHeight="1" x14ac:dyDescent="0.35">
      <c r="A538" s="27"/>
      <c r="B538" s="19"/>
      <c r="C538" s="19"/>
      <c r="D538" s="19"/>
      <c r="E538" s="19"/>
      <c r="F538" s="19"/>
      <c r="G538" s="19"/>
      <c r="H538" s="19"/>
      <c r="I538" s="19"/>
      <c r="J538" s="19"/>
      <c r="K538" s="19"/>
      <c r="L538" s="19"/>
      <c r="M538" s="17"/>
      <c r="N538" s="17"/>
      <c r="O538" s="17"/>
      <c r="P538" s="17"/>
      <c r="Q538" s="17"/>
      <c r="R538" s="17"/>
      <c r="S538" s="17"/>
      <c r="T538" s="17"/>
      <c r="U538" s="17"/>
      <c r="V538" s="17"/>
      <c r="W538" s="12"/>
      <c r="X538" s="12"/>
      <c r="Y538" s="12"/>
      <c r="Z538" s="12"/>
    </row>
    <row r="539" spans="1:26" ht="15" customHeight="1" x14ac:dyDescent="0.35">
      <c r="A539" s="2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 customHeight="1" x14ac:dyDescent="0.35">
      <c r="A540" s="27"/>
      <c r="B540" s="18"/>
      <c r="C540" s="18"/>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customHeight="1" x14ac:dyDescent="0.35">
      <c r="A541" s="2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 customHeight="1" x14ac:dyDescent="0.35">
      <c r="A542" s="2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 customHeight="1" x14ac:dyDescent="0.35">
      <c r="A543" s="2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 customHeight="1" x14ac:dyDescent="0.35">
      <c r="A544" s="2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 customHeight="1" x14ac:dyDescent="0.35">
      <c r="A545" s="2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 customHeight="1" x14ac:dyDescent="0.35">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 customHeight="1" x14ac:dyDescent="0.35">
      <c r="A547" s="2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 customHeight="1" x14ac:dyDescent="0.35">
      <c r="A548" s="2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 customHeight="1" x14ac:dyDescent="0.35">
      <c r="A549" s="2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 customHeight="1" x14ac:dyDescent="0.35">
      <c r="A550" s="2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 customHeight="1" x14ac:dyDescent="0.35">
      <c r="A551" s="2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 customHeight="1" x14ac:dyDescent="0.35">
      <c r="A552" s="2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 customHeight="1" x14ac:dyDescent="0.35">
      <c r="A553" s="2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 customHeight="1" x14ac:dyDescent="0.35">
      <c r="A554" s="2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 customHeight="1" x14ac:dyDescent="0.35">
      <c r="A555" s="2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 customHeight="1" x14ac:dyDescent="0.35">
      <c r="A556" s="2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 customHeight="1" x14ac:dyDescent="0.35">
      <c r="A557" s="2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 customHeight="1" x14ac:dyDescent="0.35">
      <c r="A558" s="2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 customHeight="1" x14ac:dyDescent="0.35">
      <c r="A559" s="2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 customHeight="1" x14ac:dyDescent="0.35">
      <c r="A560" s="2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 customHeight="1" x14ac:dyDescent="0.35">
      <c r="A561" s="2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 customHeight="1" x14ac:dyDescent="0.35">
      <c r="A562" s="2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 customHeight="1" x14ac:dyDescent="0.35">
      <c r="A563" s="2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 customHeight="1" x14ac:dyDescent="0.35">
      <c r="A564" s="2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 customHeight="1" x14ac:dyDescent="0.35">
      <c r="A565" s="2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 customHeight="1" x14ac:dyDescent="0.35">
      <c r="A566" s="2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 customHeight="1" x14ac:dyDescent="0.35">
      <c r="A567" s="2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 customHeight="1" x14ac:dyDescent="0.35">
      <c r="A568" s="2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 customHeight="1" x14ac:dyDescent="0.35">
      <c r="A569" s="2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 customHeight="1" x14ac:dyDescent="0.35">
      <c r="A570" s="2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 customHeight="1" x14ac:dyDescent="0.35">
      <c r="A571" s="2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 customHeight="1" x14ac:dyDescent="0.35">
      <c r="A572" s="2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 customHeight="1" x14ac:dyDescent="0.35">
      <c r="A573" s="2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 customHeight="1" x14ac:dyDescent="0.35">
      <c r="A574" s="2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 customHeight="1" x14ac:dyDescent="0.35">
      <c r="A575" s="2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 customHeight="1" x14ac:dyDescent="0.35">
      <c r="A576" s="2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 customHeight="1" x14ac:dyDescent="0.35">
      <c r="A577" s="2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 customHeight="1" x14ac:dyDescent="0.35">
      <c r="A578" s="2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 customHeight="1" x14ac:dyDescent="0.35">
      <c r="A579" s="2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 customHeight="1" x14ac:dyDescent="0.35">
      <c r="A580" s="2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 customHeight="1" x14ac:dyDescent="0.35">
      <c r="A581" s="2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 customHeight="1" x14ac:dyDescent="0.35">
      <c r="A582" s="2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 customHeight="1" x14ac:dyDescent="0.35">
      <c r="A583" s="2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 customHeight="1" x14ac:dyDescent="0.35">
      <c r="A584" s="2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 customHeight="1" x14ac:dyDescent="0.35">
      <c r="A585" s="2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 customHeight="1" x14ac:dyDescent="0.35">
      <c r="A586" s="2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 customHeight="1" x14ac:dyDescent="0.35">
      <c r="A587" s="2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 customHeight="1" x14ac:dyDescent="0.35">
      <c r="A588" s="2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 customHeight="1" x14ac:dyDescent="0.35">
      <c r="A589" s="2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 customHeight="1" x14ac:dyDescent="0.35">
      <c r="A590" s="2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 customHeight="1" x14ac:dyDescent="0.35">
      <c r="A591" s="2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 customHeight="1" x14ac:dyDescent="0.35">
      <c r="A592" s="2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 customHeight="1" x14ac:dyDescent="0.35">
      <c r="A593" s="2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 customHeight="1" x14ac:dyDescent="0.35">
      <c r="A594" s="2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 customHeight="1" x14ac:dyDescent="0.35">
      <c r="A595" s="2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 customHeight="1" x14ac:dyDescent="0.35">
      <c r="A596" s="2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 customHeight="1" x14ac:dyDescent="0.35">
      <c r="A597" s="2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 customHeight="1" x14ac:dyDescent="0.35">
      <c r="A598" s="2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 customHeight="1" x14ac:dyDescent="0.35">
      <c r="A599" s="2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 customHeight="1" x14ac:dyDescent="0.35">
      <c r="A600" s="2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 customHeight="1" x14ac:dyDescent="0.35">
      <c r="A601" s="2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 customHeight="1" x14ac:dyDescent="0.35">
      <c r="A602" s="2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 customHeight="1" x14ac:dyDescent="0.35">
      <c r="A603" s="2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 customHeight="1" x14ac:dyDescent="0.35">
      <c r="A604" s="2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 customHeight="1" x14ac:dyDescent="0.35">
      <c r="A605" s="2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 customHeight="1" x14ac:dyDescent="0.35">
      <c r="A606" s="2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 customHeight="1" x14ac:dyDescent="0.35">
      <c r="A607" s="2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 customHeight="1" x14ac:dyDescent="0.35">
      <c r="A608" s="2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 customHeight="1" x14ac:dyDescent="0.35">
      <c r="A609" s="2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 customHeight="1" x14ac:dyDescent="0.35">
      <c r="A610" s="2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 customHeight="1" x14ac:dyDescent="0.35">
      <c r="A611" s="2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 customHeight="1" x14ac:dyDescent="0.35">
      <c r="A612" s="2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 customHeight="1" x14ac:dyDescent="0.35">
      <c r="A613" s="2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 customHeight="1" x14ac:dyDescent="0.35">
      <c r="A614" s="2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 customHeight="1" x14ac:dyDescent="0.35">
      <c r="A615" s="2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 customHeight="1" x14ac:dyDescent="0.35">
      <c r="A616" s="2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 customHeight="1" x14ac:dyDescent="0.35">
      <c r="A617" s="2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 customHeight="1" x14ac:dyDescent="0.35">
      <c r="A618" s="2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 customHeight="1" x14ac:dyDescent="0.35">
      <c r="A619" s="2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 customHeight="1" x14ac:dyDescent="0.35">
      <c r="A620" s="2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 customHeight="1" x14ac:dyDescent="0.35">
      <c r="A621" s="2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 customHeight="1" x14ac:dyDescent="0.35">
      <c r="A622" s="2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 customHeight="1" x14ac:dyDescent="0.35">
      <c r="A623" s="2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 customHeight="1" x14ac:dyDescent="0.35">
      <c r="A624" s="2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 customHeight="1" x14ac:dyDescent="0.35">
      <c r="A625" s="2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 customHeight="1" x14ac:dyDescent="0.35">
      <c r="A626" s="2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 customHeight="1" x14ac:dyDescent="0.35">
      <c r="A627" s="2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 customHeight="1" x14ac:dyDescent="0.35">
      <c r="A628" s="2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 customHeight="1" x14ac:dyDescent="0.35">
      <c r="A629" s="2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 customHeight="1" x14ac:dyDescent="0.35">
      <c r="A630" s="2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 customHeight="1" x14ac:dyDescent="0.35">
      <c r="A631" s="2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 customHeight="1" x14ac:dyDescent="0.35">
      <c r="A632" s="2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 customHeight="1" x14ac:dyDescent="0.35">
      <c r="A633" s="2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 customHeight="1" x14ac:dyDescent="0.35">
      <c r="A634" s="2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 customHeight="1" x14ac:dyDescent="0.35">
      <c r="A635" s="2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 customHeight="1" x14ac:dyDescent="0.35">
      <c r="A636" s="2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 customHeight="1" x14ac:dyDescent="0.35">
      <c r="A637" s="2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 customHeight="1" x14ac:dyDescent="0.35">
      <c r="A638" s="2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 customHeight="1" x14ac:dyDescent="0.35">
      <c r="A639" s="2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 customHeight="1" x14ac:dyDescent="0.35">
      <c r="A640" s="2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 customHeight="1" x14ac:dyDescent="0.35">
      <c r="A641" s="2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 customHeight="1" x14ac:dyDescent="0.35">
      <c r="A642" s="2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 customHeight="1" x14ac:dyDescent="0.35">
      <c r="A643" s="2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 customHeight="1" x14ac:dyDescent="0.35">
      <c r="A644" s="2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 customHeight="1" x14ac:dyDescent="0.35">
      <c r="A645" s="2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 customHeight="1" x14ac:dyDescent="0.35">
      <c r="A646" s="2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 customHeight="1" x14ac:dyDescent="0.35">
      <c r="A647" s="2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 customHeight="1" x14ac:dyDescent="0.35">
      <c r="A648" s="2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 customHeight="1" x14ac:dyDescent="0.35">
      <c r="A649" s="2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 customHeight="1" x14ac:dyDescent="0.35">
      <c r="A650" s="2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 customHeight="1" x14ac:dyDescent="0.35">
      <c r="A651" s="2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 customHeight="1" x14ac:dyDescent="0.35">
      <c r="A652" s="2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 customHeight="1" x14ac:dyDescent="0.35">
      <c r="A653" s="2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 customHeight="1" x14ac:dyDescent="0.35">
      <c r="A654" s="2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 customHeight="1" x14ac:dyDescent="0.35">
      <c r="A655" s="2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 customHeight="1" x14ac:dyDescent="0.35">
      <c r="A656" s="2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 customHeight="1" x14ac:dyDescent="0.35">
      <c r="A657" s="2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 customHeight="1" x14ac:dyDescent="0.35">
      <c r="A658" s="2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 customHeight="1" x14ac:dyDescent="0.35">
      <c r="A659" s="2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 customHeight="1" x14ac:dyDescent="0.35">
      <c r="A660" s="2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 customHeight="1" x14ac:dyDescent="0.35">
      <c r="A661" s="2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 customHeight="1" x14ac:dyDescent="0.35">
      <c r="A662" s="2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 customHeight="1" x14ac:dyDescent="0.35">
      <c r="A663" s="2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 customHeight="1" x14ac:dyDescent="0.35">
      <c r="A664" s="2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 customHeight="1" x14ac:dyDescent="0.35">
      <c r="A665" s="2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 customHeight="1" x14ac:dyDescent="0.35">
      <c r="A666" s="2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 customHeight="1" x14ac:dyDescent="0.35">
      <c r="A667" s="2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 customHeight="1" x14ac:dyDescent="0.35">
      <c r="A668" s="2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 customHeight="1" x14ac:dyDescent="0.35">
      <c r="A669" s="2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 customHeight="1" x14ac:dyDescent="0.35">
      <c r="A670" s="2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 customHeight="1" x14ac:dyDescent="0.35">
      <c r="A671" s="2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 customHeight="1" x14ac:dyDescent="0.35">
      <c r="A672" s="2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 customHeight="1" x14ac:dyDescent="0.35">
      <c r="A673" s="2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 customHeight="1" x14ac:dyDescent="0.35">
      <c r="A674" s="2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 customHeight="1" x14ac:dyDescent="0.35">
      <c r="A675" s="2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 customHeight="1" x14ac:dyDescent="0.35">
      <c r="A676" s="2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 customHeight="1" x14ac:dyDescent="0.35">
      <c r="A677" s="2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 customHeight="1" x14ac:dyDescent="0.35">
      <c r="A678" s="2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 customHeight="1" x14ac:dyDescent="0.35">
      <c r="A679" s="2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 customHeight="1" x14ac:dyDescent="0.35">
      <c r="A680" s="2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 customHeight="1" x14ac:dyDescent="0.35">
      <c r="A681" s="2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 customHeight="1" x14ac:dyDescent="0.35">
      <c r="A682" s="2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 customHeight="1" x14ac:dyDescent="0.35">
      <c r="A683" s="2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 customHeight="1" x14ac:dyDescent="0.35">
      <c r="A684" s="2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 customHeight="1" x14ac:dyDescent="0.35">
      <c r="A685" s="2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 customHeight="1" x14ac:dyDescent="0.35">
      <c r="A686" s="2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 customHeight="1" x14ac:dyDescent="0.35">
      <c r="A687" s="2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 customHeight="1" x14ac:dyDescent="0.35">
      <c r="A688" s="2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 customHeight="1" x14ac:dyDescent="0.35">
      <c r="A689" s="2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 customHeight="1" x14ac:dyDescent="0.35">
      <c r="A690" s="2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 customHeight="1" x14ac:dyDescent="0.35">
      <c r="A691" s="2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 customHeight="1" x14ac:dyDescent="0.35">
      <c r="A692" s="2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 customHeight="1" x14ac:dyDescent="0.35">
      <c r="A693" s="2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 customHeight="1" x14ac:dyDescent="0.35">
      <c r="A694" s="2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 customHeight="1" x14ac:dyDescent="0.35">
      <c r="A695" s="2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 customHeight="1" x14ac:dyDescent="0.35">
      <c r="A696" s="2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 customHeight="1" x14ac:dyDescent="0.35">
      <c r="A697" s="2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 customHeight="1" x14ac:dyDescent="0.35">
      <c r="A698" s="2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 customHeight="1" x14ac:dyDescent="0.35">
      <c r="A699" s="2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 customHeight="1" x14ac:dyDescent="0.35">
      <c r="A700" s="2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 customHeight="1" x14ac:dyDescent="0.35">
      <c r="A701" s="2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 customHeight="1" x14ac:dyDescent="0.35">
      <c r="A702" s="2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 customHeight="1" x14ac:dyDescent="0.35">
      <c r="A703" s="2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 customHeight="1" x14ac:dyDescent="0.35">
      <c r="A704" s="2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 customHeight="1" x14ac:dyDescent="0.35">
      <c r="A705" s="2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 customHeight="1" x14ac:dyDescent="0.35">
      <c r="A706" s="2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 customHeight="1" x14ac:dyDescent="0.35">
      <c r="A707" s="2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 customHeight="1" x14ac:dyDescent="0.35">
      <c r="A708" s="2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 customHeight="1" x14ac:dyDescent="0.35">
      <c r="A709" s="2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 customHeight="1" x14ac:dyDescent="0.35">
      <c r="A710" s="2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 customHeight="1" x14ac:dyDescent="0.35">
      <c r="A711" s="2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 customHeight="1" x14ac:dyDescent="0.35">
      <c r="A712" s="2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 customHeight="1" x14ac:dyDescent="0.35">
      <c r="A713" s="2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 customHeight="1" x14ac:dyDescent="0.35">
      <c r="A714" s="2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 customHeight="1" x14ac:dyDescent="0.35">
      <c r="A715" s="2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 customHeight="1" x14ac:dyDescent="0.35">
      <c r="A716" s="2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 customHeight="1" x14ac:dyDescent="0.35">
      <c r="A717" s="2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 customHeight="1" x14ac:dyDescent="0.35">
      <c r="A718" s="2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 customHeight="1" x14ac:dyDescent="0.35">
      <c r="A719" s="2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 customHeight="1" x14ac:dyDescent="0.35">
      <c r="A720" s="2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 customHeight="1" x14ac:dyDescent="0.35">
      <c r="A721" s="2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 customHeight="1" x14ac:dyDescent="0.35">
      <c r="A722" s="2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 customHeight="1" x14ac:dyDescent="0.35">
      <c r="A723" s="2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 customHeight="1" x14ac:dyDescent="0.35">
      <c r="A724" s="2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 customHeight="1" x14ac:dyDescent="0.35">
      <c r="A725" s="2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 customHeight="1" x14ac:dyDescent="0.35">
      <c r="A726" s="2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 customHeight="1" x14ac:dyDescent="0.35">
      <c r="A727" s="2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 customHeight="1" x14ac:dyDescent="0.35">
      <c r="A728" s="2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 customHeight="1" x14ac:dyDescent="0.35">
      <c r="A729" s="2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 customHeight="1" x14ac:dyDescent="0.35">
      <c r="A730" s="2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 customHeight="1" x14ac:dyDescent="0.35">
      <c r="A731" s="2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 customHeight="1" x14ac:dyDescent="0.35">
      <c r="A732" s="2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 customHeight="1" x14ac:dyDescent="0.35">
      <c r="A733" s="2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 customHeight="1" x14ac:dyDescent="0.35">
      <c r="A734" s="2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 customHeight="1" x14ac:dyDescent="0.35">
      <c r="A735" s="2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 customHeight="1" x14ac:dyDescent="0.35">
      <c r="A736" s="2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 customHeight="1" x14ac:dyDescent="0.35">
      <c r="A737" s="2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 customHeight="1" x14ac:dyDescent="0.35">
      <c r="A738" s="2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 customHeight="1" x14ac:dyDescent="0.35">
      <c r="A739" s="2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 customHeight="1" x14ac:dyDescent="0.35">
      <c r="A740" s="2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 customHeight="1" x14ac:dyDescent="0.35">
      <c r="A741" s="2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 customHeight="1" x14ac:dyDescent="0.35">
      <c r="A742" s="2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 customHeight="1" x14ac:dyDescent="0.35">
      <c r="A743" s="2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 customHeight="1" x14ac:dyDescent="0.35">
      <c r="A744" s="2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 customHeight="1" x14ac:dyDescent="0.35">
      <c r="A745" s="2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 customHeight="1" x14ac:dyDescent="0.35">
      <c r="A746" s="2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 customHeight="1" x14ac:dyDescent="0.35">
      <c r="A747" s="2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 customHeight="1" x14ac:dyDescent="0.35">
      <c r="A748" s="2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 customHeight="1" x14ac:dyDescent="0.35">
      <c r="A749" s="2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 customHeight="1" x14ac:dyDescent="0.35">
      <c r="A750" s="2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 customHeight="1" x14ac:dyDescent="0.35">
      <c r="A751" s="2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 customHeight="1" x14ac:dyDescent="0.35">
      <c r="A752" s="2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 customHeight="1" x14ac:dyDescent="0.35">
      <c r="A753" s="2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 customHeight="1" x14ac:dyDescent="0.35">
      <c r="A754" s="2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 customHeight="1" x14ac:dyDescent="0.35">
      <c r="A755" s="2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 customHeight="1" x14ac:dyDescent="0.35">
      <c r="A756" s="2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 customHeight="1" x14ac:dyDescent="0.35">
      <c r="A757" s="2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 customHeight="1" x14ac:dyDescent="0.35">
      <c r="A758" s="2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 customHeight="1" x14ac:dyDescent="0.35">
      <c r="A759" s="2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 customHeight="1" x14ac:dyDescent="0.35">
      <c r="A760" s="2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 customHeight="1" x14ac:dyDescent="0.35">
      <c r="A761" s="2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 customHeight="1" x14ac:dyDescent="0.35">
      <c r="A762" s="2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 customHeight="1" x14ac:dyDescent="0.35">
      <c r="A763" s="2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 customHeight="1" x14ac:dyDescent="0.35">
      <c r="A764" s="2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 customHeight="1" x14ac:dyDescent="0.35">
      <c r="A765" s="2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 customHeight="1" x14ac:dyDescent="0.35">
      <c r="A766" s="2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 customHeight="1" x14ac:dyDescent="0.35">
      <c r="A767" s="2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 customHeight="1" x14ac:dyDescent="0.35">
      <c r="A768" s="2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 customHeight="1" x14ac:dyDescent="0.35">
      <c r="A769" s="2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 customHeight="1" x14ac:dyDescent="0.35">
      <c r="A770" s="2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 customHeight="1" x14ac:dyDescent="0.35">
      <c r="A771" s="2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 customHeight="1" x14ac:dyDescent="0.35">
      <c r="A772" s="2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 customHeight="1" x14ac:dyDescent="0.35">
      <c r="A773" s="2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 customHeight="1" x14ac:dyDescent="0.35">
      <c r="A774" s="2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 customHeight="1" x14ac:dyDescent="0.35">
      <c r="A775" s="2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 customHeight="1" x14ac:dyDescent="0.35">
      <c r="A776" s="2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 customHeight="1" x14ac:dyDescent="0.35">
      <c r="A777" s="2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 customHeight="1" x14ac:dyDescent="0.35">
      <c r="A778" s="2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 customHeight="1" x14ac:dyDescent="0.35">
      <c r="A779" s="2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 customHeight="1" x14ac:dyDescent="0.35">
      <c r="A780" s="2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 customHeight="1" x14ac:dyDescent="0.35">
      <c r="A781" s="2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 customHeight="1" x14ac:dyDescent="0.35">
      <c r="A782" s="2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 customHeight="1" x14ac:dyDescent="0.35">
      <c r="A783" s="2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 customHeight="1" x14ac:dyDescent="0.35">
      <c r="A784" s="2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 customHeight="1" x14ac:dyDescent="0.35">
      <c r="A785" s="2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 customHeight="1" x14ac:dyDescent="0.35">
      <c r="A786" s="2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 customHeight="1" x14ac:dyDescent="0.35">
      <c r="A787" s="2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 customHeight="1" x14ac:dyDescent="0.35">
      <c r="A788" s="2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 customHeight="1" x14ac:dyDescent="0.35">
      <c r="A789" s="2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 customHeight="1" x14ac:dyDescent="0.35">
      <c r="A790" s="2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 customHeight="1" x14ac:dyDescent="0.35">
      <c r="A791" s="2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 customHeight="1" x14ac:dyDescent="0.35">
      <c r="A792" s="2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 customHeight="1" x14ac:dyDescent="0.35">
      <c r="A793" s="2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 customHeight="1" x14ac:dyDescent="0.35">
      <c r="A794" s="2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 customHeight="1" x14ac:dyDescent="0.35">
      <c r="A795" s="2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 customHeight="1" x14ac:dyDescent="0.35">
      <c r="A796" s="2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 customHeight="1" x14ac:dyDescent="0.35">
      <c r="A797" s="2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 customHeight="1" x14ac:dyDescent="0.35">
      <c r="A798" s="2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 customHeight="1" x14ac:dyDescent="0.35">
      <c r="A799" s="2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 customHeight="1" x14ac:dyDescent="0.35">
      <c r="A800" s="2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 customHeight="1" x14ac:dyDescent="0.35">
      <c r="A801" s="2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 customHeight="1" x14ac:dyDescent="0.35">
      <c r="A802" s="2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 customHeight="1" x14ac:dyDescent="0.35">
      <c r="A803" s="2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 customHeight="1" x14ac:dyDescent="0.35">
      <c r="A804" s="2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 customHeight="1" x14ac:dyDescent="0.35">
      <c r="A805" s="2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 customHeight="1" x14ac:dyDescent="0.35">
      <c r="A806" s="2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 customHeight="1" x14ac:dyDescent="0.35">
      <c r="A807" s="2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 customHeight="1" x14ac:dyDescent="0.35">
      <c r="A808" s="2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 customHeight="1" x14ac:dyDescent="0.35">
      <c r="A809" s="2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 customHeight="1" x14ac:dyDescent="0.35">
      <c r="A810" s="2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 customHeight="1" x14ac:dyDescent="0.35">
      <c r="A811" s="2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 customHeight="1" x14ac:dyDescent="0.35">
      <c r="A812" s="2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 customHeight="1" x14ac:dyDescent="0.35">
      <c r="A813" s="2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 customHeight="1" x14ac:dyDescent="0.35">
      <c r="A814" s="2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 customHeight="1" x14ac:dyDescent="0.35">
      <c r="A815" s="2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 customHeight="1" x14ac:dyDescent="0.35">
      <c r="A816" s="2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 customHeight="1" x14ac:dyDescent="0.35">
      <c r="A817" s="2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 customHeight="1" x14ac:dyDescent="0.35">
      <c r="A818" s="2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 customHeight="1" x14ac:dyDescent="0.35">
      <c r="A819" s="2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 customHeight="1" x14ac:dyDescent="0.35">
      <c r="A820" s="2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 customHeight="1" x14ac:dyDescent="0.35">
      <c r="A821" s="2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 customHeight="1" x14ac:dyDescent="0.35">
      <c r="A822" s="2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 customHeight="1" x14ac:dyDescent="0.35">
      <c r="A823" s="2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 customHeight="1" x14ac:dyDescent="0.35">
      <c r="A824" s="2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 customHeight="1" x14ac:dyDescent="0.35">
      <c r="A825" s="2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 customHeight="1" x14ac:dyDescent="0.35">
      <c r="A826" s="2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 customHeight="1" x14ac:dyDescent="0.35">
      <c r="A827" s="2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 customHeight="1" x14ac:dyDescent="0.35">
      <c r="A828" s="2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 customHeight="1" x14ac:dyDescent="0.35">
      <c r="A829" s="2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 customHeight="1" x14ac:dyDescent="0.35">
      <c r="A830" s="2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 customHeight="1" x14ac:dyDescent="0.35">
      <c r="A831" s="2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 customHeight="1" x14ac:dyDescent="0.35">
      <c r="A832" s="2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 customHeight="1" x14ac:dyDescent="0.35">
      <c r="A833" s="2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 customHeight="1" x14ac:dyDescent="0.35">
      <c r="A834" s="2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 customHeight="1" x14ac:dyDescent="0.35">
      <c r="A835" s="2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 customHeight="1" x14ac:dyDescent="0.35">
      <c r="A836" s="2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 customHeight="1" x14ac:dyDescent="0.35">
      <c r="A837" s="2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 customHeight="1" x14ac:dyDescent="0.35">
      <c r="A838" s="2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 customHeight="1" x14ac:dyDescent="0.35">
      <c r="A839" s="2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 customHeight="1" x14ac:dyDescent="0.35">
      <c r="A840" s="2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 customHeight="1" x14ac:dyDescent="0.35">
      <c r="A841" s="2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 customHeight="1" x14ac:dyDescent="0.35">
      <c r="A842" s="2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 customHeight="1" x14ac:dyDescent="0.35">
      <c r="A843" s="2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 customHeight="1" x14ac:dyDescent="0.35">
      <c r="A844" s="2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 customHeight="1" x14ac:dyDescent="0.35">
      <c r="A845" s="2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 customHeight="1" x14ac:dyDescent="0.35">
      <c r="A846" s="2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 customHeight="1" x14ac:dyDescent="0.35">
      <c r="A847" s="2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 customHeight="1" x14ac:dyDescent="0.35">
      <c r="A848" s="2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 customHeight="1" x14ac:dyDescent="0.35">
      <c r="A849" s="2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 customHeight="1" x14ac:dyDescent="0.35">
      <c r="A850" s="2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 customHeight="1" x14ac:dyDescent="0.35">
      <c r="A851" s="2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 customHeight="1" x14ac:dyDescent="0.35">
      <c r="A852" s="2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 customHeight="1" x14ac:dyDescent="0.35">
      <c r="A853" s="2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 customHeight="1" x14ac:dyDescent="0.35">
      <c r="A854" s="2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 customHeight="1" x14ac:dyDescent="0.35">
      <c r="A855" s="2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 customHeight="1" x14ac:dyDescent="0.35">
      <c r="A856" s="2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 customHeight="1" x14ac:dyDescent="0.35">
      <c r="A857" s="2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 customHeight="1" x14ac:dyDescent="0.35">
      <c r="A858" s="2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 customHeight="1" x14ac:dyDescent="0.35">
      <c r="A859" s="2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 customHeight="1" x14ac:dyDescent="0.35">
      <c r="A860" s="2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 customHeight="1" x14ac:dyDescent="0.35">
      <c r="A861" s="2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 customHeight="1" x14ac:dyDescent="0.35">
      <c r="A862" s="2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 customHeight="1" x14ac:dyDescent="0.35">
      <c r="A863" s="2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 customHeight="1" x14ac:dyDescent="0.35">
      <c r="A864" s="2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 customHeight="1" x14ac:dyDescent="0.35">
      <c r="A865" s="2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 customHeight="1" x14ac:dyDescent="0.35">
      <c r="A866" s="2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 customHeight="1" x14ac:dyDescent="0.35">
      <c r="A867" s="2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 customHeight="1" x14ac:dyDescent="0.35">
      <c r="A868" s="2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 customHeight="1" x14ac:dyDescent="0.35">
      <c r="A869" s="2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 customHeight="1" x14ac:dyDescent="0.35">
      <c r="A870" s="2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 customHeight="1" x14ac:dyDescent="0.35">
      <c r="A871" s="2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 customHeight="1" x14ac:dyDescent="0.35">
      <c r="A872" s="2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 customHeight="1" x14ac:dyDescent="0.35">
      <c r="A873" s="2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 customHeight="1" x14ac:dyDescent="0.35">
      <c r="A874" s="2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 customHeight="1" x14ac:dyDescent="0.35">
      <c r="A875" s="2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 customHeight="1" x14ac:dyDescent="0.35">
      <c r="A876" s="2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 customHeight="1" x14ac:dyDescent="0.35">
      <c r="A877" s="2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 customHeight="1" x14ac:dyDescent="0.35">
      <c r="A878" s="2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 customHeight="1" x14ac:dyDescent="0.35">
      <c r="A879" s="2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 customHeight="1" x14ac:dyDescent="0.35">
      <c r="A880" s="2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 customHeight="1" x14ac:dyDescent="0.35">
      <c r="A881" s="2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 customHeight="1" x14ac:dyDescent="0.35">
      <c r="A882" s="2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 customHeight="1" x14ac:dyDescent="0.35">
      <c r="A883" s="2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 customHeight="1" x14ac:dyDescent="0.35">
      <c r="A884" s="2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 customHeight="1" x14ac:dyDescent="0.35">
      <c r="A885" s="2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 customHeight="1" x14ac:dyDescent="0.35">
      <c r="A886" s="2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 customHeight="1" x14ac:dyDescent="0.35">
      <c r="A887" s="2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 customHeight="1" x14ac:dyDescent="0.35">
      <c r="A888" s="2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 customHeight="1" x14ac:dyDescent="0.35">
      <c r="A889" s="2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 customHeight="1" x14ac:dyDescent="0.35">
      <c r="A890" s="2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 customHeight="1" x14ac:dyDescent="0.35">
      <c r="A891" s="2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 customHeight="1" x14ac:dyDescent="0.35">
      <c r="A892" s="2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 customHeight="1" x14ac:dyDescent="0.35">
      <c r="A893" s="2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 customHeight="1" x14ac:dyDescent="0.35">
      <c r="A894" s="2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 customHeight="1" x14ac:dyDescent="0.35">
      <c r="A895" s="2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 customHeight="1" x14ac:dyDescent="0.35">
      <c r="A896" s="2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 customHeight="1" x14ac:dyDescent="0.35">
      <c r="A897" s="2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 customHeight="1" x14ac:dyDescent="0.35">
      <c r="A898" s="2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 customHeight="1" x14ac:dyDescent="0.35">
      <c r="A899" s="2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 customHeight="1" x14ac:dyDescent="0.35">
      <c r="A900" s="2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 customHeight="1" x14ac:dyDescent="0.35">
      <c r="A901" s="2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 customHeight="1" x14ac:dyDescent="0.35">
      <c r="A902" s="2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 customHeight="1" x14ac:dyDescent="0.35">
      <c r="A903" s="2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 customHeight="1" x14ac:dyDescent="0.35">
      <c r="A904" s="2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 customHeight="1" x14ac:dyDescent="0.35">
      <c r="A905" s="2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 customHeight="1" x14ac:dyDescent="0.35">
      <c r="A906" s="2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 customHeight="1" x14ac:dyDescent="0.35">
      <c r="A907" s="2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 customHeight="1" x14ac:dyDescent="0.35">
      <c r="A908" s="2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 customHeight="1" x14ac:dyDescent="0.35">
      <c r="A909" s="2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 customHeight="1" x14ac:dyDescent="0.35">
      <c r="A910" s="2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 customHeight="1" x14ac:dyDescent="0.35">
      <c r="A911" s="2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 customHeight="1" x14ac:dyDescent="0.35">
      <c r="A912" s="2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 customHeight="1" x14ac:dyDescent="0.35">
      <c r="A913" s="2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 customHeight="1" x14ac:dyDescent="0.35">
      <c r="A914" s="2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 customHeight="1" x14ac:dyDescent="0.35">
      <c r="A915" s="2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 customHeight="1" x14ac:dyDescent="0.35">
      <c r="A916" s="2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 customHeight="1" x14ac:dyDescent="0.35">
      <c r="A917" s="2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 customHeight="1" x14ac:dyDescent="0.35">
      <c r="A918" s="2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 customHeight="1" x14ac:dyDescent="0.35">
      <c r="A919" s="2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 customHeight="1" x14ac:dyDescent="0.35">
      <c r="A920" s="2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 customHeight="1" x14ac:dyDescent="0.35">
      <c r="A921" s="2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 customHeight="1" x14ac:dyDescent="0.35">
      <c r="A922" s="2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 customHeight="1" x14ac:dyDescent="0.35">
      <c r="A923" s="2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 customHeight="1" x14ac:dyDescent="0.35">
      <c r="A924" s="2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 customHeight="1" x14ac:dyDescent="0.35">
      <c r="A925" s="2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 customHeight="1" x14ac:dyDescent="0.35">
      <c r="A926" s="2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 customHeight="1" x14ac:dyDescent="0.35">
      <c r="A927" s="2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 customHeight="1" x14ac:dyDescent="0.35">
      <c r="A928" s="2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 customHeight="1" x14ac:dyDescent="0.35">
      <c r="A929" s="2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 customHeight="1" x14ac:dyDescent="0.35">
      <c r="A930" s="2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 customHeight="1" x14ac:dyDescent="0.35">
      <c r="A931" s="2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 customHeight="1" x14ac:dyDescent="0.35">
      <c r="A932" s="2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 customHeight="1" x14ac:dyDescent="0.35">
      <c r="A933" s="2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 customHeight="1" x14ac:dyDescent="0.35">
      <c r="A934" s="2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 customHeight="1" x14ac:dyDescent="0.35">
      <c r="A935" s="2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 customHeight="1" x14ac:dyDescent="0.35">
      <c r="A936" s="2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 customHeight="1" x14ac:dyDescent="0.35">
      <c r="A937" s="2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 customHeight="1" x14ac:dyDescent="0.35">
      <c r="A938" s="2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 customHeight="1" x14ac:dyDescent="0.35">
      <c r="A939" s="2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 customHeight="1" x14ac:dyDescent="0.35">
      <c r="A940" s="2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 customHeight="1" x14ac:dyDescent="0.35">
      <c r="A941" s="2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 customHeight="1" x14ac:dyDescent="0.35">
      <c r="A942" s="2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 customHeight="1" x14ac:dyDescent="0.35">
      <c r="A943" s="2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 customHeight="1" x14ac:dyDescent="0.35">
      <c r="A944" s="2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 customHeight="1" x14ac:dyDescent="0.35">
      <c r="A945" s="2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 customHeight="1" x14ac:dyDescent="0.35">
      <c r="A946" s="2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 customHeight="1" x14ac:dyDescent="0.35">
      <c r="A947" s="2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 customHeight="1" x14ac:dyDescent="0.35">
      <c r="A948" s="2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 customHeight="1" x14ac:dyDescent="0.35">
      <c r="A949" s="2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 customHeight="1" x14ac:dyDescent="0.35">
      <c r="A950" s="2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 customHeight="1" x14ac:dyDescent="0.35">
      <c r="A951" s="2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 customHeight="1" x14ac:dyDescent="0.35">
      <c r="A952" s="2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 customHeight="1" x14ac:dyDescent="0.35">
      <c r="A953" s="2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 customHeight="1" x14ac:dyDescent="0.35">
      <c r="A954" s="2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 customHeight="1" x14ac:dyDescent="0.35">
      <c r="A955" s="2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 customHeight="1" x14ac:dyDescent="0.35">
      <c r="A956" s="2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 customHeight="1" x14ac:dyDescent="0.35">
      <c r="A957" s="2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 customHeight="1" x14ac:dyDescent="0.35">
      <c r="A958" s="2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 customHeight="1" x14ac:dyDescent="0.35">
      <c r="A959" s="2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 customHeight="1" x14ac:dyDescent="0.35">
      <c r="A960" s="2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 customHeight="1" x14ac:dyDescent="0.35">
      <c r="A961" s="2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 customHeight="1" x14ac:dyDescent="0.35">
      <c r="A962" s="2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 customHeight="1" x14ac:dyDescent="0.35">
      <c r="A963" s="2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 customHeight="1" x14ac:dyDescent="0.35">
      <c r="A964" s="2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 customHeight="1" x14ac:dyDescent="0.35">
      <c r="A965" s="2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 customHeight="1" x14ac:dyDescent="0.35">
      <c r="A966" s="2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 customHeight="1" x14ac:dyDescent="0.35">
      <c r="A967" s="2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 customHeight="1" x14ac:dyDescent="0.35">
      <c r="A968" s="2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 customHeight="1" x14ac:dyDescent="0.35">
      <c r="A969" s="2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 customHeight="1" x14ac:dyDescent="0.35">
      <c r="A970" s="2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 customHeight="1" x14ac:dyDescent="0.35">
      <c r="A971" s="2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 customHeight="1" x14ac:dyDescent="0.35">
      <c r="A972" s="2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 customHeight="1" x14ac:dyDescent="0.35">
      <c r="A973" s="2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 customHeight="1" x14ac:dyDescent="0.35">
      <c r="A974" s="2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 customHeight="1" x14ac:dyDescent="0.35">
      <c r="A975" s="2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 customHeight="1" x14ac:dyDescent="0.35">
      <c r="A976" s="2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 customHeight="1" x14ac:dyDescent="0.35">
      <c r="A977" s="2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 customHeight="1" x14ac:dyDescent="0.35">
      <c r="A978" s="2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 customHeight="1" x14ac:dyDescent="0.35">
      <c r="A979" s="2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 customHeight="1" x14ac:dyDescent="0.35">
      <c r="A980" s="2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 customHeight="1" x14ac:dyDescent="0.35">
      <c r="A981" s="2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 customHeight="1" x14ac:dyDescent="0.35">
      <c r="A982" s="2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 customHeight="1" x14ac:dyDescent="0.35">
      <c r="A983" s="2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 customHeight="1" x14ac:dyDescent="0.35">
      <c r="A984" s="2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 customHeight="1" x14ac:dyDescent="0.35">
      <c r="A985" s="2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 customHeight="1" x14ac:dyDescent="0.35">
      <c r="A986" s="2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 customHeight="1" x14ac:dyDescent="0.35">
      <c r="A987" s="2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 customHeight="1" x14ac:dyDescent="0.35">
      <c r="A988" s="2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 customHeight="1" x14ac:dyDescent="0.35">
      <c r="A989" s="2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 customHeight="1" x14ac:dyDescent="0.35">
      <c r="A990" s="2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 customHeight="1" x14ac:dyDescent="0.35">
      <c r="A991" s="2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 customHeight="1" x14ac:dyDescent="0.35">
      <c r="A992" s="2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 customHeight="1" x14ac:dyDescent="0.35">
      <c r="A993" s="2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 customHeight="1" x14ac:dyDescent="0.35">
      <c r="A994" s="2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 customHeight="1" x14ac:dyDescent="0.35">
      <c r="A995" s="2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 customHeight="1" x14ac:dyDescent="0.35">
      <c r="A996" s="2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 customHeight="1" x14ac:dyDescent="0.35">
      <c r="A997" s="2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 customHeight="1" x14ac:dyDescent="0.35">
      <c r="A998" s="2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 customHeight="1" x14ac:dyDescent="0.35">
      <c r="A999" s="2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 customHeight="1" x14ac:dyDescent="0.35">
      <c r="A1000" s="27"/>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8">
    <mergeCell ref="R1:V1"/>
    <mergeCell ref="G1:G2"/>
    <mergeCell ref="B1:B2"/>
    <mergeCell ref="A1:A2"/>
    <mergeCell ref="C1:E1"/>
    <mergeCell ref="F1:F2"/>
    <mergeCell ref="H1:L1"/>
    <mergeCell ref="M1:Q1"/>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Theory</vt:lpstr>
      <vt:lpstr>HSP</vt:lpstr>
      <vt:lpstr>API + Cosmetic Actives</vt:lpstr>
      <vt:lpstr>Cosmetics</vt:lpstr>
      <vt:lpstr>Fatty esters</vt:lpstr>
      <vt:lpstr>Fragrances</vt:lpstr>
      <vt:lpstr>Particles</vt:lpstr>
      <vt:lpstr>Polymers</vt:lpstr>
      <vt:lpstr>Surfactants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Bev</dc:creator>
  <cp:lastModifiedBy>rudy1</cp:lastModifiedBy>
  <dcterms:created xsi:type="dcterms:W3CDTF">2019-02-25T10:53:29Z</dcterms:created>
  <dcterms:modified xsi:type="dcterms:W3CDTF">2021-07-22T11:37:45Z</dcterms:modified>
</cp:coreProperties>
</file>