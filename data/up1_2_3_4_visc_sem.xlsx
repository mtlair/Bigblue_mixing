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kema-my.sharepoint.com/personal/a6131250_arkema_com/Documents/finish_model/"/>
    </mc:Choice>
  </mc:AlternateContent>
  <xr:revisionPtr revIDLastSave="7" documentId="8_{8CBE0929-3F08-4ACF-800D-7399D7C69A21}" xr6:coauthVersionLast="47" xr6:coauthVersionMax="47" xr10:uidLastSave="{942968FD-E942-4A03-B0F2-4A39AE5AC748}"/>
  <bookViews>
    <workbookView xWindow="19090" yWindow="-15040" windowWidth="38620" windowHeight="21100" xr2:uid="{C900D49F-5873-4F17-88DC-CFF44F40CE34}"/>
  </bookViews>
  <sheets>
    <sheet name="up1_2_3_4_psd" sheetId="1" r:id="rId1"/>
    <sheet name="sem_sample_no_filename" sheetId="6" r:id="rId2"/>
    <sheet name="up3_1" sheetId="3" r:id="rId3"/>
    <sheet name="up3_2" sheetId="4" r:id="rId4"/>
    <sheet name="up3_3" sheetId="5" r:id="rId5"/>
    <sheet name="up3_4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3" i="1" l="1"/>
  <c r="J16" i="1"/>
  <c r="I16" i="1"/>
  <c r="H16" i="1"/>
  <c r="J15" i="1"/>
  <c r="I15" i="1"/>
  <c r="H15" i="1"/>
  <c r="J14" i="1"/>
  <c r="I14" i="1"/>
  <c r="H14" i="1"/>
  <c r="J13" i="1"/>
  <c r="I13" i="1"/>
  <c r="H13" i="1"/>
</calcChain>
</file>

<file path=xl/sharedStrings.xml><?xml version="1.0" encoding="utf-8"?>
<sst xmlns="http://schemas.openxmlformats.org/spreadsheetml/2006/main" count="93" uniqueCount="56">
  <si>
    <t>time</t>
  </si>
  <si>
    <t>d10</t>
  </si>
  <si>
    <t>d20</t>
  </si>
  <si>
    <t>d30</t>
  </si>
  <si>
    <t>d40</t>
  </si>
  <si>
    <t>d50</t>
  </si>
  <si>
    <t>d60</t>
  </si>
  <si>
    <t>d70</t>
  </si>
  <si>
    <t>d80</t>
  </si>
  <si>
    <t>d90</t>
  </si>
  <si>
    <t>d99</t>
  </si>
  <si>
    <t>up1_feed_solid%</t>
  </si>
  <si>
    <t>up1_scfh</t>
  </si>
  <si>
    <t>up1feed_rho</t>
  </si>
  <si>
    <t>up1_exit_temp</t>
  </si>
  <si>
    <t>up1_feed_lbhr</t>
  </si>
  <si>
    <t>up2_h2o_lbhr</t>
  </si>
  <si>
    <t>up4atom_scfm</t>
  </si>
  <si>
    <t>up4_Tin</t>
  </si>
  <si>
    <t>up4_Tout</t>
  </si>
  <si>
    <t>max_up4atom_psig</t>
  </si>
  <si>
    <t>up1_vtip</t>
  </si>
  <si>
    <t>up3_solid%</t>
  </si>
  <si>
    <t>up3_drum_rpm</t>
  </si>
  <si>
    <t>up3_scroll_rpm</t>
  </si>
  <si>
    <t>up3_drum_hz</t>
  </si>
  <si>
    <t>up3_Fg</t>
  </si>
  <si>
    <t>up3_scroll_diff</t>
  </si>
  <si>
    <t>up3_1</t>
  </si>
  <si>
    <t>up3_2</t>
  </si>
  <si>
    <t>up3_3</t>
  </si>
  <si>
    <t>up3_4</t>
  </si>
  <si>
    <t>cond</t>
  </si>
  <si>
    <t>s</t>
  </si>
  <si>
    <t>Pa.s</t>
  </si>
  <si>
    <t>Pa</t>
  </si>
  <si>
    <t>1/s</t>
  </si>
  <si>
    <t>°C</t>
  </si>
  <si>
    <t>step_time</t>
  </si>
  <si>
    <t>Viscosity</t>
  </si>
  <si>
    <t>Stress</t>
  </si>
  <si>
    <t>shear_rate</t>
  </si>
  <si>
    <t>temp</t>
  </si>
  <si>
    <t>up2_psig</t>
  </si>
  <si>
    <t>up1_psig</t>
  </si>
  <si>
    <t>up4_pump_inlet_psig</t>
  </si>
  <si>
    <t>Sample No</t>
  </si>
  <si>
    <t>2022105_1705</t>
  </si>
  <si>
    <t>2022106_1350</t>
  </si>
  <si>
    <t>2022106_1515</t>
  </si>
  <si>
    <t>2022106_1742</t>
  </si>
  <si>
    <t>filename</t>
  </si>
  <si>
    <t>SEM_X &lt;sample no&gt;_&lt;a/b/null&gt;&lt;magnification&gt;&lt;k/null&gt;x0</t>
  </si>
  <si>
    <t>filename w/ k -&gt; &lt;magnification&gt; * 1000</t>
  </si>
  <si>
    <t>up3_rho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</si>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</sst>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0" fontId="3" fillId="0" borderId="0" xfId="2"/>
    <xf numFmtId="0" fontId="0" fillId="0" borderId="0" xfId="0" applyAlignment="1">
      <alignment vertical="center" wrapText="1"/>
    </xf>
    <xf numFmtId="165" fontId="0" fillId="0" borderId="0" xfId="0" applyNumberFormat="1"/>
    <xf numFmtId="0" fontId="0" fillId="0" borderId="0" xfId="1" applyNumberFormat="1" applyFont="1" applyBorder="1"/>
    <xf numFmtId="166" fontId="0" fillId="0" borderId="0" xfId="0" applyNumberFormat="1"/>
    <xf numFmtId="0" fontId="0" fillId="0" borderId="0" xfId="1" applyNumberFormat="1" applyFont="1" applyFill="1" applyBorder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1" fontId="5" fillId="0" borderId="0" xfId="0" applyNumberFormat="1" applyFont="1" applyAlignment="1">
      <alignment vertical="center" wrapText="1"/>
    </xf>
    <xf numFmtId="0" fontId="6" fillId="0" borderId="0" xfId="0" applyFont="1" applyAlignment="1">
      <alignment horizontal="center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3531-B7A6-45F3-88FD-ABB00CDC4AA5}">
  <dimension ref="A3:AO18"/>
  <sheetViews>
    <sheetView tabSelected="1" workbookViewId="0">
      <selection activeCell="L15" sqref="L15"/>
    </sheetView>
  </sheetViews>
  <sheetFormatPr defaultRowHeight="15" x14ac:dyDescent="0.25"/>
  <cols>
    <col min="1" max="1" width="14.85546875" bestFit="1" customWidth="1"/>
    <col min="4" max="4" width="14.28515625" bestFit="1" customWidth="1"/>
    <col min="5" max="5" width="15.85546875" bestFit="1" customWidth="1"/>
    <col min="9" max="9" width="12.140625" bestFit="1" customWidth="1"/>
    <col min="10" max="10" width="14.28515625" bestFit="1" customWidth="1"/>
    <col min="11" max="11" width="13.5703125" bestFit="1" customWidth="1"/>
    <col min="12" max="12" width="12" bestFit="1" customWidth="1"/>
    <col min="13" max="13" width="13.5703125" bestFit="1" customWidth="1"/>
    <col min="15" max="15" width="10.42578125" bestFit="1" customWidth="1"/>
    <col min="16" max="16" width="14.85546875" bestFit="1" customWidth="1"/>
    <col min="17" max="17" width="12.42578125" bestFit="1" customWidth="1"/>
    <col min="18" max="19" width="14.85546875" bestFit="1" customWidth="1"/>
    <col min="20" max="20" width="19.85546875" bestFit="1" customWidth="1"/>
    <col min="21" max="21" width="18.42578125" bestFit="1" customWidth="1"/>
    <col min="22" max="22" width="17.5703125" bestFit="1" customWidth="1"/>
    <col min="23" max="23" width="18.42578125" bestFit="1" customWidth="1"/>
    <col min="24" max="24" width="22.85546875" bestFit="1" customWidth="1"/>
    <col min="25" max="25" width="18.42578125" bestFit="1" customWidth="1"/>
    <col min="26" max="26" width="18.5703125" bestFit="1" customWidth="1"/>
    <col min="27" max="28" width="17.5703125" bestFit="1" customWidth="1"/>
    <col min="29" max="31" width="12.140625" bestFit="1" customWidth="1"/>
    <col min="32" max="32" width="12" bestFit="1" customWidth="1"/>
  </cols>
  <sheetData>
    <row r="3" spans="1:34" x14ac:dyDescent="0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6" spans="1:34" x14ac:dyDescent="0.25">
      <c r="A6" s="2"/>
      <c r="J6" s="3"/>
      <c r="P6" s="4"/>
      <c r="W6" s="3"/>
      <c r="X6" s="3"/>
      <c r="Y6" s="3"/>
      <c r="Z6" s="3"/>
      <c r="AA6" s="3"/>
      <c r="AB6" s="3"/>
      <c r="AC6" s="3"/>
      <c r="AD6" s="3"/>
      <c r="AE6" s="3"/>
      <c r="AF6" s="3"/>
      <c r="AG6" s="5"/>
    </row>
    <row r="12" spans="1:34" x14ac:dyDescent="0.25">
      <c r="A12" t="s">
        <v>0</v>
      </c>
      <c r="C12" t="s">
        <v>32</v>
      </c>
      <c r="D12" t="s">
        <v>21</v>
      </c>
      <c r="E12" t="s">
        <v>11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22</v>
      </c>
      <c r="L12" t="s">
        <v>54</v>
      </c>
      <c r="M12" t="s">
        <v>14</v>
      </c>
      <c r="N12" t="s">
        <v>12</v>
      </c>
      <c r="O12" t="s">
        <v>44</v>
      </c>
      <c r="P12" t="s">
        <v>15</v>
      </c>
      <c r="Q12" t="s">
        <v>13</v>
      </c>
      <c r="R12" t="s">
        <v>16</v>
      </c>
      <c r="S12" t="s">
        <v>43</v>
      </c>
      <c r="T12" t="s">
        <v>45</v>
      </c>
      <c r="U12" t="s">
        <v>20</v>
      </c>
      <c r="V12" t="s">
        <v>18</v>
      </c>
      <c r="W12" t="s">
        <v>19</v>
      </c>
      <c r="X12" t="s">
        <v>17</v>
      </c>
      <c r="Y12" t="s">
        <v>1</v>
      </c>
      <c r="Z12" t="s">
        <v>2</v>
      </c>
      <c r="AA12" t="s">
        <v>3</v>
      </c>
      <c r="AB12" t="s">
        <v>4</v>
      </c>
      <c r="AC12" t="s">
        <v>5</v>
      </c>
      <c r="AD12" t="s">
        <v>6</v>
      </c>
      <c r="AE12" t="s">
        <v>7</v>
      </c>
      <c r="AF12" t="s">
        <v>8</v>
      </c>
      <c r="AG12" t="s">
        <v>9</v>
      </c>
      <c r="AH12" t="s">
        <v>10</v>
      </c>
    </row>
    <row r="13" spans="1:34" x14ac:dyDescent="0.25">
      <c r="A13" s="2">
        <v>44897.684027777781</v>
      </c>
      <c r="B13" s="2"/>
      <c r="C13" t="s">
        <v>28</v>
      </c>
      <c r="D13">
        <v>16.439521245304078</v>
      </c>
      <c r="E13">
        <v>25</v>
      </c>
      <c r="F13">
        <v>1754</v>
      </c>
      <c r="G13">
        <v>1254</v>
      </c>
      <c r="H13" s="7">
        <f t="shared" ref="H13:H16" si="0">F13/67.4</f>
        <v>26.023738872403559</v>
      </c>
      <c r="I13" s="3">
        <f t="shared" ref="I13:I16" si="1">0.0000142*(250/25.4)*(F13)^2</f>
        <v>429.98550393700788</v>
      </c>
      <c r="J13" s="3">
        <f t="shared" ref="J13:J16" si="2">(F13-G13)/25</f>
        <v>20</v>
      </c>
      <c r="K13" s="8">
        <v>40.699999999999996</v>
      </c>
      <c r="L13">
        <f>1000*1.11730058759368</f>
        <v>1117.3005875936799</v>
      </c>
      <c r="M13" s="9">
        <v>54.862543083327509</v>
      </c>
      <c r="N13" s="9">
        <v>2.0029660970610452</v>
      </c>
      <c r="O13">
        <v>6.1762985710808795</v>
      </c>
      <c r="P13">
        <v>249.84084534693039</v>
      </c>
      <c r="Q13">
        <v>1117.8551466209185</v>
      </c>
      <c r="R13">
        <v>49.266746007838101</v>
      </c>
      <c r="S13">
        <v>3.8436210977817455</v>
      </c>
      <c r="T13">
        <v>5.5154063119856893</v>
      </c>
      <c r="U13">
        <v>9.0511291492312171</v>
      </c>
      <c r="V13">
        <v>143.05950015585958</v>
      </c>
      <c r="W13">
        <v>89.55836832824582</v>
      </c>
      <c r="X13">
        <v>42.046659283415501</v>
      </c>
      <c r="Y13" s="3">
        <v>5.63</v>
      </c>
      <c r="Z13" s="3">
        <v>6.8</v>
      </c>
      <c r="AA13" s="3">
        <v>7.84</v>
      </c>
      <c r="AB13" s="3">
        <v>8.94</v>
      </c>
      <c r="AC13" s="3">
        <v>10.199999999999999</v>
      </c>
      <c r="AD13" s="3">
        <v>11.78</v>
      </c>
      <c r="AE13" s="3">
        <v>13.95</v>
      </c>
      <c r="AF13" s="3">
        <v>17.37</v>
      </c>
      <c r="AG13" s="3">
        <v>24.51</v>
      </c>
      <c r="AH13" s="3">
        <v>60.36</v>
      </c>
    </row>
    <row r="14" spans="1:34" x14ac:dyDescent="0.25">
      <c r="A14" s="2">
        <v>44902.488194444442</v>
      </c>
      <c r="B14" s="2"/>
      <c r="C14" t="s">
        <v>29</v>
      </c>
      <c r="D14">
        <v>18.120530314065213</v>
      </c>
      <c r="E14">
        <v>25</v>
      </c>
      <c r="F14">
        <v>2106</v>
      </c>
      <c r="G14">
        <v>1169</v>
      </c>
      <c r="H14" s="7">
        <f t="shared" si="0"/>
        <v>31.246290801186941</v>
      </c>
      <c r="I14" s="3">
        <f t="shared" si="1"/>
        <v>619.8853464566929</v>
      </c>
      <c r="J14" s="3">
        <f t="shared" si="2"/>
        <v>37.479999999999997</v>
      </c>
      <c r="K14" s="10">
        <v>42.67</v>
      </c>
      <c r="L14" t="s">
        <v>55</v>
      </c>
      <c r="M14" s="9">
        <v>69.187853905185278</v>
      </c>
      <c r="N14" s="9">
        <v>1.7039065370073709</v>
      </c>
      <c r="O14">
        <v>7.8159805052006606</v>
      </c>
      <c r="P14">
        <v>210.49802667261454</v>
      </c>
      <c r="Q14">
        <v>1119.134818548516</v>
      </c>
      <c r="R14">
        <v>44.435180355957272</v>
      </c>
      <c r="S14">
        <v>5.4751390645001949</v>
      </c>
      <c r="T14">
        <v>6.8166300620246947</v>
      </c>
      <c r="U14">
        <v>5.7164127095854571</v>
      </c>
      <c r="V14">
        <v>143.24550079985025</v>
      </c>
      <c r="W14">
        <v>89.577456737604635</v>
      </c>
      <c r="X14">
        <v>42.631066545074766</v>
      </c>
      <c r="Y14" s="3">
        <v>5.47</v>
      </c>
      <c r="Z14" s="3">
        <v>6.43</v>
      </c>
      <c r="AA14" s="3">
        <v>7.21</v>
      </c>
      <c r="AB14" s="3">
        <v>7.95</v>
      </c>
      <c r="AC14" s="3">
        <v>8.7200000000000006</v>
      </c>
      <c r="AD14" s="3">
        <v>9.58</v>
      </c>
      <c r="AE14" s="3">
        <v>10.65</v>
      </c>
      <c r="AF14" s="3">
        <v>12.19</v>
      </c>
      <c r="AG14" s="3">
        <v>15.04</v>
      </c>
      <c r="AH14" s="3">
        <v>29.54</v>
      </c>
    </row>
    <row r="15" spans="1:34" x14ac:dyDescent="0.25">
      <c r="A15" s="2">
        <v>44902.617361111108</v>
      </c>
      <c r="B15" s="2"/>
      <c r="C15" t="s">
        <v>30</v>
      </c>
      <c r="D15">
        <v>18.108556658942508</v>
      </c>
      <c r="E15">
        <v>25</v>
      </c>
      <c r="F15">
        <v>1687</v>
      </c>
      <c r="G15">
        <v>858</v>
      </c>
      <c r="H15" s="7">
        <f t="shared" si="0"/>
        <v>25.029673590504448</v>
      </c>
      <c r="I15" s="3">
        <f t="shared" si="1"/>
        <v>397.76338385826773</v>
      </c>
      <c r="J15" s="3">
        <f t="shared" si="2"/>
        <v>33.159999999999997</v>
      </c>
      <c r="K15">
        <v>40.61</v>
      </c>
      <c r="L15" t="s">
        <v>55</v>
      </c>
      <c r="M15" s="9">
        <v>69.783755549506239</v>
      </c>
      <c r="N15" s="9">
        <v>1.6848634501351447</v>
      </c>
      <c r="O15">
        <v>8.7460671876334128</v>
      </c>
      <c r="P15">
        <v>210.71118390043938</v>
      </c>
      <c r="Q15">
        <v>1119.1426495276828</v>
      </c>
      <c r="R15">
        <v>43.190461259870943</v>
      </c>
      <c r="S15">
        <v>6.3633997869721881</v>
      </c>
      <c r="T15">
        <v>6.821196379106274</v>
      </c>
      <c r="U15">
        <v>7.2893810221016775</v>
      </c>
      <c r="V15">
        <v>143.15324319939018</v>
      </c>
      <c r="W15">
        <v>89.843329784203675</v>
      </c>
      <c r="X15">
        <v>42.446493159999214</v>
      </c>
      <c r="Y15" s="3">
        <v>5.48</v>
      </c>
      <c r="Z15" s="3">
        <v>6.54</v>
      </c>
      <c r="AA15" s="3">
        <v>7.4</v>
      </c>
      <c r="AB15" s="3">
        <v>8.2100000000000009</v>
      </c>
      <c r="AC15" s="3">
        <v>9.07</v>
      </c>
      <c r="AD15" s="3">
        <v>10.039999999999999</v>
      </c>
      <c r="AE15" s="3">
        <v>11.24</v>
      </c>
      <c r="AF15" s="3">
        <v>12.95</v>
      </c>
      <c r="AG15" s="3">
        <v>16.2</v>
      </c>
      <c r="AH15" s="3">
        <v>34.119999999999997</v>
      </c>
    </row>
    <row r="16" spans="1:34" x14ac:dyDescent="0.25">
      <c r="A16" s="2">
        <v>44902.736111111109</v>
      </c>
      <c r="B16" s="2"/>
      <c r="C16" t="s">
        <v>31</v>
      </c>
      <c r="D16">
        <v>19.279125684726509</v>
      </c>
      <c r="E16">
        <v>25</v>
      </c>
      <c r="F16">
        <v>1687</v>
      </c>
      <c r="G16">
        <v>858</v>
      </c>
      <c r="H16" s="7">
        <f t="shared" si="0"/>
        <v>25.029673590504448</v>
      </c>
      <c r="I16" s="3">
        <f t="shared" si="1"/>
        <v>397.76338385826773</v>
      </c>
      <c r="J16" s="3">
        <f t="shared" si="2"/>
        <v>33.159999999999997</v>
      </c>
      <c r="K16" s="10">
        <v>38.769999999999996</v>
      </c>
      <c r="L16" t="s">
        <v>55</v>
      </c>
      <c r="M16" s="9">
        <v>72.697462817981162</v>
      </c>
      <c r="N16" s="9">
        <v>1.6917484043088089</v>
      </c>
      <c r="O16">
        <v>7.219743511024566</v>
      </c>
      <c r="P16">
        <v>209.7389322170647</v>
      </c>
      <c r="Q16">
        <v>1119.1364610310998</v>
      </c>
      <c r="R16">
        <v>41.59117947795383</v>
      </c>
      <c r="S16">
        <v>4.8625446341352427</v>
      </c>
      <c r="T16">
        <v>6.8051230768750326</v>
      </c>
      <c r="U16">
        <v>10.956673315364013</v>
      </c>
      <c r="V16">
        <v>143.37329390211156</v>
      </c>
      <c r="W16">
        <v>89.869115447647999</v>
      </c>
      <c r="X16">
        <v>56.105365272337373</v>
      </c>
      <c r="Y16" s="3">
        <v>5.39</v>
      </c>
      <c r="Z16" s="3">
        <v>6.37</v>
      </c>
      <c r="AA16" s="3">
        <v>7.15</v>
      </c>
      <c r="AB16" s="3">
        <v>7.9</v>
      </c>
      <c r="AC16" s="3">
        <v>8.67</v>
      </c>
      <c r="AD16" s="3">
        <v>9.5299999999999994</v>
      </c>
      <c r="AE16" s="3">
        <v>10.59</v>
      </c>
      <c r="AF16" s="3">
        <v>12.11</v>
      </c>
      <c r="AG16" s="3">
        <v>14.9</v>
      </c>
      <c r="AH16" s="3">
        <v>29.26</v>
      </c>
    </row>
    <row r="17" spans="32:41" x14ac:dyDescent="0.25"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32:41" x14ac:dyDescent="0.25">
      <c r="AF18" s="3"/>
      <c r="AG18" s="3"/>
      <c r="AH18" s="3"/>
      <c r="AI18" s="3"/>
      <c r="AJ18" s="3"/>
      <c r="AK18" s="3"/>
      <c r="AL18" s="3"/>
      <c r="AM18" s="3"/>
      <c r="AN18" s="3"/>
      <c r="AO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8C9E-3EFD-424F-9097-0BA9305184BD}">
  <dimension ref="D6:K10"/>
  <sheetViews>
    <sheetView workbookViewId="0">
      <selection activeCell="I20" sqref="I20"/>
    </sheetView>
  </sheetViews>
  <sheetFormatPr defaultRowHeight="15" x14ac:dyDescent="0.25"/>
  <cols>
    <col min="4" max="4" width="13.28515625" bestFit="1" customWidth="1"/>
    <col min="5" max="5" width="14.85546875" bestFit="1" customWidth="1"/>
    <col min="6" max="6" width="13.28515625" bestFit="1" customWidth="1"/>
    <col min="11" max="11" width="14.85546875" bestFit="1" customWidth="1"/>
  </cols>
  <sheetData>
    <row r="6" spans="4:11" x14ac:dyDescent="0.25">
      <c r="D6" t="s">
        <v>46</v>
      </c>
      <c r="E6" t="s">
        <v>32</v>
      </c>
      <c r="H6" t="s">
        <v>51</v>
      </c>
    </row>
    <row r="7" spans="4:11" x14ac:dyDescent="0.25">
      <c r="D7">
        <v>114641</v>
      </c>
      <c r="E7" t="s">
        <v>28</v>
      </c>
      <c r="F7" t="s">
        <v>47</v>
      </c>
      <c r="H7" t="s">
        <v>52</v>
      </c>
      <c r="K7" s="2"/>
    </row>
    <row r="8" spans="4:11" x14ac:dyDescent="0.25">
      <c r="D8">
        <v>114642</v>
      </c>
      <c r="E8" t="s">
        <v>29</v>
      </c>
      <c r="F8" t="s">
        <v>48</v>
      </c>
      <c r="K8" s="2"/>
    </row>
    <row r="9" spans="4:11" x14ac:dyDescent="0.25">
      <c r="D9">
        <v>114643</v>
      </c>
      <c r="E9" t="s">
        <v>30</v>
      </c>
      <c r="F9" t="s">
        <v>49</v>
      </c>
      <c r="H9" t="s">
        <v>53</v>
      </c>
      <c r="K9" s="2"/>
    </row>
    <row r="10" spans="4:11" x14ac:dyDescent="0.25">
      <c r="D10">
        <v>114644</v>
      </c>
      <c r="E10" t="s">
        <v>31</v>
      </c>
      <c r="F10" t="s">
        <v>50</v>
      </c>
      <c r="K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2B6E-CDE9-492B-A350-57B04D2C8823}">
  <dimension ref="B4:F25"/>
  <sheetViews>
    <sheetView workbookViewId="0">
      <selection activeCell="B4" sqref="B4:F25"/>
    </sheetView>
  </sheetViews>
  <sheetFormatPr defaultRowHeight="15" x14ac:dyDescent="0.25"/>
  <sheetData>
    <row r="4" spans="2:6" x14ac:dyDescent="0.25">
      <c r="B4" s="14" t="s">
        <v>33</v>
      </c>
      <c r="C4" s="14" t="s">
        <v>34</v>
      </c>
      <c r="D4" s="14" t="s">
        <v>35</v>
      </c>
      <c r="E4" s="14" t="s">
        <v>36</v>
      </c>
      <c r="F4" s="14" t="s">
        <v>37</v>
      </c>
    </row>
    <row r="5" spans="2:6" ht="25.5" x14ac:dyDescent="0.25">
      <c r="B5" s="14" t="s">
        <v>38</v>
      </c>
      <c r="C5" s="14" t="s">
        <v>39</v>
      </c>
      <c r="D5" s="14" t="s">
        <v>40</v>
      </c>
      <c r="E5" s="14" t="s">
        <v>41</v>
      </c>
      <c r="F5" s="14" t="s">
        <v>42</v>
      </c>
    </row>
    <row r="6" spans="2:6" x14ac:dyDescent="0.25">
      <c r="B6" s="6">
        <v>15.000299999999999</v>
      </c>
      <c r="C6" s="6">
        <v>324.72300000000001</v>
      </c>
      <c r="D6" s="6">
        <v>103.343</v>
      </c>
      <c r="E6" s="6">
        <v>0.318249</v>
      </c>
      <c r="F6" s="6">
        <v>24.9</v>
      </c>
    </row>
    <row r="7" spans="2:6" x14ac:dyDescent="0.25">
      <c r="B7" s="6">
        <v>30.000299999999999</v>
      </c>
      <c r="C7" s="6">
        <v>242.696</v>
      </c>
      <c r="D7" s="6">
        <v>122.416</v>
      </c>
      <c r="E7" s="6">
        <v>0.50440099999999999</v>
      </c>
      <c r="F7" s="6">
        <v>24.92</v>
      </c>
    </row>
    <row r="8" spans="2:6" x14ac:dyDescent="0.25">
      <c r="B8" s="6">
        <v>45.000300000000003</v>
      </c>
      <c r="C8" s="6">
        <v>176.32599999999999</v>
      </c>
      <c r="D8" s="6">
        <v>140.959</v>
      </c>
      <c r="E8" s="6">
        <v>0.79942299999999999</v>
      </c>
      <c r="F8" s="6">
        <v>24.92</v>
      </c>
    </row>
    <row r="9" spans="2:6" x14ac:dyDescent="0.25">
      <c r="B9" s="6">
        <v>60.000300000000003</v>
      </c>
      <c r="C9" s="6">
        <v>126.20399999999999</v>
      </c>
      <c r="D9" s="6">
        <v>159.893</v>
      </c>
      <c r="E9" s="6">
        <v>1.26694</v>
      </c>
      <c r="F9" s="6">
        <v>24.94</v>
      </c>
    </row>
    <row r="10" spans="2:6" x14ac:dyDescent="0.25">
      <c r="B10" s="6">
        <v>75.000299999999996</v>
      </c>
      <c r="C10" s="6">
        <v>81.513099999999994</v>
      </c>
      <c r="D10" s="6">
        <v>163.673</v>
      </c>
      <c r="E10" s="6">
        <v>2.0079400000000001</v>
      </c>
      <c r="F10" s="6">
        <v>24.95</v>
      </c>
    </row>
    <row r="11" spans="2:6" x14ac:dyDescent="0.25">
      <c r="B11" s="6">
        <v>90.000299999999996</v>
      </c>
      <c r="C11" s="6">
        <v>42.929000000000002</v>
      </c>
      <c r="D11" s="6">
        <v>136.614</v>
      </c>
      <c r="E11" s="6">
        <v>3.1823399999999999</v>
      </c>
      <c r="F11" s="6">
        <v>24.96</v>
      </c>
    </row>
    <row r="12" spans="2:6" x14ac:dyDescent="0.25">
      <c r="B12" s="6">
        <v>105</v>
      </c>
      <c r="C12" s="6">
        <v>28.328499999999998</v>
      </c>
      <c r="D12" s="6">
        <v>142.876</v>
      </c>
      <c r="E12" s="6">
        <v>5.0435400000000001</v>
      </c>
      <c r="F12" s="6">
        <v>24.99</v>
      </c>
    </row>
    <row r="13" spans="2:6" x14ac:dyDescent="0.25">
      <c r="B13" s="6">
        <v>120</v>
      </c>
      <c r="C13" s="6">
        <v>18.362300000000001</v>
      </c>
      <c r="D13" s="6">
        <v>146.773</v>
      </c>
      <c r="E13" s="6">
        <v>7.9931799999999997</v>
      </c>
      <c r="F13" s="6">
        <v>25.01</v>
      </c>
    </row>
    <row r="14" spans="2:6" x14ac:dyDescent="0.25">
      <c r="B14" s="6">
        <v>135</v>
      </c>
      <c r="C14" s="6">
        <v>11.992900000000001</v>
      </c>
      <c r="D14" s="6">
        <v>151.93600000000001</v>
      </c>
      <c r="E14" s="6">
        <v>12.668799999999999</v>
      </c>
      <c r="F14" s="6">
        <v>25.01</v>
      </c>
    </row>
    <row r="15" spans="2:6" x14ac:dyDescent="0.25">
      <c r="B15" s="6">
        <v>150</v>
      </c>
      <c r="C15" s="6">
        <v>8.0966199999999997</v>
      </c>
      <c r="D15" s="6">
        <v>162.56399999999999</v>
      </c>
      <c r="E15" s="6">
        <v>20.077999999999999</v>
      </c>
      <c r="F15" s="6">
        <v>25.02</v>
      </c>
    </row>
    <row r="16" spans="2:6" x14ac:dyDescent="0.25">
      <c r="B16" s="6">
        <v>165</v>
      </c>
      <c r="C16" s="6">
        <v>5.5653699999999997</v>
      </c>
      <c r="D16" s="6">
        <v>177.09399999999999</v>
      </c>
      <c r="E16" s="6">
        <v>31.820699999999999</v>
      </c>
      <c r="F16" s="6">
        <v>25.03</v>
      </c>
    </row>
    <row r="17" spans="2:6" x14ac:dyDescent="0.25">
      <c r="B17" s="6">
        <v>180</v>
      </c>
      <c r="C17" s="6">
        <v>3.8743099999999999</v>
      </c>
      <c r="D17" s="6">
        <v>195.392</v>
      </c>
      <c r="E17" s="6">
        <v>50.432499999999997</v>
      </c>
      <c r="F17" s="6">
        <v>25.04</v>
      </c>
    </row>
    <row r="18" spans="2:6" x14ac:dyDescent="0.25">
      <c r="B18" s="6">
        <v>195</v>
      </c>
      <c r="C18" s="6">
        <v>2.5734699999999999</v>
      </c>
      <c r="D18" s="6">
        <v>205.70599999999999</v>
      </c>
      <c r="E18" s="6">
        <v>79.933199999999999</v>
      </c>
      <c r="F18" s="6">
        <v>25.04</v>
      </c>
    </row>
    <row r="19" spans="2:6" x14ac:dyDescent="0.25">
      <c r="B19" s="6">
        <v>210</v>
      </c>
      <c r="C19" s="6">
        <v>1.7726500000000001</v>
      </c>
      <c r="D19" s="6">
        <v>224.56899999999999</v>
      </c>
      <c r="E19" s="6">
        <v>126.685</v>
      </c>
      <c r="F19" s="6">
        <v>25.04</v>
      </c>
    </row>
    <row r="20" spans="2:6" x14ac:dyDescent="0.25">
      <c r="B20" s="6">
        <v>225</v>
      </c>
      <c r="C20" s="6">
        <v>1.1616200000000001</v>
      </c>
      <c r="D20" s="6">
        <v>233.23</v>
      </c>
      <c r="E20" s="6">
        <v>200.78</v>
      </c>
      <c r="F20" s="6">
        <v>25.05</v>
      </c>
    </row>
    <row r="21" spans="2:6" x14ac:dyDescent="0.25">
      <c r="B21" s="6">
        <v>240</v>
      </c>
      <c r="C21" s="6">
        <v>0.47514600000000001</v>
      </c>
      <c r="D21" s="6">
        <v>151.19999999999999</v>
      </c>
      <c r="E21" s="6">
        <v>318.21800000000002</v>
      </c>
      <c r="F21" s="6">
        <v>25.05</v>
      </c>
    </row>
    <row r="22" spans="2:6" x14ac:dyDescent="0.25">
      <c r="B22" s="6">
        <v>255</v>
      </c>
      <c r="C22" s="6">
        <v>0.21161199999999999</v>
      </c>
      <c r="D22" s="6">
        <v>106.724</v>
      </c>
      <c r="E22" s="6">
        <v>504.339</v>
      </c>
      <c r="F22" s="6">
        <v>25.04</v>
      </c>
    </row>
    <row r="23" spans="2:6" x14ac:dyDescent="0.25">
      <c r="B23" s="6">
        <v>270</v>
      </c>
      <c r="C23" s="6">
        <v>0.174348</v>
      </c>
      <c r="D23" s="6">
        <v>139.36000000000001</v>
      </c>
      <c r="E23" s="6">
        <v>799.31700000000001</v>
      </c>
      <c r="F23" s="6">
        <v>25.04</v>
      </c>
    </row>
    <row r="24" spans="2:6" x14ac:dyDescent="0.25">
      <c r="B24" s="6">
        <v>285</v>
      </c>
      <c r="C24" s="6">
        <v>0.14884900000000001</v>
      </c>
      <c r="D24" s="6">
        <v>188.56800000000001</v>
      </c>
      <c r="E24" s="6">
        <v>1266.8399999999999</v>
      </c>
      <c r="F24" s="6">
        <v>25.02</v>
      </c>
    </row>
    <row r="25" spans="2:6" x14ac:dyDescent="0.25">
      <c r="B25" s="6">
        <v>300</v>
      </c>
      <c r="C25" s="6">
        <v>9.4809099999999993E-2</v>
      </c>
      <c r="D25" s="6">
        <v>179.11500000000001</v>
      </c>
      <c r="E25" s="6">
        <v>1889.22</v>
      </c>
      <c r="F25" s="6">
        <v>25.03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75E5-8083-4212-8F3F-D8C610E4ABEA}">
  <dimension ref="B4:F25"/>
  <sheetViews>
    <sheetView workbookViewId="0">
      <selection activeCell="G40" sqref="G40"/>
    </sheetView>
  </sheetViews>
  <sheetFormatPr defaultRowHeight="15" x14ac:dyDescent="0.25"/>
  <sheetData>
    <row r="4" spans="2:6" x14ac:dyDescent="0.25">
      <c r="B4" s="11" t="s">
        <v>33</v>
      </c>
      <c r="C4" s="11" t="s">
        <v>34</v>
      </c>
      <c r="D4" s="11" t="s">
        <v>35</v>
      </c>
      <c r="E4" s="11" t="s">
        <v>36</v>
      </c>
      <c r="F4" s="11" t="s">
        <v>37</v>
      </c>
    </row>
    <row r="5" spans="2:6" ht="25.5" x14ac:dyDescent="0.25">
      <c r="B5" s="11" t="s">
        <v>38</v>
      </c>
      <c r="C5" s="11" t="s">
        <v>39</v>
      </c>
      <c r="D5" s="11" t="s">
        <v>40</v>
      </c>
      <c r="E5" s="11" t="s">
        <v>41</v>
      </c>
      <c r="F5" s="11" t="s">
        <v>42</v>
      </c>
    </row>
    <row r="6" spans="2:6" x14ac:dyDescent="0.25">
      <c r="B6" s="12">
        <v>15.000299999999999</v>
      </c>
      <c r="C6" s="12">
        <v>638.48500000000001</v>
      </c>
      <c r="D6" s="12">
        <v>203.245</v>
      </c>
      <c r="E6" s="12">
        <v>0.31832300000000002</v>
      </c>
      <c r="F6" s="12">
        <v>24.76</v>
      </c>
    </row>
    <row r="7" spans="2:6" x14ac:dyDescent="0.25">
      <c r="B7" s="12">
        <v>30.000299999999999</v>
      </c>
      <c r="C7" s="12">
        <v>448.197</v>
      </c>
      <c r="D7" s="12">
        <v>226.13</v>
      </c>
      <c r="E7" s="12">
        <v>0.50453199999999998</v>
      </c>
      <c r="F7" s="12">
        <v>24.83</v>
      </c>
    </row>
    <row r="8" spans="2:6" x14ac:dyDescent="0.25">
      <c r="B8" s="12">
        <v>45.000300000000003</v>
      </c>
      <c r="C8" s="12">
        <v>316.94499999999999</v>
      </c>
      <c r="D8" s="12">
        <v>253.44800000000001</v>
      </c>
      <c r="E8" s="12">
        <v>0.79965900000000001</v>
      </c>
      <c r="F8" s="12">
        <v>24.91</v>
      </c>
    </row>
    <row r="9" spans="2:6" x14ac:dyDescent="0.25">
      <c r="B9" s="12">
        <v>60.000300000000003</v>
      </c>
      <c r="C9" s="12">
        <v>226.59700000000001</v>
      </c>
      <c r="D9" s="12">
        <v>287.17099999999999</v>
      </c>
      <c r="E9" s="12">
        <v>1.26732</v>
      </c>
      <c r="F9" s="12">
        <v>24.97</v>
      </c>
    </row>
    <row r="10" spans="2:6" x14ac:dyDescent="0.25">
      <c r="B10" s="12">
        <v>75.000299999999996</v>
      </c>
      <c r="C10" s="12">
        <v>156.52699999999999</v>
      </c>
      <c r="D10" s="12">
        <v>314.387</v>
      </c>
      <c r="E10" s="12">
        <v>2.0085199999999999</v>
      </c>
      <c r="F10" s="12">
        <v>25.05</v>
      </c>
    </row>
    <row r="11" spans="2:6" x14ac:dyDescent="0.25">
      <c r="B11" s="12">
        <v>90.000299999999996</v>
      </c>
      <c r="C11" s="12">
        <v>80.064400000000006</v>
      </c>
      <c r="D11" s="12">
        <v>254.88800000000001</v>
      </c>
      <c r="E11" s="12">
        <v>3.1835399999999998</v>
      </c>
      <c r="F11" s="12">
        <v>25.08</v>
      </c>
    </row>
    <row r="12" spans="2:6" x14ac:dyDescent="0.25">
      <c r="B12" s="12">
        <v>105</v>
      </c>
      <c r="C12" s="12">
        <v>43.174700000000001</v>
      </c>
      <c r="D12" s="12">
        <v>217.822</v>
      </c>
      <c r="E12" s="12">
        <v>5.04514</v>
      </c>
      <c r="F12" s="12">
        <v>25.13</v>
      </c>
    </row>
    <row r="13" spans="2:6" x14ac:dyDescent="0.25">
      <c r="B13" s="12">
        <v>120</v>
      </c>
      <c r="C13" s="12">
        <v>29.406600000000001</v>
      </c>
      <c r="D13" s="12">
        <v>235.14</v>
      </c>
      <c r="E13" s="12">
        <v>7.9961599999999997</v>
      </c>
      <c r="F13" s="12">
        <v>25.15</v>
      </c>
    </row>
    <row r="14" spans="2:6" x14ac:dyDescent="0.25">
      <c r="B14" s="12">
        <v>135</v>
      </c>
      <c r="C14" s="12">
        <v>18.837900000000001</v>
      </c>
      <c r="D14" s="12">
        <v>238.721</v>
      </c>
      <c r="E14" s="12">
        <v>12.6724</v>
      </c>
      <c r="F14" s="12">
        <v>25.16</v>
      </c>
    </row>
    <row r="15" spans="2:6" x14ac:dyDescent="0.25">
      <c r="B15" s="12">
        <v>150</v>
      </c>
      <c r="C15" s="12">
        <v>12.2933</v>
      </c>
      <c r="D15" s="12">
        <v>246.90199999999999</v>
      </c>
      <c r="E15" s="12">
        <v>20.084399999999999</v>
      </c>
      <c r="F15" s="12">
        <v>25.17</v>
      </c>
    </row>
    <row r="16" spans="2:6" x14ac:dyDescent="0.25">
      <c r="B16" s="12">
        <v>165</v>
      </c>
      <c r="C16" s="12">
        <v>8.2373600000000007</v>
      </c>
      <c r="D16" s="12">
        <v>262.20400000000001</v>
      </c>
      <c r="E16" s="12">
        <v>31.831099999999999</v>
      </c>
      <c r="F16" s="12">
        <v>25.16</v>
      </c>
    </row>
    <row r="17" spans="2:6" x14ac:dyDescent="0.25">
      <c r="B17" s="12">
        <v>180</v>
      </c>
      <c r="C17" s="12">
        <v>5.4910600000000001</v>
      </c>
      <c r="D17" s="12">
        <v>277.03100000000001</v>
      </c>
      <c r="E17" s="12">
        <v>50.4512</v>
      </c>
      <c r="F17" s="12">
        <v>25.15</v>
      </c>
    </row>
    <row r="18" spans="2:6" x14ac:dyDescent="0.25">
      <c r="B18" s="12">
        <v>195</v>
      </c>
      <c r="C18" s="12">
        <v>3.7642699999999998</v>
      </c>
      <c r="D18" s="12">
        <v>300.98899999999998</v>
      </c>
      <c r="E18" s="12">
        <v>79.959500000000006</v>
      </c>
      <c r="F18" s="12">
        <v>25.13</v>
      </c>
    </row>
    <row r="19" spans="2:6" x14ac:dyDescent="0.25">
      <c r="B19" s="12">
        <v>210</v>
      </c>
      <c r="C19" s="12">
        <v>2.58968</v>
      </c>
      <c r="D19" s="12">
        <v>328.19200000000001</v>
      </c>
      <c r="E19" s="12">
        <v>126.73099999999999</v>
      </c>
      <c r="F19" s="12">
        <v>25.11</v>
      </c>
    </row>
    <row r="20" spans="2:6" x14ac:dyDescent="0.25">
      <c r="B20" s="12">
        <v>225</v>
      </c>
      <c r="C20" s="12">
        <v>1.5803199999999999</v>
      </c>
      <c r="D20" s="12">
        <v>317.37900000000002</v>
      </c>
      <c r="E20" s="12">
        <v>200.83199999999999</v>
      </c>
      <c r="F20" s="12">
        <v>25.09</v>
      </c>
    </row>
    <row r="21" spans="2:6" x14ac:dyDescent="0.25">
      <c r="B21" s="12">
        <v>240</v>
      </c>
      <c r="C21" s="12">
        <v>0.84790200000000004</v>
      </c>
      <c r="D21" s="12">
        <v>269.91199999999998</v>
      </c>
      <c r="E21" s="12">
        <v>318.32900000000001</v>
      </c>
      <c r="F21" s="12">
        <v>25.05</v>
      </c>
    </row>
    <row r="22" spans="2:6" x14ac:dyDescent="0.25">
      <c r="B22" s="12">
        <v>255</v>
      </c>
      <c r="C22" s="12">
        <v>0.313448</v>
      </c>
      <c r="D22" s="12">
        <v>158.13</v>
      </c>
      <c r="E22" s="12">
        <v>504.48500000000001</v>
      </c>
      <c r="F22" s="12">
        <v>25.04</v>
      </c>
    </row>
    <row r="23" spans="2:6" x14ac:dyDescent="0.25">
      <c r="B23" s="12">
        <v>270</v>
      </c>
      <c r="C23" s="12">
        <v>8.9107699999999998E-2</v>
      </c>
      <c r="D23" s="12">
        <v>71.245599999999996</v>
      </c>
      <c r="E23" s="12">
        <v>799.54399999999998</v>
      </c>
      <c r="F23" s="12">
        <v>25.03</v>
      </c>
    </row>
    <row r="24" spans="2:6" x14ac:dyDescent="0.25">
      <c r="B24" s="12">
        <v>285</v>
      </c>
      <c r="C24" s="12">
        <v>2.4506300000000002E-2</v>
      </c>
      <c r="D24" s="12">
        <v>31.053000000000001</v>
      </c>
      <c r="E24" s="12">
        <v>1267.1400000000001</v>
      </c>
      <c r="F24" s="12">
        <v>25.01</v>
      </c>
    </row>
    <row r="25" spans="2:6" x14ac:dyDescent="0.25">
      <c r="B25" s="12">
        <v>300</v>
      </c>
      <c r="C25" s="13">
        <v>4.1812500000000001E-3</v>
      </c>
      <c r="D25" s="12">
        <v>7.90123</v>
      </c>
      <c r="E25" s="12">
        <v>1889.68</v>
      </c>
      <c r="F25" s="12">
        <v>24.99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D4D2-165C-40BF-A46E-9916485A1B96}">
  <dimension ref="B3:F24"/>
  <sheetViews>
    <sheetView workbookViewId="0">
      <selection activeCell="H14" sqref="H14"/>
    </sheetView>
  </sheetViews>
  <sheetFormatPr defaultRowHeight="15" x14ac:dyDescent="0.25"/>
  <sheetData>
    <row r="3" spans="2:6" x14ac:dyDescent="0.25">
      <c r="B3" s="14" t="s">
        <v>33</v>
      </c>
      <c r="C3" s="14" t="s">
        <v>34</v>
      </c>
      <c r="D3" s="14" t="s">
        <v>35</v>
      </c>
      <c r="E3" s="14" t="s">
        <v>36</v>
      </c>
      <c r="F3" s="14" t="s">
        <v>37</v>
      </c>
    </row>
    <row r="4" spans="2:6" ht="25.5" x14ac:dyDescent="0.25"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</row>
    <row r="5" spans="2:6" x14ac:dyDescent="0.25">
      <c r="B5" s="6">
        <v>15.000299999999999</v>
      </c>
      <c r="C5" s="6">
        <v>324.72300000000001</v>
      </c>
      <c r="D5" s="6">
        <v>103.343</v>
      </c>
      <c r="E5" s="6">
        <v>0.318249</v>
      </c>
      <c r="F5" s="6">
        <v>24.9</v>
      </c>
    </row>
    <row r="6" spans="2:6" x14ac:dyDescent="0.25">
      <c r="B6" s="6">
        <v>30.000299999999999</v>
      </c>
      <c r="C6" s="6">
        <v>242.696</v>
      </c>
      <c r="D6" s="6">
        <v>122.416</v>
      </c>
      <c r="E6" s="6">
        <v>0.50440099999999999</v>
      </c>
      <c r="F6" s="6">
        <v>24.92</v>
      </c>
    </row>
    <row r="7" spans="2:6" x14ac:dyDescent="0.25">
      <c r="B7" s="6">
        <v>45.000300000000003</v>
      </c>
      <c r="C7" s="6">
        <v>176.32599999999999</v>
      </c>
      <c r="D7" s="6">
        <v>140.959</v>
      </c>
      <c r="E7" s="6">
        <v>0.79942299999999999</v>
      </c>
      <c r="F7" s="6">
        <v>24.92</v>
      </c>
    </row>
    <row r="8" spans="2:6" x14ac:dyDescent="0.25">
      <c r="B8" s="6">
        <v>60.000300000000003</v>
      </c>
      <c r="C8" s="6">
        <v>126.20399999999999</v>
      </c>
      <c r="D8" s="6">
        <v>159.893</v>
      </c>
      <c r="E8" s="6">
        <v>1.26694</v>
      </c>
      <c r="F8" s="6">
        <v>24.94</v>
      </c>
    </row>
    <row r="9" spans="2:6" x14ac:dyDescent="0.25">
      <c r="B9" s="6">
        <v>75.000299999999996</v>
      </c>
      <c r="C9" s="6">
        <v>81.513099999999994</v>
      </c>
      <c r="D9" s="6">
        <v>163.673</v>
      </c>
      <c r="E9" s="6">
        <v>2.0079400000000001</v>
      </c>
      <c r="F9" s="6">
        <v>24.95</v>
      </c>
    </row>
    <row r="10" spans="2:6" x14ac:dyDescent="0.25">
      <c r="B10" s="6">
        <v>90.000299999999996</v>
      </c>
      <c r="C10" s="6">
        <v>42.929000000000002</v>
      </c>
      <c r="D10" s="6">
        <v>136.614</v>
      </c>
      <c r="E10" s="6">
        <v>3.1823399999999999</v>
      </c>
      <c r="F10" s="6">
        <v>24.96</v>
      </c>
    </row>
    <row r="11" spans="2:6" x14ac:dyDescent="0.25">
      <c r="B11" s="6">
        <v>105</v>
      </c>
      <c r="C11" s="6">
        <v>28.328499999999998</v>
      </c>
      <c r="D11" s="6">
        <v>142.876</v>
      </c>
      <c r="E11" s="6">
        <v>5.0435400000000001</v>
      </c>
      <c r="F11" s="6">
        <v>24.99</v>
      </c>
    </row>
    <row r="12" spans="2:6" x14ac:dyDescent="0.25">
      <c r="B12" s="6">
        <v>120</v>
      </c>
      <c r="C12" s="6">
        <v>18.362300000000001</v>
      </c>
      <c r="D12" s="6">
        <v>146.773</v>
      </c>
      <c r="E12" s="6">
        <v>7.9931799999999997</v>
      </c>
      <c r="F12" s="6">
        <v>25.01</v>
      </c>
    </row>
    <row r="13" spans="2:6" x14ac:dyDescent="0.25">
      <c r="B13" s="6">
        <v>135</v>
      </c>
      <c r="C13" s="6">
        <v>11.992900000000001</v>
      </c>
      <c r="D13" s="6">
        <v>151.93600000000001</v>
      </c>
      <c r="E13" s="6">
        <v>12.668799999999999</v>
      </c>
      <c r="F13" s="6">
        <v>25.01</v>
      </c>
    </row>
    <row r="14" spans="2:6" x14ac:dyDescent="0.25">
      <c r="B14" s="6">
        <v>150</v>
      </c>
      <c r="C14" s="6">
        <v>8.0966199999999997</v>
      </c>
      <c r="D14" s="6">
        <v>162.56399999999999</v>
      </c>
      <c r="E14" s="6">
        <v>20.077999999999999</v>
      </c>
      <c r="F14" s="6">
        <v>25.02</v>
      </c>
    </row>
    <row r="15" spans="2:6" x14ac:dyDescent="0.25">
      <c r="B15" s="6">
        <v>165</v>
      </c>
      <c r="C15" s="6">
        <v>5.5653699999999997</v>
      </c>
      <c r="D15" s="6">
        <v>177.09399999999999</v>
      </c>
      <c r="E15" s="6">
        <v>31.820699999999999</v>
      </c>
      <c r="F15" s="6">
        <v>25.03</v>
      </c>
    </row>
    <row r="16" spans="2:6" x14ac:dyDescent="0.25">
      <c r="B16" s="6">
        <v>180</v>
      </c>
      <c r="C16" s="6">
        <v>3.8743099999999999</v>
      </c>
      <c r="D16" s="6">
        <v>195.392</v>
      </c>
      <c r="E16" s="6">
        <v>50.432499999999997</v>
      </c>
      <c r="F16" s="6">
        <v>25.04</v>
      </c>
    </row>
    <row r="17" spans="2:6" x14ac:dyDescent="0.25">
      <c r="B17" s="6">
        <v>195</v>
      </c>
      <c r="C17" s="6">
        <v>2.5734699999999999</v>
      </c>
      <c r="D17" s="6">
        <v>205.70599999999999</v>
      </c>
      <c r="E17" s="6">
        <v>79.933199999999999</v>
      </c>
      <c r="F17" s="6">
        <v>25.04</v>
      </c>
    </row>
    <row r="18" spans="2:6" x14ac:dyDescent="0.25">
      <c r="B18" s="6">
        <v>210</v>
      </c>
      <c r="C18" s="6">
        <v>1.7726500000000001</v>
      </c>
      <c r="D18" s="6">
        <v>224.56899999999999</v>
      </c>
      <c r="E18" s="6">
        <v>126.685</v>
      </c>
      <c r="F18" s="6">
        <v>25.04</v>
      </c>
    </row>
    <row r="19" spans="2:6" x14ac:dyDescent="0.25">
      <c r="B19" s="6">
        <v>225</v>
      </c>
      <c r="C19" s="6">
        <v>1.1616200000000001</v>
      </c>
      <c r="D19" s="6">
        <v>233.23</v>
      </c>
      <c r="E19" s="6">
        <v>200.78</v>
      </c>
      <c r="F19" s="6">
        <v>25.05</v>
      </c>
    </row>
    <row r="20" spans="2:6" x14ac:dyDescent="0.25">
      <c r="B20" s="6">
        <v>240</v>
      </c>
      <c r="C20" s="6">
        <v>0.47514600000000001</v>
      </c>
      <c r="D20" s="6">
        <v>151.19999999999999</v>
      </c>
      <c r="E20" s="6">
        <v>318.21800000000002</v>
      </c>
      <c r="F20" s="6">
        <v>25.05</v>
      </c>
    </row>
    <row r="21" spans="2:6" x14ac:dyDescent="0.25">
      <c r="B21" s="6">
        <v>255</v>
      </c>
      <c r="C21" s="6">
        <v>0.21161199999999999</v>
      </c>
      <c r="D21" s="6">
        <v>106.724</v>
      </c>
      <c r="E21" s="6">
        <v>504.339</v>
      </c>
      <c r="F21" s="6">
        <v>25.04</v>
      </c>
    </row>
    <row r="22" spans="2:6" x14ac:dyDescent="0.25">
      <c r="B22" s="6">
        <v>270</v>
      </c>
      <c r="C22" s="6">
        <v>0.174348</v>
      </c>
      <c r="D22" s="6">
        <v>139.36000000000001</v>
      </c>
      <c r="E22" s="6">
        <v>799.31700000000001</v>
      </c>
      <c r="F22" s="6">
        <v>25.04</v>
      </c>
    </row>
    <row r="23" spans="2:6" x14ac:dyDescent="0.25">
      <c r="B23" s="6">
        <v>285</v>
      </c>
      <c r="C23" s="6">
        <v>0.14884900000000001</v>
      </c>
      <c r="D23" s="6">
        <v>188.56800000000001</v>
      </c>
      <c r="E23" s="6">
        <v>1266.8399999999999</v>
      </c>
      <c r="F23" s="6">
        <v>25.02</v>
      </c>
    </row>
    <row r="24" spans="2:6" x14ac:dyDescent="0.25">
      <c r="B24" s="6">
        <v>300</v>
      </c>
      <c r="C24" s="6">
        <v>9.4809099999999993E-2</v>
      </c>
      <c r="D24" s="6">
        <v>179.11500000000001</v>
      </c>
      <c r="E24" s="6">
        <v>1889.22</v>
      </c>
      <c r="F24" s="6">
        <v>25.03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0786-F198-4F92-9F0C-33E19C9D1772}">
  <dimension ref="B2:F23"/>
  <sheetViews>
    <sheetView workbookViewId="0">
      <selection activeCell="F39" sqref="F39"/>
    </sheetView>
  </sheetViews>
  <sheetFormatPr defaultRowHeight="15" x14ac:dyDescent="0.25"/>
  <sheetData>
    <row r="2" spans="2:6" x14ac:dyDescent="0.25">
      <c r="B2" s="11" t="s">
        <v>33</v>
      </c>
      <c r="C2" s="11" t="s">
        <v>34</v>
      </c>
      <c r="D2" s="11" t="s">
        <v>35</v>
      </c>
      <c r="E2" s="11" t="s">
        <v>36</v>
      </c>
      <c r="F2" s="11" t="s">
        <v>37</v>
      </c>
    </row>
    <row r="3" spans="2:6" ht="25.5" x14ac:dyDescent="0.25">
      <c r="B3" s="11" t="s">
        <v>38</v>
      </c>
      <c r="C3" s="11" t="s">
        <v>39</v>
      </c>
      <c r="D3" s="11" t="s">
        <v>40</v>
      </c>
      <c r="E3" s="11" t="s">
        <v>41</v>
      </c>
      <c r="F3" s="11" t="s">
        <v>42</v>
      </c>
    </row>
    <row r="4" spans="2:6" x14ac:dyDescent="0.25">
      <c r="B4" s="12">
        <v>15.000299999999999</v>
      </c>
      <c r="C4" s="12">
        <v>789.59900000000005</v>
      </c>
      <c r="D4" s="12">
        <v>251.245</v>
      </c>
      <c r="E4" s="12">
        <v>0.318193</v>
      </c>
      <c r="F4" s="12">
        <v>24.97</v>
      </c>
    </row>
    <row r="5" spans="2:6" x14ac:dyDescent="0.25">
      <c r="B5" s="12">
        <v>30.000299999999999</v>
      </c>
      <c r="C5" s="12">
        <v>621.60199999999998</v>
      </c>
      <c r="D5" s="12">
        <v>313.49900000000002</v>
      </c>
      <c r="E5" s="12">
        <v>0.50434000000000001</v>
      </c>
      <c r="F5" s="12">
        <v>25</v>
      </c>
    </row>
    <row r="6" spans="2:6" x14ac:dyDescent="0.25">
      <c r="B6" s="12">
        <v>45.000300000000003</v>
      </c>
      <c r="C6" s="12">
        <v>467.31900000000002</v>
      </c>
      <c r="D6" s="12">
        <v>373.55500000000001</v>
      </c>
      <c r="E6" s="12">
        <v>0.79935699999999998</v>
      </c>
      <c r="F6" s="12">
        <v>25.01</v>
      </c>
    </row>
    <row r="7" spans="2:6" x14ac:dyDescent="0.25">
      <c r="B7" s="12">
        <v>60.000300000000003</v>
      </c>
      <c r="C7" s="12">
        <v>333.83300000000003</v>
      </c>
      <c r="D7" s="12">
        <v>422.92599999999999</v>
      </c>
      <c r="E7" s="12">
        <v>1.26688</v>
      </c>
      <c r="F7" s="12">
        <v>25.04</v>
      </c>
    </row>
    <row r="8" spans="2:6" x14ac:dyDescent="0.25">
      <c r="B8" s="12">
        <v>75.000299999999996</v>
      </c>
      <c r="C8" s="12">
        <v>216.90700000000001</v>
      </c>
      <c r="D8" s="12">
        <v>435.47899999999998</v>
      </c>
      <c r="E8" s="12">
        <v>2.0076800000000001</v>
      </c>
      <c r="F8" s="12">
        <v>25.05</v>
      </c>
    </row>
    <row r="9" spans="2:6" x14ac:dyDescent="0.25">
      <c r="B9" s="12">
        <v>90.000299999999996</v>
      </c>
      <c r="C9" s="12">
        <v>127.27800000000001</v>
      </c>
      <c r="D9" s="12">
        <v>404.96499999999997</v>
      </c>
      <c r="E9" s="12">
        <v>3.18174</v>
      </c>
      <c r="F9" s="12">
        <v>25.06</v>
      </c>
    </row>
    <row r="10" spans="2:6" x14ac:dyDescent="0.25">
      <c r="B10" s="12">
        <v>105</v>
      </c>
      <c r="C10" s="12">
        <v>70.388000000000005</v>
      </c>
      <c r="D10" s="12">
        <v>354.92</v>
      </c>
      <c r="E10" s="12">
        <v>5.0423400000000003</v>
      </c>
      <c r="F10" s="12">
        <v>25.06</v>
      </c>
    </row>
    <row r="11" spans="2:6" x14ac:dyDescent="0.25">
      <c r="B11" s="12">
        <v>120</v>
      </c>
      <c r="C11" s="12">
        <v>43.227899999999998</v>
      </c>
      <c r="D11" s="12">
        <v>345.44600000000003</v>
      </c>
      <c r="E11" s="12">
        <v>7.9912799999999997</v>
      </c>
      <c r="F11" s="12">
        <v>25.06</v>
      </c>
    </row>
    <row r="12" spans="2:6" x14ac:dyDescent="0.25">
      <c r="B12" s="12">
        <v>135</v>
      </c>
      <c r="C12" s="12">
        <v>26.796800000000001</v>
      </c>
      <c r="D12" s="12">
        <v>339.375</v>
      </c>
      <c r="E12" s="12">
        <v>12.6648</v>
      </c>
      <c r="F12" s="12">
        <v>25.06</v>
      </c>
    </row>
    <row r="13" spans="2:6" x14ac:dyDescent="0.25">
      <c r="B13" s="12">
        <v>150</v>
      </c>
      <c r="C13" s="12">
        <v>16.928999999999998</v>
      </c>
      <c r="D13" s="12">
        <v>339.79599999999999</v>
      </c>
      <c r="E13" s="12">
        <v>20.0718</v>
      </c>
      <c r="F13" s="12">
        <v>25.05</v>
      </c>
    </row>
    <row r="14" spans="2:6" x14ac:dyDescent="0.25">
      <c r="B14" s="12">
        <v>165</v>
      </c>
      <c r="C14" s="12">
        <v>11.058299999999999</v>
      </c>
      <c r="D14" s="12">
        <v>351.77499999999998</v>
      </c>
      <c r="E14" s="12">
        <v>31.8109</v>
      </c>
      <c r="F14" s="12">
        <v>25.05</v>
      </c>
    </row>
    <row r="15" spans="2:6" x14ac:dyDescent="0.25">
      <c r="B15" s="12">
        <v>180</v>
      </c>
      <c r="C15" s="12">
        <v>7.5275800000000004</v>
      </c>
      <c r="D15" s="12">
        <v>379.53500000000003</v>
      </c>
      <c r="E15" s="12">
        <v>50.419199999999996</v>
      </c>
      <c r="F15" s="12">
        <v>25.04</v>
      </c>
    </row>
    <row r="16" spans="2:6" x14ac:dyDescent="0.25">
      <c r="B16" s="12">
        <v>195</v>
      </c>
      <c r="C16" s="12">
        <v>5.0769099999999998</v>
      </c>
      <c r="D16" s="12">
        <v>405.67700000000002</v>
      </c>
      <c r="E16" s="12">
        <v>79.906300000000002</v>
      </c>
      <c r="F16" s="12">
        <v>25.03</v>
      </c>
    </row>
    <row r="17" spans="2:6" x14ac:dyDescent="0.25">
      <c r="B17" s="12">
        <v>210</v>
      </c>
      <c r="C17" s="12">
        <v>3.6134200000000001</v>
      </c>
      <c r="D17" s="12">
        <v>457.64400000000001</v>
      </c>
      <c r="E17" s="12">
        <v>126.651</v>
      </c>
      <c r="F17" s="12">
        <v>25.03</v>
      </c>
    </row>
    <row r="18" spans="2:6" x14ac:dyDescent="0.25">
      <c r="B18" s="12">
        <v>225</v>
      </c>
      <c r="C18" s="12">
        <v>2.76172</v>
      </c>
      <c r="D18" s="12">
        <v>554.35699999999997</v>
      </c>
      <c r="E18" s="12">
        <v>200.72900000000001</v>
      </c>
      <c r="F18" s="12">
        <v>25.02</v>
      </c>
    </row>
    <row r="19" spans="2:6" x14ac:dyDescent="0.25">
      <c r="B19" s="12">
        <v>240</v>
      </c>
      <c r="C19" s="12">
        <v>1.83019</v>
      </c>
      <c r="D19" s="12">
        <v>582.18200000000002</v>
      </c>
      <c r="E19" s="12">
        <v>318.09899999999999</v>
      </c>
      <c r="F19" s="12">
        <v>25.02</v>
      </c>
    </row>
    <row r="20" spans="2:6" x14ac:dyDescent="0.25">
      <c r="B20" s="12">
        <v>255</v>
      </c>
      <c r="C20" s="12">
        <v>0.88831899999999997</v>
      </c>
      <c r="D20" s="12">
        <v>447.83100000000002</v>
      </c>
      <c r="E20" s="12">
        <v>504.13299999999998</v>
      </c>
      <c r="F20" s="12">
        <v>25.01</v>
      </c>
    </row>
    <row r="21" spans="2:6" x14ac:dyDescent="0.25">
      <c r="B21" s="12">
        <v>270</v>
      </c>
      <c r="C21" s="12">
        <v>0.33326</v>
      </c>
      <c r="D21" s="12">
        <v>266.27100000000002</v>
      </c>
      <c r="E21" s="12">
        <v>798.98800000000006</v>
      </c>
      <c r="F21" s="12">
        <v>25.01</v>
      </c>
    </row>
    <row r="22" spans="2:6" x14ac:dyDescent="0.25">
      <c r="B22" s="12">
        <v>285</v>
      </c>
      <c r="C22" s="12">
        <v>3.02171E-2</v>
      </c>
      <c r="D22" s="12">
        <v>38.263800000000003</v>
      </c>
      <c r="E22" s="12">
        <v>1266.3</v>
      </c>
      <c r="F22" s="12">
        <v>25.01</v>
      </c>
    </row>
    <row r="23" spans="2:6" x14ac:dyDescent="0.25">
      <c r="B23" s="12">
        <v>300</v>
      </c>
      <c r="C23" s="13">
        <v>3.8197999999999999E-3</v>
      </c>
      <c r="D23" s="12">
        <v>7.2133900000000004</v>
      </c>
      <c r="E23" s="12">
        <v>1888.42</v>
      </c>
      <c r="F23" s="12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IP21ConfigWorkBook xmlns:xsi="http://www.w3.org/2001/XMLSchema-instance" xmlns:xsd="http://www.w3.org/2001/XMLSchema" xmlns="http://www.aspentech.com/ProcessData/ExcelAddIn/IP21ConfigWorkBook">
  <WorkBookName>up1_2_3_4_visc_sem.xlsx</WorkBookName>
  <MappingTemplateName/>
  <ColumnMaps/>
</IP21ConfigWorkBook>
</file>

<file path=customXml/itemProps1.xml><?xml version="1.0" encoding="utf-8"?>
<ds:datastoreItem xmlns:ds="http://schemas.openxmlformats.org/officeDocument/2006/customXml" ds:itemID="{962CD438-C9C7-47B4-B743-CAAE2DF7CC5C}">
  <ds:schemaRefs>
    <ds:schemaRef ds:uri="http://www.w3.org/2001/XMLSchema"/>
    <ds:schemaRef ds:uri="http://www.aspentech.com/ProcessData/ExcelAddIn/IP21ConfigWorkBook"/>
  </ds:schemaRefs>
</ds:datastoreItem>
</file>

<file path=docMetadata/LabelInfo.xml><?xml version="1.0" encoding="utf-8"?>
<clbl:labelList xmlns:clbl="http://schemas.microsoft.com/office/2020/mipLabelMetadata">
  <clbl:label id="{edaa6760-dc32-42b1-9af8-b6b7dd0c31e7}" enabled="1" method="Standard" siteId="{9fdb1b0c-e154-4e66-9ecb-b70f283e1e7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up1_2_3_4_psd</vt:lpstr>
      <vt:lpstr>sem_sample_no_filename</vt:lpstr>
      <vt:lpstr>up3_1</vt:lpstr>
      <vt:lpstr>up3_2</vt:lpstr>
      <vt:lpstr>up3_3</vt:lpstr>
      <vt:lpstr>up3_4</vt:lpstr>
    </vt:vector>
  </TitlesOfParts>
  <Company>Arkema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Christin</dc:creator>
  <cp:lastModifiedBy>LAI Christin</cp:lastModifiedBy>
  <dcterms:created xsi:type="dcterms:W3CDTF">2026-07-23T02:12:25Z</dcterms:created>
  <dcterms:modified xsi:type="dcterms:W3CDTF">2026-07-23T03:40:41Z</dcterms:modified>
</cp:coreProperties>
</file>