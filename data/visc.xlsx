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rkema-my.sharepoint.com/personal/a6131250_arkema_com/Documents/finish_model/"/>
    </mc:Choice>
  </mc:AlternateContent>
  <xr:revisionPtr revIDLastSave="57" documentId="13_ncr:1_{8654C180-8CD7-4AD0-BC08-79CDDE6505BC}" xr6:coauthVersionLast="47" xr6:coauthVersionMax="47" xr10:uidLastSave="{78734EBC-8614-4028-9320-D88AF74BC344}"/>
  <bookViews>
    <workbookView xWindow="19090" yWindow="-15040" windowWidth="38620" windowHeight="21100" activeTab="12" xr2:uid="{00000000-000D-0000-FFFF-FFFF00000000}"/>
  </bookViews>
  <sheets>
    <sheet name="up1_feed_0.25" sheetId="12" r:id="rId1"/>
    <sheet name="up1_feed_0.2" sheetId="2" r:id="rId2"/>
    <sheet name="up1_feed_0.13" sheetId="4" r:id="rId3"/>
    <sheet name="cond2" sheetId="3" r:id="rId4"/>
    <sheet name="cond4" sheetId="1" r:id="rId5"/>
    <sheet name="cond5" sheetId="6" r:id="rId6"/>
    <sheet name="cond8" sheetId="7" r:id="rId7"/>
    <sheet name="cond9" sheetId="8" r:id="rId8"/>
    <sheet name="cond11" sheetId="9" r:id="rId9"/>
    <sheet name="cond12" sheetId="10" r:id="rId10"/>
    <sheet name="cond14" sheetId="11" r:id="rId11"/>
    <sheet name="cond15" sheetId="14" r:id="rId12"/>
    <sheet name="up1_up4_psd" sheetId="32" r:id="rId13"/>
  </sheets>
  <definedNames>
    <definedName name="solver_eng" localSheetId="11" hidden="1">1</definedName>
    <definedName name="solver_eng" localSheetId="1" hidden="1">1</definedName>
    <definedName name="solver_neg" localSheetId="11" hidden="1">1</definedName>
    <definedName name="solver_neg" localSheetId="1" hidden="1">1</definedName>
    <definedName name="solver_num" localSheetId="11" hidden="1">0</definedName>
    <definedName name="solver_num" localSheetId="1" hidden="1">0</definedName>
    <definedName name="solver_opt" localSheetId="11" hidden="1">cond15!#REF!</definedName>
    <definedName name="solver_opt" localSheetId="1" hidden="1">up1_feed_0.2!#REF!</definedName>
    <definedName name="solver_typ" localSheetId="11" hidden="1">1</definedName>
    <definedName name="solver_typ" localSheetId="1" hidden="1">1</definedName>
    <definedName name="solver_val" localSheetId="11" hidden="1">0</definedName>
    <definedName name="solver_val" localSheetId="1" hidden="1">0</definedName>
    <definedName name="solver_ver" localSheetId="11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10" i="3"/>
  <c r="F11" i="3"/>
  <c r="F12" i="3"/>
  <c r="F13" i="3"/>
  <c r="F14" i="3"/>
  <c r="F15" i="3"/>
  <c r="F16" i="3"/>
  <c r="F5" i="3"/>
</calcChain>
</file>

<file path=xl/sharedStrings.xml><?xml version="1.0" encoding="utf-8"?>
<sst xmlns="http://schemas.openxmlformats.org/spreadsheetml/2006/main" count="184" uniqueCount="58">
  <si>
    <t>Sample 6</t>
  </si>
  <si>
    <t>Step time</t>
  </si>
  <si>
    <t>Temperature</t>
  </si>
  <si>
    <t>Stress</t>
  </si>
  <si>
    <t>Shear rate</t>
  </si>
  <si>
    <t>Viscosity</t>
  </si>
  <si>
    <t>s</t>
  </si>
  <si>
    <t>°C</t>
  </si>
  <si>
    <t>Pa</t>
  </si>
  <si>
    <t>1/s</t>
  </si>
  <si>
    <t>Pa.s</t>
  </si>
  <si>
    <t>Sample 4</t>
  </si>
  <si>
    <t>Sample 3</t>
  </si>
  <si>
    <t>Sample 1</t>
  </si>
  <si>
    <t>Sample 8</t>
  </si>
  <si>
    <t>sample 9</t>
  </si>
  <si>
    <t>sample 10</t>
  </si>
  <si>
    <t>sample 11</t>
  </si>
  <si>
    <t>sample 12</t>
  </si>
  <si>
    <t>sample 13</t>
  </si>
  <si>
    <t>Sample 16</t>
  </si>
  <si>
    <t>fit</t>
  </si>
  <si>
    <t>up1_feed 24.98%</t>
  </si>
  <si>
    <t>up1 20%- control</t>
  </si>
  <si>
    <t>up1 13%-control</t>
  </si>
  <si>
    <t>up1 cond2</t>
  </si>
  <si>
    <t>up1 cond4</t>
  </si>
  <si>
    <t>up1 cond5</t>
  </si>
  <si>
    <t>up1 cond8</t>
  </si>
  <si>
    <t>up1 cond9</t>
  </si>
  <si>
    <t>up1 cond11</t>
  </si>
  <si>
    <t>up1 cond12</t>
  </si>
  <si>
    <t>up1 cond14</t>
  </si>
  <si>
    <t>up1 cond15</t>
  </si>
  <si>
    <t>cond</t>
  </si>
  <si>
    <t>up1_vtip</t>
  </si>
  <si>
    <t>sample_type</t>
  </si>
  <si>
    <t>up1_feed_solid%</t>
  </si>
  <si>
    <t>up1_feed_lbhr</t>
  </si>
  <si>
    <t>up4_feed</t>
  </si>
  <si>
    <t>up1feed_rho</t>
  </si>
  <si>
    <t>up1_scfh</t>
  </si>
  <si>
    <t>up1_exit_temp</t>
  </si>
  <si>
    <t>up4atom_scfm</t>
  </si>
  <si>
    <t>d10</t>
  </si>
  <si>
    <t>d20</t>
  </si>
  <si>
    <t>d30</t>
  </si>
  <si>
    <t>d40</t>
  </si>
  <si>
    <t>d50</t>
  </si>
  <si>
    <t>d60</t>
  </si>
  <si>
    <t>d70</t>
  </si>
  <si>
    <t>d80</t>
  </si>
  <si>
    <t>d90</t>
  </si>
  <si>
    <t>d99</t>
  </si>
  <si>
    <t>m</t>
  </si>
  <si>
    <t>p</t>
  </si>
  <si>
    <t>up1_psig</t>
  </si>
  <si>
    <t>max_up4atom_psig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</si>
</sst>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1" fontId="0" fillId="0" borderId="0" xfId="0" applyNumberFormat="1" applyAlignment="1">
      <alignment wrapText="1"/>
    </xf>
    <xf numFmtId="11" fontId="0" fillId="0" borderId="0" xfId="0" applyNumberFormat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0" fillId="3" borderId="0" xfId="0" applyFill="1"/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682B"/>
      <color rgb="FF255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3"/>
  <sheetViews>
    <sheetView workbookViewId="0">
      <selection activeCell="A3" sqref="A3"/>
    </sheetView>
  </sheetViews>
  <sheetFormatPr defaultRowHeight="15" x14ac:dyDescent="0.25"/>
  <sheetData>
    <row r="2" spans="1:5" x14ac:dyDescent="0.25">
      <c r="A2" s="1" t="s">
        <v>22</v>
      </c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25.03</v>
      </c>
      <c r="C5" s="3">
        <v>2.7832699999999998E-2</v>
      </c>
      <c r="D5" s="3">
        <v>12.6707</v>
      </c>
      <c r="E5" s="5">
        <v>2.1966199999999998E-3</v>
      </c>
    </row>
    <row r="6" spans="1:5" x14ac:dyDescent="0.25">
      <c r="A6" s="3">
        <v>150</v>
      </c>
      <c r="B6" s="3">
        <v>25.03</v>
      </c>
      <c r="C6" s="3">
        <v>4.1787900000000003E-2</v>
      </c>
      <c r="D6" s="3">
        <v>20.081</v>
      </c>
      <c r="E6" s="5">
        <v>2.0809600000000002E-3</v>
      </c>
    </row>
    <row r="7" spans="1:5" x14ac:dyDescent="0.25">
      <c r="A7" s="3">
        <v>165</v>
      </c>
      <c r="B7" s="3">
        <v>25.03</v>
      </c>
      <c r="C7" s="3">
        <v>6.7969000000000002E-2</v>
      </c>
      <c r="D7" s="3">
        <v>31.825700000000001</v>
      </c>
      <c r="E7" s="5">
        <v>2.1356600000000002E-3</v>
      </c>
    </row>
    <row r="8" spans="1:5" x14ac:dyDescent="0.25">
      <c r="A8" s="3">
        <v>180</v>
      </c>
      <c r="B8" s="3">
        <v>25.02</v>
      </c>
      <c r="C8" s="3">
        <v>0.105903</v>
      </c>
      <c r="D8" s="3">
        <v>50.439900000000002</v>
      </c>
      <c r="E8" s="5">
        <v>2.0995900000000001E-3</v>
      </c>
    </row>
    <row r="9" spans="1:5" x14ac:dyDescent="0.25">
      <c r="A9" s="3">
        <v>195</v>
      </c>
      <c r="B9" s="3">
        <v>25.02</v>
      </c>
      <c r="C9" s="3">
        <v>0.16202</v>
      </c>
      <c r="D9" s="3">
        <v>79.941299999999998</v>
      </c>
      <c r="E9" s="5">
        <v>2.02674E-3</v>
      </c>
    </row>
    <row r="10" spans="1:5" x14ac:dyDescent="0.25">
      <c r="A10" s="3">
        <v>210</v>
      </c>
      <c r="B10" s="3">
        <v>25.01</v>
      </c>
      <c r="C10" s="3">
        <v>0.248393</v>
      </c>
      <c r="D10" s="3">
        <v>126.70099999999999</v>
      </c>
      <c r="E10" s="5">
        <v>1.9604599999999998E-3</v>
      </c>
    </row>
    <row r="11" spans="1:5" x14ac:dyDescent="0.25">
      <c r="A11" s="3">
        <v>225</v>
      </c>
      <c r="B11" s="3">
        <v>25.01</v>
      </c>
      <c r="C11" s="3">
        <v>0.38859399999999999</v>
      </c>
      <c r="D11" s="3">
        <v>200.80799999999999</v>
      </c>
      <c r="E11" s="5">
        <v>1.9351500000000001E-3</v>
      </c>
    </row>
    <row r="12" spans="1:5" x14ac:dyDescent="0.25">
      <c r="A12" s="3">
        <v>240</v>
      </c>
      <c r="B12" s="3">
        <v>25</v>
      </c>
      <c r="C12" s="3">
        <v>0.59270599999999996</v>
      </c>
      <c r="D12" s="3">
        <v>318.24900000000002</v>
      </c>
      <c r="E12" s="5">
        <v>1.86239E-3</v>
      </c>
    </row>
    <row r="13" spans="1:5" x14ac:dyDescent="0.25">
      <c r="A13" s="3">
        <v>255</v>
      </c>
      <c r="B13" s="3">
        <v>25</v>
      </c>
      <c r="C13" s="3">
        <v>0.92357400000000001</v>
      </c>
      <c r="D13" s="3">
        <v>504.4</v>
      </c>
      <c r="E13" s="5">
        <v>1.83103E-3</v>
      </c>
    </row>
    <row r="14" spans="1:5" x14ac:dyDescent="0.25">
      <c r="A14" s="3">
        <v>270</v>
      </c>
      <c r="B14" s="3">
        <v>25</v>
      </c>
      <c r="C14" s="3">
        <v>1.45251</v>
      </c>
      <c r="D14" s="3">
        <v>799.40099999999995</v>
      </c>
      <c r="E14" s="5">
        <v>1.817E-3</v>
      </c>
    </row>
    <row r="15" spans="1:5" x14ac:dyDescent="0.25">
      <c r="A15" s="3">
        <v>285</v>
      </c>
      <c r="B15" s="3">
        <v>24.99</v>
      </c>
      <c r="C15" s="3">
        <v>2.3583799999999999</v>
      </c>
      <c r="D15" s="3">
        <v>1266.97</v>
      </c>
      <c r="E15" s="5">
        <v>1.8614199999999999E-3</v>
      </c>
    </row>
    <row r="16" spans="1:5" x14ac:dyDescent="0.25">
      <c r="A16" s="3">
        <v>300</v>
      </c>
      <c r="B16" s="3">
        <v>24.99</v>
      </c>
      <c r="C16" s="3">
        <v>3.78138</v>
      </c>
      <c r="D16" s="3">
        <v>1889.49</v>
      </c>
      <c r="E16" s="5">
        <v>2.0012599999999999E-3</v>
      </c>
    </row>
    <row r="18" spans="1:4" x14ac:dyDescent="0.25">
      <c r="A18" s="2"/>
      <c r="B18" s="2"/>
      <c r="C18" s="8"/>
    </row>
    <row r="19" spans="1:4" x14ac:dyDescent="0.25">
      <c r="A19" s="2"/>
      <c r="B19" s="2"/>
      <c r="C19" s="2"/>
      <c r="D19" s="8"/>
    </row>
    <row r="20" spans="1:4" x14ac:dyDescent="0.25">
      <c r="A20" s="3"/>
      <c r="B20" s="5"/>
      <c r="C20" s="5"/>
      <c r="D20" s="6"/>
    </row>
    <row r="21" spans="1:4" x14ac:dyDescent="0.25">
      <c r="A21" s="3"/>
      <c r="B21" s="5"/>
      <c r="C21" s="5"/>
      <c r="D21" s="6"/>
    </row>
    <row r="22" spans="1:4" x14ac:dyDescent="0.25">
      <c r="A22" s="3"/>
      <c r="B22" s="5"/>
      <c r="C22" s="5"/>
      <c r="D22" s="6"/>
    </row>
    <row r="23" spans="1:4" x14ac:dyDescent="0.25">
      <c r="A23" s="3"/>
      <c r="B23" s="5"/>
      <c r="C23" s="5"/>
      <c r="D23" s="6"/>
    </row>
    <row r="24" spans="1:4" x14ac:dyDescent="0.25">
      <c r="A24" s="3"/>
      <c r="B24" s="5"/>
      <c r="C24" s="5"/>
      <c r="D24" s="6"/>
    </row>
    <row r="25" spans="1:4" x14ac:dyDescent="0.25">
      <c r="A25" s="3"/>
      <c r="B25" s="5"/>
      <c r="C25" s="5"/>
      <c r="D25" s="6"/>
    </row>
    <row r="26" spans="1:4" x14ac:dyDescent="0.25">
      <c r="A26" s="3"/>
      <c r="B26" s="5"/>
      <c r="C26" s="5"/>
      <c r="D26" s="6"/>
    </row>
    <row r="27" spans="1:4" x14ac:dyDescent="0.25">
      <c r="A27" s="3"/>
      <c r="B27" s="5"/>
      <c r="C27" s="5"/>
      <c r="D27" s="6"/>
    </row>
    <row r="28" spans="1:4" x14ac:dyDescent="0.25">
      <c r="A28" s="3"/>
      <c r="B28" s="5"/>
      <c r="C28" s="5"/>
      <c r="D28" s="6"/>
    </row>
    <row r="29" spans="1:4" x14ac:dyDescent="0.25">
      <c r="A29" s="3"/>
      <c r="B29" s="5"/>
      <c r="C29" s="5"/>
      <c r="D29" s="6"/>
    </row>
    <row r="30" spans="1:4" x14ac:dyDescent="0.25">
      <c r="A30" s="3"/>
      <c r="B30" s="5"/>
      <c r="C30" s="5"/>
      <c r="D30" s="6"/>
    </row>
    <row r="31" spans="1:4" x14ac:dyDescent="0.25">
      <c r="A31" s="3"/>
      <c r="B31" s="5"/>
      <c r="C31" s="5"/>
      <c r="D31" s="6"/>
    </row>
    <row r="33" spans="4:4" x14ac:dyDescent="0.25">
      <c r="D3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G1" sqref="G1:V1048576"/>
    </sheetView>
  </sheetViews>
  <sheetFormatPr defaultRowHeight="15" x14ac:dyDescent="0.25"/>
  <sheetData>
    <row r="1" spans="1:6" x14ac:dyDescent="0.25">
      <c r="A1" s="1" t="s">
        <v>11</v>
      </c>
    </row>
    <row r="2" spans="1:6" x14ac:dyDescent="0.25">
      <c r="A2" s="1" t="s">
        <v>23</v>
      </c>
      <c r="B2" s="1"/>
      <c r="C2" s="1"/>
      <c r="D2" s="1"/>
      <c r="E2" s="1"/>
    </row>
    <row r="3" spans="1:6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6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6" x14ac:dyDescent="0.25">
      <c r="A5" s="3">
        <v>135</v>
      </c>
      <c r="B5" s="3">
        <v>25.06</v>
      </c>
      <c r="C5" s="3">
        <v>3.3584700000000002E-2</v>
      </c>
      <c r="D5" s="3">
        <v>12.6707</v>
      </c>
      <c r="E5" s="5">
        <v>2.6505700000000001E-3</v>
      </c>
      <c r="F5" s="6"/>
    </row>
    <row r="6" spans="1:6" x14ac:dyDescent="0.25">
      <c r="A6" s="3">
        <v>150</v>
      </c>
      <c r="B6" s="3">
        <v>25.05</v>
      </c>
      <c r="C6" s="3">
        <v>4.4660100000000001E-2</v>
      </c>
      <c r="D6" s="3">
        <v>20.081600000000002</v>
      </c>
      <c r="E6" s="5">
        <v>2.2239299999999998E-3</v>
      </c>
      <c r="F6" s="6"/>
    </row>
    <row r="7" spans="1:6" x14ac:dyDescent="0.25">
      <c r="A7" s="3">
        <v>165</v>
      </c>
      <c r="B7" s="3">
        <v>25.04</v>
      </c>
      <c r="C7" s="3">
        <v>6.9680000000000006E-2</v>
      </c>
      <c r="D7" s="3">
        <v>31.8279</v>
      </c>
      <c r="E7" s="5">
        <v>2.18928E-3</v>
      </c>
      <c r="F7" s="6"/>
    </row>
    <row r="8" spans="1:6" x14ac:dyDescent="0.25">
      <c r="A8" s="3">
        <v>180</v>
      </c>
      <c r="B8" s="3">
        <v>25.02</v>
      </c>
      <c r="C8" s="3">
        <v>0.110203</v>
      </c>
      <c r="D8" s="3">
        <v>50.4435</v>
      </c>
      <c r="E8" s="5">
        <v>2.18468E-3</v>
      </c>
      <c r="F8" s="6"/>
    </row>
    <row r="9" spans="1:6" x14ac:dyDescent="0.25">
      <c r="A9" s="3">
        <v>195</v>
      </c>
      <c r="B9" s="3">
        <v>25.01</v>
      </c>
      <c r="C9" s="3">
        <v>0.161269</v>
      </c>
      <c r="D9" s="3">
        <v>79.946899999999999</v>
      </c>
      <c r="E9" s="5">
        <v>2.0171999999999998E-3</v>
      </c>
      <c r="F9" s="6"/>
    </row>
    <row r="10" spans="1:6" x14ac:dyDescent="0.25">
      <c r="A10" s="3">
        <v>210</v>
      </c>
      <c r="B10" s="3">
        <v>25</v>
      </c>
      <c r="C10" s="3">
        <v>0.245531</v>
      </c>
      <c r="D10" s="3">
        <v>126.709</v>
      </c>
      <c r="E10" s="5">
        <v>1.93775E-3</v>
      </c>
      <c r="F10" s="6"/>
    </row>
    <row r="11" spans="1:6" x14ac:dyDescent="0.25">
      <c r="A11" s="3">
        <v>225</v>
      </c>
      <c r="B11" s="3">
        <v>24.99</v>
      </c>
      <c r="C11" s="3">
        <v>0.37725500000000001</v>
      </c>
      <c r="D11" s="3">
        <v>200.82</v>
      </c>
      <c r="E11" s="5">
        <v>1.87857E-3</v>
      </c>
      <c r="F11" s="6"/>
    </row>
    <row r="12" spans="1:6" x14ac:dyDescent="0.25">
      <c r="A12" s="3">
        <v>240</v>
      </c>
      <c r="B12" s="3">
        <v>24.99</v>
      </c>
      <c r="C12" s="3">
        <v>0.58516199999999996</v>
      </c>
      <c r="D12" s="3">
        <v>318.28199999999998</v>
      </c>
      <c r="E12" s="5">
        <v>1.8385000000000001E-3</v>
      </c>
      <c r="F12" s="6"/>
    </row>
    <row r="13" spans="1:6" x14ac:dyDescent="0.25">
      <c r="A13" s="3">
        <v>255</v>
      </c>
      <c r="B13" s="3">
        <v>24.98</v>
      </c>
      <c r="C13" s="3">
        <v>0.90674299999999997</v>
      </c>
      <c r="D13" s="3">
        <v>504.43299999999999</v>
      </c>
      <c r="E13" s="5">
        <v>1.79755E-3</v>
      </c>
      <c r="F13" s="6"/>
    </row>
    <row r="14" spans="1:6" x14ac:dyDescent="0.25">
      <c r="A14" s="3">
        <v>270</v>
      </c>
      <c r="B14" s="3">
        <v>24.98</v>
      </c>
      <c r="C14" s="3">
        <v>1.42381</v>
      </c>
      <c r="D14" s="3">
        <v>799.49</v>
      </c>
      <c r="E14" s="5">
        <v>1.7809E-3</v>
      </c>
      <c r="F14" s="6"/>
    </row>
    <row r="15" spans="1:6" x14ac:dyDescent="0.25">
      <c r="A15" s="3">
        <v>285</v>
      </c>
      <c r="B15" s="3">
        <v>24.98</v>
      </c>
      <c r="C15" s="3">
        <v>2.31385</v>
      </c>
      <c r="D15" s="3">
        <v>1267.1400000000001</v>
      </c>
      <c r="E15" s="5">
        <v>1.8260399999999999E-3</v>
      </c>
      <c r="F15" s="6"/>
    </row>
    <row r="16" spans="1:6" x14ac:dyDescent="0.25">
      <c r="A16" s="3">
        <v>300</v>
      </c>
      <c r="B16" s="3">
        <v>24.98</v>
      </c>
      <c r="C16" s="3">
        <v>3.7112799999999999</v>
      </c>
      <c r="D16" s="3">
        <v>1889.69</v>
      </c>
      <c r="E16" s="5">
        <v>1.9639599999999998E-3</v>
      </c>
      <c r="F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>
      <selection activeCell="G1" sqref="G1:X1048576"/>
    </sheetView>
  </sheetViews>
  <sheetFormatPr defaultRowHeight="15" x14ac:dyDescent="0.25"/>
  <sheetData>
    <row r="1" spans="1:5" x14ac:dyDescent="0.25">
      <c r="A1" s="10" t="s">
        <v>13</v>
      </c>
      <c r="B1" s="2"/>
      <c r="C1" s="2"/>
      <c r="D1" s="2"/>
      <c r="E1" s="2"/>
    </row>
    <row r="2" spans="1:5" x14ac:dyDescent="0.25">
      <c r="A2" s="1" t="s">
        <v>24</v>
      </c>
      <c r="B2" s="9"/>
      <c r="C2" s="9"/>
      <c r="D2" s="9"/>
      <c r="E2" s="9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81.000299999999996</v>
      </c>
      <c r="B5" s="3">
        <v>25.05</v>
      </c>
      <c r="C5" s="3">
        <v>3.7648000000000001E-2</v>
      </c>
      <c r="D5" s="3">
        <v>12.6684</v>
      </c>
      <c r="E5" s="5">
        <v>2.9718100000000001E-3</v>
      </c>
    </row>
    <row r="6" spans="1:5" x14ac:dyDescent="0.25">
      <c r="A6" s="3">
        <v>90.000299999999996</v>
      </c>
      <c r="B6" s="3">
        <v>25.06</v>
      </c>
      <c r="C6" s="3">
        <v>5.9756099999999999E-2</v>
      </c>
      <c r="D6" s="3">
        <v>20.078399999999998</v>
      </c>
      <c r="E6" s="5">
        <v>2.9761399999999999E-3</v>
      </c>
    </row>
    <row r="7" spans="1:5" x14ac:dyDescent="0.25">
      <c r="A7" s="3">
        <v>99.000299999999996</v>
      </c>
      <c r="B7" s="3">
        <v>25.05</v>
      </c>
      <c r="C7" s="3">
        <v>8.8662599999999994E-2</v>
      </c>
      <c r="D7" s="3">
        <v>31.822700000000001</v>
      </c>
      <c r="E7" s="5">
        <v>2.7861399999999999E-3</v>
      </c>
    </row>
    <row r="8" spans="1:5" x14ac:dyDescent="0.25">
      <c r="A8" s="3">
        <v>108</v>
      </c>
      <c r="B8" s="3">
        <v>25.05</v>
      </c>
      <c r="C8" s="3">
        <v>0.119049</v>
      </c>
      <c r="D8" s="3">
        <v>50.433999999999997</v>
      </c>
      <c r="E8" s="5">
        <v>2.3604899999999998E-3</v>
      </c>
    </row>
    <row r="9" spans="1:5" x14ac:dyDescent="0.25">
      <c r="A9" s="3">
        <v>117</v>
      </c>
      <c r="B9" s="3">
        <v>25.06</v>
      </c>
      <c r="C9" s="3">
        <v>0.17088400000000001</v>
      </c>
      <c r="D9" s="3">
        <v>79.931700000000006</v>
      </c>
      <c r="E9" s="5">
        <v>2.13788E-3</v>
      </c>
    </row>
    <row r="10" spans="1:5" x14ac:dyDescent="0.25">
      <c r="A10" s="3">
        <v>126</v>
      </c>
      <c r="B10" s="3">
        <v>25.05</v>
      </c>
      <c r="C10" s="3">
        <v>0.25517800000000002</v>
      </c>
      <c r="D10" s="3">
        <v>126.68600000000001</v>
      </c>
      <c r="E10" s="5">
        <v>2.01425E-3</v>
      </c>
    </row>
    <row r="11" spans="1:5" x14ac:dyDescent="0.25">
      <c r="A11" s="3">
        <v>135</v>
      </c>
      <c r="B11" s="3">
        <v>25.06</v>
      </c>
      <c r="C11" s="3">
        <v>0.37978400000000001</v>
      </c>
      <c r="D11" s="3">
        <v>200.78800000000001</v>
      </c>
      <c r="E11" s="5">
        <v>1.8914699999999999E-3</v>
      </c>
    </row>
    <row r="12" spans="1:5" x14ac:dyDescent="0.25">
      <c r="A12" s="3">
        <v>144</v>
      </c>
      <c r="B12" s="3">
        <v>25.04</v>
      </c>
      <c r="C12" s="3">
        <v>0.57943199999999995</v>
      </c>
      <c r="D12" s="3">
        <v>318.22399999999999</v>
      </c>
      <c r="E12" s="5">
        <v>1.8208300000000001E-3</v>
      </c>
    </row>
    <row r="13" spans="1:5" x14ac:dyDescent="0.25">
      <c r="A13" s="3">
        <v>153</v>
      </c>
      <c r="B13" s="3">
        <v>25.04</v>
      </c>
      <c r="C13" s="3">
        <v>0.89982200000000001</v>
      </c>
      <c r="D13" s="3">
        <v>504.34800000000001</v>
      </c>
      <c r="E13" s="5">
        <v>1.7841300000000001E-3</v>
      </c>
    </row>
    <row r="14" spans="1:5" x14ac:dyDescent="0.25">
      <c r="A14" s="3">
        <v>162</v>
      </c>
      <c r="B14" s="3">
        <v>25.04</v>
      </c>
      <c r="C14" s="3">
        <v>1.41442</v>
      </c>
      <c r="D14" s="3">
        <v>799.35199999999998</v>
      </c>
      <c r="E14" s="5">
        <v>1.76946E-3</v>
      </c>
    </row>
    <row r="15" spans="1:5" x14ac:dyDescent="0.25">
      <c r="A15" s="3">
        <v>171</v>
      </c>
      <c r="B15" s="3">
        <v>25.03</v>
      </c>
      <c r="C15" s="3">
        <v>2.2540900000000001</v>
      </c>
      <c r="D15" s="3">
        <v>1266.8699999999999</v>
      </c>
      <c r="E15" s="5">
        <v>1.77926E-3</v>
      </c>
    </row>
    <row r="16" spans="1:5" x14ac:dyDescent="0.25">
      <c r="A16" s="3">
        <v>180</v>
      </c>
      <c r="B16" s="3">
        <v>25.03</v>
      </c>
      <c r="C16" s="3">
        <v>3.5818099999999999</v>
      </c>
      <c r="D16" s="3">
        <v>1889.54</v>
      </c>
      <c r="E16" s="5">
        <v>1.8956000000000001E-3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H1" sqref="H1:Z1048576"/>
    </sheetView>
  </sheetViews>
  <sheetFormatPr defaultRowHeight="15" x14ac:dyDescent="0.25"/>
  <sheetData>
    <row r="1" spans="1:7" x14ac:dyDescent="0.25">
      <c r="A1" s="1" t="s">
        <v>12</v>
      </c>
    </row>
    <row r="2" spans="1:7" x14ac:dyDescent="0.25">
      <c r="A2" s="1" t="s">
        <v>25</v>
      </c>
      <c r="B2" s="1"/>
      <c r="C2" s="1"/>
      <c r="D2" s="1"/>
      <c r="E2" s="1"/>
    </row>
    <row r="3" spans="1:7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8" t="s">
        <v>21</v>
      </c>
      <c r="G4" s="8"/>
    </row>
    <row r="5" spans="1:7" x14ac:dyDescent="0.25">
      <c r="A5" s="3">
        <v>135</v>
      </c>
      <c r="B5" s="3">
        <v>25.05</v>
      </c>
      <c r="C5" s="3">
        <v>6.7032499999999995E-2</v>
      </c>
      <c r="D5" s="3">
        <v>12.6709</v>
      </c>
      <c r="E5" s="5">
        <v>5.2902599999999998E-3</v>
      </c>
      <c r="F5" s="6" t="e">
        <f>#REF!*D5^#REF!</f>
        <v>#REF!</v>
      </c>
      <c r="G5" s="6"/>
    </row>
    <row r="6" spans="1:7" x14ac:dyDescent="0.25">
      <c r="A6" s="3">
        <v>150</v>
      </c>
      <c r="B6" s="3">
        <v>25.04</v>
      </c>
      <c r="C6" s="3">
        <v>8.8041400000000006E-2</v>
      </c>
      <c r="D6" s="3">
        <v>20.0824</v>
      </c>
      <c r="E6" s="5">
        <v>4.3840099999999998E-3</v>
      </c>
      <c r="F6" s="6" t="e">
        <f>#REF!*D6^#REF!</f>
        <v>#REF!</v>
      </c>
      <c r="G6" s="6"/>
    </row>
    <row r="7" spans="1:7" x14ac:dyDescent="0.25">
      <c r="A7" s="3">
        <v>165</v>
      </c>
      <c r="B7" s="3">
        <v>25.04</v>
      </c>
      <c r="C7" s="3">
        <v>0.10852199999999999</v>
      </c>
      <c r="D7" s="3">
        <v>31.8291</v>
      </c>
      <c r="E7" s="5">
        <v>3.40953E-3</v>
      </c>
      <c r="F7" s="6" t="e">
        <f>#REF!*D7^#REF!</f>
        <v>#REF!</v>
      </c>
      <c r="G7" s="6"/>
    </row>
    <row r="8" spans="1:7" x14ac:dyDescent="0.25">
      <c r="A8" s="3">
        <v>180</v>
      </c>
      <c r="B8" s="3">
        <v>25.03</v>
      </c>
      <c r="C8" s="3">
        <v>0.13608100000000001</v>
      </c>
      <c r="D8" s="3">
        <v>50.445599999999999</v>
      </c>
      <c r="E8" s="5">
        <v>2.6975699999999998E-3</v>
      </c>
      <c r="F8" s="6" t="e">
        <f>#REF!*D8^#REF!</f>
        <v>#REF!</v>
      </c>
      <c r="G8" s="6"/>
    </row>
    <row r="9" spans="1:7" x14ac:dyDescent="0.25">
      <c r="A9" s="3">
        <v>195</v>
      </c>
      <c r="B9" s="3">
        <v>25.02</v>
      </c>
      <c r="C9" s="3">
        <v>0.195877</v>
      </c>
      <c r="D9" s="3">
        <v>79.9499</v>
      </c>
      <c r="E9" s="5">
        <v>2.4499999999999999E-3</v>
      </c>
      <c r="F9" s="6" t="e">
        <f>#REF!*D9^#REF!</f>
        <v>#REF!</v>
      </c>
      <c r="G9" s="6"/>
    </row>
    <row r="10" spans="1:7" x14ac:dyDescent="0.25">
      <c r="A10" s="3">
        <v>210</v>
      </c>
      <c r="B10" s="3">
        <v>25.01</v>
      </c>
      <c r="C10" s="3">
        <v>0.27786300000000003</v>
      </c>
      <c r="D10" s="3">
        <v>126.712</v>
      </c>
      <c r="E10" s="5">
        <v>2.1928799999999999E-3</v>
      </c>
      <c r="F10" s="6" t="e">
        <f>#REF!*D10^#REF!</f>
        <v>#REF!</v>
      </c>
      <c r="G10" s="6"/>
    </row>
    <row r="11" spans="1:7" x14ac:dyDescent="0.25">
      <c r="A11" s="3">
        <v>225</v>
      </c>
      <c r="B11" s="3">
        <v>25.02</v>
      </c>
      <c r="C11" s="3">
        <v>0.41140900000000002</v>
      </c>
      <c r="D11" s="3">
        <v>200.827</v>
      </c>
      <c r="E11" s="5">
        <v>2.04857E-3</v>
      </c>
      <c r="F11" s="6" t="e">
        <f>#REF!*D11^#REF!</f>
        <v>#REF!</v>
      </c>
      <c r="G11" s="6"/>
    </row>
    <row r="12" spans="1:7" x14ac:dyDescent="0.25">
      <c r="A12" s="3">
        <v>240</v>
      </c>
      <c r="B12" s="3">
        <v>25.01</v>
      </c>
      <c r="C12" s="3">
        <v>0.61820600000000003</v>
      </c>
      <c r="D12" s="3">
        <v>318.28899999999999</v>
      </c>
      <c r="E12" s="5">
        <v>1.94228E-3</v>
      </c>
      <c r="F12" s="6" t="e">
        <f>#REF!*D12^#REF!</f>
        <v>#REF!</v>
      </c>
      <c r="G12" s="6"/>
    </row>
    <row r="13" spans="1:7" x14ac:dyDescent="0.25">
      <c r="A13" s="3">
        <v>255</v>
      </c>
      <c r="B13" s="3">
        <v>25</v>
      </c>
      <c r="C13" s="3">
        <v>0.93061199999999999</v>
      </c>
      <c r="D13" s="3">
        <v>504.45100000000002</v>
      </c>
      <c r="E13" s="5">
        <v>1.8448E-3</v>
      </c>
      <c r="F13" s="6" t="e">
        <f>#REF!*D13^#REF!</f>
        <v>#REF!</v>
      </c>
      <c r="G13" s="6"/>
    </row>
    <row r="14" spans="1:7" x14ac:dyDescent="0.25">
      <c r="A14" s="3">
        <v>270</v>
      </c>
      <c r="B14" s="3">
        <v>24.99</v>
      </c>
      <c r="C14" s="3">
        <v>1.4128099999999999</v>
      </c>
      <c r="D14" s="3">
        <v>799.51900000000001</v>
      </c>
      <c r="E14" s="5">
        <v>1.7670800000000001E-3</v>
      </c>
      <c r="F14" s="6" t="e">
        <f>#REF!*D14^#REF!</f>
        <v>#REF!</v>
      </c>
      <c r="G14" s="6"/>
    </row>
    <row r="15" spans="1:7" x14ac:dyDescent="0.25">
      <c r="A15" s="3">
        <v>285</v>
      </c>
      <c r="B15" s="3">
        <v>25</v>
      </c>
      <c r="C15" s="3">
        <v>2.226</v>
      </c>
      <c r="D15" s="3">
        <v>1267.1500000000001</v>
      </c>
      <c r="E15" s="5">
        <v>1.7566999999999999E-3</v>
      </c>
      <c r="F15" s="6" t="e">
        <f>#REF!*D15^#REF!</f>
        <v>#REF!</v>
      </c>
      <c r="G15" s="6"/>
    </row>
    <row r="16" spans="1:7" x14ac:dyDescent="0.25">
      <c r="A16" s="3">
        <v>300</v>
      </c>
      <c r="B16" s="3">
        <v>24.99</v>
      </c>
      <c r="C16" s="3">
        <v>3.5006499999999998</v>
      </c>
      <c r="D16" s="3">
        <v>1889.74</v>
      </c>
      <c r="E16" s="5">
        <v>1.8524500000000001E-3</v>
      </c>
      <c r="F16" s="6" t="e">
        <f>#REF!*D16^#REF!</f>
        <v>#REF!</v>
      </c>
      <c r="G1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selection activeCell="G1" sqref="G1:Z1048576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s="1" t="s">
        <v>26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25.04</v>
      </c>
      <c r="C5" s="3">
        <v>3.3296299999999999</v>
      </c>
      <c r="D5" s="3">
        <v>12.67</v>
      </c>
      <c r="E5" s="3">
        <v>0.262797</v>
      </c>
    </row>
    <row r="6" spans="1:5" x14ac:dyDescent="0.25">
      <c r="A6" s="3">
        <v>150</v>
      </c>
      <c r="B6" s="3">
        <v>25.04</v>
      </c>
      <c r="C6" s="3">
        <v>3.31406</v>
      </c>
      <c r="D6" s="3">
        <v>20.080500000000001</v>
      </c>
      <c r="E6" s="3">
        <v>0.16503899999999999</v>
      </c>
    </row>
    <row r="7" spans="1:5" x14ac:dyDescent="0.25">
      <c r="A7" s="3">
        <v>165</v>
      </c>
      <c r="B7" s="3">
        <v>25.02</v>
      </c>
      <c r="C7" s="3">
        <v>3.1103999999999998</v>
      </c>
      <c r="D7" s="3">
        <v>31.825299999999999</v>
      </c>
      <c r="E7" s="3">
        <v>9.7733500000000001E-2</v>
      </c>
    </row>
    <row r="8" spans="1:5" x14ac:dyDescent="0.25">
      <c r="A8" s="3">
        <v>180</v>
      </c>
      <c r="B8" s="3">
        <v>25.01</v>
      </c>
      <c r="C8" s="3">
        <v>3.96469</v>
      </c>
      <c r="D8" s="3">
        <v>50.439399999999999</v>
      </c>
      <c r="E8" s="3">
        <v>7.8603099999999995E-2</v>
      </c>
    </row>
    <row r="9" spans="1:5" x14ac:dyDescent="0.25">
      <c r="A9" s="3">
        <v>195</v>
      </c>
      <c r="B9" s="3">
        <v>25</v>
      </c>
      <c r="C9" s="3">
        <v>6.1639099999999996</v>
      </c>
      <c r="D9" s="3">
        <v>79.9405</v>
      </c>
      <c r="E9" s="3">
        <v>7.71062E-2</v>
      </c>
    </row>
    <row r="10" spans="1:5" x14ac:dyDescent="0.25">
      <c r="A10" s="3">
        <v>210</v>
      </c>
      <c r="B10" s="3">
        <v>25</v>
      </c>
      <c r="C10" s="3">
        <v>7.7891700000000004</v>
      </c>
      <c r="D10" s="3">
        <v>126.699</v>
      </c>
      <c r="E10" s="3">
        <v>6.14776E-2</v>
      </c>
    </row>
    <row r="11" spans="1:5" x14ac:dyDescent="0.25">
      <c r="A11" s="3">
        <v>225</v>
      </c>
      <c r="B11" s="3">
        <v>24.99</v>
      </c>
      <c r="C11" s="3">
        <v>9.2355599999999995</v>
      </c>
      <c r="D11" s="3">
        <v>200.803</v>
      </c>
      <c r="E11" s="3">
        <v>4.5993199999999998E-2</v>
      </c>
    </row>
    <row r="12" spans="1:5" x14ac:dyDescent="0.25">
      <c r="A12" s="3">
        <v>240</v>
      </c>
      <c r="B12" s="3">
        <v>24.98</v>
      </c>
      <c r="C12" s="3">
        <v>10.7563</v>
      </c>
      <c r="D12" s="3">
        <v>318.25099999999998</v>
      </c>
      <c r="E12" s="3">
        <v>3.3798099999999998E-2</v>
      </c>
    </row>
    <row r="13" spans="1:5" x14ac:dyDescent="0.25">
      <c r="A13" s="3">
        <v>255</v>
      </c>
      <c r="B13" s="3">
        <v>24.97</v>
      </c>
      <c r="C13" s="3">
        <v>12.591900000000001</v>
      </c>
      <c r="D13" s="3">
        <v>504.39299999999997</v>
      </c>
      <c r="E13" s="3">
        <v>2.4964400000000001E-2</v>
      </c>
    </row>
    <row r="14" spans="1:5" x14ac:dyDescent="0.25">
      <c r="A14" s="3">
        <v>270</v>
      </c>
      <c r="B14" s="3">
        <v>24.98</v>
      </c>
      <c r="C14" s="3">
        <v>14.798400000000001</v>
      </c>
      <c r="D14" s="3">
        <v>799.40499999999997</v>
      </c>
      <c r="E14" s="3">
        <v>1.8511699999999999E-2</v>
      </c>
    </row>
    <row r="15" spans="1:5" x14ac:dyDescent="0.25">
      <c r="A15" s="3">
        <v>285</v>
      </c>
      <c r="B15" s="3">
        <v>24.97</v>
      </c>
      <c r="C15" s="3">
        <v>17.631499999999999</v>
      </c>
      <c r="D15" s="3">
        <v>1266.98</v>
      </c>
      <c r="E15" s="3">
        <v>1.39162E-2</v>
      </c>
    </row>
    <row r="16" spans="1:5" x14ac:dyDescent="0.25">
      <c r="A16" s="3">
        <v>300</v>
      </c>
      <c r="B16" s="3">
        <v>24.97</v>
      </c>
      <c r="C16" s="3">
        <v>21.301600000000001</v>
      </c>
      <c r="D16" s="3">
        <v>1889.51</v>
      </c>
      <c r="E16" s="3">
        <v>1.12736E-2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topLeftCell="A4" workbookViewId="0">
      <selection activeCell="G4" sqref="G1:X1048576"/>
    </sheetView>
  </sheetViews>
  <sheetFormatPr defaultRowHeight="15" x14ac:dyDescent="0.25"/>
  <sheetData>
    <row r="1" spans="1:5" x14ac:dyDescent="0.25">
      <c r="A1" s="1" t="s">
        <v>14</v>
      </c>
    </row>
    <row r="2" spans="1:5" x14ac:dyDescent="0.25">
      <c r="A2" s="1" t="s">
        <v>27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25.05</v>
      </c>
      <c r="C5" s="3">
        <v>2.42679</v>
      </c>
      <c r="D5" s="3">
        <v>12.6698</v>
      </c>
      <c r="E5" s="3">
        <v>0.19154099999999999</v>
      </c>
    </row>
    <row r="6" spans="1:5" x14ac:dyDescent="0.25">
      <c r="A6" s="3">
        <v>150</v>
      </c>
      <c r="B6" s="3">
        <v>25.05</v>
      </c>
      <c r="C6" s="3">
        <v>2.6162200000000002</v>
      </c>
      <c r="D6" s="3">
        <v>20.080300000000001</v>
      </c>
      <c r="E6" s="3">
        <v>0.13028799999999999</v>
      </c>
    </row>
    <row r="7" spans="1:5" x14ac:dyDescent="0.25">
      <c r="A7" s="3">
        <v>165</v>
      </c>
      <c r="B7" s="3">
        <v>25.04</v>
      </c>
      <c r="C7" s="3">
        <v>3.4401999999999999</v>
      </c>
      <c r="D7" s="3">
        <v>31.825500000000002</v>
      </c>
      <c r="E7" s="3">
        <v>0.108096</v>
      </c>
    </row>
    <row r="8" spans="1:5" x14ac:dyDescent="0.25">
      <c r="A8" s="3">
        <v>180</v>
      </c>
      <c r="B8" s="3">
        <v>25.02</v>
      </c>
      <c r="C8" s="3">
        <v>4.68316</v>
      </c>
      <c r="D8" s="3">
        <v>50.440199999999997</v>
      </c>
      <c r="E8" s="3">
        <v>9.2845700000000003E-2</v>
      </c>
    </row>
    <row r="9" spans="1:5" x14ac:dyDescent="0.25">
      <c r="A9" s="3">
        <v>195</v>
      </c>
      <c r="B9" s="3">
        <v>25.02</v>
      </c>
      <c r="C9" s="3">
        <v>8.3060299999999998</v>
      </c>
      <c r="D9" s="3">
        <v>79.939800000000005</v>
      </c>
      <c r="E9" s="3">
        <v>0.103903</v>
      </c>
    </row>
    <row r="10" spans="1:5" x14ac:dyDescent="0.25">
      <c r="A10" s="3">
        <v>210</v>
      </c>
      <c r="B10" s="3">
        <v>25</v>
      </c>
      <c r="C10" s="3">
        <v>10.7287</v>
      </c>
      <c r="D10" s="3">
        <v>126.699</v>
      </c>
      <c r="E10" s="3">
        <v>8.4678900000000001E-2</v>
      </c>
    </row>
    <row r="11" spans="1:5" x14ac:dyDescent="0.25">
      <c r="A11" s="3">
        <v>225</v>
      </c>
      <c r="B11" s="3">
        <v>24.99</v>
      </c>
      <c r="C11" s="3">
        <v>12.3559</v>
      </c>
      <c r="D11" s="3">
        <v>200.80099999999999</v>
      </c>
      <c r="E11" s="3">
        <v>6.1533200000000003E-2</v>
      </c>
    </row>
    <row r="12" spans="1:5" x14ac:dyDescent="0.25">
      <c r="A12" s="3">
        <v>240</v>
      </c>
      <c r="B12" s="3">
        <v>24.98</v>
      </c>
      <c r="C12" s="3">
        <v>14.136100000000001</v>
      </c>
      <c r="D12" s="3">
        <v>318.25</v>
      </c>
      <c r="E12" s="3">
        <v>4.4418300000000001E-2</v>
      </c>
    </row>
    <row r="13" spans="1:5" x14ac:dyDescent="0.25">
      <c r="A13" s="3">
        <v>255</v>
      </c>
      <c r="B13" s="3">
        <v>24.98</v>
      </c>
      <c r="C13" s="3">
        <v>16.484000000000002</v>
      </c>
      <c r="D13" s="3">
        <v>504.39699999999999</v>
      </c>
      <c r="E13" s="3">
        <v>3.2680500000000001E-2</v>
      </c>
    </row>
    <row r="14" spans="1:5" x14ac:dyDescent="0.25">
      <c r="A14" s="3">
        <v>270</v>
      </c>
      <c r="B14" s="3">
        <v>24.98</v>
      </c>
      <c r="C14" s="3">
        <v>19.5608</v>
      </c>
      <c r="D14" s="3">
        <v>799.42100000000005</v>
      </c>
      <c r="E14" s="3">
        <v>2.4468699999999999E-2</v>
      </c>
    </row>
    <row r="15" spans="1:5" x14ac:dyDescent="0.25">
      <c r="A15" s="3">
        <v>285</v>
      </c>
      <c r="B15" s="3">
        <v>24.98</v>
      </c>
      <c r="C15" s="3">
        <v>23.877099999999999</v>
      </c>
      <c r="D15" s="3">
        <v>1266.97</v>
      </c>
      <c r="E15" s="3">
        <v>1.8845899999999999E-2</v>
      </c>
    </row>
    <row r="16" spans="1:5" x14ac:dyDescent="0.25">
      <c r="A16" s="3">
        <v>300</v>
      </c>
      <c r="B16" s="3">
        <v>24.97</v>
      </c>
      <c r="C16" s="3">
        <v>29.326000000000001</v>
      </c>
      <c r="D16" s="3">
        <v>1889.48</v>
      </c>
      <c r="E16" s="3">
        <v>1.5520600000000001E-2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>
      <selection activeCell="G25" sqref="G1:Z1048576"/>
    </sheetView>
  </sheetViews>
  <sheetFormatPr defaultRowHeight="15" x14ac:dyDescent="0.25"/>
  <sheetData>
    <row r="1" spans="1:5" x14ac:dyDescent="0.25">
      <c r="A1" t="s">
        <v>15</v>
      </c>
    </row>
    <row r="2" spans="1:5" x14ac:dyDescent="0.25">
      <c r="A2" s="1" t="s">
        <v>28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25.12</v>
      </c>
      <c r="C5" s="3">
        <v>9.7586099999999991</v>
      </c>
      <c r="D5" s="3">
        <v>12.670400000000001</v>
      </c>
      <c r="E5" s="3">
        <v>0.77019000000000004</v>
      </c>
    </row>
    <row r="6" spans="1:5" x14ac:dyDescent="0.25">
      <c r="A6" s="3">
        <v>150</v>
      </c>
      <c r="B6" s="3">
        <v>25.09</v>
      </c>
      <c r="C6" s="3">
        <v>10.1744</v>
      </c>
      <c r="D6" s="3">
        <v>20.0806</v>
      </c>
      <c r="E6" s="3">
        <v>0.50667899999999999</v>
      </c>
    </row>
    <row r="7" spans="1:5" x14ac:dyDescent="0.25">
      <c r="A7" s="3">
        <v>165</v>
      </c>
      <c r="B7" s="3">
        <v>25.07</v>
      </c>
      <c r="C7" s="3">
        <v>10.953799999999999</v>
      </c>
      <c r="D7" s="3">
        <v>31.825900000000001</v>
      </c>
      <c r="E7" s="3">
        <v>0.34417999999999999</v>
      </c>
    </row>
    <row r="8" spans="1:5" x14ac:dyDescent="0.25">
      <c r="A8" s="3">
        <v>180</v>
      </c>
      <c r="B8" s="3">
        <v>25.04</v>
      </c>
      <c r="C8" s="3">
        <v>11.5809</v>
      </c>
      <c r="D8" s="3">
        <v>50.439799999999998</v>
      </c>
      <c r="E8" s="3">
        <v>0.229598</v>
      </c>
    </row>
    <row r="9" spans="1:5" x14ac:dyDescent="0.25">
      <c r="A9" s="3">
        <v>195</v>
      </c>
      <c r="B9" s="3">
        <v>25.01</v>
      </c>
      <c r="C9" s="3">
        <v>13.0886</v>
      </c>
      <c r="D9" s="3">
        <v>79.941000000000003</v>
      </c>
      <c r="E9" s="3">
        <v>0.16372800000000001</v>
      </c>
    </row>
    <row r="10" spans="1:5" x14ac:dyDescent="0.25">
      <c r="A10" s="3">
        <v>210</v>
      </c>
      <c r="B10" s="3">
        <v>24.98</v>
      </c>
      <c r="C10" s="3">
        <v>14.2897</v>
      </c>
      <c r="D10" s="3">
        <v>126.69799999999999</v>
      </c>
      <c r="E10" s="3">
        <v>0.112786</v>
      </c>
    </row>
    <row r="11" spans="1:5" x14ac:dyDescent="0.25">
      <c r="A11" s="3">
        <v>225</v>
      </c>
      <c r="B11" s="3">
        <v>24.97</v>
      </c>
      <c r="C11" s="3">
        <v>15.234</v>
      </c>
      <c r="D11" s="3">
        <v>200.80699999999999</v>
      </c>
      <c r="E11" s="3">
        <v>7.5864100000000004E-2</v>
      </c>
    </row>
    <row r="12" spans="1:5" x14ac:dyDescent="0.25">
      <c r="A12" s="3">
        <v>240</v>
      </c>
      <c r="B12" s="3">
        <v>24.96</v>
      </c>
      <c r="C12" s="3">
        <v>16.362200000000001</v>
      </c>
      <c r="D12" s="3">
        <v>318.24599999999998</v>
      </c>
      <c r="E12" s="3">
        <v>5.14137E-2</v>
      </c>
    </row>
    <row r="13" spans="1:5" x14ac:dyDescent="0.25">
      <c r="A13" s="3">
        <v>255</v>
      </c>
      <c r="B13" s="3">
        <v>24.94</v>
      </c>
      <c r="C13" s="3">
        <v>17.938099999999999</v>
      </c>
      <c r="D13" s="3">
        <v>504.40899999999999</v>
      </c>
      <c r="E13" s="3">
        <v>3.5562700000000003E-2</v>
      </c>
    </row>
    <row r="14" spans="1:5" x14ac:dyDescent="0.25">
      <c r="A14" s="3">
        <v>270</v>
      </c>
      <c r="B14" s="3">
        <v>24.94</v>
      </c>
      <c r="C14" s="3">
        <v>20.181100000000001</v>
      </c>
      <c r="D14" s="3">
        <v>799.41899999999998</v>
      </c>
      <c r="E14" s="3">
        <v>2.5244699999999998E-2</v>
      </c>
    </row>
    <row r="15" spans="1:5" x14ac:dyDescent="0.25">
      <c r="A15" s="3">
        <v>285</v>
      </c>
      <c r="B15" s="3">
        <v>24.93</v>
      </c>
      <c r="C15" s="3">
        <v>23.312100000000001</v>
      </c>
      <c r="D15" s="3">
        <v>1267.02</v>
      </c>
      <c r="E15" s="3">
        <v>1.8399200000000001E-2</v>
      </c>
    </row>
    <row r="16" spans="1:5" x14ac:dyDescent="0.25">
      <c r="A16" s="3">
        <v>300</v>
      </c>
      <c r="B16" s="3">
        <v>24.93</v>
      </c>
      <c r="C16" s="3">
        <v>27.081099999999999</v>
      </c>
      <c r="D16" s="3">
        <v>1889.51</v>
      </c>
      <c r="E16" s="3">
        <v>1.43324E-2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"/>
  <sheetViews>
    <sheetView workbookViewId="0">
      <selection activeCell="G1" sqref="G1:V1048576"/>
    </sheetView>
  </sheetViews>
  <sheetFormatPr defaultRowHeight="15" x14ac:dyDescent="0.25"/>
  <sheetData>
    <row r="1" spans="1:5" x14ac:dyDescent="0.25">
      <c r="A1" t="s">
        <v>16</v>
      </c>
    </row>
    <row r="2" spans="1:5" x14ac:dyDescent="0.25">
      <c r="A2" s="1" t="s">
        <v>29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25.04</v>
      </c>
      <c r="C5" s="3">
        <v>2.1454</v>
      </c>
      <c r="D5" s="3">
        <v>12.6707</v>
      </c>
      <c r="E5" s="3">
        <v>0.169321</v>
      </c>
    </row>
    <row r="6" spans="1:5" x14ac:dyDescent="0.25">
      <c r="A6" s="3">
        <v>150</v>
      </c>
      <c r="B6" s="3">
        <v>25.04</v>
      </c>
      <c r="C6" s="3">
        <v>2.7304900000000001</v>
      </c>
      <c r="D6" s="3">
        <v>20.081299999999999</v>
      </c>
      <c r="E6" s="3">
        <v>0.13597200000000001</v>
      </c>
    </row>
    <row r="7" spans="1:5" x14ac:dyDescent="0.25">
      <c r="A7" s="3">
        <v>165</v>
      </c>
      <c r="B7" s="3">
        <v>25.02</v>
      </c>
      <c r="C7" s="3">
        <v>3.0992299999999999</v>
      </c>
      <c r="D7" s="3">
        <v>31.8264</v>
      </c>
      <c r="E7" s="3">
        <v>9.7379300000000002E-2</v>
      </c>
    </row>
    <row r="8" spans="1:5" x14ac:dyDescent="0.25">
      <c r="A8" s="3">
        <v>180</v>
      </c>
      <c r="B8" s="3">
        <v>25.02</v>
      </c>
      <c r="C8" s="3">
        <v>4.0225799999999996</v>
      </c>
      <c r="D8" s="3">
        <v>50.441499999999998</v>
      </c>
      <c r="E8" s="3">
        <v>7.9747499999999999E-2</v>
      </c>
    </row>
    <row r="9" spans="1:5" x14ac:dyDescent="0.25">
      <c r="A9" s="3">
        <v>195</v>
      </c>
      <c r="B9" s="3">
        <v>25.01</v>
      </c>
      <c r="C9" s="3">
        <v>5.2820400000000003</v>
      </c>
      <c r="D9" s="3">
        <v>79.944400000000002</v>
      </c>
      <c r="E9" s="3">
        <v>6.6071400000000002E-2</v>
      </c>
    </row>
    <row r="10" spans="1:5" x14ac:dyDescent="0.25">
      <c r="A10" s="3">
        <v>210</v>
      </c>
      <c r="B10" s="3">
        <v>25.01</v>
      </c>
      <c r="C10" s="3">
        <v>6.3606299999999996</v>
      </c>
      <c r="D10" s="3">
        <v>126.70099999999999</v>
      </c>
      <c r="E10" s="3">
        <v>5.0201799999999998E-2</v>
      </c>
    </row>
    <row r="11" spans="1:5" x14ac:dyDescent="0.25">
      <c r="A11" s="3">
        <v>225</v>
      </c>
      <c r="B11" s="3">
        <v>24.99</v>
      </c>
      <c r="C11" s="3">
        <v>7.57193</v>
      </c>
      <c r="D11" s="3">
        <v>200.80500000000001</v>
      </c>
      <c r="E11" s="3">
        <v>3.7707900000000003E-2</v>
      </c>
    </row>
    <row r="12" spans="1:5" x14ac:dyDescent="0.25">
      <c r="A12" s="3">
        <v>240</v>
      </c>
      <c r="B12" s="3">
        <v>25</v>
      </c>
      <c r="C12" s="3">
        <v>8.7058199999999992</v>
      </c>
      <c r="D12" s="3">
        <v>318.25599999999997</v>
      </c>
      <c r="E12" s="3">
        <v>2.7354799999999999E-2</v>
      </c>
    </row>
    <row r="13" spans="1:5" x14ac:dyDescent="0.25">
      <c r="A13" s="3">
        <v>255</v>
      </c>
      <c r="B13" s="3">
        <v>25</v>
      </c>
      <c r="C13" s="3">
        <v>10.1065</v>
      </c>
      <c r="D13" s="3">
        <v>504.428</v>
      </c>
      <c r="E13" s="3">
        <v>2.0035500000000001E-2</v>
      </c>
    </row>
    <row r="14" spans="1:5" x14ac:dyDescent="0.25">
      <c r="A14" s="3">
        <v>270</v>
      </c>
      <c r="B14" s="3">
        <v>24.99</v>
      </c>
      <c r="C14" s="3">
        <v>11.985200000000001</v>
      </c>
      <c r="D14" s="3">
        <v>799.43600000000004</v>
      </c>
      <c r="E14" s="3">
        <v>1.49921E-2</v>
      </c>
    </row>
    <row r="15" spans="1:5" x14ac:dyDescent="0.25">
      <c r="A15" s="3">
        <v>285</v>
      </c>
      <c r="B15" s="3">
        <v>24.99</v>
      </c>
      <c r="C15" s="3">
        <v>14.7028</v>
      </c>
      <c r="D15" s="3">
        <v>1267.04</v>
      </c>
      <c r="E15" s="3">
        <v>1.1604E-2</v>
      </c>
    </row>
    <row r="16" spans="1:5" x14ac:dyDescent="0.25">
      <c r="A16" s="3">
        <v>300</v>
      </c>
      <c r="B16" s="3">
        <v>24.99</v>
      </c>
      <c r="C16" s="3">
        <v>18.2956</v>
      </c>
      <c r="D16" s="3">
        <v>1889.55</v>
      </c>
      <c r="E16" s="5">
        <v>9.6825599999999998E-3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G1" sqref="G1:Z1048576"/>
    </sheetView>
  </sheetViews>
  <sheetFormatPr defaultRowHeight="15" x14ac:dyDescent="0.25"/>
  <sheetData>
    <row r="1" spans="1:5" x14ac:dyDescent="0.25">
      <c r="A1" t="s">
        <v>17</v>
      </c>
    </row>
    <row r="2" spans="1:5" x14ac:dyDescent="0.25">
      <c r="A2" s="1" t="s">
        <v>30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25.05</v>
      </c>
      <c r="C5" s="3">
        <v>3.7823199999999999</v>
      </c>
      <c r="D5" s="3">
        <v>12.6698</v>
      </c>
      <c r="E5" s="3">
        <v>0.29853000000000002</v>
      </c>
    </row>
    <row r="6" spans="1:5" x14ac:dyDescent="0.25">
      <c r="A6" s="3">
        <v>150</v>
      </c>
      <c r="B6" s="3">
        <v>25.03</v>
      </c>
      <c r="C6" s="3">
        <v>2.45452</v>
      </c>
      <c r="D6" s="3">
        <v>20.0806</v>
      </c>
      <c r="E6" s="3">
        <v>0.122234</v>
      </c>
    </row>
    <row r="7" spans="1:5" x14ac:dyDescent="0.25">
      <c r="A7" s="3">
        <v>165</v>
      </c>
      <c r="B7" s="3">
        <v>25.03</v>
      </c>
      <c r="C7" s="3">
        <v>2.46224</v>
      </c>
      <c r="D7" s="3">
        <v>31.825399999999998</v>
      </c>
      <c r="E7" s="3">
        <v>7.7367099999999994E-2</v>
      </c>
    </row>
    <row r="8" spans="1:5" x14ac:dyDescent="0.25">
      <c r="A8" s="3">
        <v>180</v>
      </c>
      <c r="B8" s="3">
        <v>25.02</v>
      </c>
      <c r="C8" s="3">
        <v>3.1159300000000001</v>
      </c>
      <c r="D8" s="3">
        <v>50.438699999999997</v>
      </c>
      <c r="E8" s="3">
        <v>6.1776600000000001E-2</v>
      </c>
    </row>
    <row r="9" spans="1:5" x14ac:dyDescent="0.25">
      <c r="A9" s="3">
        <v>195</v>
      </c>
      <c r="B9" s="3">
        <v>25.01</v>
      </c>
      <c r="C9" s="3">
        <v>4.8891200000000001</v>
      </c>
      <c r="D9" s="3">
        <v>79.937899999999999</v>
      </c>
      <c r="E9" s="3">
        <v>6.1161399999999998E-2</v>
      </c>
    </row>
    <row r="10" spans="1:5" x14ac:dyDescent="0.25">
      <c r="A10" s="3">
        <v>210</v>
      </c>
      <c r="B10" s="3">
        <v>25.01</v>
      </c>
      <c r="C10" s="3">
        <v>7.0657100000000002</v>
      </c>
      <c r="D10" s="3">
        <v>126.69499999999999</v>
      </c>
      <c r="E10" s="3">
        <v>5.5769600000000003E-2</v>
      </c>
    </row>
    <row r="11" spans="1:5" x14ac:dyDescent="0.25">
      <c r="A11" s="3">
        <v>225</v>
      </c>
      <c r="B11" s="3">
        <v>25</v>
      </c>
      <c r="C11" s="3">
        <v>8.1438100000000002</v>
      </c>
      <c r="D11" s="3">
        <v>200.79900000000001</v>
      </c>
      <c r="E11" s="3">
        <v>4.0557099999999999E-2</v>
      </c>
    </row>
    <row r="12" spans="1:5" x14ac:dyDescent="0.25">
      <c r="A12" s="3">
        <v>240</v>
      </c>
      <c r="B12" s="3">
        <v>24.99</v>
      </c>
      <c r="C12" s="3">
        <v>9.19191</v>
      </c>
      <c r="D12" s="3">
        <v>318.23399999999998</v>
      </c>
      <c r="E12" s="3">
        <v>2.8884199999999999E-2</v>
      </c>
    </row>
    <row r="13" spans="1:5" x14ac:dyDescent="0.25">
      <c r="A13" s="3">
        <v>255</v>
      </c>
      <c r="B13" s="3">
        <v>24.99</v>
      </c>
      <c r="C13" s="3">
        <v>10.445</v>
      </c>
      <c r="D13" s="3">
        <v>504.36599999999999</v>
      </c>
      <c r="E13" s="3">
        <v>2.0709100000000001E-2</v>
      </c>
    </row>
    <row r="14" spans="1:5" x14ac:dyDescent="0.25">
      <c r="A14" s="3">
        <v>270</v>
      </c>
      <c r="B14" s="3">
        <v>24.99</v>
      </c>
      <c r="C14" s="3">
        <v>11.9597</v>
      </c>
      <c r="D14" s="3">
        <v>799.37300000000005</v>
      </c>
      <c r="E14" s="3">
        <v>1.49614E-2</v>
      </c>
    </row>
    <row r="15" spans="1:5" x14ac:dyDescent="0.25">
      <c r="A15" s="3">
        <v>285</v>
      </c>
      <c r="B15" s="3">
        <v>24.99</v>
      </c>
      <c r="C15" s="3">
        <v>14.1198</v>
      </c>
      <c r="D15" s="3">
        <v>1266.9100000000001</v>
      </c>
      <c r="E15" s="3">
        <v>1.1145E-2</v>
      </c>
    </row>
    <row r="16" spans="1:5" x14ac:dyDescent="0.25">
      <c r="A16" s="3">
        <v>300</v>
      </c>
      <c r="B16" s="3">
        <v>24.98</v>
      </c>
      <c r="C16" s="3">
        <v>16.749199999999998</v>
      </c>
      <c r="D16" s="3">
        <v>1889.36</v>
      </c>
      <c r="E16" s="5">
        <v>8.8649699999999998E-3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topLeftCell="A4" workbookViewId="0">
      <selection activeCell="G4" sqref="G1:X1048576"/>
    </sheetView>
  </sheetViews>
  <sheetFormatPr defaultRowHeight="15" x14ac:dyDescent="0.25"/>
  <sheetData>
    <row r="1" spans="1:5" x14ac:dyDescent="0.25">
      <c r="A1" t="s">
        <v>18</v>
      </c>
    </row>
    <row r="2" spans="1:5" x14ac:dyDescent="0.25">
      <c r="A2" s="1" t="s">
        <v>31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25.03</v>
      </c>
      <c r="C5" s="3">
        <v>0.25260899999999997</v>
      </c>
      <c r="D5" s="3">
        <v>12.670299999999999</v>
      </c>
      <c r="E5" s="3">
        <v>1.9937199999999999E-2</v>
      </c>
    </row>
    <row r="6" spans="1:5" x14ac:dyDescent="0.25">
      <c r="A6" s="3">
        <v>150</v>
      </c>
      <c r="B6" s="3">
        <v>25.04</v>
      </c>
      <c r="C6" s="3">
        <v>0.69379800000000003</v>
      </c>
      <c r="D6" s="3">
        <v>20.0809</v>
      </c>
      <c r="E6" s="3">
        <v>3.45501E-2</v>
      </c>
    </row>
    <row r="7" spans="1:5" x14ac:dyDescent="0.25">
      <c r="A7" s="3">
        <v>165</v>
      </c>
      <c r="B7" s="3">
        <v>25.02</v>
      </c>
      <c r="C7" s="3">
        <v>1.71661</v>
      </c>
      <c r="D7" s="3">
        <v>31.825800000000001</v>
      </c>
      <c r="E7" s="3">
        <v>5.3937699999999998E-2</v>
      </c>
    </row>
    <row r="8" spans="1:5" x14ac:dyDescent="0.25">
      <c r="A8" s="3">
        <v>180</v>
      </c>
      <c r="B8" s="3">
        <v>25.02</v>
      </c>
      <c r="C8" s="3">
        <v>2.5949900000000001</v>
      </c>
      <c r="D8" s="3">
        <v>50.441000000000003</v>
      </c>
      <c r="E8" s="3">
        <v>5.1446100000000002E-2</v>
      </c>
    </row>
    <row r="9" spans="1:5" x14ac:dyDescent="0.25">
      <c r="A9" s="3">
        <v>195</v>
      </c>
      <c r="B9" s="3">
        <v>25.01</v>
      </c>
      <c r="C9" s="3">
        <v>3.56698</v>
      </c>
      <c r="D9" s="3">
        <v>79.941699999999997</v>
      </c>
      <c r="E9" s="3">
        <v>4.4619699999999998E-2</v>
      </c>
    </row>
    <row r="10" spans="1:5" x14ac:dyDescent="0.25">
      <c r="A10" s="3">
        <v>210</v>
      </c>
      <c r="B10" s="3">
        <v>25</v>
      </c>
      <c r="C10" s="3">
        <v>4.1100500000000002</v>
      </c>
      <c r="D10" s="3">
        <v>126.69499999999999</v>
      </c>
      <c r="E10" s="3">
        <v>3.2440499999999997E-2</v>
      </c>
    </row>
    <row r="11" spans="1:5" x14ac:dyDescent="0.25">
      <c r="A11" s="3">
        <v>225</v>
      </c>
      <c r="B11" s="3">
        <v>24.99</v>
      </c>
      <c r="C11" s="3">
        <v>5.1136900000000001</v>
      </c>
      <c r="D11" s="3">
        <v>200.797</v>
      </c>
      <c r="E11" s="3">
        <v>2.5466900000000001E-2</v>
      </c>
    </row>
    <row r="12" spans="1:5" x14ac:dyDescent="0.25">
      <c r="A12" s="3">
        <v>240</v>
      </c>
      <c r="B12" s="3">
        <v>25</v>
      </c>
      <c r="C12" s="3">
        <v>6.1686500000000004</v>
      </c>
      <c r="D12" s="3">
        <v>318.24299999999999</v>
      </c>
      <c r="E12" s="3">
        <v>1.9383500000000001E-2</v>
      </c>
    </row>
    <row r="13" spans="1:5" x14ac:dyDescent="0.25">
      <c r="A13" s="3">
        <v>255</v>
      </c>
      <c r="B13" s="3">
        <v>24.99</v>
      </c>
      <c r="C13" s="3">
        <v>7.3156499999999998</v>
      </c>
      <c r="D13" s="3">
        <v>504.39499999999998</v>
      </c>
      <c r="E13" s="3">
        <v>1.4503800000000001E-2</v>
      </c>
    </row>
    <row r="14" spans="1:5" x14ac:dyDescent="0.25">
      <c r="A14" s="3">
        <v>270</v>
      </c>
      <c r="B14" s="3">
        <v>24.99</v>
      </c>
      <c r="C14" s="3">
        <v>8.8465100000000003</v>
      </c>
      <c r="D14" s="3">
        <v>799.428</v>
      </c>
      <c r="E14" s="3">
        <v>1.1066100000000001E-2</v>
      </c>
    </row>
    <row r="15" spans="1:5" x14ac:dyDescent="0.25">
      <c r="A15" s="3">
        <v>285</v>
      </c>
      <c r="B15" s="3">
        <v>24.99</v>
      </c>
      <c r="C15" s="3">
        <v>10.9688</v>
      </c>
      <c r="D15" s="3">
        <v>1266.98</v>
      </c>
      <c r="E15" s="5">
        <v>8.6574900000000003E-3</v>
      </c>
    </row>
    <row r="16" spans="1:5" x14ac:dyDescent="0.25">
      <c r="A16" s="3">
        <v>300</v>
      </c>
      <c r="B16" s="3">
        <v>24.99</v>
      </c>
      <c r="C16" s="3">
        <v>13.5832</v>
      </c>
      <c r="D16" s="3">
        <v>1889.46</v>
      </c>
      <c r="E16" s="5">
        <v>7.1888999999999998E-3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6"/>
  <sheetViews>
    <sheetView workbookViewId="0">
      <selection activeCell="G19" sqref="G1:W1048576"/>
    </sheetView>
  </sheetViews>
  <sheetFormatPr defaultRowHeight="15" x14ac:dyDescent="0.25"/>
  <sheetData>
    <row r="1" spans="1:5" x14ac:dyDescent="0.25">
      <c r="A1" t="s">
        <v>19</v>
      </c>
    </row>
    <row r="2" spans="1:5" x14ac:dyDescent="0.25">
      <c r="A2" s="1" t="s">
        <v>32</v>
      </c>
      <c r="B2" s="1"/>
      <c r="C2" s="1"/>
      <c r="D2" s="1"/>
      <c r="E2" s="1"/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25.05</v>
      </c>
      <c r="C5" s="3">
        <v>6.8184399999999998</v>
      </c>
      <c r="D5" s="3">
        <v>12.67</v>
      </c>
      <c r="E5" s="3">
        <v>0.538157</v>
      </c>
    </row>
    <row r="6" spans="1:5" x14ac:dyDescent="0.25">
      <c r="A6" s="3">
        <v>150</v>
      </c>
      <c r="B6" s="3">
        <v>25.05</v>
      </c>
      <c r="C6" s="3">
        <v>8.5444499999999994</v>
      </c>
      <c r="D6" s="3">
        <v>20.080200000000001</v>
      </c>
      <c r="E6" s="3">
        <v>0.42551699999999998</v>
      </c>
    </row>
    <row r="7" spans="1:5" x14ac:dyDescent="0.25">
      <c r="A7" s="3">
        <v>165</v>
      </c>
      <c r="B7" s="3">
        <v>25.04</v>
      </c>
      <c r="C7" s="3">
        <v>7.7750599999999999</v>
      </c>
      <c r="D7" s="3">
        <v>31.825299999999999</v>
      </c>
      <c r="E7" s="3">
        <v>0.24430499999999999</v>
      </c>
    </row>
    <row r="8" spans="1:5" x14ac:dyDescent="0.25">
      <c r="A8" s="3">
        <v>180</v>
      </c>
      <c r="B8" s="3">
        <v>25.03</v>
      </c>
      <c r="C8" s="3">
        <v>9.46861</v>
      </c>
      <c r="D8" s="3">
        <v>50.4392</v>
      </c>
      <c r="E8" s="3">
        <v>0.187723</v>
      </c>
    </row>
    <row r="9" spans="1:5" x14ac:dyDescent="0.25">
      <c r="A9" s="3">
        <v>195</v>
      </c>
      <c r="B9" s="3">
        <v>25.01</v>
      </c>
      <c r="C9" s="3">
        <v>13.7324</v>
      </c>
      <c r="D9" s="3">
        <v>79.940799999999996</v>
      </c>
      <c r="E9" s="3">
        <v>0.17178199999999999</v>
      </c>
    </row>
    <row r="10" spans="1:5" x14ac:dyDescent="0.25">
      <c r="A10" s="3">
        <v>210</v>
      </c>
      <c r="B10" s="3">
        <v>25.01</v>
      </c>
      <c r="C10" s="3">
        <v>17.544599999999999</v>
      </c>
      <c r="D10" s="3">
        <v>126.697</v>
      </c>
      <c r="E10" s="3">
        <v>0.13847599999999999</v>
      </c>
    </row>
    <row r="11" spans="1:5" x14ac:dyDescent="0.25">
      <c r="A11" s="3">
        <v>225</v>
      </c>
      <c r="B11" s="3">
        <v>25</v>
      </c>
      <c r="C11" s="3">
        <v>19.683399999999999</v>
      </c>
      <c r="D11" s="3">
        <v>200.80199999999999</v>
      </c>
      <c r="E11" s="3">
        <v>9.8024299999999995E-2</v>
      </c>
    </row>
    <row r="12" spans="1:5" x14ac:dyDescent="0.25">
      <c r="A12" s="3">
        <v>240</v>
      </c>
      <c r="B12" s="3">
        <v>24.99</v>
      </c>
      <c r="C12" s="3">
        <v>21.514099999999999</v>
      </c>
      <c r="D12" s="3">
        <v>318.24700000000001</v>
      </c>
      <c r="E12" s="3">
        <v>6.7601999999999995E-2</v>
      </c>
    </row>
    <row r="13" spans="1:5" x14ac:dyDescent="0.25">
      <c r="A13" s="3">
        <v>255</v>
      </c>
      <c r="B13" s="3">
        <v>24.98</v>
      </c>
      <c r="C13" s="3">
        <v>23.5365</v>
      </c>
      <c r="D13" s="3">
        <v>504.38299999999998</v>
      </c>
      <c r="E13" s="3">
        <v>4.6663999999999997E-2</v>
      </c>
    </row>
    <row r="14" spans="1:5" x14ac:dyDescent="0.25">
      <c r="A14" s="3">
        <v>270</v>
      </c>
      <c r="B14" s="3">
        <v>24.98</v>
      </c>
      <c r="C14" s="3">
        <v>26.0977</v>
      </c>
      <c r="D14" s="3">
        <v>799.40200000000004</v>
      </c>
      <c r="E14" s="3">
        <v>3.2646500000000002E-2</v>
      </c>
    </row>
    <row r="15" spans="1:5" x14ac:dyDescent="0.25">
      <c r="A15" s="3">
        <v>285</v>
      </c>
      <c r="B15" s="3">
        <v>24.98</v>
      </c>
      <c r="C15" s="3">
        <v>29.415400000000002</v>
      </c>
      <c r="D15" s="3">
        <v>1266.97</v>
      </c>
      <c r="E15" s="3">
        <v>2.3217000000000002E-2</v>
      </c>
    </row>
    <row r="16" spans="1:5" x14ac:dyDescent="0.25">
      <c r="A16" s="3">
        <v>300</v>
      </c>
      <c r="B16" s="3">
        <v>24.97</v>
      </c>
      <c r="C16" s="3">
        <v>33.287999999999997</v>
      </c>
      <c r="D16" s="3">
        <v>1889.53</v>
      </c>
      <c r="E16" s="3">
        <v>1.76171E-2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workbookViewId="0">
      <selection activeCell="O21" sqref="O21"/>
    </sheetView>
  </sheetViews>
  <sheetFormatPr defaultRowHeight="15" x14ac:dyDescent="0.25"/>
  <sheetData>
    <row r="1" spans="1:5" x14ac:dyDescent="0.25">
      <c r="A1" t="s">
        <v>20</v>
      </c>
    </row>
    <row r="2" spans="1:5" x14ac:dyDescent="0.25">
      <c r="A2" t="s">
        <v>33</v>
      </c>
    </row>
    <row r="3" spans="1:5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25">
      <c r="A5" s="3">
        <v>135</v>
      </c>
      <c r="B5" s="3">
        <v>25.03</v>
      </c>
      <c r="C5" s="3">
        <v>1.6325099999999999</v>
      </c>
      <c r="D5" s="3">
        <v>12.6694</v>
      </c>
      <c r="E5" s="3">
        <v>0.128854</v>
      </c>
    </row>
    <row r="6" spans="1:5" x14ac:dyDescent="0.25">
      <c r="A6" s="3">
        <v>150</v>
      </c>
      <c r="B6" s="3">
        <v>25.03</v>
      </c>
      <c r="C6" s="3">
        <v>2.7882500000000001</v>
      </c>
      <c r="D6" s="3">
        <v>20.080100000000002</v>
      </c>
      <c r="E6" s="3">
        <v>0.13885600000000001</v>
      </c>
    </row>
    <row r="7" spans="1:5" x14ac:dyDescent="0.25">
      <c r="A7" s="3">
        <v>165</v>
      </c>
      <c r="B7" s="3">
        <v>25.02</v>
      </c>
      <c r="C7" s="3">
        <v>3.87357</v>
      </c>
      <c r="D7" s="3">
        <v>31.824999999999999</v>
      </c>
      <c r="E7" s="3">
        <v>0.121714</v>
      </c>
    </row>
    <row r="8" spans="1:5" x14ac:dyDescent="0.25">
      <c r="A8" s="3">
        <v>180</v>
      </c>
      <c r="B8" s="3">
        <v>25.02</v>
      </c>
      <c r="C8" s="3">
        <v>6.20418</v>
      </c>
      <c r="D8" s="3">
        <v>50.4373</v>
      </c>
      <c r="E8" s="3">
        <v>0.12300800000000001</v>
      </c>
    </row>
    <row r="9" spans="1:5" x14ac:dyDescent="0.25">
      <c r="A9" s="3">
        <v>195</v>
      </c>
      <c r="B9" s="3">
        <v>25.01</v>
      </c>
      <c r="C9" s="3">
        <v>10.116899999999999</v>
      </c>
      <c r="D9" s="3">
        <v>79.939099999999996</v>
      </c>
      <c r="E9" s="3">
        <v>0.126558</v>
      </c>
    </row>
    <row r="10" spans="1:5" x14ac:dyDescent="0.25">
      <c r="A10" s="3">
        <v>210</v>
      </c>
      <c r="B10" s="3">
        <v>25.02</v>
      </c>
      <c r="C10" s="3">
        <v>14.021000000000001</v>
      </c>
      <c r="D10" s="3">
        <v>126.69199999999999</v>
      </c>
      <c r="E10" s="3">
        <v>0.11067</v>
      </c>
    </row>
    <row r="11" spans="1:5" x14ac:dyDescent="0.25">
      <c r="A11" s="3">
        <v>225</v>
      </c>
      <c r="B11" s="3">
        <v>25.01</v>
      </c>
      <c r="C11" s="3">
        <v>16.607700000000001</v>
      </c>
      <c r="D11" s="3">
        <v>200.79599999999999</v>
      </c>
      <c r="E11" s="3">
        <v>8.2709699999999997E-2</v>
      </c>
    </row>
    <row r="12" spans="1:5" x14ac:dyDescent="0.25">
      <c r="A12" s="3">
        <v>240</v>
      </c>
      <c r="B12" s="3">
        <v>25</v>
      </c>
      <c r="C12" s="3">
        <v>18.9559</v>
      </c>
      <c r="D12" s="3">
        <v>318.22500000000002</v>
      </c>
      <c r="E12" s="3">
        <v>5.9567500000000002E-2</v>
      </c>
    </row>
    <row r="13" spans="1:5" x14ac:dyDescent="0.25">
      <c r="A13" s="3">
        <v>255</v>
      </c>
      <c r="B13" s="3">
        <v>25</v>
      </c>
      <c r="C13" s="3">
        <v>21.401800000000001</v>
      </c>
      <c r="D13" s="3">
        <v>504.363</v>
      </c>
      <c r="E13" s="3">
        <v>4.24333E-2</v>
      </c>
    </row>
    <row r="14" spans="1:5" x14ac:dyDescent="0.25">
      <c r="A14" s="3">
        <v>270</v>
      </c>
      <c r="B14" s="3">
        <v>25</v>
      </c>
      <c r="C14" s="3">
        <v>24.223400000000002</v>
      </c>
      <c r="D14" s="3">
        <v>799.35299999999995</v>
      </c>
      <c r="E14" s="3">
        <v>3.0303699999999999E-2</v>
      </c>
    </row>
    <row r="15" spans="1:5" x14ac:dyDescent="0.25">
      <c r="A15" s="3">
        <v>285</v>
      </c>
      <c r="B15" s="3">
        <v>25</v>
      </c>
      <c r="C15" s="3">
        <v>28.0411</v>
      </c>
      <c r="D15" s="3">
        <v>1266.9100000000001</v>
      </c>
      <c r="E15" s="3">
        <v>2.21335E-2</v>
      </c>
    </row>
    <row r="16" spans="1:5" x14ac:dyDescent="0.25">
      <c r="A16" s="3">
        <v>300</v>
      </c>
      <c r="B16" s="3">
        <v>24.99</v>
      </c>
      <c r="C16" s="3">
        <v>33.020099999999999</v>
      </c>
      <c r="D16" s="3">
        <v>1889.36</v>
      </c>
      <c r="E16" s="3">
        <v>1.7476800000000001E-2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FDC4-6F38-40E4-93A8-3A5E83D5592B}">
  <dimension ref="B3:W21"/>
  <sheetViews>
    <sheetView tabSelected="1" workbookViewId="0">
      <selection activeCell="W4" sqref="W4"/>
    </sheetView>
  </sheetViews>
  <sheetFormatPr defaultRowHeight="15" x14ac:dyDescent="0.25"/>
  <cols>
    <col min="2" max="2" width="5.28515625" bestFit="1" customWidth="1"/>
    <col min="3" max="3" width="8.7109375" bestFit="1" customWidth="1"/>
    <col min="4" max="4" width="12.42578125" bestFit="1" customWidth="1"/>
    <col min="5" max="5" width="16.42578125" bestFit="1" customWidth="1"/>
    <col min="6" max="6" width="14.140625" bestFit="1" customWidth="1"/>
    <col min="7" max="7" width="9.42578125" bestFit="1" customWidth="1"/>
    <col min="8" max="8" width="12.42578125" bestFit="1" customWidth="1"/>
    <col min="9" max="9" width="10.28515625" bestFit="1" customWidth="1"/>
    <col min="10" max="10" width="14.5703125" bestFit="1" customWidth="1"/>
    <col min="11" max="11" width="14.140625" bestFit="1" customWidth="1"/>
    <col min="12" max="21" width="6.140625" bestFit="1" customWidth="1"/>
    <col min="22" max="22" width="8.85546875" bestFit="1" customWidth="1"/>
    <col min="23" max="23" width="18.42578125" bestFit="1" customWidth="1"/>
  </cols>
  <sheetData>
    <row r="3" spans="2:23" x14ac:dyDescent="0.25"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56</v>
      </c>
      <c r="W3" t="s">
        <v>57</v>
      </c>
    </row>
    <row r="4" spans="2:23" x14ac:dyDescent="0.25">
      <c r="B4">
        <v>2</v>
      </c>
      <c r="C4" s="4">
        <v>4.3726397149862617</v>
      </c>
      <c r="D4" t="s">
        <v>54</v>
      </c>
      <c r="E4">
        <v>13.22</v>
      </c>
      <c r="F4">
        <v>109.65</v>
      </c>
      <c r="G4">
        <v>119.2</v>
      </c>
      <c r="H4">
        <v>1065.8</v>
      </c>
      <c r="I4">
        <v>2.5378000000000001E-2</v>
      </c>
      <c r="J4">
        <v>21.949000000000002</v>
      </c>
      <c r="K4">
        <v>36.043999999999997</v>
      </c>
      <c r="L4">
        <v>0.108</v>
      </c>
      <c r="M4">
        <v>0.13</v>
      </c>
      <c r="N4">
        <v>0.14899999999999999</v>
      </c>
      <c r="O4">
        <v>0.16600000000000001</v>
      </c>
      <c r="P4">
        <v>0.183</v>
      </c>
      <c r="Q4">
        <v>0.20200000000000001</v>
      </c>
      <c r="R4">
        <v>0.22500000000000001</v>
      </c>
      <c r="S4">
        <v>0.25700000000000001</v>
      </c>
      <c r="T4">
        <v>0.32600000000000001</v>
      </c>
      <c r="U4">
        <v>13.08</v>
      </c>
      <c r="V4">
        <v>7.8884999999999996</v>
      </c>
      <c r="W4">
        <v>4.6829000000000001</v>
      </c>
    </row>
    <row r="5" spans="2:23" x14ac:dyDescent="0.25">
      <c r="B5" s="7">
        <v>2</v>
      </c>
      <c r="C5" s="4">
        <v>4.3726397149862617</v>
      </c>
      <c r="D5" s="7" t="s">
        <v>55</v>
      </c>
      <c r="E5" s="7">
        <v>13.22</v>
      </c>
      <c r="F5">
        <v>109.65</v>
      </c>
      <c r="G5">
        <v>119.2</v>
      </c>
      <c r="H5">
        <v>1065.8</v>
      </c>
      <c r="I5">
        <v>2.5378000000000001E-2</v>
      </c>
      <c r="J5">
        <v>21.949000000000002</v>
      </c>
      <c r="K5">
        <v>36.043999999999997</v>
      </c>
      <c r="L5" s="7">
        <v>7.55</v>
      </c>
      <c r="M5">
        <v>10.48</v>
      </c>
      <c r="N5">
        <v>13.43</v>
      </c>
      <c r="O5">
        <v>16.510000000000002</v>
      </c>
      <c r="P5" s="7">
        <v>19.850000000000001</v>
      </c>
      <c r="Q5">
        <v>23.7</v>
      </c>
      <c r="R5">
        <v>28.45</v>
      </c>
      <c r="S5">
        <v>35.049999999999997</v>
      </c>
      <c r="T5" s="7">
        <v>46.91</v>
      </c>
      <c r="U5" s="7">
        <v>104.1</v>
      </c>
      <c r="V5" s="7">
        <v>7.8884999999999996</v>
      </c>
      <c r="W5" s="7">
        <v>4.6829000000000001</v>
      </c>
    </row>
    <row r="6" spans="2:23" x14ac:dyDescent="0.25">
      <c r="B6">
        <v>4</v>
      </c>
      <c r="C6" s="4">
        <v>10.568562259664144</v>
      </c>
      <c r="D6" t="s">
        <v>54</v>
      </c>
      <c r="E6">
        <v>19.98</v>
      </c>
      <c r="F6">
        <v>110.29</v>
      </c>
      <c r="G6">
        <v>114.52</v>
      </c>
      <c r="H6">
        <v>1095.2</v>
      </c>
      <c r="I6">
        <v>0</v>
      </c>
      <c r="J6">
        <v>45.500999999999998</v>
      </c>
      <c r="K6">
        <v>35.935000000000002</v>
      </c>
      <c r="L6">
        <v>6.84</v>
      </c>
      <c r="M6">
        <v>7.86</v>
      </c>
      <c r="N6">
        <v>8.67</v>
      </c>
      <c r="O6">
        <v>9.43</v>
      </c>
      <c r="P6">
        <v>10.19</v>
      </c>
      <c r="Q6">
        <v>11.03</v>
      </c>
      <c r="R6">
        <v>12.04</v>
      </c>
      <c r="S6">
        <v>13.38</v>
      </c>
      <c r="T6">
        <v>15.69</v>
      </c>
      <c r="U6">
        <v>25.19</v>
      </c>
      <c r="V6">
        <v>8.5576000000000008</v>
      </c>
      <c r="W6">
        <v>4.1177999999999999</v>
      </c>
    </row>
    <row r="7" spans="2:23" x14ac:dyDescent="0.25">
      <c r="B7" s="11">
        <v>4</v>
      </c>
      <c r="C7" s="4">
        <v>10.568562259664144</v>
      </c>
      <c r="D7" s="11" t="s">
        <v>55</v>
      </c>
      <c r="E7" s="11">
        <v>19.98</v>
      </c>
      <c r="F7">
        <v>110.29</v>
      </c>
      <c r="G7">
        <v>114.52</v>
      </c>
      <c r="H7">
        <v>1095.2</v>
      </c>
      <c r="I7">
        <v>0</v>
      </c>
      <c r="J7">
        <v>45.122</v>
      </c>
      <c r="K7">
        <v>35.935000000000002</v>
      </c>
      <c r="L7" s="11">
        <v>6.02</v>
      </c>
      <c r="M7">
        <v>7.33</v>
      </c>
      <c r="N7">
        <v>8.4600000000000009</v>
      </c>
      <c r="O7">
        <v>9.61</v>
      </c>
      <c r="P7" s="11">
        <v>10.9</v>
      </c>
      <c r="Q7">
        <v>12.45</v>
      </c>
      <c r="R7">
        <v>14.52</v>
      </c>
      <c r="S7">
        <v>17.75</v>
      </c>
      <c r="T7" s="11">
        <v>24.88</v>
      </c>
      <c r="U7" s="11">
        <v>71.23</v>
      </c>
      <c r="V7" s="11">
        <v>8.5576000000000008</v>
      </c>
      <c r="W7" s="11">
        <v>4.1177999999999999</v>
      </c>
    </row>
    <row r="8" spans="2:23" x14ac:dyDescent="0.25">
      <c r="B8">
        <v>5</v>
      </c>
      <c r="C8" s="4">
        <v>6.9248279606599503</v>
      </c>
      <c r="D8" t="s">
        <v>54</v>
      </c>
      <c r="E8">
        <v>19.64</v>
      </c>
      <c r="F8">
        <v>110.14</v>
      </c>
      <c r="G8">
        <v>110.8</v>
      </c>
      <c r="H8">
        <v>1092.2</v>
      </c>
      <c r="I8">
        <v>2.0600000000000002E-3</v>
      </c>
      <c r="J8">
        <v>30.135999999999999</v>
      </c>
      <c r="K8">
        <v>42.904000000000003</v>
      </c>
      <c r="L8">
        <v>7.27</v>
      </c>
      <c r="M8">
        <v>8.09</v>
      </c>
      <c r="N8">
        <v>8.73</v>
      </c>
      <c r="O8">
        <v>9.35</v>
      </c>
      <c r="P8">
        <v>9.9700000000000006</v>
      </c>
      <c r="Q8">
        <v>10.65</v>
      </c>
      <c r="R8">
        <v>11.48</v>
      </c>
      <c r="S8">
        <v>12.6</v>
      </c>
      <c r="T8">
        <v>14.52</v>
      </c>
      <c r="U8">
        <v>22.33</v>
      </c>
      <c r="V8">
        <v>8.4833999999999996</v>
      </c>
      <c r="W8">
        <v>5.9523999999999999</v>
      </c>
    </row>
    <row r="9" spans="2:23" x14ac:dyDescent="0.25">
      <c r="B9" s="7">
        <v>5</v>
      </c>
      <c r="C9" s="4">
        <v>6.9248279606599503</v>
      </c>
      <c r="D9" s="7" t="s">
        <v>55</v>
      </c>
      <c r="E9" s="7">
        <v>19.64</v>
      </c>
      <c r="F9">
        <v>110.14</v>
      </c>
      <c r="G9">
        <v>110.8</v>
      </c>
      <c r="H9">
        <v>1092.2</v>
      </c>
      <c r="I9">
        <v>2.0600000000000002E-3</v>
      </c>
      <c r="J9">
        <v>30.135999999999999</v>
      </c>
      <c r="K9">
        <v>42.904000000000003</v>
      </c>
      <c r="L9" s="7">
        <v>6.11</v>
      </c>
      <c r="M9">
        <v>8.1</v>
      </c>
      <c r="N9">
        <v>10.08</v>
      </c>
      <c r="O9">
        <v>12.2</v>
      </c>
      <c r="P9" s="7">
        <v>14.6</v>
      </c>
      <c r="Q9">
        <v>17.45</v>
      </c>
      <c r="R9">
        <v>21.12</v>
      </c>
      <c r="S9">
        <v>26.55</v>
      </c>
      <c r="T9" s="7">
        <v>36.89</v>
      </c>
      <c r="U9" s="7">
        <v>84.59</v>
      </c>
      <c r="V9" s="7">
        <v>8.4833999999999996</v>
      </c>
      <c r="W9" s="7">
        <v>5.9523999999999999</v>
      </c>
    </row>
    <row r="10" spans="2:23" x14ac:dyDescent="0.25">
      <c r="B10">
        <v>8</v>
      </c>
      <c r="C10" s="4">
        <v>8.4794713175875174</v>
      </c>
      <c r="D10" t="s">
        <v>54</v>
      </c>
      <c r="E10">
        <v>19.170000000000002</v>
      </c>
      <c r="F10">
        <v>109.84</v>
      </c>
      <c r="G10">
        <v>153.57</v>
      </c>
      <c r="H10">
        <v>1093.7</v>
      </c>
      <c r="I10">
        <v>1.6309E-3</v>
      </c>
      <c r="J10">
        <v>36.143999999999998</v>
      </c>
      <c r="K10">
        <v>29.978999999999999</v>
      </c>
      <c r="L10">
        <v>6.56</v>
      </c>
      <c r="M10">
        <v>7.48</v>
      </c>
      <c r="N10">
        <v>8.2100000000000009</v>
      </c>
      <c r="O10">
        <v>8.9</v>
      </c>
      <c r="P10">
        <v>9.6</v>
      </c>
      <c r="Q10">
        <v>10.37</v>
      </c>
      <c r="R10">
        <v>11.3</v>
      </c>
      <c r="S10">
        <v>12.53</v>
      </c>
      <c r="T10">
        <v>14.66</v>
      </c>
      <c r="U10">
        <v>23.1</v>
      </c>
      <c r="V10">
        <v>8.4560999999999993</v>
      </c>
      <c r="W10">
        <v>2.6657999999999999</v>
      </c>
    </row>
    <row r="11" spans="2:23" x14ac:dyDescent="0.25">
      <c r="B11">
        <v>8</v>
      </c>
      <c r="C11" s="4">
        <v>8.4794713175875174</v>
      </c>
      <c r="D11" t="s">
        <v>55</v>
      </c>
      <c r="E11">
        <v>19.170000000000002</v>
      </c>
      <c r="F11">
        <v>109.84</v>
      </c>
      <c r="G11">
        <v>153.57</v>
      </c>
      <c r="H11">
        <v>1093.7</v>
      </c>
      <c r="I11">
        <v>1.6309E-3</v>
      </c>
      <c r="J11">
        <v>36.143999999999998</v>
      </c>
      <c r="K11">
        <v>29.978999999999999</v>
      </c>
      <c r="L11">
        <v>6.37</v>
      </c>
      <c r="M11">
        <v>8.24</v>
      </c>
      <c r="N11">
        <v>10.16</v>
      </c>
      <c r="O11">
        <v>12.45</v>
      </c>
      <c r="P11">
        <v>15.31</v>
      </c>
      <c r="Q11">
        <v>18.95</v>
      </c>
      <c r="R11">
        <v>23.7</v>
      </c>
      <c r="S11">
        <v>30.35</v>
      </c>
      <c r="T11">
        <v>41.88</v>
      </c>
      <c r="U11">
        <v>93.43</v>
      </c>
      <c r="V11">
        <v>8.4560999999999993</v>
      </c>
      <c r="W11">
        <v>2.6657999999999999</v>
      </c>
    </row>
    <row r="12" spans="2:23" x14ac:dyDescent="0.25">
      <c r="B12">
        <v>9</v>
      </c>
      <c r="C12" s="4">
        <v>9.623227656307666</v>
      </c>
      <c r="D12" t="s">
        <v>54</v>
      </c>
      <c r="E12">
        <v>19.62</v>
      </c>
      <c r="F12">
        <v>109.98</v>
      </c>
      <c r="G12">
        <v>114.84</v>
      </c>
      <c r="H12">
        <v>1092.5999999999999</v>
      </c>
      <c r="I12">
        <v>1.2017E-3</v>
      </c>
      <c r="J12">
        <v>44.667999999999999</v>
      </c>
      <c r="K12">
        <v>29.821999999999999</v>
      </c>
      <c r="L12">
        <v>7.25</v>
      </c>
      <c r="M12">
        <v>8.18</v>
      </c>
      <c r="N12">
        <v>8.93</v>
      </c>
      <c r="O12">
        <v>9.64</v>
      </c>
      <c r="P12">
        <v>10.37</v>
      </c>
      <c r="Q12">
        <v>11.18</v>
      </c>
      <c r="R12">
        <v>12.16</v>
      </c>
      <c r="S12">
        <v>13.46</v>
      </c>
      <c r="T12">
        <v>15.72</v>
      </c>
      <c r="U12">
        <v>24.67</v>
      </c>
      <c r="V12">
        <v>3.1987000000000001</v>
      </c>
      <c r="W12">
        <v>2.8338999999999999</v>
      </c>
    </row>
    <row r="13" spans="2:23" x14ac:dyDescent="0.25">
      <c r="B13" s="7">
        <v>9</v>
      </c>
      <c r="C13" s="4">
        <v>9.623227656307666</v>
      </c>
      <c r="D13" s="7" t="s">
        <v>55</v>
      </c>
      <c r="E13" s="7">
        <v>19.62</v>
      </c>
      <c r="F13">
        <v>109.98</v>
      </c>
      <c r="G13">
        <v>114.84</v>
      </c>
      <c r="H13">
        <v>1092.5999999999999</v>
      </c>
      <c r="I13">
        <v>1.2017E-3</v>
      </c>
      <c r="J13">
        <v>44.667999999999999</v>
      </c>
      <c r="K13">
        <v>29.821999999999999</v>
      </c>
      <c r="L13" s="7">
        <v>5.38</v>
      </c>
      <c r="M13">
        <v>6.62</v>
      </c>
      <c r="N13">
        <v>7.83</v>
      </c>
      <c r="O13">
        <v>9.26</v>
      </c>
      <c r="P13" s="7">
        <v>11.12</v>
      </c>
      <c r="Q13">
        <v>13.79</v>
      </c>
      <c r="R13">
        <v>17.8</v>
      </c>
      <c r="S13">
        <v>24.16</v>
      </c>
      <c r="T13" s="7">
        <v>36.03</v>
      </c>
      <c r="U13" s="7">
        <v>82.79</v>
      </c>
      <c r="V13" s="7">
        <v>3.1987000000000001</v>
      </c>
      <c r="W13" s="7">
        <v>2.8338999999999999</v>
      </c>
    </row>
    <row r="14" spans="2:23" x14ac:dyDescent="0.25">
      <c r="B14">
        <v>11</v>
      </c>
      <c r="C14" s="4">
        <v>12.404756092684226</v>
      </c>
      <c r="D14" t="s">
        <v>54</v>
      </c>
      <c r="E14">
        <v>19.62</v>
      </c>
      <c r="F14">
        <v>109.81</v>
      </c>
      <c r="G14">
        <v>114.02</v>
      </c>
      <c r="H14">
        <v>1092.2</v>
      </c>
      <c r="I14">
        <v>4.4919000000000001E-3</v>
      </c>
      <c r="J14">
        <v>60.753999999999998</v>
      </c>
      <c r="K14">
        <v>42.648000000000003</v>
      </c>
      <c r="L14" s="12">
        <v>8.23</v>
      </c>
      <c r="M14" s="12">
        <v>9.42</v>
      </c>
      <c r="N14" s="12">
        <v>10.32</v>
      </c>
      <c r="O14" s="12">
        <v>11.16</v>
      </c>
      <c r="P14" s="12">
        <v>12</v>
      </c>
      <c r="Q14" s="12">
        <v>12.92</v>
      </c>
      <c r="R14" s="12">
        <v>14.03</v>
      </c>
      <c r="S14" s="12">
        <v>15.5</v>
      </c>
      <c r="T14" s="12">
        <v>18.09</v>
      </c>
      <c r="U14" s="12">
        <v>28.88</v>
      </c>
      <c r="V14" s="12">
        <v>8.5130999999999997</v>
      </c>
      <c r="W14" s="12">
        <v>6.5354000000000001</v>
      </c>
    </row>
    <row r="15" spans="2:23" x14ac:dyDescent="0.25">
      <c r="B15" s="7">
        <v>11</v>
      </c>
      <c r="C15" s="4">
        <v>12.404756092684226</v>
      </c>
      <c r="D15" s="7" t="s">
        <v>55</v>
      </c>
      <c r="E15" s="7">
        <v>19.62</v>
      </c>
      <c r="F15">
        <v>109.81</v>
      </c>
      <c r="G15">
        <v>114.02</v>
      </c>
      <c r="H15">
        <v>1092.2</v>
      </c>
      <c r="I15">
        <v>4.4919000000000001E-3</v>
      </c>
      <c r="J15">
        <v>60.753999999999998</v>
      </c>
      <c r="K15">
        <v>42.648000000000003</v>
      </c>
      <c r="L15" s="13">
        <v>3.92</v>
      </c>
      <c r="M15" s="12">
        <v>5.03</v>
      </c>
      <c r="N15" s="12">
        <v>6.2</v>
      </c>
      <c r="O15" s="12">
        <v>7.46</v>
      </c>
      <c r="P15" s="13">
        <v>8.82</v>
      </c>
      <c r="Q15" s="12">
        <v>10.39</v>
      </c>
      <c r="R15" s="12">
        <v>12.33</v>
      </c>
      <c r="S15" s="12">
        <v>15.1</v>
      </c>
      <c r="T15" s="13">
        <v>20.5</v>
      </c>
      <c r="U15" s="13">
        <v>49.6</v>
      </c>
      <c r="V15" s="13">
        <v>8.5130999999999997</v>
      </c>
      <c r="W15" s="13">
        <v>6.5354000000000001</v>
      </c>
    </row>
    <row r="16" spans="2:23" x14ac:dyDescent="0.25">
      <c r="B16">
        <v>12</v>
      </c>
      <c r="C16" s="4">
        <v>9.6217553489105612</v>
      </c>
      <c r="D16" t="s">
        <v>54</v>
      </c>
      <c r="E16">
        <v>18.989999999999998</v>
      </c>
      <c r="F16">
        <v>150.03</v>
      </c>
      <c r="G16">
        <v>121.17</v>
      </c>
      <c r="H16">
        <v>1091.2</v>
      </c>
      <c r="I16">
        <v>4.45E-3</v>
      </c>
      <c r="J16">
        <v>40.648000000000003</v>
      </c>
      <c r="K16">
        <v>42.378</v>
      </c>
      <c r="L16">
        <v>6.41</v>
      </c>
      <c r="M16">
        <v>7.5</v>
      </c>
      <c r="N16">
        <v>8.35</v>
      </c>
      <c r="O16">
        <v>9.15</v>
      </c>
      <c r="P16">
        <v>9.9600000000000009</v>
      </c>
      <c r="Q16">
        <v>10.84</v>
      </c>
      <c r="R16">
        <v>11.89</v>
      </c>
      <c r="S16">
        <v>13.3</v>
      </c>
      <c r="T16">
        <v>15.75</v>
      </c>
      <c r="U16">
        <v>26.22</v>
      </c>
      <c r="V16" s="14">
        <v>8.7449999999999992</v>
      </c>
      <c r="W16">
        <v>11.359</v>
      </c>
    </row>
    <row r="17" spans="2:23" x14ac:dyDescent="0.25">
      <c r="B17">
        <v>12</v>
      </c>
      <c r="C17" s="4">
        <v>9.6217553489105612</v>
      </c>
      <c r="D17" t="s">
        <v>55</v>
      </c>
      <c r="E17">
        <v>18.989999999999998</v>
      </c>
      <c r="F17">
        <v>150.03</v>
      </c>
      <c r="G17">
        <v>121.17</v>
      </c>
      <c r="H17">
        <v>1091.2</v>
      </c>
      <c r="I17">
        <v>4.45E-3</v>
      </c>
      <c r="J17">
        <v>40.648000000000003</v>
      </c>
      <c r="K17">
        <v>42.378</v>
      </c>
      <c r="L17">
        <v>5.97</v>
      </c>
      <c r="M17">
        <v>7.52</v>
      </c>
      <c r="N17">
        <v>8.8800000000000008</v>
      </c>
      <c r="O17">
        <v>10.29</v>
      </c>
      <c r="P17">
        <v>11.87</v>
      </c>
      <c r="Q17">
        <v>13.77</v>
      </c>
      <c r="R17">
        <v>16.28</v>
      </c>
      <c r="S17">
        <v>20.07</v>
      </c>
      <c r="T17">
        <v>27.74</v>
      </c>
      <c r="U17">
        <v>64.34</v>
      </c>
      <c r="V17" s="14">
        <v>8.7449999999999992</v>
      </c>
      <c r="W17">
        <v>11.359</v>
      </c>
    </row>
    <row r="18" spans="2:23" x14ac:dyDescent="0.25">
      <c r="B18">
        <v>14</v>
      </c>
      <c r="C18" s="4">
        <v>9.6122419780369608</v>
      </c>
      <c r="D18" t="s">
        <v>54</v>
      </c>
      <c r="E18">
        <v>24.98</v>
      </c>
      <c r="F18">
        <v>110.62</v>
      </c>
      <c r="G18">
        <v>108.9</v>
      </c>
      <c r="H18">
        <v>1119</v>
      </c>
      <c r="I18">
        <v>9.1560000000000003E-4</v>
      </c>
      <c r="J18">
        <v>41.350999999999999</v>
      </c>
      <c r="K18">
        <v>41.344999999999999</v>
      </c>
      <c r="L18">
        <v>5.83</v>
      </c>
      <c r="M18">
        <v>6.98</v>
      </c>
      <c r="N18">
        <v>7.93</v>
      </c>
      <c r="O18">
        <v>8.83</v>
      </c>
      <c r="P18">
        <v>9.74</v>
      </c>
      <c r="Q18">
        <v>10.73</v>
      </c>
      <c r="R18">
        <v>11.9</v>
      </c>
      <c r="S18">
        <v>13.44</v>
      </c>
      <c r="T18">
        <v>16.079999999999998</v>
      </c>
      <c r="U18">
        <v>26.88</v>
      </c>
      <c r="V18">
        <v>8.9677000000000007</v>
      </c>
      <c r="W18">
        <v>10.678000000000001</v>
      </c>
    </row>
    <row r="19" spans="2:23" x14ac:dyDescent="0.25">
      <c r="B19">
        <v>14</v>
      </c>
      <c r="C19" s="4">
        <v>9.6122419780369608</v>
      </c>
      <c r="D19" t="s">
        <v>55</v>
      </c>
      <c r="E19">
        <v>24.98</v>
      </c>
      <c r="F19">
        <v>110.62</v>
      </c>
      <c r="G19">
        <v>108.9</v>
      </c>
      <c r="H19">
        <v>1119</v>
      </c>
      <c r="I19">
        <v>9.1560000000000003E-4</v>
      </c>
      <c r="J19">
        <v>41.350999999999999</v>
      </c>
      <c r="K19">
        <v>41.344999999999999</v>
      </c>
      <c r="L19">
        <v>5.28</v>
      </c>
      <c r="M19">
        <v>6.66</v>
      </c>
      <c r="N19">
        <v>8.0500000000000007</v>
      </c>
      <c r="O19">
        <v>9.7200000000000006</v>
      </c>
      <c r="P19">
        <v>11.82</v>
      </c>
      <c r="Q19">
        <v>14.59</v>
      </c>
      <c r="R19">
        <v>18.41</v>
      </c>
      <c r="S19">
        <v>24.23</v>
      </c>
      <c r="T19">
        <v>35.520000000000003</v>
      </c>
      <c r="U19">
        <v>89.33</v>
      </c>
      <c r="V19">
        <v>8.9677000000000007</v>
      </c>
      <c r="W19">
        <v>10.678000000000001</v>
      </c>
    </row>
    <row r="20" spans="2:23" x14ac:dyDescent="0.25">
      <c r="B20">
        <v>15</v>
      </c>
      <c r="C20" s="4">
        <v>7.4110291649500386</v>
      </c>
      <c r="D20" t="s">
        <v>54</v>
      </c>
      <c r="E20">
        <v>24.93</v>
      </c>
      <c r="F20">
        <v>110.57</v>
      </c>
      <c r="G20">
        <v>107.02</v>
      </c>
      <c r="H20">
        <v>1117.8</v>
      </c>
      <c r="I20">
        <v>6.2085999999999999E-3</v>
      </c>
      <c r="J20">
        <v>35.119</v>
      </c>
      <c r="K20">
        <v>41.290999999999997</v>
      </c>
      <c r="L20">
        <v>6.32</v>
      </c>
      <c r="M20">
        <v>7.36</v>
      </c>
      <c r="N20">
        <v>8.17</v>
      </c>
      <c r="O20">
        <v>8.93</v>
      </c>
      <c r="P20">
        <v>9.7100000000000009</v>
      </c>
      <c r="Q20">
        <v>10.56</v>
      </c>
      <c r="R20">
        <v>11.6</v>
      </c>
      <c r="S20">
        <v>12.98</v>
      </c>
      <c r="T20">
        <v>15.41</v>
      </c>
      <c r="U20">
        <v>26.01</v>
      </c>
      <c r="V20">
        <v>7.4694000000000003</v>
      </c>
      <c r="W20">
        <v>9.9979999999999993</v>
      </c>
    </row>
    <row r="21" spans="2:23" x14ac:dyDescent="0.25">
      <c r="B21" s="11">
        <v>15</v>
      </c>
      <c r="C21" s="4">
        <v>7.4110291649500386</v>
      </c>
      <c r="D21" s="11" t="s">
        <v>55</v>
      </c>
      <c r="E21" s="11">
        <v>24.93</v>
      </c>
      <c r="F21" s="11">
        <v>110.57</v>
      </c>
      <c r="G21" s="11">
        <v>107.02</v>
      </c>
      <c r="H21" s="11">
        <v>1117.8</v>
      </c>
      <c r="I21" s="11">
        <v>6.2085999999999999E-3</v>
      </c>
      <c r="J21" s="11">
        <v>35.119</v>
      </c>
      <c r="K21" s="11">
        <v>41.290999999999997</v>
      </c>
      <c r="L21" s="11">
        <v>5.86</v>
      </c>
      <c r="M21">
        <v>7.6</v>
      </c>
      <c r="N21">
        <v>9.3699999999999992</v>
      </c>
      <c r="O21">
        <v>11.38</v>
      </c>
      <c r="P21" s="11">
        <v>13.74</v>
      </c>
      <c r="Q21">
        <v>16.66</v>
      </c>
      <c r="R21">
        <v>20.43</v>
      </c>
      <c r="S21">
        <v>26.02</v>
      </c>
      <c r="T21" s="11">
        <v>36.57</v>
      </c>
      <c r="U21" s="11">
        <v>83.87</v>
      </c>
      <c r="V21" s="11">
        <v>7.4694000000000003</v>
      </c>
      <c r="W21" s="11">
        <v>9.9979999999999993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8CCE2449B7B14CB61E41C2B2490B10" ma:contentTypeVersion="14" ma:contentTypeDescription="Create a new document." ma:contentTypeScope="" ma:versionID="cc3e0e83755b6c5b39e5e5b4b56bcda6">
  <xsd:schema xmlns:xsd="http://www.w3.org/2001/XMLSchema" xmlns:xs="http://www.w3.org/2001/XMLSchema" xmlns:p="http://schemas.microsoft.com/office/2006/metadata/properties" xmlns:ns3="957b4867-70ba-4cfc-af85-fa94f3735f3b" xmlns:ns4="42e40f89-9189-4e16-8e72-5c7631d8a301" targetNamespace="http://schemas.microsoft.com/office/2006/metadata/properties" ma:root="true" ma:fieldsID="f1591627019b8836b15c8cad4affd2d6" ns3:_="" ns4:_="">
    <xsd:import namespace="957b4867-70ba-4cfc-af85-fa94f3735f3b"/>
    <xsd:import namespace="42e40f89-9189-4e16-8e72-5c7631d8a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b4867-70ba-4cfc-af85-fa94f3735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0f89-9189-4e16-8e72-5c7631d8a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IP21ConfigWorkBook xmlns:xsi="http://www.w3.org/2001/XMLSchema-instance" xmlns:xsd="http://www.w3.org/2001/XMLSchema" xmlns="http://www.aspentech.com/ProcessData/ExcelAddIn/IP21ConfigWorkBook">
  <WorkBookName>visc.xlsx</WorkBookName>
  <MappingTemplateName/>
  <ColumnMaps/>
</IP21ConfigWorkBook>
</file>

<file path=customXml/itemProps1.xml><?xml version="1.0" encoding="utf-8"?>
<ds:datastoreItem xmlns:ds="http://schemas.openxmlformats.org/officeDocument/2006/customXml" ds:itemID="{51044205-3C5D-49D4-B25A-DFC13F8D6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b4867-70ba-4cfc-af85-fa94f3735f3b"/>
    <ds:schemaRef ds:uri="42e40f89-9189-4e16-8e72-5c7631d8a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926051-3D1D-417D-9DE4-ADB150B0A3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630024-67B0-4D3B-8988-337ABDEBA347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2e40f89-9189-4e16-8e72-5c7631d8a301"/>
    <ds:schemaRef ds:uri="http://schemas.microsoft.com/office/2006/documentManagement/types"/>
    <ds:schemaRef ds:uri="957b4867-70ba-4cfc-af85-fa94f3735f3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4024889-E8F4-4F58-863A-A0B6720F1F77}">
  <ds:schemaRefs>
    <ds:schemaRef ds:uri="http://www.w3.org/2001/XMLSchema"/>
    <ds:schemaRef ds:uri="http://www.aspentech.com/ProcessData/ExcelAddIn/IP21ConfigWorkBook"/>
  </ds:schemaRefs>
</ds:datastoreItem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up1_feed_0.25</vt:lpstr>
      <vt:lpstr>up1_feed_0.2</vt:lpstr>
      <vt:lpstr>up1_feed_0.13</vt:lpstr>
      <vt:lpstr>cond2</vt:lpstr>
      <vt:lpstr>cond4</vt:lpstr>
      <vt:lpstr>cond5</vt:lpstr>
      <vt:lpstr>cond8</vt:lpstr>
      <vt:lpstr>cond9</vt:lpstr>
      <vt:lpstr>cond11</vt:lpstr>
      <vt:lpstr>cond12</vt:lpstr>
      <vt:lpstr>cond14</vt:lpstr>
      <vt:lpstr>cond15</vt:lpstr>
      <vt:lpstr>up1_up4_psd</vt:lpstr>
    </vt:vector>
  </TitlesOfParts>
  <Company>Arkema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Christin</dc:creator>
  <cp:lastModifiedBy>LAI Christin</cp:lastModifiedBy>
  <dcterms:created xsi:type="dcterms:W3CDTF">2022-07-11T14:11:11Z</dcterms:created>
  <dcterms:modified xsi:type="dcterms:W3CDTF">2026-07-22T14:00:39Z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0x010100F68CCE2449B7B14CB61E41C2B2490B10</vt:lpwstr>
  </property>
</Properties>
</file>